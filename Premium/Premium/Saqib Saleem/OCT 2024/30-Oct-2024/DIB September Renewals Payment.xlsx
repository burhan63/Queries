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mium\Premium\Saqib Saleem\30-Oct-2024\"/>
    </mc:Choice>
  </mc:AlternateContent>
  <xr:revisionPtr revIDLastSave="0" documentId="13_ncr:1_{B80C53A5-136A-41A1-814B-9841505006A4}" xr6:coauthVersionLast="47" xr6:coauthVersionMax="47" xr10:uidLastSave="{00000000-0000-0000-0000-000000000000}"/>
  <bookViews>
    <workbookView xWindow="-120" yWindow="-120" windowWidth="20730" windowHeight="11040" tabRatio="715" activeTab="2" xr2:uid="{00000000-000D-0000-FFFF-FFFF00000000}"/>
  </bookViews>
  <sheets>
    <sheet name="T-PAK" sheetId="1" r:id="rId1"/>
    <sheet name="Sheet1" sheetId="2" r:id="rId2"/>
    <sheet name="working" sheetId="3" r:id="rId3"/>
    <sheet name="Sheet3" sheetId="4" r:id="rId4"/>
    <sheet name="policy" sheetId="5" r:id="rId5"/>
    <sheet name="Sheet5" sheetId="6" r:id="rId6"/>
  </sheets>
  <definedNames>
    <definedName name="_xlnm._FilterDatabase" localSheetId="1" hidden="1">Sheet1!$A$2:$AY$468</definedName>
    <definedName name="_xlnm._FilterDatabase" localSheetId="3" hidden="1">Sheet3!$H$1:$H$467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1" i="3" l="1"/>
  <c r="C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D46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B234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325" i="3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325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2" i="3"/>
  <c r="F2" i="3"/>
  <c r="D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2" i="4"/>
  <c r="BA18" i="2"/>
  <c r="AV185" i="2"/>
  <c r="AY185" i="2" s="1"/>
  <c r="AO1" i="2"/>
  <c r="H2" i="3" l="1"/>
</calcChain>
</file>

<file path=xl/sharedStrings.xml><?xml version="1.0" encoding="utf-8"?>
<sst xmlns="http://schemas.openxmlformats.org/spreadsheetml/2006/main" count="27994" uniqueCount="7825">
  <si>
    <t>Sr.</t>
  </si>
  <si>
    <t>Status</t>
  </si>
  <si>
    <t>Contract No.</t>
  </si>
  <si>
    <t>Class Code</t>
  </si>
  <si>
    <t>Contract Status</t>
  </si>
  <si>
    <t>Insurance Agency</t>
  </si>
  <si>
    <t>Dealer Name</t>
  </si>
  <si>
    <t>App ID</t>
  </si>
  <si>
    <t>CIF #</t>
  </si>
  <si>
    <t>Insurance Rate</t>
  </si>
  <si>
    <t>Profit Rate</t>
  </si>
  <si>
    <t>ISI Account No.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</si>
  <si>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</si>
  <si>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</si>
  <si>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</si>
  <si>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</si>
  <si>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</si>
  <si>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</si>
  <si>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</si>
  <si>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</si>
  <si>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</si>
  <si>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</si>
  <si>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</si>
  <si>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</si>
  <si>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</si>
  <si>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</si>
  <si>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</si>
  <si>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</si>
  <si>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</si>
  <si>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</si>
  <si>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</si>
  <si>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</si>
  <si>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</si>
  <si>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</si>
  <si>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</si>
  <si>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</si>
  <si>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</si>
  <si>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>Contract No.2</t>
  </si>
  <si>
    <t xml:space="preserve">Rate </t>
  </si>
  <si>
    <t xml:space="preserve">Sum Insured </t>
  </si>
  <si>
    <t>Premium</t>
  </si>
  <si>
    <t>OLD Contract Ref</t>
  </si>
  <si>
    <t>Remarks-I</t>
  </si>
  <si>
    <t>Remarks-II</t>
  </si>
  <si>
    <t>CLOSED</t>
  </si>
  <si>
    <t>9976AD1210740004</t>
  </si>
  <si>
    <t>6AD1</t>
  </si>
  <si>
    <t>A</t>
  </si>
  <si>
    <t>T-PAK</t>
  </si>
  <si>
    <t>TOYOTA LAYALPUR MOTOR</t>
  </si>
  <si>
    <t>643165</t>
  </si>
  <si>
    <t>0679228</t>
  </si>
  <si>
    <t>0679228001</t>
  </si>
  <si>
    <t>MURAD SALEEM</t>
  </si>
  <si>
    <t>Faisalabad</t>
  </si>
  <si>
    <t>33102-9076864-7</t>
  </si>
  <si>
    <t>03216664328</t>
  </si>
  <si>
    <t>03216664328, 03216664328</t>
  </si>
  <si>
    <t>0418860340</t>
  </si>
  <si>
    <t xml:space="preserve">P-4041 MAIN SHEIKHUPURA ROAD HAJI A BAD FAISALABAD PK </t>
  </si>
  <si>
    <t>55601/00054/09/2021</t>
  </si>
  <si>
    <t>29-SEP-2022</t>
  </si>
  <si>
    <t>Q0352444</t>
  </si>
  <si>
    <t>7051600</t>
  </si>
  <si>
    <t>NEW</t>
  </si>
  <si>
    <t/>
  </si>
  <si>
    <t>TOYOTA COROLLA ALTIS GRANDE CVT</t>
  </si>
  <si>
    <t>2021</t>
  </si>
  <si>
    <t>15-MAR-2021</t>
  </si>
  <si>
    <t>03-OCT-2021</t>
  </si>
  <si>
    <t>03-Oct-2024</t>
  </si>
  <si>
    <t>OLAFSD300066742</t>
  </si>
  <si>
    <t>ITFT</t>
  </si>
  <si>
    <t>5442/09/2021/ITFM</t>
  </si>
  <si>
    <t>30-SEP-2021</t>
  </si>
  <si>
    <t>2%</t>
  </si>
  <si>
    <t>9976AP1222730064</t>
  </si>
  <si>
    <t>6AP1</t>
  </si>
  <si>
    <t>NEW CAR COMPLEX</t>
  </si>
  <si>
    <t>1200610</t>
  </si>
  <si>
    <t>0074972</t>
  </si>
  <si>
    <t>0074972005</t>
  </si>
  <si>
    <t>MUSHTAQ HAROON</t>
  </si>
  <si>
    <t>Karachi</t>
  </si>
  <si>
    <t>42201-4972674-3</t>
  </si>
  <si>
    <t>32256416</t>
  </si>
  <si>
    <t>03002369446</t>
  </si>
  <si>
    <t>35216213</t>
  </si>
  <si>
    <t xml:space="preserve">FLAT NO A 2 SOUTHERN COPERATIVE SOCIETY 106 DEPOT LINE RIZVI SHAHEED ROAD PLOT 106 FIRST FLOOR KARACHI </t>
  </si>
  <si>
    <t>63286/00098/09/2022</t>
  </si>
  <si>
    <t>29-SEP-2023</t>
  </si>
  <si>
    <t>13041512</t>
  </si>
  <si>
    <t>10041514</t>
  </si>
  <si>
    <t>USD</t>
  </si>
  <si>
    <t>BMT-564</t>
  </si>
  <si>
    <t>SUZUKI SWIFT A/T NAVIGATION</t>
  </si>
  <si>
    <t>2018</t>
  </si>
  <si>
    <t>30-SEP-2022</t>
  </si>
  <si>
    <t>03-OCT-2022</t>
  </si>
  <si>
    <t>OLUKHI300090209</t>
  </si>
  <si>
    <t>ITFM</t>
  </si>
  <si>
    <t>8911/09/2022/ITFM</t>
  </si>
  <si>
    <t>1.75%</t>
  </si>
  <si>
    <t>9976AD1211830084</t>
  </si>
  <si>
    <t>KIA CLIFTON</t>
  </si>
  <si>
    <t>1091257</t>
  </si>
  <si>
    <t>0462522</t>
  </si>
  <si>
    <t>0462522002</t>
  </si>
  <si>
    <t>ANIL KUMAR</t>
  </si>
  <si>
    <t>42301-1102183-1</t>
  </si>
  <si>
    <t>03333430536</t>
  </si>
  <si>
    <t>32786657</t>
  </si>
  <si>
    <t xml:space="preserve">KARACHI CHEMIST AND DRUGGIEST SHOP NO 1 SHABAZ PLAZA OPPOSITE CIVIL HOSPITAL BABA E URDU ROAD KARACHI </t>
  </si>
  <si>
    <t>DIB/T/BT/33727/KHI/0921</t>
  </si>
  <si>
    <t>315536</t>
  </si>
  <si>
    <t>512969</t>
  </si>
  <si>
    <t>KIA SPORTAGE AWD</t>
  </si>
  <si>
    <t>02-JUL-2021</t>
  </si>
  <si>
    <t>OLAKHI300070365</t>
  </si>
  <si>
    <t>9976AP1212740089</t>
  </si>
  <si>
    <t>NEW S.S MOTORS</t>
  </si>
  <si>
    <t>1099727</t>
  </si>
  <si>
    <t>0361983</t>
  </si>
  <si>
    <t>0361983002</t>
  </si>
  <si>
    <t>ABID ALI</t>
  </si>
  <si>
    <t>33100-6228369-3</t>
  </si>
  <si>
    <t>03009653100</t>
  </si>
  <si>
    <t xml:space="preserve">HOUSE NO 174 B D-GROUND MOHALA PEOPLES COLONY NO 1 FAISALABAD </t>
  </si>
  <si>
    <t>56038/00001/10/2021</t>
  </si>
  <si>
    <t>G4NALH3413439</t>
  </si>
  <si>
    <t>NNAQL51AZKP304712</t>
  </si>
  <si>
    <t>ASH-882</t>
  </si>
  <si>
    <t>KIA SPORTAGE FWD</t>
  </si>
  <si>
    <t>01-OCT-2021</t>
  </si>
  <si>
    <t>OLUFSD300074560</t>
  </si>
  <si>
    <t>997AAD1202100014</t>
  </si>
  <si>
    <t>AAD1</t>
  </si>
  <si>
    <t>HONDA LYALLPUR</t>
  </si>
  <si>
    <t>598281</t>
  </si>
  <si>
    <t>0075974</t>
  </si>
  <si>
    <t>0075974003</t>
  </si>
  <si>
    <t>ADNAN ALI</t>
  </si>
  <si>
    <t>33100-7791721-1</t>
  </si>
  <si>
    <t>8733900</t>
  </si>
  <si>
    <t>03218733900</t>
  </si>
  <si>
    <t xml:space="preserve">H NO P-990 RAJA GHULAM RASOOL NAGAR PEOPLES COLONY NO 2 FAISALABAD </t>
  </si>
  <si>
    <t>COMP/P/52740/09/2020</t>
  </si>
  <si>
    <t>29-SEP-2021</t>
  </si>
  <si>
    <t>R18Z16913639</t>
  </si>
  <si>
    <t>NFBFC6661LR065434</t>
  </si>
  <si>
    <t>CIVIC VTI ORIEL P/T</t>
  </si>
  <si>
    <t>2020</t>
  </si>
  <si>
    <t>28-JUL-2020</t>
  </si>
  <si>
    <t>03-OCT-2020</t>
  </si>
  <si>
    <t>POAFSD300055961</t>
  </si>
  <si>
    <t>3117/09/2020/ITFM</t>
  </si>
  <si>
    <t>30-SEP-2020</t>
  </si>
  <si>
    <t>1.5%</t>
  </si>
  <si>
    <t>9976AP1192730026</t>
  </si>
  <si>
    <t>TOYOTA CAPITAL MOTORS</t>
  </si>
  <si>
    <t>587018</t>
  </si>
  <si>
    <t>0562911</t>
  </si>
  <si>
    <t>0562911001</t>
  </si>
  <si>
    <t>ASIF IQBAL</t>
  </si>
  <si>
    <t>Islamabad</t>
  </si>
  <si>
    <t>61101-1847774-9</t>
  </si>
  <si>
    <t>03425474950</t>
  </si>
  <si>
    <t>0</t>
  </si>
  <si>
    <t xml:space="preserve">H # 385 ST # 17 SECTOR I-10/2 ISLAMABAD PK </t>
  </si>
  <si>
    <t>51132/00104/09/2019</t>
  </si>
  <si>
    <t>29-SEP-2020</t>
  </si>
  <si>
    <t>Z566768</t>
  </si>
  <si>
    <t>4192614</t>
  </si>
  <si>
    <t>APS-981</t>
  </si>
  <si>
    <t>COROLLA GLI</t>
  </si>
  <si>
    <t>2019</t>
  </si>
  <si>
    <t>30-SEP-2019</t>
  </si>
  <si>
    <t>03-OCT-2019</t>
  </si>
  <si>
    <t>PODISD300049568</t>
  </si>
  <si>
    <t>1824/09/2019/ITFM</t>
  </si>
  <si>
    <t>2.5%</t>
  </si>
  <si>
    <t>9976AD1212120063</t>
  </si>
  <si>
    <t>PAK SUZUKI MOTOR CO LTD</t>
  </si>
  <si>
    <t>1097432</t>
  </si>
  <si>
    <t>0710135</t>
  </si>
  <si>
    <t>0710135001</t>
  </si>
  <si>
    <t>ABDUL HASEEB AHMED</t>
  </si>
  <si>
    <t>Lahore</t>
  </si>
  <si>
    <t>35202-2877846-9</t>
  </si>
  <si>
    <t>03004236503</t>
  </si>
  <si>
    <t>35860721</t>
  </si>
  <si>
    <t xml:space="preserve">34/B MOH MILITARY ACCOUNTS SOCIETY COLLEGE LAHORE </t>
  </si>
  <si>
    <t>2524/02640/00133/09/2021</t>
  </si>
  <si>
    <t>185135</t>
  </si>
  <si>
    <t>10085125</t>
  </si>
  <si>
    <t>SUZUKI CULTUS VXL EURO II</t>
  </si>
  <si>
    <t>31-JUL-2021</t>
  </si>
  <si>
    <t>OLALHR300071392</t>
  </si>
  <si>
    <t>ITECL</t>
  </si>
  <si>
    <t>5480/09/2021</t>
  </si>
  <si>
    <t>9976AD1210300090</t>
  </si>
  <si>
    <t>CHANGAN AL NOOR MOTORS</t>
  </si>
  <si>
    <t>637252</t>
  </si>
  <si>
    <t>0669115</t>
  </si>
  <si>
    <t>0669115001</t>
  </si>
  <si>
    <t>FARMAN IDREES</t>
  </si>
  <si>
    <t>33100-0715241-7</t>
  </si>
  <si>
    <t>03017051197</t>
  </si>
  <si>
    <t>03017051197, 03017051197</t>
  </si>
  <si>
    <t xml:space="preserve">H NO P-791 ST NO 06 NEW GARDEN TOWN MILLAT ROAD FAISALABAD PK </t>
  </si>
  <si>
    <t>2021-09-205-V01501DP0002198</t>
  </si>
  <si>
    <t>28-SEP-2022</t>
  </si>
  <si>
    <t>504293</t>
  </si>
  <si>
    <t>1008681</t>
  </si>
  <si>
    <t>CHANGAN KARVAAN PLUS</t>
  </si>
  <si>
    <t>30-JAN-2021</t>
  </si>
  <si>
    <t>11-OCT-2021</t>
  </si>
  <si>
    <t>11-Oct-2024</t>
  </si>
  <si>
    <t>OLAFSD300064649</t>
  </si>
  <si>
    <t>5453/09/2021</t>
  </si>
  <si>
    <t>9976AD1211670013</t>
  </si>
  <si>
    <t>PRINCE PUNJAB MOTORS</t>
  </si>
  <si>
    <t>1097740</t>
  </si>
  <si>
    <t>0264812</t>
  </si>
  <si>
    <t>0264812002</t>
  </si>
  <si>
    <t>MUKHTAR AHMAD</t>
  </si>
  <si>
    <t>33100-8231808-5</t>
  </si>
  <si>
    <t>03009661442</t>
  </si>
  <si>
    <t>0412600992</t>
  </si>
  <si>
    <t xml:space="preserve">ALIYAAN FABRICS SHOP NO 27 NEAR ANAYAT CLOTH MARKET RAIL BAZAR FAISALABAD 03009661442 </t>
  </si>
  <si>
    <t>55601/00081/09/2021</t>
  </si>
  <si>
    <t>27-SEP-2022</t>
  </si>
  <si>
    <t>SFG15T-2101391</t>
  </si>
  <si>
    <t>PDF580PALR21H1791</t>
  </si>
  <si>
    <t>PRINCE GLORY 580 PRO</t>
  </si>
  <si>
    <t>16-JUN-2021</t>
  </si>
  <si>
    <t>OLAFSD300069478</t>
  </si>
  <si>
    <t>CTRK</t>
  </si>
  <si>
    <t>DIB0031802</t>
  </si>
  <si>
    <t>28-SEP-2021</t>
  </si>
  <si>
    <t>9976AD2212420005</t>
  </si>
  <si>
    <t>6AD2</t>
  </si>
  <si>
    <t>TOYOTA CENTRAL MOTORS</t>
  </si>
  <si>
    <t>1105528</t>
  </si>
  <si>
    <t>0717785</t>
  </si>
  <si>
    <t>0717785001</t>
  </si>
  <si>
    <t>KULSOOM RAUF</t>
  </si>
  <si>
    <t>42201-6322286-6</t>
  </si>
  <si>
    <t>03212888320</t>
  </si>
  <si>
    <t>02134328787</t>
  </si>
  <si>
    <t xml:space="preserve">A- 15 KDA SCH 1 EXT PIR PAGARA HOUS E KARACHI PK </t>
  </si>
  <si>
    <t>2021/09/CLFTTPCDP01050</t>
  </si>
  <si>
    <t>1GD5058617</t>
  </si>
  <si>
    <t>GUN126R-5548153</t>
  </si>
  <si>
    <t>TOYOTA HILUX REVO V DC</t>
  </si>
  <si>
    <t>30-AUG-2021</t>
  </si>
  <si>
    <t>OLAKHI300072646</t>
  </si>
  <si>
    <t>DIB0031835</t>
  </si>
  <si>
    <t>24-SEP-2021</t>
  </si>
  <si>
    <t>9976AD2212120055</t>
  </si>
  <si>
    <t>SUZUKI ISLAMABAD MOTORS</t>
  </si>
  <si>
    <t>639476</t>
  </si>
  <si>
    <t>0534737</t>
  </si>
  <si>
    <t>0534737003</t>
  </si>
  <si>
    <t>ZEESHAN AHMED</t>
  </si>
  <si>
    <t>Rawalpindi</t>
  </si>
  <si>
    <t>37405-3410919-5</t>
  </si>
  <si>
    <t>03365251627</t>
  </si>
  <si>
    <t>0512801311</t>
  </si>
  <si>
    <t xml:space="preserve">H # BII 265 ST # 09 MUSLIM TOWN RAWALPINDI </t>
  </si>
  <si>
    <t>01-2109-PO-MTR-PCCM-D001335</t>
  </si>
  <si>
    <t>186242</t>
  </si>
  <si>
    <t>10086241</t>
  </si>
  <si>
    <t>CULTUS VXR EURO-II</t>
  </si>
  <si>
    <t>OLARWP300071598</t>
  </si>
  <si>
    <t>5472/09/2021</t>
  </si>
  <si>
    <t>9976AP2192730005</t>
  </si>
  <si>
    <t>6AP2</t>
  </si>
  <si>
    <t>SUZUKI MUZAFARABAD MOTOR</t>
  </si>
  <si>
    <t>602999</t>
  </si>
  <si>
    <t>0561735</t>
  </si>
  <si>
    <t>0561735001</t>
  </si>
  <si>
    <t>SHAHID IFTIKHAR</t>
  </si>
  <si>
    <t>61101-4610207-1</t>
  </si>
  <si>
    <t>03135257237</t>
  </si>
  <si>
    <t>0514100311</t>
  </si>
  <si>
    <t xml:space="preserve">H # 86 MAIN STREET ISLAMABAD HOMES PHASE-2 JHANGI SYEDAN NEAR MOTORWAY ISLAMABAD PK </t>
  </si>
  <si>
    <t>51132/00084/09/2019</t>
  </si>
  <si>
    <t>27-SEP-2020</t>
  </si>
  <si>
    <t>110794</t>
  </si>
  <si>
    <t>1010754</t>
  </si>
  <si>
    <t>ANZ-539</t>
  </si>
  <si>
    <t>ALTO VXL AGS EURO-II</t>
  </si>
  <si>
    <t>PODISD300049427</t>
  </si>
  <si>
    <t>1796/09/2019/ITFM</t>
  </si>
  <si>
    <t>28-SEP-2019</t>
  </si>
  <si>
    <t>9976AP1212720027</t>
  </si>
  <si>
    <t>SHAHNAWAZ PVT LTD</t>
  </si>
  <si>
    <t>1102777</t>
  </si>
  <si>
    <t>0198992</t>
  </si>
  <si>
    <t>0198992003</t>
  </si>
  <si>
    <t>MIAN HUMAYUN HASSAN</t>
  </si>
  <si>
    <t>42201-9223228-5</t>
  </si>
  <si>
    <t>03212447500</t>
  </si>
  <si>
    <t>0412612045</t>
  </si>
  <si>
    <t xml:space="preserve">K A ENTERPRISES PVT LTD OFFICE NO 206 2ND FLOOR GUL TOWER II CHUNDRIGAR ROAD KARACHI </t>
  </si>
  <si>
    <t>55601/00103/09/2021</t>
  </si>
  <si>
    <t>26-SEP-2022</t>
  </si>
  <si>
    <t>282914-80-613133</t>
  </si>
  <si>
    <t>W1K-177187-25-311776</t>
  </si>
  <si>
    <t>MERCEDES CLA 200</t>
  </si>
  <si>
    <t>OLDKHI300074131</t>
  </si>
  <si>
    <t>9976AD2212250017</t>
  </si>
  <si>
    <t>TOYOTA SOUTHERN MOTORS</t>
  </si>
  <si>
    <t>1108028</t>
  </si>
  <si>
    <t>0127265</t>
  </si>
  <si>
    <t>0127265020</t>
  </si>
  <si>
    <t>MUHAMMAD ALI SHAHZADA</t>
  </si>
  <si>
    <t>42201-5958122-7</t>
  </si>
  <si>
    <t>34523930</t>
  </si>
  <si>
    <t>03008278770</t>
  </si>
  <si>
    <t>356670609 35662609</t>
  </si>
  <si>
    <t xml:space="preserve">H# R-87 ST# 20 KHAYABAN-E-ROOMI PHASE-8 NEAR KHAYABAN-E-TARIQ KARACHI </t>
  </si>
  <si>
    <t>2524/02640/00113/09/2021</t>
  </si>
  <si>
    <t>2A36510</t>
  </si>
  <si>
    <t>7022861</t>
  </si>
  <si>
    <t>TOYOTA YARIS ATIV CVT 1.3</t>
  </si>
  <si>
    <t>13-AUG-2021</t>
  </si>
  <si>
    <t>OLAKHI300071930</t>
  </si>
  <si>
    <t>5441/09/2021</t>
  </si>
  <si>
    <t>16-SEP-2021</t>
  </si>
  <si>
    <t>9976AD1211790005</t>
  </si>
  <si>
    <t>638979</t>
  </si>
  <si>
    <t>0545421</t>
  </si>
  <si>
    <t>0545421002</t>
  </si>
  <si>
    <t>MUHAMMAD ZEESHAN HAMEED</t>
  </si>
  <si>
    <t>33303-3677318-3</t>
  </si>
  <si>
    <t>03312328682</t>
  </si>
  <si>
    <t xml:space="preserve">HOUSE NO 87 MAIN STREET, ARSLAN TOWN MULTAN, MULTAN.0331-2328682 MULTAN </t>
  </si>
  <si>
    <t>2021-09-205-V015010P0002294</t>
  </si>
  <si>
    <t>183379</t>
  </si>
  <si>
    <t>10083374</t>
  </si>
  <si>
    <t>SUZUKI CULTUS VXL</t>
  </si>
  <si>
    <t>28-JUN-2021</t>
  </si>
  <si>
    <t>OLALHR300069975</t>
  </si>
  <si>
    <t>DIB0031892</t>
  </si>
  <si>
    <t>9976AD2192120019</t>
  </si>
  <si>
    <t>KIA MOTORS CANAL ROAD</t>
  </si>
  <si>
    <t>594274</t>
  </si>
  <si>
    <t>0185121</t>
  </si>
  <si>
    <t>0185121003</t>
  </si>
  <si>
    <t>FARAN AHMED</t>
  </si>
  <si>
    <t>33100-1356810-7</t>
  </si>
  <si>
    <t>0333-6633311</t>
  </si>
  <si>
    <t>03336633311</t>
  </si>
  <si>
    <t>041-8547511</t>
  </si>
  <si>
    <t xml:space="preserve">H NO P-101 1ST FLOOR SHADMAN COLONY PEOPLES COLONY NO 1 NEAR ABU BAKAR MASJID FAISALABAD </t>
  </si>
  <si>
    <t>51132/00065/09/2019</t>
  </si>
  <si>
    <t>24-SEP-2020</t>
  </si>
  <si>
    <t>KH025588</t>
  </si>
  <si>
    <t>KP500548</t>
  </si>
  <si>
    <t>APJ-811</t>
  </si>
  <si>
    <t>KIA SPORTAGE</t>
  </si>
  <si>
    <t>31-JUL-2019</t>
  </si>
  <si>
    <t>POAFSD300048094</t>
  </si>
  <si>
    <t>9976AD1210700029</t>
  </si>
  <si>
    <t>TOYOTA AIRPORT MOTOR</t>
  </si>
  <si>
    <t>654464</t>
  </si>
  <si>
    <t>0678803</t>
  </si>
  <si>
    <t>0678803001</t>
  </si>
  <si>
    <t>SHAHID ALI</t>
  </si>
  <si>
    <t>35201-6724429-1</t>
  </si>
  <si>
    <t>03214269841</t>
  </si>
  <si>
    <t xml:space="preserve">STREET NO 18 DILSHAD STREET SHALAMA R TOWN LAHORE </t>
  </si>
  <si>
    <t>DIB/T/BT/33692/0921</t>
  </si>
  <si>
    <t>23-SEP-2022</t>
  </si>
  <si>
    <t>Q080853</t>
  </si>
  <si>
    <t>6058309</t>
  </si>
  <si>
    <t>TOYOTA COROLLA ALTIS A/T</t>
  </si>
  <si>
    <t>11-MAR-2021</t>
  </si>
  <si>
    <t>OLALHR300066679</t>
  </si>
  <si>
    <t>TDIDIB0029647</t>
  </si>
  <si>
    <t>9976AD2212500002</t>
  </si>
  <si>
    <t>HYUNDAI D GROUND MOTORS</t>
  </si>
  <si>
    <t>1103498</t>
  </si>
  <si>
    <t>0339233</t>
  </si>
  <si>
    <t>0339233005</t>
  </si>
  <si>
    <t>MUHAMMAD ATTIQUE UR REHMAN</t>
  </si>
  <si>
    <t>33100-2350567-5</t>
  </si>
  <si>
    <t>0418717495</t>
  </si>
  <si>
    <t>03217835276</t>
  </si>
  <si>
    <t>2647349</t>
  </si>
  <si>
    <t xml:space="preserve">H NO P-488 STREET NO 6 SARFRAZ COLONY FAISALABAD </t>
  </si>
  <si>
    <t>2021-09-205-V01501OP0002187</t>
  </si>
  <si>
    <t>22-SEP-2022</t>
  </si>
  <si>
    <t>G4NAMU877378</t>
  </si>
  <si>
    <t>PMHD841FMMN301545</t>
  </si>
  <si>
    <t>HYUNDAI ELANTRA</t>
  </si>
  <si>
    <t>07-SEP-2021</t>
  </si>
  <si>
    <t>27-SEP-2021</t>
  </si>
  <si>
    <t>27-Sep-2024</t>
  </si>
  <si>
    <t>OLAFSD300073136</t>
  </si>
  <si>
    <t>DIB0031766</t>
  </si>
  <si>
    <t>23-SEP-2021</t>
  </si>
  <si>
    <t>9976AD1211730019</t>
  </si>
  <si>
    <t>1097822</t>
  </si>
  <si>
    <t>0701206</t>
  </si>
  <si>
    <t>0701206001</t>
  </si>
  <si>
    <t>NAJMA BEGUM</t>
  </si>
  <si>
    <t>33100-0660926-0</t>
  </si>
  <si>
    <t>03007623818</t>
  </si>
  <si>
    <t>03007623818, 03007623818</t>
  </si>
  <si>
    <t xml:space="preserve">P- 528 ST NO 10 NAIMAT COLONY 1 FAISALABAD PK </t>
  </si>
  <si>
    <t>2021/09/CLFTTPCDP01011</t>
  </si>
  <si>
    <t>184610</t>
  </si>
  <si>
    <t>10084587</t>
  </si>
  <si>
    <t>SUZUKI CULTUS VXR EURO II</t>
  </si>
  <si>
    <t>22-JUN-2021</t>
  </si>
  <si>
    <t>OLAFSD300069682</t>
  </si>
  <si>
    <t>DIB0031656</t>
  </si>
  <si>
    <t>9976AP1232690003</t>
  </si>
  <si>
    <t>MASTER MOTORS</t>
  </si>
  <si>
    <t>23208170408861</t>
  </si>
  <si>
    <t>0618569</t>
  </si>
  <si>
    <t>0618569005</t>
  </si>
  <si>
    <t>MOHAMMAD QASIM FAROOQI</t>
  </si>
  <si>
    <t>61101-9156805-3</t>
  </si>
  <si>
    <t>03354552446</t>
  </si>
  <si>
    <t>00971502319295</t>
  </si>
  <si>
    <t xml:space="preserve">VILLA 57 STREET 6C AL SATWA DUBAI UNITED ARAB EMIRATES </t>
  </si>
  <si>
    <t>74853/00026/09/2023</t>
  </si>
  <si>
    <t>21-SEP-2024</t>
  </si>
  <si>
    <t>1016642</t>
  </si>
  <si>
    <t>116646</t>
  </si>
  <si>
    <t>RDA</t>
  </si>
  <si>
    <t>SUZUKI SWIFT GLX</t>
  </si>
  <si>
    <t>2023</t>
  </si>
  <si>
    <t>27-SEP-2023</t>
  </si>
  <si>
    <t>OLDLHR300097243</t>
  </si>
  <si>
    <t>DIB0035322</t>
  </si>
  <si>
    <t>25-SEP-2023</t>
  </si>
  <si>
    <t>1.4%</t>
  </si>
  <si>
    <t>9976AD1211380004</t>
  </si>
  <si>
    <t>KIA MOTORS MARSHALS</t>
  </si>
  <si>
    <t>526643</t>
  </si>
  <si>
    <t>0688678</t>
  </si>
  <si>
    <t>0688678001</t>
  </si>
  <si>
    <t>FIDA MUHAMMAD</t>
  </si>
  <si>
    <t>17301-1523055-9</t>
  </si>
  <si>
    <t>0512728354</t>
  </si>
  <si>
    <t>03429090337</t>
  </si>
  <si>
    <t xml:space="preserve">UNDP (IFAD) LEVEL II SERENA BUSINES S COMPLEX SECTOR G-5 ISLAMABAD </t>
  </si>
  <si>
    <t>2021/09/CLFTTPCDPO1029</t>
  </si>
  <si>
    <t>21-SEP-2022</t>
  </si>
  <si>
    <t>314372</t>
  </si>
  <si>
    <t>512829</t>
  </si>
  <si>
    <t>SPORTAGE AWD</t>
  </si>
  <si>
    <t>18-MAY-2021</t>
  </si>
  <si>
    <t>OLAISD300068749</t>
  </si>
  <si>
    <t>9976AD1212560018</t>
  </si>
  <si>
    <t>1100503</t>
  </si>
  <si>
    <t>0547484</t>
  </si>
  <si>
    <t>0547484003</t>
  </si>
  <si>
    <t>NUMAN AFZAL</t>
  </si>
  <si>
    <t>33102-1783712-5</t>
  </si>
  <si>
    <t>03018661999</t>
  </si>
  <si>
    <t>03018661999, 03018661999</t>
  </si>
  <si>
    <t>0418724999</t>
  </si>
  <si>
    <t xml:space="preserve">P-136-B LIAQUAT TOWN JHANG ROAD FS D FAISALABAD PK </t>
  </si>
  <si>
    <t>2021-09-205-V01501OP0002195</t>
  </si>
  <si>
    <t>G4NAM877342</t>
  </si>
  <si>
    <t>PMHD841FMMN301680</t>
  </si>
  <si>
    <t>13-SEP-2021</t>
  </si>
  <si>
    <t>OLAFSD300073444</t>
  </si>
  <si>
    <t>DIB0031790</t>
  </si>
  <si>
    <t>22-SEP-2021</t>
  </si>
  <si>
    <t>9976AD2212090010</t>
  </si>
  <si>
    <t>SUZUKI RACECOURSE MOTORS</t>
  </si>
  <si>
    <t>635669</t>
  </si>
  <si>
    <t>0704288</t>
  </si>
  <si>
    <t>0704288001</t>
  </si>
  <si>
    <t>AAMER SHAHZAD</t>
  </si>
  <si>
    <t>13302-4178537-5</t>
  </si>
  <si>
    <t>03146262797</t>
  </si>
  <si>
    <t>0512724178</t>
  </si>
  <si>
    <t xml:space="preserve">FLAT # 6 4TH FLOOR PLAZA # 14 CIVI C CENTRE BAHRIA TOWN PHASE 4 RAWALPINDI PK </t>
  </si>
  <si>
    <t>PL-0921-1101010102-V14-D-00435</t>
  </si>
  <si>
    <t>185155</t>
  </si>
  <si>
    <t>10085145</t>
  </si>
  <si>
    <t>CULTUS VXL EURO-II</t>
  </si>
  <si>
    <t>28-JUL-2021</t>
  </si>
  <si>
    <t>OLARWP300071014</t>
  </si>
  <si>
    <t>DIB0031789</t>
  </si>
  <si>
    <t>9976AP1172690005</t>
  </si>
  <si>
    <t>403169</t>
  </si>
  <si>
    <t>0421008</t>
  </si>
  <si>
    <t>0421008002</t>
  </si>
  <si>
    <t>SAJJAD HAIDER</t>
  </si>
  <si>
    <t>42201-0702394-3</t>
  </si>
  <si>
    <t>03002115346</t>
  </si>
  <si>
    <t xml:space="preserve">FLAT NO E01, GROUND FLOOR SAIMA HEAVEN , GULSHAN E IQBAL BLOCK 4 KARACHI PK </t>
  </si>
  <si>
    <t>DIB/T/17887/KHI/0917</t>
  </si>
  <si>
    <t>21-SEP-2018</t>
  </si>
  <si>
    <t>13019609</t>
  </si>
  <si>
    <t>10019608</t>
  </si>
  <si>
    <t>AZR-987</t>
  </si>
  <si>
    <t>SWIFT DLX ABS WITH EBD</t>
  </si>
  <si>
    <t>2013</t>
  </si>
  <si>
    <t>26-SEP-2017</t>
  </si>
  <si>
    <t>27-SEP-2017</t>
  </si>
  <si>
    <t>POUKHI300025782</t>
  </si>
  <si>
    <t>FLCN</t>
  </si>
  <si>
    <t>13250/09/2017</t>
  </si>
  <si>
    <t>23-SEP-2017</t>
  </si>
  <si>
    <t>3.2%</t>
  </si>
  <si>
    <t>9976AP1222640006</t>
  </si>
  <si>
    <t>FAROOQ MOTORS</t>
  </si>
  <si>
    <t>1150447</t>
  </si>
  <si>
    <t>0295543</t>
  </si>
  <si>
    <t>0295543003</t>
  </si>
  <si>
    <t>MUZAMAL ALI</t>
  </si>
  <si>
    <t>35202-1486167-9</t>
  </si>
  <si>
    <t>03204496693</t>
  </si>
  <si>
    <t>04235774125</t>
  </si>
  <si>
    <t xml:space="preserve">H NO.190/D-2 GULSHAN E RAVI NEAR LAHORE PUBLIC SCHOOL LAHORE </t>
  </si>
  <si>
    <t>63286/00047/09/2022</t>
  </si>
  <si>
    <t>20-SEP-2023</t>
  </si>
  <si>
    <t>6R210377</t>
  </si>
  <si>
    <t>1110453</t>
  </si>
  <si>
    <t>AJA-183</t>
  </si>
  <si>
    <t>SUZUKI ALTO VXL AGS EURO-II</t>
  </si>
  <si>
    <t>2022</t>
  </si>
  <si>
    <t>21-Sep-2024</t>
  </si>
  <si>
    <t>OLULHR300089914</t>
  </si>
  <si>
    <t>8712/09/2022/ITFM</t>
  </si>
  <si>
    <t>9976AP2192660005</t>
  </si>
  <si>
    <t>591073</t>
  </si>
  <si>
    <t>0560406</t>
  </si>
  <si>
    <t>0560406001</t>
  </si>
  <si>
    <t>KHURAM ZIA</t>
  </si>
  <si>
    <t>33100-6507523-5</t>
  </si>
  <si>
    <t>03216611003</t>
  </si>
  <si>
    <t>03216611003, 03216611003</t>
  </si>
  <si>
    <t>0419200183</t>
  </si>
  <si>
    <t xml:space="preserve">P-70 ST NO 01 EAST CANAL ROAD RAZA TOWN FSD FAISALABAD PK </t>
  </si>
  <si>
    <t>51132/00045/09/2019</t>
  </si>
  <si>
    <t>20-SEP-2020</t>
  </si>
  <si>
    <t>1NZ-7995674</t>
  </si>
  <si>
    <t>NHP10-2558682</t>
  </si>
  <si>
    <t>RCN</t>
  </si>
  <si>
    <t>APG-630</t>
  </si>
  <si>
    <t>AQUA</t>
  </si>
  <si>
    <t>2016</t>
  </si>
  <si>
    <t>23-SEP-2019</t>
  </si>
  <si>
    <t>21-SEP-2019</t>
  </si>
  <si>
    <t>POUFSD300049274</t>
  </si>
  <si>
    <t>DIB0027845</t>
  </si>
  <si>
    <t>9976AP1222650011</t>
  </si>
  <si>
    <t>1197710</t>
  </si>
  <si>
    <t>0801675</t>
  </si>
  <si>
    <t>0801675001</t>
  </si>
  <si>
    <t>ASIM MIRZA</t>
  </si>
  <si>
    <t>42301-0262971-9</t>
  </si>
  <si>
    <t>03133803682</t>
  </si>
  <si>
    <t xml:space="preserve">402 FLAT 04 FLOOR CITY VIEW APPARTM ENT SADDAR KHI NEAR NMI HOSPITAL KARACHI PK </t>
  </si>
  <si>
    <t>63286/00045/09/2022</t>
  </si>
  <si>
    <t>19-SEP-2023</t>
  </si>
  <si>
    <t>312210</t>
  </si>
  <si>
    <t>302280</t>
  </si>
  <si>
    <t>BH-6588</t>
  </si>
  <si>
    <t>OLUKHI300089980</t>
  </si>
  <si>
    <t>8720/09/2022/ITFM</t>
  </si>
  <si>
    <t>9976AD1210460011</t>
  </si>
  <si>
    <t>JW SEZ (PVT) LTD</t>
  </si>
  <si>
    <t>627518</t>
  </si>
  <si>
    <t>0671787</t>
  </si>
  <si>
    <t>0671787001</t>
  </si>
  <si>
    <t>IMRAN SAJID</t>
  </si>
  <si>
    <t>Gujranwala</t>
  </si>
  <si>
    <t>34101-6864800-1</t>
  </si>
  <si>
    <t>03228624200</t>
  </si>
  <si>
    <t xml:space="preserve">NEAR 132 KV GRID STATION CHANWALI G T ROAD GUJRANWALA </t>
  </si>
  <si>
    <t>17578/00039/09/2021</t>
  </si>
  <si>
    <t>19-SEP-2022</t>
  </si>
  <si>
    <t>5MGM5180052</t>
  </si>
  <si>
    <t>MN093965</t>
  </si>
  <si>
    <t>MG HS TURBO</t>
  </si>
  <si>
    <t>15-FEB-2021</t>
  </si>
  <si>
    <t>OLAGWL300065808</t>
  </si>
  <si>
    <t>TDIDIB0029545</t>
  </si>
  <si>
    <t>28-AUG-2021</t>
  </si>
  <si>
    <t>9976AD1210760016</t>
  </si>
  <si>
    <t>627595</t>
  </si>
  <si>
    <t>0680554</t>
  </si>
  <si>
    <t>0680554001</t>
  </si>
  <si>
    <t>REHMAN UL HAQ</t>
  </si>
  <si>
    <t>Gujrat</t>
  </si>
  <si>
    <t>34201-1842388-7</t>
  </si>
  <si>
    <t>03040554133</t>
  </si>
  <si>
    <t xml:space="preserve">OPP. ANMOL MARRIAGE HALL GT ROAD GUJRAT </t>
  </si>
  <si>
    <t>DIB/T/BT/33669/FSD/0921</t>
  </si>
  <si>
    <t>MSM3080220</t>
  </si>
  <si>
    <t>LSJA24U93MN060005</t>
  </si>
  <si>
    <t>17-MAR-2021</t>
  </si>
  <si>
    <t>21-SEP-2021</t>
  </si>
  <si>
    <t>OLAGJR300066793</t>
  </si>
  <si>
    <t>TDIDIB0029567</t>
  </si>
  <si>
    <t>26-AUG-2021</t>
  </si>
  <si>
    <t>9976AP2192660006</t>
  </si>
  <si>
    <t>CAR CAPITAL</t>
  </si>
  <si>
    <t>532106</t>
  </si>
  <si>
    <t>0559435</t>
  </si>
  <si>
    <t>0559435001</t>
  </si>
  <si>
    <t>NAZISH FATIMA</t>
  </si>
  <si>
    <t>42101-2290780-6</t>
  </si>
  <si>
    <t>03332301275</t>
  </si>
  <si>
    <t>037130068</t>
  </si>
  <si>
    <t xml:space="preserve">H.NO 148 BANGLOW TOWN TIPU SULTAN R OAD KCHS NEAR MACCA MASJID KARACHI PK </t>
  </si>
  <si>
    <t>51132/00037/09/2019</t>
  </si>
  <si>
    <t>18-SEP-2020</t>
  </si>
  <si>
    <t>7423533</t>
  </si>
  <si>
    <t>160728</t>
  </si>
  <si>
    <t>BCX-524</t>
  </si>
  <si>
    <t>HONDA CITY M/T</t>
  </si>
  <si>
    <t>2015</t>
  </si>
  <si>
    <t>POUKHI300049222</t>
  </si>
  <si>
    <t>1765/09/2019/ITFM</t>
  </si>
  <si>
    <t>20-SEP-2019</t>
  </si>
  <si>
    <t>9976AP1192660011</t>
  </si>
  <si>
    <t>MINI MOTORS</t>
  </si>
  <si>
    <t>589261</t>
  </si>
  <si>
    <t>0560108</t>
  </si>
  <si>
    <t>0560108001</t>
  </si>
  <si>
    <t>MUHAMMAD ADREES</t>
  </si>
  <si>
    <t>35202-8119531-3</t>
  </si>
  <si>
    <t>03127241094</t>
  </si>
  <si>
    <t>03024719541, 03127241094</t>
  </si>
  <si>
    <t xml:space="preserve">47 MIAN BAZAR GAWALMANDI LAHORE </t>
  </si>
  <si>
    <t>51132/00038/09/2019</t>
  </si>
  <si>
    <t>200197</t>
  </si>
  <si>
    <t>10100189</t>
  </si>
  <si>
    <t>LE-19A-4552</t>
  </si>
  <si>
    <t>SUZUKI WAGONR VXL</t>
  </si>
  <si>
    <t>PODLHR300049226</t>
  </si>
  <si>
    <t>DIB0027837</t>
  </si>
  <si>
    <t>19-SEP-2019</t>
  </si>
  <si>
    <t>9976AD2171180004</t>
  </si>
  <si>
    <t>326088</t>
  </si>
  <si>
    <t>0405406</t>
  </si>
  <si>
    <t>0405406001</t>
  </si>
  <si>
    <t>ATIF IQBAL</t>
  </si>
  <si>
    <t>42201-0495130-1</t>
  </si>
  <si>
    <t>N/A</t>
  </si>
  <si>
    <t>03405558394</t>
  </si>
  <si>
    <t>04685383</t>
  </si>
  <si>
    <t xml:space="preserve">H#A39 1ST FLOOR GULSHAN E FATIMA KEHKASHAN SOCIETY MALIR HALT NEAR BISMILLAH BAKERY AFZAL HOTEL KARACHI </t>
  </si>
  <si>
    <t>DIB/T/17847/KHI/0917</t>
  </si>
  <si>
    <t>18-SEP-2018</t>
  </si>
  <si>
    <t>139186</t>
  </si>
  <si>
    <t>10039177</t>
  </si>
  <si>
    <t>BKJ-413</t>
  </si>
  <si>
    <t>WAGONR VXR</t>
  </si>
  <si>
    <t>2017</t>
  </si>
  <si>
    <t>28-APR-2017</t>
  </si>
  <si>
    <t>POAKHI300021482</t>
  </si>
  <si>
    <t>TDIDIB0021047</t>
  </si>
  <si>
    <t>11-SEP-2017</t>
  </si>
  <si>
    <t>3.1%</t>
  </si>
  <si>
    <t>9976AP1212700025</t>
  </si>
  <si>
    <t>1104880</t>
  </si>
  <si>
    <t>0719635</t>
  </si>
  <si>
    <t>0719635001</t>
  </si>
  <si>
    <t>ADNAN SHAHZAD</t>
  </si>
  <si>
    <t>35202-8493779-1</t>
  </si>
  <si>
    <t>03334286567</t>
  </si>
  <si>
    <t xml:space="preserve">KABIR STREET NO 2 URDU BAZAR LAHORE </t>
  </si>
  <si>
    <t>55601/00062/09/2021</t>
  </si>
  <si>
    <t>16-SEP-2022</t>
  </si>
  <si>
    <t>2A30426</t>
  </si>
  <si>
    <t>NSP151R-9511635</t>
  </si>
  <si>
    <t>YARIS ATIV X CVT 1.5</t>
  </si>
  <si>
    <t>OLDLHR300073646</t>
  </si>
  <si>
    <t>DIB0031741</t>
  </si>
  <si>
    <t>20-SEP-2021</t>
  </si>
  <si>
    <t>9976AD1211970005</t>
  </si>
  <si>
    <t>1098924</t>
  </si>
  <si>
    <t>0431603</t>
  </si>
  <si>
    <t>0431603003</t>
  </si>
  <si>
    <t>MUHAMMAD IRFAN</t>
  </si>
  <si>
    <t>33100-6988210-3</t>
  </si>
  <si>
    <t>03217843232</t>
  </si>
  <si>
    <t xml:space="preserve">P-28 BLOCK X ST NO 12 MADINA TOWN M USTFAI MASJID FAISALABAD PK </t>
  </si>
  <si>
    <t>DIB/T/BT/33652/LHR/0921</t>
  </si>
  <si>
    <t>15-SEP-2022</t>
  </si>
  <si>
    <t>185102</t>
  </si>
  <si>
    <t>10085105</t>
  </si>
  <si>
    <t>SUZUKI CULTUS VXL EURO-II</t>
  </si>
  <si>
    <t>16-JUL-2021</t>
  </si>
  <si>
    <t>OLAFSD300070802</t>
  </si>
  <si>
    <t>DIB0031709</t>
  </si>
  <si>
    <t>9976AD1211790003</t>
  </si>
  <si>
    <t>575336</t>
  </si>
  <si>
    <t>0703739</t>
  </si>
  <si>
    <t>0703739001</t>
  </si>
  <si>
    <t>KHURRAM</t>
  </si>
  <si>
    <t>42301-0987315-5</t>
  </si>
  <si>
    <t>03222383101</t>
  </si>
  <si>
    <t xml:space="preserve">MADINA HEIGHTS DHELI COLONY FLAT # 104 GALI # zero line clifotn near a KARACHI PK </t>
  </si>
  <si>
    <t>2524/02640/00062/09/2021</t>
  </si>
  <si>
    <t>G4NAMH313747</t>
  </si>
  <si>
    <t>NNAQL51AZKP513013</t>
  </si>
  <si>
    <t>KIA SPORTGE</t>
  </si>
  <si>
    <t>OLAKHI300070009</t>
  </si>
  <si>
    <t>9976AP1212650005</t>
  </si>
  <si>
    <t>MUAZ MOTORS</t>
  </si>
  <si>
    <t>1107932</t>
  </si>
  <si>
    <t>0720281</t>
  </si>
  <si>
    <t>0720281001</t>
  </si>
  <si>
    <t>SHABNAM NIAZ</t>
  </si>
  <si>
    <t>35202-2583875-4</t>
  </si>
  <si>
    <t>03344113234</t>
  </si>
  <si>
    <t xml:space="preserve">LAHORE COLLEGE FOR WOMEN UNIVERSITY JAIL ROAD LAHORE </t>
  </si>
  <si>
    <t>55601/00056/09/2021</t>
  </si>
  <si>
    <t>R06A-1857217</t>
  </si>
  <si>
    <t>DA17V-808397</t>
  </si>
  <si>
    <t>SUZUKI EVERY</t>
  </si>
  <si>
    <t>OLULHR300073634</t>
  </si>
  <si>
    <t>DIB0031725</t>
  </si>
  <si>
    <t>17-SEP-2021</t>
  </si>
  <si>
    <t>9976AD1211120026</t>
  </si>
  <si>
    <t>643102</t>
  </si>
  <si>
    <t>0622692</t>
  </si>
  <si>
    <t>0622692003</t>
  </si>
  <si>
    <t>MUHAMMAD SHAKIR</t>
  </si>
  <si>
    <t>33100-0897584-5</t>
  </si>
  <si>
    <t>03007654806</t>
  </si>
  <si>
    <t>03007654806, 03007654806</t>
  </si>
  <si>
    <t>2652220</t>
  </si>
  <si>
    <t xml:space="preserve">H NO266 ST NO 14 AYUB COLONY JHANG ROAD FSD NEAR FAISAL BAKERY Faisalabad PK </t>
  </si>
  <si>
    <t>55601/00029/09/2021</t>
  </si>
  <si>
    <t>M04603857W</t>
  </si>
  <si>
    <t>RAILPPM21G02736</t>
  </si>
  <si>
    <t>PRINCE PEARL</t>
  </si>
  <si>
    <t>22-APR-2021</t>
  </si>
  <si>
    <t>OLAFSD300068015</t>
  </si>
  <si>
    <t>DIB0031637</t>
  </si>
  <si>
    <t>9976AD1211960006</t>
  </si>
  <si>
    <t>1098985</t>
  </si>
  <si>
    <t>0472807</t>
  </si>
  <si>
    <t>0472807004</t>
  </si>
  <si>
    <t>MUHAMMAD TARIQ</t>
  </si>
  <si>
    <t>90403-0108361-7</t>
  </si>
  <si>
    <t>03007204256</t>
  </si>
  <si>
    <t>03007204256, 03007204256, 03411076986</t>
  </si>
  <si>
    <t xml:space="preserve">975-C QASIM PARK PEOPLES COLONY NO2 FAISALABAD </t>
  </si>
  <si>
    <t>2021/09/CLFTTPCDP01002</t>
  </si>
  <si>
    <t>14-SEP-2022</t>
  </si>
  <si>
    <t>183231</t>
  </si>
  <si>
    <t>10083200</t>
  </si>
  <si>
    <t>CULTUS VXL EURO II</t>
  </si>
  <si>
    <t>15-JUL-2021</t>
  </si>
  <si>
    <t>OLAFSD300070688</t>
  </si>
  <si>
    <t>DIB0031629</t>
  </si>
  <si>
    <t>15-SEP-2021</t>
  </si>
  <si>
    <t>9976AD2212430057</t>
  </si>
  <si>
    <t>6277755</t>
  </si>
  <si>
    <t>0718426</t>
  </si>
  <si>
    <t>0718426001</t>
  </si>
  <si>
    <t>BILAL IQBAL</t>
  </si>
  <si>
    <t>Bahawalpur</t>
  </si>
  <si>
    <t>31202-4467991-1</t>
  </si>
  <si>
    <t>03123456735</t>
  </si>
  <si>
    <t xml:space="preserve">H NO 269 BHATTA NO 01 GULBERG ROAD BAHAWALPUR PK </t>
  </si>
  <si>
    <t>2021-09-CLFTTPCDP01013</t>
  </si>
  <si>
    <t>13-SEP-2022</t>
  </si>
  <si>
    <t>6R183003</t>
  </si>
  <si>
    <t>H1082988</t>
  </si>
  <si>
    <t>SUZUKI ALTO VXR EURO II</t>
  </si>
  <si>
    <t>31-AUG-2021</t>
  </si>
  <si>
    <t>OLABHP300072888</t>
  </si>
  <si>
    <t>5430/09/2021</t>
  </si>
  <si>
    <t>14-SEP-2021</t>
  </si>
  <si>
    <t>9976AD1210780035</t>
  </si>
  <si>
    <t>631027</t>
  </si>
  <si>
    <t>0680473</t>
  </si>
  <si>
    <t>0680473001</t>
  </si>
  <si>
    <t>HAFIZ NISAR AHMED</t>
  </si>
  <si>
    <t>33100-8282363-1</t>
  </si>
  <si>
    <t>0418816509</t>
  </si>
  <si>
    <t>03009666170, 03009666170</t>
  </si>
  <si>
    <t>03009666170</t>
  </si>
  <si>
    <t xml:space="preserve">H NO 109 IRFA KAREEM BLOCK SARGODHA ROAD NEAR SUNDAR HOUSE JINNAH ROAD FAISALABAD PK </t>
  </si>
  <si>
    <t>DIB/T/BT/33630/LHR/0921</t>
  </si>
  <si>
    <t>Q079792</t>
  </si>
  <si>
    <t>6057282</t>
  </si>
  <si>
    <t>19-MAR-2021</t>
  </si>
  <si>
    <t>OLAFSD300066838</t>
  </si>
  <si>
    <t>DIB0031632</t>
  </si>
  <si>
    <t>9976AD2211610008</t>
  </si>
  <si>
    <t>598772</t>
  </si>
  <si>
    <t>0621930</t>
  </si>
  <si>
    <t>0621930002</t>
  </si>
  <si>
    <t>SHAHZORE KHAN</t>
  </si>
  <si>
    <t>42101-6641304-7</t>
  </si>
  <si>
    <t>03452993949</t>
  </si>
  <si>
    <t xml:space="preserve">HOUSE NO-IV G,1/39, NAZIMABAD NO-4,KARACHI. NEAR MASJID KHARUL AMAL. KARACHI. 03452993949 </t>
  </si>
  <si>
    <t>2021-09-205-V01501DP0002156</t>
  </si>
  <si>
    <t>6R181007</t>
  </si>
  <si>
    <t>NF1AET306H1081032</t>
  </si>
  <si>
    <t>ALTO VXR EURO II</t>
  </si>
  <si>
    <t>10-JUN-2021</t>
  </si>
  <si>
    <t>OLAKHI300069409</t>
  </si>
  <si>
    <t>5414/09/2021</t>
  </si>
  <si>
    <t>9976AP2192600001</t>
  </si>
  <si>
    <t>591921</t>
  </si>
  <si>
    <t>0155920</t>
  </si>
  <si>
    <t>0155920003</t>
  </si>
  <si>
    <t>SAEED AHMED AGHA</t>
  </si>
  <si>
    <t>42301-0704901-1</t>
  </si>
  <si>
    <t>0331-3934095</t>
  </si>
  <si>
    <t>03313934095</t>
  </si>
  <si>
    <t>99243329 EXT 318</t>
  </si>
  <si>
    <t xml:space="preserve">FLAT NO 6 3RD FLOOR PLOT NO 42/D 24TH COMMERCIAL STREET PHASE II EXT DHA OPP MASTER JUICE KARACHI </t>
  </si>
  <si>
    <t>51132/00028/09/2019</t>
  </si>
  <si>
    <t>13-SEP-2020</t>
  </si>
  <si>
    <t>Y682613</t>
  </si>
  <si>
    <t>2157599</t>
  </si>
  <si>
    <t>AYW-909</t>
  </si>
  <si>
    <t>17-SEP-2019</t>
  </si>
  <si>
    <t>POUKHI300049113</t>
  </si>
  <si>
    <t>1746/09/2019/ITFM</t>
  </si>
  <si>
    <t>14-SEP-2019</t>
  </si>
  <si>
    <t>9976AP1222570006</t>
  </si>
  <si>
    <t>NASEER AUTOS</t>
  </si>
  <si>
    <t>1196906</t>
  </si>
  <si>
    <t>0282018</t>
  </si>
  <si>
    <t>0282018007</t>
  </si>
  <si>
    <t>HAFIZ SYED RASHID MUSTAFA</t>
  </si>
  <si>
    <t>42201-5974988-9</t>
  </si>
  <si>
    <t>03426000004</t>
  </si>
  <si>
    <t xml:space="preserve">18 BLOCK # 07 GULISTAN E JOHAR NEAR AYESHA MARKEET KARACHI </t>
  </si>
  <si>
    <t>63286/00031/09/2022</t>
  </si>
  <si>
    <t>12-SEP-2023</t>
  </si>
  <si>
    <t>239575</t>
  </si>
  <si>
    <t>10139593</t>
  </si>
  <si>
    <t>OLDKHI300089794</t>
  </si>
  <si>
    <t>8650/09/2022/ITFM</t>
  </si>
  <si>
    <t>9976AD1212120120</t>
  </si>
  <si>
    <t>1107145</t>
  </si>
  <si>
    <t>0070983</t>
  </si>
  <si>
    <t>0070983007</t>
  </si>
  <si>
    <t>MUHAMMAD KHURRAM</t>
  </si>
  <si>
    <t>42000-6191713-3</t>
  </si>
  <si>
    <t>03008219958</t>
  </si>
  <si>
    <t>02132270661</t>
  </si>
  <si>
    <t xml:space="preserve">FLAT NO FB 302 NEAR MOTI MASJID AL HABIB APPARTMENT BLOCK 8 KEHKASHAN CLIFTON </t>
  </si>
  <si>
    <t>DIB/T/BT/33638/KHI/0921</t>
  </si>
  <si>
    <t>12-SEP-2022</t>
  </si>
  <si>
    <t>G4NAMH318581</t>
  </si>
  <si>
    <t>NNAQL51AZKP513411</t>
  </si>
  <si>
    <t>OLAKHI300071555</t>
  </si>
  <si>
    <t>9976AD1212380011</t>
  </si>
  <si>
    <t>HONDA UNITED</t>
  </si>
  <si>
    <t>1095465</t>
  </si>
  <si>
    <t>0703374</t>
  </si>
  <si>
    <t>0703374001</t>
  </si>
  <si>
    <t>ASYM MIRZA</t>
  </si>
  <si>
    <t>42301-3412952-9</t>
  </si>
  <si>
    <t>03333211480</t>
  </si>
  <si>
    <t xml:space="preserve">HOUSE # 262-U BLOCK-6 MOHALLA PECHS NEAR MADINA MASJID KARACHI PK </t>
  </si>
  <si>
    <t>2524/02640/00039/09/2021</t>
  </si>
  <si>
    <t>16925655</t>
  </si>
  <si>
    <t>078182</t>
  </si>
  <si>
    <t>HONDA CIVIC VTI ORIEL</t>
  </si>
  <si>
    <t>OLAKHI300072456</t>
  </si>
  <si>
    <t>DIB0031592</t>
  </si>
  <si>
    <t>10-SEP-2021</t>
  </si>
  <si>
    <t>9976AD1210280014</t>
  </si>
  <si>
    <t>PRINCE SAJJAD MOTORS</t>
  </si>
  <si>
    <t>532628</t>
  </si>
  <si>
    <t>0668346</t>
  </si>
  <si>
    <t>0668346001</t>
  </si>
  <si>
    <t>REHMAN ALI</t>
  </si>
  <si>
    <t>14301-6180231-9</t>
  </si>
  <si>
    <t>03330674999</t>
  </si>
  <si>
    <t>03339637221</t>
  </si>
  <si>
    <t>0515152086</t>
  </si>
  <si>
    <t xml:space="preserve">H # 240 ST # 57 SECTOR 2 GULSHANABA D ADYALA ROAD RAWALPINDI PK </t>
  </si>
  <si>
    <t>2524/02640/00041/09/2021</t>
  </si>
  <si>
    <t>21013206</t>
  </si>
  <si>
    <t>PDF580SALR21H1763</t>
  </si>
  <si>
    <t>PRINCE GLORY 580 SUV</t>
  </si>
  <si>
    <t>28-JAN-2021</t>
  </si>
  <si>
    <t>OLARWP300065381</t>
  </si>
  <si>
    <t>5428/09/2021</t>
  </si>
  <si>
    <t>9976AD1211400014</t>
  </si>
  <si>
    <t>KIA MOTORS CROSSROAD</t>
  </si>
  <si>
    <t>633565</t>
  </si>
  <si>
    <t>0690766</t>
  </si>
  <si>
    <t>0690766001</t>
  </si>
  <si>
    <t>RIAZ ALI MOMIN</t>
  </si>
  <si>
    <t>Hyderabad</t>
  </si>
  <si>
    <t>42101-1632581-3</t>
  </si>
  <si>
    <t>03003799086</t>
  </si>
  <si>
    <t xml:space="preserve">HOUSE # A-3 AMINABAD PHASE 2 KALI M ORI HYDERABAD PK </t>
  </si>
  <si>
    <t>UWT/D/T002/0000001065/0921/109-0</t>
  </si>
  <si>
    <t>10-SEP-2022</t>
  </si>
  <si>
    <t>315403</t>
  </si>
  <si>
    <t>512839</t>
  </si>
  <si>
    <t>20-MAY-2021</t>
  </si>
  <si>
    <t>OLAHYD300068724</t>
  </si>
  <si>
    <t>997APD1202670040</t>
  </si>
  <si>
    <t>APD1</t>
  </si>
  <si>
    <t>KIA MOTORS CHINAR</t>
  </si>
  <si>
    <t>579378</t>
  </si>
  <si>
    <t>0632776</t>
  </si>
  <si>
    <t>0632776001</t>
  </si>
  <si>
    <t>MUHAMMAD AZEEM RASHEED</t>
  </si>
  <si>
    <t>34101-2452419-1</t>
  </si>
  <si>
    <t>03216443940</t>
  </si>
  <si>
    <t xml:space="preserve">KAGNI WALA BY PASS GT ROAD, GUJRANWALA </t>
  </si>
  <si>
    <t>52740/00029/09/2020</t>
  </si>
  <si>
    <t>G4NALH314347</t>
  </si>
  <si>
    <t>NNAQL51AZKP303239</t>
  </si>
  <si>
    <t>23-SEP-2020</t>
  </si>
  <si>
    <t>PODGWL300057255</t>
  </si>
  <si>
    <t>9976AD1211590011</t>
  </si>
  <si>
    <t>633387</t>
  </si>
  <si>
    <t>0224748</t>
  </si>
  <si>
    <t>0224748002</t>
  </si>
  <si>
    <t>SYED AAMIR ALI</t>
  </si>
  <si>
    <t>SHEIKUPURA</t>
  </si>
  <si>
    <t>35404-1577442-3</t>
  </si>
  <si>
    <t>0563781001</t>
  </si>
  <si>
    <t>03338805999 03243781001</t>
  </si>
  <si>
    <t xml:space="preserve">HOUSE NO 1 RASOOL NAGAR SHAH COLONY ROAD SHEIKHUPURA </t>
  </si>
  <si>
    <t>UWT/D/T002/0000001064/0921/109-0</t>
  </si>
  <si>
    <t>183998</t>
  </si>
  <si>
    <t>10084008</t>
  </si>
  <si>
    <t>SUZUKI CULTUS VXR</t>
  </si>
  <si>
    <t>08-JUN-2021</t>
  </si>
  <si>
    <t>OLASHK300069351</t>
  </si>
  <si>
    <t>DIB0031642</t>
  </si>
  <si>
    <t>9976AD1192120012</t>
  </si>
  <si>
    <t>576917</t>
  </si>
  <si>
    <t>0552380</t>
  </si>
  <si>
    <t>0552380001</t>
  </si>
  <si>
    <t>AROOJ ANTHONEY</t>
  </si>
  <si>
    <t>35202-7783205-8</t>
  </si>
  <si>
    <t>03227601867</t>
  </si>
  <si>
    <t>0519107724</t>
  </si>
  <si>
    <t xml:space="preserve">APARTMENT # F4 ISRA APARTMENTS NUST UNIVERSITY H - 12 ISLAMABAD PK </t>
  </si>
  <si>
    <t>51132/00019/09/2019</t>
  </si>
  <si>
    <t>10-SEP-2020</t>
  </si>
  <si>
    <t>111925</t>
  </si>
  <si>
    <t>1011915</t>
  </si>
  <si>
    <t>APE-851</t>
  </si>
  <si>
    <t>SUZUKI ALTO VXR AGS EURO II</t>
  </si>
  <si>
    <t>POAISD300048036</t>
  </si>
  <si>
    <t>1737/09/2019/ITFM</t>
  </si>
  <si>
    <t>11-SEP-2019</t>
  </si>
  <si>
    <t>9976AP1212580028</t>
  </si>
  <si>
    <t>S F MOTORS</t>
  </si>
  <si>
    <t>1104379</t>
  </si>
  <si>
    <t>0720081</t>
  </si>
  <si>
    <t>0720081001</t>
  </si>
  <si>
    <t>ZAHID WAQAR</t>
  </si>
  <si>
    <t>35201-1387483-7</t>
  </si>
  <si>
    <t>03234646167</t>
  </si>
  <si>
    <t xml:space="preserve">MAIN GHAZI ROAD DEFENCE ROAD MILLAT CHOWK ASLAM STREET PURANI WAPDA TO WER WALI GALI ROAD NEAR OPPOSITE AL LAHORE </t>
  </si>
  <si>
    <t>55601/00036/09/2021</t>
  </si>
  <si>
    <t>09-SEP-2022</t>
  </si>
  <si>
    <t>Q351527</t>
  </si>
  <si>
    <t>7050694</t>
  </si>
  <si>
    <t>21-Sep-2026</t>
  </si>
  <si>
    <t>OLDLHR300073320</t>
  </si>
  <si>
    <t>DIB0031648</t>
  </si>
  <si>
    <t>9976AD1212110059</t>
  </si>
  <si>
    <t>HYUNDAI SOUTH</t>
  </si>
  <si>
    <t>599276</t>
  </si>
  <si>
    <t>0644061</t>
  </si>
  <si>
    <t>0644061003</t>
  </si>
  <si>
    <t>PERVEZ RAUF</t>
  </si>
  <si>
    <t>42201-1180685-1</t>
  </si>
  <si>
    <t>03458223366</t>
  </si>
  <si>
    <t xml:space="preserve">A- 15 KDA SCHEEM 1 EXT NEAR KARSAZ ROAD PEER PAGARA HOUSE KARACHI PK </t>
  </si>
  <si>
    <t>DIB/T/BT/33629/KHI/0921</t>
  </si>
  <si>
    <t>GAHAMU142125</t>
  </si>
  <si>
    <t>PMHL3416MMN400411</t>
  </si>
  <si>
    <t>SONATA A/T</t>
  </si>
  <si>
    <t>30-JUL-2021</t>
  </si>
  <si>
    <t>OLAKHI300071426</t>
  </si>
  <si>
    <t>TDIDIB0029607</t>
  </si>
  <si>
    <t>9976AD1210900048</t>
  </si>
  <si>
    <t>CHANGAN ADIL ASHRAF MOTORS</t>
  </si>
  <si>
    <t>536261</t>
  </si>
  <si>
    <t>0657956</t>
  </si>
  <si>
    <t>0657956001</t>
  </si>
  <si>
    <t>SOBIA MALIK</t>
  </si>
  <si>
    <t>35403-1097863-8</t>
  </si>
  <si>
    <t>03024432313</t>
  </si>
  <si>
    <t xml:space="preserve">EXCISE AND TAXATION DEPARTMENT LAHORE </t>
  </si>
  <si>
    <t>01-2109-PO-MTR-PCCM-D-001197</t>
  </si>
  <si>
    <t>510898</t>
  </si>
  <si>
    <t>1001658</t>
  </si>
  <si>
    <t>CHANGAN ALSVIN 1.5L LUMIERE</t>
  </si>
  <si>
    <t>31-MAR-2021</t>
  </si>
  <si>
    <t>03-Oct-2026</t>
  </si>
  <si>
    <t>OLASHK300067311</t>
  </si>
  <si>
    <t>9976AD1212350015</t>
  </si>
  <si>
    <t>KIA MOTORS 9TH AVENUE</t>
  </si>
  <si>
    <t>1106671</t>
  </si>
  <si>
    <t>0295092</t>
  </si>
  <si>
    <t>0295092012</t>
  </si>
  <si>
    <t>RABIA RIAZ</t>
  </si>
  <si>
    <t>37103-2499486-8</t>
  </si>
  <si>
    <t>NA</t>
  </si>
  <si>
    <t>0302854859</t>
  </si>
  <si>
    <t xml:space="preserve">AIR BLUE HEAD QUARTER CORPORATE ISLAMABAD </t>
  </si>
  <si>
    <t>01-2109-PO-MTR-PCCM-D001189</t>
  </si>
  <si>
    <t>08-SEP-2022</t>
  </si>
  <si>
    <t>G4NAMH314612</t>
  </si>
  <si>
    <t>P102115</t>
  </si>
  <si>
    <t>KIA SPORTGE ALPHA</t>
  </si>
  <si>
    <t>23-AUG-2021</t>
  </si>
  <si>
    <t>OLAISD300072222</t>
  </si>
  <si>
    <t>9976AD1211810052</t>
  </si>
  <si>
    <t>1107010</t>
  </si>
  <si>
    <t>0319218</t>
  </si>
  <si>
    <t>0319218007</t>
  </si>
  <si>
    <t>ZULFIQAR ALI BEHAN</t>
  </si>
  <si>
    <t>42000-4786158-3</t>
  </si>
  <si>
    <t>0300-202225</t>
  </si>
  <si>
    <t xml:space="preserve">HOUSE # 109/1 KHAYABAN-E-TARIQ D.H.A KARACHI </t>
  </si>
  <si>
    <t>2021/09/CLFTTPCDP00996</t>
  </si>
  <si>
    <t>07-SEP-2022</t>
  </si>
  <si>
    <t>5032948</t>
  </si>
  <si>
    <t>5547720</t>
  </si>
  <si>
    <t>TOYOTA HILUX REVO V DC A/T 4X4</t>
  </si>
  <si>
    <t>30-JUN-2021</t>
  </si>
  <si>
    <t>OLAKHI300070301</t>
  </si>
  <si>
    <t>DIB0031528</t>
  </si>
  <si>
    <t>03-SEP-2021</t>
  </si>
  <si>
    <t>9976AD1211200029</t>
  </si>
  <si>
    <t>1090059</t>
  </si>
  <si>
    <t>0688294</t>
  </si>
  <si>
    <t>0688294001</t>
  </si>
  <si>
    <t>MUHAMMAD TARIQ KHAN</t>
  </si>
  <si>
    <t>Muzaffarabad</t>
  </si>
  <si>
    <t>82203-5846306-7</t>
  </si>
  <si>
    <t>03005568842</t>
  </si>
  <si>
    <t xml:space="preserve">TARIQABAD WARD NO 07 H # BI-1279 NE AR MDA OFFICE MUZAFFARABAD PK </t>
  </si>
  <si>
    <t>55601/00019/09/2021</t>
  </si>
  <si>
    <t>181808</t>
  </si>
  <si>
    <t>10081783</t>
  </si>
  <si>
    <t>CULTUS VXL AGS EURO II</t>
  </si>
  <si>
    <t>30-APR-2021</t>
  </si>
  <si>
    <t>OLAMFD300068391</t>
  </si>
  <si>
    <t>DIB0031356</t>
  </si>
  <si>
    <t>9976AD1220590026</t>
  </si>
  <si>
    <t>KIA MOTORS SITE</t>
  </si>
  <si>
    <t>AL-1142049</t>
  </si>
  <si>
    <t>0143869</t>
  </si>
  <si>
    <t>0143869039</t>
  </si>
  <si>
    <t>ZEESHAN JAVED ARAIN</t>
  </si>
  <si>
    <t>42000-0545296-9</t>
  </si>
  <si>
    <t>0300-8285080</t>
  </si>
  <si>
    <t>03008285080</t>
  </si>
  <si>
    <t>111222757</t>
  </si>
  <si>
    <t xml:space="preserve">STRUCTURE LAB SERVICE PLOT NO B-83 SECTOR 6-F MEHRAN TOWN KORANGI INDUSTRIAL AREA KARACHI </t>
  </si>
  <si>
    <t>63286/00012/09/2022</t>
  </si>
  <si>
    <t>06-SEP-2023</t>
  </si>
  <si>
    <t>074058</t>
  </si>
  <si>
    <t>710812</t>
  </si>
  <si>
    <t>KIA PICANTO 1.0 L A/T</t>
  </si>
  <si>
    <t>28-FEB-2022</t>
  </si>
  <si>
    <t>OLAKHI300084467</t>
  </si>
  <si>
    <t>8583/09/2022</t>
  </si>
  <si>
    <t>02-SEP-2022</t>
  </si>
  <si>
    <t>9976AD2211510007</t>
  </si>
  <si>
    <t>TOYOTA WALTON MOTORS</t>
  </si>
  <si>
    <t>526983</t>
  </si>
  <si>
    <t>0694381</t>
  </si>
  <si>
    <t>0694381001</t>
  </si>
  <si>
    <t>MALIK MUHAMMAD ASGHAR AWAN</t>
  </si>
  <si>
    <t>Sialkot</t>
  </si>
  <si>
    <t>34603-3661246-5</t>
  </si>
  <si>
    <t>03235155286</t>
  </si>
  <si>
    <t xml:space="preserve">NEAR ALLIED BANK DALOWALI NEAR ABL BANK SIALKOT </t>
  </si>
  <si>
    <t>2021/09/CLFTTCPDP00995</t>
  </si>
  <si>
    <t>06-SEP-2022</t>
  </si>
  <si>
    <t>2TRA871758</t>
  </si>
  <si>
    <t>0893648</t>
  </si>
  <si>
    <t>FORTUNER G 4*2 STD PETROL</t>
  </si>
  <si>
    <t>31-MAY-2021</t>
  </si>
  <si>
    <t>OLASKT300068993</t>
  </si>
  <si>
    <t>DIB0031596</t>
  </si>
  <si>
    <t>08-SEP-2021</t>
  </si>
  <si>
    <t>9976AD1210570039</t>
  </si>
  <si>
    <t>625642</t>
  </si>
  <si>
    <t>0418319</t>
  </si>
  <si>
    <t>0418319010</t>
  </si>
  <si>
    <t>ANSAR ABBAS</t>
  </si>
  <si>
    <t>42401-3850533-7</t>
  </si>
  <si>
    <t>03218202012</t>
  </si>
  <si>
    <t>37332500</t>
  </si>
  <si>
    <t xml:space="preserve">HNO 117 B 2 JOHAR TOWN NEAR ALLAH HO CHOWK LAHORE PAKISTAN </t>
  </si>
  <si>
    <t>55601/00011/09/2021</t>
  </si>
  <si>
    <t>Q079477</t>
  </si>
  <si>
    <t>6056939</t>
  </si>
  <si>
    <t>COROLLA ALTIS A/T</t>
  </si>
  <si>
    <t>26-FEB-2021</t>
  </si>
  <si>
    <t>OLALHR300066264</t>
  </si>
  <si>
    <t>DIB0031576</t>
  </si>
  <si>
    <t>9976AD2211740019</t>
  </si>
  <si>
    <t>1091303</t>
  </si>
  <si>
    <t>0644476</t>
  </si>
  <si>
    <t>0644476002</t>
  </si>
  <si>
    <t>SYED MASOOD HUSSAIN</t>
  </si>
  <si>
    <t>42101-0719485-7</t>
  </si>
  <si>
    <t>03332112724</t>
  </si>
  <si>
    <t xml:space="preserve">HOUSE NO 505 BLOCK # C AREA NEAR BILAL MASJID NORTH NAZIMABAD KARACHI. </t>
  </si>
  <si>
    <t>2021-09-205-V01501DP0002119</t>
  </si>
  <si>
    <t>2A34832</t>
  </si>
  <si>
    <t>7021928</t>
  </si>
  <si>
    <t>YARIS ATIV CVT 1.3</t>
  </si>
  <si>
    <t>23-JUN-2021</t>
  </si>
  <si>
    <t>11-SEP-2021</t>
  </si>
  <si>
    <t>11-Sep-2024</t>
  </si>
  <si>
    <t>OLAKHI300069734</t>
  </si>
  <si>
    <t>ITMT</t>
  </si>
  <si>
    <t>5406/09/2021/ITMM</t>
  </si>
  <si>
    <t>02-SEP-2021</t>
  </si>
  <si>
    <t>9976AD1211520089</t>
  </si>
  <si>
    <t>1109637</t>
  </si>
  <si>
    <t>0696440</t>
  </si>
  <si>
    <t>0696440001</t>
  </si>
  <si>
    <t>MUHAMMAD WASIF LATIF</t>
  </si>
  <si>
    <t>33100-2839208-7</t>
  </si>
  <si>
    <t>0412573092</t>
  </si>
  <si>
    <t>03457865070, 03457865070</t>
  </si>
  <si>
    <t>03457865070</t>
  </si>
  <si>
    <t xml:space="preserve">H NO 157-B GULSHAN HAYYAT ABC ROAD FAISALABAD PK </t>
  </si>
  <si>
    <t>01-2018-PO-MTR-PCCM-D-001110</t>
  </si>
  <si>
    <t>182606</t>
  </si>
  <si>
    <t>10082608</t>
  </si>
  <si>
    <t>01-JUN-2021</t>
  </si>
  <si>
    <t>OLAFSD300069219</t>
  </si>
  <si>
    <t>DIB0031378</t>
  </si>
  <si>
    <t>9976AP1212510007</t>
  </si>
  <si>
    <t>644634</t>
  </si>
  <si>
    <t>0717009</t>
  </si>
  <si>
    <t>0717009001</t>
  </si>
  <si>
    <t>SYED USMAN RIZVI</t>
  </si>
  <si>
    <t>35202-8641156-3</t>
  </si>
  <si>
    <t>03234818171</t>
  </si>
  <si>
    <t xml:space="preserve">1ST FLOOR 69-B MAIN BOULEVARD GULBE RG II BEHIND METROPOLITAN BANK LAHORE </t>
  </si>
  <si>
    <t>55601/00016/09/2021</t>
  </si>
  <si>
    <t>1554801</t>
  </si>
  <si>
    <t>1302144052</t>
  </si>
  <si>
    <t>LEE-18-5590</t>
  </si>
  <si>
    <t>TOYOTA VITZ</t>
  </si>
  <si>
    <t>11-Sep-2026</t>
  </si>
  <si>
    <t>OLULHR300073227</t>
  </si>
  <si>
    <t>DIB0031581</t>
  </si>
  <si>
    <t>9976AP2192550002</t>
  </si>
  <si>
    <t>HONDA FORT</t>
  </si>
  <si>
    <t>506240</t>
  </si>
  <si>
    <t>0339230</t>
  </si>
  <si>
    <t>0339230004</t>
  </si>
  <si>
    <t>ARSALAN ZAHID</t>
  </si>
  <si>
    <t>35201-6360105-5</t>
  </si>
  <si>
    <t>37176057</t>
  </si>
  <si>
    <t>03214013931 0322-8444600</t>
  </si>
  <si>
    <t>35760874</t>
  </si>
  <si>
    <t xml:space="preserve">AD WISE SOLUTIONS OFFICE 13/3 E-2 GULBERG III LAHORE </t>
  </si>
  <si>
    <t>51132/00016/09/2019</t>
  </si>
  <si>
    <t>05-SEP-2020</t>
  </si>
  <si>
    <t>7534095</t>
  </si>
  <si>
    <t>KR253603</t>
  </si>
  <si>
    <t>LE-19A-535</t>
  </si>
  <si>
    <t>CITY I-VTEC M/T</t>
  </si>
  <si>
    <t>12-SEP-2019</t>
  </si>
  <si>
    <t>PODLHR300048951</t>
  </si>
  <si>
    <t>DIB0027825</t>
  </si>
  <si>
    <t>06-SEP-2019</t>
  </si>
  <si>
    <t>9976AP2222510005</t>
  </si>
  <si>
    <t>AL-327148</t>
  </si>
  <si>
    <t>0258608</t>
  </si>
  <si>
    <t>0258608003</t>
  </si>
  <si>
    <t>MALIK KHUSHAL KHAN</t>
  </si>
  <si>
    <t>35201-0506523-7</t>
  </si>
  <si>
    <t>03323413524</t>
  </si>
  <si>
    <t xml:space="preserve">HOUSE NO 48 A STREET 13 OFF KHAYABAN-E-MUHAFIZ PHASE 6 KARACHI </t>
  </si>
  <si>
    <t>63286/00006/09/2022</t>
  </si>
  <si>
    <t>05-SEP-2023</t>
  </si>
  <si>
    <t>199556</t>
  </si>
  <si>
    <t>10099564</t>
  </si>
  <si>
    <t>BRH-579</t>
  </si>
  <si>
    <t>SUZUKI WAGNOR VXL AGS</t>
  </si>
  <si>
    <t>11-SEP-2022</t>
  </si>
  <si>
    <t>11-Sep-2027</t>
  </si>
  <si>
    <t>OLUKHI300089708</t>
  </si>
  <si>
    <t>8594/09/2022/ITFM</t>
  </si>
  <si>
    <t>9976AD1211680024</t>
  </si>
  <si>
    <t>KIA MOTORS KINGS GATE</t>
  </si>
  <si>
    <t>637757</t>
  </si>
  <si>
    <t>0699389</t>
  </si>
  <si>
    <t>0699389001</t>
  </si>
  <si>
    <t>MUHAMMAD IMRAN</t>
  </si>
  <si>
    <t>33100-1460395-5</t>
  </si>
  <si>
    <t>03008665101</t>
  </si>
  <si>
    <t>03008665101, 03008665101</t>
  </si>
  <si>
    <t xml:space="preserve">H NO P-300-C AYSAHA BLOCK ABDULLAH GARDEN CANAL ROAD FAISALABAD PK </t>
  </si>
  <si>
    <t>DIB/T/33203/LHR/0821</t>
  </si>
  <si>
    <t>05-SEP-2022</t>
  </si>
  <si>
    <t>512643</t>
  </si>
  <si>
    <t>306932</t>
  </si>
  <si>
    <t>17-JUN-2021</t>
  </si>
  <si>
    <t>OLAFSD300069516</t>
  </si>
  <si>
    <t>9976AP2222490002</t>
  </si>
  <si>
    <t>CAR DEALS</t>
  </si>
  <si>
    <t>AL-1204122</t>
  </si>
  <si>
    <t>0508411</t>
  </si>
  <si>
    <t>0508411001</t>
  </si>
  <si>
    <t>NASREEN IJAZ</t>
  </si>
  <si>
    <t>42401-9031847-6</t>
  </si>
  <si>
    <t>03018267285</t>
  </si>
  <si>
    <t>32357185</t>
  </si>
  <si>
    <t xml:space="preserve">HOUSE # 118/1 1ST STREET # 21 PHASE # 6 KHAYABN-E-MUHAFIZ DHA NEAR ALI KARACHI PK </t>
  </si>
  <si>
    <t>63286/00004/09/2022</t>
  </si>
  <si>
    <t>04-SEP-2023</t>
  </si>
  <si>
    <t>2578374</t>
  </si>
  <si>
    <t>4205534</t>
  </si>
  <si>
    <t>TOYOTA COROLLA XLI</t>
  </si>
  <si>
    <t>OLUKHI300089705</t>
  </si>
  <si>
    <t>8588/09/2022/ITFM</t>
  </si>
  <si>
    <t>997APD2202480004</t>
  </si>
  <si>
    <t>APD2</t>
  </si>
  <si>
    <t>644076</t>
  </si>
  <si>
    <t>0630454</t>
  </si>
  <si>
    <t>0630454001</t>
  </si>
  <si>
    <t>MUHAMMAD SAJJAD</t>
  </si>
  <si>
    <t>32303-7250203-9</t>
  </si>
  <si>
    <t>03003205176</t>
  </si>
  <si>
    <t>03003205176, 03003205176</t>
  </si>
  <si>
    <t>0414713501</t>
  </si>
  <si>
    <t xml:space="preserve">CHAK NO 68 R.B MAIN SKP JOHAL STOP BACKSIDE NAIGRA MILL JINNAH ABBADI FAISALABAD PK </t>
  </si>
  <si>
    <t>52740/00013/09/2020</t>
  </si>
  <si>
    <t>1KR1415387</t>
  </si>
  <si>
    <t>KSP1302091611</t>
  </si>
  <si>
    <t>LEA-17-4132</t>
  </si>
  <si>
    <t>04-SEP-2020</t>
  </si>
  <si>
    <t>11-SEP-2020</t>
  </si>
  <si>
    <t>11-Sep-2025</t>
  </si>
  <si>
    <t>POUFSD300057088</t>
  </si>
  <si>
    <t>2951/08/2020/ITFM</t>
  </si>
  <si>
    <t>997AAD1202040019</t>
  </si>
  <si>
    <t>KIA MOTORS DEFENCE</t>
  </si>
  <si>
    <t>600017</t>
  </si>
  <si>
    <t>0083262</t>
  </si>
  <si>
    <t>0083262019</t>
  </si>
  <si>
    <t>MUHAMMAD NAVEED WAZIR ALI</t>
  </si>
  <si>
    <t>35201-0556930-5</t>
  </si>
  <si>
    <t>04235710848</t>
  </si>
  <si>
    <t>0300-8494801 0300-8441497</t>
  </si>
  <si>
    <t>04236669801</t>
  </si>
  <si>
    <t xml:space="preserve">H NO 130/2 GILLANI STREET NO 1 NADIRABAD CANTT NR WAQAS MARKET LAHORE </t>
  </si>
  <si>
    <t>01-SEP-2021</t>
  </si>
  <si>
    <t>G4NALH316962</t>
  </si>
  <si>
    <t>NNAQL51AZKP303021</t>
  </si>
  <si>
    <t>22-JUL-2020</t>
  </si>
  <si>
    <t>POALHR300055391</t>
  </si>
  <si>
    <t>9976AD1211510020</t>
  </si>
  <si>
    <t>KIA MOTORS LUCKY ONE</t>
  </si>
  <si>
    <t>643350</t>
  </si>
  <si>
    <t>0687056</t>
  </si>
  <si>
    <t>0687056001</t>
  </si>
  <si>
    <t>MUHAMMAD SAAD</t>
  </si>
  <si>
    <t>42101-2956624-3</t>
  </si>
  <si>
    <t>02134546325</t>
  </si>
  <si>
    <t>03177117114</t>
  </si>
  <si>
    <t>02134141421</t>
  </si>
  <si>
    <t xml:space="preserve">SHOP # 1 GROUND FLOOR NOBLE HEIGHTS CHANDNI CHOWK KDA SCHEEM # 33 SHOP # 7 OPP ASKARI PARK MAIN UNIVERSTI KARACHI </t>
  </si>
  <si>
    <t>55601/00001/09/2021</t>
  </si>
  <si>
    <t>01-SEP-2022</t>
  </si>
  <si>
    <t>G4NAMH314527</t>
  </si>
  <si>
    <t>NNAQL51AZLP102121</t>
  </si>
  <si>
    <t>KIA SPORTAGE ALPA</t>
  </si>
  <si>
    <t>OLAKHI300068980</t>
  </si>
  <si>
    <t>9976AP2212460031</t>
  </si>
  <si>
    <t>1105718</t>
  </si>
  <si>
    <t>0718914</t>
  </si>
  <si>
    <t>0718914001</t>
  </si>
  <si>
    <t>HAMID SAEED</t>
  </si>
  <si>
    <t>42101-5732830-1</t>
  </si>
  <si>
    <t>03145040473</t>
  </si>
  <si>
    <t xml:space="preserve">HOUSE L- 745 SECTER 5 A- 2 NORTH KH I 4K CHOWRANGI MADIHA STOP KARACHI PK </t>
  </si>
  <si>
    <t>55601/00003/09/2021</t>
  </si>
  <si>
    <t>LEB-5081272</t>
  </si>
  <si>
    <t>RU3-1131206</t>
  </si>
  <si>
    <t>HONDA VEZEL HYBRID</t>
  </si>
  <si>
    <t>03-Sep-2024</t>
  </si>
  <si>
    <t>OLUKHI300073082</t>
  </si>
  <si>
    <t>DIB0031541</t>
  </si>
  <si>
    <t>NORM</t>
  </si>
  <si>
    <t>9976AD1211510031</t>
  </si>
  <si>
    <t>649576</t>
  </si>
  <si>
    <t>0695379</t>
  </si>
  <si>
    <t>0695379001</t>
  </si>
  <si>
    <t>MARYAM SIDDIQA</t>
  </si>
  <si>
    <t>Rahim Yar Khan</t>
  </si>
  <si>
    <t>31303-5638787-8</t>
  </si>
  <si>
    <t>03342844446</t>
  </si>
  <si>
    <t xml:space="preserve">HOUSE NO 120-D SCHEME 03 BLOCK Y GU LSHAN IQBAL COLONY RAHIM YAR KHAN PK </t>
  </si>
  <si>
    <t>DIB/T/BT/33330/LHR/0921</t>
  </si>
  <si>
    <t>180368</t>
  </si>
  <si>
    <t>1080364</t>
  </si>
  <si>
    <t>ALTO VXR EURO-II</t>
  </si>
  <si>
    <t>03-Oct-2028</t>
  </si>
  <si>
    <t>OLARYK300069033</t>
  </si>
  <si>
    <t>108568/09/2021</t>
  </si>
  <si>
    <t>997AAD1202090003</t>
  </si>
  <si>
    <t>HONDA CHENAB-GREEN VIEW MOTORS</t>
  </si>
  <si>
    <t>593276</t>
  </si>
  <si>
    <t>0621607</t>
  </si>
  <si>
    <t>0621607001</t>
  </si>
  <si>
    <t>MUHAMMAD LATIF</t>
  </si>
  <si>
    <t>34103-0458295-1</t>
  </si>
  <si>
    <t>03008893133</t>
  </si>
  <si>
    <t>03138893133, 03008893133</t>
  </si>
  <si>
    <t xml:space="preserve">GALI LATIF DOGAR WALI GUJRAWANWALA ROAD MOHALLAH ATA ABAD NEAR SHISH M SHEIKHUPURA PK </t>
  </si>
  <si>
    <t>DIB/T/BT/28482/LHR/0920</t>
  </si>
  <si>
    <t>L13Z17540161</t>
  </si>
  <si>
    <t>NFBGM1544LR262747</t>
  </si>
  <si>
    <t>CITY IVTEC M/T</t>
  </si>
  <si>
    <t>27-JUL-2020</t>
  </si>
  <si>
    <t>POASHK300055899</t>
  </si>
  <si>
    <t>09/2020/ITFM</t>
  </si>
  <si>
    <t>02-SEP-2020</t>
  </si>
  <si>
    <t>9976AD1211680026</t>
  </si>
  <si>
    <t>KIA MOTORS TOWNSHIP</t>
  </si>
  <si>
    <t>633467</t>
  </si>
  <si>
    <t>0699405</t>
  </si>
  <si>
    <t>0699405001</t>
  </si>
  <si>
    <t>SHAHID IQBAL</t>
  </si>
  <si>
    <t>34603-6763335-7</t>
  </si>
  <si>
    <t>03026486200</t>
  </si>
  <si>
    <t>03326486200</t>
  </si>
  <si>
    <t xml:space="preserve">NEAR OPPOSITE CHINA HOTEL B-BLOCK C ITY HOUSING SOCIETY SIALKOT </t>
  </si>
  <si>
    <t>UWT/D/P002/0000000984/0921/109</t>
  </si>
  <si>
    <t>312732</t>
  </si>
  <si>
    <t>101956</t>
  </si>
  <si>
    <t>SPORTGE ALPHA</t>
  </si>
  <si>
    <t>27-Sep-2026</t>
  </si>
  <si>
    <t>OLASKT300069462</t>
  </si>
  <si>
    <t>9976AD1211670015</t>
  </si>
  <si>
    <t>526980</t>
  </si>
  <si>
    <t>0698981</t>
  </si>
  <si>
    <t>0698981001</t>
  </si>
  <si>
    <t>MUHAMMAD SALEEM</t>
  </si>
  <si>
    <t>34603-0385945-5</t>
  </si>
  <si>
    <t>03456861572</t>
  </si>
  <si>
    <t>05235422700</t>
  </si>
  <si>
    <t xml:space="preserve">ANJOTAR HUNDAL ROAD NEAR GOVT HIGH SCHOOL SIALKOT </t>
  </si>
  <si>
    <t>UWT/D/T002/0000001040/0921/109-0</t>
  </si>
  <si>
    <t>314208</t>
  </si>
  <si>
    <t>102175</t>
  </si>
  <si>
    <t>KIA SPORTAGE ALPHA</t>
  </si>
  <si>
    <t>OLDSKT300069423</t>
  </si>
  <si>
    <t>997AAD1201740007</t>
  </si>
  <si>
    <t>KIA MOTORS MUREE ROAD</t>
  </si>
  <si>
    <t>581825</t>
  </si>
  <si>
    <t>0614893</t>
  </si>
  <si>
    <t>0614893001</t>
  </si>
  <si>
    <t>MIAN MUHAMMAD USMAN</t>
  </si>
  <si>
    <t>37405-9191077-3</t>
  </si>
  <si>
    <t>03325001991</t>
  </si>
  <si>
    <t>0518449997</t>
  </si>
  <si>
    <t xml:space="preserve">H # 341 ST # 37 UMER BLOCK BAHRIA T OWN PHASE-8 RAWALPINDI PK </t>
  </si>
  <si>
    <t>DIB/T/BT/28484/ISB/0920</t>
  </si>
  <si>
    <t>G4NALH310866</t>
  </si>
  <si>
    <t>NNAQL51AZKP504398</t>
  </si>
  <si>
    <t>22-JUN-2020</t>
  </si>
  <si>
    <t>POARWP300054451</t>
  </si>
  <si>
    <t>9976AD2210880002</t>
  </si>
  <si>
    <t>599353</t>
  </si>
  <si>
    <t>0059143</t>
  </si>
  <si>
    <t>0059143008</t>
  </si>
  <si>
    <t>RAZA ISHAQ BABAR</t>
  </si>
  <si>
    <t>35201-1236948-3</t>
  </si>
  <si>
    <t>03217736777</t>
  </si>
  <si>
    <t>37309855</t>
  </si>
  <si>
    <t xml:space="preserve">HOUSE NO 41 FF BLOCK DHA PHASE 04 LAHORE </t>
  </si>
  <si>
    <t>DIB/T/BT/3327/LHR/0921</t>
  </si>
  <si>
    <t>2GD5028612</t>
  </si>
  <si>
    <t>GUN126R-5547602</t>
  </si>
  <si>
    <t>29-MAR-2021</t>
  </si>
  <si>
    <t>OLALHR300067061</t>
  </si>
  <si>
    <t>TDIDIB0029595</t>
  </si>
  <si>
    <t>9976AD2211810008</t>
  </si>
  <si>
    <t>TOYOTA RAWAL MOTORS</t>
  </si>
  <si>
    <t>579222</t>
  </si>
  <si>
    <t>0697627</t>
  </si>
  <si>
    <t>0697627002</t>
  </si>
  <si>
    <t>BIBI SALMA ZAHID NAQVI</t>
  </si>
  <si>
    <t>Haripur</t>
  </si>
  <si>
    <t>13302-5232838-2</t>
  </si>
  <si>
    <t>03305849914</t>
  </si>
  <si>
    <t xml:space="preserve">W/O ZAHID UL HASSAN ST # 7 H # 13 TIP HOUSING COLONY HRP CITY TEHSIL &amp; DIST. HARIPUR PAKISTAN </t>
  </si>
  <si>
    <t>UWT/D/T002/0000001039/0921/109-0</t>
  </si>
  <si>
    <t>2A34671</t>
  </si>
  <si>
    <t>150R-7021678</t>
  </si>
  <si>
    <t>OLAHRP300070037</t>
  </si>
  <si>
    <t>5404/09/2021</t>
  </si>
  <si>
    <t>9976AD1222340001</t>
  </si>
  <si>
    <t>KIA MACCA MOTORS</t>
  </si>
  <si>
    <t>1204280</t>
  </si>
  <si>
    <t>0388812</t>
  </si>
  <si>
    <t>0388812006</t>
  </si>
  <si>
    <t>FARHAN AHMED</t>
  </si>
  <si>
    <t>42101-1940633-7</t>
  </si>
  <si>
    <t>03368518786</t>
  </si>
  <si>
    <t xml:space="preserve">HOUSE NO D49/1 BLOCK 6 F.B.AREA KARACHI NEAR BY RANGERS HEADQUARTERS </t>
  </si>
  <si>
    <t>63286/00002/09/2022</t>
  </si>
  <si>
    <t>01-SEP-2023</t>
  </si>
  <si>
    <t>030853</t>
  </si>
  <si>
    <t>504085</t>
  </si>
  <si>
    <t>KIA PICANTO 1.0 L MT</t>
  </si>
  <si>
    <t>22-AUG-2022</t>
  </si>
  <si>
    <t>21-Sep-2025</t>
  </si>
  <si>
    <t>OLAKHI300089389</t>
  </si>
  <si>
    <t>8454/08/2022/ITFM</t>
  </si>
  <si>
    <t>26-AUG-2022</t>
  </si>
  <si>
    <t>997AAD1181710002</t>
  </si>
  <si>
    <t>HONDA CENTRE</t>
  </si>
  <si>
    <t>506645</t>
  </si>
  <si>
    <t>0480153</t>
  </si>
  <si>
    <t>0480153004</t>
  </si>
  <si>
    <t>ANSAR ALI BOTTAR</t>
  </si>
  <si>
    <t>34601-0779381-3</t>
  </si>
  <si>
    <t>03215439090</t>
  </si>
  <si>
    <t>03006157903</t>
  </si>
  <si>
    <t>0519048357</t>
  </si>
  <si>
    <t xml:space="preserve">OVER SEACES PAKISTANIS FOUNDATION BUILDING 3RD FLOOR SHAHRIAH JAHURIAT SECTOR G-5/2 ISLAMABAD </t>
  </si>
  <si>
    <t>49817/00004/09/2018</t>
  </si>
  <si>
    <t>02-SEP-2019</t>
  </si>
  <si>
    <t>17518421</t>
  </si>
  <si>
    <t>JR233694</t>
  </si>
  <si>
    <t>AKG-090</t>
  </si>
  <si>
    <t>CITY I-VTEC P/T</t>
  </si>
  <si>
    <t>20-JUN-2018</t>
  </si>
  <si>
    <t>11-SEP-2018</t>
  </si>
  <si>
    <t>POAISD300035162</t>
  </si>
  <si>
    <t>DIB0025711</t>
  </si>
  <si>
    <t>03-SEP-2018</t>
  </si>
  <si>
    <t>9976AD1211660012</t>
  </si>
  <si>
    <t>SUZUKI MINI MOTORS</t>
  </si>
  <si>
    <t>1104677</t>
  </si>
  <si>
    <t>0693673</t>
  </si>
  <si>
    <t>0693673001</t>
  </si>
  <si>
    <t>SALMAN AMJAD</t>
  </si>
  <si>
    <t>35202-4109105-3</t>
  </si>
  <si>
    <t>03333333626</t>
  </si>
  <si>
    <t xml:space="preserve">ISLAMIC HOUSE 99-A TRICON VILLAGE LAHORE </t>
  </si>
  <si>
    <t>2524/02640/00010/09/2021</t>
  </si>
  <si>
    <t>6R181159</t>
  </si>
  <si>
    <t>NF1AET306H1081166</t>
  </si>
  <si>
    <t>SUZUKI ALTO VXR EURO</t>
  </si>
  <si>
    <t>15-JUN-2021</t>
  </si>
  <si>
    <t>OLALHR300069461</t>
  </si>
  <si>
    <t>5409/09/2021</t>
  </si>
  <si>
    <t>9976AP2212510006</t>
  </si>
  <si>
    <t>MARGALLA MOTORS</t>
  </si>
  <si>
    <t>625980</t>
  </si>
  <si>
    <t>0616216</t>
  </si>
  <si>
    <t>0616216002</t>
  </si>
  <si>
    <t>MUHAMMAD HASSAN KHAN</t>
  </si>
  <si>
    <t>42501-9396639-5</t>
  </si>
  <si>
    <t>03340295259</t>
  </si>
  <si>
    <t xml:space="preserve">HOUSE # R- 210 CAPITAL SOCIETY SCHEME # 33 NEAR SAFOORA CHOWRANGI KARACHI. </t>
  </si>
  <si>
    <t>55601/00004/09/2021</t>
  </si>
  <si>
    <t>218938</t>
  </si>
  <si>
    <t>10118958</t>
  </si>
  <si>
    <t>WAGONR VXL AGS</t>
  </si>
  <si>
    <t>11-Sep-2028</t>
  </si>
  <si>
    <t>OLDKHI300073107</t>
  </si>
  <si>
    <t>DIB0031542</t>
  </si>
  <si>
    <t>997AAD2202120003</t>
  </si>
  <si>
    <t>AAD2</t>
  </si>
  <si>
    <t>598313</t>
  </si>
  <si>
    <t>0495988</t>
  </si>
  <si>
    <t>0495988003</t>
  </si>
  <si>
    <t>ABDUL REHMAN</t>
  </si>
  <si>
    <t>33100-4936955-5</t>
  </si>
  <si>
    <t>2695119</t>
  </si>
  <si>
    <t>03028655454, 03028655454</t>
  </si>
  <si>
    <t>03028655454</t>
  </si>
  <si>
    <t xml:space="preserve">522-A BLOCK GM ABAD FAISALABAD PK </t>
  </si>
  <si>
    <t>2524/0211/00003/09/2020</t>
  </si>
  <si>
    <t>L13Z17540156</t>
  </si>
  <si>
    <t>NFBGM1545LR262742</t>
  </si>
  <si>
    <t>ARF-522</t>
  </si>
  <si>
    <t>HONDA CITY IVTEC M/T</t>
  </si>
  <si>
    <t>30-JUL-2020</t>
  </si>
  <si>
    <t>POAFSD300056085</t>
  </si>
  <si>
    <t>2943/09/2020/ITFM</t>
  </si>
  <si>
    <t>03-SEP-2020</t>
  </si>
  <si>
    <t>9976AD1211510008</t>
  </si>
  <si>
    <t>639041</t>
  </si>
  <si>
    <t>0132188</t>
  </si>
  <si>
    <t>0132188003</t>
  </si>
  <si>
    <t>NASIR MEHMOOD</t>
  </si>
  <si>
    <t>45504-1133892-3</t>
  </si>
  <si>
    <t>0343-6600006, 0319-3118020</t>
  </si>
  <si>
    <t>051-2096014</t>
  </si>
  <si>
    <t xml:space="preserve">H NO E-66 SHERAZ VILLAS PHASE II GAVALRY GROUND LAHORE </t>
  </si>
  <si>
    <t>2021-09-205-V015010PD002106</t>
  </si>
  <si>
    <t>183356</t>
  </si>
  <si>
    <t>10083360</t>
  </si>
  <si>
    <t>SUZUKI CULTUS VXL AGS EURO II</t>
  </si>
  <si>
    <t>OLALHR300069018</t>
  </si>
  <si>
    <t>DIB0031548</t>
  </si>
  <si>
    <t>06-SEP-2021</t>
  </si>
  <si>
    <t>997AAD1202530011</t>
  </si>
  <si>
    <t>HONDA AVENUE</t>
  </si>
  <si>
    <t>635431</t>
  </si>
  <si>
    <t>0630360</t>
  </si>
  <si>
    <t>0630360001</t>
  </si>
  <si>
    <t>SHEIKH AHSAN ANJUM</t>
  </si>
  <si>
    <t>37405-2517483-1</t>
  </si>
  <si>
    <t>03218505189</t>
  </si>
  <si>
    <t>0515772064</t>
  </si>
  <si>
    <t xml:space="preserve">H # 184 ST # 11 BLOCK-D MEDIA TOWN ISLAMABAD PK </t>
  </si>
  <si>
    <t>DIB/T/BT/28487/ISB/0920</t>
  </si>
  <si>
    <t>7540202</t>
  </si>
  <si>
    <t>LR262950</t>
  </si>
  <si>
    <t>CITY IVTEC P/T</t>
  </si>
  <si>
    <t>09-SEP-2020</t>
  </si>
  <si>
    <t>21-SEP-2020</t>
  </si>
  <si>
    <t>POAISD300057149</t>
  </si>
  <si>
    <t>TDIDIB0028623</t>
  </si>
  <si>
    <t>08-SEP-2020</t>
  </si>
  <si>
    <t>9976AD2211830045</t>
  </si>
  <si>
    <t>TOYOTA JINNAH MOTORS</t>
  </si>
  <si>
    <t>1094475</t>
  </si>
  <si>
    <t>0705239</t>
  </si>
  <si>
    <t>0705239001</t>
  </si>
  <si>
    <t>35202-1658380-7</t>
  </si>
  <si>
    <t>03458461611, 0334-4617900</t>
  </si>
  <si>
    <t>03458461611</t>
  </si>
  <si>
    <t xml:space="preserve">PLOT NO 380-381 RAVI LANE SUNDAR IN DUSTRIAL ESTATE LAHORE </t>
  </si>
  <si>
    <t>2021-09-205-V01501OP0002105</t>
  </si>
  <si>
    <t>2A34742</t>
  </si>
  <si>
    <t>NSP150R-7021707</t>
  </si>
  <si>
    <t>OLALHR300070327</t>
  </si>
  <si>
    <t>5410/09/2021</t>
  </si>
  <si>
    <t>9976AD1210580011</t>
  </si>
  <si>
    <t>633662</t>
  </si>
  <si>
    <t>0084680</t>
  </si>
  <si>
    <t>0084680009</t>
  </si>
  <si>
    <t>MUHAMMAD TALHA RASHEED</t>
  </si>
  <si>
    <t>37405-9507730-3</t>
  </si>
  <si>
    <t>03005214577</t>
  </si>
  <si>
    <t>051-5491209</t>
  </si>
  <si>
    <t xml:space="preserve">H # 67-D SECTOR 4-B KHAYABAN E SIRSYED NR D.H.O OFFICE RAWALPINDI </t>
  </si>
  <si>
    <t>2021-09-205-V01501DP0002110</t>
  </si>
  <si>
    <t>21019969</t>
  </si>
  <si>
    <t>ALR1H1730</t>
  </si>
  <si>
    <t>27-FEB-2021</t>
  </si>
  <si>
    <t>OLARWP300066285</t>
  </si>
  <si>
    <t>B0031562</t>
  </si>
  <si>
    <t>9976AD1211810040</t>
  </si>
  <si>
    <t>1097834</t>
  </si>
  <si>
    <t>0704828</t>
  </si>
  <si>
    <t>0704828001</t>
  </si>
  <si>
    <t>MUDASSER SHAHID</t>
  </si>
  <si>
    <t>33100-0989902-7</t>
  </si>
  <si>
    <t>03217659090</t>
  </si>
  <si>
    <t>03217659090, 03217659090</t>
  </si>
  <si>
    <t xml:space="preserve">H NO 61 PARADISE VALLEY SHEIKHUPURA ROAD FAISALABAD PK </t>
  </si>
  <si>
    <t>DIB/T/33204/LHR/0821</t>
  </si>
  <si>
    <t>313847</t>
  </si>
  <si>
    <t>306935</t>
  </si>
  <si>
    <t>SPORTAGE FWD</t>
  </si>
  <si>
    <t>OLAFSD300070236</t>
  </si>
  <si>
    <t>9976AD2210580011</t>
  </si>
  <si>
    <t>MG CENTER</t>
  </si>
  <si>
    <t>636858</t>
  </si>
  <si>
    <t>0675736</t>
  </si>
  <si>
    <t>0675736001</t>
  </si>
  <si>
    <t>YAHYA MASOOD DAR</t>
  </si>
  <si>
    <t>33100-5686337-3</t>
  </si>
  <si>
    <t>03336533386</t>
  </si>
  <si>
    <t>03336533386, 03336533386</t>
  </si>
  <si>
    <t>0412500175</t>
  </si>
  <si>
    <t xml:space="preserve">H NO 23-A MADINA TOWN OFFICER COLON Y NO 2 FAISALABAD PK </t>
  </si>
  <si>
    <t>DIB/T/BT/33214/FSD/0821</t>
  </si>
  <si>
    <t>3080081</t>
  </si>
  <si>
    <t>059722</t>
  </si>
  <si>
    <t>OLAFSD300066229</t>
  </si>
  <si>
    <t>TDIDIB0029566</t>
  </si>
  <si>
    <t>997APD1202680061</t>
  </si>
  <si>
    <t>HONDA EXPRESS PVT LTD</t>
  </si>
  <si>
    <t>640552</t>
  </si>
  <si>
    <t>0237825</t>
  </si>
  <si>
    <t>0237825003</t>
  </si>
  <si>
    <t>RAANA ZEESHAN</t>
  </si>
  <si>
    <t>37405-0482476-2</t>
  </si>
  <si>
    <t>03455410096</t>
  </si>
  <si>
    <t>4461660</t>
  </si>
  <si>
    <t xml:space="preserve">H # 141 ST # 1 AIRPORT HOUSING SOCIETY SECTOR 1 RAWALPINDI </t>
  </si>
  <si>
    <t>DIB/T/BT/28251/ISB/0820</t>
  </si>
  <si>
    <t>9799259</t>
  </si>
  <si>
    <t>LR262396</t>
  </si>
  <si>
    <t>HONDA CITY ASPIRE 1.5 A/T</t>
  </si>
  <si>
    <t>03-Sep-2027</t>
  </si>
  <si>
    <t>PODRWP300056653</t>
  </si>
  <si>
    <t>9976AD2192100002</t>
  </si>
  <si>
    <t>578216</t>
  </si>
  <si>
    <t>0547879</t>
  </si>
  <si>
    <t>0547879001</t>
  </si>
  <si>
    <t>KIRAN FATIMA</t>
  </si>
  <si>
    <t>42101-8700799-8</t>
  </si>
  <si>
    <t>03333571867</t>
  </si>
  <si>
    <t>03333571867, 03333571867</t>
  </si>
  <si>
    <t xml:space="preserve">FLAT # A-4 AFNAN DUPLEX NEAR KAMRAN CHOWRANGI BLOCK 3-A GULISTAN-E-JOH KARACHI PK </t>
  </si>
  <si>
    <t>51132/00005/09/2019</t>
  </si>
  <si>
    <t>109512</t>
  </si>
  <si>
    <t>1009498</t>
  </si>
  <si>
    <t>BQT-391</t>
  </si>
  <si>
    <t>ALTO VXR AGS EURO-II</t>
  </si>
  <si>
    <t>29-JUL-2019</t>
  </si>
  <si>
    <t>POAKHI300047840</t>
  </si>
  <si>
    <t>1649/08/2019/ITFM</t>
  </si>
  <si>
    <t>9976AP1232490001</t>
  </si>
  <si>
    <t>CITY CARS</t>
  </si>
  <si>
    <t>1408905</t>
  </si>
  <si>
    <t>0726894</t>
  </si>
  <si>
    <t>0726894001</t>
  </si>
  <si>
    <t>UMAIR ISMAIL</t>
  </si>
  <si>
    <t>42201-8645528-9</t>
  </si>
  <si>
    <t xml:space="preserve">FLAT NO 370-L BLOCK 3 HAJI LEMO GOTH GULSHAN E IQBAL KARACHI </t>
  </si>
  <si>
    <t>74853/00001/09/2023</t>
  </si>
  <si>
    <t>03-SEP-2024</t>
  </si>
  <si>
    <t>Q350606</t>
  </si>
  <si>
    <t>R7049790</t>
  </si>
  <si>
    <t>BUC-943</t>
  </si>
  <si>
    <t>11-SEP-2023</t>
  </si>
  <si>
    <t>OLUKHI300096535</t>
  </si>
  <si>
    <t>10488/09/2023/ITFM</t>
  </si>
  <si>
    <t>9976AD1192120016</t>
  </si>
  <si>
    <t>585736</t>
  </si>
  <si>
    <t>0552977</t>
  </si>
  <si>
    <t>0552977001</t>
  </si>
  <si>
    <t>TANZEELA ASHRAF</t>
  </si>
  <si>
    <t>35202-3282725-8</t>
  </si>
  <si>
    <t>03319315144</t>
  </si>
  <si>
    <t>04235441150</t>
  </si>
  <si>
    <t xml:space="preserve">H NO 137 ST NO 8 SECTOR E NISHTAR B LOCK BAHRIA TOWN LAHORE PK </t>
  </si>
  <si>
    <t>51132/00013/09/2019</t>
  </si>
  <si>
    <t>111794</t>
  </si>
  <si>
    <t>1011708</t>
  </si>
  <si>
    <t>LE-19A-1446</t>
  </si>
  <si>
    <t>ALTO VXL AGS EURO II</t>
  </si>
  <si>
    <t>POALHR300048077</t>
  </si>
  <si>
    <t>DIB0027823</t>
  </si>
  <si>
    <t>9976AD1221400024</t>
  </si>
  <si>
    <t>HONDA GATEWAY PVT LTD</t>
  </si>
  <si>
    <t>22034621046791</t>
  </si>
  <si>
    <t>0744154</t>
  </si>
  <si>
    <t>0744154004</t>
  </si>
  <si>
    <t>MUHAMMAD AWAIS MUNEER</t>
  </si>
  <si>
    <t>35202-1059168-3</t>
  </si>
  <si>
    <t>00971522705097</t>
  </si>
  <si>
    <t xml:space="preserve">M 17 MUSAFFAH ABU DHABU 51133 UNITED ARAB EMIRATES </t>
  </si>
  <si>
    <t>62089/00082/07/2022</t>
  </si>
  <si>
    <t>1012682</t>
  </si>
  <si>
    <t>022802</t>
  </si>
  <si>
    <t>HONDA CIVIC I-VTEC</t>
  </si>
  <si>
    <t>20-MAY-2022</t>
  </si>
  <si>
    <t>OLALHR300087262</t>
  </si>
  <si>
    <t>8090/07/2022/ITFM</t>
  </si>
  <si>
    <t>20-JUL-2022</t>
  </si>
  <si>
    <t>9976AD1220900058</t>
  </si>
  <si>
    <t>1149791</t>
  </si>
  <si>
    <t>0521751</t>
  </si>
  <si>
    <t>0521751003</t>
  </si>
  <si>
    <t>KHALID MEHMOOD QURESHI</t>
  </si>
  <si>
    <t>37405-6717186-9</t>
  </si>
  <si>
    <t>03218502531</t>
  </si>
  <si>
    <t>4446281</t>
  </si>
  <si>
    <t xml:space="preserve">H # B-1334 B-BLOCK SATELLITE TOWN NEAR MASJID UMER RAWALPINDI PK </t>
  </si>
  <si>
    <t>62698/00106/08/2022</t>
  </si>
  <si>
    <t>247550</t>
  </si>
  <si>
    <t>1147549</t>
  </si>
  <si>
    <t>SUZUKI ALTO VXL AGS EURO II</t>
  </si>
  <si>
    <t>31-MAR-2022</t>
  </si>
  <si>
    <t>OLARWP300086201</t>
  </si>
  <si>
    <t>DIB0034745</t>
  </si>
  <si>
    <t>9976AD2222360002</t>
  </si>
  <si>
    <t>AL-1209821</t>
  </si>
  <si>
    <t>0810289</t>
  </si>
  <si>
    <t>0810289001</t>
  </si>
  <si>
    <t>MALIK TAHIR BASHIR</t>
  </si>
  <si>
    <t>37405-8477777-9</t>
  </si>
  <si>
    <t>03008501930</t>
  </si>
  <si>
    <t>0514438886</t>
  </si>
  <si>
    <t xml:space="preserve">H # 23 ST # 1 ROSE LANE # 1 NEW LAL AZAR RAWALPINDI PK </t>
  </si>
  <si>
    <t>63286/00003/09/2022</t>
  </si>
  <si>
    <t>876516</t>
  </si>
  <si>
    <t>701941</t>
  </si>
  <si>
    <t>KIA STONIC EX +</t>
  </si>
  <si>
    <t>24-AUG-2022</t>
  </si>
  <si>
    <t>OLAISD300089502</t>
  </si>
  <si>
    <t>8601/09/2022/ITFM</t>
  </si>
  <si>
    <t>9976AP2232490002</t>
  </si>
  <si>
    <t>AL-QURASH MOTORS</t>
  </si>
  <si>
    <t>1441687</t>
  </si>
  <si>
    <t>0901282</t>
  </si>
  <si>
    <t>0901282001</t>
  </si>
  <si>
    <t>FAHAD ASHRAF</t>
  </si>
  <si>
    <t>35201-2118465-7</t>
  </si>
  <si>
    <t>03211486243</t>
  </si>
  <si>
    <t xml:space="preserve">H NO 171-E MOHALLAH BANKER AVENUE C OOPERATIVE HOUSING SOCIETY BEDIAN R LAHORE PK </t>
  </si>
  <si>
    <t>74853/00002/09/2023</t>
  </si>
  <si>
    <t>04-SEP-2024</t>
  </si>
  <si>
    <t>180922</t>
  </si>
  <si>
    <t>206905</t>
  </si>
  <si>
    <t>AJR-339</t>
  </si>
  <si>
    <t>HYUNDAI TUCSON FWD</t>
  </si>
  <si>
    <t>OLULHR300096593</t>
  </si>
  <si>
    <t>DIB0035274</t>
  </si>
  <si>
    <t>9976AD2171310003</t>
  </si>
  <si>
    <t>333515</t>
  </si>
  <si>
    <t>0405850</t>
  </si>
  <si>
    <t>0405850001</t>
  </si>
  <si>
    <t>NASREEN IQBAL NAGANI</t>
  </si>
  <si>
    <t>42201-8381088-6</t>
  </si>
  <si>
    <t>03463502754</t>
  </si>
  <si>
    <t xml:space="preserve">H NO# 3/A-1 MAKKI SQUARE SHOE MARKET GARDEN EAST KARACHI </t>
  </si>
  <si>
    <t>DIB/T/17528/KHI/0917</t>
  </si>
  <si>
    <t>05-SEP2018</t>
  </si>
  <si>
    <t>139072</t>
  </si>
  <si>
    <t>10039055</t>
  </si>
  <si>
    <t>BKJ-142</t>
  </si>
  <si>
    <t>WAGON R VXL</t>
  </si>
  <si>
    <t>11-MAY-2017</t>
  </si>
  <si>
    <t>21-SEP-2017</t>
  </si>
  <si>
    <t>POAKHI300021743</t>
  </si>
  <si>
    <t>13124/09/2017</t>
  </si>
  <si>
    <t>07-SEP-2017</t>
  </si>
  <si>
    <t>9976AD1211790006</t>
  </si>
  <si>
    <t>536205</t>
  </si>
  <si>
    <t>0423485</t>
  </si>
  <si>
    <t>0423485006</t>
  </si>
  <si>
    <t>FARRUKH ABBAS</t>
  </si>
  <si>
    <t>35202-9924667-9</t>
  </si>
  <si>
    <t>03454181846</t>
  </si>
  <si>
    <t>37634642</t>
  </si>
  <si>
    <t xml:space="preserve">H 18 KARIM BAKHSH ROAD NEW SAMANAB AD NEAR BOHAR WALA CHOWK LAHORE PK </t>
  </si>
  <si>
    <t>2524/02640/00015/09/2021</t>
  </si>
  <si>
    <t>05-SEP-2021</t>
  </si>
  <si>
    <t>6R180191</t>
  </si>
  <si>
    <t>NF1AET306H1080152</t>
  </si>
  <si>
    <t>SUZUKI ALTO VX EURO 11</t>
  </si>
  <si>
    <t>OLAHR300069777</t>
  </si>
  <si>
    <t>DIB0031566</t>
  </si>
  <si>
    <t>9976AD1211790007</t>
  </si>
  <si>
    <t>536231</t>
  </si>
  <si>
    <t>0423485004</t>
  </si>
  <si>
    <t>2524/02640/00014/09/2021</t>
  </si>
  <si>
    <t>6R180061</t>
  </si>
  <si>
    <t>NF1AET306H1080070</t>
  </si>
  <si>
    <t>SUZUKI ALTO VX-11</t>
  </si>
  <si>
    <t>OLAHR300069667</t>
  </si>
  <si>
    <t>DIB0031568</t>
  </si>
  <si>
    <t>9976AD2210700015</t>
  </si>
  <si>
    <t>CHANGAN YAZDANI MOTORS</t>
  </si>
  <si>
    <t>635101</t>
  </si>
  <si>
    <t>0050985</t>
  </si>
  <si>
    <t>0050985031</t>
  </si>
  <si>
    <t>17301-1510982-3</t>
  </si>
  <si>
    <t>051-2850185</t>
  </si>
  <si>
    <t>03335169763 0334-5555121</t>
  </si>
  <si>
    <t>2342400</t>
  </si>
  <si>
    <t xml:space="preserve">H # 722 ST # 09 G-9/3 ISLAMABAD </t>
  </si>
  <si>
    <t>55601/00008/09/2021</t>
  </si>
  <si>
    <t>M694501506</t>
  </si>
  <si>
    <t>1008078</t>
  </si>
  <si>
    <t>KARVAAN PLUS</t>
  </si>
  <si>
    <t>OLAISD300066046</t>
  </si>
  <si>
    <t>DIB0031430</t>
  </si>
  <si>
    <t>9976AD1210700022</t>
  </si>
  <si>
    <t>589731</t>
  </si>
  <si>
    <t>0663901</t>
  </si>
  <si>
    <t>0663901002</t>
  </si>
  <si>
    <t>ABDUL SAMAD</t>
  </si>
  <si>
    <t>35202-5999191-3</t>
  </si>
  <si>
    <t>03331439659</t>
  </si>
  <si>
    <t xml:space="preserve">HOUSE NO NILL GULSHAN.E.ISLAM COLONY QAZI PARK SHAHDRA (NEAR FURQAN MODEL SCHOOL) TOWN LAHORE </t>
  </si>
  <si>
    <t>55601/00009/09/2021</t>
  </si>
  <si>
    <t>504362</t>
  </si>
  <si>
    <t>1008353</t>
  </si>
  <si>
    <t>OLALHR300066548</t>
  </si>
  <si>
    <t>DIB0031574</t>
  </si>
  <si>
    <t>9976AD1211100017</t>
  </si>
  <si>
    <t>SUZUKI MEHRAN MOTORS</t>
  </si>
  <si>
    <t>632204</t>
  </si>
  <si>
    <t>0686400</t>
  </si>
  <si>
    <t>0686400001</t>
  </si>
  <si>
    <t>MUHAMMAD ALTAF HUSSAIN</t>
  </si>
  <si>
    <t>41303-2090371-7</t>
  </si>
  <si>
    <t>03332735769</t>
  </si>
  <si>
    <t>0720224</t>
  </si>
  <si>
    <t xml:space="preserve">HOUSE # F 1337 SALMAN SOHAG MANZIL KHOKHAR MUHALLAH BEAR BYCO PETROL P HYDERABAD PK </t>
  </si>
  <si>
    <t>01-2108-PO-MTR-PCCM-D-001173</t>
  </si>
  <si>
    <t>178369</t>
  </si>
  <si>
    <t>10078364</t>
  </si>
  <si>
    <t>20-APR-2021</t>
  </si>
  <si>
    <t>OLAHYD300067731</t>
  </si>
  <si>
    <t>108569/09/2021</t>
  </si>
  <si>
    <t>9976AD1212450035</t>
  </si>
  <si>
    <t>PREMIER SYSTEMS (PVT) LTD</t>
  </si>
  <si>
    <t>1107497</t>
  </si>
  <si>
    <t>0157816</t>
  </si>
  <si>
    <t>0157816004</t>
  </si>
  <si>
    <t>MUHAMMAD KUMAIL POLANI</t>
  </si>
  <si>
    <t>42201-5815704-1</t>
  </si>
  <si>
    <t>03412777777 03332470777</t>
  </si>
  <si>
    <t>32462000</t>
  </si>
  <si>
    <t xml:space="preserve">POLANIS PVT LIMITED 49-53 SINDH MADRESSAH TUL ISLAM HASRAT MOHANI ROAD KARACHI </t>
  </si>
  <si>
    <t>2021/09/CLFTTPCDP00986</t>
  </si>
  <si>
    <t>EAS-138209</t>
  </si>
  <si>
    <t>WAUZZZGE2MB035231</t>
  </si>
  <si>
    <t>AUDI E-TRON 50 QUATTRO</t>
  </si>
  <si>
    <t>OLAKHI300070315</t>
  </si>
  <si>
    <t>9976AD1220260027</t>
  </si>
  <si>
    <t>CHANGAN SINDH MOTORS</t>
  </si>
  <si>
    <t>AL-1092370</t>
  </si>
  <si>
    <t>0753020</t>
  </si>
  <si>
    <t>0753020001</t>
  </si>
  <si>
    <t>RAO MASOOD UR REHMAN</t>
  </si>
  <si>
    <t>Nawab Shah</t>
  </si>
  <si>
    <t>45402-8944172-3</t>
  </si>
  <si>
    <t>03045834464</t>
  </si>
  <si>
    <t xml:space="preserve">HOUSE # IIA 836/154 KAMORA COLONY NAWABSHAH PK </t>
  </si>
  <si>
    <t>63286/00008/09/2022</t>
  </si>
  <si>
    <t>503846</t>
  </si>
  <si>
    <t>1016466</t>
  </si>
  <si>
    <t>CHANGAN KARVAN PLUS</t>
  </si>
  <si>
    <t>26-JAN-2022</t>
  </si>
  <si>
    <t>OLANWB300083303</t>
  </si>
  <si>
    <t>8492/08/2022</t>
  </si>
  <si>
    <t>29-AUG-2022</t>
  </si>
  <si>
    <t>9976AD2220190006</t>
  </si>
  <si>
    <t>1141848</t>
  </si>
  <si>
    <t>0716961</t>
  </si>
  <si>
    <t>0716961004</t>
  </si>
  <si>
    <t>BILAL IKRAM</t>
  </si>
  <si>
    <t>61101-4385442-7</t>
  </si>
  <si>
    <t>03335517158</t>
  </si>
  <si>
    <t xml:space="preserve">BLOCK NO.1A, FLAT NO.9-A, ST NO.1, SECTOR I-8/1,ISLAMABAD </t>
  </si>
  <si>
    <t>62698/00114/08/2022</t>
  </si>
  <si>
    <t>247953</t>
  </si>
  <si>
    <t>1147941</t>
  </si>
  <si>
    <t>19-JAN-2022</t>
  </si>
  <si>
    <t>11-Sep-2029</t>
  </si>
  <si>
    <t>OLAISD300083253</t>
  </si>
  <si>
    <t>8477/08/2022</t>
  </si>
  <si>
    <t>9976AP1222510005</t>
  </si>
  <si>
    <t>AL-1147709</t>
  </si>
  <si>
    <t>0801889</t>
  </si>
  <si>
    <t>0801889001</t>
  </si>
  <si>
    <t>AMIR KHALID</t>
  </si>
  <si>
    <t>42201-9594326-7</t>
  </si>
  <si>
    <t>03222130782</t>
  </si>
  <si>
    <t xml:space="preserve">HNO 77/4 STREET 14 KHAYABAN E SEHER PHASE 6 DHA NEAR NIXOR CELLEGE KARACHI PK </t>
  </si>
  <si>
    <t>63286/00009/09/2022</t>
  </si>
  <si>
    <t>Q034703</t>
  </si>
  <si>
    <t>R6012169</t>
  </si>
  <si>
    <t>BHJ-203</t>
  </si>
  <si>
    <t>OLUKHI300089724</t>
  </si>
  <si>
    <t>8602/09/2022/ITFM</t>
  </si>
  <si>
    <t>9976AD1221390023</t>
  </si>
  <si>
    <t>1209240</t>
  </si>
  <si>
    <t>0786014</t>
  </si>
  <si>
    <t>0786014001</t>
  </si>
  <si>
    <t>RABIA AWAN</t>
  </si>
  <si>
    <t>35202-7590673-0</t>
  </si>
  <si>
    <t>0346-4687037 / 0333-6812012</t>
  </si>
  <si>
    <t xml:space="preserve">FLAT # 06, 2ND FLOOR JAHANGIR PARK NEW MAZANG LAHORE </t>
  </si>
  <si>
    <t>63286/00007/09/2022</t>
  </si>
  <si>
    <t>200538</t>
  </si>
  <si>
    <t>10100532</t>
  </si>
  <si>
    <t>19-MAY-2022</t>
  </si>
  <si>
    <t>OLALHR300087344</t>
  </si>
  <si>
    <t>8598/09/2022/ITFM</t>
  </si>
  <si>
    <t>9976AP2222560002</t>
  </si>
  <si>
    <t>AL-1201870</t>
  </si>
  <si>
    <t>0795572</t>
  </si>
  <si>
    <t>0795572002</t>
  </si>
  <si>
    <t>REBAL ISRAIL</t>
  </si>
  <si>
    <t>42201-4370083-1</t>
  </si>
  <si>
    <t>03314969006</t>
  </si>
  <si>
    <t xml:space="preserve">HOUSE NO A-1/125 BLOCK 13-A RAILWAY HOUSING SOCIETY GULSHAN-E-IQBAL NEAR STUDENT BIRYANI KARACHI </t>
  </si>
  <si>
    <t>63286/00005/09/2022</t>
  </si>
  <si>
    <t>6R234553</t>
  </si>
  <si>
    <t>1134530</t>
  </si>
  <si>
    <t>BWX-081</t>
  </si>
  <si>
    <t>OLUKHI300089710</t>
  </si>
  <si>
    <t>8595/09/2022/ITFM</t>
  </si>
  <si>
    <t>9976AD1222270002</t>
  </si>
  <si>
    <t>KIA MOTORS POTOHAR</t>
  </si>
  <si>
    <t>AL-1191862</t>
  </si>
  <si>
    <t>0807008</t>
  </si>
  <si>
    <t>0807008001</t>
  </si>
  <si>
    <t>ARQAM MUSTAFA</t>
  </si>
  <si>
    <t>37405-7954606-1</t>
  </si>
  <si>
    <t>03315013061</t>
  </si>
  <si>
    <t>0517066383</t>
  </si>
  <si>
    <t xml:space="preserve">H # 684 ST # 7 SECTOR 1 AIRPORT HOU SING SOCIEITY NEAR CENTRAL PARK RAWALPINDI PK </t>
  </si>
  <si>
    <t>62698/00122/08/2022</t>
  </si>
  <si>
    <t>047695</t>
  </si>
  <si>
    <t>504159</t>
  </si>
  <si>
    <t>KIA PICANTO 1.0 L M/T</t>
  </si>
  <si>
    <t>15-AUG-2022</t>
  </si>
  <si>
    <t>OLARWP300089282</t>
  </si>
  <si>
    <t>8485/08/2022/ITFM</t>
  </si>
  <si>
    <t>9976AP1232510004</t>
  </si>
  <si>
    <t>KHALID MOTORS</t>
  </si>
  <si>
    <t>1441374</t>
  </si>
  <si>
    <t>0804337</t>
  </si>
  <si>
    <t>0804337003</t>
  </si>
  <si>
    <t>ALI ARSLAN</t>
  </si>
  <si>
    <t>35202-0488967-3</t>
  </si>
  <si>
    <t>03217875335</t>
  </si>
  <si>
    <t xml:space="preserve">H NO 250 IRIS BLOCK BAHRIA TOWN LAHORE PK </t>
  </si>
  <si>
    <t>74853/0005/09/2023</t>
  </si>
  <si>
    <t>05-SEP-2024</t>
  </si>
  <si>
    <t>1029660</t>
  </si>
  <si>
    <t>1146173</t>
  </si>
  <si>
    <t>SUZUKI BOLAN VX EURO II</t>
  </si>
  <si>
    <t>OLDLHR300096603</t>
  </si>
  <si>
    <t>DIB0035279</t>
  </si>
  <si>
    <t>08-SEP-2023</t>
  </si>
  <si>
    <t>9976AP2232500004</t>
  </si>
  <si>
    <t>MOTOR TREND</t>
  </si>
  <si>
    <t>1406711</t>
  </si>
  <si>
    <t>0901274</t>
  </si>
  <si>
    <t>0901274001</t>
  </si>
  <si>
    <t>MUHAMMAD TALHA GONDAL</t>
  </si>
  <si>
    <t>61101-0876072-3</t>
  </si>
  <si>
    <t>03055959366</t>
  </si>
  <si>
    <t xml:space="preserve">H # 34-A ST # 8 AL WADI COLONY SAIT RA MEEL BARA KAHU ISLAMABAD PK </t>
  </si>
  <si>
    <t>74853/00004/09/2023</t>
  </si>
  <si>
    <t>16928791</t>
  </si>
  <si>
    <t>081367</t>
  </si>
  <si>
    <t>AWD-824</t>
  </si>
  <si>
    <t>HONDA CIVIC VTI ORIEL P/T</t>
  </si>
  <si>
    <t>OLUISD300096615</t>
  </si>
  <si>
    <t>DIB0035278</t>
  </si>
  <si>
    <t>9976AP2232500005</t>
  </si>
  <si>
    <t>1408001</t>
  </si>
  <si>
    <t>0313344</t>
  </si>
  <si>
    <t>0313344004</t>
  </si>
  <si>
    <t>SAIF ALI SHOUKAT</t>
  </si>
  <si>
    <t>35202-1039697-1</t>
  </si>
  <si>
    <t>03214007837</t>
  </si>
  <si>
    <t>8355139</t>
  </si>
  <si>
    <t xml:space="preserve">SHOP NO 06, F-7-3 GATE MARKET SHAMSABAD, RAWALPINDI 03214007837 </t>
  </si>
  <si>
    <t>74853/00003/09/2023</t>
  </si>
  <si>
    <t>503965</t>
  </si>
  <si>
    <t>1000485</t>
  </si>
  <si>
    <t>AWH-869</t>
  </si>
  <si>
    <t>CHANGAN ALSVIN COMFORT M/T</t>
  </si>
  <si>
    <t>OLUISD300096614</t>
  </si>
  <si>
    <t>DIB0035277</t>
  </si>
  <si>
    <t>07-SEP-2023</t>
  </si>
  <si>
    <t>997AAD1202120017</t>
  </si>
  <si>
    <t>SUZUKI TAXILA MOTORS</t>
  </si>
  <si>
    <t>587002</t>
  </si>
  <si>
    <t>0622012</t>
  </si>
  <si>
    <t>0622012001</t>
  </si>
  <si>
    <t>EHSAN ULLAH</t>
  </si>
  <si>
    <t>37405-2319434-1</t>
  </si>
  <si>
    <t>03335371058</t>
  </si>
  <si>
    <t xml:space="preserve">H # 16 ST # 6-1/B MADINA TOWN ISLAMABAD PK </t>
  </si>
  <si>
    <t>52740/00020/09/2020</t>
  </si>
  <si>
    <t>1005546</t>
  </si>
  <si>
    <t>1122061</t>
  </si>
  <si>
    <t>BOLAN VX EURO II</t>
  </si>
  <si>
    <t>POAISD300056124</t>
  </si>
  <si>
    <t>DIB0028680</t>
  </si>
  <si>
    <t>9976AD1212090007</t>
  </si>
  <si>
    <t>1104645</t>
  </si>
  <si>
    <t>0699870</t>
  </si>
  <si>
    <t>0699870001</t>
  </si>
  <si>
    <t>MUNIR AHMAD</t>
  </si>
  <si>
    <t>35202-5480542-3</t>
  </si>
  <si>
    <t>03004533851</t>
  </si>
  <si>
    <t>04235853909</t>
  </si>
  <si>
    <t xml:space="preserve">SHOP NO 103-15 ABU BAKAR BLOCK RAJA MARKET NEW GARDEN TOWN LAHORE </t>
  </si>
  <si>
    <t>2524/02640/000018/09/2021</t>
  </si>
  <si>
    <t>181472</t>
  </si>
  <si>
    <t>1081491</t>
  </si>
  <si>
    <t>SUZUKI ALTO VX EURO II</t>
  </si>
  <si>
    <t>OLALHR300071100</t>
  </si>
  <si>
    <t>DIB0031586</t>
  </si>
  <si>
    <t>9976AD1211510001</t>
  </si>
  <si>
    <t>653064</t>
  </si>
  <si>
    <t>0190092</t>
  </si>
  <si>
    <t>0190092002</t>
  </si>
  <si>
    <t>IMRAN ALI</t>
  </si>
  <si>
    <t>37405-3023879-9</t>
  </si>
  <si>
    <t>0515477911 0515854354</t>
  </si>
  <si>
    <t>03335393904</t>
  </si>
  <si>
    <t xml:space="preserve">593 K/2B STREET NO 6 WESTRIDGE ALLABAD RAWALPINDI </t>
  </si>
  <si>
    <t>2021/09/CLFTTPCDP00989</t>
  </si>
  <si>
    <t>219909</t>
  </si>
  <si>
    <t>10119925</t>
  </si>
  <si>
    <t>OLARWP300069005</t>
  </si>
  <si>
    <t>DIB0031584</t>
  </si>
  <si>
    <t>9976AD1211970017</t>
  </si>
  <si>
    <t>536229</t>
  </si>
  <si>
    <t>0251278</t>
  </si>
  <si>
    <t>0251278002</t>
  </si>
  <si>
    <t>MUHAMMAD KASHIF NASRULLAH SHEIKH</t>
  </si>
  <si>
    <t>35202-6201877-5</t>
  </si>
  <si>
    <t>03227700200</t>
  </si>
  <si>
    <t>37633900</t>
  </si>
  <si>
    <t xml:space="preserve">SHOP NO 209(SB) AMEEN BAZAR AZAM CLOTH MARKET LAHORE </t>
  </si>
  <si>
    <t>2021-09-205-V01501OPOOO2128</t>
  </si>
  <si>
    <t>184279</t>
  </si>
  <si>
    <t>10084159</t>
  </si>
  <si>
    <t>OLALHR300070883</t>
  </si>
  <si>
    <t>5417/09/2021</t>
  </si>
  <si>
    <t>9976AP1212520017</t>
  </si>
  <si>
    <t>ADIL ZAFAR MOTORS</t>
  </si>
  <si>
    <t>1104327</t>
  </si>
  <si>
    <t>0655108</t>
  </si>
  <si>
    <t>0655108003</t>
  </si>
  <si>
    <t>MUHAMMAD ZAHEER AHMAD MUGHAL</t>
  </si>
  <si>
    <t>35201-6107307-9</t>
  </si>
  <si>
    <t>03214544805</t>
  </si>
  <si>
    <t xml:space="preserve">212 ALLAMA IQBAL ROAD MUSTAFA ABAD DHARAMPURA LAHORE </t>
  </si>
  <si>
    <t>55601/00014/09/2021</t>
  </si>
  <si>
    <t>PK10B219760</t>
  </si>
  <si>
    <t>A1J310PK10119734</t>
  </si>
  <si>
    <t>09-SEP-2021</t>
  </si>
  <si>
    <t>OLDLHR300073224</t>
  </si>
  <si>
    <t>DIB0031580</t>
  </si>
  <si>
    <t>997AAD2202440014</t>
  </si>
  <si>
    <t>598377</t>
  </si>
  <si>
    <t>0464175</t>
  </si>
  <si>
    <t>0464175003</t>
  </si>
  <si>
    <t>ADNAN HUSSAIN</t>
  </si>
  <si>
    <t>33100-0600840-3</t>
  </si>
  <si>
    <t>03007618900</t>
  </si>
  <si>
    <t>03007618900, 03007618900</t>
  </si>
  <si>
    <t xml:space="preserve">P-278 MAQBOOL ROAD PEOPLES COLONY 0 2 FSD FAISALABAD PK </t>
  </si>
  <si>
    <t>2524/02112/00015/09/2020</t>
  </si>
  <si>
    <t>L13Z17540309</t>
  </si>
  <si>
    <t>NFBGM1642LR262955</t>
  </si>
  <si>
    <t>HONDA CITY A/T</t>
  </si>
  <si>
    <t>31-AUG-2020</t>
  </si>
  <si>
    <t>POAFSD300056968</t>
  </si>
  <si>
    <t>2961/09/2020</t>
  </si>
  <si>
    <t>07-SEP-2020</t>
  </si>
  <si>
    <t>9976AP1212510008</t>
  </si>
  <si>
    <t>TOYOTA GARDEN MOTORS</t>
  </si>
  <si>
    <t>1099218</t>
  </si>
  <si>
    <t>0692140</t>
  </si>
  <si>
    <t>0692140003</t>
  </si>
  <si>
    <t>MUHAMMAD SHAHBAZ UL QAMAR</t>
  </si>
  <si>
    <t>36401-9966175-1</t>
  </si>
  <si>
    <t>03334146747</t>
  </si>
  <si>
    <t xml:space="preserve">132 BLOCK 2 SECTOR C2 NEAR BUTT CHO WK UTILITY STORE TOWNSHIP LAHORE </t>
  </si>
  <si>
    <t>55601/00012/09/2021</t>
  </si>
  <si>
    <t>Q079693</t>
  </si>
  <si>
    <t>6057177</t>
  </si>
  <si>
    <t>OLDLHR300073229</t>
  </si>
  <si>
    <t>DIB0031577</t>
  </si>
  <si>
    <t>9976AD2212420001</t>
  </si>
  <si>
    <t>HONDA PORT QASIM</t>
  </si>
  <si>
    <t>1105820</t>
  </si>
  <si>
    <t>0716259</t>
  </si>
  <si>
    <t>0716259001</t>
  </si>
  <si>
    <t>DANIYAL</t>
  </si>
  <si>
    <t>42201-2750078-3</t>
  </si>
  <si>
    <t>03453790084</t>
  </si>
  <si>
    <t>03453790084, 03453790084</t>
  </si>
  <si>
    <t xml:space="preserve">H # H-545 BLOCK 3 AREA H MALIR NEAR TANGA STAND KARACHI PK </t>
  </si>
  <si>
    <t>55601/00015/09/2021</t>
  </si>
  <si>
    <t>16925779</t>
  </si>
  <si>
    <t>078313</t>
  </si>
  <si>
    <t>HONDA CIVIC 1.8 ORIEL</t>
  </si>
  <si>
    <t>OLAKHI300072711</t>
  </si>
  <si>
    <t>DIB0031573</t>
  </si>
  <si>
    <t>9976AP1212510005</t>
  </si>
  <si>
    <t>HONDA POINT</t>
  </si>
  <si>
    <t>1107931</t>
  </si>
  <si>
    <t>0718578</t>
  </si>
  <si>
    <t>0718578001</t>
  </si>
  <si>
    <t>MUHAMMAD ALI</t>
  </si>
  <si>
    <t>35201-6604907-7</t>
  </si>
  <si>
    <t>03244871700</t>
  </si>
  <si>
    <t xml:space="preserve">GT ROAD SOTAR MILL STOP MANAWAN LAHORE </t>
  </si>
  <si>
    <t>55601/00010/09/2021</t>
  </si>
  <si>
    <t>6925693</t>
  </si>
  <si>
    <t>MR078230</t>
  </si>
  <si>
    <t>OLDLHR300073203</t>
  </si>
  <si>
    <t>DIB0031575</t>
  </si>
  <si>
    <t>9976AP1222520007</t>
  </si>
  <si>
    <t>AL-1193213</t>
  </si>
  <si>
    <t>0178425</t>
  </si>
  <si>
    <t>0178425006</t>
  </si>
  <si>
    <t>SYED HUSSAIN BARI</t>
  </si>
  <si>
    <t>35201-7048031-5</t>
  </si>
  <si>
    <t>03244500500</t>
  </si>
  <si>
    <t>04235172273</t>
  </si>
  <si>
    <t xml:space="preserve">H NO 34 ST NO 53 MOH DARBAR HAZRAT MAIN MEER MUSTAFABAD LAHORE </t>
  </si>
  <si>
    <t>63286/00010/09/2022</t>
  </si>
  <si>
    <t>6R106685</t>
  </si>
  <si>
    <t>6H1005693</t>
  </si>
  <si>
    <t>LEH-19-9716</t>
  </si>
  <si>
    <t>OLULHR300089736</t>
  </si>
  <si>
    <t>8604/09/2022/ITFM</t>
  </si>
  <si>
    <t>9976AD2220570008</t>
  </si>
  <si>
    <t>1153555</t>
  </si>
  <si>
    <t>0245213</t>
  </si>
  <si>
    <t>0245213002</t>
  </si>
  <si>
    <t>ABDUL HAMEED</t>
  </si>
  <si>
    <t>61101-9349976-1</t>
  </si>
  <si>
    <t>03222444112</t>
  </si>
  <si>
    <t>04235840577</t>
  </si>
  <si>
    <t xml:space="preserve">HOUSE NO 160 ALI BLOCK NEW GARDEN TOWN LAHORE </t>
  </si>
  <si>
    <t>63286/00011/09/2022</t>
  </si>
  <si>
    <t>302394</t>
  </si>
  <si>
    <t>518034</t>
  </si>
  <si>
    <t>26-FEB-2022</t>
  </si>
  <si>
    <t>OLALHR300084721</t>
  </si>
  <si>
    <t>8605/09/2022</t>
  </si>
  <si>
    <t>9976AP2232510004</t>
  </si>
  <si>
    <t>ALI JAN MOTORS</t>
  </si>
  <si>
    <t>1441973</t>
  </si>
  <si>
    <t>0828514</t>
  </si>
  <si>
    <t>0828514003</t>
  </si>
  <si>
    <t>MUHAMMAD ZAIB JAVED</t>
  </si>
  <si>
    <t>35202-3728510-5</t>
  </si>
  <si>
    <t>03214696451</t>
  </si>
  <si>
    <t xml:space="preserve">HOUSE NO 4 REHMAT ALI ROAD SAMNABAD LAHORE PK </t>
  </si>
  <si>
    <t>74853/0008/09/2023</t>
  </si>
  <si>
    <t>06-SEP-2024</t>
  </si>
  <si>
    <t>207203</t>
  </si>
  <si>
    <t>10107185</t>
  </si>
  <si>
    <t>OLDLHR300096714</t>
  </si>
  <si>
    <t>DIB0035283</t>
  </si>
  <si>
    <t>9976AP2232510003</t>
  </si>
  <si>
    <t>1441774</t>
  </si>
  <si>
    <t>0899190</t>
  </si>
  <si>
    <t>0899190002</t>
  </si>
  <si>
    <t>MUMTAZ HUSSAIN</t>
  </si>
  <si>
    <t>33104-4570677-9</t>
  </si>
  <si>
    <t>03027777211</t>
  </si>
  <si>
    <t xml:space="preserve">HOUSE NO. 308, B-BLOCK, AASHIANA HOUSING SCHEME FEROZPUR ROAD, LAHORE 0302-7777211 </t>
  </si>
  <si>
    <t>74853/0009/09/2023</t>
  </si>
  <si>
    <t>122878</t>
  </si>
  <si>
    <t>10023031</t>
  </si>
  <si>
    <t>MNE-18-403</t>
  </si>
  <si>
    <t>OLULHR300096723</t>
  </si>
  <si>
    <t>DIB0035284</t>
  </si>
  <si>
    <t>9976AP1232500005</t>
  </si>
  <si>
    <t>1414333</t>
  </si>
  <si>
    <t>0691198</t>
  </si>
  <si>
    <t>0691198003</t>
  </si>
  <si>
    <t>ALI PERVAIZ</t>
  </si>
  <si>
    <t>35201-9660821-5</t>
  </si>
  <si>
    <t>03024170003</t>
  </si>
  <si>
    <t xml:space="preserve">4-CB GIRJA CHOWK ABID MAJEED ROAD C ANTT OPPOSITE PSO PUMP LAHORE </t>
  </si>
  <si>
    <t>74853/00006/09/2023</t>
  </si>
  <si>
    <t>5418197</t>
  </si>
  <si>
    <t>1104419</t>
  </si>
  <si>
    <t>TOYOTA FORTUNER 188D 4X4</t>
  </si>
  <si>
    <t>OLDLHR300096703</t>
  </si>
  <si>
    <t>DIB0035280</t>
  </si>
  <si>
    <t>9976AD1232190003</t>
  </si>
  <si>
    <t>1405062</t>
  </si>
  <si>
    <t>0677151</t>
  </si>
  <si>
    <t>0677151004</t>
  </si>
  <si>
    <t>USAMA SABIR</t>
  </si>
  <si>
    <t>42501-7780268-3</t>
  </si>
  <si>
    <t>03402235022</t>
  </si>
  <si>
    <t xml:space="preserve">H NO I-64 CANTT BAZAR MALIR CANTT KARACHI 0340-2235022 </t>
  </si>
  <si>
    <t>74853/00007/09/2023</t>
  </si>
  <si>
    <t>6R281845</t>
  </si>
  <si>
    <t>1181741</t>
  </si>
  <si>
    <t>OLAKHI300096023</t>
  </si>
  <si>
    <t>10490/09/2023/ITFM</t>
  </si>
  <si>
    <t>997AAD1202440022</t>
  </si>
  <si>
    <t>SUZUKI PIONEER TRADERS</t>
  </si>
  <si>
    <t>588623</t>
  </si>
  <si>
    <t>0627337</t>
  </si>
  <si>
    <t>0627337001</t>
  </si>
  <si>
    <t>SHAISTA NAZLI</t>
  </si>
  <si>
    <t>Burewala</t>
  </si>
  <si>
    <t>35301-1865335-4</t>
  </si>
  <si>
    <t>03336282110</t>
  </si>
  <si>
    <t xml:space="preserve">H NO 407 ST NO 6 SHAH FAIZ BUREWALA PK </t>
  </si>
  <si>
    <t>DIB/T/BT/28504/LHR/0920</t>
  </si>
  <si>
    <t>135682</t>
  </si>
  <si>
    <t>1035684</t>
  </si>
  <si>
    <t>ALTO VXR</t>
  </si>
  <si>
    <t>27-Sep-2025</t>
  </si>
  <si>
    <t>POABRW300056821</t>
  </si>
  <si>
    <t>DIB0028685</t>
  </si>
  <si>
    <t>997AAD1202410006</t>
  </si>
  <si>
    <t>577191</t>
  </si>
  <si>
    <t>0628145</t>
  </si>
  <si>
    <t>0628145001</t>
  </si>
  <si>
    <t>TANVEER AHMAD</t>
  </si>
  <si>
    <t>33100-1885379-7</t>
  </si>
  <si>
    <t>03246823574</t>
  </si>
  <si>
    <t>03246823574, 03246823574</t>
  </si>
  <si>
    <t xml:space="preserve">P -109 ST NO 8 MOHALLA KHALID FSD N EAR BISMILLAH GENERAL STORE FAISALABAD PK </t>
  </si>
  <si>
    <t>2524/02112/00014/09/2020</t>
  </si>
  <si>
    <t>L13217540276</t>
  </si>
  <si>
    <t>NFBGM1645LR262917</t>
  </si>
  <si>
    <t>CITY IVTEC A/T</t>
  </si>
  <si>
    <t>28-AUG-2020</t>
  </si>
  <si>
    <t>POAFSD300056844</t>
  </si>
  <si>
    <t>DIB0028678</t>
  </si>
  <si>
    <t>9976AP1212530019</t>
  </si>
  <si>
    <t>1096287</t>
  </si>
  <si>
    <t>0708391</t>
  </si>
  <si>
    <t>0708391001</t>
  </si>
  <si>
    <t>SHEIKH MUHAMMAD TAHIR</t>
  </si>
  <si>
    <t>42201-2979991-9</t>
  </si>
  <si>
    <t>03228218223</t>
  </si>
  <si>
    <t xml:space="preserve">HOUSE # A-68 KDA OFFICER SOCIETY BE HIND NATIONAL STADIUM BLOCK A GULSH KARACHI PK </t>
  </si>
  <si>
    <t>55601/00020/09/2021</t>
  </si>
  <si>
    <t>7-SEP-2022</t>
  </si>
  <si>
    <t>Z453966</t>
  </si>
  <si>
    <t>NZE17OR-4083101</t>
  </si>
  <si>
    <t>BGC-040</t>
  </si>
  <si>
    <t>TOYOTA COROLLA GLI</t>
  </si>
  <si>
    <t>OLUKHI300073272</t>
  </si>
  <si>
    <t>DIB0031606</t>
  </si>
  <si>
    <t>9976AD2212160063</t>
  </si>
  <si>
    <t>647436</t>
  </si>
  <si>
    <t>0415529</t>
  </si>
  <si>
    <t>0415529003</t>
  </si>
  <si>
    <t>MUHAMMAD ANUS</t>
  </si>
  <si>
    <t>42101-1473865-7</t>
  </si>
  <si>
    <t>03228268966</t>
  </si>
  <si>
    <t xml:space="preserve">A/44 BLOCK Q NORTH NAZIMABAD 1ST FL OOR BEHIND LAL KOTHI KARACHI PK </t>
  </si>
  <si>
    <t>2524/02640/00022/09/2021</t>
  </si>
  <si>
    <t>2A35288</t>
  </si>
  <si>
    <t>7021985</t>
  </si>
  <si>
    <t>TOYOTA YARIS GLI MT 1.3</t>
  </si>
  <si>
    <t>04-AUG-2021</t>
  </si>
  <si>
    <t>OLAKHI300071537</t>
  </si>
  <si>
    <t>DIB0031547</t>
  </si>
  <si>
    <t>9976AD1212070009</t>
  </si>
  <si>
    <t>437723</t>
  </si>
  <si>
    <t>0709156</t>
  </si>
  <si>
    <t>0709156001</t>
  </si>
  <si>
    <t>RUHMA IHSAN</t>
  </si>
  <si>
    <t>34101-9773807-2</t>
  </si>
  <si>
    <t>03328183923</t>
  </si>
  <si>
    <t xml:space="preserve">ROOM NO 4 EYE DEPARTMENT DMS OFFICE MAYO HOSPITAL LAHORE </t>
  </si>
  <si>
    <t>55601/00018/09/2021</t>
  </si>
  <si>
    <t>2A35640</t>
  </si>
  <si>
    <t>7022136</t>
  </si>
  <si>
    <t>YARIS GLI CVT 1.3</t>
  </si>
  <si>
    <t>26-JUL-2021</t>
  </si>
  <si>
    <t>OLALHR300071120</t>
  </si>
  <si>
    <t>DIB0031601</t>
  </si>
  <si>
    <t>997AAD1201900003</t>
  </si>
  <si>
    <t>600785</t>
  </si>
  <si>
    <t>0187292</t>
  </si>
  <si>
    <t>0187292005</t>
  </si>
  <si>
    <t>ASIF TAYYAB</t>
  </si>
  <si>
    <t>33100-0692389-7</t>
  </si>
  <si>
    <t>0321-9662828</t>
  </si>
  <si>
    <t>0321-9662828 0321-8222222</t>
  </si>
  <si>
    <t>041-8723239</t>
  </si>
  <si>
    <t xml:space="preserve">H NO P-6 PEOPLES COLONY 1 D-BLOCK PASSPORT ROAD NEAR ALLIED SCHOOL FAISALABAD </t>
  </si>
  <si>
    <t>DIB/T/28496/LHR/0920</t>
  </si>
  <si>
    <t>G4NALH317330</t>
  </si>
  <si>
    <t>NNAQL51AZKP302838</t>
  </si>
  <si>
    <t>08-JUL-2020</t>
  </si>
  <si>
    <t>POAFSD300055123</t>
  </si>
  <si>
    <t>9976AD1211200065</t>
  </si>
  <si>
    <t>HONDA SHAHRA-E-FAISAL</t>
  </si>
  <si>
    <t>640077</t>
  </si>
  <si>
    <t>0457015</t>
  </si>
  <si>
    <t>0457015010</t>
  </si>
  <si>
    <t>GHULAM QADIR MALIK</t>
  </si>
  <si>
    <t>42201-2731227-7</t>
  </si>
  <si>
    <t>03219230285</t>
  </si>
  <si>
    <t xml:space="preserve">HOUSE NO 15 BLOCK 10-A BUKHARI TOWN GULSHAN-E-IQBAL KARACHI </t>
  </si>
  <si>
    <t>55601/00021/09/2021</t>
  </si>
  <si>
    <t>6925232</t>
  </si>
  <si>
    <t>077701</t>
  </si>
  <si>
    <t>OLAKHI300068499</t>
  </si>
  <si>
    <t>5411/09/2021</t>
  </si>
  <si>
    <t>04-SEP-2021</t>
  </si>
  <si>
    <t>9976AD1211520077</t>
  </si>
  <si>
    <t>TOYOTA WESTERN MOTORS</t>
  </si>
  <si>
    <t>652301</t>
  </si>
  <si>
    <t>0690536</t>
  </si>
  <si>
    <t>0690536004</t>
  </si>
  <si>
    <t>MIAN SYED JAMSHED</t>
  </si>
  <si>
    <t>42101-1911469-5</t>
  </si>
  <si>
    <t>03458869674</t>
  </si>
  <si>
    <t xml:space="preserve">KAREEM AL SYEDAN ENTERPRICES OFFICE 1 KPK GENERAL BUS TERMINAL MAIN ABDULLAH COLLEGE ROAD NEAR PAPOSH QABERSTAN NORTH NAZIMABAD </t>
  </si>
  <si>
    <t>2021/09/CLFTTPCDP00998</t>
  </si>
  <si>
    <t>1GD5024342</t>
  </si>
  <si>
    <t>GUN156R-1095803</t>
  </si>
  <si>
    <t>TOYOTA FORTUNER 4X4 SPORTIVO</t>
  </si>
  <si>
    <t>OLAKHI300069035</t>
  </si>
  <si>
    <t>DIB0031408</t>
  </si>
  <si>
    <t>27-AUG-2021</t>
  </si>
  <si>
    <t>9976AP2201780078</t>
  </si>
  <si>
    <t>0561230</t>
  </si>
  <si>
    <t>0561230001</t>
  </si>
  <si>
    <t>KHURSHID AHMAD</t>
  </si>
  <si>
    <t>35202-3358799-9</t>
  </si>
  <si>
    <t>03040405827</t>
  </si>
  <si>
    <t xml:space="preserve">HOUSE NO 48 SUNNY PARK NEAR PCSIR P HASE 2 LAHORE PK </t>
  </si>
  <si>
    <t>51132/00054/09/2019</t>
  </si>
  <si>
    <t>LE-19A-8721</t>
  </si>
  <si>
    <t>ALTO VX EURO-II</t>
  </si>
  <si>
    <t>25-SEP-2019</t>
  </si>
  <si>
    <t>27-SEP-2019</t>
  </si>
  <si>
    <t>PODLHR300049316</t>
  </si>
  <si>
    <t>DIB0027855</t>
  </si>
  <si>
    <t>24-SEP-2019</t>
  </si>
  <si>
    <t>9976AP2192680001</t>
  </si>
  <si>
    <t>CO19 Relief Principal Deferment Cases</t>
  </si>
  <si>
    <t>9976AD2222450001</t>
  </si>
  <si>
    <t>1208649</t>
  </si>
  <si>
    <t>0802953</t>
  </si>
  <si>
    <t>0802953001</t>
  </si>
  <si>
    <t>MALHAR ALI BHUTTO</t>
  </si>
  <si>
    <t>42201-3402833-9</t>
  </si>
  <si>
    <t>03122351423</t>
  </si>
  <si>
    <t xml:space="preserve">FLAT NO 1006 10TH FLOOR BLOCK A-1 R AFI RESIDENCY UNIVERSITY ROAD NERA KARACHI PK </t>
  </si>
  <si>
    <t>DIB/T/38290/KHI/0922</t>
  </si>
  <si>
    <t>1868506</t>
  </si>
  <si>
    <t>300130</t>
  </si>
  <si>
    <t>PEUGEOT 2008 ACTIVE</t>
  </si>
  <si>
    <t>OLAKHI300089675</t>
  </si>
  <si>
    <t>8584/09/2022/ITFM</t>
  </si>
  <si>
    <t>9976AP1222590003</t>
  </si>
  <si>
    <t>DANISH MOTORS</t>
  </si>
  <si>
    <t>1196983</t>
  </si>
  <si>
    <t>0245461</t>
  </si>
  <si>
    <t>0245461009</t>
  </si>
  <si>
    <t>RAMEEZ SALEEM</t>
  </si>
  <si>
    <t>42101-4957806-3</t>
  </si>
  <si>
    <t>36947822</t>
  </si>
  <si>
    <t>03052228383</t>
  </si>
  <si>
    <t xml:space="preserve">H # A-94 CUSTOM PREVATIVE HOUSING SOCITY SCHEM-33 OPP GULSHAN E MAYMAR GATE .# 2 KARACHI </t>
  </si>
  <si>
    <t>63286/00015/09/2022</t>
  </si>
  <si>
    <t>6R169134</t>
  </si>
  <si>
    <t>1069127</t>
  </si>
  <si>
    <t>BTW-163</t>
  </si>
  <si>
    <t>SUZUKI ALTO VXR EURO-II</t>
  </si>
  <si>
    <t>21-Sep-2027</t>
  </si>
  <si>
    <t>OLUKHI300089778</t>
  </si>
  <si>
    <t>8617/09/2022/ITFM</t>
  </si>
  <si>
    <t>9976AP1201710029</t>
  </si>
  <si>
    <t>341697</t>
  </si>
  <si>
    <t>0432051</t>
  </si>
  <si>
    <t>0432051001</t>
  </si>
  <si>
    <t>NIGHAT BANO</t>
  </si>
  <si>
    <t>35202-3944531-8</t>
  </si>
  <si>
    <t>03334668634</t>
  </si>
  <si>
    <t>35959893</t>
  </si>
  <si>
    <t xml:space="preserve">H # 49 D 2 FARRUKH STREET GULSHAN R AVI NEAR BASHIR MASJID LAHORE PK </t>
  </si>
  <si>
    <t>DIB/T/17560/LHR/0917</t>
  </si>
  <si>
    <t>13-SEP-2018</t>
  </si>
  <si>
    <t>139439</t>
  </si>
  <si>
    <t>10039427</t>
  </si>
  <si>
    <t>LEA-17A-4838</t>
  </si>
  <si>
    <t>19-SEP-2017</t>
  </si>
  <si>
    <t>PODLHR300025564</t>
  </si>
  <si>
    <t>13176/09/2017</t>
  </si>
  <si>
    <t>14-SEP-2017</t>
  </si>
  <si>
    <t>9976AP1172620005</t>
  </si>
  <si>
    <t>9976AP2232540007</t>
  </si>
  <si>
    <t>SUNRISE AUTOS</t>
  </si>
  <si>
    <t>1408193</t>
  </si>
  <si>
    <t>0900263</t>
  </si>
  <si>
    <t>0900263002</t>
  </si>
  <si>
    <t>SHAHEEN AKHTER</t>
  </si>
  <si>
    <t>71502-1462109-0</t>
  </si>
  <si>
    <t>03365224757</t>
  </si>
  <si>
    <t xml:space="preserve">HOUSE# A-38/1 BLOCK-A, MOHALLAH SATELLITE TOWN RAWALPINDI 0336-5224757 </t>
  </si>
  <si>
    <t>74853/00010/09/2023</t>
  </si>
  <si>
    <t>07-SEP-2024</t>
  </si>
  <si>
    <t>767014</t>
  </si>
  <si>
    <t>01305560</t>
  </si>
  <si>
    <t>AMS-930</t>
  </si>
  <si>
    <t>SUZUKI MEHRAN VXR EURO II</t>
  </si>
  <si>
    <t>OLURWP300096783</t>
  </si>
  <si>
    <t>DIB0035285</t>
  </si>
  <si>
    <t>9976AP1201810051</t>
  </si>
  <si>
    <t>317713</t>
  </si>
  <si>
    <t>0360057</t>
  </si>
  <si>
    <t>0360057001</t>
  </si>
  <si>
    <t>SYED MUSTAFA HUSSAIN ABBAS</t>
  </si>
  <si>
    <t>42101-3852761-1</t>
  </si>
  <si>
    <t>021-35244772</t>
  </si>
  <si>
    <t>03219263601</t>
  </si>
  <si>
    <t>111476876</t>
  </si>
  <si>
    <t xml:space="preserve">M-91/4 KHAYABAN E SAADI PHASE-7 DHA NEAR MUJAHID PARK KARACHI </t>
  </si>
  <si>
    <t>DIB/T/12577/KHI/0916</t>
  </si>
  <si>
    <t>29-SEP-2017</t>
  </si>
  <si>
    <t>3743138</t>
  </si>
  <si>
    <t>ER116994</t>
  </si>
  <si>
    <t>BBS-808</t>
  </si>
  <si>
    <t>CIVIC VTI P/T</t>
  </si>
  <si>
    <t>2014</t>
  </si>
  <si>
    <t>03-OCT-2016</t>
  </si>
  <si>
    <t>03-Oct-2023</t>
  </si>
  <si>
    <t>POUKHI30001842</t>
  </si>
  <si>
    <t>TDIDIB0019849</t>
  </si>
  <si>
    <t>30-SEP-2016</t>
  </si>
  <si>
    <t>2.75%</t>
  </si>
  <si>
    <t>9976AP1162770006</t>
  </si>
  <si>
    <t>9976AP1192750005</t>
  </si>
  <si>
    <t>KT MOTORS</t>
  </si>
  <si>
    <t>591045</t>
  </si>
  <si>
    <t>0563135</t>
  </si>
  <si>
    <t>0563135001</t>
  </si>
  <si>
    <t>MUHAMMAD MANEEF</t>
  </si>
  <si>
    <t>33100-1709915-3</t>
  </si>
  <si>
    <t>03007626747</t>
  </si>
  <si>
    <t>03007626747, 03007626747</t>
  </si>
  <si>
    <t>041111552741</t>
  </si>
  <si>
    <t xml:space="preserve">H NO 147 ST NO 04 GREEN TOWN MILLAT ROAD FSD FAISALABAD PK </t>
  </si>
  <si>
    <t>51244/00001/10/2019</t>
  </si>
  <si>
    <t>B110237</t>
  </si>
  <si>
    <t>PK10010227</t>
  </si>
  <si>
    <t>UK-234</t>
  </si>
  <si>
    <t>WAGONR VXL</t>
  </si>
  <si>
    <t>02-OCT-2019</t>
  </si>
  <si>
    <t>POUFSD300049602</t>
  </si>
  <si>
    <t>TDIDIB0027323</t>
  </si>
  <si>
    <t>01-OCT-2019</t>
  </si>
  <si>
    <t>997APD1202970027</t>
  </si>
  <si>
    <t>SHADOW MOTORS</t>
  </si>
  <si>
    <t>626994</t>
  </si>
  <si>
    <t>0638649</t>
  </si>
  <si>
    <t>0638649001</t>
  </si>
  <si>
    <t>MUHAMMAD SAAD AHMED</t>
  </si>
  <si>
    <t>42101-8174917-7</t>
  </si>
  <si>
    <t>03322400987</t>
  </si>
  <si>
    <t xml:space="preserve">HOUSE # B-211 BLOCK-D NORTH NAZIMAB AD NEAR MASJID E ASHRAF KARACHI PK </t>
  </si>
  <si>
    <t>52921/00088/10/2020</t>
  </si>
  <si>
    <t>R18Z1-3741865</t>
  </si>
  <si>
    <t>NFBFB2669ER115902</t>
  </si>
  <si>
    <t>BBJ-379</t>
  </si>
  <si>
    <t>CIVIC VTI ORIEL</t>
  </si>
  <si>
    <t>23-OCT-2020</t>
  </si>
  <si>
    <t>27-OCT-2020</t>
  </si>
  <si>
    <t>27-Oct-2025</t>
  </si>
  <si>
    <t>POUKHI300058982</t>
  </si>
  <si>
    <t>DIB0028920</t>
  </si>
  <si>
    <t>22-OCT-2020</t>
  </si>
  <si>
    <t>9976AP1212600049</t>
  </si>
  <si>
    <t>1099087</t>
  </si>
  <si>
    <t>0719594</t>
  </si>
  <si>
    <t>0719594001</t>
  </si>
  <si>
    <t>JAMSHAID HASSAN CHEEMA</t>
  </si>
  <si>
    <t>34101-2384695-9</t>
  </si>
  <si>
    <t>03338123921</t>
  </si>
  <si>
    <t xml:space="preserve">PAKISTAN RAILWAY PRAIS BURT INSTITU TE ALLAMA IQBAL ROAD LAHORE </t>
  </si>
  <si>
    <t>55601/00024/09/2021</t>
  </si>
  <si>
    <t>182053</t>
  </si>
  <si>
    <t>1082021</t>
  </si>
  <si>
    <t>OLDLHR300073302</t>
  </si>
  <si>
    <t>DIB0031624</t>
  </si>
  <si>
    <t>997APD1202750013</t>
  </si>
  <si>
    <t>MANDVIWALA MOTORS</t>
  </si>
  <si>
    <t>579481</t>
  </si>
  <si>
    <t>0638371</t>
  </si>
  <si>
    <t>0638371001</t>
  </si>
  <si>
    <t>MANZOOR ALI UMRANI</t>
  </si>
  <si>
    <t>45402-0961844-5</t>
  </si>
  <si>
    <t>03163033741</t>
  </si>
  <si>
    <t>03163033741, 03003231711</t>
  </si>
  <si>
    <t xml:space="preserve">HOUSE # A-837 STREET # 2 CAMP # 1 G OLIMAR NEAR GHOSIA QABRUSTAN SHAHEE NAWABSHAH PK </t>
  </si>
  <si>
    <t>52921/00007/10/2020</t>
  </si>
  <si>
    <t>141405</t>
  </si>
  <si>
    <t>1041404</t>
  </si>
  <si>
    <t>SUZUKI ALTO VXR</t>
  </si>
  <si>
    <t>01-OCT-2020</t>
  </si>
  <si>
    <t>PODNWB300058165</t>
  </si>
  <si>
    <t>ITMM</t>
  </si>
  <si>
    <t>3177/09/2020/ITMM</t>
  </si>
  <si>
    <t>9976AP1232730030</t>
  </si>
  <si>
    <t>1412522</t>
  </si>
  <si>
    <t>0304658</t>
  </si>
  <si>
    <t>0304658002</t>
  </si>
  <si>
    <t>ASIM MAHBOOB</t>
  </si>
  <si>
    <t>35202-1176433-7</t>
  </si>
  <si>
    <t>03334321907</t>
  </si>
  <si>
    <t xml:space="preserve">LGS 49- CIVIC CENTRE M.A JOHAR TOWN LAHORE </t>
  </si>
  <si>
    <t>74853/00035/09/2023</t>
  </si>
  <si>
    <t>29-SEP-2024</t>
  </si>
  <si>
    <t>284535</t>
  </si>
  <si>
    <t>1184492</t>
  </si>
  <si>
    <t>03-OCT-2023</t>
  </si>
  <si>
    <t>OLDLHR300097289</t>
  </si>
  <si>
    <t>109194/09/2023</t>
  </si>
  <si>
    <t>30-SEP-2023</t>
  </si>
  <si>
    <t>9976AP1222730046</t>
  </si>
  <si>
    <t>CRESENT CAR COMPANY</t>
  </si>
  <si>
    <t>1192507</t>
  </si>
  <si>
    <t>0817811</t>
  </si>
  <si>
    <t>0817811001</t>
  </si>
  <si>
    <t>35202-0474168-9</t>
  </si>
  <si>
    <t>03008066736</t>
  </si>
  <si>
    <t xml:space="preserve">H NO 423 BLOCK NO 5 SECTOR D-1 MOHA LLAH KEER KALAN TOWNSHIP LAHORE PK </t>
  </si>
  <si>
    <t>63286/00094/09/2022</t>
  </si>
  <si>
    <t>17533597</t>
  </si>
  <si>
    <t>R252935</t>
  </si>
  <si>
    <t>LE-20-6663</t>
  </si>
  <si>
    <t>HONDA CITY I-VTEC</t>
  </si>
  <si>
    <t>03-Oct-2025</t>
  </si>
  <si>
    <t>OLULHR300090207</t>
  </si>
  <si>
    <t>8896/09/2022/ITFM</t>
  </si>
  <si>
    <t>9976AD1212070025</t>
  </si>
  <si>
    <t>1095953</t>
  </si>
  <si>
    <t>0699801</t>
  </si>
  <si>
    <t>0699801001</t>
  </si>
  <si>
    <t>IRFAN ARSHAD</t>
  </si>
  <si>
    <t>35200-1571573-7</t>
  </si>
  <si>
    <t>03217171859</t>
  </si>
  <si>
    <t xml:space="preserve">60 FRUIT MARKET MULTAN CHUNGI WAHDA T ROAD NEAR PANI WALI TANKI LAHORE </t>
  </si>
  <si>
    <t>2524/02640/00131/09/2021</t>
  </si>
  <si>
    <t>186133</t>
  </si>
  <si>
    <t>10086135</t>
  </si>
  <si>
    <t>OLALHR300071147</t>
  </si>
  <si>
    <t>DIB0031946</t>
  </si>
  <si>
    <t>997APD2202750013</t>
  </si>
  <si>
    <t>MOTORWAYS PRIVATE LTD</t>
  </si>
  <si>
    <t>579711</t>
  </si>
  <si>
    <t>0638223</t>
  </si>
  <si>
    <t>0638223001</t>
  </si>
  <si>
    <t>AFTAB SHEIKH</t>
  </si>
  <si>
    <t>42201-0475686-3</t>
  </si>
  <si>
    <t>03168605174</t>
  </si>
  <si>
    <t>02199072031</t>
  </si>
  <si>
    <t xml:space="preserve">HOUSE # L-5 SHEET # 16 JAFAR BAGH M ODEL COLONY NEAR BURHAN MASJID KARACHI PK </t>
  </si>
  <si>
    <t>52921/00004/10/2020</t>
  </si>
  <si>
    <t>1006236</t>
  </si>
  <si>
    <t>1122742</t>
  </si>
  <si>
    <t>PODKHI300058141</t>
  </si>
  <si>
    <t>3169/09/2020</t>
  </si>
  <si>
    <t>9976AP1212570017</t>
  </si>
  <si>
    <t>1104364</t>
  </si>
  <si>
    <t>0720331</t>
  </si>
  <si>
    <t>0720331001</t>
  </si>
  <si>
    <t>SAEED ANWAR</t>
  </si>
  <si>
    <t>35202-4316138-5</t>
  </si>
  <si>
    <t>03227970580</t>
  </si>
  <si>
    <t xml:space="preserve">9 RASOOL PARK MAIN SHAMA ROAD NEAR KASHMIR BAKERY LAHORE </t>
  </si>
  <si>
    <t>55601/00025/09/2021</t>
  </si>
  <si>
    <t>L13Z17504131</t>
  </si>
  <si>
    <t>NFBGM1546HR215372</t>
  </si>
  <si>
    <t>LEA-18-9318</t>
  </si>
  <si>
    <t>OLULHR300073308</t>
  </si>
  <si>
    <t>DIB0031626</t>
  </si>
  <si>
    <t>9976AP2222760040</t>
  </si>
  <si>
    <t>AL-643207</t>
  </si>
  <si>
    <t>0801152</t>
  </si>
  <si>
    <t>0801152007</t>
  </si>
  <si>
    <t>QAZI AMJAD ABID ABBASI</t>
  </si>
  <si>
    <t>42301-1470554-5</t>
  </si>
  <si>
    <t>03008244440</t>
  </si>
  <si>
    <t xml:space="preserve">FLAT # SF-1 , SEA VIEW APPT, BEACH AVENUE PHASE 5 EXT DHA KARACHI 0300-8244440 </t>
  </si>
  <si>
    <t>63286/00092/09/2022</t>
  </si>
  <si>
    <t>12955514</t>
  </si>
  <si>
    <t>LR059219</t>
  </si>
  <si>
    <t>BRJ-212</t>
  </si>
  <si>
    <t>HONDA CIVIC 1.8L ORIEL</t>
  </si>
  <si>
    <t>OLUKHI300090169</t>
  </si>
  <si>
    <t>8883/09/2022/ITFM</t>
  </si>
  <si>
    <t>9976AD1211690033</t>
  </si>
  <si>
    <t>638302</t>
  </si>
  <si>
    <t>0699928</t>
  </si>
  <si>
    <t>0699928001</t>
  </si>
  <si>
    <t>BILAL SIKANDER</t>
  </si>
  <si>
    <t>38401-7412616-9</t>
  </si>
  <si>
    <t>03434712494</t>
  </si>
  <si>
    <t>04235880062</t>
  </si>
  <si>
    <t xml:space="preserve">HOUSE NO 1189 STREET NO 11 NEAR SAN A CLINIC NISHAT COLONY LAHORE PK </t>
  </si>
  <si>
    <t>2021-09-205-V01501OP0002138</t>
  </si>
  <si>
    <t>182585</t>
  </si>
  <si>
    <t>10082597</t>
  </si>
  <si>
    <t>SUZUKI CULTUX VXL AGS EURO 11</t>
  </si>
  <si>
    <t>18-JUN-2021</t>
  </si>
  <si>
    <t>OLALHR300069566</t>
  </si>
  <si>
    <t>DIB0031619</t>
  </si>
  <si>
    <t>9976AD1211960008</t>
  </si>
  <si>
    <t>1100085</t>
  </si>
  <si>
    <t>0488309</t>
  </si>
  <si>
    <t>0488309003</t>
  </si>
  <si>
    <t>MUHAMMAD USMAN ZIA</t>
  </si>
  <si>
    <t>35202-4574823-1</t>
  </si>
  <si>
    <t>03004444999</t>
  </si>
  <si>
    <t>0, 03004444999</t>
  </si>
  <si>
    <t xml:space="preserve">HAJI SARDAR MACHLI SHAHTAJ CENTER W ALTON ROAD LAHORE </t>
  </si>
  <si>
    <t>2021-09-205-V01501OP0002134</t>
  </si>
  <si>
    <t>2A35534</t>
  </si>
  <si>
    <t>NSP151R-9513374</t>
  </si>
  <si>
    <t>OLALHR300070687</t>
  </si>
  <si>
    <t>DIB0031599</t>
  </si>
  <si>
    <t>9976AD1212000008</t>
  </si>
  <si>
    <t>1093657</t>
  </si>
  <si>
    <t>0601368</t>
  </si>
  <si>
    <t>0601368003</t>
  </si>
  <si>
    <t>SHEZA MOEEN</t>
  </si>
  <si>
    <t>35201-1181687-0</t>
  </si>
  <si>
    <t>03334288435</t>
  </si>
  <si>
    <t>111448800, 03334288435</t>
  </si>
  <si>
    <t>111448800</t>
  </si>
  <si>
    <t xml:space="preserve">HOUSE NO 691 STREET NO 14 BLOCK-C A SKARI 10 CANTT LAHORE PK </t>
  </si>
  <si>
    <t>2524/02640/00031/09/2021</t>
  </si>
  <si>
    <t>2A35401</t>
  </si>
  <si>
    <t>7022012</t>
  </si>
  <si>
    <t>TOYOTA YARIS ATI V M T 1.3</t>
  </si>
  <si>
    <t>19-JUL-2021</t>
  </si>
  <si>
    <t>21-Sep-2028</t>
  </si>
  <si>
    <t>OLALHR300070957</t>
  </si>
  <si>
    <t>DIB0031622</t>
  </si>
  <si>
    <t>9976AD1222720004</t>
  </si>
  <si>
    <t>AL-1200614</t>
  </si>
  <si>
    <t>0189347</t>
  </si>
  <si>
    <t>0189347012</t>
  </si>
  <si>
    <t>DANISH ATIQ</t>
  </si>
  <si>
    <t>42201-4457023-5</t>
  </si>
  <si>
    <t>02134583364</t>
  </si>
  <si>
    <t>03316043931</t>
  </si>
  <si>
    <t>34536207</t>
  </si>
  <si>
    <t xml:space="preserve">H NO-27 DOHS 2 MALIR CANTT 1ST FLOOR STREET-1 NEAR-CHECK POST-1 KARACHI </t>
  </si>
  <si>
    <t>DIB/T/38673/KHI/0922</t>
  </si>
  <si>
    <t>1869437</t>
  </si>
  <si>
    <t>500578</t>
  </si>
  <si>
    <t>PEUGEOT 2008 ALLURE</t>
  </si>
  <si>
    <t>OLAKHI300090143</t>
  </si>
  <si>
    <t>8863/09/2022/ITFM</t>
  </si>
  <si>
    <t>9976AP1222730062</t>
  </si>
  <si>
    <t>AL JANAT MOTORS</t>
  </si>
  <si>
    <t>AL-1096997</t>
  </si>
  <si>
    <t>0340701</t>
  </si>
  <si>
    <t>0340701002</t>
  </si>
  <si>
    <t>MUHAMMAD WASEEM</t>
  </si>
  <si>
    <t>35201-9340992-1</t>
  </si>
  <si>
    <t>03239999119</t>
  </si>
  <si>
    <t xml:space="preserve">AZEEM MARBLE AND GRANITE SHARIF PARK OPP ATTOCK PETROL PUMP CENTRAL PARK 31-KM FEROZEPUR ROAD LAHORE </t>
  </si>
  <si>
    <t>63286/00095/09/2022</t>
  </si>
  <si>
    <t>12933100</t>
  </si>
  <si>
    <t>R036532</t>
  </si>
  <si>
    <t>LEE-18-6664</t>
  </si>
  <si>
    <t>OLULHR300090205</t>
  </si>
  <si>
    <t>9976AD1210830011</t>
  </si>
  <si>
    <t>591955</t>
  </si>
  <si>
    <t>0682525</t>
  </si>
  <si>
    <t>0682525001</t>
  </si>
  <si>
    <t>ASFAND MARI</t>
  </si>
  <si>
    <t>41306-8663031-5</t>
  </si>
  <si>
    <t>03342139606</t>
  </si>
  <si>
    <t xml:space="preserve">FLAT NO 1 1ST FLOOR PLOT 60/C STREE T 25 TH TOUHEED COMMERCIOL MOVIN PI KARACHI PK </t>
  </si>
  <si>
    <t>2524/02640/00028/09/2021</t>
  </si>
  <si>
    <t>Q079832</t>
  </si>
  <si>
    <t>6057325</t>
  </si>
  <si>
    <t>24-MAR-2021</t>
  </si>
  <si>
    <t>OLAKHI300066991</t>
  </si>
  <si>
    <t>DIB0031529</t>
  </si>
  <si>
    <t>9976AP2222730031</t>
  </si>
  <si>
    <t>1192559</t>
  </si>
  <si>
    <t>0267823</t>
  </si>
  <si>
    <t>0267823003</t>
  </si>
  <si>
    <t>UMAR IQBAL</t>
  </si>
  <si>
    <t>35202-8270908-7</t>
  </si>
  <si>
    <t>03006237894</t>
  </si>
  <si>
    <t>0300-6237894</t>
  </si>
  <si>
    <t xml:space="preserve">H# 01 ST# 01 BARKAT TOWN FAISAL PARK SHAHDRA LAHORE </t>
  </si>
  <si>
    <t>63286/00096/09/2022</t>
  </si>
  <si>
    <t>151141</t>
  </si>
  <si>
    <t>10051105</t>
  </si>
  <si>
    <t>LEA-18-6529</t>
  </si>
  <si>
    <t>03-Oct-2027</t>
  </si>
  <si>
    <t>OLULHR30090211</t>
  </si>
  <si>
    <t>899/09/2022/ITFM</t>
  </si>
  <si>
    <t>9976AP2212530016</t>
  </si>
  <si>
    <t>1104399</t>
  </si>
  <si>
    <t>0221319</t>
  </si>
  <si>
    <t>0221319012</t>
  </si>
  <si>
    <t>WAHEED IQBAL</t>
  </si>
  <si>
    <t>35201-5461105-9</t>
  </si>
  <si>
    <t>03228434346</t>
  </si>
  <si>
    <t>35965486, 35965498</t>
  </si>
  <si>
    <t xml:space="preserve">H NO 270 BLOCK K PHASE I DHA LAHORE </t>
  </si>
  <si>
    <t>55601/00022/09/2021</t>
  </si>
  <si>
    <t>15E4E5MSM3220531</t>
  </si>
  <si>
    <t>LSJA24U9XMN0066660</t>
  </si>
  <si>
    <t>MG MOTOR MG HS TURBO</t>
  </si>
  <si>
    <t>OLDLHR300073335</t>
  </si>
  <si>
    <t>DIB0031608</t>
  </si>
  <si>
    <t>9976AD1210890017</t>
  </si>
  <si>
    <t>SUBHAN MOTORS</t>
  </si>
  <si>
    <t>626175</t>
  </si>
  <si>
    <t>0682586</t>
  </si>
  <si>
    <t>0682586001</t>
  </si>
  <si>
    <t>MALIK ALI RIZWAN</t>
  </si>
  <si>
    <t>34603-2299631-9</t>
  </si>
  <si>
    <t>03018617660</t>
  </si>
  <si>
    <t xml:space="preserve">MALIK STREET NEW MIANA PURA RORAS R OAD NEAR OPPOSITE SIKANDAR CORP. SIALKOT </t>
  </si>
  <si>
    <t>2021-09-205-V01501OP0002133</t>
  </si>
  <si>
    <t>SFG15T-21019961</t>
  </si>
  <si>
    <t>PDF508PALR21H1716</t>
  </si>
  <si>
    <t>30-MAR-2021</t>
  </si>
  <si>
    <t>OLASKT300067124</t>
  </si>
  <si>
    <t>10857/09/2021</t>
  </si>
  <si>
    <t>9976AP1222730056</t>
  </si>
  <si>
    <t>1198521</t>
  </si>
  <si>
    <t>0822469</t>
  </si>
  <si>
    <t>0822469001</t>
  </si>
  <si>
    <t>SHEHZAD ALI KHAN</t>
  </si>
  <si>
    <t>42201-4740858-1</t>
  </si>
  <si>
    <t>03232022596</t>
  </si>
  <si>
    <t>03232022596, 03232022596</t>
  </si>
  <si>
    <t xml:space="preserve">H. NO. D-444 SEC 33/A KORANGI # 2 1 /2 NEAR OPP CHINIGOT HOSPITAL KARACHI PK </t>
  </si>
  <si>
    <t>63286/00089/09/2022</t>
  </si>
  <si>
    <t>13050601</t>
  </si>
  <si>
    <t>10050539</t>
  </si>
  <si>
    <t>BTY-908</t>
  </si>
  <si>
    <t>OLUKHI300090184</t>
  </si>
  <si>
    <t>8880/09/2022/ITFM</t>
  </si>
  <si>
    <t>997AAD1202120027</t>
  </si>
  <si>
    <t>577415</t>
  </si>
  <si>
    <t>0618908</t>
  </si>
  <si>
    <t>0618908003</t>
  </si>
  <si>
    <t>ALI AKBAR</t>
  </si>
  <si>
    <t>35201-1555277-1</t>
  </si>
  <si>
    <t>03008478505</t>
  </si>
  <si>
    <t xml:space="preserve">HOUSE NO. 241, STREET NO. 04, PHASE 04, DHA LAHORE CANTT 0300-8478505 </t>
  </si>
  <si>
    <t>1GD0838553</t>
  </si>
  <si>
    <t>GUN156R-1093706</t>
  </si>
  <si>
    <t>FORTUNER DIESEL 4X4</t>
  </si>
  <si>
    <t>POALHR300056083</t>
  </si>
  <si>
    <t>2982/09/2020/ITFM</t>
  </si>
  <si>
    <t>9976AP1222730050</t>
  </si>
  <si>
    <t>1200679</t>
  </si>
  <si>
    <t>0390197</t>
  </si>
  <si>
    <t>0390197006</t>
  </si>
  <si>
    <t>SYED MEHDI HASAN RIZVI</t>
  </si>
  <si>
    <t>42101-4771450-9</t>
  </si>
  <si>
    <t>03219254631</t>
  </si>
  <si>
    <t>35221133</t>
  </si>
  <si>
    <t xml:space="preserve">L-753 SECTOR # 5-D SURJANI TOWN KARACHI PK </t>
  </si>
  <si>
    <t>63286/00091/09/2022</t>
  </si>
  <si>
    <t>R177188</t>
  </si>
  <si>
    <t>1077179</t>
  </si>
  <si>
    <t>BUZ-721</t>
  </si>
  <si>
    <t>OLUKHI300090195</t>
  </si>
  <si>
    <t>8882/09/2022/ITFM</t>
  </si>
  <si>
    <t>9976AP2222560001</t>
  </si>
  <si>
    <t>AL-1150012</t>
  </si>
  <si>
    <t>0803645</t>
  </si>
  <si>
    <t>0803645002</t>
  </si>
  <si>
    <t>42301-6811072-7</t>
  </si>
  <si>
    <t>03312233199</t>
  </si>
  <si>
    <t xml:space="preserve">FLAT NO 207, AZHAN GARDEN JAMSHAID QUARTER KARACHI 0331-2233199 </t>
  </si>
  <si>
    <t>63286/00017/09/2022</t>
  </si>
  <si>
    <t>13036457</t>
  </si>
  <si>
    <t>10036448</t>
  </si>
  <si>
    <t>BJR-391</t>
  </si>
  <si>
    <t>SUZUKI SWIFT DLX ABS WITH EBD A/T</t>
  </si>
  <si>
    <t>OLUKHI300089782</t>
  </si>
  <si>
    <t>8638/09/2022/ITFM</t>
  </si>
  <si>
    <t>9976AP1222560002</t>
  </si>
  <si>
    <t>AL-598769</t>
  </si>
  <si>
    <t>0327054</t>
  </si>
  <si>
    <t>0327054002</t>
  </si>
  <si>
    <t>ISMAIL KHAN</t>
  </si>
  <si>
    <t>42501-1003173-7</t>
  </si>
  <si>
    <t>03132590938</t>
  </si>
  <si>
    <t xml:space="preserve">SHOP NO 6-7,GROUND FLOOR,BLOCK-2 SURYA RESIDENCY,SURVEY SHEET P.E.C.H.S, KARACHI </t>
  </si>
  <si>
    <t>63286/00019/09/2022</t>
  </si>
  <si>
    <t>6R221057</t>
  </si>
  <si>
    <t>1120741</t>
  </si>
  <si>
    <t>BWF-485</t>
  </si>
  <si>
    <t>OLUKHI300089775</t>
  </si>
  <si>
    <t>8630/09/2022</t>
  </si>
  <si>
    <t>9976AP2222730020</t>
  </si>
  <si>
    <t>1414298</t>
  </si>
  <si>
    <t>0822857</t>
  </si>
  <si>
    <t>0822857002</t>
  </si>
  <si>
    <t>AMIR IQBAL</t>
  </si>
  <si>
    <t>33302-4984722-3</t>
  </si>
  <si>
    <t>03364552806</t>
  </si>
  <si>
    <t xml:space="preserve">H NO 91 BLOCK C NEW OFFICERS COLONY SADAR CANTT LAHORE PK </t>
  </si>
  <si>
    <t>63286/00093/09/2022</t>
  </si>
  <si>
    <t>240565</t>
  </si>
  <si>
    <t>10140576</t>
  </si>
  <si>
    <t>OLDLHR300090202</t>
  </si>
  <si>
    <t>8890/09/2022/ITFM</t>
  </si>
  <si>
    <t>9976AP1222730041</t>
  </si>
  <si>
    <t>1192548</t>
  </si>
  <si>
    <t>0822259</t>
  </si>
  <si>
    <t>0822259001</t>
  </si>
  <si>
    <t>ABDULLAH BUTT</t>
  </si>
  <si>
    <t>35202-5363329-9</t>
  </si>
  <si>
    <t>03047643095</t>
  </si>
  <si>
    <t xml:space="preserve">H NO 116-B SHAH JAMAL COLONY LAHORE PK </t>
  </si>
  <si>
    <t>63286/00088/09/2022</t>
  </si>
  <si>
    <t>1007593</t>
  </si>
  <si>
    <t>107591</t>
  </si>
  <si>
    <t>SUZUKI SWIFT GL CVT</t>
  </si>
  <si>
    <t>OLDLHR300090171</t>
  </si>
  <si>
    <t>8871/09/2022/ITFM</t>
  </si>
  <si>
    <t>9976AP1222730040</t>
  </si>
  <si>
    <t>1414287</t>
  </si>
  <si>
    <t>0820222</t>
  </si>
  <si>
    <t>0820222001</t>
  </si>
  <si>
    <t>MUHAMMAD AFZAL</t>
  </si>
  <si>
    <t>33104-7125847-5</t>
  </si>
  <si>
    <t>03227948137</t>
  </si>
  <si>
    <t>04237723656</t>
  </si>
  <si>
    <t xml:space="preserve">HOUSE NO 568 BLOCK B STREET NO 14 A SKARI 10 LAHORE PK </t>
  </si>
  <si>
    <t>63286/00090/09/2022</t>
  </si>
  <si>
    <t>140264</t>
  </si>
  <si>
    <t>10039977</t>
  </si>
  <si>
    <t>LEE-19-132</t>
  </si>
  <si>
    <t>SUZUKI CULTUS VXL AGS EURO-II</t>
  </si>
  <si>
    <t>OLULHR300090177</t>
  </si>
  <si>
    <t>8878/09/2022/ITFM</t>
  </si>
  <si>
    <t>9976AP1222730031</t>
  </si>
  <si>
    <t>1103803</t>
  </si>
  <si>
    <t>0822635</t>
  </si>
  <si>
    <t>0822635001</t>
  </si>
  <si>
    <t>MALIK DILAWAR HUSSAIN</t>
  </si>
  <si>
    <t>35202-6793460-5</t>
  </si>
  <si>
    <t>03214789562</t>
  </si>
  <si>
    <t xml:space="preserve">H NO 69 ST NO 3 SAEED PARK SHAHDARA NEAR CHAIR MARKET LAHORE </t>
  </si>
  <si>
    <t>63286/00087/09/2022</t>
  </si>
  <si>
    <t>240648</t>
  </si>
  <si>
    <t>10140650</t>
  </si>
  <si>
    <t>OLDLHR300090173</t>
  </si>
  <si>
    <t>8869/09/2022/ITFM</t>
  </si>
  <si>
    <t>9976AP1222730030</t>
  </si>
  <si>
    <t>1192544</t>
  </si>
  <si>
    <t>0821131</t>
  </si>
  <si>
    <t>0821131001</t>
  </si>
  <si>
    <t>SHEIKH SHOAIB AHMAD</t>
  </si>
  <si>
    <t>35202-6570294-9</t>
  </si>
  <si>
    <t>03222696969</t>
  </si>
  <si>
    <t xml:space="preserve">H NO 59-B KACHA FEROZPUR ROAD NEAR SUZUKI KHALID MOTORS LAHORE PK </t>
  </si>
  <si>
    <t>63286/00086/09/2022</t>
  </si>
  <si>
    <t>119556</t>
  </si>
  <si>
    <t>10019543</t>
  </si>
  <si>
    <t>LEE-18-4720</t>
  </si>
  <si>
    <t>SUZUKI CULTUS VXR EURO-II</t>
  </si>
  <si>
    <t>OLULHR300090164</t>
  </si>
  <si>
    <t>8860/09/2022/ITFM</t>
  </si>
  <si>
    <t>9976AD1210910115</t>
  </si>
  <si>
    <t>HYUNDAI CENTRAL MOTORS</t>
  </si>
  <si>
    <t>526243</t>
  </si>
  <si>
    <t>0684427</t>
  </si>
  <si>
    <t>0684427001</t>
  </si>
  <si>
    <t>ASAD EJAZ</t>
  </si>
  <si>
    <t>35202-2970709-5</t>
  </si>
  <si>
    <t>03009404061</t>
  </si>
  <si>
    <t xml:space="preserve">SHOP NO 14,15 GROUND FLOOR SULTANA ARCADE KAREEM BLOCK MARKET ALLAMA I QBAL TOWN LAHORE </t>
  </si>
  <si>
    <t>2524/02640/00134/09/2021</t>
  </si>
  <si>
    <t>G4NAMU087667</t>
  </si>
  <si>
    <t>PMHJ2813MMN203476</t>
  </si>
  <si>
    <t>TUCSON FWD</t>
  </si>
  <si>
    <t>01-APR-2021</t>
  </si>
  <si>
    <t>OLALHR300067529</t>
  </si>
  <si>
    <t>DIB0031950</t>
  </si>
  <si>
    <t>9976AD1211510064</t>
  </si>
  <si>
    <t>1094035</t>
  </si>
  <si>
    <t>0140598</t>
  </si>
  <si>
    <t>0140598004</t>
  </si>
  <si>
    <t>ALI HAMMAD RAZA</t>
  </si>
  <si>
    <t>Multan</t>
  </si>
  <si>
    <t>36302-4233549-5</t>
  </si>
  <si>
    <t>03146153385</t>
  </si>
  <si>
    <t>0614541092</t>
  </si>
  <si>
    <t xml:space="preserve">SWIFT POWER PAY SERVICES, 108-C, TUGLUQ ROAD, CHUNGI NO.7, AL HASSAN MANZIL, MULTAN. </t>
  </si>
  <si>
    <t>55601/00027/09/2021</t>
  </si>
  <si>
    <t>6R177394</t>
  </si>
  <si>
    <t>NF1AET306H1077381</t>
  </si>
  <si>
    <t>OLAMUX300069168</t>
  </si>
  <si>
    <t>1058574/09/2021</t>
  </si>
  <si>
    <t>9976AD2210880004</t>
  </si>
  <si>
    <t>648651</t>
  </si>
  <si>
    <t>0679219</t>
  </si>
  <si>
    <t>0679219001</t>
  </si>
  <si>
    <t>AFZAL ISHAQ MIRZA</t>
  </si>
  <si>
    <t>34603-0506725-5</t>
  </si>
  <si>
    <t>03096140446</t>
  </si>
  <si>
    <t xml:space="preserve">NEAR NATIONAL POSHISH DEFENCE ROAD SIALKOT </t>
  </si>
  <si>
    <t>2021/09/CLFTTPCDP01008</t>
  </si>
  <si>
    <t>466Q9M69U504981</t>
  </si>
  <si>
    <t>NKMAAB3D1M1008755</t>
  </si>
  <si>
    <t>OLASKT300066954</t>
  </si>
  <si>
    <t>108575/09/2021</t>
  </si>
  <si>
    <t>997APD1202750004</t>
  </si>
  <si>
    <t>KIA MOTORS FEROZEPUR</t>
  </si>
  <si>
    <t>633039</t>
  </si>
  <si>
    <t>0475555</t>
  </si>
  <si>
    <t>0475555003</t>
  </si>
  <si>
    <t>GHULAM SHABBIR SHAHEEN</t>
  </si>
  <si>
    <t>37203-1485511-1</t>
  </si>
  <si>
    <t>03219463428</t>
  </si>
  <si>
    <t>36362870</t>
  </si>
  <si>
    <t xml:space="preserve">SHOP# 4 GROUND FLOOTR EMPIRE CENTRE 1 MAIN ABBOT ROAD NEAR NATIONAL HO TEL LAHORE </t>
  </si>
  <si>
    <t>52740/00102/09/2020</t>
  </si>
  <si>
    <t>H323747</t>
  </si>
  <si>
    <t>KP505067</t>
  </si>
  <si>
    <t>PODLHR300058092</t>
  </si>
  <si>
    <t>997AAD1201820042</t>
  </si>
  <si>
    <t>KIA SAMA MOTORS</t>
  </si>
  <si>
    <t>588102</t>
  </si>
  <si>
    <t>0035542</t>
  </si>
  <si>
    <t>0035542003</t>
  </si>
  <si>
    <t>NADEEM HUSSAIN</t>
  </si>
  <si>
    <t>35202-2356167-3</t>
  </si>
  <si>
    <t>042-7241449</t>
  </si>
  <si>
    <t>03224493518</t>
  </si>
  <si>
    <t>042-8557041</t>
  </si>
  <si>
    <t xml:space="preserve">H NO 13/1NAND STR-47 CHUBARGI SHAM NAGAR NEAR ILAHI CLINIC Lahore </t>
  </si>
  <si>
    <t>52921/00017/10/2020</t>
  </si>
  <si>
    <t>G4NALH323163</t>
  </si>
  <si>
    <t>NNAQL51AZKP505281</t>
  </si>
  <si>
    <t>KIS SPORTAGE AWD</t>
  </si>
  <si>
    <t>30-JUN-2020</t>
  </si>
  <si>
    <t>11-OCT-2020</t>
  </si>
  <si>
    <t>11-Oct-2025</t>
  </si>
  <si>
    <t>POALHR300054911</t>
  </si>
  <si>
    <t>9976AD2212120027</t>
  </si>
  <si>
    <t>FEDERAL MOTORS</t>
  </si>
  <si>
    <t>646420</t>
  </si>
  <si>
    <t>0711440</t>
  </si>
  <si>
    <t>0711440001</t>
  </si>
  <si>
    <t>SANIA KHALID</t>
  </si>
  <si>
    <t>61101-3969863-0</t>
  </si>
  <si>
    <t>03450539140</t>
  </si>
  <si>
    <t xml:space="preserve">H # 391 ST # 75 E-11/3 NEAR CITY SC HOOL E-11/3 ISLAMABAD PK </t>
  </si>
  <si>
    <t>01-2109-PO-MTR-PCCM-D-001996</t>
  </si>
  <si>
    <t>184394</t>
  </si>
  <si>
    <t>10084378</t>
  </si>
  <si>
    <t>OLAISD300071543</t>
  </si>
  <si>
    <t>5425/09/2021</t>
  </si>
  <si>
    <t>9976AD1211510029</t>
  </si>
  <si>
    <t>442821</t>
  </si>
  <si>
    <t>0694116</t>
  </si>
  <si>
    <t>0694116001</t>
  </si>
  <si>
    <t>MUNIZA ASAD</t>
  </si>
  <si>
    <t>42101-6659449-2</t>
  </si>
  <si>
    <t>03473668474</t>
  </si>
  <si>
    <t xml:space="preserve">HOUSE B- 2 SECTER 15/B BUFFER ZONE MISHAL AL ALOOM MASJID KARACHI PK </t>
  </si>
  <si>
    <t>2021-09-205-V01501DP0002143</t>
  </si>
  <si>
    <t>6R179894</t>
  </si>
  <si>
    <t>NF1AET306H1079946</t>
  </si>
  <si>
    <t>OLAKHI300069077</t>
  </si>
  <si>
    <t>DIB0031538</t>
  </si>
  <si>
    <t>9976AD1211660008</t>
  </si>
  <si>
    <t>526127</t>
  </si>
  <si>
    <t>0699153</t>
  </si>
  <si>
    <t>0699153001</t>
  </si>
  <si>
    <t>KHURAM ASLUM SHEIKH</t>
  </si>
  <si>
    <t>35201-6143301-7</t>
  </si>
  <si>
    <t>03008468085</t>
  </si>
  <si>
    <t>04235959231</t>
  </si>
  <si>
    <t xml:space="preserve">18-KM FEROZPUR ROAD NEAR GO PATROL PUMP LAHORE </t>
  </si>
  <si>
    <t>DIB/T/33737/LHR/0921</t>
  </si>
  <si>
    <t>G4NAMH312291</t>
  </si>
  <si>
    <t>NNAQL51AZLP101941</t>
  </si>
  <si>
    <t>SPORTAGE ALPHA</t>
  </si>
  <si>
    <t>OLALHR300069483</t>
  </si>
  <si>
    <t>997AAD1202190003</t>
  </si>
  <si>
    <t>HONDA GUJRANWALA</t>
  </si>
  <si>
    <t>579304</t>
  </si>
  <si>
    <t>0622960</t>
  </si>
  <si>
    <t>0622960001</t>
  </si>
  <si>
    <t>ABUBAKER AZIZ</t>
  </si>
  <si>
    <t>34101-3564180-9</t>
  </si>
  <si>
    <t>0306-6440494</t>
  </si>
  <si>
    <t>03066440494</t>
  </si>
  <si>
    <t>03006440494</t>
  </si>
  <si>
    <t xml:space="preserve">SHOP NO 1 MEHAR PLAZA NOMANIA ROAD GUJRANWALA </t>
  </si>
  <si>
    <t>2524/02112/00034/09/2020</t>
  </si>
  <si>
    <t>L13Z17540176</t>
  </si>
  <si>
    <t>NFBGM1543LR262741</t>
  </si>
  <si>
    <t>06-AUG-2020</t>
  </si>
  <si>
    <t>POAGWL300056271</t>
  </si>
  <si>
    <t>DIB0028691</t>
  </si>
  <si>
    <t>997APD1202740097</t>
  </si>
  <si>
    <t>H.N. MOTORS</t>
  </si>
  <si>
    <t>630378</t>
  </si>
  <si>
    <t>0455326</t>
  </si>
  <si>
    <t>0455326002</t>
  </si>
  <si>
    <t>MUHAMMAD SHAHZAD</t>
  </si>
  <si>
    <t>35202-4551436-3</t>
  </si>
  <si>
    <t>0321-8434054</t>
  </si>
  <si>
    <t>03218434054</t>
  </si>
  <si>
    <t>042-35831205</t>
  </si>
  <si>
    <t xml:space="preserve">OFFICE NO 1 GROUND FLOOR RB 1 1/4 USMAN BLOCK AWAMI COMPLEX NEW GARDEN LAHORE </t>
  </si>
  <si>
    <t>6913130</t>
  </si>
  <si>
    <t>064934</t>
  </si>
  <si>
    <t>PODLHR300057951</t>
  </si>
  <si>
    <t>3120/09/2020/ITMM</t>
  </si>
  <si>
    <t>997AAD1202100012</t>
  </si>
  <si>
    <t>577329</t>
  </si>
  <si>
    <t>0621745</t>
  </si>
  <si>
    <t>0621745001</t>
  </si>
  <si>
    <t>SADIA ZUHAIB</t>
  </si>
  <si>
    <t>35201-7741947-2</t>
  </si>
  <si>
    <t>03006664959</t>
  </si>
  <si>
    <t>04237167806</t>
  </si>
  <si>
    <t xml:space="preserve">OFFICE NO 22 STREET NO 5 AL-AMIN HO USING SOCIETY BEDIAN ROAD CANTT LAHORE </t>
  </si>
  <si>
    <t>6913545</t>
  </si>
  <si>
    <t>065352</t>
  </si>
  <si>
    <t>POALHR300055972</t>
  </si>
  <si>
    <t>3109/09/2020/ITFM</t>
  </si>
  <si>
    <t>9976AD2210670003</t>
  </si>
  <si>
    <t>639736</t>
  </si>
  <si>
    <t>0627050</t>
  </si>
  <si>
    <t>0627050002</t>
  </si>
  <si>
    <t>REHMAN ULLAH</t>
  </si>
  <si>
    <t>21706-0826830-5</t>
  </si>
  <si>
    <t>03188229132</t>
  </si>
  <si>
    <t xml:space="preserve">REHMAN MOTORS AND TYRE DEALER SHOP NO 7 BLOCK 1 FANCY VIEW PLAZA NEAR TOTAL PUPME SECTOR 13B SUPER HIGHWAY KARACHI </t>
  </si>
  <si>
    <t>2524/02640/00036/09/2021</t>
  </si>
  <si>
    <t>Q079969</t>
  </si>
  <si>
    <t>ZRE171R-6057433</t>
  </si>
  <si>
    <t>08-MAR-2021</t>
  </si>
  <si>
    <t>OLAKHI300066539</t>
  </si>
  <si>
    <t>DIB0031618</t>
  </si>
  <si>
    <t>9976AP1212740092</t>
  </si>
  <si>
    <t>1107752</t>
  </si>
  <si>
    <t>0726907</t>
  </si>
  <si>
    <t>0726907001</t>
  </si>
  <si>
    <t>AWAIS NADEEM</t>
  </si>
  <si>
    <t>36302-2904757-3</t>
  </si>
  <si>
    <t>03027377974</t>
  </si>
  <si>
    <t>04237180579</t>
  </si>
  <si>
    <t xml:space="preserve">303-MB 2ND FLOOR DHA PHASE 6 COMMER CIAL MAIN BOULEVARD LAHORE </t>
  </si>
  <si>
    <t>55601/00114/09/2021</t>
  </si>
  <si>
    <t>R18Z16915587</t>
  </si>
  <si>
    <t>NFBC6663LR067573</t>
  </si>
  <si>
    <t>ABH-581</t>
  </si>
  <si>
    <t>OLULHR300074453</t>
  </si>
  <si>
    <t>DIB0031949</t>
  </si>
  <si>
    <t>9976AD2211830041</t>
  </si>
  <si>
    <t>638351</t>
  </si>
  <si>
    <t>0622935</t>
  </si>
  <si>
    <t>0622935004</t>
  </si>
  <si>
    <t>MUHAMMAD ASAD AFZAL</t>
  </si>
  <si>
    <t>35202-2912050-1</t>
  </si>
  <si>
    <t>03218414247</t>
  </si>
  <si>
    <t xml:space="preserve">A AND U MECANTILE PVT LTD, SUIT NO. 402, 4TH FLOOR GULBERG ARCADE,38-G, GULBERG 2 LAHORE. </t>
  </si>
  <si>
    <t>55601/00031/09/2021</t>
  </si>
  <si>
    <t>314207</t>
  </si>
  <si>
    <t>306936</t>
  </si>
  <si>
    <t>OLALHR300070306</t>
  </si>
  <si>
    <t>5433/09/2021</t>
  </si>
  <si>
    <t>997APD2202740061</t>
  </si>
  <si>
    <t>MIDWAY MOTORS</t>
  </si>
  <si>
    <t>626969</t>
  </si>
  <si>
    <t>0637319</t>
  </si>
  <si>
    <t>0637319001</t>
  </si>
  <si>
    <t>MUHAMMAD SIRAJ</t>
  </si>
  <si>
    <t>42101-1921804-5</t>
  </si>
  <si>
    <t>03112020527</t>
  </si>
  <si>
    <t xml:space="preserve">HOUSE # A-27 SECTOR 4 QASBA KHAWAJA GHARIB NAWAZ COLONY ORANGI TOWN NE KARACHI PK </t>
  </si>
  <si>
    <t>52740/00110/09/2020</t>
  </si>
  <si>
    <t>Q048727</t>
  </si>
  <si>
    <t>6026229</t>
  </si>
  <si>
    <t>BPY-557</t>
  </si>
  <si>
    <t>TOYOTA COROLLA ALTIS</t>
  </si>
  <si>
    <t>POUKHI300058084</t>
  </si>
  <si>
    <t>3150/09/2020/ITMM</t>
  </si>
  <si>
    <t>9976AP1212600045</t>
  </si>
  <si>
    <t>AFTAB MOTORS</t>
  </si>
  <si>
    <t>1103250</t>
  </si>
  <si>
    <t>0718484</t>
  </si>
  <si>
    <t>0718484001</t>
  </si>
  <si>
    <t>ABDUL AZIZ HAMEED</t>
  </si>
  <si>
    <t>35201-1358982-1</t>
  </si>
  <si>
    <t>03090606455</t>
  </si>
  <si>
    <t xml:space="preserve">EMERALD LABS 160/1 DHA PHASE 1 COMM ERCIAL AREA COMMERCIAL MARKET LAHORE </t>
  </si>
  <si>
    <t>55601/00035/09/2021</t>
  </si>
  <si>
    <t>030288</t>
  </si>
  <si>
    <t>201430</t>
  </si>
  <si>
    <t>AGS-847</t>
  </si>
  <si>
    <t>HUYUNDAI TUSCON AWD</t>
  </si>
  <si>
    <t>OLULHR300073336</t>
  </si>
  <si>
    <t>DIB0031644</t>
  </si>
  <si>
    <t>9976AP1212570021</t>
  </si>
  <si>
    <t>1103152</t>
  </si>
  <si>
    <t>0064995</t>
  </si>
  <si>
    <t>0064995016</t>
  </si>
  <si>
    <t>QUSWAR ABBAS</t>
  </si>
  <si>
    <t>33202-2874759-9</t>
  </si>
  <si>
    <t>0321-9444944</t>
  </si>
  <si>
    <t>03219444944</t>
  </si>
  <si>
    <t>35941147 35771951-3</t>
  </si>
  <si>
    <t xml:space="preserve">H # I-H 61 PAF FALCON COMPLEX GULBERG 3 LAHORE </t>
  </si>
  <si>
    <t>55601/00037/09/2021</t>
  </si>
  <si>
    <t>R18Z16922912</t>
  </si>
  <si>
    <t>NFBFC6663MR075254</t>
  </si>
  <si>
    <t>OLDLHR300073399</t>
  </si>
  <si>
    <t>DIB0031649</t>
  </si>
  <si>
    <t>997AAD2201820018</t>
  </si>
  <si>
    <t>ISUZU RAZMAK MOTORS</t>
  </si>
  <si>
    <t>577023</t>
  </si>
  <si>
    <t>0364870</t>
  </si>
  <si>
    <t>0364870006</t>
  </si>
  <si>
    <t>IRFAN IQBAL</t>
  </si>
  <si>
    <t>42101-1603656-1</t>
  </si>
  <si>
    <t>03232255000</t>
  </si>
  <si>
    <t xml:space="preserve">TECH PROS B-23, 1ST FLOOR, ROW C BLOCK 4, GULSHAN E KANEEZ FATIMA KARACHI </t>
  </si>
  <si>
    <t>52740/00012/09/2020</t>
  </si>
  <si>
    <t>UR0191</t>
  </si>
  <si>
    <t>MPATES85JKG005319</t>
  </si>
  <si>
    <t>ISUZU D MAX V CROSS 4X4 DC A/T</t>
  </si>
  <si>
    <t>PODKHI300055058</t>
  </si>
  <si>
    <t>2950/09/2020/ITFM</t>
  </si>
  <si>
    <t>9976AP1212640016</t>
  </si>
  <si>
    <t>1107924</t>
  </si>
  <si>
    <t>0720772</t>
  </si>
  <si>
    <t>0720772001</t>
  </si>
  <si>
    <t>JAMSHED ALI KHAN</t>
  </si>
  <si>
    <t>36502-3560263-3</t>
  </si>
  <si>
    <t>03004544063</t>
  </si>
  <si>
    <t xml:space="preserve">OFFICE NO 57-58 D-BLOCK FAISAL TOWN LAHORE </t>
  </si>
  <si>
    <t>55601/00039/09/2021</t>
  </si>
  <si>
    <t>15E4E5MGM5190209</t>
  </si>
  <si>
    <t>L5JAZ4U99MN094112</t>
  </si>
  <si>
    <t>MG MOTOR MG HS</t>
  </si>
  <si>
    <t>OLDLHR300073402</t>
  </si>
  <si>
    <t>DIB0031650</t>
  </si>
  <si>
    <t>9976AP1212530023</t>
  </si>
  <si>
    <t>1103909</t>
  </si>
  <si>
    <t>0379605</t>
  </si>
  <si>
    <t>0379605005</t>
  </si>
  <si>
    <t>ULFAT MAHMOOD</t>
  </si>
  <si>
    <t>35202-2907417-3</t>
  </si>
  <si>
    <t>03004196531</t>
  </si>
  <si>
    <t xml:space="preserve">HOUSE NO 29 SUN FLOWER BAHRIA NASHEMAN FEROZPUR ROAD LAHORE </t>
  </si>
  <si>
    <t>55601/00030/09/2021</t>
  </si>
  <si>
    <t>G4-NALH338843</t>
  </si>
  <si>
    <t>NNAQL51AZKP508488</t>
  </si>
  <si>
    <t>ASX-701</t>
  </si>
  <si>
    <t>OLULHR300073394</t>
  </si>
  <si>
    <t>5424/09/2021</t>
  </si>
  <si>
    <t>9976AD1180900029</t>
  </si>
  <si>
    <t>448305</t>
  </si>
  <si>
    <t>0471602</t>
  </si>
  <si>
    <t>0471602001</t>
  </si>
  <si>
    <t>SADIQ ALI</t>
  </si>
  <si>
    <t>41308-6902213-1</t>
  </si>
  <si>
    <t>0222661527</t>
  </si>
  <si>
    <t>03332658407</t>
  </si>
  <si>
    <t xml:space="preserve">GOVT DISTRIC HEALTH OFFICE DC COMPL EX 2 MAIN ROAD TANDO MUHAMMAD KHAN NEQAR NADRA OFFCE TANDO MUHAMMAD KHAN </t>
  </si>
  <si>
    <t>2018/09/CLFTTPCDP01628</t>
  </si>
  <si>
    <t>10-SEP-2019</t>
  </si>
  <si>
    <t>169800</t>
  </si>
  <si>
    <t>10069779</t>
  </si>
  <si>
    <t>BNL-271</t>
  </si>
  <si>
    <t>31-MAR-2018</t>
  </si>
  <si>
    <t>POAHYD300032462</t>
  </si>
  <si>
    <t>DIB0025743</t>
  </si>
  <si>
    <t>15-SEP-2018</t>
  </si>
  <si>
    <t>997APD1202590016</t>
  </si>
  <si>
    <t>577986</t>
  </si>
  <si>
    <t>0632917</t>
  </si>
  <si>
    <t>0632917001</t>
  </si>
  <si>
    <t>MUSARAT HUSSAIN</t>
  </si>
  <si>
    <t>35202-6406907-2</t>
  </si>
  <si>
    <t>03015182023</t>
  </si>
  <si>
    <t>04235860066</t>
  </si>
  <si>
    <t xml:space="preserve">OFF NO 103-A NEW MUSLIM TOWN WAHDAT ROAD LAHORE </t>
  </si>
  <si>
    <t>HF300276</t>
  </si>
  <si>
    <t>LFP72APC4F5A16635</t>
  </si>
  <si>
    <t>LEA-16-6042</t>
  </si>
  <si>
    <t>FAW-V2</t>
  </si>
  <si>
    <t>15-SEP-2020</t>
  </si>
  <si>
    <t>POULHR300057251</t>
  </si>
  <si>
    <t>3003/09/2020ITFM</t>
  </si>
  <si>
    <t>14-SEP-2020</t>
  </si>
  <si>
    <t>997AAD1202120016</t>
  </si>
  <si>
    <t>598181</t>
  </si>
  <si>
    <t>0622905</t>
  </si>
  <si>
    <t>0622905001</t>
  </si>
  <si>
    <t>MUHAMMAD SOHAIL SARWAR</t>
  </si>
  <si>
    <t>35201-6566129-3</t>
  </si>
  <si>
    <t>03218806418</t>
  </si>
  <si>
    <t>04235691715</t>
  </si>
  <si>
    <t xml:space="preserve">F-34 1ST FLOOR , PHASE 1 DHA NEAR M ASJID CHOWK LAHORE </t>
  </si>
  <si>
    <t>161960</t>
  </si>
  <si>
    <t>10061963</t>
  </si>
  <si>
    <t>CULTUS VXL</t>
  </si>
  <si>
    <t>POALHR300056113</t>
  </si>
  <si>
    <t>2988/09/2020/ITFM</t>
  </si>
  <si>
    <t>9976AP2212740046</t>
  </si>
  <si>
    <t>1100697</t>
  </si>
  <si>
    <t>0726988</t>
  </si>
  <si>
    <t>0726988001</t>
  </si>
  <si>
    <t>MUHAMMAD MOHSIN</t>
  </si>
  <si>
    <t>31203-7393565-9</t>
  </si>
  <si>
    <t>03000421692</t>
  </si>
  <si>
    <t>03000421692, 03000421692</t>
  </si>
  <si>
    <t xml:space="preserve">MILLAT ROAD DHANOLA GREEN CITY FSD FAISALABAD PK </t>
  </si>
  <si>
    <t>55601/00119/09/2021</t>
  </si>
  <si>
    <t>L12B51000380</t>
  </si>
  <si>
    <t>NFBGN8625MR000708</t>
  </si>
  <si>
    <t>HONDA CITY I-VTEC 1.2 L CVT</t>
  </si>
  <si>
    <t>OLDFSD300074471</t>
  </si>
  <si>
    <t>DIB0031965</t>
  </si>
  <si>
    <t>997APD2202750019</t>
  </si>
  <si>
    <t>654570</t>
  </si>
  <si>
    <t>0636109</t>
  </si>
  <si>
    <t>0636109001</t>
  </si>
  <si>
    <t>SHOAIB AHMED</t>
  </si>
  <si>
    <t>42101-6809727-9</t>
  </si>
  <si>
    <t>03452205015</t>
  </si>
  <si>
    <t>02135880151</t>
  </si>
  <si>
    <t xml:space="preserve">ICON HOUSE # 83/C 12th COMMERCIAL S TREET PH-II EXT.DHA OPP.QASR E SHIR EEN KARACHI </t>
  </si>
  <si>
    <t>52921/00011/10/2020</t>
  </si>
  <si>
    <t>12946223</t>
  </si>
  <si>
    <t>R049413</t>
  </si>
  <si>
    <t>BPQ-499</t>
  </si>
  <si>
    <t>HONDA CIVIC ORIEL</t>
  </si>
  <si>
    <t>POUKHI300058145</t>
  </si>
  <si>
    <t>3176/09/2020/ITMM</t>
  </si>
  <si>
    <t>997AAD1202120056</t>
  </si>
  <si>
    <t>598118</t>
  </si>
  <si>
    <t>0131201</t>
  </si>
  <si>
    <t>0131201023</t>
  </si>
  <si>
    <t>ASRAR AMIN AGHA</t>
  </si>
  <si>
    <t>35202-3098758-5</t>
  </si>
  <si>
    <t>04235758206</t>
  </si>
  <si>
    <t>03218451629</t>
  </si>
  <si>
    <t>0423111141947</t>
  </si>
  <si>
    <t xml:space="preserve">H NO 52 B HBFC SOCIETY NEAR SUI GAS SOCIETY PHASE I DHA LAHORE </t>
  </si>
  <si>
    <t>G4NALH316995</t>
  </si>
  <si>
    <t>NNAQL51AZKP302968</t>
  </si>
  <si>
    <t>POALHR300056215</t>
  </si>
  <si>
    <t>9976AP1232560005</t>
  </si>
  <si>
    <t>1442000</t>
  </si>
  <si>
    <t>0899724</t>
  </si>
  <si>
    <t>0899724001</t>
  </si>
  <si>
    <t>MUHAMMAD TOUQEER</t>
  </si>
  <si>
    <t>35202-6160557-7</t>
  </si>
  <si>
    <t>03238848671</t>
  </si>
  <si>
    <t xml:space="preserve">H NO 210 E-1 BLOCK JOHAR TOWN LAHORE PK </t>
  </si>
  <si>
    <t>74853/00012/09/2023</t>
  </si>
  <si>
    <t>10-SEP-2024</t>
  </si>
  <si>
    <t>02459</t>
  </si>
  <si>
    <t>3602212W</t>
  </si>
  <si>
    <t>AFA-755</t>
  </si>
  <si>
    <t>PRINCE PERAL</t>
  </si>
  <si>
    <t>21-SEP-2023</t>
  </si>
  <si>
    <t>OLULHR300096773</t>
  </si>
  <si>
    <t>DIB0035292</t>
  </si>
  <si>
    <t>9976AP1232560004</t>
  </si>
  <si>
    <t>1402543</t>
  </si>
  <si>
    <t>0902157</t>
  </si>
  <si>
    <t>0902157001</t>
  </si>
  <si>
    <t>MUHAMMAD FAISAL</t>
  </si>
  <si>
    <t>35201-1538200-7</t>
  </si>
  <si>
    <t>03214718001</t>
  </si>
  <si>
    <t>03139851515, 03214718001</t>
  </si>
  <si>
    <t xml:space="preserve">H NO 8 ST NO 1 ABDULLAH STREET MOMA N PURA BAGHBANPURA LAHORE PK </t>
  </si>
  <si>
    <t>74853/0013/09/2023</t>
  </si>
  <si>
    <t>14040115</t>
  </si>
  <si>
    <t>123840</t>
  </si>
  <si>
    <t>LEA-15-6037</t>
  </si>
  <si>
    <t>HONDA CIVIC IVTEC P/T</t>
  </si>
  <si>
    <t>OLULHR300096813</t>
  </si>
  <si>
    <t>DIB0035291</t>
  </si>
  <si>
    <t>9976AP2232550008</t>
  </si>
  <si>
    <t>KIA MOTORS FESTIVAL CITY</t>
  </si>
  <si>
    <t>1441612</t>
  </si>
  <si>
    <t>0466601</t>
  </si>
  <si>
    <t>0466601002</t>
  </si>
  <si>
    <t>ALI MUSHTAQ</t>
  </si>
  <si>
    <t>34101-0610570-1</t>
  </si>
  <si>
    <t>03234374244</t>
  </si>
  <si>
    <t xml:space="preserve">BUILDING # 254, 2ND FLOOR, SECTOR-G, PHASE 5, DHA LAHORE </t>
  </si>
  <si>
    <t>74853/00011/09/2023</t>
  </si>
  <si>
    <t>306333</t>
  </si>
  <si>
    <t>519677</t>
  </si>
  <si>
    <t>OLDLHR300096713</t>
  </si>
  <si>
    <t>DIB0035289</t>
  </si>
  <si>
    <t>997APD1202750009</t>
  </si>
  <si>
    <t>654007</t>
  </si>
  <si>
    <t>0638164</t>
  </si>
  <si>
    <t>0638164001</t>
  </si>
  <si>
    <t>MUHAMMAD YASEEN KHAN</t>
  </si>
  <si>
    <t>42101-6574935-5</t>
  </si>
  <si>
    <t>03332296425</t>
  </si>
  <si>
    <t xml:space="preserve">C-2 /47 RABIA CITY GULISTAN-E- JOUH AR BLOCK 18 JOUHAR CHOWRANGI KARACHI PK </t>
  </si>
  <si>
    <t>52921/00002/10/2020</t>
  </si>
  <si>
    <t>2A05722</t>
  </si>
  <si>
    <t>9502653</t>
  </si>
  <si>
    <t>PODKHI300058139</t>
  </si>
  <si>
    <t>3172/09/2020/ITMM</t>
  </si>
  <si>
    <t>9976AP2192730016</t>
  </si>
  <si>
    <t>543501</t>
  </si>
  <si>
    <t>0356396</t>
  </si>
  <si>
    <t>0356396003</t>
  </si>
  <si>
    <t>SARSHAD ALI</t>
  </si>
  <si>
    <t>42201-0540181-7</t>
  </si>
  <si>
    <t>03002694789</t>
  </si>
  <si>
    <t>32786177</t>
  </si>
  <si>
    <t xml:space="preserve">H# F-382 NEW TOWN JAHANGIR WEST PATEL PARA NEAR SONHERI MASJID BACK SIDE OF LESBELA KARACHI </t>
  </si>
  <si>
    <t>51132/00098/09/2019</t>
  </si>
  <si>
    <t>7556430</t>
  </si>
  <si>
    <t>6412389</t>
  </si>
  <si>
    <t>BQW-924</t>
  </si>
  <si>
    <t>TOYOTA AQUA HYBRID</t>
  </si>
  <si>
    <t>POUKHI300049517</t>
  </si>
  <si>
    <t>DIB0027881</t>
  </si>
  <si>
    <t>997APD1202740068</t>
  </si>
  <si>
    <t>626988</t>
  </si>
  <si>
    <t>0635797</t>
  </si>
  <si>
    <t>0635797001</t>
  </si>
  <si>
    <t>MUHAMMAD ZUBAIR</t>
  </si>
  <si>
    <t>42301-3184339-5</t>
  </si>
  <si>
    <t>03343500877</t>
  </si>
  <si>
    <t xml:space="preserve">BB,140, DEFENCE VIEW, PHASE III, NEAR IQRA UNIVERSITY, KARACHI PK </t>
  </si>
  <si>
    <t>52710/00111/9/2020</t>
  </si>
  <si>
    <t>1791110</t>
  </si>
  <si>
    <t>2199937</t>
  </si>
  <si>
    <t>POUKHI300058056</t>
  </si>
  <si>
    <t>3159/09/2020/ITMM</t>
  </si>
  <si>
    <t>9976AP1212740091</t>
  </si>
  <si>
    <t>SAEED AUTOS</t>
  </si>
  <si>
    <t>1099778</t>
  </si>
  <si>
    <t>0727501</t>
  </si>
  <si>
    <t>0727501001</t>
  </si>
  <si>
    <t>SYED MUHAMMAD USAMA</t>
  </si>
  <si>
    <t>33100-9709792-5</t>
  </si>
  <si>
    <t>03228661367</t>
  </si>
  <si>
    <t>03228661367, 03228661367</t>
  </si>
  <si>
    <t xml:space="preserve">370-C GM ABAD FSD NEAR CHANDNI CHOWK FAISALABAD PK </t>
  </si>
  <si>
    <t>56038/00003/10/2021</t>
  </si>
  <si>
    <t>PK10K137112</t>
  </si>
  <si>
    <t>NF1AK31H10037093</t>
  </si>
  <si>
    <t>LEA-19-6417</t>
  </si>
  <si>
    <t>OLUFSD300074564</t>
  </si>
  <si>
    <t>DIB0031987</t>
  </si>
  <si>
    <t>997APD2202740034</t>
  </si>
  <si>
    <t>TOYOTA CLIFTON MOTORS</t>
  </si>
  <si>
    <t>579774</t>
  </si>
  <si>
    <t>0391886</t>
  </si>
  <si>
    <t>0391886001</t>
  </si>
  <si>
    <t>ASHAR</t>
  </si>
  <si>
    <t>42301-6562270-5</t>
  </si>
  <si>
    <t xml:space="preserve">JAWAID BROSS LABEL INDUS PVT LTD PLOT NO 5/2 SECTOR 15 KORANGI INDUSTRI </t>
  </si>
  <si>
    <t>2A-06429</t>
  </si>
  <si>
    <t>7003418</t>
  </si>
  <si>
    <t>YARIS ATIV A/T 1.3</t>
  </si>
  <si>
    <t>PODKHI300057882</t>
  </si>
  <si>
    <t>DIB0028814</t>
  </si>
  <si>
    <t>9976AP1212740090</t>
  </si>
  <si>
    <t>1100608</t>
  </si>
  <si>
    <t>0727451</t>
  </si>
  <si>
    <t>0727451001</t>
  </si>
  <si>
    <t>SOHAIL AMIR</t>
  </si>
  <si>
    <t>33100-4931708-9</t>
  </si>
  <si>
    <t>03007157606</t>
  </si>
  <si>
    <t>03007157606, 03007157606</t>
  </si>
  <si>
    <t xml:space="preserve">P-205 C BLOCK ALI HOUSINGCOLONY FSD NEAR ALI MASJID FAISALABAD PK </t>
  </si>
  <si>
    <t>56038/00002/10/2021</t>
  </si>
  <si>
    <t>PK10K160494</t>
  </si>
  <si>
    <t>NF1AVK31H10060498</t>
  </si>
  <si>
    <t>ARF-979</t>
  </si>
  <si>
    <t>OLUFSD300074562</t>
  </si>
  <si>
    <t>DIB0031985</t>
  </si>
  <si>
    <t>997APD1202750010</t>
  </si>
  <si>
    <t>537957</t>
  </si>
  <si>
    <t>0631919</t>
  </si>
  <si>
    <t>0631919002</t>
  </si>
  <si>
    <t>MUHAMMAD ASLAM</t>
  </si>
  <si>
    <t>42101-6008425-3</t>
  </si>
  <si>
    <t>03212494654</t>
  </si>
  <si>
    <t xml:space="preserve">H NO D-85, BLOCK 6, FB AREA, KARACHI, PAKISTAN. </t>
  </si>
  <si>
    <t>52921/00012/10/2020</t>
  </si>
  <si>
    <t>Z458873</t>
  </si>
  <si>
    <t>4086677</t>
  </si>
  <si>
    <t>BGH-758</t>
  </si>
  <si>
    <t>TOYOTA COROLLA GLI A/T</t>
  </si>
  <si>
    <t>PODKHI300058155</t>
  </si>
  <si>
    <t>3175/09/2020/ITMM</t>
  </si>
  <si>
    <t>997APD1202740058</t>
  </si>
  <si>
    <t>626949</t>
  </si>
  <si>
    <t>0637763</t>
  </si>
  <si>
    <t>0637763001</t>
  </si>
  <si>
    <t>SARFARAZ LIAQUAT</t>
  </si>
  <si>
    <t>42201-0533646-3</t>
  </si>
  <si>
    <t>03463304410</t>
  </si>
  <si>
    <t>02134155163</t>
  </si>
  <si>
    <t xml:space="preserve">OFFICE # 107 1ST FLOOR GULSHAN TRAD E CENTRE BLOCK 5 GULSHAN-E-IQBAL NE AR PIONEER BROAST SINDH BANK KARACHI </t>
  </si>
  <si>
    <t>52740/00101/9/2020</t>
  </si>
  <si>
    <t>1KR-1567000</t>
  </si>
  <si>
    <t>KGC30-0230078</t>
  </si>
  <si>
    <t>BNB-801</t>
  </si>
  <si>
    <t>TOYOTA PASSO</t>
  </si>
  <si>
    <t>POUKHI300058031</t>
  </si>
  <si>
    <t>DIB0028825</t>
  </si>
  <si>
    <t>30-SEP-020</t>
  </si>
  <si>
    <t>9976AP1212740086</t>
  </si>
  <si>
    <t>HAMZA CARS</t>
  </si>
  <si>
    <t>1104148</t>
  </si>
  <si>
    <t>0725125</t>
  </si>
  <si>
    <t>0725125001</t>
  </si>
  <si>
    <t>TALHA AHMED KHAN</t>
  </si>
  <si>
    <t>42201-5514308-3</t>
  </si>
  <si>
    <t>02134016526</t>
  </si>
  <si>
    <t>03152106690</t>
  </si>
  <si>
    <t>02135131061</t>
  </si>
  <si>
    <t xml:space="preserve">PLOT # 459 KARACHI EXPORT PROCESSIN G ZONE LANDHI KARACHI </t>
  </si>
  <si>
    <t>55601/00120/09/2021</t>
  </si>
  <si>
    <t>13022687</t>
  </si>
  <si>
    <t>10022686</t>
  </si>
  <si>
    <t>BBL-058</t>
  </si>
  <si>
    <t>SUZUKI ALTO DLX 1.3 LM/T</t>
  </si>
  <si>
    <t>OLUKHI300074168</t>
  </si>
  <si>
    <t>DIB0029600</t>
  </si>
  <si>
    <t>997APD1202740065</t>
  </si>
  <si>
    <t>654031</t>
  </si>
  <si>
    <t>0261666</t>
  </si>
  <si>
    <t>0261666003</t>
  </si>
  <si>
    <t>BEENA BASHEER</t>
  </si>
  <si>
    <t>42201-5242951-6</t>
  </si>
  <si>
    <t>03452227055</t>
  </si>
  <si>
    <t>02199243978</t>
  </si>
  <si>
    <t xml:space="preserve">H# R-87-88 GULSHAN-E-QASIM NEAR SUMERA BANGLOW KDA SCHEME-33 SAFOORA GOATH KARACHI </t>
  </si>
  <si>
    <t>3B20</t>
  </si>
  <si>
    <t>B21W-0408665</t>
  </si>
  <si>
    <t>NISSAN DAYZ</t>
  </si>
  <si>
    <t>POUKHI300057893</t>
  </si>
  <si>
    <t>DIB0028812</t>
  </si>
  <si>
    <t>9976AP2222570007</t>
  </si>
  <si>
    <t>AL-1193348</t>
  </si>
  <si>
    <t>0808076</t>
  </si>
  <si>
    <t>0808076001</t>
  </si>
  <si>
    <t>MUBASHIR HASSAN</t>
  </si>
  <si>
    <t>35201-7079203-9</t>
  </si>
  <si>
    <t>03008186745</t>
  </si>
  <si>
    <t xml:space="preserve">H NO 294 ST NO 1 SAQIB TOWN BEDIAN ROAD LAHORE CANTT LAHORE PK </t>
  </si>
  <si>
    <t>6386/00022/09/2022</t>
  </si>
  <si>
    <t>9U502405</t>
  </si>
  <si>
    <t>M1007478</t>
  </si>
  <si>
    <t>AEF-574</t>
  </si>
  <si>
    <t>OLULHR300089777</t>
  </si>
  <si>
    <t>8647/09/2022/ITFM</t>
  </si>
  <si>
    <t>9976AD1213580009</t>
  </si>
  <si>
    <t>1140331</t>
  </si>
  <si>
    <t>0281188</t>
  </si>
  <si>
    <t>0281188003</t>
  </si>
  <si>
    <t>ASAD BASHIR</t>
  </si>
  <si>
    <t>61101-8503973-3</t>
  </si>
  <si>
    <t xml:space="preserve">PLOT#308 STREET#3 SECTOR I-9/3 ISLAMABAD, PH#051-8439981-86 ISLAMABAD </t>
  </si>
  <si>
    <t>63286/00021/09/2022</t>
  </si>
  <si>
    <t>074052</t>
  </si>
  <si>
    <t>711163</t>
  </si>
  <si>
    <t>24-DEC-2021</t>
  </si>
  <si>
    <t>OLAISD300082437</t>
  </si>
  <si>
    <t>DIB0034763</t>
  </si>
  <si>
    <t>9976AD2222430004</t>
  </si>
  <si>
    <t>CHANGAN ISLAMABAD MOTORS</t>
  </si>
  <si>
    <t>1203856</t>
  </si>
  <si>
    <t>0805553</t>
  </si>
  <si>
    <t>0805553003</t>
  </si>
  <si>
    <t>MUDDASIR MUSHTAQ</t>
  </si>
  <si>
    <t>37405-1316926-1</t>
  </si>
  <si>
    <t>03365004448</t>
  </si>
  <si>
    <t>0518483893</t>
  </si>
  <si>
    <t xml:space="preserve">H # 1524 ST # 79 SECTOR I-14/3 ISLAMABAD PK </t>
  </si>
  <si>
    <t>63286/00023/09/2022</t>
  </si>
  <si>
    <t>507868</t>
  </si>
  <si>
    <t>1010094</t>
  </si>
  <si>
    <t>31-AUG-2022</t>
  </si>
  <si>
    <t>OLAISD300089667</t>
  </si>
  <si>
    <t>8643/09/2022/ITFM</t>
  </si>
  <si>
    <t>997APD2202810010</t>
  </si>
  <si>
    <t>654793</t>
  </si>
  <si>
    <t>0410034</t>
  </si>
  <si>
    <t>0410034003</t>
  </si>
  <si>
    <t>SAMEER ZAKI</t>
  </si>
  <si>
    <t>42101-1089358-3</t>
  </si>
  <si>
    <t>36680405</t>
  </si>
  <si>
    <t>03343049098</t>
  </si>
  <si>
    <t>36681072</t>
  </si>
  <si>
    <t xml:space="preserve">5-C 5/16, NAZIMABAD NO 5 FIRST FLOOR, KARACHI </t>
  </si>
  <si>
    <t>52921/00009/10/2020</t>
  </si>
  <si>
    <t>152217</t>
  </si>
  <si>
    <t>10052191</t>
  </si>
  <si>
    <t>BQV-112</t>
  </si>
  <si>
    <t>07-OCT-2020</t>
  </si>
  <si>
    <t>POUKHI300058143</t>
  </si>
  <si>
    <t>3171/09/2020</t>
  </si>
  <si>
    <t>997APD2202750011</t>
  </si>
  <si>
    <t>SUZUKI BURJ MOTORS</t>
  </si>
  <si>
    <t>598400</t>
  </si>
  <si>
    <t>0636697</t>
  </si>
  <si>
    <t>0636697001</t>
  </si>
  <si>
    <t>HAROON RASHEED</t>
  </si>
  <si>
    <t>37405-1911528-3</t>
  </si>
  <si>
    <t>03215745315</t>
  </si>
  <si>
    <t>03215745315, 03215745315</t>
  </si>
  <si>
    <t xml:space="preserve">H NO P-42 PHASE 1 SHEIKHUPURA ROAD SITARA VELLEY FAISALABAD PK </t>
  </si>
  <si>
    <t>52740/00091/09/2020</t>
  </si>
  <si>
    <t>206213</t>
  </si>
  <si>
    <t>10106217</t>
  </si>
  <si>
    <t>PODFSD300057907</t>
  </si>
  <si>
    <t>3119/09/2020/ITMM</t>
  </si>
  <si>
    <t>9976AP2192730041</t>
  </si>
  <si>
    <t>602593</t>
  </si>
  <si>
    <t>0562190</t>
  </si>
  <si>
    <t>0562190001</t>
  </si>
  <si>
    <t>MARYAM IMRAN</t>
  </si>
  <si>
    <t>42201-5908361-0</t>
  </si>
  <si>
    <t>03342105610</t>
  </si>
  <si>
    <t xml:space="preserve">FLAT # C1 OSAMA HAEVEN APPTMENT GUL ASHAN IQBAL BLOCK 4-A NEAR SAIMA HE KARACHI PK </t>
  </si>
  <si>
    <t>0000000326/0919/109-0</t>
  </si>
  <si>
    <t>Q020065</t>
  </si>
  <si>
    <t>ZRE141-4519063</t>
  </si>
  <si>
    <t>BAX-314</t>
  </si>
  <si>
    <t>COROLLA GLI A/T</t>
  </si>
  <si>
    <t>POUKHI300049600</t>
  </si>
  <si>
    <t>1844/09/2019/ITFM</t>
  </si>
  <si>
    <t>9976AD1221200053</t>
  </si>
  <si>
    <t>TOYOTA CHENAB MOTORS (VENDOR)</t>
  </si>
  <si>
    <t>1199621</t>
  </si>
  <si>
    <t>0780983</t>
  </si>
  <si>
    <t>0780983001</t>
  </si>
  <si>
    <t>MUHAMMAD NAWAZ ABID</t>
  </si>
  <si>
    <t>33104-2115237-5</t>
  </si>
  <si>
    <t>03007680775</t>
  </si>
  <si>
    <t>03007680775, 03077771951</t>
  </si>
  <si>
    <t xml:space="preserve">NEW MADINA TOWN SHEIKHUPURA ROAD K HURRIANWALA FSD NEAR VIP TYRE HOUSE FAISALABAD PK </t>
  </si>
  <si>
    <t>63286/00025/09/2022</t>
  </si>
  <si>
    <t>2A56211</t>
  </si>
  <si>
    <t>9520643</t>
  </si>
  <si>
    <t>TOYOTA YARIS ATIV X CVT 1.5</t>
  </si>
  <si>
    <t>30-APR-2022</t>
  </si>
  <si>
    <t>OLAFSD300087060</t>
  </si>
  <si>
    <t>8641/09/2022/ITFM</t>
  </si>
  <si>
    <t>9976AP1212740106</t>
  </si>
  <si>
    <t>1100138</t>
  </si>
  <si>
    <t>0244196</t>
  </si>
  <si>
    <t>0244196007</t>
  </si>
  <si>
    <t>MUHAMMAD NAEEM ASLAM</t>
  </si>
  <si>
    <t>35201-9854180-9</t>
  </si>
  <si>
    <t>0321-8494551</t>
  </si>
  <si>
    <t>03218494551</t>
  </si>
  <si>
    <t>04236292938</t>
  </si>
  <si>
    <t xml:space="preserve">96-B REHMAN GARDEN PHASE 3 MANAWAN G.T ROAD LAHORE </t>
  </si>
  <si>
    <t>55601/00118/09/2021</t>
  </si>
  <si>
    <t>KF-J597168</t>
  </si>
  <si>
    <t>LA360S-0012283</t>
  </si>
  <si>
    <t>DAIHATSU MIRA</t>
  </si>
  <si>
    <t>OLULHR300074536</t>
  </si>
  <si>
    <t>DIB0031964</t>
  </si>
  <si>
    <t>9976AP2192730023</t>
  </si>
  <si>
    <t>SUZUKI RAVI MOTORS</t>
  </si>
  <si>
    <t>587470</t>
  </si>
  <si>
    <t>0562396</t>
  </si>
  <si>
    <t>0562396001</t>
  </si>
  <si>
    <t>ARFAN</t>
  </si>
  <si>
    <t>34604-0482923-7</t>
  </si>
  <si>
    <t>03004777484</t>
  </si>
  <si>
    <t xml:space="preserve">HOUSE NO 46 HAMZA PARK NEAR SHAHANS HAH CHOWK THOKAR NIAZ BAIG LAHORE PK </t>
  </si>
  <si>
    <t>51132/00100/09/2019</t>
  </si>
  <si>
    <t>198194</t>
  </si>
  <si>
    <t>10098175</t>
  </si>
  <si>
    <t>LE-19A-5169</t>
  </si>
  <si>
    <t>PODLHR300049551</t>
  </si>
  <si>
    <t>1818/09/2019/ITFM</t>
  </si>
  <si>
    <t>9976AP1212740101</t>
  </si>
  <si>
    <t>1092271</t>
  </si>
  <si>
    <t>0727413</t>
  </si>
  <si>
    <t>0727413001</t>
  </si>
  <si>
    <t>MUHAMMAD WASEEM IQBAL</t>
  </si>
  <si>
    <t>31101-0607037-7</t>
  </si>
  <si>
    <t>03048326006</t>
  </si>
  <si>
    <t>04235750771</t>
  </si>
  <si>
    <t xml:space="preserve">OFFICE NPO 11 1ST FLOOR IT TOWER SH OPPING MALL BEHIND HAFEEZ CENTER HA LI ROAD GULBERG III LAHORE </t>
  </si>
  <si>
    <t>55601/00121/09/2021</t>
  </si>
  <si>
    <t>686607</t>
  </si>
  <si>
    <t>01225099</t>
  </si>
  <si>
    <t>LED-17-8702</t>
  </si>
  <si>
    <t>OLULHR300074527</t>
  </si>
  <si>
    <t>DIB0031978</t>
  </si>
  <si>
    <t>9976AP1232560001</t>
  </si>
  <si>
    <t>1194433</t>
  </si>
  <si>
    <t>0897969</t>
  </si>
  <si>
    <t>0897969002</t>
  </si>
  <si>
    <t>MANSOOR AHMED WARRAICH</t>
  </si>
  <si>
    <t>37405-0576536-3</t>
  </si>
  <si>
    <t>03365036041</t>
  </si>
  <si>
    <t xml:space="preserve">SHOP NO 1 BHATTI PLAZA TULSA ROAD, LALAZAR OPP PSO PETROL PUMP RAWALPINDI 03365036041 </t>
  </si>
  <si>
    <t>74853/00014/09/2023</t>
  </si>
  <si>
    <t>11-SEP-2024</t>
  </si>
  <si>
    <t>556060</t>
  </si>
  <si>
    <t>4181858</t>
  </si>
  <si>
    <t>AUB-506</t>
  </si>
  <si>
    <t>OLURWP300096833</t>
  </si>
  <si>
    <t>DIB0035296</t>
  </si>
  <si>
    <t>13-SEP-2023</t>
  </si>
  <si>
    <t>997APD2202740057</t>
  </si>
  <si>
    <t>640914</t>
  </si>
  <si>
    <t>0636625</t>
  </si>
  <si>
    <t>0636625001</t>
  </si>
  <si>
    <t>SYED GHULAM SHAKIR</t>
  </si>
  <si>
    <t>42501-1518047-3</t>
  </si>
  <si>
    <t>03218931734</t>
  </si>
  <si>
    <t>0111503111</t>
  </si>
  <si>
    <t xml:space="preserve">PLOT # 30 SECTOR # 28 KORANGI INDUS TRIAL AREA NEAR AGI CHOWRANGI KARACHI </t>
  </si>
  <si>
    <t>52921/00015/10/2020</t>
  </si>
  <si>
    <t>0268305</t>
  </si>
  <si>
    <t>G941140</t>
  </si>
  <si>
    <t>DAIHATSU HIJET</t>
  </si>
  <si>
    <t>POUKHI300058076</t>
  </si>
  <si>
    <t>3160/09/2020/ITMM</t>
  </si>
  <si>
    <t>9976AP2192730025</t>
  </si>
  <si>
    <t>537948</t>
  </si>
  <si>
    <t>0562189</t>
  </si>
  <si>
    <t>0562189001</t>
  </si>
  <si>
    <t>KHADIM HUSSAIN MIR JAT</t>
  </si>
  <si>
    <t>43206-2090573-1</t>
  </si>
  <si>
    <t>03012658565</t>
  </si>
  <si>
    <t xml:space="preserve">H.NO r- 108 ARCHITECT CO OPERATIVE HOUSING SOCIETY BLOCK 8 GULISTAN E KARACHI PK </t>
  </si>
  <si>
    <t>51132/00103/09/2019</t>
  </si>
  <si>
    <t>R06A-1580978</t>
  </si>
  <si>
    <t>HB35S-112146</t>
  </si>
  <si>
    <t>BKR-318</t>
  </si>
  <si>
    <t>MAZDA CAROL</t>
  </si>
  <si>
    <t>POUKHI300049425</t>
  </si>
  <si>
    <t>DIB0027885</t>
  </si>
  <si>
    <t>997APD1202740057</t>
  </si>
  <si>
    <t>654066</t>
  </si>
  <si>
    <t>0122313</t>
  </si>
  <si>
    <t>0122313005</t>
  </si>
  <si>
    <t>KAMRAN RASHID</t>
  </si>
  <si>
    <t>42201-6182743-3</t>
  </si>
  <si>
    <t>34802267</t>
  </si>
  <si>
    <t>03312508381</t>
  </si>
  <si>
    <t>111-568-568</t>
  </si>
  <si>
    <t xml:space="preserve">H- A-14 AL AZAM APPT BLK 13-A GULSHAN-E-IQBAL OPP EXPO CENTER KARACHI </t>
  </si>
  <si>
    <t>52740/00109/09/2020</t>
  </si>
  <si>
    <t>108795</t>
  </si>
  <si>
    <t>10008798</t>
  </si>
  <si>
    <t>BEJ-368</t>
  </si>
  <si>
    <t>POUKHI300058034</t>
  </si>
  <si>
    <t>DIB0028833</t>
  </si>
  <si>
    <t>997APD2202740038</t>
  </si>
  <si>
    <t>627495</t>
  </si>
  <si>
    <t>0637317</t>
  </si>
  <si>
    <t>0637317001</t>
  </si>
  <si>
    <t>AMJAD KHAN</t>
  </si>
  <si>
    <t>45303-9429880-7</t>
  </si>
  <si>
    <t>03313114381</t>
  </si>
  <si>
    <t>99251828</t>
  </si>
  <si>
    <t xml:space="preserve">BANGLOW 25 BHOPAL HOUSE STREET MOTI AL GOVERDHANDAS RD KARACHI </t>
  </si>
  <si>
    <t>52740/00096/09/2020</t>
  </si>
  <si>
    <t>113385</t>
  </si>
  <si>
    <t>10013371</t>
  </si>
  <si>
    <t>BLH-657</t>
  </si>
  <si>
    <t>POUKHI300058011</t>
  </si>
  <si>
    <t>DIB0028820</t>
  </si>
  <si>
    <t>9976AP1222730043</t>
  </si>
  <si>
    <t>HMB AUTO SOLUTIONS PVT LTD</t>
  </si>
  <si>
    <t>1193014</t>
  </si>
  <si>
    <t>0822068</t>
  </si>
  <si>
    <t>0822068002</t>
  </si>
  <si>
    <t>MUHAMMAD WAQAS</t>
  </si>
  <si>
    <t>35202-6333043-1</t>
  </si>
  <si>
    <t>03004615046</t>
  </si>
  <si>
    <t xml:space="preserve">H NO 924 SHADMAN LAHORE PK </t>
  </si>
  <si>
    <t>63286/00085/09/2022</t>
  </si>
  <si>
    <t>28-SEP-2023</t>
  </si>
  <si>
    <t>245128</t>
  </si>
  <si>
    <t>305134</t>
  </si>
  <si>
    <t>HYUNDAI ELENTRA</t>
  </si>
  <si>
    <t>OLDLHR300090175</t>
  </si>
  <si>
    <t>8866/09/2022/ITFM</t>
  </si>
  <si>
    <t>9976AD1212090010</t>
  </si>
  <si>
    <t>630189</t>
  </si>
  <si>
    <t>0700702</t>
  </si>
  <si>
    <t>0700702003</t>
  </si>
  <si>
    <t>SADAF SAEED</t>
  </si>
  <si>
    <t>61101-2316579-0</t>
  </si>
  <si>
    <t>03009779465</t>
  </si>
  <si>
    <t>0518484224</t>
  </si>
  <si>
    <t xml:space="preserve">H # 40 ( GROUND FLOOR ) ST # 1 SECT OR G-15/2 ISLAMABAD PK </t>
  </si>
  <si>
    <t>01-2109-PO-MTR-PCCM-D-001224</t>
  </si>
  <si>
    <t>219237</t>
  </si>
  <si>
    <t>10119238</t>
  </si>
  <si>
    <t>OLAISD300071252</t>
  </si>
  <si>
    <t>DIB0031662</t>
  </si>
  <si>
    <t>9976AD1211970004</t>
  </si>
  <si>
    <t>648118</t>
  </si>
  <si>
    <t>0706391</t>
  </si>
  <si>
    <t>0706391001</t>
  </si>
  <si>
    <t>MUHAMMAD ZAKA ANSAR</t>
  </si>
  <si>
    <t>34202-7038255-5</t>
  </si>
  <si>
    <t>03450155502</t>
  </si>
  <si>
    <t>0519038227</t>
  </si>
  <si>
    <t xml:space="preserve">BUKHARI STREET CORNAL AMANULLAH ROA D KOT HATYAL BARA KAHU PK </t>
  </si>
  <si>
    <t>PL-0921-1101010102-V14-D-00416</t>
  </si>
  <si>
    <t>184311</t>
  </si>
  <si>
    <t>1084041</t>
  </si>
  <si>
    <t>OLAISD300070824</t>
  </si>
  <si>
    <t>DIB0031664</t>
  </si>
  <si>
    <t>9976AP2222730018</t>
  </si>
  <si>
    <t>1414100</t>
  </si>
  <si>
    <t>0301085</t>
  </si>
  <si>
    <t>0301085003</t>
  </si>
  <si>
    <t>SARDAR WASEEM ILYAS</t>
  </si>
  <si>
    <t>35201-7416965-3</t>
  </si>
  <si>
    <t>03008489988</t>
  </si>
  <si>
    <t>5834434</t>
  </si>
  <si>
    <t xml:space="preserve">HNO. 442-G PHASE VI DHA LAHORE </t>
  </si>
  <si>
    <t>63286/00083/09/2022</t>
  </si>
  <si>
    <t>PK11020440</t>
  </si>
  <si>
    <t>1136937</t>
  </si>
  <si>
    <t>AHN-153</t>
  </si>
  <si>
    <t>SUZUKI BOLAN VX EURO-II</t>
  </si>
  <si>
    <t>OLULHR300090160</t>
  </si>
  <si>
    <t>8852/09/2022/ITFM</t>
  </si>
  <si>
    <t>9976AP1222730029</t>
  </si>
  <si>
    <t>1414172</t>
  </si>
  <si>
    <t>0659590</t>
  </si>
  <si>
    <t>0659590002</t>
  </si>
  <si>
    <t>MUHAMMAD SAEED</t>
  </si>
  <si>
    <t>35201-5973823-7</t>
  </si>
  <si>
    <t>03224501955</t>
  </si>
  <si>
    <t xml:space="preserve">HOUSE NO 2 STREET NO 2 MOHALLAH HARI NAGAR GHAZIABAD LAHORE </t>
  </si>
  <si>
    <t>63286/00077/09/2022</t>
  </si>
  <si>
    <t>181374</t>
  </si>
  <si>
    <t>10081361</t>
  </si>
  <si>
    <t>LEA-19-4955</t>
  </si>
  <si>
    <t>OLULHR300090137</t>
  </si>
  <si>
    <t>8843/09/2022/ITFM</t>
  </si>
  <si>
    <t>9976AP1222730027</t>
  </si>
  <si>
    <t>1193428</t>
  </si>
  <si>
    <t>0813319</t>
  </si>
  <si>
    <t>0813319001</t>
  </si>
  <si>
    <t>SALMAN MUKHTAR</t>
  </si>
  <si>
    <t>42501-4923367-1</t>
  </si>
  <si>
    <t>03002313685</t>
  </si>
  <si>
    <t xml:space="preserve">FLAT A-506 5TH FLOOR ALPHA TOWER AB UL HASAN ISPHANI ROAD NEAR BIG BUG KARACHI PK </t>
  </si>
  <si>
    <t>63286/00078/09/2022</t>
  </si>
  <si>
    <t>3042627</t>
  </si>
  <si>
    <t>10042630</t>
  </si>
  <si>
    <t>BNQ-454</t>
  </si>
  <si>
    <t>SUZUKI SWIFT DLX 1.3L M/T</t>
  </si>
  <si>
    <t>OLUKHI300090129</t>
  </si>
  <si>
    <t>8838/09/2022/ITFM</t>
  </si>
  <si>
    <t>9976AP1222730025</t>
  </si>
  <si>
    <t>IBRAHIM MOTORS</t>
  </si>
  <si>
    <t>1193111</t>
  </si>
  <si>
    <t>0819584</t>
  </si>
  <si>
    <t>0819584002</t>
  </si>
  <si>
    <t>KASHIF BUTT</t>
  </si>
  <si>
    <t>35202-1202063-3</t>
  </si>
  <si>
    <t>03214065465</t>
  </si>
  <si>
    <t xml:space="preserve">HOUSE 725 BLOCK J KHAYBAN E AMEEN ARCHITECT HOUSING SOCIETY LAHORE </t>
  </si>
  <si>
    <t>63286/00080/09/2022</t>
  </si>
  <si>
    <t>230639</t>
  </si>
  <si>
    <t>209436</t>
  </si>
  <si>
    <t>HYUNDAI TUCSON AWD</t>
  </si>
  <si>
    <t>OLDLHR300090149</t>
  </si>
  <si>
    <t>8853/09/2022/ITFM</t>
  </si>
  <si>
    <t>9976AD1211620025</t>
  </si>
  <si>
    <t>KIA MOTORS TEXTILE CITY</t>
  </si>
  <si>
    <t>1095645</t>
  </si>
  <si>
    <t>0698017</t>
  </si>
  <si>
    <t>0698017001</t>
  </si>
  <si>
    <t>42301-0228785-3</t>
  </si>
  <si>
    <t>03076086168</t>
  </si>
  <si>
    <t>03076086168, 03076086168</t>
  </si>
  <si>
    <t xml:space="preserve">H NO 134-D BLOCK-D KHAYABAN COLONY MAIN SARGODHA ROAD FAISALABAD PK </t>
  </si>
  <si>
    <t>01-2109-PO-MTR-PCCM-D-001181</t>
  </si>
  <si>
    <t>312731</t>
  </si>
  <si>
    <t>101898</t>
  </si>
  <si>
    <t>11-JUN-2021</t>
  </si>
  <si>
    <t>OLAFSD300069387</t>
  </si>
  <si>
    <t>9976AP2212570009</t>
  </si>
  <si>
    <t>PRINCE AUTOMINE</t>
  </si>
  <si>
    <t>407957</t>
  </si>
  <si>
    <t>0718466</t>
  </si>
  <si>
    <t>0718466001</t>
  </si>
  <si>
    <t>SOHAIB AHMED SIDDIQUI</t>
  </si>
  <si>
    <t>42101-7185779-7</t>
  </si>
  <si>
    <t>03332321724</t>
  </si>
  <si>
    <t>033332321724</t>
  </si>
  <si>
    <t xml:space="preserve">PLOT NO 138/157 SUIT NO 4 ADJACANT TO ASKARI BANK MAIN GATE NAYA NAZIM ABAD KARACHI </t>
  </si>
  <si>
    <t>55601/00041/09/2021</t>
  </si>
  <si>
    <t>21022206</t>
  </si>
  <si>
    <t>PDF580PALR21H1635</t>
  </si>
  <si>
    <t>OLDKHI300073237</t>
  </si>
  <si>
    <t>DIB0031625</t>
  </si>
  <si>
    <t>9976AD2210080001</t>
  </si>
  <si>
    <t>636779</t>
  </si>
  <si>
    <t>0439438</t>
  </si>
  <si>
    <t>0439438003</t>
  </si>
  <si>
    <t>MUHAMMAD ARIF BUTT</t>
  </si>
  <si>
    <t>35202-6638557-5</t>
  </si>
  <si>
    <t>03214085050</t>
  </si>
  <si>
    <t>37539687</t>
  </si>
  <si>
    <t xml:space="preserve">H 225 L BLOCK SUBZAZAR MULTAN ROAD LAHORE PK </t>
  </si>
  <si>
    <t>DIB/T/BT/33634/LHR/0921</t>
  </si>
  <si>
    <t>15E4E5MGM5260180</t>
  </si>
  <si>
    <t>LSJA24U95MN095757</t>
  </si>
  <si>
    <t>08-JAN-2021</t>
  </si>
  <si>
    <t>OLALHR300064882</t>
  </si>
  <si>
    <t>TDIDIB0029614</t>
  </si>
  <si>
    <t>9976AD2212120050</t>
  </si>
  <si>
    <t>1104503</t>
  </si>
  <si>
    <t>0711430</t>
  </si>
  <si>
    <t>0711430001</t>
  </si>
  <si>
    <t>MUHAMMAD RASHID</t>
  </si>
  <si>
    <t>35201-7840635-7</t>
  </si>
  <si>
    <t>03234099404</t>
  </si>
  <si>
    <t xml:space="preserve">HOUSE NO 4 MAZEER STREET NEAR KHAN SUPER STORE MOHALLAH ROCOOL NAGAR S SHEIKHUPURA PK </t>
  </si>
  <si>
    <t>PL-0921-1101010102-V14-D-00419</t>
  </si>
  <si>
    <t>1014983</t>
  </si>
  <si>
    <t>1131502</t>
  </si>
  <si>
    <t>BOLAN VX EURO-II</t>
  </si>
  <si>
    <t>OLASHK300071510</t>
  </si>
  <si>
    <t>5431/09/2021</t>
  </si>
  <si>
    <t>9976AP1222730024</t>
  </si>
  <si>
    <t>1192612</t>
  </si>
  <si>
    <t>0822484</t>
  </si>
  <si>
    <t>0822484001</t>
  </si>
  <si>
    <t>HABIB UR REHMAN</t>
  </si>
  <si>
    <t>34101-7166746-7</t>
  </si>
  <si>
    <t>03338256778</t>
  </si>
  <si>
    <t xml:space="preserve">309, 3RD FLOOR SIDDIQUE TRADE CENET R LAHORE </t>
  </si>
  <si>
    <t>63286/00081/09/2022</t>
  </si>
  <si>
    <t>2A155816</t>
  </si>
  <si>
    <t>1507009415</t>
  </si>
  <si>
    <t>ADD-533</t>
  </si>
  <si>
    <t>TOYOTA YARIS ATIV MT 1.3</t>
  </si>
  <si>
    <t>OLULHR300090153</t>
  </si>
  <si>
    <t>8846/09/2022/ITFM</t>
  </si>
  <si>
    <t>9976AP1222580011</t>
  </si>
  <si>
    <t>1200781</t>
  </si>
  <si>
    <t>0765705</t>
  </si>
  <si>
    <t>0765705002</t>
  </si>
  <si>
    <t>SHARIQ ALI KHAN</t>
  </si>
  <si>
    <t>42201-6506902-3</t>
  </si>
  <si>
    <t>03462225793</t>
  </si>
  <si>
    <t xml:space="preserve">SUITE NO G/5/5/, 3RD FLOOR MANSOOR TOWER KARACHI </t>
  </si>
  <si>
    <t>63286/00030/09/2022</t>
  </si>
  <si>
    <t>238361</t>
  </si>
  <si>
    <t>1138371</t>
  </si>
  <si>
    <t>BXB-155</t>
  </si>
  <si>
    <t>OLUKHI300089837</t>
  </si>
  <si>
    <t>8648/09/2022/ITFM</t>
  </si>
  <si>
    <t>9976AD2220900006</t>
  </si>
  <si>
    <t>1149736</t>
  </si>
  <si>
    <t>0772799</t>
  </si>
  <si>
    <t>0772799001</t>
  </si>
  <si>
    <t>ZAMIN ABBAS SYED</t>
  </si>
  <si>
    <t>61101-3774247-9</t>
  </si>
  <si>
    <t>03330605511</t>
  </si>
  <si>
    <t xml:space="preserve">H # 19-D ST # 16 SECTOR G-6/4 NEAR LAL MASJID ISLAMABAD PK </t>
  </si>
  <si>
    <t>63286/00026/09/2022</t>
  </si>
  <si>
    <t>949135</t>
  </si>
  <si>
    <t>1149121</t>
  </si>
  <si>
    <t>SUAZUKI ALTO VXR EURO II</t>
  </si>
  <si>
    <t>OLAISD300085915</t>
  </si>
  <si>
    <t>DIB0034767</t>
  </si>
  <si>
    <t>9976AD1222110010</t>
  </si>
  <si>
    <t>1202410</t>
  </si>
  <si>
    <t>0805708</t>
  </si>
  <si>
    <t>0805708001</t>
  </si>
  <si>
    <t>MUHAMMAD DILAWAR</t>
  </si>
  <si>
    <t>35201-3996987-1</t>
  </si>
  <si>
    <t>03231497909</t>
  </si>
  <si>
    <t xml:space="preserve">H NO 4/2/10-A ST NO 6 AHATTA SUPPRA M SINGH MUGHALPURA DRI PORT LAHORE PK </t>
  </si>
  <si>
    <t>63286/00028/09/2022</t>
  </si>
  <si>
    <t>030921</t>
  </si>
  <si>
    <t>504164</t>
  </si>
  <si>
    <t>KIA PICANTO 1.0</t>
  </si>
  <si>
    <t>30-JUL-2022</t>
  </si>
  <si>
    <t>OLALHR300089079</t>
  </si>
  <si>
    <t>8649/09/2022/ITFM</t>
  </si>
  <si>
    <t>9976AD2220880017</t>
  </si>
  <si>
    <t>1149530</t>
  </si>
  <si>
    <t>0473954</t>
  </si>
  <si>
    <t>0473954003</t>
  </si>
  <si>
    <t>MUHAMMAD SAQIB RAHIM</t>
  </si>
  <si>
    <t>31303-1260997-7</t>
  </si>
  <si>
    <t>03002895203</t>
  </si>
  <si>
    <t xml:space="preserve">RAHIM HOUSE DAWOOD MANZIL AWAN COLONY ST NO 05 DHOK KALA KHAN RWP </t>
  </si>
  <si>
    <t>63286/00027/09/2022</t>
  </si>
  <si>
    <t>249133</t>
  </si>
  <si>
    <t>1149163</t>
  </si>
  <si>
    <t>29-MAR-2022</t>
  </si>
  <si>
    <t>OLARWP300086117</t>
  </si>
  <si>
    <t>DIB0034768</t>
  </si>
  <si>
    <t>9976AD1210490001</t>
  </si>
  <si>
    <t>TOYOTA FAISALABAD</t>
  </si>
  <si>
    <t>644443</t>
  </si>
  <si>
    <t>0672445</t>
  </si>
  <si>
    <t>0672445001</t>
  </si>
  <si>
    <t>33102-8277063-7</t>
  </si>
  <si>
    <t>03237631723</t>
  </si>
  <si>
    <t>03237631723, 03237631723</t>
  </si>
  <si>
    <t>0418733770</t>
  </si>
  <si>
    <t xml:space="preserve">H NO P-1648 ST NO 14 MOHALLA FAROOQ ABAD MANSOOR ABAD FSD FAISALABAD PK </t>
  </si>
  <si>
    <t>DIB/T/BT/33723/LHR/0921</t>
  </si>
  <si>
    <t>5064108</t>
  </si>
  <si>
    <t>1096199</t>
  </si>
  <si>
    <t>TOYOTA FORTUNER DIESEL 4X4</t>
  </si>
  <si>
    <t>18-FEB-2021</t>
  </si>
  <si>
    <t>OLAFSD300065922</t>
  </si>
  <si>
    <t>5476/09/2021/ITFM</t>
  </si>
  <si>
    <t>997AAD1202030007</t>
  </si>
  <si>
    <t>577120</t>
  </si>
  <si>
    <t>0620031</t>
  </si>
  <si>
    <t>0620031001</t>
  </si>
  <si>
    <t>SAMINA ZAFAR</t>
  </si>
  <si>
    <t>33100-2939236-2</t>
  </si>
  <si>
    <t>03217942728</t>
  </si>
  <si>
    <t>03217942728, 03217942728</t>
  </si>
  <si>
    <t>0418503322</t>
  </si>
  <si>
    <t xml:space="preserve">H NO 34 Z BLOCK 4TH and 5TH FLOOR MAD INA TOWN FSD FAISALABAD PK </t>
  </si>
  <si>
    <t>DIB/T/28860/LHR/0920</t>
  </si>
  <si>
    <t>323110</t>
  </si>
  <si>
    <t>502836</t>
  </si>
  <si>
    <t>21-JUL-2020</t>
  </si>
  <si>
    <t>POAFSD300055392</t>
  </si>
  <si>
    <t>9976AP2212740047</t>
  </si>
  <si>
    <t>HONDA RING ROAD PVT LTD</t>
  </si>
  <si>
    <t>1104276</t>
  </si>
  <si>
    <t>0724824</t>
  </si>
  <si>
    <t>0724824001</t>
  </si>
  <si>
    <t>SARWAR WILLIAM</t>
  </si>
  <si>
    <t>35401-5929995-4</t>
  </si>
  <si>
    <t>03114357380</t>
  </si>
  <si>
    <t xml:space="preserve">BAHRIA TOWN INTERNATIONAL HOSPITAL BAHRIA TOWN PVT LTD LAHORE </t>
  </si>
  <si>
    <t>55601/00112/09/2021</t>
  </si>
  <si>
    <t>1000671</t>
  </si>
  <si>
    <t>MR001026</t>
  </si>
  <si>
    <t>OLDLHR300074171</t>
  </si>
  <si>
    <t>DIB0031925</t>
  </si>
  <si>
    <t>997AAD1202200005</t>
  </si>
  <si>
    <t>598132</t>
  </si>
  <si>
    <t>0386414</t>
  </si>
  <si>
    <t>0386414003</t>
  </si>
  <si>
    <t>MUHAMMAD IFTIKHAR</t>
  </si>
  <si>
    <t>35202-4756699-9</t>
  </si>
  <si>
    <t>03008460669</t>
  </si>
  <si>
    <t>35764076</t>
  </si>
  <si>
    <t xml:space="preserve">H# 265 ST# 7 SECTOR A ASKARI 10 LAHORE </t>
  </si>
  <si>
    <t>DIB/T/BT/28866/LHR/0920</t>
  </si>
  <si>
    <t>4802795</t>
  </si>
  <si>
    <t>019470</t>
  </si>
  <si>
    <t>HONDA BR-V IVTEC</t>
  </si>
  <si>
    <t>07-AUG-2020</t>
  </si>
  <si>
    <t>POALHR300056308</t>
  </si>
  <si>
    <t>3107/09/2020/ITFM</t>
  </si>
  <si>
    <t>9976AP2222730010</t>
  </si>
  <si>
    <t>SUZUKI SAMNABAD MOTORS</t>
  </si>
  <si>
    <t>1414223</t>
  </si>
  <si>
    <t>0820588</t>
  </si>
  <si>
    <t>0820588001</t>
  </si>
  <si>
    <t>MUHAMMAD MEHMOOD ASHIQ</t>
  </si>
  <si>
    <t>35202-2396425-9</t>
  </si>
  <si>
    <t>03004440981</t>
  </si>
  <si>
    <t xml:space="preserve">19/20 GROUND FLOOR MAKKAH TOWER SAB EEL WALI GALI OPPOSIITE MILLI SHOES NEW ANARKALI LAHORE </t>
  </si>
  <si>
    <t>63286/00072/09/2022</t>
  </si>
  <si>
    <t>PK10B239835</t>
  </si>
  <si>
    <t>10139845</t>
  </si>
  <si>
    <t>OLDLHR300090086</t>
  </si>
  <si>
    <t>8813/09/2022/ITFM</t>
  </si>
  <si>
    <t>9976AD1221100032</t>
  </si>
  <si>
    <t>CHANGAN MULTAN MOTORS</t>
  </si>
  <si>
    <t>21347912316155</t>
  </si>
  <si>
    <t>0744570</t>
  </si>
  <si>
    <t>0744570005</t>
  </si>
  <si>
    <t>AHMAD SAEED</t>
  </si>
  <si>
    <t>31202-0316645-7</t>
  </si>
  <si>
    <t>0016476677101</t>
  </si>
  <si>
    <t xml:space="preserve">7338 WATERGROVE ROAD MISSISSAUGA ON, L5N 8L3 ONTARIO CANADA </t>
  </si>
  <si>
    <t>63286/00073/09/2022</t>
  </si>
  <si>
    <t>121884</t>
  </si>
  <si>
    <t>1000530</t>
  </si>
  <si>
    <t>CHANGAN OSHAN X7 COMFORT</t>
  </si>
  <si>
    <t>20-APR-2022</t>
  </si>
  <si>
    <t>OLABHP300086527</t>
  </si>
  <si>
    <t>TDIDIB0030320</t>
  </si>
  <si>
    <t>9976AP2232770001</t>
  </si>
  <si>
    <t>1441751</t>
  </si>
  <si>
    <t>0419764</t>
  </si>
  <si>
    <t>0419764006</t>
  </si>
  <si>
    <t>WAQAS SHABBIR</t>
  </si>
  <si>
    <t>35202-9411478-9</t>
  </si>
  <si>
    <t>03215090001</t>
  </si>
  <si>
    <t>03226712703</t>
  </si>
  <si>
    <t xml:space="preserve">QAUID E AZAM STREET H# 24 WASEEM BL OCK HASSAN TOWN LAHORE PK </t>
  </si>
  <si>
    <t>74853/00034/09/2023</t>
  </si>
  <si>
    <t>27-SEP-2024</t>
  </si>
  <si>
    <t>Z541822</t>
  </si>
  <si>
    <t>R4167664</t>
  </si>
  <si>
    <t>LEC-18-6870</t>
  </si>
  <si>
    <t>11-OCT-2023</t>
  </si>
  <si>
    <t>11-Oct-2026</t>
  </si>
  <si>
    <t>OLULHR300097323</t>
  </si>
  <si>
    <t>DIB0035346</t>
  </si>
  <si>
    <t>9976AP2212730022</t>
  </si>
  <si>
    <t>OLYMPIA MOTORS</t>
  </si>
  <si>
    <t>1108999</t>
  </si>
  <si>
    <t>0724850</t>
  </si>
  <si>
    <t>0724850001</t>
  </si>
  <si>
    <t>QAISER ABBAS</t>
  </si>
  <si>
    <t>33100-9083428-1</t>
  </si>
  <si>
    <t>03006676951</t>
  </si>
  <si>
    <t>03006676951, 03006676951</t>
  </si>
  <si>
    <t xml:space="preserve">H NO 770/295 ST NO 23 BAZAR NO 2/3 RAZA ABAD FSD NEAR JAMIA MASJID AHL FAISALABAD PK </t>
  </si>
  <si>
    <t>55601/00104/09/2021</t>
  </si>
  <si>
    <t>PK10B220837</t>
  </si>
  <si>
    <t>A1J310PK10120826</t>
  </si>
  <si>
    <t>SUZUKI WAGONR VXR</t>
  </si>
  <si>
    <t>OLDFSD300074155</t>
  </si>
  <si>
    <t>DIB0031900</t>
  </si>
  <si>
    <t>9976AD1232280003</t>
  </si>
  <si>
    <t>1400316</t>
  </si>
  <si>
    <t>0894436</t>
  </si>
  <si>
    <t>0894436001</t>
  </si>
  <si>
    <t>ABDUL REHMAN MEMON</t>
  </si>
  <si>
    <t>45504-7255305-3</t>
  </si>
  <si>
    <t>03063123456</t>
  </si>
  <si>
    <t xml:space="preserve">HNO A-127 1ST FLOOR BLOCK 13/D-1 GU LSHAN E IQBAL KHI KARACHI PK </t>
  </si>
  <si>
    <t>74853/000031/09/2023</t>
  </si>
  <si>
    <t>283656</t>
  </si>
  <si>
    <t>1183638</t>
  </si>
  <si>
    <t>OLAKHI300096183</t>
  </si>
  <si>
    <t>10516/09/2023/ITFM</t>
  </si>
  <si>
    <t>9976AD2210400003</t>
  </si>
  <si>
    <t>647621</t>
  </si>
  <si>
    <t>0669755</t>
  </si>
  <si>
    <t>0669755001</t>
  </si>
  <si>
    <t>KANEEZ BIBI</t>
  </si>
  <si>
    <t>36302-4270861-0</t>
  </si>
  <si>
    <t>03208443407</t>
  </si>
  <si>
    <t xml:space="preserve">H NO 366/67/102 B SHAH FAISAL COLON Y RAJWANA ROAD MULTAN PK </t>
  </si>
  <si>
    <t>UWT/D/T002/0000001067/0921/109-0</t>
  </si>
  <si>
    <t>JL466Q9M69U503679</t>
  </si>
  <si>
    <t>NKMAAB3D1M1008250</t>
  </si>
  <si>
    <t>09-FEB-2021</t>
  </si>
  <si>
    <t>OLAMUX300065705</t>
  </si>
  <si>
    <t>DIB0031681</t>
  </si>
  <si>
    <t>9976AP1232730020</t>
  </si>
  <si>
    <t>1441672</t>
  </si>
  <si>
    <t>0822300</t>
  </si>
  <si>
    <t>0822300003</t>
  </si>
  <si>
    <t>SYED BILAL LATIF</t>
  </si>
  <si>
    <t>35201-2927169-7</t>
  </si>
  <si>
    <t>03214318444</t>
  </si>
  <si>
    <t xml:space="preserve">OFFICE NO M-12 KHAN ARCADE FIRDOUS MARKET GULBERG III LAHORE </t>
  </si>
  <si>
    <t>74853/00033/09/2023</t>
  </si>
  <si>
    <t>51013082</t>
  </si>
  <si>
    <t>R023342</t>
  </si>
  <si>
    <t>AZW-862</t>
  </si>
  <si>
    <t>OLULHR300097290</t>
  </si>
  <si>
    <t>DIB0035341</t>
  </si>
  <si>
    <t>9976AD1210910109</t>
  </si>
  <si>
    <t>CHANGAN GUL MOTORS</t>
  </si>
  <si>
    <t>599240</t>
  </si>
  <si>
    <t>0684730</t>
  </si>
  <si>
    <t>0684730001</t>
  </si>
  <si>
    <t>ANJALI</t>
  </si>
  <si>
    <t>42201-8673645-4</t>
  </si>
  <si>
    <t>03323687872</t>
  </si>
  <si>
    <t>02138771111</t>
  </si>
  <si>
    <t xml:space="preserve">OJHA INSTITUTE OF HEART DISEASES II I SUPARCO ROAD SCHEME-33 GULZAR E H IJRI NEAR Dr.A.Q.KHAN INSTITUTE KARACHI </t>
  </si>
  <si>
    <t>55601/00044/09/2021</t>
  </si>
  <si>
    <t>JL466Q9M69U504952</t>
  </si>
  <si>
    <t>NKMAAB3D1M1008814</t>
  </si>
  <si>
    <t>OLAKHI300067533</t>
  </si>
  <si>
    <t>108576/09/2021</t>
  </si>
  <si>
    <t>9976AP2212640011</t>
  </si>
  <si>
    <t>1109144</t>
  </si>
  <si>
    <t>0443457</t>
  </si>
  <si>
    <t>0443457005</t>
  </si>
  <si>
    <t>MUHAMMAD QASIM BILAL</t>
  </si>
  <si>
    <t>34301-9042005-5</t>
  </si>
  <si>
    <t>03064528860</t>
  </si>
  <si>
    <t>35771768</t>
  </si>
  <si>
    <t xml:space="preserve">FLAT # T 1 3RD FLOOR KHAN ARCADE FI RDOS MKT GULBERG LAHORE PK </t>
  </si>
  <si>
    <t>55601/00045/09/2021</t>
  </si>
  <si>
    <t>Q018143</t>
  </si>
  <si>
    <t>ZRE1414517286</t>
  </si>
  <si>
    <t>LEF-13-1448</t>
  </si>
  <si>
    <t>OLULHR300073321</t>
  </si>
  <si>
    <t>DIB0031688</t>
  </si>
  <si>
    <t>9976AP2232730006</t>
  </si>
  <si>
    <t>1192157</t>
  </si>
  <si>
    <t>0906514</t>
  </si>
  <si>
    <t>0906514001</t>
  </si>
  <si>
    <t>SHAHBAZ TOUQIR QURESHI</t>
  </si>
  <si>
    <t>37405-6049911-7</t>
  </si>
  <si>
    <t>03218181472</t>
  </si>
  <si>
    <t>0519052188</t>
  </si>
  <si>
    <t xml:space="preserve">H # CB-493 LANE # 4-A PESHAWER ROAD NEAR ROOTS SCHOOL RAWALPINDI PK </t>
  </si>
  <si>
    <t>74853/00032/09/2023</t>
  </si>
  <si>
    <t>218278</t>
  </si>
  <si>
    <t>1118210</t>
  </si>
  <si>
    <t>AYE-249</t>
  </si>
  <si>
    <t>SUZUKI ALTO VX</t>
  </si>
  <si>
    <t>OLURWP300097282</t>
  </si>
  <si>
    <t>DIB0035342</t>
  </si>
  <si>
    <t>9976AP1222730022</t>
  </si>
  <si>
    <t>SUZUKI RAIWIND MOTORS</t>
  </si>
  <si>
    <t>AL-1193340</t>
  </si>
  <si>
    <t>0690923</t>
  </si>
  <si>
    <t>0690923003</t>
  </si>
  <si>
    <t>MUHAMMAD IJAZ</t>
  </si>
  <si>
    <t>32304-5380919-1</t>
  </si>
  <si>
    <t>03004086276</t>
  </si>
  <si>
    <t xml:space="preserve">MADINA HOMES NEAR BAB-E-ARQAM NISHT ER COLONY FEROZPUR ROAD LAHORE </t>
  </si>
  <si>
    <t>63286/00075/09/2022</t>
  </si>
  <si>
    <t>240601</t>
  </si>
  <si>
    <t>10140604</t>
  </si>
  <si>
    <t>SUZUKI WAGNOR VXL</t>
  </si>
  <si>
    <t>OLDLHR300090020</t>
  </si>
  <si>
    <t>8827/09/2022/ITFM</t>
  </si>
  <si>
    <t>9976AD1210580061</t>
  </si>
  <si>
    <t>629634</t>
  </si>
  <si>
    <t>0583226</t>
  </si>
  <si>
    <t>0583226003</t>
  </si>
  <si>
    <t>SHERAZ MAQBOOL</t>
  </si>
  <si>
    <t>36601-4988707-5</t>
  </si>
  <si>
    <t>03003445651</t>
  </si>
  <si>
    <t xml:space="preserve">S/O MAQBOOL AHMAD HOUSE NO 76 BLOCK D BUREWALA DISTRICT VEHARI MOBILE NO. 0300-3445651 </t>
  </si>
  <si>
    <t>UWT/D/T002/0000001071/0921/109-0</t>
  </si>
  <si>
    <t>JL466Q9M9U505378</t>
  </si>
  <si>
    <t>NKMAAB3D1M1009282</t>
  </si>
  <si>
    <t>OLABRW300066434</t>
  </si>
  <si>
    <t>5469/09/2021/ITFM</t>
  </si>
  <si>
    <t>9976AD1211810028</t>
  </si>
  <si>
    <t>1104836</t>
  </si>
  <si>
    <t>0701961</t>
  </si>
  <si>
    <t>0701961001</t>
  </si>
  <si>
    <t>MUHAMMAD NAWAZ</t>
  </si>
  <si>
    <t>35201-7636203-7</t>
  </si>
  <si>
    <t>03044617251</t>
  </si>
  <si>
    <t xml:space="preserve">182-G BLOCK N EXT MODEL TOWN LAHORE </t>
  </si>
  <si>
    <t>2021-09-205-V01501OP0002157</t>
  </si>
  <si>
    <t>183867</t>
  </si>
  <si>
    <t>10083876</t>
  </si>
  <si>
    <t>OLALHR300070211</t>
  </si>
  <si>
    <t>5434/09/2021</t>
  </si>
  <si>
    <t>9976AD2212170065</t>
  </si>
  <si>
    <t>1100074</t>
  </si>
  <si>
    <t>0710609</t>
  </si>
  <si>
    <t>0710609001</t>
  </si>
  <si>
    <t>HAFIZ SAAD ANJUM</t>
  </si>
  <si>
    <t>35202-2567668-7</t>
  </si>
  <si>
    <t>03234975657</t>
  </si>
  <si>
    <t>03337187185</t>
  </si>
  <si>
    <t xml:space="preserve">OFFICE NO 7 GROUND FLOOR QARI ROAD RAJ GHAR NEAR FIRDOS CENIMA LAHORE </t>
  </si>
  <si>
    <t>2021-09-205-V01501OP0002151</t>
  </si>
  <si>
    <t>2A34853</t>
  </si>
  <si>
    <t>7021765</t>
  </si>
  <si>
    <t>TOYOTA YARIS GLI</t>
  </si>
  <si>
    <t>05-AUG-2021</t>
  </si>
  <si>
    <t>OLALHR300071653</t>
  </si>
  <si>
    <t>DIB0031674</t>
  </si>
  <si>
    <t>997AAD2201760006</t>
  </si>
  <si>
    <t>TOYOTA SHAHRA-E-FAISAL MOTORS</t>
  </si>
  <si>
    <t>586065</t>
  </si>
  <si>
    <t>0069319</t>
  </si>
  <si>
    <t>0069319012</t>
  </si>
  <si>
    <t>MIRZA JUNAID BAIG</t>
  </si>
  <si>
    <t>42501-7730508-1</t>
  </si>
  <si>
    <t>021-4972093</t>
  </si>
  <si>
    <t>03219254004</t>
  </si>
  <si>
    <t>021-4778799</t>
  </si>
  <si>
    <t xml:space="preserve">HOUSE NOO:D-08 RUFI HEAVEN BLOCK-13 D/2 GULSHAN-E-IQBAL KARACHI </t>
  </si>
  <si>
    <t>52740/0033/09/2020</t>
  </si>
  <si>
    <t>ZA06227</t>
  </si>
  <si>
    <t>9502809</t>
  </si>
  <si>
    <t>24-JUN-2020</t>
  </si>
  <si>
    <t>POAKHI300054418</t>
  </si>
  <si>
    <t>17206/09/2020</t>
  </si>
  <si>
    <t>997APD1202730041</t>
  </si>
  <si>
    <t>536618</t>
  </si>
  <si>
    <t>0441223</t>
  </si>
  <si>
    <t>0441223002</t>
  </si>
  <si>
    <t>MUHAMMAD WAHEED</t>
  </si>
  <si>
    <t>37405-7294557-5</t>
  </si>
  <si>
    <t>03335128141</t>
  </si>
  <si>
    <t xml:space="preserve">FLAT NO 9 GROUND FLOOR ALADDINS RESIDENCY APARTMENT G-11/3 ISLAMABAD </t>
  </si>
  <si>
    <t>COMP/P/52890/09/2020</t>
  </si>
  <si>
    <t>118688</t>
  </si>
  <si>
    <t>B018063</t>
  </si>
  <si>
    <t>AUDI E-TRON 50 230KW</t>
  </si>
  <si>
    <t>PODISD3000057656</t>
  </si>
  <si>
    <t>9976AD2211870049</t>
  </si>
  <si>
    <t>628215</t>
  </si>
  <si>
    <t>0630629</t>
  </si>
  <si>
    <t>0630629005</t>
  </si>
  <si>
    <t>ALIYA HUMAYUN</t>
  </si>
  <si>
    <t>42201-1351916-4</t>
  </si>
  <si>
    <t>02134930874</t>
  </si>
  <si>
    <t>03312354394</t>
  </si>
  <si>
    <t xml:space="preserve">HOUSE 103 OVERSEAS HOUSING SOCIETY BLOCK 7/8 AHMED BERISTER ROAD KARACHI </t>
  </si>
  <si>
    <t>UWT/D/T002/0000001066/0921/109-0</t>
  </si>
  <si>
    <t>2A34836</t>
  </si>
  <si>
    <t>7021914</t>
  </si>
  <si>
    <t>06-JUL-2021</t>
  </si>
  <si>
    <t>OLAKHI300070337</t>
  </si>
  <si>
    <t>DIB0031530</t>
  </si>
  <si>
    <t>9976AD2212370002</t>
  </si>
  <si>
    <t>1091161</t>
  </si>
  <si>
    <t>0715920</t>
  </si>
  <si>
    <t>0715920001</t>
  </si>
  <si>
    <t>JAWWAD AHMED</t>
  </si>
  <si>
    <t>42201-4373533-9</t>
  </si>
  <si>
    <t>03332329274</t>
  </si>
  <si>
    <t>35650680</t>
  </si>
  <si>
    <t xml:space="preserve">SHELL PETROLIUM STATION Dr.ZIAUDDIN AHMED ROAD RANGERS HEAD QUARTER OP P.POLO GROUND KARACHI </t>
  </si>
  <si>
    <t>55601/00108/09/2021</t>
  </si>
  <si>
    <t>R18Z16926241</t>
  </si>
  <si>
    <t>NFBFC669MR078773</t>
  </si>
  <si>
    <t>25-AUG-2021</t>
  </si>
  <si>
    <t>OLAKHI300072316</t>
  </si>
  <si>
    <t>DIB0031809</t>
  </si>
  <si>
    <t>997APD1202730036</t>
  </si>
  <si>
    <t>640747</t>
  </si>
  <si>
    <t>0635794</t>
  </si>
  <si>
    <t>0635794001</t>
  </si>
  <si>
    <t>MUHAMMAD MONIS</t>
  </si>
  <si>
    <t>42301-6199928-7</t>
  </si>
  <si>
    <t>03212117374</t>
  </si>
  <si>
    <t xml:space="preserve">FLAT # 312 STREET 12 DEHLI COLONY G IZRI ROAD KARACHI PK </t>
  </si>
  <si>
    <t>52740/00082/09/2020</t>
  </si>
  <si>
    <t>LEB-H1-5064750</t>
  </si>
  <si>
    <t>RU3-1114736</t>
  </si>
  <si>
    <t>HONDA VEZEL</t>
  </si>
  <si>
    <t>POUKHI300057673</t>
  </si>
  <si>
    <t>DIB0028797</t>
  </si>
  <si>
    <t>9976AP1212710004</t>
  </si>
  <si>
    <t>1095158</t>
  </si>
  <si>
    <t>0410256</t>
  </si>
  <si>
    <t>0410256003</t>
  </si>
  <si>
    <t>ASAD BILAL</t>
  </si>
  <si>
    <t>42301-8879405-9</t>
  </si>
  <si>
    <t xml:space="preserve">HOUSE NO 15-A, SINDHI MUSLIM COOPERATIVE HOUSING SOCIETY KARACHI PAKISTAN </t>
  </si>
  <si>
    <t>55601/00105/09/2021</t>
  </si>
  <si>
    <t>Q309151</t>
  </si>
  <si>
    <t>ZRE172R-7008202</t>
  </si>
  <si>
    <t>BDZ-388</t>
  </si>
  <si>
    <t>OLAKHI300074024</t>
  </si>
  <si>
    <t>DIB0031869</t>
  </si>
  <si>
    <t>997AAD1201810005</t>
  </si>
  <si>
    <t>442858</t>
  </si>
  <si>
    <t>0616677</t>
  </si>
  <si>
    <t>0616677001</t>
  </si>
  <si>
    <t>ASHER MAQSOOD</t>
  </si>
  <si>
    <t>33100-3285077-5</t>
  </si>
  <si>
    <t>03008659768</t>
  </si>
  <si>
    <t>03008659768, 03008659768</t>
  </si>
  <si>
    <t xml:space="preserve">P-183 KOHINOOR TOWN JARANWALA ROAD FSD NEAR OPPSTIVE HOCKEY STADIUM FAISALABAD PK </t>
  </si>
  <si>
    <t>DIB/T/28516/LHR/0920</t>
  </si>
  <si>
    <t>G4NALH32258</t>
  </si>
  <si>
    <t>NNAQL51AZKP504716</t>
  </si>
  <si>
    <t>29-JUN-2020</t>
  </si>
  <si>
    <t>POAFSD300054602</t>
  </si>
  <si>
    <t>9976AD2212000001</t>
  </si>
  <si>
    <t>1097036</t>
  </si>
  <si>
    <t>0683547</t>
  </si>
  <si>
    <t>0683547003</t>
  </si>
  <si>
    <t>AKHTAR ALI</t>
  </si>
  <si>
    <t>33100-2685819-7</t>
  </si>
  <si>
    <t>0418777017</t>
  </si>
  <si>
    <t>03006672754, 03006672754</t>
  </si>
  <si>
    <t>03006672754</t>
  </si>
  <si>
    <t xml:space="preserve">H NO 17-E SATYANA ROAD TECH TOWN FAISALABAD PK </t>
  </si>
  <si>
    <t>2021/09/CLFTTPCDP01064</t>
  </si>
  <si>
    <t>SFG15T21026309</t>
  </si>
  <si>
    <t>ALR21H1834</t>
  </si>
  <si>
    <t>OLAFSD300070867</t>
  </si>
  <si>
    <t>DIB0031636</t>
  </si>
  <si>
    <t>997APD1202730047</t>
  </si>
  <si>
    <t>604552</t>
  </si>
  <si>
    <t>0634763</t>
  </si>
  <si>
    <t>0634763001</t>
  </si>
  <si>
    <t>MUHAMMAD IQBAL</t>
  </si>
  <si>
    <t>33100-1769136-3</t>
  </si>
  <si>
    <t>03424508075</t>
  </si>
  <si>
    <t>03424508075, 03424508075</t>
  </si>
  <si>
    <t xml:space="preserve">H NO P-855-B GATE NO 1 ST NO 49 SAM NABAD FAISALABAD PK </t>
  </si>
  <si>
    <t>52740/00085/09/2020</t>
  </si>
  <si>
    <t>L15Z14802711</t>
  </si>
  <si>
    <t>NFBDG1833LR019394</t>
  </si>
  <si>
    <t>BRV-IVTEC-S</t>
  </si>
  <si>
    <t>PODFSD300057663</t>
  </si>
  <si>
    <t>TDIDIB0028655</t>
  </si>
  <si>
    <t>28-SEP-2020</t>
  </si>
  <si>
    <t>9976AD1211200075</t>
  </si>
  <si>
    <t>AL-1090255</t>
  </si>
  <si>
    <t>0690263</t>
  </si>
  <si>
    <t>0690263001</t>
  </si>
  <si>
    <t>INAM NOOR MOHAMMAD</t>
  </si>
  <si>
    <t>37405-8879388-7</t>
  </si>
  <si>
    <t>03335337071</t>
  </si>
  <si>
    <t>0515171956</t>
  </si>
  <si>
    <t xml:space="preserve">HOUSE # 3312/6 STREET NO. 5-A MOHAL LAH NAI ABADI TULSA ROAD LALAZAR RAWALPINDI PK </t>
  </si>
  <si>
    <t>2021/09/CLFTTPCDP01014</t>
  </si>
  <si>
    <t>315361</t>
  </si>
  <si>
    <t>513036</t>
  </si>
  <si>
    <t>OLARWP300068614</t>
  </si>
  <si>
    <t>9976AD1212420008</t>
  </si>
  <si>
    <t>1105935</t>
  </si>
  <si>
    <t>0717575</t>
  </si>
  <si>
    <t>0717575001</t>
  </si>
  <si>
    <t>AMEER AHMED ABBASI</t>
  </si>
  <si>
    <t>42000-0529642-3</t>
  </si>
  <si>
    <t>03336936747</t>
  </si>
  <si>
    <t>02134520105</t>
  </si>
  <si>
    <t xml:space="preserve">808 8 TH FLOOR ANUM ESTATE BALOCH C OLONY SHAHRAH-E- FAISAL KARACHI </t>
  </si>
  <si>
    <t>55601/00107/09/2021</t>
  </si>
  <si>
    <t>2A35971</t>
  </si>
  <si>
    <t>7022451</t>
  </si>
  <si>
    <t>TOYOTA YARIS ATVI CVT</t>
  </si>
  <si>
    <t>OLAKHI300072680</t>
  </si>
  <si>
    <t>DIB0031758</t>
  </si>
  <si>
    <t>9976AP1212600046</t>
  </si>
  <si>
    <t>1107969</t>
  </si>
  <si>
    <t>0720322</t>
  </si>
  <si>
    <t>0720322001</t>
  </si>
  <si>
    <t>GHULAM MUSTAFA</t>
  </si>
  <si>
    <t>35202-2626941-9</t>
  </si>
  <si>
    <t>03014589204</t>
  </si>
  <si>
    <t>04237313339</t>
  </si>
  <si>
    <t xml:space="preserve">OFFICE NO 310 3RD FLOOR MAHBOOB ARC ADE BOHAR WALA CHOWK MAZANG LAHORE </t>
  </si>
  <si>
    <t>55601/00046/09/2021</t>
  </si>
  <si>
    <t>1001430</t>
  </si>
  <si>
    <t>MR001825</t>
  </si>
  <si>
    <t>HONDA CITY I-V TEC P/T</t>
  </si>
  <si>
    <t>OLDLHR300073451</t>
  </si>
  <si>
    <t>DIB0031682</t>
  </si>
  <si>
    <t>9976AD1211440007</t>
  </si>
  <si>
    <t>CHANGAN SAHIWAL MOTORS</t>
  </si>
  <si>
    <t>650340</t>
  </si>
  <si>
    <t>0693530</t>
  </si>
  <si>
    <t>0693530001</t>
  </si>
  <si>
    <t>WAQAS ZAHID</t>
  </si>
  <si>
    <t>OKARA</t>
  </si>
  <si>
    <t>35302-6167807-9</t>
  </si>
  <si>
    <t>03337951017</t>
  </si>
  <si>
    <t>0442510318</t>
  </si>
  <si>
    <t xml:space="preserve">H NO 112 ST NO 02 MOHALLAH LALA ZAR COLONY OKARA PK </t>
  </si>
  <si>
    <t>17787/00106/10/2021</t>
  </si>
  <si>
    <t>JL473QFM3CAD517598</t>
  </si>
  <si>
    <t>NKMAZASE5M1002846</t>
  </si>
  <si>
    <t>ALSVIN 1.5L LUMIERE</t>
  </si>
  <si>
    <t>24-MAY-2021</t>
  </si>
  <si>
    <t>21-OCT-2021</t>
  </si>
  <si>
    <t>21-Oct-2026</t>
  </si>
  <si>
    <t>OLAOKR300068876</t>
  </si>
  <si>
    <t>5470/09/2021/ITFM</t>
  </si>
  <si>
    <t>9976AD1211200034</t>
  </si>
  <si>
    <t>1091264</t>
  </si>
  <si>
    <t>0295708</t>
  </si>
  <si>
    <t>0295708005</t>
  </si>
  <si>
    <t>SHAHBAZ ALI</t>
  </si>
  <si>
    <t>45402-1670374-1</t>
  </si>
  <si>
    <t>03363403570</t>
  </si>
  <si>
    <t xml:space="preserve">FLAT NO A-37 3RD FLOOR SUMERA SQUARE BLOCK-6 GULSHAN E IQBAL NR IBN E SINA HOSPITAL KARACHI </t>
  </si>
  <si>
    <t>2524/02640/00118/09/2021</t>
  </si>
  <si>
    <t>L12B51001764</t>
  </si>
  <si>
    <t>NFBGN8529MR002317</t>
  </si>
  <si>
    <t>OLAKHI300068396</t>
  </si>
  <si>
    <t>108581/09/2021</t>
  </si>
  <si>
    <t>9976AP2222580012</t>
  </si>
  <si>
    <t>1204212</t>
  </si>
  <si>
    <t>0735936</t>
  </si>
  <si>
    <t>0735936003</t>
  </si>
  <si>
    <t>42101-3187180-5</t>
  </si>
  <si>
    <t>03178904670</t>
  </si>
  <si>
    <t xml:space="preserve">HOUSE # B-102 2ND FLOOR SEC 11-A NO RHT KHI NEAR BOMBAY BAKERY KARACHI PK </t>
  </si>
  <si>
    <t>63286/00035/09/2022</t>
  </si>
  <si>
    <t>Q040859</t>
  </si>
  <si>
    <t>6018346</t>
  </si>
  <si>
    <t>BKQ-622</t>
  </si>
  <si>
    <t>OLUKHI300089857</t>
  </si>
  <si>
    <t>8662/09/2022/ITFM</t>
  </si>
  <si>
    <t>9976AD2211690015</t>
  </si>
  <si>
    <t>1093114</t>
  </si>
  <si>
    <t>0694045</t>
  </si>
  <si>
    <t>0694045003</t>
  </si>
  <si>
    <t>SYED ALI RAZA</t>
  </si>
  <si>
    <t>37405-3166904-1</t>
  </si>
  <si>
    <t>03325094522</t>
  </si>
  <si>
    <t>0514580542</t>
  </si>
  <si>
    <t xml:space="preserve">H # 93 MAIN STREET NATIONAL HOUSING SOCIETY ADYALA ROAD NEAR AWAN CNG RAWALPINDI PK </t>
  </si>
  <si>
    <t>2021/09/CLFTTPCDP01052</t>
  </si>
  <si>
    <t>184660</t>
  </si>
  <si>
    <t>1084532</t>
  </si>
  <si>
    <t>OLARWP300069534</t>
  </si>
  <si>
    <t>5474/09/2021</t>
  </si>
  <si>
    <t>9976AP1192750001</t>
  </si>
  <si>
    <t>582888</t>
  </si>
  <si>
    <t>0562589</t>
  </si>
  <si>
    <t>0562589001</t>
  </si>
  <si>
    <t>SABOOHI HUSSAIN</t>
  </si>
  <si>
    <t>35201-6204690-4</t>
  </si>
  <si>
    <t>03454670759</t>
  </si>
  <si>
    <t xml:space="preserve">HOUSE NO 39 -S AL SHAMS BLOCK LAHO RE MEDICAL SOCIETY CANAL ROAD LAHORE PK </t>
  </si>
  <si>
    <t>51132/00086/09/2019</t>
  </si>
  <si>
    <t>PKF591857</t>
  </si>
  <si>
    <t>SF410PK498732</t>
  </si>
  <si>
    <t>LEA-14-2377</t>
  </si>
  <si>
    <t>POULHR300049490</t>
  </si>
  <si>
    <t>1804/09/2019/ITFM</t>
  </si>
  <si>
    <t>9976AP2192730003</t>
  </si>
  <si>
    <t>ADIL ASHRAF MOTORS</t>
  </si>
  <si>
    <t>591302</t>
  </si>
  <si>
    <t>0354162</t>
  </si>
  <si>
    <t>0354162003</t>
  </si>
  <si>
    <t>ABU BAKAR SHAFIQ</t>
  </si>
  <si>
    <t>34101-2061394-3</t>
  </si>
  <si>
    <t>03234788888</t>
  </si>
  <si>
    <t>0323-4788888</t>
  </si>
  <si>
    <t xml:space="preserve">H NO 19 ST NO 6, EDEN PALACE VILLAS RAIWIND ROAD LAHORE </t>
  </si>
  <si>
    <t>51132/00083/09/2019</t>
  </si>
  <si>
    <t>26-SEP-2020</t>
  </si>
  <si>
    <t>109279</t>
  </si>
  <si>
    <t>1009277</t>
  </si>
  <si>
    <t>LE-19A-5001</t>
  </si>
  <si>
    <t>PODLHR300049443</t>
  </si>
  <si>
    <t>1797/09/2019/ITFM</t>
  </si>
  <si>
    <t>9976AP2232710003</t>
  </si>
  <si>
    <t>1406777</t>
  </si>
  <si>
    <t>0501629</t>
  </si>
  <si>
    <t>0501629002</t>
  </si>
  <si>
    <t>MARIYAM NAZIR</t>
  </si>
  <si>
    <t>13101-2243003-8</t>
  </si>
  <si>
    <t>03335060192</t>
  </si>
  <si>
    <t>9271552</t>
  </si>
  <si>
    <t xml:space="preserve">H # 9 ST # 6 , 1ST FLOOR SECTOR G-1 3/3 NEAR JS BANK ISB ISLAMABAD PK </t>
  </si>
  <si>
    <t>74853/00030/09/2023</t>
  </si>
  <si>
    <t>26-SEP-2024</t>
  </si>
  <si>
    <t>175299</t>
  </si>
  <si>
    <t>10075295</t>
  </si>
  <si>
    <t>AVG-612</t>
  </si>
  <si>
    <t>SUZUKI CULTUS VXL AGS EURO 11</t>
  </si>
  <si>
    <t>OLUISD300097277</t>
  </si>
  <si>
    <t>DIB0035337</t>
  </si>
  <si>
    <t>9976AP2232610001</t>
  </si>
  <si>
    <t>1441964</t>
  </si>
  <si>
    <t>0899812</t>
  </si>
  <si>
    <t>0899812001</t>
  </si>
  <si>
    <t>SYEDA AYESHA MAZHAR BUKHARI</t>
  </si>
  <si>
    <t>36302-8700037-2</t>
  </si>
  <si>
    <t>03001919946</t>
  </si>
  <si>
    <t xml:space="preserve">H NO 528-M SABZAZAR LAHORE PK </t>
  </si>
  <si>
    <t>74853/00016/09/2023</t>
  </si>
  <si>
    <t>13-SEP-2024</t>
  </si>
  <si>
    <t>12928993</t>
  </si>
  <si>
    <t>R032371</t>
  </si>
  <si>
    <t>LEC-18-2895</t>
  </si>
  <si>
    <t>OLULHR300096963</t>
  </si>
  <si>
    <t>DIB0035299</t>
  </si>
  <si>
    <t>18-SEP-2023</t>
  </si>
  <si>
    <t>9976AP1232580001</t>
  </si>
  <si>
    <t>SUZUKI SANDALBAR MOTORS</t>
  </si>
  <si>
    <t>1410087</t>
  </si>
  <si>
    <t>0593346</t>
  </si>
  <si>
    <t>0593346005</t>
  </si>
  <si>
    <t>ANBREEN ANJUM</t>
  </si>
  <si>
    <t>33100-0643705-6</t>
  </si>
  <si>
    <t>03236871833</t>
  </si>
  <si>
    <t xml:space="preserve">GOVT COLLEGE UNIVERSITY SIR SYED BLOCK DEPARTMENT APPLIED CHEMISTRY NEW CAMPUS JHANG ROAD FSD </t>
  </si>
  <si>
    <t>74853/00015/09/2023</t>
  </si>
  <si>
    <t>6R282541</t>
  </si>
  <si>
    <t>1182490</t>
  </si>
  <si>
    <t>SUZUKI ALTO VCL AGS EURO II</t>
  </si>
  <si>
    <t>OLDFSD300096943</t>
  </si>
  <si>
    <t>10498/09/2023/ITFM</t>
  </si>
  <si>
    <t>14-SEP-2023</t>
  </si>
  <si>
    <t>9976AP1232710016</t>
  </si>
  <si>
    <t>1406782</t>
  </si>
  <si>
    <t>0810827</t>
  </si>
  <si>
    <t>0810827004</t>
  </si>
  <si>
    <t>AZIZ UR REHMAN</t>
  </si>
  <si>
    <t>34502-0221668-1</t>
  </si>
  <si>
    <t>03005542608</t>
  </si>
  <si>
    <t>0518465534</t>
  </si>
  <si>
    <t xml:space="preserve">H # 38 ST # 01 WAZIR TOWN NEAR HAJI BABA FOODS RAWALPINDI PK </t>
  </si>
  <si>
    <t>74853/00029/09/2023</t>
  </si>
  <si>
    <t>180929</t>
  </si>
  <si>
    <t>1080908</t>
  </si>
  <si>
    <t>ATJ-41</t>
  </si>
  <si>
    <t>OLURWP300097275</t>
  </si>
  <si>
    <t>DIB0035334</t>
  </si>
  <si>
    <t>9976AD1222110003</t>
  </si>
  <si>
    <t>1208485</t>
  </si>
  <si>
    <t>0805558</t>
  </si>
  <si>
    <t>0805558001</t>
  </si>
  <si>
    <t>MUHAMMAD KASHIF KIBRIYA</t>
  </si>
  <si>
    <t>42101-7735519-7</t>
  </si>
  <si>
    <t>03214292121</t>
  </si>
  <si>
    <t xml:space="preserve">H NO 9 BLOCK F FARMANITS HOUSING SO CIETY LAHORE PK </t>
  </si>
  <si>
    <t>63286/00070/09/2022</t>
  </si>
  <si>
    <t>26-SEP-2023</t>
  </si>
  <si>
    <t>506630</t>
  </si>
  <si>
    <t>1016612</t>
  </si>
  <si>
    <t>OLALHR300089047</t>
  </si>
  <si>
    <t>8801/09/2022/ITFM</t>
  </si>
  <si>
    <t>9976AD2211970002</t>
  </si>
  <si>
    <t>1092422</t>
  </si>
  <si>
    <t>0707570</t>
  </si>
  <si>
    <t>0707570001</t>
  </si>
  <si>
    <t>MUHAMMAD IRFAN TARIQ</t>
  </si>
  <si>
    <t>61101-7915099-7</t>
  </si>
  <si>
    <t>03335366834</t>
  </si>
  <si>
    <t>0519208679</t>
  </si>
  <si>
    <t xml:space="preserve">H # 16-A LIAQUAT AVENUE JINNAH GARD EN PHASE-1 ISLAMABAD PK </t>
  </si>
  <si>
    <t>PL-0921-1101010102-V14-D-00447</t>
  </si>
  <si>
    <t>2A36693</t>
  </si>
  <si>
    <t>9513684</t>
  </si>
  <si>
    <t>TOYOTA YARIS ATI V X CVT 1.5</t>
  </si>
  <si>
    <t>OLAISD300070825</t>
  </si>
  <si>
    <t>DIB0031895</t>
  </si>
  <si>
    <t>9976AD1212100025</t>
  </si>
  <si>
    <t>1102388</t>
  </si>
  <si>
    <t>0709693</t>
  </si>
  <si>
    <t>0709693001</t>
  </si>
  <si>
    <t>IFTIKHAR AHMAD GONDAL</t>
  </si>
  <si>
    <t>34101-2371495-3</t>
  </si>
  <si>
    <t>03007467560</t>
  </si>
  <si>
    <t xml:space="preserve">MOH SADAR UD DIN MORE EMANABAD TOWN GT ROAD GUJRANWALA PK </t>
  </si>
  <si>
    <t>PL-0921-1101010102-V14-D-00445</t>
  </si>
  <si>
    <t>2A36860</t>
  </si>
  <si>
    <t>NSP150R-7023098</t>
  </si>
  <si>
    <t>29-JUL-2021</t>
  </si>
  <si>
    <t>OLAGWL300071243</t>
  </si>
  <si>
    <t>5466/09/2021</t>
  </si>
  <si>
    <t>997AAD2202120005</t>
  </si>
  <si>
    <t>575709</t>
  </si>
  <si>
    <t>0621993</t>
  </si>
  <si>
    <t>0621993001</t>
  </si>
  <si>
    <t>TAHIR ZIAD YOUSAF</t>
  </si>
  <si>
    <t>37405-9919250-9</t>
  </si>
  <si>
    <t>03005556990</t>
  </si>
  <si>
    <t>0512015845</t>
  </si>
  <si>
    <t xml:space="preserve">H # 54 DAD KHAN COLONY ST # 6 NEAR GULRAIZ-1 CHAKLALA NEAR ATTOCK PLAZ RAWALPINDI PK </t>
  </si>
  <si>
    <t>COMP/P/52611/08/2020</t>
  </si>
  <si>
    <t>26-SEP-2021</t>
  </si>
  <si>
    <t>79799087</t>
  </si>
  <si>
    <t>LR-261777</t>
  </si>
  <si>
    <t>HONDA CITY IVTEC P/T 1.5L</t>
  </si>
  <si>
    <t>POARWP300055983</t>
  </si>
  <si>
    <t>DIB0028624</t>
  </si>
  <si>
    <t>9976AD2210900013</t>
  </si>
  <si>
    <t>PRINCE SIDDIQUI MOTORS</t>
  </si>
  <si>
    <t>599866</t>
  </si>
  <si>
    <t>0681149</t>
  </si>
  <si>
    <t>0681149001</t>
  </si>
  <si>
    <t>ALLAH DINO ALMANI</t>
  </si>
  <si>
    <t>45303-0688440-1</t>
  </si>
  <si>
    <t>03005549805</t>
  </si>
  <si>
    <t xml:space="preserve">M-3 1ST FLOOR NASEEM SHOOPING MALL QASIMABAD HYDERABAD PK </t>
  </si>
  <si>
    <t>01-2109-PO-MTR-PCCM-D-001247</t>
  </si>
  <si>
    <t>0460390700</t>
  </si>
  <si>
    <t>21G02727</t>
  </si>
  <si>
    <t>OLAHYD300067281</t>
  </si>
  <si>
    <t>108570/09/2021</t>
  </si>
  <si>
    <t>9976AD2212080006</t>
  </si>
  <si>
    <t>1109988</t>
  </si>
  <si>
    <t>0183151</t>
  </si>
  <si>
    <t>0183151003</t>
  </si>
  <si>
    <t>KHALID AFZAL</t>
  </si>
  <si>
    <t>42101-1805376-9</t>
  </si>
  <si>
    <t>03332294798</t>
  </si>
  <si>
    <t xml:space="preserve">CHEMI ENTERPRISES PLOT NO B 511 FEDERAL B AREA BLOCK 13 KARACHI </t>
  </si>
  <si>
    <t>2524/02640/00053/09/2021</t>
  </si>
  <si>
    <t>PKT1014980</t>
  </si>
  <si>
    <t>SV308DK01131513</t>
  </si>
  <si>
    <t>27-JUL-2021</t>
  </si>
  <si>
    <t>OLAKHI300070777</t>
  </si>
  <si>
    <t>DIB0031669</t>
  </si>
  <si>
    <t>997APD1202610030</t>
  </si>
  <si>
    <t>SUZUKI CANAL MOTORS</t>
  </si>
  <si>
    <t>579199</t>
  </si>
  <si>
    <t>0632524</t>
  </si>
  <si>
    <t>0632524001</t>
  </si>
  <si>
    <t>MOHAMMAD UZAIR</t>
  </si>
  <si>
    <t>33100-7698297-5</t>
  </si>
  <si>
    <t>03217604603</t>
  </si>
  <si>
    <t>03217604603, 03217604603</t>
  </si>
  <si>
    <t xml:space="preserve">H NO P-367 SITARA GOLD CITY SATYANA ROAD FAISALABAD PK </t>
  </si>
  <si>
    <t>52740/00034/09/2020</t>
  </si>
  <si>
    <t>139507</t>
  </si>
  <si>
    <t>1039432</t>
  </si>
  <si>
    <t>17-SEP-2020</t>
  </si>
  <si>
    <t>PODFSD300057253</t>
  </si>
  <si>
    <t>3014/09/2020/ITFM</t>
  </si>
  <si>
    <t>9976AD1211950010</t>
  </si>
  <si>
    <t>1094853</t>
  </si>
  <si>
    <t>0420074</t>
  </si>
  <si>
    <t>0420074003</t>
  </si>
  <si>
    <t>IZHAR AHMED KHAN</t>
  </si>
  <si>
    <t>35201-1300886-3</t>
  </si>
  <si>
    <t>0303-3335932</t>
  </si>
  <si>
    <t>03033335932</t>
  </si>
  <si>
    <t xml:space="preserve">H# 2 ST# 35 GILLANI MOH MUSTAFABAD OPP. DAHRAMPURA MAIN BAZAR LAHORE </t>
  </si>
  <si>
    <t>2021-09-205-V015010P0002292</t>
  </si>
  <si>
    <t>219430</t>
  </si>
  <si>
    <t>10119341</t>
  </si>
  <si>
    <t>14-JUL-2021</t>
  </si>
  <si>
    <t>OLALHR300070612</t>
  </si>
  <si>
    <t>DIB0031889</t>
  </si>
  <si>
    <t>9976AD1212040005</t>
  </si>
  <si>
    <t>628757</t>
  </si>
  <si>
    <t>0708922</t>
  </si>
  <si>
    <t>0708922001</t>
  </si>
  <si>
    <t>SHAHAB AHMED HASHMI</t>
  </si>
  <si>
    <t>35201-8308399-3</t>
  </si>
  <si>
    <t>03222009147</t>
  </si>
  <si>
    <t xml:space="preserve">SUMMIT BANK SHIMLA TOWER DAVIS ROAD LAHORE </t>
  </si>
  <si>
    <t>2524/02640/00114/09/2021</t>
  </si>
  <si>
    <t>6R184358</t>
  </si>
  <si>
    <t>NF1AET306H1084375</t>
  </si>
  <si>
    <t>23-JUL-2021</t>
  </si>
  <si>
    <t>OLALHR300071004</t>
  </si>
  <si>
    <t>DIB0031887</t>
  </si>
  <si>
    <t>9976AD2211720006</t>
  </si>
  <si>
    <t>651483</t>
  </si>
  <si>
    <t>0699713</t>
  </si>
  <si>
    <t>0699713001</t>
  </si>
  <si>
    <t>ALI RAZA</t>
  </si>
  <si>
    <t>33102-2731409-5</t>
  </si>
  <si>
    <t>03457812315</t>
  </si>
  <si>
    <t>03457812315, 03457812315</t>
  </si>
  <si>
    <t xml:space="preserve">H NO 151 ST NO 05 NARWALA ROAD FAISALABAD PK </t>
  </si>
  <si>
    <t>2021/09/CLFTTPCDP01001</t>
  </si>
  <si>
    <t>14-sep-2022</t>
  </si>
  <si>
    <t>184471</t>
  </si>
  <si>
    <t>10084483</t>
  </si>
  <si>
    <t>21-JUN-2021</t>
  </si>
  <si>
    <t>OLAFSD300069591</t>
  </si>
  <si>
    <t>5422/09/2021/ITMM</t>
  </si>
  <si>
    <t>9976AP2232700002</t>
  </si>
  <si>
    <t>1192218</t>
  </si>
  <si>
    <t>0904729</t>
  </si>
  <si>
    <t>0904729002</t>
  </si>
  <si>
    <t>MUHAMMAD AFZAL BHATTI</t>
  </si>
  <si>
    <t>37203-1410663-9</t>
  </si>
  <si>
    <t>03335155807</t>
  </si>
  <si>
    <t xml:space="preserve">HOUSE NO: PD-436/A, LANE NO:04, BACK SIDE NAWAZ SHARIF PARK NEAR FILTERATION PLANT DOUBLE ROAD, RAWALPINDI.0333-5155807 </t>
  </si>
  <si>
    <t>74853/00028/09/2023</t>
  </si>
  <si>
    <t>25-SEP-2024</t>
  </si>
  <si>
    <t>1014525</t>
  </si>
  <si>
    <t>PR033674</t>
  </si>
  <si>
    <t>HONDA CITY ASPIRE A/T</t>
  </si>
  <si>
    <t>OLDRWP300097268</t>
  </si>
  <si>
    <t>DIB0035328</t>
  </si>
  <si>
    <t>9976AD1210740008</t>
  </si>
  <si>
    <t>649855</t>
  </si>
  <si>
    <t>0676692</t>
  </si>
  <si>
    <t>0676692001</t>
  </si>
  <si>
    <t>MUHAMMAD FAIZ MANZOOR</t>
  </si>
  <si>
    <t>42101-7786314-3</t>
  </si>
  <si>
    <t>03009242899</t>
  </si>
  <si>
    <t xml:space="preserve">FLAT # 46 4TH FLOOR BLOCK 1 ALI DAU LAT SQUARE BLOCK G NORTH NAZIMABAD KARACHI PK </t>
  </si>
  <si>
    <t>2524/02640/00060/09/2021</t>
  </si>
  <si>
    <t>JL473QFM3CAD517599</t>
  </si>
  <si>
    <t>NKMA2ASE5M1002872</t>
  </si>
  <si>
    <t>OLAKHI300066729</t>
  </si>
  <si>
    <t>DIB0031677</t>
  </si>
  <si>
    <t>9976AP1222700006</t>
  </si>
  <si>
    <t>1414296</t>
  </si>
  <si>
    <t>0820931</t>
  </si>
  <si>
    <t>0820931001</t>
  </si>
  <si>
    <t>MUHAMMAD SAAD BIN HAMID</t>
  </si>
  <si>
    <t>35202-0556851-3</t>
  </si>
  <si>
    <t>03244200006</t>
  </si>
  <si>
    <t>03244200006, 03229288354</t>
  </si>
  <si>
    <t xml:space="preserve">H NO 68-N NEAR KHIZRA MASJID MOAZZA M ROAD SAMNABAD LAHORE PK </t>
  </si>
  <si>
    <t>63286/00068/09/2022</t>
  </si>
  <si>
    <t>7914382</t>
  </si>
  <si>
    <t>NR004387</t>
  </si>
  <si>
    <t>HONDA CIVIC 1.5L TURBO</t>
  </si>
  <si>
    <t>OLDLHR300090074</t>
  </si>
  <si>
    <t>8780/09/20228/ITFM</t>
  </si>
  <si>
    <t>997AAD1201710003</t>
  </si>
  <si>
    <t>593308</t>
  </si>
  <si>
    <t>0081379</t>
  </si>
  <si>
    <t>0081379008</t>
  </si>
  <si>
    <t>SYED IMTIAZ AZEEM ZANJANI</t>
  </si>
  <si>
    <t>35201-1316723-3</t>
  </si>
  <si>
    <t>0423663257</t>
  </si>
  <si>
    <t>03004021065</t>
  </si>
  <si>
    <t>04237915566</t>
  </si>
  <si>
    <t xml:space="preserve">HOUSE NO 7 CHANAR GALI TAJ BAGH LAHORE CANTT LAHORE </t>
  </si>
  <si>
    <t>G4NALH322547</t>
  </si>
  <si>
    <t>NNAQL51AZKP504611</t>
  </si>
  <si>
    <t>19-JUN-2020</t>
  </si>
  <si>
    <t>POALHR300054359</t>
  </si>
  <si>
    <t>9976AP1192700007</t>
  </si>
  <si>
    <t>587358</t>
  </si>
  <si>
    <t>0561943</t>
  </si>
  <si>
    <t>0561943001</t>
  </si>
  <si>
    <t>KHURAM SHAHZAD</t>
  </si>
  <si>
    <t>36502-7571719-9</t>
  </si>
  <si>
    <t>03014390618</t>
  </si>
  <si>
    <t>04235171145, 03014390618</t>
  </si>
  <si>
    <t>04235171145</t>
  </si>
  <si>
    <t xml:space="preserve">HOUSE NO 17 1st FLOOR SAQIB STREET BISMILLAH BLOCK BOR SOCIETY JOHAR T LAHORE PK </t>
  </si>
  <si>
    <t>51132/00072/09/2019</t>
  </si>
  <si>
    <t>25-SEP-2020</t>
  </si>
  <si>
    <t>200963</t>
  </si>
  <si>
    <t>10100937</t>
  </si>
  <si>
    <t>LE-19A-8718</t>
  </si>
  <si>
    <t>PODLHR300049407</t>
  </si>
  <si>
    <t>1785/09/2019/ITFM</t>
  </si>
  <si>
    <t>26-SEP-2019</t>
  </si>
  <si>
    <t>9976AD1220760047</t>
  </si>
  <si>
    <t>1148866</t>
  </si>
  <si>
    <t>0770935</t>
  </si>
  <si>
    <t>0770935001</t>
  </si>
  <si>
    <t>NADEEM YOUSAF</t>
  </si>
  <si>
    <t>37405-6689240-9</t>
  </si>
  <si>
    <t>03120532854</t>
  </si>
  <si>
    <t xml:space="preserve">H # DK-338 2ND FLOOR ST # 6 SERVIC E ROAD DHOK KASHMIRIAN NEAR HAKEEM RAWALPINDI PK </t>
  </si>
  <si>
    <t>63286/00038/09/2022</t>
  </si>
  <si>
    <t>248905</t>
  </si>
  <si>
    <t>1148896</t>
  </si>
  <si>
    <t>17-MAR-2022</t>
  </si>
  <si>
    <t>OLARWP300085672</t>
  </si>
  <si>
    <t>8671/09/2022</t>
  </si>
  <si>
    <t>9976AP1192700002</t>
  </si>
  <si>
    <t>587063</t>
  </si>
  <si>
    <t>0369978</t>
  </si>
  <si>
    <t>0369978003</t>
  </si>
  <si>
    <t>PARVEZ MASIH</t>
  </si>
  <si>
    <t>34602-1800456-9</t>
  </si>
  <si>
    <t>03115905536</t>
  </si>
  <si>
    <t xml:space="preserve">H NO 13 ST NO 10 ABID MAJEED NEAR MH GATE # 2 NEAR MUGHALABAD NEAR ALLAH WALI MASJID RAWALPINDI </t>
  </si>
  <si>
    <t>51132/00077/09/2019</t>
  </si>
  <si>
    <t>1000597</t>
  </si>
  <si>
    <t>01117105</t>
  </si>
  <si>
    <t>APT-428</t>
  </si>
  <si>
    <t>BOLAN VX ERUO II</t>
  </si>
  <si>
    <t>PODRWP300049411</t>
  </si>
  <si>
    <t>1786/09/2019/ITFM</t>
  </si>
  <si>
    <t>9976AD1220270034</t>
  </si>
  <si>
    <t>1142645</t>
  </si>
  <si>
    <t>0749371</t>
  </si>
  <si>
    <t>0749371001</t>
  </si>
  <si>
    <t>AHMAD NAWAZ</t>
  </si>
  <si>
    <t>37405-3910482-3</t>
  </si>
  <si>
    <t>0515680314</t>
  </si>
  <si>
    <t xml:space="preserve">H # CB-430 ST # 5 MOHALLAH SHAH FA ISAL KAMALABAD RAWALPINDI PK </t>
  </si>
  <si>
    <t>63286/00037/09/2022</t>
  </si>
  <si>
    <t>249274</t>
  </si>
  <si>
    <t>1149263</t>
  </si>
  <si>
    <t>27-JAN-2022</t>
  </si>
  <si>
    <t>OLARWP300083223</t>
  </si>
  <si>
    <t>8675/09/2022/ITFM</t>
  </si>
  <si>
    <t>9976AP1172700005</t>
  </si>
  <si>
    <t>SUZUKI RAHIM YAR KHAN MOTORS</t>
  </si>
  <si>
    <t>414157</t>
  </si>
  <si>
    <t>0434221</t>
  </si>
  <si>
    <t>0434221001</t>
  </si>
  <si>
    <t>MUZAMIL MALIK</t>
  </si>
  <si>
    <t>31202-2461014-4</t>
  </si>
  <si>
    <t>03047058081</t>
  </si>
  <si>
    <t>0622285643</t>
  </si>
  <si>
    <t xml:space="preserve">H NO. 149-F NEW SATTELITE TOWN HUSS AINI CHOWK BAHAWALPUR PK </t>
  </si>
  <si>
    <t>DIB/T/17880/LHR/0917</t>
  </si>
  <si>
    <t>24-SEP-2018</t>
  </si>
  <si>
    <t>108485</t>
  </si>
  <si>
    <t>10008498</t>
  </si>
  <si>
    <t>LEA-17A-6334</t>
  </si>
  <si>
    <t>PODBHP300025811</t>
  </si>
  <si>
    <t>FSPT</t>
  </si>
  <si>
    <t>13246/09/2017/SPD</t>
  </si>
  <si>
    <t>25-SEP-2017</t>
  </si>
  <si>
    <t>997APD1202720025</t>
  </si>
  <si>
    <t>646508</t>
  </si>
  <si>
    <t>0179320</t>
  </si>
  <si>
    <t>0179320004</t>
  </si>
  <si>
    <t>IMRAN HAFEEZ</t>
  </si>
  <si>
    <t>35200-1439158-9</t>
  </si>
  <si>
    <t>03008499768</t>
  </si>
  <si>
    <t xml:space="preserve">HOUSE NO 61 BLOCK C-1 VALENCIA TOWN LAHORE </t>
  </si>
  <si>
    <t>52740/00077/09/2020</t>
  </si>
  <si>
    <t>G4NALH319359</t>
  </si>
  <si>
    <t>NMAQL51AZKP504162</t>
  </si>
  <si>
    <t>PODLHR300057580</t>
  </si>
  <si>
    <t>997AAD1201820023</t>
  </si>
  <si>
    <t>536565</t>
  </si>
  <si>
    <t>0382790</t>
  </si>
  <si>
    <t>0382790003</t>
  </si>
  <si>
    <t>42301-0684651-3</t>
  </si>
  <si>
    <t>0300-2372258</t>
  </si>
  <si>
    <t>03002372258</t>
  </si>
  <si>
    <t>021-32435454</t>
  </si>
  <si>
    <t xml:space="preserve">H NO 11, PLOT NO R-B-3, 3RD FLOOR MOHSIN MANZIL, CAMBEEL STREET BURNS ROAD NEAR RAFIQUE MENTION KARACHI </t>
  </si>
  <si>
    <t>Q067192</t>
  </si>
  <si>
    <t>ZRE171R-6044675</t>
  </si>
  <si>
    <t>POAKHI300054891</t>
  </si>
  <si>
    <t>3061/09/2020/ITFM</t>
  </si>
  <si>
    <t>22-SEP-2020</t>
  </si>
  <si>
    <t>997APD2202720015</t>
  </si>
  <si>
    <t>640767</t>
  </si>
  <si>
    <t>0166674</t>
  </si>
  <si>
    <t>0166674007</t>
  </si>
  <si>
    <t>MUSHTAQ AHMED</t>
  </si>
  <si>
    <t>42201-6508233-1</t>
  </si>
  <si>
    <t>03332229073</t>
  </si>
  <si>
    <t>02135888424</t>
  </si>
  <si>
    <t xml:space="preserve">H NO SS-13 JAMISTAFF LINE-2 DHA PHASE II NEAR SUNSET CLUB KARACHI </t>
  </si>
  <si>
    <t>Q066067</t>
  </si>
  <si>
    <t>ZRE171R-6043573</t>
  </si>
  <si>
    <t>POUKHI300057638</t>
  </si>
  <si>
    <t>DIB0028780</t>
  </si>
  <si>
    <t>9976AD1192430013</t>
  </si>
  <si>
    <t>MACCA MOTORS</t>
  </si>
  <si>
    <t>547654</t>
  </si>
  <si>
    <t>0131180</t>
  </si>
  <si>
    <t>0131180004</t>
  </si>
  <si>
    <t>SYED SHAHROKH ALI</t>
  </si>
  <si>
    <t>42000-9786585-3</t>
  </si>
  <si>
    <t>03332434110</t>
  </si>
  <si>
    <t>02134168064</t>
  </si>
  <si>
    <t xml:space="preserve">SOLIBH OFICE NO 10 4TH FLOOR USMANIA CENTRE F-2 COMMERCIAL AREA MOHD ALI COPORATIVE HOUSING SOCIETY KHI </t>
  </si>
  <si>
    <t>51132/00070/09/2019</t>
  </si>
  <si>
    <t>112641</t>
  </si>
  <si>
    <t>1012614</t>
  </si>
  <si>
    <t>BQV-729</t>
  </si>
  <si>
    <t>31-AUG-2019</t>
  </si>
  <si>
    <t>POAKHI300048810</t>
  </si>
  <si>
    <t>FTSM</t>
  </si>
  <si>
    <t>9976AD1211810026</t>
  </si>
  <si>
    <t>HONDA KHAIR</t>
  </si>
  <si>
    <t>625568</t>
  </si>
  <si>
    <t>0696622</t>
  </si>
  <si>
    <t>0696622002</t>
  </si>
  <si>
    <t>SHAHZAD FAROOQUE</t>
  </si>
  <si>
    <t>45402-2214366-3</t>
  </si>
  <si>
    <t>03337005352</t>
  </si>
  <si>
    <t xml:space="preserve">MADNI MARKET GOL CHAKAR BAZAR NAWABSHAH 0333-7005352 </t>
  </si>
  <si>
    <t>DIB/T/BT/33693/HYD/0921</t>
  </si>
  <si>
    <t>14806361</t>
  </si>
  <si>
    <t>023007</t>
  </si>
  <si>
    <t>HONDA BRV-IV TEC-S</t>
  </si>
  <si>
    <t>OLANWB300070212</t>
  </si>
  <si>
    <t>5295/08/2021/ITMM</t>
  </si>
  <si>
    <t>07-AUG-2021</t>
  </si>
  <si>
    <t>9976AP1212670016</t>
  </si>
  <si>
    <t>1098081</t>
  </si>
  <si>
    <t>0265815</t>
  </si>
  <si>
    <t>0265815008</t>
  </si>
  <si>
    <t>HAFIZ MUHAMMAD FARHAN NASIR</t>
  </si>
  <si>
    <t>34101-9379150-7</t>
  </si>
  <si>
    <t>03216485051</t>
  </si>
  <si>
    <t>055-4232736</t>
  </si>
  <si>
    <t xml:space="preserve">H# 449 , C-1 BLOCK WAPDA TOWN GUJRANWALA </t>
  </si>
  <si>
    <t>55601/00094/09/2021</t>
  </si>
  <si>
    <t>0494476</t>
  </si>
  <si>
    <t>1091425</t>
  </si>
  <si>
    <t>LE-18A-7751</t>
  </si>
  <si>
    <t>OLUGWL300073957</t>
  </si>
  <si>
    <t>DIB0031798</t>
  </si>
  <si>
    <t>9976AD2211510025</t>
  </si>
  <si>
    <t>637997</t>
  </si>
  <si>
    <t>0462701</t>
  </si>
  <si>
    <t>0462701003</t>
  </si>
  <si>
    <t>MUHAMMAD AFZAAL</t>
  </si>
  <si>
    <t>34603-7719859-7</t>
  </si>
  <si>
    <t>03219897562</t>
  </si>
  <si>
    <t>052-3557681</t>
  </si>
  <si>
    <t xml:space="preserve">OPP- WAPDA COLONEY C/O AMAZING INDUSTRIES SUBLIME CHOWK, DEFENCE ROAD. SIALKOT 51310 PAKISTAN </t>
  </si>
  <si>
    <t>DIB/T/BT/33689/LHR/0921</t>
  </si>
  <si>
    <t>2TRA882735</t>
  </si>
  <si>
    <t>TGN156R-0443827</t>
  </si>
  <si>
    <t>FORTUNER A/T</t>
  </si>
  <si>
    <t>OLASKT300069086</t>
  </si>
  <si>
    <t>TDIDIB0029640</t>
  </si>
  <si>
    <t>9976AD1210300096</t>
  </si>
  <si>
    <t>AL-654488</t>
  </si>
  <si>
    <t>0217566</t>
  </si>
  <si>
    <t>0217566003</t>
  </si>
  <si>
    <t>IJLAL ASGHAR CHAUDHARY</t>
  </si>
  <si>
    <t>35202-9714047-7</t>
  </si>
  <si>
    <t>03008428666</t>
  </si>
  <si>
    <t>04235876066</t>
  </si>
  <si>
    <t xml:space="preserve">DEANS ASSOCIATES (PVT) LIMITED 17 N INDUSTRIAL AREA GULBERG II LAHORE </t>
  </si>
  <si>
    <t>55601/00092/09/2021</t>
  </si>
  <si>
    <t>6170065</t>
  </si>
  <si>
    <t>MN108096</t>
  </si>
  <si>
    <t>03-NOV-2021</t>
  </si>
  <si>
    <t>03-Nov-2024</t>
  </si>
  <si>
    <t>OLALHR300065646</t>
  </si>
  <si>
    <t>DIB0031839</t>
  </si>
  <si>
    <t>9976AD1211810061</t>
  </si>
  <si>
    <t>1094908</t>
  </si>
  <si>
    <t>0437946</t>
  </si>
  <si>
    <t>0437946003</t>
  </si>
  <si>
    <t>MUHAMMAD NADEEM</t>
  </si>
  <si>
    <t>35202-7650791-1</t>
  </si>
  <si>
    <t>03052299944</t>
  </si>
  <si>
    <t>35770297</t>
  </si>
  <si>
    <t xml:space="preserve">H# 21 ST# 3 RAZA STREET SHAH KAMAL COLONY LAHORE PK </t>
  </si>
  <si>
    <t>2524/02640/000095/09/2021</t>
  </si>
  <si>
    <t>2A36518</t>
  </si>
  <si>
    <t>7022859</t>
  </si>
  <si>
    <t>11-Oct-2028</t>
  </si>
  <si>
    <t>OLALHR300070226</t>
  </si>
  <si>
    <t>5459/09/2021</t>
  </si>
  <si>
    <t>997AAD2201810004</t>
  </si>
  <si>
    <t>596816</t>
  </si>
  <si>
    <t>0322112</t>
  </si>
  <si>
    <t>0322112002</t>
  </si>
  <si>
    <t>FAHEEM HASSAN MAVIA</t>
  </si>
  <si>
    <t>33202-5434357-1</t>
  </si>
  <si>
    <t>03212006806</t>
  </si>
  <si>
    <t xml:space="preserve">MASSTER FOOD SHOP NO 06 NEAR BOOKING OFFICE RABI CENTER 1 WALLAYAT COMPLEX BAHRIA TOWN PH 7 RAWALPINDI </t>
  </si>
  <si>
    <t>2524/02112/00061/09/2020</t>
  </si>
  <si>
    <t>1006013</t>
  </si>
  <si>
    <t>01122519</t>
  </si>
  <si>
    <t>POARWP300054671</t>
  </si>
  <si>
    <t>17207/09/2020</t>
  </si>
  <si>
    <t>16-SEP-2020</t>
  </si>
  <si>
    <t>9976AD1211950011</t>
  </si>
  <si>
    <t>537500</t>
  </si>
  <si>
    <t>0698586</t>
  </si>
  <si>
    <t>0698586002</t>
  </si>
  <si>
    <t>MUJAHID</t>
  </si>
  <si>
    <t>35202-5639245-7</t>
  </si>
  <si>
    <t xml:space="preserve">SHOP NO 3 STREET NO 5 GARRHI SHAHOO, LAHORE. </t>
  </si>
  <si>
    <t>2021-09-205-V015010P0002163</t>
  </si>
  <si>
    <t>180398</t>
  </si>
  <si>
    <t>1080381</t>
  </si>
  <si>
    <t>SUZUKI ALTO VX EURO-II</t>
  </si>
  <si>
    <t>OLAHR300070652</t>
  </si>
  <si>
    <t>DIB0031702</t>
  </si>
  <si>
    <t>9976AD1211030013</t>
  </si>
  <si>
    <t>CITY SALES PVT LTD</t>
  </si>
  <si>
    <t>637193</t>
  </si>
  <si>
    <t>0676376</t>
  </si>
  <si>
    <t>0676376002</t>
  </si>
  <si>
    <t>IQRA SHAKEEL</t>
  </si>
  <si>
    <t>35202-7648613-0</t>
  </si>
  <si>
    <t>03344088980</t>
  </si>
  <si>
    <t xml:space="preserve">HOUSE NO. 141-D STRETE NO. 5 N.F.C HOUSING SOCIETY LAHORE </t>
  </si>
  <si>
    <t>2524/02640/00100/09/2021</t>
  </si>
  <si>
    <t>23-sep-2022</t>
  </si>
  <si>
    <t>512259</t>
  </si>
  <si>
    <t>1002773</t>
  </si>
  <si>
    <t>13-APR-2021</t>
  </si>
  <si>
    <t>OLALHR300067183</t>
  </si>
  <si>
    <t>DIB0031842</t>
  </si>
  <si>
    <t>9976AD1212120075</t>
  </si>
  <si>
    <t>1096115</t>
  </si>
  <si>
    <t>0710798</t>
  </si>
  <si>
    <t>0710798001</t>
  </si>
  <si>
    <t>ALI HASSAN</t>
  </si>
  <si>
    <t>61101-4487716-7</t>
  </si>
  <si>
    <t>03005555477</t>
  </si>
  <si>
    <t>0514100423</t>
  </si>
  <si>
    <t xml:space="preserve">H # 786 ST # AL TARIQ H-13 GULSHAN E KHUDADAD NEAR AUDI SHOWRROM ISLAMABAD PK </t>
  </si>
  <si>
    <t>PL-0921-1101010102-V14-D-00425</t>
  </si>
  <si>
    <t>6R182118</t>
  </si>
  <si>
    <t>1082162</t>
  </si>
  <si>
    <t>27-Sep-2027</t>
  </si>
  <si>
    <t>OLAISD300071444</t>
  </si>
  <si>
    <t>5439/09/2021</t>
  </si>
  <si>
    <t>9976AD2212590019</t>
  </si>
  <si>
    <t>TOYOTA ISLAMABAD MOTORS</t>
  </si>
  <si>
    <t>1105336</t>
  </si>
  <si>
    <t>0215512</t>
  </si>
  <si>
    <t>0215512007</t>
  </si>
  <si>
    <t>KHALID MAHMOOD</t>
  </si>
  <si>
    <t>37405-1054084-1</t>
  </si>
  <si>
    <t>051-5950884</t>
  </si>
  <si>
    <t>03335173310 03125173310</t>
  </si>
  <si>
    <t>4452976 485258149280</t>
  </si>
  <si>
    <t xml:space="preserve">H NO K-532 STREET NO 2 ZAFAR UL HAQ ROAD RAWALPINDI </t>
  </si>
  <si>
    <t>DIB/T/BT/33691/ISB/0921</t>
  </si>
  <si>
    <t>2A36045</t>
  </si>
  <si>
    <t>7022628</t>
  </si>
  <si>
    <t>OLARWP300073552</t>
  </si>
  <si>
    <t>TDIDIB0029636</t>
  </si>
  <si>
    <t>997AAD2202440022</t>
  </si>
  <si>
    <t>577905</t>
  </si>
  <si>
    <t>0623873</t>
  </si>
  <si>
    <t>0623873001</t>
  </si>
  <si>
    <t>HASSAN SHAHID</t>
  </si>
  <si>
    <t>33303-0601328-3</t>
  </si>
  <si>
    <t>03336863852</t>
  </si>
  <si>
    <t>04236400007</t>
  </si>
  <si>
    <t xml:space="preserve">62-C-II GULBERG III LAHORE </t>
  </si>
  <si>
    <t>G3LALP044428</t>
  </si>
  <si>
    <t>NNATA52AZKP703200</t>
  </si>
  <si>
    <t>IA PICANTO 1.0 L A/T</t>
  </si>
  <si>
    <t>POALHR300056969</t>
  </si>
  <si>
    <t>DIB0028770</t>
  </si>
  <si>
    <t>997AAD2202550001</t>
  </si>
  <si>
    <t>SUZUKI HARIPUR MOTORS</t>
  </si>
  <si>
    <t>579218</t>
  </si>
  <si>
    <t>0632636</t>
  </si>
  <si>
    <t>0632636001</t>
  </si>
  <si>
    <t>MUHAMMAD NAEEM</t>
  </si>
  <si>
    <t>13302-0386188-3</t>
  </si>
  <si>
    <t>03319356680</t>
  </si>
  <si>
    <t>0992810496</t>
  </si>
  <si>
    <t xml:space="preserve">H # 239 A/5 ST # 06 TIP HOUSING SCH EME HARIPUR NEAR TIP HARIPUR PK </t>
  </si>
  <si>
    <t>0000000566/0920/109-0</t>
  </si>
  <si>
    <t>6R-140630</t>
  </si>
  <si>
    <t>NF1AET306H1040613</t>
  </si>
  <si>
    <t>POAHRP300057232</t>
  </si>
  <si>
    <t>DIB0028772</t>
  </si>
  <si>
    <t>9976AP2212630004</t>
  </si>
  <si>
    <t>1104306</t>
  </si>
  <si>
    <t>0722085</t>
  </si>
  <si>
    <t>0722085001</t>
  </si>
  <si>
    <t>MUTASIM JILLANI</t>
  </si>
  <si>
    <t>35201-2731850-3</t>
  </si>
  <si>
    <t>03060089959</t>
  </si>
  <si>
    <t>04235445651</t>
  </si>
  <si>
    <t xml:space="preserve">HOUSE NO 215 MOHALLAH A BLOCK LDA T AJPURA SCHEME CANTT LAHORE </t>
  </si>
  <si>
    <t>55601/00055/09/2021</t>
  </si>
  <si>
    <t>PKS13050128</t>
  </si>
  <si>
    <t>RS413PK10050129</t>
  </si>
  <si>
    <t>ACN-857</t>
  </si>
  <si>
    <t>SUZUKI SWIFT A/T</t>
  </si>
  <si>
    <t>OLULHR300073702</t>
  </si>
  <si>
    <t>DIB0031724</t>
  </si>
  <si>
    <t>9976AP2212600023</t>
  </si>
  <si>
    <t>1108015</t>
  </si>
  <si>
    <t>0717960</t>
  </si>
  <si>
    <t>0717960001</t>
  </si>
  <si>
    <t>HAMEED ULLAH</t>
  </si>
  <si>
    <t>43202-1073207-3</t>
  </si>
  <si>
    <t>03332262147</t>
  </si>
  <si>
    <t>02135014092</t>
  </si>
  <si>
    <t xml:space="preserve">LANDHI HOSPITAL GROUND FLOOR LABORT ORY NEAR HOSPITAL CHOWRANGI KHI KDA SCHEEM 4 KARACHI </t>
  </si>
  <si>
    <t>55601/00048/09/2021</t>
  </si>
  <si>
    <t>1999445</t>
  </si>
  <si>
    <t>2222361</t>
  </si>
  <si>
    <t>OLUKHI300073535</t>
  </si>
  <si>
    <t>DIB0031712</t>
  </si>
  <si>
    <t>997AAD1202120051</t>
  </si>
  <si>
    <t>579273</t>
  </si>
  <si>
    <t>0623433</t>
  </si>
  <si>
    <t>0623433001</t>
  </si>
  <si>
    <t>SALEEMA BANO</t>
  </si>
  <si>
    <t>42301-8096072-8</t>
  </si>
  <si>
    <t>03313148881</t>
  </si>
  <si>
    <t xml:space="preserve">A-5 NOORABAD APPART BLOCK 14 GULSHA N E IQBAL KARACHI PK </t>
  </si>
  <si>
    <t>DIB/T/BT/28540/KHI/09/2020</t>
  </si>
  <si>
    <t>L15A79799388</t>
  </si>
  <si>
    <t>NFBGM2662LR262896</t>
  </si>
  <si>
    <t>CITY ASPIRE A/T</t>
  </si>
  <si>
    <t>POAKHI300056191</t>
  </si>
  <si>
    <t>TDIDIB0028630</t>
  </si>
  <si>
    <t>997AAD1202580002</t>
  </si>
  <si>
    <t>FAW SAJJAD MOTORS</t>
  </si>
  <si>
    <t>509236</t>
  </si>
  <si>
    <t>0473743</t>
  </si>
  <si>
    <t>0473743002</t>
  </si>
  <si>
    <t>IMRAN AHMAD</t>
  </si>
  <si>
    <t>35202-0346193-5</t>
  </si>
  <si>
    <t>03214481987</t>
  </si>
  <si>
    <t xml:space="preserve">8-C/4, F-BLOCK, CANAL BERG. 54000.LAHORE PAKISTAN </t>
  </si>
  <si>
    <t>2524/02112/00115/09/2020</t>
  </si>
  <si>
    <t>0300054-J2</t>
  </si>
  <si>
    <t>AHFMVA120PD007680</t>
  </si>
  <si>
    <t>FAW XPV</t>
  </si>
  <si>
    <t>POALHR300057170</t>
  </si>
  <si>
    <t>3074/09/2020/ITFM</t>
  </si>
  <si>
    <t>9976AP1212600047</t>
  </si>
  <si>
    <t>1103916</t>
  </si>
  <si>
    <t>0722541</t>
  </si>
  <si>
    <t>0722541001</t>
  </si>
  <si>
    <t>SHAH MURAD</t>
  </si>
  <si>
    <t>35403-7532629-7</t>
  </si>
  <si>
    <t>03214112325</t>
  </si>
  <si>
    <t xml:space="preserve">84-MB 2ND FLOOR PHASE 6 DHA NEAR CO FFEE PLANANT LAHORE </t>
  </si>
  <si>
    <t>55601/00050/09/2021</t>
  </si>
  <si>
    <t>L15B72600200</t>
  </si>
  <si>
    <t>NFBFC1675LR064475</t>
  </si>
  <si>
    <t>ABG-142</t>
  </si>
  <si>
    <t>OLULHR300073661</t>
  </si>
  <si>
    <t>DIB0031707</t>
  </si>
  <si>
    <t>997AAD1202120061</t>
  </si>
  <si>
    <t>592970</t>
  </si>
  <si>
    <t>0614069</t>
  </si>
  <si>
    <t>0614069001</t>
  </si>
  <si>
    <t>FAZAL HAQUE</t>
  </si>
  <si>
    <t>35201-7529542-1</t>
  </si>
  <si>
    <t>03224436601</t>
  </si>
  <si>
    <t xml:space="preserve">GOLD FLOOR MILL , 33-KM GT ROAD MUR IDKE MURIDKE </t>
  </si>
  <si>
    <t>DIB/T/28541/LHR/0920</t>
  </si>
  <si>
    <t>G4NALH316979</t>
  </si>
  <si>
    <t>NNAQL51AZKP302954</t>
  </si>
  <si>
    <t>POALHR300056223</t>
  </si>
  <si>
    <t>9976AP1192680006</t>
  </si>
  <si>
    <t>543763</t>
  </si>
  <si>
    <t>0559950</t>
  </si>
  <si>
    <t>0559950001</t>
  </si>
  <si>
    <t>ZAFAR IQBAL</t>
  </si>
  <si>
    <t>42201-2688892-3</t>
  </si>
  <si>
    <t>03338494162</t>
  </si>
  <si>
    <t>099071174</t>
  </si>
  <si>
    <t xml:space="preserve">HOUSE NO S-3 AL BADAR SOCIETY MALIR HALT NEAR SHAMSI HOSPITAL KARACHI PK </t>
  </si>
  <si>
    <t>51132/00059/09/2019</t>
  </si>
  <si>
    <t>13024808</t>
  </si>
  <si>
    <t>10024810</t>
  </si>
  <si>
    <t>BBW-227</t>
  </si>
  <si>
    <t>SWIFT A/T</t>
  </si>
  <si>
    <t>POUKHI300049345</t>
  </si>
  <si>
    <t>17137/09/2019</t>
  </si>
  <si>
    <t>9976AD1211510057</t>
  </si>
  <si>
    <t>1091457</t>
  </si>
  <si>
    <t>0153681</t>
  </si>
  <si>
    <t>0153681015</t>
  </si>
  <si>
    <t>MUHAMMAD USMAN KHAN</t>
  </si>
  <si>
    <t>42201-6369338-9</t>
  </si>
  <si>
    <t>03452020891</t>
  </si>
  <si>
    <t>34980461</t>
  </si>
  <si>
    <t xml:space="preserve">HNO 99 SECTOR J ASKARI 5 MALIR CANTT KHI </t>
  </si>
  <si>
    <t>DIB/T/BT/33657/KHI/0921</t>
  </si>
  <si>
    <t>NNAQL51AZKP513376</t>
  </si>
  <si>
    <t>OLAKHI300069139</t>
  </si>
  <si>
    <t>9976AP1222710001</t>
  </si>
  <si>
    <t>AL-1205975</t>
  </si>
  <si>
    <t>0820231</t>
  </si>
  <si>
    <t>0820231001</t>
  </si>
  <si>
    <t>SULEMAN MALIK</t>
  </si>
  <si>
    <t>35202-8860849-1</t>
  </si>
  <si>
    <t>03234205157</t>
  </si>
  <si>
    <t xml:space="preserve">39-H GULBERG 3 LAHORE FIRDOUS MARKE T LAHORE </t>
  </si>
  <si>
    <t>63286/00057/09/2022</t>
  </si>
  <si>
    <t>22-SEP-2023</t>
  </si>
  <si>
    <t>240656</t>
  </si>
  <si>
    <t>10140666</t>
  </si>
  <si>
    <t>OLDLHR300090034</t>
  </si>
  <si>
    <t>8757/09/2022/ITFM</t>
  </si>
  <si>
    <t>9976AP1222690019</t>
  </si>
  <si>
    <t>1197877</t>
  </si>
  <si>
    <t>0160472</t>
  </si>
  <si>
    <t>0160472006</t>
  </si>
  <si>
    <t>REHANA IBRAHIM</t>
  </si>
  <si>
    <t>42101-7448480-8</t>
  </si>
  <si>
    <t>03350303111</t>
  </si>
  <si>
    <t>03009261040</t>
  </si>
  <si>
    <t xml:space="preserve">108 GLAMOUR TOWER BLOCK 13D/2 GULSHAN-E-IQBAL KARACHI </t>
  </si>
  <si>
    <t>63286/00058/09/2022</t>
  </si>
  <si>
    <t>6R235555</t>
  </si>
  <si>
    <t>1135584</t>
  </si>
  <si>
    <t>BXG-293</t>
  </si>
  <si>
    <t>OLUKHI300090026</t>
  </si>
  <si>
    <t>8762/09/20228/ITFM</t>
  </si>
  <si>
    <t>9976AP2222690007</t>
  </si>
  <si>
    <t>1196960</t>
  </si>
  <si>
    <t>0283969</t>
  </si>
  <si>
    <t>0283969007</t>
  </si>
  <si>
    <t>FARID UDDIN SIDDIQUI</t>
  </si>
  <si>
    <t>42201-6008830-5</t>
  </si>
  <si>
    <t>03332131599</t>
  </si>
  <si>
    <t>34326595-7</t>
  </si>
  <si>
    <t xml:space="preserve">H NO 44 KMCHS BLOCK 7/8 KRACAHI MEMON CO OPERATING HOUSING SOCIETY KMCHS NR HILL PARK KARACHI </t>
  </si>
  <si>
    <t>63286/00067/09/2022</t>
  </si>
  <si>
    <t>Q041132</t>
  </si>
  <si>
    <t>6018600</t>
  </si>
  <si>
    <t>BLH-894</t>
  </si>
  <si>
    <t>OLUKHI300090073</t>
  </si>
  <si>
    <t>8777/09/2022/ITFM</t>
  </si>
  <si>
    <t>9976AP1222690014</t>
  </si>
  <si>
    <t>1143587</t>
  </si>
  <si>
    <t>0660666</t>
  </si>
  <si>
    <t>0660666006</t>
  </si>
  <si>
    <t>JAHANGIR KHAN</t>
  </si>
  <si>
    <t>42101-5883960-1</t>
  </si>
  <si>
    <t>03212023444</t>
  </si>
  <si>
    <t xml:space="preserve">FLAT 1003, 10TH FLOOR AL RAHIM TOWER BLOCK 3 PECHS SHAHEED E MILLAT ROAD KARACHI </t>
  </si>
  <si>
    <t>63286/00062/09/2022</t>
  </si>
  <si>
    <t>199267</t>
  </si>
  <si>
    <t>10099284</t>
  </si>
  <si>
    <t>BXE-850</t>
  </si>
  <si>
    <t>OLUKHI300090050</t>
  </si>
  <si>
    <t>8764/09/2022/ITFM</t>
  </si>
  <si>
    <t>9976AD1220590069</t>
  </si>
  <si>
    <t>1201625</t>
  </si>
  <si>
    <t>0750036</t>
  </si>
  <si>
    <t>0750036003</t>
  </si>
  <si>
    <t>SHEHROZ FAREED</t>
  </si>
  <si>
    <t>42401-7603551-9</t>
  </si>
  <si>
    <t>03213535575</t>
  </si>
  <si>
    <t xml:space="preserve">HOUSE # 1732/412 DEHLI MAKKA COLONY BALDIA TOWN NO 3/1-2 KARACHI PK </t>
  </si>
  <si>
    <t>63286/00065/09/2022</t>
  </si>
  <si>
    <t>1008304</t>
  </si>
  <si>
    <t>108256</t>
  </si>
  <si>
    <t>SUZUKI SWIFT GLX CVT</t>
  </si>
  <si>
    <t>OLAKHI300084918</t>
  </si>
  <si>
    <t>8698/09/2022/ITFM</t>
  </si>
  <si>
    <t>20-SEP-2022</t>
  </si>
  <si>
    <t>9976AD1220900009</t>
  </si>
  <si>
    <t>AL-1146904</t>
  </si>
  <si>
    <t>0769166</t>
  </si>
  <si>
    <t>0769166001</t>
  </si>
  <si>
    <t>SYED ARSALAN HAIDER</t>
  </si>
  <si>
    <t>42201-2356012-5</t>
  </si>
  <si>
    <t>03152246997</t>
  </si>
  <si>
    <t xml:space="preserve">H # A- 33 SECTER C SADDAT AMROOHA S OCIETY SCHEEM 33 SHAH WILAYAT SCHOO KARACHI PK </t>
  </si>
  <si>
    <t>63286/00064/09/2022</t>
  </si>
  <si>
    <t>6R248411</t>
  </si>
  <si>
    <t>1148394</t>
  </si>
  <si>
    <t>OLAKHI300086059</t>
  </si>
  <si>
    <t>DIB034766</t>
  </si>
  <si>
    <t>9976AP1222690008</t>
  </si>
  <si>
    <t>AL-1414256</t>
  </si>
  <si>
    <t>0819085</t>
  </si>
  <si>
    <t>0819085002</t>
  </si>
  <si>
    <t>MOHSIN KAREEM</t>
  </si>
  <si>
    <t>35102-4553206-1</t>
  </si>
  <si>
    <t>03226580546</t>
  </si>
  <si>
    <t xml:space="preserve">HOUSE NO. 3, ABID MARKET, KANCHI MAIN BAZAR CHUNGI AMAR SADHU LAHORE </t>
  </si>
  <si>
    <t>63286/00059/09/2022</t>
  </si>
  <si>
    <t>138257</t>
  </si>
  <si>
    <t>10038256</t>
  </si>
  <si>
    <t>LE-17A-9500</t>
  </si>
  <si>
    <t>OLULHR300090038</t>
  </si>
  <si>
    <t>8753/09/2022/ITFM</t>
  </si>
  <si>
    <t>9976AD2211480016</t>
  </si>
  <si>
    <t>1090303</t>
  </si>
  <si>
    <t>0691933</t>
  </si>
  <si>
    <t>0691933001</t>
  </si>
  <si>
    <t>ZEESHAN SHEIKH</t>
  </si>
  <si>
    <t>35202-3065064-9</t>
  </si>
  <si>
    <t>03234479714</t>
  </si>
  <si>
    <t xml:space="preserve">SHOP NO 1,2,3 SYED PLAZA CHATTERJEE ROAD URDU BAZAR LAHORE </t>
  </si>
  <si>
    <t>2021-09-205-V015010P0002166</t>
  </si>
  <si>
    <t>6925038</t>
  </si>
  <si>
    <t>077509</t>
  </si>
  <si>
    <t>28-MAY-2021</t>
  </si>
  <si>
    <t>OLALHR300068977</t>
  </si>
  <si>
    <t>DIB0031717</t>
  </si>
  <si>
    <t>9976AP2222690003</t>
  </si>
  <si>
    <t>AL-1192586</t>
  </si>
  <si>
    <t>0820478</t>
  </si>
  <si>
    <t>0820478001</t>
  </si>
  <si>
    <t>NASIR KHAN</t>
  </si>
  <si>
    <t>35202-2311629-7</t>
  </si>
  <si>
    <t>03334265320</t>
  </si>
  <si>
    <t xml:space="preserve">OFF NO 414 4TH FLOOR AL HAFEEZ SHOP PING MALL MAIN BOULEVARD GULBERG LAHORE </t>
  </si>
  <si>
    <t>63286/00060/09/2022</t>
  </si>
  <si>
    <t>13035091</t>
  </si>
  <si>
    <t>10035093</t>
  </si>
  <si>
    <t>LEB-17-2473</t>
  </si>
  <si>
    <t>SUZUKI SWIFT DLX 1.3 LM/T</t>
  </si>
  <si>
    <t>OLULHR300090042</t>
  </si>
  <si>
    <t>8767/09/2022/ITFM</t>
  </si>
  <si>
    <t>24-SEP-2022</t>
  </si>
  <si>
    <t>9976AP2222690006</t>
  </si>
  <si>
    <t>1192034</t>
  </si>
  <si>
    <t>0064712</t>
  </si>
  <si>
    <t>0064712003</t>
  </si>
  <si>
    <t>HAFIZ KASHIF MUKHTAR BHATTI</t>
  </si>
  <si>
    <t>35202-9514169-7</t>
  </si>
  <si>
    <t>7843928</t>
  </si>
  <si>
    <t>03334579031</t>
  </si>
  <si>
    <t>5426466</t>
  </si>
  <si>
    <t xml:space="preserve">H NO 66 BLOCK G SABZAZAR SCHEME LAHORE </t>
  </si>
  <si>
    <t>63286/00066/09/2022</t>
  </si>
  <si>
    <t>1001545</t>
  </si>
  <si>
    <t>63500101536</t>
  </si>
  <si>
    <t>AKD-219</t>
  </si>
  <si>
    <t>OLULHR300090065</t>
  </si>
  <si>
    <t>8774/09/2022/ITFM</t>
  </si>
  <si>
    <t>9976AD1212180169</t>
  </si>
  <si>
    <t>640163</t>
  </si>
  <si>
    <t>0337989</t>
  </si>
  <si>
    <t>0337989002</t>
  </si>
  <si>
    <t>MUHAMMAD ARIF</t>
  </si>
  <si>
    <t>42201-3309158-5</t>
  </si>
  <si>
    <t>02134931937</t>
  </si>
  <si>
    <t>03218272206</t>
  </si>
  <si>
    <t>32625984</t>
  </si>
  <si>
    <t xml:space="preserve">M.M.TRADERS 203 ZAINAB HIEGHTS NEAR ADAMJEE SCIENCE COLLEGE GURUMANDIR GARDEN EAST KARACHI </t>
  </si>
  <si>
    <t>DIB/T/BT/33709/FSD/0921</t>
  </si>
  <si>
    <t>5240074</t>
  </si>
  <si>
    <t>MN102314</t>
  </si>
  <si>
    <t>MG MOTORS MG HS TURBO</t>
  </si>
  <si>
    <t>06-AUG-2021</t>
  </si>
  <si>
    <t>11-NOV-2021</t>
  </si>
  <si>
    <t>11-Nov-2024</t>
  </si>
  <si>
    <t>OLAKHI300071608</t>
  </si>
  <si>
    <t>TDIDIB0029646</t>
  </si>
  <si>
    <t>27-OCT-2021</t>
  </si>
  <si>
    <t>9976AD2212450036</t>
  </si>
  <si>
    <t>1104308</t>
  </si>
  <si>
    <t>0081095</t>
  </si>
  <si>
    <t>0081095003</t>
  </si>
  <si>
    <t>SULTAN ALI KHAN</t>
  </si>
  <si>
    <t>35202-9041542-3</t>
  </si>
  <si>
    <t>5877223</t>
  </si>
  <si>
    <t xml:space="preserve">H NO 129 E-1 MAIN BOULEVARD GULBERG-III LAHORE </t>
  </si>
  <si>
    <t>55601/00101/09/2021</t>
  </si>
  <si>
    <t>G4NAMU877484</t>
  </si>
  <si>
    <t>PMHDFMMN301576</t>
  </si>
  <si>
    <t>OLALHR300073000</t>
  </si>
  <si>
    <t>DIB0031830</t>
  </si>
  <si>
    <t>997APD1202660031</t>
  </si>
  <si>
    <t>644048</t>
  </si>
  <si>
    <t>0631110</t>
  </si>
  <si>
    <t>0631110001</t>
  </si>
  <si>
    <t>33100-4642197-3</t>
  </si>
  <si>
    <t>03017179223</t>
  </si>
  <si>
    <t>03017179223, 03017179223</t>
  </si>
  <si>
    <t xml:space="preserve">H NO P-1224 ST NO 2 NARWALA ROAD SI DDIQUE ABAD FAISALABAD PK </t>
  </si>
  <si>
    <t>52740/00051/09/2020</t>
  </si>
  <si>
    <t>500439</t>
  </si>
  <si>
    <t>1002343</t>
  </si>
  <si>
    <t>KARVAAN</t>
  </si>
  <si>
    <t>PODFSD300057138</t>
  </si>
  <si>
    <t>3037/09/2020/ITFM</t>
  </si>
  <si>
    <t>9976AP1212700043</t>
  </si>
  <si>
    <t>1090608</t>
  </si>
  <si>
    <t>0611224</t>
  </si>
  <si>
    <t>0611224007</t>
  </si>
  <si>
    <t>HAMID MAHMOOD</t>
  </si>
  <si>
    <t>35202-0784487-9</t>
  </si>
  <si>
    <t>03356120017</t>
  </si>
  <si>
    <t xml:space="preserve">HOUSE NO. 16, GARDINIA, SECTOR-C, BAHRIA TOWN LAHORE </t>
  </si>
  <si>
    <t>55601/00089/09/2021</t>
  </si>
  <si>
    <t>R18Z12902481</t>
  </si>
  <si>
    <t>NFBFC6667GR003204</t>
  </si>
  <si>
    <t>LEH-16-9696</t>
  </si>
  <si>
    <t>HONDA CIVIC VTI P/T</t>
  </si>
  <si>
    <t>OLULHR300073968</t>
  </si>
  <si>
    <t>DIB0031826</t>
  </si>
  <si>
    <t>9976AD1212170157</t>
  </si>
  <si>
    <t>1091711</t>
  </si>
  <si>
    <t>0707489</t>
  </si>
  <si>
    <t>0707489001</t>
  </si>
  <si>
    <t>ANWAAR UL HAQ</t>
  </si>
  <si>
    <t>61101-1922796-7</t>
  </si>
  <si>
    <t>03005204755</t>
  </si>
  <si>
    <t>0519249200</t>
  </si>
  <si>
    <t xml:space="preserve">H # 35 ST # 5 G-13/3 ISLAMABAD PK </t>
  </si>
  <si>
    <t>01-2109-PO-MTR-PCCM-D-001316</t>
  </si>
  <si>
    <t>36155</t>
  </si>
  <si>
    <t>7022971</t>
  </si>
  <si>
    <t>TOYOTA COROLLA YARIS 1.3 AT</t>
  </si>
  <si>
    <t>OLAISD300071643</t>
  </si>
  <si>
    <t>DIB0031817</t>
  </si>
  <si>
    <t>9976AP1192670017</t>
  </si>
  <si>
    <t>594521</t>
  </si>
  <si>
    <t>0560192</t>
  </si>
  <si>
    <t>0560192001</t>
  </si>
  <si>
    <t>NASEER AHMED</t>
  </si>
  <si>
    <t>35200-1562655-3</t>
  </si>
  <si>
    <t>03004656854</t>
  </si>
  <si>
    <t>04237232700</t>
  </si>
  <si>
    <t xml:space="preserve">H NO 7-B BEGUM ROAD MOZANG NEAR HAM DARD DAWKHANA OPPOSITE BAR FLATS LAHORE </t>
  </si>
  <si>
    <t>51132/00051/09/2019</t>
  </si>
  <si>
    <t>S42491</t>
  </si>
  <si>
    <t>8535G001155</t>
  </si>
  <si>
    <t>LE-20-7729</t>
  </si>
  <si>
    <t>ISUZU D-MAX</t>
  </si>
  <si>
    <t>PODLHR300049312</t>
  </si>
  <si>
    <t>DIB0027854</t>
  </si>
  <si>
    <t>997APD1202680054</t>
  </si>
  <si>
    <t>644062</t>
  </si>
  <si>
    <t>0477970</t>
  </si>
  <si>
    <t>0477970003</t>
  </si>
  <si>
    <t>AMJAD IQBAL</t>
  </si>
  <si>
    <t>33100-9168670-3</t>
  </si>
  <si>
    <t>03328656794</t>
  </si>
  <si>
    <t>03328656794, 03328656794</t>
  </si>
  <si>
    <t xml:space="preserve">P-22 ZAIN BLOCK NAWABANWALA ROAD SA NORA COLONY FSD FAISALABAD PK </t>
  </si>
  <si>
    <t>52740/00045/09/2020</t>
  </si>
  <si>
    <t>129804</t>
  </si>
  <si>
    <t>1029746</t>
  </si>
  <si>
    <t>ALTO AGS A/T</t>
  </si>
  <si>
    <t>PODFSD300057362</t>
  </si>
  <si>
    <t>3028/09/2020/ITFM</t>
  </si>
  <si>
    <t>9976AP1212720023</t>
  </si>
  <si>
    <t>1095956</t>
  </si>
  <si>
    <t>0721932</t>
  </si>
  <si>
    <t>0721932001</t>
  </si>
  <si>
    <t>AMIR IMRAN</t>
  </si>
  <si>
    <t>35202-3972630-3</t>
  </si>
  <si>
    <t>03124618870</t>
  </si>
  <si>
    <t>04237673313</t>
  </si>
  <si>
    <t xml:space="preserve">SHOP NO 15 NATIONAL BARA MARKET SHA HALAM LAHORE </t>
  </si>
  <si>
    <t>55601/00088/09/2021</t>
  </si>
  <si>
    <t>L13217456302</t>
  </si>
  <si>
    <t>NFBGM1549HR1989762</t>
  </si>
  <si>
    <t>LEA-17-394</t>
  </si>
  <si>
    <t>OLULHR300073903</t>
  </si>
  <si>
    <t>DIB0031825</t>
  </si>
  <si>
    <t>9976AP2212670012</t>
  </si>
  <si>
    <t>1107852</t>
  </si>
  <si>
    <t>0015805</t>
  </si>
  <si>
    <t>0015805004</t>
  </si>
  <si>
    <t>KASHIF IQBAL</t>
  </si>
  <si>
    <t>35201-2969815-5</t>
  </si>
  <si>
    <t>03230467760 0321-4396180 042-5943723</t>
  </si>
  <si>
    <t>03230467760 03214396180</t>
  </si>
  <si>
    <t xml:space="preserve">H#495 ST#40 AMEER MOHALLA SADAR BAZAR CANT LAHORE </t>
  </si>
  <si>
    <t>55601/00083/809/2021</t>
  </si>
  <si>
    <t>R18Z12935874</t>
  </si>
  <si>
    <t>NFBFC6664JR039309</t>
  </si>
  <si>
    <t>LEB-18A-1119</t>
  </si>
  <si>
    <t>OLULHR300073898</t>
  </si>
  <si>
    <t>DIB0031787</t>
  </si>
  <si>
    <t>9976AD1212120092</t>
  </si>
  <si>
    <t>1092924</t>
  </si>
  <si>
    <t>0710968</t>
  </si>
  <si>
    <t>0710968001</t>
  </si>
  <si>
    <t>KARAMAT ALI</t>
  </si>
  <si>
    <t>34201-0586150-9</t>
  </si>
  <si>
    <t>03005300950</t>
  </si>
  <si>
    <t>0514852590</t>
  </si>
  <si>
    <t xml:space="preserve">H # F-964 NEW KATARIYAN F BLOCK NE AR AHMED BOYS HOSTEL SATELLITE TOWN RAWALPINDI PK </t>
  </si>
  <si>
    <t>01-2109-PO-MTR-PCCM-D-001298</t>
  </si>
  <si>
    <t>PK10K185307</t>
  </si>
  <si>
    <t>NF1AVK31H10085315</t>
  </si>
  <si>
    <t>OLAEWP300071456</t>
  </si>
  <si>
    <t>5454/09/2021</t>
  </si>
  <si>
    <t>997AAD1202120032</t>
  </si>
  <si>
    <t>598282</t>
  </si>
  <si>
    <t>0623008</t>
  </si>
  <si>
    <t>0623008001</t>
  </si>
  <si>
    <t>MUHAMMAD ATTIQUE</t>
  </si>
  <si>
    <t>33100-4027491-3</t>
  </si>
  <si>
    <t>03007614105, 8554238</t>
  </si>
  <si>
    <t>03007614105</t>
  </si>
  <si>
    <t xml:space="preserve">H # P-7, ST # 17, BLOCK X, MADINA T OWN NEAR BISMILLAH CHOWK FAISALABAD PK </t>
  </si>
  <si>
    <t>2524/02112/00057/09/2020</t>
  </si>
  <si>
    <t>058970</t>
  </si>
  <si>
    <t>702799</t>
  </si>
  <si>
    <t>KIA PICANTO 1.0L A/T</t>
  </si>
  <si>
    <t>POAFSD300056106</t>
  </si>
  <si>
    <t>3022/09/2020/ITFM</t>
  </si>
  <si>
    <t>997AAD1202120029</t>
  </si>
  <si>
    <t>575798</t>
  </si>
  <si>
    <t>0622667</t>
  </si>
  <si>
    <t>0622667001</t>
  </si>
  <si>
    <t>ABIDA BEGUM</t>
  </si>
  <si>
    <t>15302-7520997-2</t>
  </si>
  <si>
    <t>03335363771</t>
  </si>
  <si>
    <t>0519218300</t>
  </si>
  <si>
    <t xml:space="preserve">FLAT # 5 ST # 16 SECTOR G-6/2 NEAR JAVED MARKET ISLAMABAD PK </t>
  </si>
  <si>
    <t>G3LALP024645</t>
  </si>
  <si>
    <t>NNATA52AZKP702801</t>
  </si>
  <si>
    <t>PICANTO 1.0L A/T</t>
  </si>
  <si>
    <t>POAISD300056163</t>
  </si>
  <si>
    <t>DIB0028707</t>
  </si>
  <si>
    <t>997APD2202670018</t>
  </si>
  <si>
    <t>577915</t>
  </si>
  <si>
    <t>0376538</t>
  </si>
  <si>
    <t>0376538003</t>
  </si>
  <si>
    <t>MUHAMMAD AKRAM</t>
  </si>
  <si>
    <t>35301-3724421-7</t>
  </si>
  <si>
    <t>03004870592</t>
  </si>
  <si>
    <t>35913138</t>
  </si>
  <si>
    <t xml:space="preserve">HOUSE NO. 479 1 C1 TOWNSHIP LAHORE </t>
  </si>
  <si>
    <t>7540606</t>
  </si>
  <si>
    <t>R263308</t>
  </si>
  <si>
    <t>PODLHR300057372</t>
  </si>
  <si>
    <t>DIB0028715</t>
  </si>
  <si>
    <t>997APD2202690007</t>
  </si>
  <si>
    <t>536815</t>
  </si>
  <si>
    <t>0631605</t>
  </si>
  <si>
    <t>0631605002</t>
  </si>
  <si>
    <t>HUZAIFA KHAN</t>
  </si>
  <si>
    <t>41303-5632486-5</t>
  </si>
  <si>
    <t>03133916369</t>
  </si>
  <si>
    <t xml:space="preserve">SHAMA MOTORS B-9 STATE BANK SOCIETY SCHEME-33 NEAR MADRAS CHOWK KARACHI </t>
  </si>
  <si>
    <t>R18Z1-2542049</t>
  </si>
  <si>
    <t>NFBFB266XD105457</t>
  </si>
  <si>
    <t>AZH-214</t>
  </si>
  <si>
    <t>POUKHI300057561</t>
  </si>
  <si>
    <t>DIB0028766</t>
  </si>
  <si>
    <t>9976AD2212220005</t>
  </si>
  <si>
    <t>1093623</t>
  </si>
  <si>
    <t>0050657</t>
  </si>
  <si>
    <t>0050657008</t>
  </si>
  <si>
    <t>RIZWAN IQBAL</t>
  </si>
  <si>
    <t>35202-4664532-3</t>
  </si>
  <si>
    <t>37361811 4</t>
  </si>
  <si>
    <t>03008424347</t>
  </si>
  <si>
    <t xml:space="preserve">HOUSE NO F 375 BAZAR TAIZABIAN WALA INSIDE RANG MEHAL LAHORE </t>
  </si>
  <si>
    <t>55601/00063/09/2021</t>
  </si>
  <si>
    <t>2A36303</t>
  </si>
  <si>
    <t>7022763</t>
  </si>
  <si>
    <t>10-AUG-2021</t>
  </si>
  <si>
    <t>OLAGJR300071715</t>
  </si>
  <si>
    <t>5445/09/2021</t>
  </si>
  <si>
    <t>18-SEP-2021</t>
  </si>
  <si>
    <t>9976AP1212670009</t>
  </si>
  <si>
    <t>1104265</t>
  </si>
  <si>
    <t>0724055</t>
  </si>
  <si>
    <t>0724055001</t>
  </si>
  <si>
    <t>FARAN WASEEM</t>
  </si>
  <si>
    <t>35202-4281477-3</t>
  </si>
  <si>
    <t>03237806378</t>
  </si>
  <si>
    <t xml:space="preserve">56 SULTAN MEHMOOD ROAD SHALIMAR TOW N LAHORE </t>
  </si>
  <si>
    <t>55601/00084/09/2021</t>
  </si>
  <si>
    <t>127330</t>
  </si>
  <si>
    <t>10027302</t>
  </si>
  <si>
    <t>LEB-17-2445</t>
  </si>
  <si>
    <t>SUZUKI WAGON R VXL</t>
  </si>
  <si>
    <t>OLALHR300073905</t>
  </si>
  <si>
    <t>DIB0031792</t>
  </si>
  <si>
    <t>9976AP1212650004</t>
  </si>
  <si>
    <t>1094977</t>
  </si>
  <si>
    <t>0721707</t>
  </si>
  <si>
    <t>0721707001</t>
  </si>
  <si>
    <t>MUHAMMAD AZAM</t>
  </si>
  <si>
    <t>35201-1652594-3</t>
  </si>
  <si>
    <t>03214270710</t>
  </si>
  <si>
    <t xml:space="preserve">NEAR RIASEN CASH and CARRY STORE FAT EH GARH MAIN CANAL ROAD LAHORE </t>
  </si>
  <si>
    <t>55601/00058/09/2021</t>
  </si>
  <si>
    <t>2A28094</t>
  </si>
  <si>
    <t>7017191</t>
  </si>
  <si>
    <t>TOYOTA YARIS ATIV</t>
  </si>
  <si>
    <t>OLDLHR300073719</t>
  </si>
  <si>
    <t>DIB0031730</t>
  </si>
  <si>
    <t>9976AD1212380023</t>
  </si>
  <si>
    <t>1109281</t>
  </si>
  <si>
    <t>0715259</t>
  </si>
  <si>
    <t>0715259001</t>
  </si>
  <si>
    <t>SAMREEN ANSAR</t>
  </si>
  <si>
    <t>34603-5654279-6</t>
  </si>
  <si>
    <t>03214130776</t>
  </si>
  <si>
    <t xml:space="preserve">45 ASIF BLOCK IQBAL TOWN LAHORE </t>
  </si>
  <si>
    <t>55601/000060/09/2021</t>
  </si>
  <si>
    <t>G4NAMU877488</t>
  </si>
  <si>
    <t>PMHD841FMMN301634</t>
  </si>
  <si>
    <t>OLALHR300072453</t>
  </si>
  <si>
    <t>997APD1202660034</t>
  </si>
  <si>
    <t>597987</t>
  </si>
  <si>
    <t>0634254</t>
  </si>
  <si>
    <t>0634254001</t>
  </si>
  <si>
    <t>AHMED ALI</t>
  </si>
  <si>
    <t>LARKANA</t>
  </si>
  <si>
    <t>43206-7873319-5</t>
  </si>
  <si>
    <t>03332604482</t>
  </si>
  <si>
    <t>03332604482, 03332604482</t>
  </si>
  <si>
    <t>0744759003</t>
  </si>
  <si>
    <t xml:space="preserve">CHAIRMAN BOARD OF INTERMEDIATE AND SECONDARY EDUCATION LARKANA LARKANA </t>
  </si>
  <si>
    <t>52740/00049/09/2020</t>
  </si>
  <si>
    <t>322271</t>
  </si>
  <si>
    <t>504801</t>
  </si>
  <si>
    <t>PODLRK300057391</t>
  </si>
  <si>
    <t>9976AP1222690006</t>
  </si>
  <si>
    <t>AL-1205807</t>
  </si>
  <si>
    <t>0819964</t>
  </si>
  <si>
    <t>0819964001</t>
  </si>
  <si>
    <t>ZEESHAN ALI</t>
  </si>
  <si>
    <t>35201-7706483-1</t>
  </si>
  <si>
    <t>03214864550</t>
  </si>
  <si>
    <t xml:space="preserve">H NO 1 EXECUTIVE BLOCK AL REHMAN GA RDEN PHASE 4 RIZWAN GARDEN NEAR BAT LAHORE PK </t>
  </si>
  <si>
    <t>63286/00054/09/2022</t>
  </si>
  <si>
    <t>10K201391</t>
  </si>
  <si>
    <t>H1010388</t>
  </si>
  <si>
    <t>OLDLHR300090014</t>
  </si>
  <si>
    <t>8742/09/2022/ITFM</t>
  </si>
  <si>
    <t>9976AP1232700007</t>
  </si>
  <si>
    <t>1409958</t>
  </si>
  <si>
    <t>0904039</t>
  </si>
  <si>
    <t>0904039001</t>
  </si>
  <si>
    <t>HASIN MANSOOR</t>
  </si>
  <si>
    <t>35202-3257619-9</t>
  </si>
  <si>
    <t>03091112224</t>
  </si>
  <si>
    <t>03217991979, 03091112224</t>
  </si>
  <si>
    <t xml:space="preserve">H NO 1 ST NO 88 CHAH PICHAWARA MUZA NG LAHORE PK </t>
  </si>
  <si>
    <t>74853/00027/09/2023</t>
  </si>
  <si>
    <t>735783</t>
  </si>
  <si>
    <t>1274317</t>
  </si>
  <si>
    <t>LEF-18-6792</t>
  </si>
  <si>
    <t>27-Sep-2028</t>
  </si>
  <si>
    <t>OLULHR300097253</t>
  </si>
  <si>
    <t>DIB0035323</t>
  </si>
  <si>
    <t>9976AP1212720020</t>
  </si>
  <si>
    <t>1103154</t>
  </si>
  <si>
    <t>0708559</t>
  </si>
  <si>
    <t>0708559003</t>
  </si>
  <si>
    <t>HAFIZ HASEEB AHSAN</t>
  </si>
  <si>
    <t>35202-5175454-5</t>
  </si>
  <si>
    <t>03214605284</t>
  </si>
  <si>
    <t xml:space="preserve">STREET NO 1 TIPU PARK ATARI DARBAR 18-KM FEROZPUR ROAD LAHORE </t>
  </si>
  <si>
    <t>55601/00077/09/2021</t>
  </si>
  <si>
    <t>L15Z81000376</t>
  </si>
  <si>
    <t>NFBGN9661MR001220</t>
  </si>
  <si>
    <t>HONDA CITY ASPIRE</t>
  </si>
  <si>
    <t>OLDLHR3000773850</t>
  </si>
  <si>
    <t>DIB0031794</t>
  </si>
  <si>
    <t>9976AP2222710008</t>
  </si>
  <si>
    <t>AL-1193412</t>
  </si>
  <si>
    <t>0129852</t>
  </si>
  <si>
    <t>0129852006</t>
  </si>
  <si>
    <t>HASAN MUSTAFA NAQVI</t>
  </si>
  <si>
    <t>42101-3187832-1</t>
  </si>
  <si>
    <t>36615781</t>
  </si>
  <si>
    <t>03323158876</t>
  </si>
  <si>
    <t>36625555</t>
  </si>
  <si>
    <t xml:space="preserve">ALZAUQ CATERERS SHOP NO A 1/ 1, BLOCK K,NORTH NAZIMABAD, KARACHI </t>
  </si>
  <si>
    <t>63286/00055/09/2022</t>
  </si>
  <si>
    <t>6R111250</t>
  </si>
  <si>
    <t>1011191</t>
  </si>
  <si>
    <t>BQV-354</t>
  </si>
  <si>
    <t>OLUKHI300090030</t>
  </si>
  <si>
    <t>8746/09/2022/ITFM</t>
  </si>
  <si>
    <t>9976AP1222700008</t>
  </si>
  <si>
    <t>AL-1154551</t>
  </si>
  <si>
    <t>0550613</t>
  </si>
  <si>
    <t>0550613006</t>
  </si>
  <si>
    <t>ARMAN ALI</t>
  </si>
  <si>
    <t>41204-9810682-9</t>
  </si>
  <si>
    <t>03122475217</t>
  </si>
  <si>
    <t xml:space="preserve">AS TRADERS AND PAPER SUPPLIERS ROOM A O 21 2ND FLOOR KOHINOOR ELECTRONIC CENTRE SADDAR KARACHI </t>
  </si>
  <si>
    <t>63286/00052/09/2022</t>
  </si>
  <si>
    <t>071323</t>
  </si>
  <si>
    <t>6048798</t>
  </si>
  <si>
    <t>BSW-544</t>
  </si>
  <si>
    <t>OLUKHI300089997</t>
  </si>
  <si>
    <t>8731/09/2022/ITFM</t>
  </si>
  <si>
    <t>22-SEP-202</t>
  </si>
  <si>
    <t>9976AP1222700001</t>
  </si>
  <si>
    <t>PAK MOTORS</t>
  </si>
  <si>
    <t>1198950</t>
  </si>
  <si>
    <t>0717158</t>
  </si>
  <si>
    <t>0717158003</t>
  </si>
  <si>
    <t>MUNTAZAR HUSSAIN</t>
  </si>
  <si>
    <t>41303-3741469-1</t>
  </si>
  <si>
    <t>03332944310</t>
  </si>
  <si>
    <t>03332944310, 03332783534</t>
  </si>
  <si>
    <t xml:space="preserve">HOUSE # C-395 BLOCK D PHASE 1 OPPOS ITE BECON HOUSE SCHOOL QASIMABAD HY HYDERABAD PK </t>
  </si>
  <si>
    <t>63286/00056/09/2022</t>
  </si>
  <si>
    <t>351241</t>
  </si>
  <si>
    <t>7050342</t>
  </si>
  <si>
    <t>BUE-885</t>
  </si>
  <si>
    <t>OLUHYD300090015</t>
  </si>
  <si>
    <t>8737/09/2022/ITFM</t>
  </si>
  <si>
    <t>9976AP1222690007</t>
  </si>
  <si>
    <t>HONDA TOWNSHIP (PVT) LTD</t>
  </si>
  <si>
    <t>AL-1192651</t>
  </si>
  <si>
    <t>0796457</t>
  </si>
  <si>
    <t>0796457003</t>
  </si>
  <si>
    <t>MUHAMMAD SAEED ARIF</t>
  </si>
  <si>
    <t>35202-2395206-3</t>
  </si>
  <si>
    <t>03324433334</t>
  </si>
  <si>
    <t xml:space="preserve">H NO 244-A-1 VALANCIA TOWN LAHORE PK </t>
  </si>
  <si>
    <t>63286/00050/09/2022</t>
  </si>
  <si>
    <t>51014526</t>
  </si>
  <si>
    <t>24NR026265</t>
  </si>
  <si>
    <t>HONDA CITY 1-VTEC 1.2L CVT</t>
  </si>
  <si>
    <t>OLDLHR300090021</t>
  </si>
  <si>
    <t>8748/09/2022/ITFM</t>
  </si>
  <si>
    <t>9976AP2222690002</t>
  </si>
  <si>
    <t>AL-1190298</t>
  </si>
  <si>
    <t>0819815</t>
  </si>
  <si>
    <t>0819815001</t>
  </si>
  <si>
    <t>ABDUL JABBAR</t>
  </si>
  <si>
    <t>35202-6057453-5</t>
  </si>
  <si>
    <t>03044555726</t>
  </si>
  <si>
    <t xml:space="preserve">H NO E-244/20 ST NO 03 MODEL COLONY NO 2 WORKSHOP STOP WALTON ROAD LAH LAHORE PK </t>
  </si>
  <si>
    <t>63286/00051/09/2022</t>
  </si>
  <si>
    <t>147400</t>
  </si>
  <si>
    <t>10047368</t>
  </si>
  <si>
    <t>LE-18-191</t>
  </si>
  <si>
    <t>OLULHR300090013</t>
  </si>
  <si>
    <t>8741/09/2022/ITFM</t>
  </si>
  <si>
    <t>9976AD2211200023</t>
  </si>
  <si>
    <t>MG LYALLPUR MOTORS</t>
  </si>
  <si>
    <t>526285</t>
  </si>
  <si>
    <t>0627578</t>
  </si>
  <si>
    <t>0627578003</t>
  </si>
  <si>
    <t>TARIQ KHAN NIAZI</t>
  </si>
  <si>
    <t>35201-9580014-3</t>
  </si>
  <si>
    <t>03214599998</t>
  </si>
  <si>
    <t>04237180354</t>
  </si>
  <si>
    <t xml:space="preserve">48-A COMMERCIAL GROUND FLOOR DHA PH ASE VI LAHORE </t>
  </si>
  <si>
    <t>2524/02640/00082/09/2021</t>
  </si>
  <si>
    <t>5240036</t>
  </si>
  <si>
    <t>102906</t>
  </si>
  <si>
    <t>OLALHR300068568</t>
  </si>
  <si>
    <t>DIB0031785</t>
  </si>
  <si>
    <t>9976AD1211810057</t>
  </si>
  <si>
    <t>599908</t>
  </si>
  <si>
    <t>0704757</t>
  </si>
  <si>
    <t>0704757001</t>
  </si>
  <si>
    <t>ALTAF HUSSAIN</t>
  </si>
  <si>
    <t>44301-3088062-9</t>
  </si>
  <si>
    <t>03009222085</t>
  </si>
  <si>
    <t>99201271</t>
  </si>
  <si>
    <t xml:space="preserve">HOUSE # E-407 A/M23 MOHALLA SETELIT E TOWN SCHEME 2 MIRPUR NEAR WAPDA C MIRPURKHAS PK </t>
  </si>
  <si>
    <t>DIB/T/BT/33681/HYD/0921</t>
  </si>
  <si>
    <t>G4NAMH313962</t>
  </si>
  <si>
    <t>NNAQL51AZKP513122</t>
  </si>
  <si>
    <t>OLAHYD300070227</t>
  </si>
  <si>
    <t>9976AP1212740105</t>
  </si>
  <si>
    <t>428451</t>
  </si>
  <si>
    <t>0723995</t>
  </si>
  <si>
    <t>0723995001</t>
  </si>
  <si>
    <t>AZEEM AHMED KHURRAM</t>
  </si>
  <si>
    <t>35201-3614456-1</t>
  </si>
  <si>
    <t>032148000940</t>
  </si>
  <si>
    <t>03214800940</t>
  </si>
  <si>
    <t>04235166822</t>
  </si>
  <si>
    <t xml:space="preserve">17-C FAISAL TOWN LAHORE </t>
  </si>
  <si>
    <t>55601/00115/09/2021</t>
  </si>
  <si>
    <t>Q-343624</t>
  </si>
  <si>
    <t>ZRE172R-7042789</t>
  </si>
  <si>
    <t>LEA-20-1004</t>
  </si>
  <si>
    <t>TOYOTA COROLLA ALTIS GRANDE</t>
  </si>
  <si>
    <t>OLULHR300074382</t>
  </si>
  <si>
    <t>DIB0031947</t>
  </si>
  <si>
    <t>9976AP1212730055</t>
  </si>
  <si>
    <t>1108540</t>
  </si>
  <si>
    <t>0725765</t>
  </si>
  <si>
    <t>0725765001</t>
  </si>
  <si>
    <t>ATIF IDREES</t>
  </si>
  <si>
    <t>33104-2111449-9</t>
  </si>
  <si>
    <t>03008668638</t>
  </si>
  <si>
    <t>03008668638, 03008668638</t>
  </si>
  <si>
    <t xml:space="preserve">CHAK NO 74 RB LOKHY DAK KHANA KHURI ANWALA FSD FAISALABAD PK </t>
  </si>
  <si>
    <t>55601/00116/09/2021</t>
  </si>
  <si>
    <t>3185999</t>
  </si>
  <si>
    <t>102313</t>
  </si>
  <si>
    <t>OLDFSD300074379</t>
  </si>
  <si>
    <t>997AAD1202020001</t>
  </si>
  <si>
    <t>588782</t>
  </si>
  <si>
    <t>0619806</t>
  </si>
  <si>
    <t>0619806001</t>
  </si>
  <si>
    <t>MUHAMMAD WAQAS KHAN</t>
  </si>
  <si>
    <t>61101-2280668-7</t>
  </si>
  <si>
    <t>03345297493</t>
  </si>
  <si>
    <t>0519019273</t>
  </si>
  <si>
    <t xml:space="preserve">H # 348 ST # 97 NEAR PESHAWAR METRO MOR SECTOR # G-9/4 ISLAMABAD PK </t>
  </si>
  <si>
    <t>205832</t>
  </si>
  <si>
    <t>10105819</t>
  </si>
  <si>
    <t>20-JUL-2020</t>
  </si>
  <si>
    <t>POAISD300055384</t>
  </si>
  <si>
    <t>3050/09/2020/ITFM</t>
  </si>
  <si>
    <t>997AAD1202410010</t>
  </si>
  <si>
    <t>579566</t>
  </si>
  <si>
    <t>0628835</t>
  </si>
  <si>
    <t>0628835001</t>
  </si>
  <si>
    <t>MUHAMMAD RIAZ</t>
  </si>
  <si>
    <t>35201-0424640-5</t>
  </si>
  <si>
    <t>03224001843</t>
  </si>
  <si>
    <t xml:space="preserve">5-B FAISAL GARDEN NEAR UMT LAHORE </t>
  </si>
  <si>
    <t>2524/02112/00101/09/2020</t>
  </si>
  <si>
    <t>6913152</t>
  </si>
  <si>
    <t>LR064959</t>
  </si>
  <si>
    <t>CIVIC VTI P/T S/R</t>
  </si>
  <si>
    <t>POALHR300056854</t>
  </si>
  <si>
    <t>DIB0028750</t>
  </si>
  <si>
    <t>9976AD1212390015</t>
  </si>
  <si>
    <t>1099626</t>
  </si>
  <si>
    <t>0715900</t>
  </si>
  <si>
    <t>0715900001</t>
  </si>
  <si>
    <t>MUHAMMAD BILAL SARWAR</t>
  </si>
  <si>
    <t>33102-6763763-3</t>
  </si>
  <si>
    <t>03008606895</t>
  </si>
  <si>
    <t>03008606895, 03008606895</t>
  </si>
  <si>
    <t xml:space="preserve">H NO P-01 ST NO 01 AL AMIN HOME COL ONY SANAT SINGH SERVICE ROAD FAISALABAD PK </t>
  </si>
  <si>
    <t>2021-09-205-V015010P0002193</t>
  </si>
  <si>
    <t>2A36643</t>
  </si>
  <si>
    <t>7022958</t>
  </si>
  <si>
    <t>TOYTA YARIS GLI CVT</t>
  </si>
  <si>
    <t>OLAFSD300072534</t>
  </si>
  <si>
    <t>DIB031778</t>
  </si>
  <si>
    <t>9976AD1212120131</t>
  </si>
  <si>
    <t>626136</t>
  </si>
  <si>
    <t>0069768</t>
  </si>
  <si>
    <t>0069768005</t>
  </si>
  <si>
    <t>ZAHID MAHMOOD SAEED</t>
  </si>
  <si>
    <t>34104-2306593-9</t>
  </si>
  <si>
    <t>055-4557141</t>
  </si>
  <si>
    <t>03008119200 03218119200</t>
  </si>
  <si>
    <t xml:space="preserve">0300-8119200 GOSHA AGRO GHALLA MANDI GUJRANWALA </t>
  </si>
  <si>
    <t>DIB/T/BT/33680/LHR/0921</t>
  </si>
  <si>
    <t>2A36416</t>
  </si>
  <si>
    <t>9513514</t>
  </si>
  <si>
    <t>OLAGWL300071421</t>
  </si>
  <si>
    <t>5451/09/2021</t>
  </si>
  <si>
    <t>997APD1202680050</t>
  </si>
  <si>
    <t>579374</t>
  </si>
  <si>
    <t>0308071</t>
  </si>
  <si>
    <t>0308071003</t>
  </si>
  <si>
    <t>ZAIN ABIDEN</t>
  </si>
  <si>
    <t>34104-5253387-7</t>
  </si>
  <si>
    <t>03225982872</t>
  </si>
  <si>
    <t>0553401636</t>
  </si>
  <si>
    <t xml:space="preserve">H NO 757-B SATELLITE TOWN GUJRANWALA </t>
  </si>
  <si>
    <t>Z16913255</t>
  </si>
  <si>
    <t>R065029</t>
  </si>
  <si>
    <t>PODGWL300057194</t>
  </si>
  <si>
    <t>3047/09/2020/ITFM</t>
  </si>
  <si>
    <t>9976AD1211810044</t>
  </si>
  <si>
    <t>SUZUKI SUMMIT MOTORS PVT LTD.</t>
  </si>
  <si>
    <t>1093853</t>
  </si>
  <si>
    <t>0586881</t>
  </si>
  <si>
    <t>0586881006</t>
  </si>
  <si>
    <t>MOHAMMAD LATIF</t>
  </si>
  <si>
    <t>34104-2345119-7</t>
  </si>
  <si>
    <t>03455999008</t>
  </si>
  <si>
    <t xml:space="preserve">HOUSE NO 27 BLOCK TMS CANTT VIEW DC COLONY GUJRANWALA </t>
  </si>
  <si>
    <t>55601/00079/09/2021</t>
  </si>
  <si>
    <t>PK10K185118</t>
  </si>
  <si>
    <t>NF1AVK31H10085093</t>
  </si>
  <si>
    <t>OLAGWL300070096</t>
  </si>
  <si>
    <t>DIB0031795</t>
  </si>
  <si>
    <t>997AAD1202440031</t>
  </si>
  <si>
    <t>603766</t>
  </si>
  <si>
    <t>0626414</t>
  </si>
  <si>
    <t>0626414001</t>
  </si>
  <si>
    <t>MUHAMMAD AFAN</t>
  </si>
  <si>
    <t>35202-9579870-7</t>
  </si>
  <si>
    <t>03060420939</t>
  </si>
  <si>
    <t xml:space="preserve">HOUSE NO 20 STREET NO 40 DHOBI GHAT CHOWK TAJ PARK NATIONAL TOWN SANDA LAHORE </t>
  </si>
  <si>
    <t>13049052</t>
  </si>
  <si>
    <t>10049050</t>
  </si>
  <si>
    <t>SWIFT DLX ABS WITH EBD A/T</t>
  </si>
  <si>
    <t>POALHR300056923</t>
  </si>
  <si>
    <t>DIB0028751</t>
  </si>
  <si>
    <t>9976AP1232620001</t>
  </si>
  <si>
    <t>1201882</t>
  </si>
  <si>
    <t>0231129</t>
  </si>
  <si>
    <t>0231129013</t>
  </si>
  <si>
    <t>AYAZ SAEED</t>
  </si>
  <si>
    <t>61101-3607444-1</t>
  </si>
  <si>
    <t>051-2351542</t>
  </si>
  <si>
    <t>03005104107</t>
  </si>
  <si>
    <t>051-2256966</t>
  </si>
  <si>
    <t xml:space="preserve">H NO 196 STREET NO 52 SECTOR G-10/3 ISLAMABAD </t>
  </si>
  <si>
    <t>74853/00018/09/2023</t>
  </si>
  <si>
    <t>17-SEP-2024</t>
  </si>
  <si>
    <t>085527</t>
  </si>
  <si>
    <t>711397</t>
  </si>
  <si>
    <t>AMJ-093</t>
  </si>
  <si>
    <t>OLUISD300097063</t>
  </si>
  <si>
    <t>DIB0035304</t>
  </si>
  <si>
    <t>9976AD1220320095</t>
  </si>
  <si>
    <t>1145220</t>
  </si>
  <si>
    <t>0758864</t>
  </si>
  <si>
    <t>0758864001</t>
  </si>
  <si>
    <t>CH IMTIAZ JILLANI</t>
  </si>
  <si>
    <t>35201-8257139-5</t>
  </si>
  <si>
    <t>03219494277</t>
  </si>
  <si>
    <t xml:space="preserve">IMTIAZ TRADERS SERVICE ROAD JAMU ST OP NEAR SEHGUL MOTORS BADIAN ROAD LAHORE </t>
  </si>
  <si>
    <t>74853/00017/09/2023</t>
  </si>
  <si>
    <t>7916768</t>
  </si>
  <si>
    <t>006777</t>
  </si>
  <si>
    <t>OLALHR300083912</t>
  </si>
  <si>
    <t>10503/09/2023</t>
  </si>
  <si>
    <t>9976AP2212740031</t>
  </si>
  <si>
    <t>1107133</t>
  </si>
  <si>
    <t>0726723</t>
  </si>
  <si>
    <t>0726723001</t>
  </si>
  <si>
    <t>SYED HASSAN ALI</t>
  </si>
  <si>
    <t>42101-0152243-5</t>
  </si>
  <si>
    <t>03422291069</t>
  </si>
  <si>
    <t>03422291069, 03422291069</t>
  </si>
  <si>
    <t>02135877769</t>
  </si>
  <si>
    <t xml:space="preserve">PLOT # 1-E ZAMZAMA COMMERCIAL STREE T NO. 4 DHA PHASE 5 NEAR DO TALWAR KARACHI </t>
  </si>
  <si>
    <t>55601/00117/09/2021</t>
  </si>
  <si>
    <t>6R124738</t>
  </si>
  <si>
    <t>6111024747</t>
  </si>
  <si>
    <t>BRZ-087</t>
  </si>
  <si>
    <t>OLUKHI300074363</t>
  </si>
  <si>
    <t>DIB0031961</t>
  </si>
  <si>
    <t>9976AD1212120140</t>
  </si>
  <si>
    <t>SUZUKI GUJRANWALA MOTOR</t>
  </si>
  <si>
    <t>1093931</t>
  </si>
  <si>
    <t>0395908</t>
  </si>
  <si>
    <t>0395908004</t>
  </si>
  <si>
    <t>TANVEER SHEIKH</t>
  </si>
  <si>
    <t>34101-7460563-9</t>
  </si>
  <si>
    <t>03217417001</t>
  </si>
  <si>
    <t>0553845087</t>
  </si>
  <si>
    <t xml:space="preserve">TANVEER ENTERPRISES FAREED ROAD NEAR SABRI CHOWK FAREED TOWN GUJRANWALA </t>
  </si>
  <si>
    <t>PL-0921-1101010102-V14-D-00436</t>
  </si>
  <si>
    <t>PK10B220394</t>
  </si>
  <si>
    <t>AIJ310PK10120403</t>
  </si>
  <si>
    <t>SUZUKI WAGON R VXL AGS</t>
  </si>
  <si>
    <t>OLAGWL300071571</t>
  </si>
  <si>
    <t>5452/09/2021</t>
  </si>
  <si>
    <t>9976AP1212740096</t>
  </si>
  <si>
    <t>526276</t>
  </si>
  <si>
    <t>0633463</t>
  </si>
  <si>
    <t>0633463002</t>
  </si>
  <si>
    <t>MUHAMMAD SAAD TARIQ</t>
  </si>
  <si>
    <t>35202-2293209-5</t>
  </si>
  <si>
    <t>03444356712</t>
  </si>
  <si>
    <t xml:space="preserve">UCP 1 KHAYABAN E JINNAH ROAD LHR JOHAR TOWN LAHORE </t>
  </si>
  <si>
    <t>55601/00076/09/2021</t>
  </si>
  <si>
    <t>PK10B104888</t>
  </si>
  <si>
    <t>A1J310PK10004875</t>
  </si>
  <si>
    <t>LEB-15-5803</t>
  </si>
  <si>
    <t>OLULHR300073896</t>
  </si>
  <si>
    <t>DIB0031788</t>
  </si>
  <si>
    <t>997AAD2201990001</t>
  </si>
  <si>
    <t>588280</t>
  </si>
  <si>
    <t>0619421</t>
  </si>
  <si>
    <t>0619421001</t>
  </si>
  <si>
    <t>35201-1677366-1</t>
  </si>
  <si>
    <t>03004968296</t>
  </si>
  <si>
    <t xml:space="preserve">MANAWALA TUBEWELL STOP BAIDIAN ROAD LAHORE PK </t>
  </si>
  <si>
    <t>DIB/T/BT/28597/LHR/0920</t>
  </si>
  <si>
    <t>206120</t>
  </si>
  <si>
    <t>10106126</t>
  </si>
  <si>
    <t>17-JUL-2020</t>
  </si>
  <si>
    <t>POALHR300055351</t>
  </si>
  <si>
    <t>TDIDIB0028647</t>
  </si>
  <si>
    <t>9976AP2232680001</t>
  </si>
  <si>
    <t>1403024</t>
  </si>
  <si>
    <t>0521765</t>
  </si>
  <si>
    <t>0521765005</t>
  </si>
  <si>
    <t>MUHAMMAD GULFAM</t>
  </si>
  <si>
    <t>13501-1356144-3</t>
  </si>
  <si>
    <t>03335612030</t>
  </si>
  <si>
    <t>0515496803</t>
  </si>
  <si>
    <t xml:space="preserve">H # 21 ST # 1-A ISLAMABAD HOMES N EAR JANGI SYEDAN ISLAMABAD PK </t>
  </si>
  <si>
    <t>74853/00022/09/2023</t>
  </si>
  <si>
    <t>20-SEP-2024</t>
  </si>
  <si>
    <t>505772</t>
  </si>
  <si>
    <t>1010058</t>
  </si>
  <si>
    <t>AVZ-281</t>
  </si>
  <si>
    <t>OLUISD300097237</t>
  </si>
  <si>
    <t>DIB0035315</t>
  </si>
  <si>
    <t>9976AP1232680006</t>
  </si>
  <si>
    <t>1410267</t>
  </si>
  <si>
    <t>0904239</t>
  </si>
  <si>
    <t>0904239001</t>
  </si>
  <si>
    <t>SHAJEE AMER KHAN</t>
  </si>
  <si>
    <t>35202-1115153-7</t>
  </si>
  <si>
    <t>03339925343</t>
  </si>
  <si>
    <t xml:space="preserve">H NO P-631 ST NO 17 SECTOR D PHASE 6 DHA LAHORE PK </t>
  </si>
  <si>
    <t>74853/00023/09/2023</t>
  </si>
  <si>
    <t>207202</t>
  </si>
  <si>
    <t>10107190</t>
  </si>
  <si>
    <t>OLDLHR300097083</t>
  </si>
  <si>
    <t>DIB0035317</t>
  </si>
  <si>
    <t>9976AD1222300011</t>
  </si>
  <si>
    <t>PEUGEOT EXPRESSWAY</t>
  </si>
  <si>
    <t>AL-1203336</t>
  </si>
  <si>
    <t>0652017</t>
  </si>
  <si>
    <t>0652017003</t>
  </si>
  <si>
    <t>38403-0848115-9</t>
  </si>
  <si>
    <t>03335481707</t>
  </si>
  <si>
    <t>0514575707</t>
  </si>
  <si>
    <t xml:space="preserve">H # 364 ST # 18 ZARAJ HOUSING SOCIE TY SECTOR -A ISLAMABAD PK </t>
  </si>
  <si>
    <t>63286/00049/09/2022</t>
  </si>
  <si>
    <t>1892200</t>
  </si>
  <si>
    <t>500633</t>
  </si>
  <si>
    <t>18-AUG-2022</t>
  </si>
  <si>
    <t>OLAISD300089372</t>
  </si>
  <si>
    <t>8711/09/2022/ITFM</t>
  </si>
  <si>
    <t>9976AD1212160153</t>
  </si>
  <si>
    <t>KIA MOTORS PORT QASIM</t>
  </si>
  <si>
    <t>532217</t>
  </si>
  <si>
    <t>0700221</t>
  </si>
  <si>
    <t>0700221002</t>
  </si>
  <si>
    <t>MUHAMMAD KASHIF HASSAN KHAN</t>
  </si>
  <si>
    <t>42301-3065564-7</t>
  </si>
  <si>
    <t>03002630065</t>
  </si>
  <si>
    <t xml:space="preserve">A 762, SECTOR 11-A NORTH KARACHI, KARACHI NEAR BRITISH SALOON KARACHI </t>
  </si>
  <si>
    <t>2524/02640/00080/09/2021</t>
  </si>
  <si>
    <t>314458</t>
  </si>
  <si>
    <t>102113</t>
  </si>
  <si>
    <t>OLAKHI300071590</t>
  </si>
  <si>
    <t>9976AP2212660010</t>
  </si>
  <si>
    <t>532209</t>
  </si>
  <si>
    <t>0062149</t>
  </si>
  <si>
    <t>0062149009</t>
  </si>
  <si>
    <t>SAEED AHMAD</t>
  </si>
  <si>
    <t>61101-9592399-3</t>
  </si>
  <si>
    <t>03222222232</t>
  </si>
  <si>
    <t>37428313-15</t>
  </si>
  <si>
    <t xml:space="preserve">PLOT# 48 NAWAB PLAZA 3RD FLOOR SHADMAN MARKET NR RIAZ PAN SHOP LAHORE </t>
  </si>
  <si>
    <t>55601/00070/09/2021</t>
  </si>
  <si>
    <t>LEB5523175</t>
  </si>
  <si>
    <t>GB71002683</t>
  </si>
  <si>
    <t>HONDA FREED</t>
  </si>
  <si>
    <t>OLULHR300073746</t>
  </si>
  <si>
    <t>DIB0031767</t>
  </si>
  <si>
    <t>9976AD1210580054</t>
  </si>
  <si>
    <t>650907</t>
  </si>
  <si>
    <t>0654761</t>
  </si>
  <si>
    <t>0654761001</t>
  </si>
  <si>
    <t>MUDASSAR HUSSAIN</t>
  </si>
  <si>
    <t>33100-5856158-3</t>
  </si>
  <si>
    <t>03008740179</t>
  </si>
  <si>
    <t>04237425996</t>
  </si>
  <si>
    <t xml:space="preserve">SUPER ASIA DISPLAY CENTER MADINA AU TO WORKSHOP 15 FEROZPUR ROAD NEAR O PPOSITE LODHI ARCADE LAHORE </t>
  </si>
  <si>
    <t>55601/00071/09/2021</t>
  </si>
  <si>
    <t>Q080691</t>
  </si>
  <si>
    <t>6058183</t>
  </si>
  <si>
    <t>OLALHR300066359</t>
  </si>
  <si>
    <t>DIB0031769</t>
  </si>
  <si>
    <t>9976AP1232630005</t>
  </si>
  <si>
    <t>1201968</t>
  </si>
  <si>
    <t>0893752</t>
  </si>
  <si>
    <t>0893752001</t>
  </si>
  <si>
    <t>SYED ARIF SHAH</t>
  </si>
  <si>
    <t>42201-0654377-3</t>
  </si>
  <si>
    <t>03008290970</t>
  </si>
  <si>
    <t xml:space="preserve">HOUSE 68-B MUHAMMAD ALI HOUSING SOC IETY NEAR BILAL MASJID KHI AND DIB KARACHI PK </t>
  </si>
  <si>
    <t>74853/00019/09/2023</t>
  </si>
  <si>
    <t>18-SEP-2024</t>
  </si>
  <si>
    <t>0489874</t>
  </si>
  <si>
    <t>5532271</t>
  </si>
  <si>
    <t>KX-5544</t>
  </si>
  <si>
    <t>OLUKHI300097114</t>
  </si>
  <si>
    <t>DIB0035307</t>
  </si>
  <si>
    <t>9976AP2222640005</t>
  </si>
  <si>
    <t>AL-1195684</t>
  </si>
  <si>
    <t>0773189</t>
  </si>
  <si>
    <t>0773189003</t>
  </si>
  <si>
    <t>USMAN GHANI</t>
  </si>
  <si>
    <t>42301-2422902-9</t>
  </si>
  <si>
    <t>03008222734</t>
  </si>
  <si>
    <t xml:space="preserve">GHANI EXPORT FLAT #13,4TH FLOOR NADIA PALACE CHAND BIBI ROAD KARACHI </t>
  </si>
  <si>
    <t>63286/00040/09/2022</t>
  </si>
  <si>
    <t>Z476718</t>
  </si>
  <si>
    <t>4102559</t>
  </si>
  <si>
    <t>BHG-817</t>
  </si>
  <si>
    <t>OLUKHI300089903</t>
  </si>
  <si>
    <t>8684/09/2022/ITFM</t>
  </si>
  <si>
    <t>17-SEP-2022</t>
  </si>
  <si>
    <t>9976AP2212700024</t>
  </si>
  <si>
    <t>1099140</t>
  </si>
  <si>
    <t>0723221</t>
  </si>
  <si>
    <t>0723221001</t>
  </si>
  <si>
    <t>ABDUL BASIT KHAN</t>
  </si>
  <si>
    <t>35202-9963433-3</t>
  </si>
  <si>
    <t>03454037755</t>
  </si>
  <si>
    <t xml:space="preserve">4 SHANNON ROAD GOR 1 NEAR RACECOURS E PARK LAHORE </t>
  </si>
  <si>
    <t>55601/00075/09/2021</t>
  </si>
  <si>
    <t>PK513050989</t>
  </si>
  <si>
    <t>R5413PK10050992</t>
  </si>
  <si>
    <t>SWIFT Z/T NAVIGATION</t>
  </si>
  <si>
    <t>OLDLHR300073845</t>
  </si>
  <si>
    <t>DIB0031773</t>
  </si>
  <si>
    <t>9976AP2212670017</t>
  </si>
  <si>
    <t>535635</t>
  </si>
  <si>
    <t>0432572</t>
  </si>
  <si>
    <t>0432572004</t>
  </si>
  <si>
    <t>MUZAFFAR KHAN</t>
  </si>
  <si>
    <t>35202-2597417-7</t>
  </si>
  <si>
    <t>03218816236</t>
  </si>
  <si>
    <t xml:space="preserve">275A BLOCK A NEW MUSLIM TOWN LAHORE </t>
  </si>
  <si>
    <t>55601/00074/09/2021</t>
  </si>
  <si>
    <t>G3KAMP107898</t>
  </si>
  <si>
    <t>NNATA52AZKP707426</t>
  </si>
  <si>
    <t>OLDLHR300073711</t>
  </si>
  <si>
    <t>DIB0031772</t>
  </si>
  <si>
    <t>997APD1202660036</t>
  </si>
  <si>
    <t>597168</t>
  </si>
  <si>
    <t>0631685</t>
  </si>
  <si>
    <t>0631685001</t>
  </si>
  <si>
    <t>ZAHOOR AHMAD</t>
  </si>
  <si>
    <t>36601-6073493-3</t>
  </si>
  <si>
    <t>03004019923</t>
  </si>
  <si>
    <t>03004458057 03004019923</t>
  </si>
  <si>
    <t xml:space="preserve">OFFICE NO 1, 1ST FLOOR, HAFIZ PLAZA INTERNATIONAL MARKET M-BLOCK MODEL TOWN LAHORE </t>
  </si>
  <si>
    <t>L13Z17462953</t>
  </si>
  <si>
    <t>NFBGM1555HR206316</t>
  </si>
  <si>
    <t>LEF-17-5223</t>
  </si>
  <si>
    <t>CITY ASPIRE M/T</t>
  </si>
  <si>
    <t>POULHR300057456</t>
  </si>
  <si>
    <t>DIB0028742</t>
  </si>
  <si>
    <t>997APD1202670037</t>
  </si>
  <si>
    <t>625505</t>
  </si>
  <si>
    <t>0495779</t>
  </si>
  <si>
    <t>0495779003</t>
  </si>
  <si>
    <t>IFTIKHAR UL HASSAN</t>
  </si>
  <si>
    <t>33101-5117682-3</t>
  </si>
  <si>
    <t>03234946339</t>
  </si>
  <si>
    <t>03234946339, 03234946339</t>
  </si>
  <si>
    <t>0418740696</t>
  </si>
  <si>
    <t xml:space="preserve">426 ST NO 5 MUHAMMAD PURA CHAK JHUM RA FAISALABAD PK </t>
  </si>
  <si>
    <t>52740/00058/09/2020</t>
  </si>
  <si>
    <t>PK10B206224</t>
  </si>
  <si>
    <t>10106225</t>
  </si>
  <si>
    <t>PODFSD300057409</t>
  </si>
  <si>
    <t>3055/09/2020/ITFM</t>
  </si>
  <si>
    <t>9976AD1172100003</t>
  </si>
  <si>
    <t>409368</t>
  </si>
  <si>
    <t>0422436</t>
  </si>
  <si>
    <t>0422436001</t>
  </si>
  <si>
    <t>UMAR WAQAR</t>
  </si>
  <si>
    <t>35202-5087929-3</t>
  </si>
  <si>
    <t>03214022702</t>
  </si>
  <si>
    <t xml:space="preserve">H# 242 / A NEW CHUBURJI PARK LAHORE PK </t>
  </si>
  <si>
    <t>DIB/T/17861/LHR/0917</t>
  </si>
  <si>
    <t>19-SEP-2018</t>
  </si>
  <si>
    <t>17501425</t>
  </si>
  <si>
    <t>HR210793</t>
  </si>
  <si>
    <t>LEA-17A-5174</t>
  </si>
  <si>
    <t>29-JUL-2017</t>
  </si>
  <si>
    <t>POALHR300024226</t>
  </si>
  <si>
    <t>13231/09/2017</t>
  </si>
  <si>
    <t>9976AD1212220022</t>
  </si>
  <si>
    <t>1092644</t>
  </si>
  <si>
    <t>0237562</t>
  </si>
  <si>
    <t>0237562003</t>
  </si>
  <si>
    <t>ASIMA AHTSHAM</t>
  </si>
  <si>
    <t>35302-1818568-0</t>
  </si>
  <si>
    <t>03316158688</t>
  </si>
  <si>
    <t>0331-6158688</t>
  </si>
  <si>
    <t xml:space="preserve">H# 131/132, ST# 2 JALAL TOWN G.T.ROAD NEAR MOHAMMADN EDUCATION SYSYTEM OKARA </t>
  </si>
  <si>
    <t>01-201-PO-MTR-PCCM-D-001281</t>
  </si>
  <si>
    <t>220140</t>
  </si>
  <si>
    <t>10120040</t>
  </si>
  <si>
    <t>OLAOKR300071705</t>
  </si>
  <si>
    <t>5449/09/2021</t>
  </si>
  <si>
    <t>9976AP1212670011</t>
  </si>
  <si>
    <t>1097698</t>
  </si>
  <si>
    <t>0708540</t>
  </si>
  <si>
    <t>0708540002</t>
  </si>
  <si>
    <t>MUHAMMAD SAAD SALEEM</t>
  </si>
  <si>
    <t>35202-8603581-5</t>
  </si>
  <si>
    <t>03234316524</t>
  </si>
  <si>
    <t xml:space="preserve">AFZAL STREET H NO: A-67 MOHALLA GULLGHAST COLONY RUSTAM PARK LAHORE.0323-4316524 </t>
  </si>
  <si>
    <t>55601/00067/09/2021</t>
  </si>
  <si>
    <t>183030</t>
  </si>
  <si>
    <t>1083016</t>
  </si>
  <si>
    <t>OLDLHR300073818</t>
  </si>
  <si>
    <t>DIB0031761</t>
  </si>
  <si>
    <t>9976AD1212150146</t>
  </si>
  <si>
    <t>603161</t>
  </si>
  <si>
    <t>0700580</t>
  </si>
  <si>
    <t>0700580001</t>
  </si>
  <si>
    <t>RANA MUHAMMAD USMAN FEROZE</t>
  </si>
  <si>
    <t>37405-7883672-9</t>
  </si>
  <si>
    <t>03211001385</t>
  </si>
  <si>
    <t>0519075218</t>
  </si>
  <si>
    <t xml:space="preserve">H # 182 QUBA STREET KHAYABAN-E-TANV EER NEAR BOSTAN KHAN ROAD AYUB COLO RAWALPINDI PK </t>
  </si>
  <si>
    <t>2021/09/CLFTTPCDP01025</t>
  </si>
  <si>
    <t>182395</t>
  </si>
  <si>
    <t>1082395</t>
  </si>
  <si>
    <t>03-AUG-2021</t>
  </si>
  <si>
    <t>OLARWP300069564</t>
  </si>
  <si>
    <t>5448/09/2021</t>
  </si>
  <si>
    <t>9976AD1232200004</t>
  </si>
  <si>
    <t>1405000</t>
  </si>
  <si>
    <t>0892265</t>
  </si>
  <si>
    <t>0892265001</t>
  </si>
  <si>
    <t>NOOR UL AMIN</t>
  </si>
  <si>
    <t>42501-3545842-7</t>
  </si>
  <si>
    <t>03242499000</t>
  </si>
  <si>
    <t xml:space="preserve">HOUSE A- 39 TARIQ BIN ZIYAD SOCIETY MALIR HALT SECURITY PRESS KARACHI PK </t>
  </si>
  <si>
    <t>74853/00021/09/2023</t>
  </si>
  <si>
    <t>19-SEP-2024</t>
  </si>
  <si>
    <t>6R283312</t>
  </si>
  <si>
    <t>1183301</t>
  </si>
  <si>
    <t>OLAKHI300095993</t>
  </si>
  <si>
    <t>10500/09/2023/ITFM</t>
  </si>
  <si>
    <t>16-SEP-2023</t>
  </si>
  <si>
    <t>9976AP1222660022</t>
  </si>
  <si>
    <t>SIDDIQUI MOTORS</t>
  </si>
  <si>
    <t>1199148</t>
  </si>
  <si>
    <t>0818982</t>
  </si>
  <si>
    <t>0818982001</t>
  </si>
  <si>
    <t>MUHAMMAD HUSSAIN</t>
  </si>
  <si>
    <t>41303-1212977-3</t>
  </si>
  <si>
    <t>03453588620</t>
  </si>
  <si>
    <t xml:space="preserve">HOUSE # 118 MOHALLA MUZAFFARABAD CO LONY WARD NO 7 NEAR RAILWAY TALAB H HYDERABAD PK </t>
  </si>
  <si>
    <t>63286/00042/09/2022</t>
  </si>
  <si>
    <t>138670</t>
  </si>
  <si>
    <t>10038654</t>
  </si>
  <si>
    <t>BKS-604</t>
  </si>
  <si>
    <t>OLUHYD300089932</t>
  </si>
  <si>
    <t>8715/09/2022/ITFM</t>
  </si>
  <si>
    <t>9976AD2211730013</t>
  </si>
  <si>
    <t>1096057</t>
  </si>
  <si>
    <t>0701631</t>
  </si>
  <si>
    <t>0701631001</t>
  </si>
  <si>
    <t>SAIMA AMEER</t>
  </si>
  <si>
    <t>37405-3451861-4</t>
  </si>
  <si>
    <t>03405011572</t>
  </si>
  <si>
    <t xml:space="preserve">H # 605,606 MOHALLAH GHOUSIA LALKUR TI TARIQ ABAD RAWALPINDI PK </t>
  </si>
  <si>
    <t>PL-0921-1101010102-V14-D-00427</t>
  </si>
  <si>
    <t>185027</t>
  </si>
  <si>
    <t>10085021</t>
  </si>
  <si>
    <t>OLARWP300069704</t>
  </si>
  <si>
    <t>5447/09/2021</t>
  </si>
  <si>
    <t>9976AD1211810007</t>
  </si>
  <si>
    <t>1109733</t>
  </si>
  <si>
    <t>0519119</t>
  </si>
  <si>
    <t>0519119003</t>
  </si>
  <si>
    <t>SAJID MATLOOB</t>
  </si>
  <si>
    <t>42101-1291222-5</t>
  </si>
  <si>
    <t>03009204041</t>
  </si>
  <si>
    <t xml:space="preserve">HOUSE # R-30 HINA HOMES FB AREA BLO CK 21 NEAR KOLSON FACTORY KARACHI PK </t>
  </si>
  <si>
    <t>2524/02640/00074/09/2021</t>
  </si>
  <si>
    <t>2A36484</t>
  </si>
  <si>
    <t>NSP150R-7022848</t>
  </si>
  <si>
    <t>OLAKHI300070106</t>
  </si>
  <si>
    <t>5446/09/2021</t>
  </si>
  <si>
    <t>9976AD1220520031</t>
  </si>
  <si>
    <t>AL-1144066</t>
  </si>
  <si>
    <t>0763801</t>
  </si>
  <si>
    <t>0763801001</t>
  </si>
  <si>
    <t>MUHAMMAD AYAZ PARACHA</t>
  </si>
  <si>
    <t>42301-7560307-9</t>
  </si>
  <si>
    <t>03022443609</t>
  </si>
  <si>
    <t>03022443609, 03022443609</t>
  </si>
  <si>
    <t xml:space="preserve">HOUSE # 1-1-89 15TH LANE PHASE 7 DH A NEAR BILAL MASJID KARACHI PK </t>
  </si>
  <si>
    <t>63286/00046/09/2022</t>
  </si>
  <si>
    <t>NH304672</t>
  </si>
  <si>
    <t>KPS18373</t>
  </si>
  <si>
    <t>21-FEB-2022</t>
  </si>
  <si>
    <t>OLAKHI300084476</t>
  </si>
  <si>
    <t>9976AP2222640008</t>
  </si>
  <si>
    <t>AL-1204121</t>
  </si>
  <si>
    <t>0807290</t>
  </si>
  <si>
    <t>0807290001</t>
  </si>
  <si>
    <t>RAMEEZ ALI KHAN</t>
  </si>
  <si>
    <t>42101-4013787-7</t>
  </si>
  <si>
    <t>03314745457</t>
  </si>
  <si>
    <t xml:space="preserve">H # A-1 22 QUEETA TOWN CO OPEPRATIV E HOUSING SOCIETY JAN JAPAN MOTOR KARACHI PK </t>
  </si>
  <si>
    <t>63286/00041/09/2022</t>
  </si>
  <si>
    <t>1008172</t>
  </si>
  <si>
    <t>00108198</t>
  </si>
  <si>
    <t>OLDKHI300089865</t>
  </si>
  <si>
    <t>8699/09/2022/ITFM</t>
  </si>
  <si>
    <t>9976AD1211750039</t>
  </si>
  <si>
    <t>1109886</t>
  </si>
  <si>
    <t>0061801</t>
  </si>
  <si>
    <t>0061801003</t>
  </si>
  <si>
    <t>JAVED ABDULLAH SAYA</t>
  </si>
  <si>
    <t>42000-5345070-7</t>
  </si>
  <si>
    <t>4854177</t>
  </si>
  <si>
    <t>03332100500</t>
  </si>
  <si>
    <t>8246960</t>
  </si>
  <si>
    <t xml:space="preserve">H NO 198/3 1ST FLOOR SHARFABAD BAHADURABAD - KARACHI </t>
  </si>
  <si>
    <t>2524/02640/00073/09/2021</t>
  </si>
  <si>
    <t>Q080676</t>
  </si>
  <si>
    <t>ZRE171R-6058133</t>
  </si>
  <si>
    <t>24-JUN-2021</t>
  </si>
  <si>
    <t>OLAKHI300069786</t>
  </si>
  <si>
    <t>DIB031746</t>
  </si>
  <si>
    <t>9976AD2211830048</t>
  </si>
  <si>
    <t>1104525</t>
  </si>
  <si>
    <t>0591497</t>
  </si>
  <si>
    <t>0591497002</t>
  </si>
  <si>
    <t>MUHAMMAD GHUFRAN KHAN</t>
  </si>
  <si>
    <t>33100-0807283-3</t>
  </si>
  <si>
    <t>03451112984</t>
  </si>
  <si>
    <t xml:space="preserve">H 62 E MOHALA EDEN VALLEY CANAL ROAD FAISALABAD 0345 1112984 </t>
  </si>
  <si>
    <t>DIB/T/BT/33635/LHR/0921</t>
  </si>
  <si>
    <t>313398</t>
  </si>
  <si>
    <t>307176</t>
  </si>
  <si>
    <t>KIA SPORTGE FWD</t>
  </si>
  <si>
    <t>OLAFSD300070272</t>
  </si>
  <si>
    <t>SUBS</t>
  </si>
  <si>
    <t>9976AP2192590004</t>
  </si>
  <si>
    <t>528389</t>
  </si>
  <si>
    <t>0373350</t>
  </si>
  <si>
    <t>0373350005</t>
  </si>
  <si>
    <t>KASHIF ELLAHI</t>
  </si>
  <si>
    <t>37405-3643005-1</t>
  </si>
  <si>
    <t>051-5176334</t>
  </si>
  <si>
    <t>03219530723</t>
  </si>
  <si>
    <t xml:space="preserve">H NO 50-21 ST 07/A HARLEY ST DHOKE FAZAL ELLAHI RAWALPINDI </t>
  </si>
  <si>
    <t>51244/00045/10/2019</t>
  </si>
  <si>
    <t>160409</t>
  </si>
  <si>
    <t>6426302</t>
  </si>
  <si>
    <t>APF-395</t>
  </si>
  <si>
    <t>AQUA HYBRID</t>
  </si>
  <si>
    <t>16-SEP-2019</t>
  </si>
  <si>
    <t>POURWP300049101</t>
  </si>
  <si>
    <t>1744/09/2019/ITFM</t>
  </si>
  <si>
    <t>WACH</t>
  </si>
  <si>
    <t>9976AP2201970001</t>
  </si>
  <si>
    <t>0553576</t>
  </si>
  <si>
    <t>0553576001</t>
  </si>
  <si>
    <t>LAILA HABIB KHAN</t>
  </si>
  <si>
    <t>61101-5638892-4</t>
  </si>
  <si>
    <t>03105446261</t>
  </si>
  <si>
    <t xml:space="preserve">H # 1103 ST # 6 BAHRIA TOWN PHASE 2 NEAR ACE ACADEMY RAWALPINDI PK </t>
  </si>
  <si>
    <t>ALJ-532</t>
  </si>
  <si>
    <t>EVERY</t>
  </si>
  <si>
    <t>22-AUG-2019</t>
  </si>
  <si>
    <t>21-AUG-2019</t>
  </si>
  <si>
    <t>21-Aug-2024</t>
  </si>
  <si>
    <t>POURWP300048267</t>
  </si>
  <si>
    <t>DIB0027755</t>
  </si>
  <si>
    <t>09-AUG-2019</t>
  </si>
  <si>
    <t>9976AP2192340005</t>
  </si>
  <si>
    <t>9976AD1211940006</t>
  </si>
  <si>
    <t>646495</t>
  </si>
  <si>
    <t>0706847</t>
  </si>
  <si>
    <t>0706847001</t>
  </si>
  <si>
    <t>ADIL UR REHMAN</t>
  </si>
  <si>
    <t>37405-6668969-9</t>
  </si>
  <si>
    <t>03215070120</t>
  </si>
  <si>
    <t>0518431225</t>
  </si>
  <si>
    <t xml:space="preserve">SAIF UR REHMAN HOUSE HAYAL SHARIF C HAKRI ROAD OPP POR MEHAR ALI SHAH T RAWALPINDI PK </t>
  </si>
  <si>
    <t>PL-1021-1101010102-V14-D-00458</t>
  </si>
  <si>
    <t>G4NAMH312872</t>
  </si>
  <si>
    <t>NNAQL51AZLP102240</t>
  </si>
  <si>
    <t>13-JUL-2021</t>
  </si>
  <si>
    <t>9976AD2210850015</t>
  </si>
  <si>
    <t>CHANGAN JHELUM MOTORS</t>
  </si>
  <si>
    <t>584457</t>
  </si>
  <si>
    <t>0525011</t>
  </si>
  <si>
    <t>0525011002</t>
  </si>
  <si>
    <t>ABID LATIF</t>
  </si>
  <si>
    <t>Sarae Alamgir</t>
  </si>
  <si>
    <t>34203-8104914-5</t>
  </si>
  <si>
    <t>03455717545</t>
  </si>
  <si>
    <t xml:space="preserve">NEAR BIJLI GHAR , MOHALLAH NAZAM ABAD SARAIALAMGIR DISTT GUJRAT </t>
  </si>
  <si>
    <t>01-2109-PO-MTR-PCCM-D-001343</t>
  </si>
  <si>
    <t>1003287</t>
  </si>
  <si>
    <t>504733</t>
  </si>
  <si>
    <t>26-MAR-2021</t>
  </si>
  <si>
    <t>OLASAG300066970</t>
  </si>
  <si>
    <t>DIB0031994</t>
  </si>
  <si>
    <t>04-OCT-2021</t>
  </si>
  <si>
    <t>997APD2202740059</t>
  </si>
  <si>
    <t>546421</t>
  </si>
  <si>
    <t>0619024</t>
  </si>
  <si>
    <t>0619024001</t>
  </si>
  <si>
    <t>SYED QAISAR ALI</t>
  </si>
  <si>
    <t>41304-2323404-7</t>
  </si>
  <si>
    <t>03003595795</t>
  </si>
  <si>
    <t xml:space="preserve">HOUSE # A-572 MOHALLA AMANI SHAH CO LONY UNIT 11 NEAR AIR PORT ROAD HYDERABAD PK </t>
  </si>
  <si>
    <t>KHI/D/MO/PC COMP/P/52740/09/2020</t>
  </si>
  <si>
    <t>206343</t>
  </si>
  <si>
    <t>10106344</t>
  </si>
  <si>
    <t>SUZUKI WAGONR</t>
  </si>
  <si>
    <t>PODHYD300057698</t>
  </si>
  <si>
    <t>DIB0028802</t>
  </si>
  <si>
    <t>9976AP2192730022</t>
  </si>
  <si>
    <t>587083</t>
  </si>
  <si>
    <t>0217721</t>
  </si>
  <si>
    <t>0217721009</t>
  </si>
  <si>
    <t>SHAHID AHMED</t>
  </si>
  <si>
    <t>37405-0576844-7</t>
  </si>
  <si>
    <t>4930147</t>
  </si>
  <si>
    <t>03335266483</t>
  </si>
  <si>
    <t>051-2613237</t>
  </si>
  <si>
    <t xml:space="preserve">H# KK-316 KHANNA KAK KURI ROAD RAWALPINDI </t>
  </si>
  <si>
    <t>51132/00101/09/2019</t>
  </si>
  <si>
    <t>79796192</t>
  </si>
  <si>
    <t>KR253526</t>
  </si>
  <si>
    <t>APK-960</t>
  </si>
  <si>
    <t>PODRWP300049547</t>
  </si>
  <si>
    <t>1817/09/2019/ITFM</t>
  </si>
  <si>
    <t>9976AD1212150149</t>
  </si>
  <si>
    <t>1097585</t>
  </si>
  <si>
    <t>0380076</t>
  </si>
  <si>
    <t>0380076002</t>
  </si>
  <si>
    <t>ZAHEER ABBAS</t>
  </si>
  <si>
    <t>Mirpur</t>
  </si>
  <si>
    <t>34401-1052613-3</t>
  </si>
  <si>
    <t>03441598211</t>
  </si>
  <si>
    <t>03425030786</t>
  </si>
  <si>
    <t xml:space="preserve">ADEEL MOBILE AND TUCK SHOP NEAR MARKZI EID GAH SECTOR F 1 KOTLI ROAD MIRPUR A-K </t>
  </si>
  <si>
    <t>2021/09/CLFTTPCDP00999</t>
  </si>
  <si>
    <t>1014850</t>
  </si>
  <si>
    <t>1131328</t>
  </si>
  <si>
    <t>OLAMPR300071300</t>
  </si>
  <si>
    <t>5419/09/2021</t>
  </si>
  <si>
    <t>9976AP2212570006</t>
  </si>
  <si>
    <t>1103252</t>
  </si>
  <si>
    <t>0720663</t>
  </si>
  <si>
    <t>0720663001</t>
  </si>
  <si>
    <t>HARIS IMRAN</t>
  </si>
  <si>
    <t>35202-6156741-5</t>
  </si>
  <si>
    <t>03219494947</t>
  </si>
  <si>
    <t xml:space="preserve">SHOP NO 10 ABDUL REHMAN MEDICINE MA RKET CIRCULAR ROAD LOHARI GATE LAHORE </t>
  </si>
  <si>
    <t>55601/00033/09/2021</t>
  </si>
  <si>
    <t>1KR-K006712</t>
  </si>
  <si>
    <t>A200A-0008839</t>
  </si>
  <si>
    <t>TOYOTA RAIZE</t>
  </si>
  <si>
    <t>OLULHR300073406</t>
  </si>
  <si>
    <t>DIB0031640</t>
  </si>
  <si>
    <t>9976AD1221160029</t>
  </si>
  <si>
    <t>1199752</t>
  </si>
  <si>
    <t>0712276</t>
  </si>
  <si>
    <t>0712276003</t>
  </si>
  <si>
    <t>JUNAID HABIB</t>
  </si>
  <si>
    <t>33100-0559544-7</t>
  </si>
  <si>
    <t>03158666778</t>
  </si>
  <si>
    <t>03158666778, 03158666778</t>
  </si>
  <si>
    <t xml:space="preserve">P-657 KHAYBAN COLONY NO 2 ZEESHAN R OAD NEAR TALHA MASJID FAISALABAD PK </t>
  </si>
  <si>
    <t>63286/00079/09/2022</t>
  </si>
  <si>
    <t>2A56908</t>
  </si>
  <si>
    <t>7035980</t>
  </si>
  <si>
    <t>26-APR-2022</t>
  </si>
  <si>
    <t>OLAFSD300086801</t>
  </si>
  <si>
    <t>8833/09/2022/ITFM</t>
  </si>
  <si>
    <t>9976AD2212110001</t>
  </si>
  <si>
    <t>1090029</t>
  </si>
  <si>
    <t>0305808</t>
  </si>
  <si>
    <t>0305808002</t>
  </si>
  <si>
    <t>82201-3903629-3</t>
  </si>
  <si>
    <t>03215075862</t>
  </si>
  <si>
    <t xml:space="preserve">P/O JANAWAL VILLAGE JANDERSARI TEHSIL SHARDA,DISTRICT NEELUM </t>
  </si>
  <si>
    <t>2021/09/CLFTPPCDP01040</t>
  </si>
  <si>
    <t>185833</t>
  </si>
  <si>
    <t>10085824</t>
  </si>
  <si>
    <t>OLAMFD300071284</t>
  </si>
  <si>
    <t>5471/09/2021</t>
  </si>
  <si>
    <t>9976AP1222650014</t>
  </si>
  <si>
    <t>434719</t>
  </si>
  <si>
    <t>0812669</t>
  </si>
  <si>
    <t>0812669001</t>
  </si>
  <si>
    <t>ZAHEER ALI</t>
  </si>
  <si>
    <t>45403-2044893-9</t>
  </si>
  <si>
    <t>03003222643</t>
  </si>
  <si>
    <t>03003222643, 03002448453</t>
  </si>
  <si>
    <t xml:space="preserve">VILLAGE FAIZ MUHAMMAD BHAGWAR VIP R OAD BHANWAR COLONY NEAR BACHAL ELEC NAWABSHAH PK </t>
  </si>
  <si>
    <t>63286/00033/09/2022</t>
  </si>
  <si>
    <t>725882</t>
  </si>
  <si>
    <t>01264372</t>
  </si>
  <si>
    <t>BMN-593</t>
  </si>
  <si>
    <t>SUZUKI MEHRAN VXR EURO-II CNG</t>
  </si>
  <si>
    <t>OLUNWB300089845</t>
  </si>
  <si>
    <t>8677/09/2022/ITFM</t>
  </si>
  <si>
    <t>9976AP2222660013</t>
  </si>
  <si>
    <t>AL-1197153</t>
  </si>
  <si>
    <t>0810491</t>
  </si>
  <si>
    <t>0810491002</t>
  </si>
  <si>
    <t>NAILA ISHTIAQ</t>
  </si>
  <si>
    <t>35201-1540110-8</t>
  </si>
  <si>
    <t>03028428235</t>
  </si>
  <si>
    <t xml:space="preserve">HOUSE NO 267-B, LANE 6 CAVALRY GROUND LAHORE, CANTT. </t>
  </si>
  <si>
    <t>63286/00034/09/2022</t>
  </si>
  <si>
    <t>16930690</t>
  </si>
  <si>
    <t>R083248</t>
  </si>
  <si>
    <t>OLDLHR300089856</t>
  </si>
  <si>
    <t>8661/09/2022/ITFM</t>
  </si>
  <si>
    <t>9976AP1192680007</t>
  </si>
  <si>
    <t>587032</t>
  </si>
  <si>
    <t>0217721007</t>
  </si>
  <si>
    <t>51132/00064/09/2019</t>
  </si>
  <si>
    <t>79796212</t>
  </si>
  <si>
    <t>KR253532</t>
  </si>
  <si>
    <t>APK-961</t>
  </si>
  <si>
    <t>PODRWP300049342</t>
  </si>
  <si>
    <t>1782/08/2019/ITFM</t>
  </si>
  <si>
    <t>9976AP2212730021</t>
  </si>
  <si>
    <t>1104222</t>
  </si>
  <si>
    <t>0384744</t>
  </si>
  <si>
    <t>0384744003</t>
  </si>
  <si>
    <t>ANILA</t>
  </si>
  <si>
    <t>15201-3918830-0</t>
  </si>
  <si>
    <t>0340-4900266</t>
  </si>
  <si>
    <t>03404900266</t>
  </si>
  <si>
    <t>111-272-272</t>
  </si>
  <si>
    <t xml:space="preserve">H NO 10 MOH REHMAN GARDEN HABIB ULLAH ROAD GARHI SHAHU LAHORE </t>
  </si>
  <si>
    <t>55601/00097/09/2021</t>
  </si>
  <si>
    <t>508124</t>
  </si>
  <si>
    <t>1002596</t>
  </si>
  <si>
    <t>CHANGAN ALSVIN 1.5 L LUMERE</t>
  </si>
  <si>
    <t>OLDLHR300074066</t>
  </si>
  <si>
    <t>DIB0031857</t>
  </si>
  <si>
    <t>9976AP1212670023</t>
  </si>
  <si>
    <t>403757</t>
  </si>
  <si>
    <t>0721640</t>
  </si>
  <si>
    <t>0721640001</t>
  </si>
  <si>
    <t>MUHAMMAD AKBAR</t>
  </si>
  <si>
    <t>42101-6336444-3</t>
  </si>
  <si>
    <t>03352917475</t>
  </si>
  <si>
    <t>02136829860</t>
  </si>
  <si>
    <t xml:space="preserve">HOUSE 303 SAUDAGRAN SOCIETY NEAR MA SJID AYESHA MALIR SHAH FAISAL TOWN KARACHI PK </t>
  </si>
  <si>
    <t>55601/00078/09/2021</t>
  </si>
  <si>
    <t>PKF629906</t>
  </si>
  <si>
    <t>SF410PK536762</t>
  </si>
  <si>
    <t>BGZ-532</t>
  </si>
  <si>
    <t>OLUKHI300073923</t>
  </si>
  <si>
    <t>DIB0031805</t>
  </si>
  <si>
    <t>9976AP1232680003</t>
  </si>
  <si>
    <t>1406789</t>
  </si>
  <si>
    <t>0707331</t>
  </si>
  <si>
    <t>0707331008</t>
  </si>
  <si>
    <t>KHALEEQ UR RAHMAN</t>
  </si>
  <si>
    <t>11201-5142771-5</t>
  </si>
  <si>
    <t>03348627078</t>
  </si>
  <si>
    <t xml:space="preserve">APARTMENT NO 11, 3 RD FLOOR, LARAIB CENTER, G-9 MARKAZ, ISLAMABAD 0334-8687078 </t>
  </si>
  <si>
    <t>74853/00025/09/2023</t>
  </si>
  <si>
    <t>12952748</t>
  </si>
  <si>
    <t>056171</t>
  </si>
  <si>
    <t>ANS-750</t>
  </si>
  <si>
    <t>HONDA CIVIC IVTEC</t>
  </si>
  <si>
    <t>OLUISD300097242</t>
  </si>
  <si>
    <t>DIB0035320</t>
  </si>
  <si>
    <t>9976AP1212670018</t>
  </si>
  <si>
    <t>1090454</t>
  </si>
  <si>
    <t>0722839</t>
  </si>
  <si>
    <t>0722839001</t>
  </si>
  <si>
    <t>HUMAIRA SHAHID</t>
  </si>
  <si>
    <t>35201-0598676-8</t>
  </si>
  <si>
    <t>03019781909</t>
  </si>
  <si>
    <t>04237491455</t>
  </si>
  <si>
    <t xml:space="preserve">OFFICE NO 8,9 2ND FLOOR ABDULLAH CE NTRE AWAN TOWN LAHORE </t>
  </si>
  <si>
    <t>55601/00082/09/2021</t>
  </si>
  <si>
    <t>219879</t>
  </si>
  <si>
    <t>10120404</t>
  </si>
  <si>
    <t>OLDLHR300073900</t>
  </si>
  <si>
    <t>DIB0031804</t>
  </si>
  <si>
    <t>9976AP2212640016</t>
  </si>
  <si>
    <t>1091128</t>
  </si>
  <si>
    <t>0711103</t>
  </si>
  <si>
    <t>0711103001</t>
  </si>
  <si>
    <t>MUHAMMAD ADNAN</t>
  </si>
  <si>
    <t>42101-6100117-7</t>
  </si>
  <si>
    <t>03132243693</t>
  </si>
  <si>
    <t xml:space="preserve">HOUSE # 43/1 SEC 5-E NEW KHI NEAR A PNA LAWN KARACHI PK </t>
  </si>
  <si>
    <t>55601/00064/09/2021</t>
  </si>
  <si>
    <t>550871</t>
  </si>
  <si>
    <t>4176557</t>
  </si>
  <si>
    <t>BQF-638</t>
  </si>
  <si>
    <t>OLUKHI300073771</t>
  </si>
  <si>
    <t>DIB0031747</t>
  </si>
  <si>
    <t>Policy #</t>
  </si>
  <si>
    <t>End. #</t>
  </si>
  <si>
    <t>Tms prem</t>
  </si>
  <si>
    <t>Difference</t>
  </si>
  <si>
    <t>Tagging</t>
  </si>
  <si>
    <t>REN</t>
  </si>
  <si>
    <t>KHI/HO/D/MO/PC COMP/C/97805/1/09/2024</t>
  </si>
  <si>
    <t>KHI/HO/D/MO/PC COMP/C/97805/2/09/2024</t>
  </si>
  <si>
    <t>KHI/HO/D/MO/PC COMP/C/97805/3/09/2024</t>
  </si>
  <si>
    <t>KHI/HO/D/MO/PC COMP/C/97805/4/09/2024</t>
  </si>
  <si>
    <t>KHI/HO/D/MO/PC COMP/C/97805/5/09/2024</t>
  </si>
  <si>
    <t>KHI/HO/D/MO/PC COMP/C/97805/7/09/2024</t>
  </si>
  <si>
    <t>KHI/HO/D/MO/PC COMP/C/97805/8/09/2024</t>
  </si>
  <si>
    <t>KHI/HO/D/MO/PC COMP/C/97805/9/09/2024</t>
  </si>
  <si>
    <t>KHI/HO/D/MO/PC COMP/C/97805/13/09/2024</t>
  </si>
  <si>
    <t>KHI/HO/D/MO/PC COMP/C/97805/14/09/2024</t>
  </si>
  <si>
    <t>KHI/HO/D/MO/PC COMP/C/97805/15/09/2024</t>
  </si>
  <si>
    <t>KHI/HO/D/MO/PC COMP/C/97805/18/09/2024</t>
  </si>
  <si>
    <t>KHI/HO/D/MO/PC COMP/C/97805/19/09/2024</t>
  </si>
  <si>
    <t>KHI/HO/D/MO/PC COMP/C/97805/21/09/2024</t>
  </si>
  <si>
    <t>KHI/HO/D/MO/PC COMP/C/97805/23/09/2024</t>
  </si>
  <si>
    <t>KHI/HO/D/MO/PC COMP/C/97805/24/09/2024</t>
  </si>
  <si>
    <t>KHI/HO/D/MO/PC COMP/C/97805/25/09/2024</t>
  </si>
  <si>
    <t>KHI/HO/D/MO/PC COMP/C/97805/26/09/2024</t>
  </si>
  <si>
    <t>KHI/HO/D/MO/PC COMP/C/97805/28/09/2024</t>
  </si>
  <si>
    <t>KHI/HO/D/MO/PC COMP/C/97805/34/09/2024</t>
  </si>
  <si>
    <t>KHI/HO/D/MO/PC COMP/C/97805/37/09/2024</t>
  </si>
  <si>
    <t>KHI/HO/D/MO/PC COMP/C/97805/38/09/2024</t>
  </si>
  <si>
    <t>KHI/HO/D/MO/PC COMP/C/97805/40/09/2024</t>
  </si>
  <si>
    <t>KHI/HO/D/MO/PC COMP/C/97805/41/09/2024</t>
  </si>
  <si>
    <t>KHI/HO/D/MO/PC COMP/C/97805/45/09/2024</t>
  </si>
  <si>
    <t>KHI/HO/D/MO/PC COMP/C/97805/53/09/2024</t>
  </si>
  <si>
    <t>KHI/HO/D/MO/PC COMP/C/97805/54/09/2024</t>
  </si>
  <si>
    <t>KHI/HO/D/MO/PC COMP/C/97805/55/09/2024</t>
  </si>
  <si>
    <t>KHI/HO/D/MO/PC COMP/C/97805/56/09/2024</t>
  </si>
  <si>
    <t>KHI/HO/D/MO/PC COMP/C/97805/60/09/2024</t>
  </si>
  <si>
    <t>KHI/HO/D/MO/PC COMP/C/97805/62/09/2024</t>
  </si>
  <si>
    <t>KHI/HO/D/MO/PC COMP/C/97805/64/09/2024</t>
  </si>
  <si>
    <t>KHI/HO/D/MO/PC COMP/C/97805/65/09/2024</t>
  </si>
  <si>
    <t>KHI/HO/D/MO/PC COMP/C/97805/69/09/2024</t>
  </si>
  <si>
    <t>KHI/HO/D/MO/PC COMP/C/97805/70/09/2024</t>
  </si>
  <si>
    <t>KHI/HO/D/MO/PC COMP/C/97805/72/09/2024</t>
  </si>
  <si>
    <t>KHI/HO/D/MO/PC COMP/C/97805/74/09/2024</t>
  </si>
  <si>
    <t>KHI/HO/D/MO/PC COMP/C/97805/76/09/2024</t>
  </si>
  <si>
    <t>KHI/HO/D/MO/PC COMP/C/97805/84/09/2024</t>
  </si>
  <si>
    <t>KHI/HO/D/MO/PC COMP/C/97805/85/09/2024</t>
  </si>
  <si>
    <t>KHI/HO/D/MO/PC COMP/C/97805/86/09/2024</t>
  </si>
  <si>
    <t>KHI/HO/D/MO/PC COMP/C/97805/87/09/2024</t>
  </si>
  <si>
    <t>KHI/HO/D/MO/PC COMP/C/97805/88/09/2024</t>
  </si>
  <si>
    <t>KHI/HO/D/MO/PC COMP/C/97805/90/09/2024</t>
  </si>
  <si>
    <t>KHI/HO/D/MO/PC COMP/C/97805/94/09/2024</t>
  </si>
  <si>
    <t>KHI/HO/D/MO/PC COMP/C/97805/95/09/2024</t>
  </si>
  <si>
    <t>KHI/HO/D/MO/PC COMP/C/97805/96/09/2024</t>
  </si>
  <si>
    <t>KHI/HO/D/MO/PC COMP/C/97805/98/09/2024</t>
  </si>
  <si>
    <t>KHI/HO/D/MO/PC COMP/C/97805/100/09/2024</t>
  </si>
  <si>
    <t>KHI/HO/D/MO/PC COMP/C/97805/105/09/2024</t>
  </si>
  <si>
    <t>KHI/HO/D/MO/PC COMP/C/97805/106/09/2024</t>
  </si>
  <si>
    <t>KHI/HO/D/MO/PC COMP/C/97805/107/09/2024</t>
  </si>
  <si>
    <t>KHI/HO/D/MO/PC COMP/C/97805/108/09/2024</t>
  </si>
  <si>
    <t>KHI/HO/D/MO/PC COMP/C/97805/114/09/2024</t>
  </si>
  <si>
    <t>KHI/HO/D/MO/PC COMP/C/97805/119/09/2024</t>
  </si>
  <si>
    <t>KHI/HO/D/MO/PC COMP/C/97805/121/09/2024</t>
  </si>
  <si>
    <t>KHI/HO/D/MO/PC COMP/C/97805/122/09/2024</t>
  </si>
  <si>
    <t>KHI/HO/D/MO/PC COMP/C/97805/125/09/2024</t>
  </si>
  <si>
    <t>KHI/HO/D/MO/PC COMP/C/97805/126/09/2024</t>
  </si>
  <si>
    <t>KHI/HO/D/MO/PC COMP/C/97805/128/09/2024</t>
  </si>
  <si>
    <t>KHI/HO/D/MO/PC COMP/C/97805/129/09/2024</t>
  </si>
  <si>
    <t>KHI/HO/D/MO/PC COMP/C/97805/133/09/2024</t>
  </si>
  <si>
    <t>KHI/HO/D/MO/PC COMP/C/97805/135/09/2024</t>
  </si>
  <si>
    <t>KHI/HO/D/MO/PC COMP/C/97805/137/09/2024</t>
  </si>
  <si>
    <t>KHI/HO/D/MO/PC COMP/C/97805/17/09/2024</t>
  </si>
  <si>
    <t>KHI/HO/D/MO/PC COMP/C/97805/20/09/2024</t>
  </si>
  <si>
    <t>KHI/HO/D/MO/PC COMP/C/97805/142/09/2024</t>
  </si>
  <si>
    <t>KHI/HO/D/MO/PC COMP/C/97805/27/09/2024</t>
  </si>
  <si>
    <t>KHI/HO/D/MO/PC COMP/C/97805/29/09/2024</t>
  </si>
  <si>
    <t>KHI/HO/D/MO/PC COMP/C/97805/31/09/2024</t>
  </si>
  <si>
    <t>KHI/HO/D/MO/PC COMP/C/97805/32/09/2024</t>
  </si>
  <si>
    <t>KHI/HO/D/MO/PC COMP/C/97805/33/09/2024</t>
  </si>
  <si>
    <t>KHI/HO/D/MO/PC COMP/C/97805/148/09/2024</t>
  </si>
  <si>
    <t>KHI/HO/D/MO/PC COMP/C/97805/35/09/2024</t>
  </si>
  <si>
    <t>KHI/HO/D/MO/PC COMP/C/97805/150/09/2024</t>
  </si>
  <si>
    <t>KHI/HO/D/MO/PC COMP/C/97805/151/09/2024</t>
  </si>
  <si>
    <t>KHI/HO/D/MO/PC COMP/C/97805/152/09/2024</t>
  </si>
  <si>
    <t>KHI/HO/D/MO/PC COMP/C/97805/36/09/2024</t>
  </si>
  <si>
    <t>KHI/HO/D/MO/PC COMP/C/97805/39/09/2024</t>
  </si>
  <si>
    <t>KHI/HO/D/MO/PC COMP/C/97805/154/09/2024</t>
  </si>
  <si>
    <t>KHI/HO/D/MO/PC COMP/C/97805/42/09/2024</t>
  </si>
  <si>
    <t>KHI/HO/D/MO/PC COMP/C/97805/156/09/2024</t>
  </si>
  <si>
    <t>KHI/HO/D/MO/PC COMP/C/97805/43/09/2024</t>
  </si>
  <si>
    <t>KHI/HO/D/MO/PC COMP/C/97805/158/09/2024</t>
  </si>
  <si>
    <t>KHI/HO/D/MO/PC COMP/C/97805/44/09/2024</t>
  </si>
  <si>
    <t>KHI/HO/D/MO/PC COMP/C/97805/159/09/2024</t>
  </si>
  <si>
    <t>KHI/HO/D/MO/PC COMP/C/97805/160/09/2024</t>
  </si>
  <si>
    <t>KHI/HO/D/MO/PC COMP/C/97805/46/09/2024</t>
  </si>
  <si>
    <t>KHI/HO/D/MO/PC COMP/C/97805/47/09/2024</t>
  </si>
  <si>
    <t>KHI/HO/D/MO/PC COMP/C/97805/48/09/2024</t>
  </si>
  <si>
    <t>KHI/HO/D/MO/PC COMP/C/97805/49/09/2024</t>
  </si>
  <si>
    <t>KHI/HO/D/MO/PC COMP/C/97805/50/09/2024</t>
  </si>
  <si>
    <t>KHI/HO/D/MO/PC COMP/C/97805/51/09/2024</t>
  </si>
  <si>
    <t>KHI/HO/D/MO/PC COMP/C/97805/169/09/2024</t>
  </si>
  <si>
    <t>KHI/HO/D/MO/PC COMP/C/97805/52/09/2024</t>
  </si>
  <si>
    <t>KHI/HO/D/MO/PC COMP/C/97805/59/09/2024</t>
  </si>
  <si>
    <t>KHI/HO/D/MO/PC COMP/C/97805/172/09/2024</t>
  </si>
  <si>
    <t>KHI/HO/D/MO/PC COMP/C/97805/173/09/2024</t>
  </si>
  <si>
    <t>KHI/HO/D/MO/PC COMP/C/97805/61/09/2024</t>
  </si>
  <si>
    <t>KHI/HO/D/MO/PC COMP/C/97805/174/09/2024</t>
  </si>
  <si>
    <t>KHI/HO/D/MO/PC COMP/C/97805/63/09/2024</t>
  </si>
  <si>
    <t>KHI/HO/D/MO/PC COMP/C/97805/67/09/2024</t>
  </si>
  <si>
    <t>KHI/HO/D/MO/PC COMP/C/97805/179/09/2024</t>
  </si>
  <si>
    <t>KHI/HO/D/MO/PC COMP/C/97805/68/09/2024</t>
  </si>
  <si>
    <t>KHI/HO/D/MO/PC COMP/C/97805/181/09/2024</t>
  </si>
  <si>
    <t>KHI/HO/D/MO/PC COMP/C/97805/71/09/2024</t>
  </si>
  <si>
    <t>KHI/HO/D/MO/PC COMP/C/97805/185/09/2024</t>
  </si>
  <si>
    <t>KHI/HO/D/MO/PC COMP/C/97805/186/09/2024</t>
  </si>
  <si>
    <t>KHI/HO/D/MO/PC COMP/C/97805/187/09/2024</t>
  </si>
  <si>
    <t>KHI/HO/D/MO/PC COMP/C/97805/188/09/2024</t>
  </si>
  <si>
    <t>KHI/HO/D/MO/PC COMP/C/97805/189/09/2024</t>
  </si>
  <si>
    <t>KHI/HO/D/MO/PC COMP/C/97805/192/09/2024</t>
  </si>
  <si>
    <t>KHI/HO/D/MO/PC COMP/C/97805/193/09/2024</t>
  </si>
  <si>
    <t>KHI/HO/D/MO/PC COMP/C/97805/194/09/2024</t>
  </si>
  <si>
    <t>KHI/HO/D/MO/PC COMP/C/97805/73/09/2024</t>
  </si>
  <si>
    <t>KHI/HO/D/MO/PC COMP/C/97805/75/09/2024</t>
  </si>
  <si>
    <t>KHI/HO/D/MO/PC COMP/C/97805/197/09/2024</t>
  </si>
  <si>
    <t>KHI/HO/D/MO/PC COMP/C/97805/198/09/2024</t>
  </si>
  <si>
    <t>KHI/HO/D/MO/PC COMP/C/97805/199/09/2024</t>
  </si>
  <si>
    <t>KHI/HO/D/MO/PC COMP/C/97805/200/09/2024</t>
  </si>
  <si>
    <t>KHI/HO/D/MO/PC COMP/C/97805/77/09/2024</t>
  </si>
  <si>
    <t>KHI/HO/D/MO/PC COMP/C/97805/78/09/2024</t>
  </si>
  <si>
    <t>KHI/HO/D/MO/PC COMP/C/97805/79/09/2024</t>
  </si>
  <si>
    <t>KHI/HO/D/MO/PC COMP/C/97805/80/09/2024</t>
  </si>
  <si>
    <t>KHI/HO/D/MO/PC COMP/C/97805/81/09/2024</t>
  </si>
  <si>
    <t>KHI/HO/D/MO/PC COMP/C/97805/82/09/2024</t>
  </si>
  <si>
    <t>KHI/HO/D/MO/PC COMP/C/97805/83/09/2024</t>
  </si>
  <si>
    <t>KHI/HO/D/MO/PC COMP/C/97805/89/09/2024</t>
  </si>
  <si>
    <t>KHI/HO/D/MO/PC COMP/C/97805/92/09/2024</t>
  </si>
  <si>
    <t>KHI/HO/D/MO/PC COMP/C/97805/93/09/2024</t>
  </si>
  <si>
    <t>KHI/HO/D/MO/PC COMP/C/97805/210/09/2024</t>
  </si>
  <si>
    <t>KHI/HO/D/MO/PC COMP/C/97805/212/09/2024</t>
  </si>
  <si>
    <t>KHI/HO/D/MO/PC COMP/C/97805/213/09/2024</t>
  </si>
  <si>
    <t>KHI/HO/D/MO/PC COMP/C/97805/97/09/2024</t>
  </si>
  <si>
    <t>KHI/HO/D/MO/PC COMP/C/97805/99/09/2024</t>
  </si>
  <si>
    <t>KHI/HO/D/MO/PC COMP/C/97805/216/09/2024</t>
  </si>
  <si>
    <t>KHI/HO/D/MO/PC COMP/C/97805/101/09/2024</t>
  </si>
  <si>
    <t>KHI/HO/D/MO/PC COMP/C/97805/102/09/2024</t>
  </si>
  <si>
    <t>KHI/HO/D/MO/PC COMP/C/97805/220/09/2024</t>
  </si>
  <si>
    <t>KHI/HO/D/MO/PC COMP/C/97805/103/09/2024</t>
  </si>
  <si>
    <t>KHI/HO/D/MO/PC COMP/C/97805/104/09/2024</t>
  </si>
  <si>
    <t>KHI/HO/D/MO/PC COMP/C/97805/109/09/2024</t>
  </si>
  <si>
    <t>KHI/HO/D/MO/PC COMP/C/97805/110/09/2024</t>
  </si>
  <si>
    <t>KHI/HO/D/MO/PC COMP/C/97805/112/09/2024</t>
  </si>
  <si>
    <t>KHI/HO/D/MO/PC COMP/C/97805/228/09/2024</t>
  </si>
  <si>
    <t>KHI/HO/D/MO/PC COMP/C/97805/229/09/2024</t>
  </si>
  <si>
    <t>KHI/HO/D/MO/PC COMP/C/97805/113/09/2024</t>
  </si>
  <si>
    <t>KHI/HO/D/MO/PC COMP/C/97805/115/09/2024</t>
  </si>
  <si>
    <t>KHI/HO/D/MO/PC COMP/C/97805/116/09/2024</t>
  </si>
  <si>
    <t>KHI/HO/D/MO/PC COMP/C/97805/117/09/2024</t>
  </si>
  <si>
    <t>KHI/HO/D/MO/PC COMP/C/97805/233/09/2024</t>
  </si>
  <si>
    <t>KHI/HO/D/MO/PC COMP/C/97805/234/09/2024</t>
  </si>
  <si>
    <t>KHI/HO/D/MO/PC COMP/C/97805/235/09/2024</t>
  </si>
  <si>
    <t>KHI/HO/D/MO/PC COMP/C/97805/236/09/2024</t>
  </si>
  <si>
    <t>KHI/HO/D/MO/PC COMP/C/97805/118/09/2024</t>
  </si>
  <si>
    <t>KHI/HO/D/MO/PC COMP/C/97805/238/09/2024</t>
  </si>
  <si>
    <t>KHI/HO/D/MO/PC COMP/C/97805/239/09/2024</t>
  </si>
  <si>
    <t>KHI/HO/D/MO/PC COMP/C/97805/240/09/2024</t>
  </si>
  <si>
    <t>KHI/HO/D/MO/PC COMP/C/97805/241/09/2024</t>
  </si>
  <si>
    <t>KHI/HO/D/MO/PC COMP/C/97805/120/09/2024</t>
  </si>
  <si>
    <t>KHI/HO/D/MO/PC COMP/C/97805/123/09/2024</t>
  </si>
  <si>
    <t>KHI/HO/D/MO/PC COMP/C/97805/124/09/2024</t>
  </si>
  <si>
    <t>KHI/HO/D/MO/PC COMP/C/97805/127/09/2024</t>
  </si>
  <si>
    <t>KHI/HO/D/MO/PC COMP/C/97805/130/09/2024</t>
  </si>
  <si>
    <t>KHI/HO/D/MO/PC COMP/C/97805/131/09/2024</t>
  </si>
  <si>
    <t>KHI/HO/D/MO/PC COMP/C/97805/132/09/2024</t>
  </si>
  <si>
    <t>KHI/HO/D/MO/PC COMP/C/97805/134/09/2024</t>
  </si>
  <si>
    <t>KHI/HO/D/MO/PC COMP/C/97805/136/09/2024</t>
  </si>
  <si>
    <t>KHI/HO/D/MO/PC COMP/C/97805/254/09/2024</t>
  </si>
  <si>
    <t>KHI/HO/D/MO/PC COMP/C/97805/138/09/2024</t>
  </si>
  <si>
    <t>KHI/HO/D/MO/PC COMP/C/97805/256/09/2024</t>
  </si>
  <si>
    <t>KHI/HO/D/MO/PC COMP/C/97805/139/09/2024</t>
  </si>
  <si>
    <t>KHI/HO/D/MO/PC COMP/C/97805/140/09/2024</t>
  </si>
  <si>
    <t>KHI/HO/D/MO/PC COMP/C/97805/258/09/2024</t>
  </si>
  <si>
    <t>KHI/HO/D/MO/PC COMP/C/97805/259/09/2024</t>
  </si>
  <si>
    <t>KHI/HO/D/MO/PC COMP/C/97805/260/09/2024</t>
  </si>
  <si>
    <t>KHI/HO/D/MO/PC COMP/C/97805/141/09/2024</t>
  </si>
  <si>
    <t>KHI/HO/D/MO/PC COMP/C/97805/261/09/2024</t>
  </si>
  <si>
    <t>KHI/HO/D/MO/PC COMP/C/97805/143/09/2024</t>
  </si>
  <si>
    <t>KHI/HO/D/MO/PC COMP/C/97805/144/09/2024</t>
  </si>
  <si>
    <t>KHI/HO/D/MO/PC COMP/C/97805/145/09/2024</t>
  </si>
  <si>
    <t>KHI/HO/D/MO/PC COMP/C/97805/265/09/2024</t>
  </si>
  <si>
    <t>KHI/HO/D/MO/PC COMP/C/97805/266/09/2024</t>
  </si>
  <si>
    <t>KHI/HO/D/MO/PC COMP/C/97805/146/09/2024</t>
  </si>
  <si>
    <t>KHI/HO/D/MO/PC COMP/C/97805/268/09/2024</t>
  </si>
  <si>
    <t>KHI/HO/D/MO/PC COMP/C/97805/147/09/2024</t>
  </si>
  <si>
    <t>KHI/HO/D/MO/PC COMP/C/97805/270/09/2024</t>
  </si>
  <si>
    <t>KHI/HO/D/MO/PC COMP/C/97805/149/09/2024</t>
  </si>
  <si>
    <t>KHI/HO/D/MO/PC COMP/C/97805/153/09/2024</t>
  </si>
  <si>
    <t>KHI/HO/D/MO/PC COMP/C/97805/272/09/2024</t>
  </si>
  <si>
    <t>KHI/HO/D/MO/PC COMP/C/97805/157/09/2024</t>
  </si>
  <si>
    <t>KHI/HO/D/MO/PC COMP/C/97805/161/09/2024</t>
  </si>
  <si>
    <t>KHI/HO/D/MO/PC COMP/C/97805/163/09/2024</t>
  </si>
  <si>
    <t>KHI/HO/D/MO/PC COMP/C/97805/278/09/2024</t>
  </si>
  <si>
    <t>KHI/HO/D/MO/PC COMP/C/97805/279/09/2024</t>
  </si>
  <si>
    <t>KHI/HO/D/MO/PC COMP/C/97805/164/09/2024</t>
  </si>
  <si>
    <t>KHI/HO/D/MO/PC COMP/C/97805/165/09/2024</t>
  </si>
  <si>
    <t>KHI/HO/D/MO/PC COMP/C/97805/170/09/2024</t>
  </si>
  <si>
    <t>KHI/HO/D/MO/PC COMP/C/97805/171/09/2024</t>
  </si>
  <si>
    <t>KHI/HO/D/MO/PC COMP/C/97805/176/09/2024</t>
  </si>
  <si>
    <t>KHI/HO/D/MO/PC COMP/C/97805/286/09/2024</t>
  </si>
  <si>
    <t>KHI/HO/D/MO/PC COMP/C/97805/287/09/2024</t>
  </si>
  <si>
    <t>KHI/HO/D/MO/PC COMP/C/97805/288/09/2024</t>
  </si>
  <si>
    <t>KHI/HO/D/MO/PC COMP/C/97805/177/09/2024</t>
  </si>
  <si>
    <t>KHI/HO/D/MO/PC COMP/C/97805/178/09/2024</t>
  </si>
  <si>
    <t>KHI/HO/D/MO/PC COMP/C/97805/291/09/2024</t>
  </si>
  <si>
    <t>KHI/HO/D/MO/PC COMP/C/97805/180/09/2024</t>
  </si>
  <si>
    <t>KHI/HO/D/MO/PC COMP/C/97805/293/09/2024</t>
  </si>
  <si>
    <t>KHI/HO/D/MO/PC COMP/C/97805/182/09/2024</t>
  </si>
  <si>
    <t>KHI/HO/D/MO/PC COMP/C/97805/296/09/2024</t>
  </si>
  <si>
    <t>KHI/HO/D/MO/PC COMP/C/97805/298/09/2024</t>
  </si>
  <si>
    <t>KHI/HO/D/MO/PC COMP/C/97805/191/09/2024</t>
  </si>
  <si>
    <t>KHI/HO/D/MO/PC COMP/C/97805/299/09/2024</t>
  </si>
  <si>
    <t>KHI/HO/D/MO/PC COMP/C/97805/195/09/2024</t>
  </si>
  <si>
    <t>KHI/HO/D/MO/PC COMP/C/97805/196/09/2024</t>
  </si>
  <si>
    <t>KHI/HO/D/MO/PC COMP/C/97805/201/09/2024</t>
  </si>
  <si>
    <t>KHI/HO/D/MO/PC COMP/C/97805/202/09/2024</t>
  </si>
  <si>
    <t>KHI/HO/D/MO/PC COMP/C/97805/204/09/2024</t>
  </si>
  <si>
    <t>KHI/HO/D/MO/PC COMP/C/97805/205/09/2024</t>
  </si>
  <si>
    <t>KHI/HO/D/MO/PC COMP/C/97805/206/09/2024</t>
  </si>
  <si>
    <t>KHI/HO/D/MO/PC COMP/C/97805/312/09/2024</t>
  </si>
  <si>
    <t>KHI/HO/D/MO/PC COMP/C/97805/313/09/2024</t>
  </si>
  <si>
    <t>KHI/HO/D/MO/PC COMP/C/97805/207/09/2024</t>
  </si>
  <si>
    <t>KHI/HO/D/MO/PC COMP/C/97805/315/09/2024</t>
  </si>
  <si>
    <t>KHI/HO/D/MO/PC COMP/C/97805/208/09/2024</t>
  </si>
  <si>
    <t>KHI/HO/D/MO/PC COMP/C/97805/209/09/2024</t>
  </si>
  <si>
    <t>KHI/HO/D/MO/PC COMP/C/97805/211/09/2024</t>
  </si>
  <si>
    <t>KHI/HO/D/MO/PC COMP/C/97805/318/09/2024</t>
  </si>
  <si>
    <t>KHI/HO/D/MO/PC COMP/C/97805/319/09/2024</t>
  </si>
  <si>
    <t>KHI/HO/D/MO/PC COMP/C/97805/320/09/2024</t>
  </si>
  <si>
    <t>KHI/HO/D/MO/PC COMP/C/97805/321/09/2024</t>
  </si>
  <si>
    <t>KHI/HO/D/MO/PC COMP/C/97805/322/09/2024</t>
  </si>
  <si>
    <t>KHI/HO/D/MO/PC COMP/C/97805/214/09/2024</t>
  </si>
  <si>
    <t>KHI/HO/D/MO/PC COMP/C/97805/323/09/2024</t>
  </si>
  <si>
    <t>KHI/HO/D/MO/PC COMP/C/97805/215/09/2024</t>
  </si>
  <si>
    <t>KHI/HO/D/MO/PC COMP/C/97805/217/09/2024</t>
  </si>
  <si>
    <t>KHI/HO/D/MO/PC COMP/C/97805/218/09/2024</t>
  </si>
  <si>
    <t>KHI/HO/D/MO/PC COMP/C/97805/219/09/2024</t>
  </si>
  <si>
    <t>KHI/HO/D/MO/PC COMP/C/97805/221/09/2024</t>
  </si>
  <si>
    <t>KHI/HO/D/MO/PC COMP/C/97805/222/09/2024</t>
  </si>
  <si>
    <t>KHI/HO/D/MO/PC COMP/C/97805/223/09/2024</t>
  </si>
  <si>
    <t>KHI/HO/D/MO/PC COMP/C/97805/331/09/2024</t>
  </si>
  <si>
    <t>KHI/HO/D/MO/PC COMP/C/97805/224/09/2024</t>
  </si>
  <si>
    <t>KHI/HO/D/MO/PC COMP/C/97805/225/09/2024</t>
  </si>
  <si>
    <t>KHI/HO/D/MO/PC COMP/C/97805/227/09/2024</t>
  </si>
  <si>
    <t>KHI/HO/D/MO/PC COMP/C/97805/337/09/2024</t>
  </si>
  <si>
    <t>KHI/HO/D/MO/PC COMP/C/97805/230/09/2024</t>
  </si>
  <si>
    <t>KHI/HO/D/MO/PC COMP/C/97805/231/09/2024</t>
  </si>
  <si>
    <t>KHI/HO/D/MO/PC COMP/C/97805/336/09/2024</t>
  </si>
  <si>
    <t>KHI/HO/D/MO/PC COMP/C/97805/232/09/2024</t>
  </si>
  <si>
    <t>KHI/HO/D/MO/PC COMP/C/97805/237/09/2024</t>
  </si>
  <si>
    <t>KHI/HO/D/MO/PC COMP/C/97805/242/09/2024</t>
  </si>
  <si>
    <t>KHI/HO/D/MO/PC COMP/C/97805/335/09/2024</t>
  </si>
  <si>
    <t>KHI/HO/D/MO/PC COMP/C/97805/334/09/2024</t>
  </si>
  <si>
    <t>KHI/HO/D/MO/PC COMP/C/97805/333/09/2024</t>
  </si>
  <si>
    <t>KHI/HO/D/MO/PC COMP/C/97805/243/09/2024</t>
  </si>
  <si>
    <t>KHI/HO/D/MO/PC COMP/C/97805/332/09/2024</t>
  </si>
  <si>
    <t>KHI/HO/D/MO/PC COMP/C/97805/244/09/2024</t>
  </si>
  <si>
    <t>KHI/HO/D/MO/PC COMP/C/97805/330/09/2024</t>
  </si>
  <si>
    <t>KHI/HO/D/MO/PC COMP/C/97805/328/09/2024</t>
  </si>
  <si>
    <t>KHI/HO/D/MO/PC COMP/C/97805/248/09/2024</t>
  </si>
  <si>
    <t>KHI/HO/D/MO/PC COMP/C/97805/249/09/2024</t>
  </si>
  <si>
    <t>KHI/HO/D/MO/PC COMP/C/97805/250/09/2024</t>
  </si>
  <si>
    <t>KHI/HO/D/MO/PC COMP/C/97805/251/09/2024</t>
  </si>
  <si>
    <t>KHI/HO/D/MO/PC COMP/C/97805/252/09/2024</t>
  </si>
  <si>
    <t>KHI/HO/D/MO/PC COMP/C/97805/253/09/2024</t>
  </si>
  <si>
    <t>KHI/HO/D/MO/PC COMP/C/97805/255/09/2024</t>
  </si>
  <si>
    <t>KHI/HO/D/MO/PC COMP/C/97805/257/09/2024</t>
  </si>
  <si>
    <t>KHI/HO/D/MO/PC COMP/C/97805/262/09/2024</t>
  </si>
  <si>
    <t>KHI/HO/D/MO/PC COMP/C/97805/263/09/2024</t>
  </si>
  <si>
    <t>KHI/HO/D/MO/PC COMP/C/97805/327/09/2024</t>
  </si>
  <si>
    <t>KHI/HO/D/MO/PC COMP/C/97805/264/09/2024</t>
  </si>
  <si>
    <t>KHI/HO/D/MO/PC COMP/C/97805/267/09/2024</t>
  </si>
  <si>
    <t>KHI/HO/D/MO/PC COMP/C/97805/269/09/2024</t>
  </si>
  <si>
    <t>KHI/HO/D/MO/PC COMP/C/97805/326/09/2024</t>
  </si>
  <si>
    <t>KHI/HO/D/MO/PC COMP/C/97805/271/09/2024</t>
  </si>
  <si>
    <t>KHI/HO/D/MO/PC COMP/C/97805/273/09/2024</t>
  </si>
  <si>
    <t>KHI/HO/D/MO/PC COMP/C/97805/325/09/2024</t>
  </si>
  <si>
    <t>KHI/HO/D/MO/PC COMP/C/97805/274/09/2024</t>
  </si>
  <si>
    <t>KHI/HO/D/MO/PC COMP/C/97805/275/09/2024</t>
  </si>
  <si>
    <t>KHI/HO/D/MO/PC COMP/C/97805/276/09/2024</t>
  </si>
  <si>
    <t>KHI/HO/D/MO/PC COMP/C/97805/277/09/2024</t>
  </si>
  <si>
    <t>KHI/HO/D/MO/PC COMP/C/97805/280/09/2024</t>
  </si>
  <si>
    <t>KHI/HO/D/MO/PC COMP/C/97805/281/09/2024</t>
  </si>
  <si>
    <t>KHI/HO/D/MO/PC COMP/C/97805/284/09/2024</t>
  </si>
  <si>
    <t>KHI/HO/D/MO/PC COMP/C/97805/285/09/2024</t>
  </si>
  <si>
    <t>KHI/HO/D/MO/PC COMP/C/97805/289/09/2024</t>
  </si>
  <si>
    <t>KHI/HO/D/MO/PC COMP/C/97805/290/09/2024</t>
  </si>
  <si>
    <t>KHI/HO/D/MO/PC COMP/C/97805/317/09/2024</t>
  </si>
  <si>
    <t>KHI/HO/D/MO/PC COMP/C/97805/316/09/2024</t>
  </si>
  <si>
    <t>KHI/HO/D/MO/PC COMP/C/97805/294/09/2024</t>
  </si>
  <si>
    <t>KHI/HO/D/MO/PC COMP/C/97805/295/09/2024</t>
  </si>
  <si>
    <t>KHI/HO/D/MO/PC COMP/C/97805/297/09/2024</t>
  </si>
  <si>
    <t>KHI/HO/D/MO/PC COMP/C/97805/300/09/2024</t>
  </si>
  <si>
    <t>KHI/HO/D/MO/PC COMP/C/97805/301/09/2024</t>
  </si>
  <si>
    <t>KHI/HO/D/MO/PC COMP/C/97805/311/09/2024</t>
  </si>
  <si>
    <t>KHI/HO/D/MO/PC COMP/C/97805/310/09/2024</t>
  </si>
  <si>
    <t>KHI/HO/D/MO/PC COMP/C/97805/302/09/2024</t>
  </si>
  <si>
    <t>KHI/HO/D/MO/PC COMP/C/97805/303/09/2024</t>
  </si>
  <si>
    <t>KHI/HO/D/MO/PC COMP/C/97805/309/09/2024</t>
  </si>
  <si>
    <t>KHI/HO/D/MO/PC COMP/C/97805/308/09/2024</t>
  </si>
  <si>
    <t>KHI/HO/D/MO/PC COMP/C/97805/304/09/2024</t>
  </si>
  <si>
    <t>KHI/HO/D/MO/PC COMP/C/97805/305/09/2024</t>
  </si>
  <si>
    <t>KHI/HO/D/MO/PC COMP/C/97805/307/09/2024</t>
  </si>
  <si>
    <t>KHI/HO/D/MO/PC COMP/C/97805/306/09/2024</t>
  </si>
  <si>
    <t>KHI/HO/D/MO/PC COMP/C/97805/12/09/2024</t>
  </si>
  <si>
    <t>KHI/HO/D/MO/PC COMP/C/97805/16/09/2024</t>
  </si>
  <si>
    <t>KHI/HO/D/MO/PC COMP/C/97805/22/09/2024</t>
  </si>
  <si>
    <t>KHI/HO/D/MO/PC COMP/C/97805/166/09/2024</t>
  </si>
  <si>
    <t>KHI/HO/D/MO/PC COMP/C/97805/190/09/2024</t>
  </si>
  <si>
    <t>KHI/HO/D/MO/PC COMP/C/97805/111/09/2024</t>
  </si>
  <si>
    <t>KHI/HO/D/MO/PC COMP/C/97805/162/09/2024</t>
  </si>
  <si>
    <t>KHI/HO/D/MO/PC COMP/C/97805/282/09/2024</t>
  </si>
  <si>
    <t>KHI/HO/D/MO/PC COMP/C/97805/283/09/2024</t>
  </si>
  <si>
    <t>KHI/HO/D/MO/PC COMP/C/97805/203/09/2024</t>
  </si>
  <si>
    <t>KHI/HO/D/MO/PC COMP/C/97805/245/09/2024</t>
  </si>
  <si>
    <t>KHI/HO/D/MO/PC COMP/C/97805/246/09/2024</t>
  </si>
  <si>
    <t>KHI/HO/D/MO/PC COMP/C/97805/247/09/2024</t>
  </si>
  <si>
    <t>KHI/HO/D/MO/PC COMP/C/97805/324/09/2024</t>
  </si>
  <si>
    <t>End. Amount</t>
  </si>
  <si>
    <t>KHI/HO/D/MO/PC COMP/C/97805/168/09/2024</t>
  </si>
  <si>
    <t>KHI/HO/D/MO/PC COMP/C/97805/329/09/2024</t>
  </si>
  <si>
    <t>KHI/HO/D/MO/PC COMP/E/47950/00002/10/2024</t>
  </si>
  <si>
    <t>KHI/HO/D/MO/PC COMP/E/47950/00005/10/2024</t>
  </si>
  <si>
    <t>KHI/HO/D/MO/PC COMP/E/47950/00015/10/2024</t>
  </si>
  <si>
    <t>KHI/HO/D/MO/PC COMP/E/47950/00019/10/2024</t>
  </si>
  <si>
    <t>KHI/HO/D/MO/PC COMP/E/47950/00028/10/2024</t>
  </si>
  <si>
    <t>KHI/HO/D/MO/PC COMP/E/47950/00034/10/2024</t>
  </si>
  <si>
    <t>KHI/HO/D/MO/PC COMP/E/47950/00037/10/2024</t>
  </si>
  <si>
    <t>KHI/HO/D/MO/PC COMP/E/47950/00038/10/2024</t>
  </si>
  <si>
    <t>KHI/HO/D/MO/PC COMP/E/47950/00062/10/2024</t>
  </si>
  <si>
    <t>KHI/HO/D/MO/PC COMP/E/47950/00074/10/2024</t>
  </si>
  <si>
    <t>KHI/HO/D/MO/PC COMP/E/47950/00076/10/2024</t>
  </si>
  <si>
    <t>KHI/HO/D/MO/PC COMP/E/47950/00084/10/2024</t>
  </si>
  <si>
    <t>KHI/HO/D/MO/PC COMP/E/47950/00090/10/2024</t>
  </si>
  <si>
    <t>KHI/HO/D/MO/PC COMP/E/47950/00098/10/2024</t>
  </si>
  <si>
    <t>KHI/HO/D/MO/PC COMP/E/47950/00106/10/2024</t>
  </si>
  <si>
    <t>KHI/HO/D/MO/PC COMP/E/47950/00107/10/2024</t>
  </si>
  <si>
    <t>KHI/HO/D/MO/PC COMP/E/47950/00114/10/2024</t>
  </si>
  <si>
    <t>KHI/HO/D/MO/PC COMP/E/47950/00119/10/2024</t>
  </si>
  <si>
    <t>KHI/HO/D/MO/PC COMP/E/47950/00126/10/2024</t>
  </si>
  <si>
    <t>KHI/HO/D/MO/PC COMP/E/47950/00129/10/2024</t>
  </si>
  <si>
    <t>KHI/HO/D/MO/PC COMP/E/47950/00135/10/2024</t>
  </si>
  <si>
    <t>KHI/HO/D/MO/PC COMP/E/47950/00137/10/2024</t>
  </si>
  <si>
    <t>KHI/HO/D/MO/PC COMP/E/47950/00017/10/2024</t>
  </si>
  <si>
    <t>KHI/HO/D/MO/PC COMP/E/47950/00020/10/2024</t>
  </si>
  <si>
    <t>KHI/HO/D/MO/PC COMP/E/47950/00027/10/2024</t>
  </si>
  <si>
    <t>KHI/HO/D/MO/PC COMP/E/47950/00029/10/2024</t>
  </si>
  <si>
    <t>KHI/HO/D/MO/PC COMP/E/47950/00033/10/2024</t>
  </si>
  <si>
    <t>KHI/HO/D/MO/PC COMP/E/47950/00151/10/2024</t>
  </si>
  <si>
    <t>KHI/HO/D/MO/PC COMP/E/47950/00042/10/2024</t>
  </si>
  <si>
    <t>KHI/HO/D/MO/PC COMP/E/47950/00044/10/2024</t>
  </si>
  <si>
    <t>KHI/HO/D/MO/PC COMP/E/47950/00160/10/2024</t>
  </si>
  <si>
    <t>KHI/HO/D/MO/PC COMP/E/47950/00046/10/2024</t>
  </si>
  <si>
    <t>KHI/HO/D/MO/PC COMP/E/47950/00048/10/2024</t>
  </si>
  <si>
    <t>KHI/HO/D/MO/PC COMP/E/47950/00050/10/2024</t>
  </si>
  <si>
    <t>KHI/HO/D/MO/PC COMP/E/47950/00052/10/2024</t>
  </si>
  <si>
    <t>KHI/HO/D/MO/PC COMP/E/47950/00059/10/2024</t>
  </si>
  <si>
    <t>KHI/HO/D/MO/PC COMP/E/47950/00061/10/2024</t>
  </si>
  <si>
    <t>KHI/HO/D/MO/PC COMP/E/47950/00174/10/2024</t>
  </si>
  <si>
    <t>KHI/HO/D/MO/PC COMP/E/47950/00063/10/2024</t>
  </si>
  <si>
    <t>KHI/HO/D/MO/PC COMP/E/47950/00067/10/2024</t>
  </si>
  <si>
    <t>KHI/HO/D/MO/PC COMP/E/47950/00071/10/2024</t>
  </si>
  <si>
    <t>KHI/HO/D/MO/PC COMP/E/47950/00187/10/2024</t>
  </si>
  <si>
    <t>KHI/HO/D/MO/PC COMP/E/47950/00192/10/2024</t>
  </si>
  <si>
    <t>KHI/HO/D/MO/PC COMP/E/47950/00193/10/2024</t>
  </si>
  <si>
    <t>KHI/HO/D/MO/PC COMP/E/47950/00194/10/2024</t>
  </si>
  <si>
    <t>KHI/HO/D/MO/PC COMP/E/47950/00197/10/2024</t>
  </si>
  <si>
    <t>KHI/HO/D/MO/PC COMP/E/47950/00198/10/2024</t>
  </si>
  <si>
    <t>KHI/HO/D/MO/PC COMP/E/47950/00199/10/2024</t>
  </si>
  <si>
    <t>KHI/HO/D/MO/PC COMP/E/47950/00200/10/2024</t>
  </si>
  <si>
    <t>KHI/HO/D/MO/PC COMP/E/47950/00077/10/2024</t>
  </si>
  <si>
    <t>KHI/HO/D/MO/PC COMP/E/47950/00078/10/2024</t>
  </si>
  <si>
    <t>KHI/HO/D/MO/PC COMP/E/47950/00079/10/2024</t>
  </si>
  <si>
    <t>KHI/HO/D/MO/PC COMP/E/47950/00081/10/2024</t>
  </si>
  <si>
    <t>KHI/HO/D/MO/PC COMP/E/47950/00083/10/2024</t>
  </si>
  <si>
    <t>KHI/HO/D/MO/PC COMP/E/47950/00089/10/2024</t>
  </si>
  <si>
    <t>KHI/HO/D/MO/PC COMP/E/47950/00092/10/2024</t>
  </si>
  <si>
    <t>KHI/HO/D/MO/PC COMP/E/47950/00093/10/2024</t>
  </si>
  <si>
    <t>KHI/HO/D/MO/PC COMP/E/47950/00210/10/2024</t>
  </si>
  <si>
    <t>KHI/HO/D/MO/PC COMP/E/47950/00097/10/2024</t>
  </si>
  <si>
    <t>KHI/HO/D/MO/PC COMP/E/47950/00099/10/2024</t>
  </si>
  <si>
    <t>KHI/HO/D/MO/PC COMP/E/47950/00216/10/2024</t>
  </si>
  <si>
    <t>KHI/HO/D/MO/PC COMP/E/47950/00220/10/2024</t>
  </si>
  <si>
    <t>KHI/HO/D/MO/PC COMP/E/47950/00103/10/2024</t>
  </si>
  <si>
    <t>KHI/HO/D/MO/PC COMP/E/47950/00104/10/2024</t>
  </si>
  <si>
    <t>KHI/HO/D/MO/PC COMP/E/47950/00110/10/2024</t>
  </si>
  <si>
    <t>KHI/HO/D/MO/PC COMP/E/47950/00228/10/2024</t>
  </si>
  <si>
    <t>KHI/HO/D/MO/PC COMP/E/47950/00113/10/2024</t>
  </si>
  <si>
    <t>KHI/HO/D/MO/PC COMP/E/47950/00115/10/2024</t>
  </si>
  <si>
    <t>KHI/HO/D/MO/PC COMP/E/47950/00235/10/2024</t>
  </si>
  <si>
    <t>KHI/HO/D/MO/PC COMP/E/47950/00238/10/2024</t>
  </si>
  <si>
    <t>KHI/HO/D/MO/PC COMP/E/47950/00239/10/2024</t>
  </si>
  <si>
    <t>KHI/HO/D/MO/PC COMP/E/47950/00240/10/2024</t>
  </si>
  <si>
    <t>KHI/HO/D/MO/PC COMP/E/47950/00241/10/2024</t>
  </si>
  <si>
    <t>KHI/HO/D/MO/PC COMP/E/47950/00120/10/2024</t>
  </si>
  <si>
    <t>KHI/HO/D/MO/PC COMP/E/47950/00123/10/2024</t>
  </si>
  <si>
    <t>KHI/HO/D/MO/PC COMP/E/47950/00130/10/2024</t>
  </si>
  <si>
    <t>KHI/HO/D/MO/PC COMP/E/47950/00132/10/2024</t>
  </si>
  <si>
    <t>KHI/HO/D/MO/PC COMP/E/47950/00136/10/2024</t>
  </si>
  <si>
    <t>KHI/HO/D/MO/PC COMP/E/47950/00138/10/2024</t>
  </si>
  <si>
    <t>KHI/HO/D/MO/PC COMP/E/47950/00139/10/2024</t>
  </si>
  <si>
    <t>KHI/HO/D/MO/PC COMP/E/47950/00140/10/2024</t>
  </si>
  <si>
    <t>KHI/HO/D/MO/PC COMP/E/47950/00260/10/2024</t>
  </si>
  <si>
    <t>KHI/HO/D/MO/PC COMP/E/47950/00141/10/2024</t>
  </si>
  <si>
    <t>KHI/HO/D/MO/PC COMP/E/47950/00144/10/2024</t>
  </si>
  <si>
    <t>KHI/HO/D/MO/PC COMP/E/47950/00265/10/2024</t>
  </si>
  <si>
    <t>KHI/HO/D/MO/PC COMP/E/47950/00266/10/2024</t>
  </si>
  <si>
    <t>KHI/HO/D/MO/PC COMP/E/47950/00146/10/2024</t>
  </si>
  <si>
    <t>KHI/HO/D/MO/PC COMP/E/47950/00161/10/2024</t>
  </si>
  <si>
    <t>KHI/HO/D/MO/PC COMP/E/47950/00163/10/2024</t>
  </si>
  <si>
    <t>KHI/HO/D/MO/PC COMP/E/47950/00278/10/2024</t>
  </si>
  <si>
    <t>KHI/HO/D/MO/PC COMP/E/47950/00279/10/2024</t>
  </si>
  <si>
    <t>KHI/HO/D/MO/PC COMP/E/47950/00164/10/2024</t>
  </si>
  <si>
    <t>KHI/HO/D/MO/PC COMP/E/47950/00165/10/2024</t>
  </si>
  <si>
    <t>KHI/HO/D/MO/PC COMP/E/47950/00176/10/2024</t>
  </si>
  <si>
    <t>KHI/HO/D/MO/PC COMP/E/47950/00288/10/2024</t>
  </si>
  <si>
    <t>KHI/HO/D/MO/PC COMP/E/47950/00178/10/2024</t>
  </si>
  <si>
    <t>KHI/HO/D/MO/PC COMP/E/47950/00180/10/2024</t>
  </si>
  <si>
    <t>KHI/HO/D/MO/PC COMP/E/47950/00296/10/2024</t>
  </si>
  <si>
    <t>KHI/HO/D/MO/PC COMP/E/47950/00184/10/2024</t>
  </si>
  <si>
    <t>KHI/HO/D/MO/PC COMP/E/47950/00298/10/2024</t>
  </si>
  <si>
    <t>KHI/HO/D/MO/PC COMP/E/47950/00191/10/2024</t>
  </si>
  <si>
    <t>KHI/HO/D/MO/PC COMP/E/47950/00299/10/2024</t>
  </si>
  <si>
    <t>KHI/HO/D/MO/PC COMP/E/47950/00195/10/2024</t>
  </si>
  <si>
    <t>KHI/HO/D/MO/PC COMP/E/47950/00196/10/2024</t>
  </si>
  <si>
    <t>KHI/HO/D/MO/PC COMP/E/47950/00201/10/2024</t>
  </si>
  <si>
    <t>KHI/HO/D/MO/PC COMP/E/47950/00202/10/2024</t>
  </si>
  <si>
    <t>KHI/HO/D/MO/PC COMP/E/47950/00312/10/2024</t>
  </si>
  <si>
    <t>KHI/HO/D/MO/PC COMP/E/47950/00315/10/2024</t>
  </si>
  <si>
    <t>KHI/HO/D/MO/PC COMP/E/47950/00209/10/2024</t>
  </si>
  <si>
    <t>KHI/HO/D/MO/PC COMP/E/47950/00211/10/2024</t>
  </si>
  <si>
    <t>KHI/HO/D/MO/PC COMP/E/47950/00318/10/2024</t>
  </si>
  <si>
    <t>KHI/HO/D/MO/PC COMP/E/47950/00320/10/2024</t>
  </si>
  <si>
    <t>KHI/HO/D/MO/PC COMP/E/47950/00322/10/2024</t>
  </si>
  <si>
    <t>KHI/HO/D/MO/PC COMP/E/47950/00214/10/2024</t>
  </si>
  <si>
    <t>KHI/HO/D/MO/PC COMP/E/47950/00219/10/2024</t>
  </si>
  <si>
    <t>KHI/HO/D/MO/PC COMP/E/47950/00221/10/2024</t>
  </si>
  <si>
    <t>KHI/HO/D/MO/PC COMP/E/47950/00222/10/2024</t>
  </si>
  <si>
    <t>KHI/HO/D/MO/PC COMP/E/47950/00223/10/2024</t>
  </si>
  <si>
    <t>KHI/HO/D/MO/PC COMP/E/47950/00337/10/2024</t>
  </si>
  <si>
    <t>KHI/HO/D/MO/PC COMP/E/47950/00231/10/2024</t>
  </si>
  <si>
    <t>KHI/HO/D/MO/PC COMP/E/47950/00336/10/2024</t>
  </si>
  <si>
    <t>KHI/HO/D/MO/PC COMP/E/47950/00237/10/2024</t>
  </si>
  <si>
    <t>KHI/HO/D/MO/PC COMP/E/47950/00335/10/2024</t>
  </si>
  <si>
    <t>KHI/HO/D/MO/PC COMP/E/47950/00334/10/2024</t>
  </si>
  <si>
    <t>KHI/HO/D/MO/PC COMP/E/47950/00333/10/2024</t>
  </si>
  <si>
    <t>KHI/HO/D/MO/PC COMP/E/47950/00243/10/2024</t>
  </si>
  <si>
    <t>KHI/HO/D/MO/PC COMP/E/47950/00244/10/2024</t>
  </si>
  <si>
    <t>KHI/HO/D/MO/PC COMP/E/47950/00248/10/2024</t>
  </si>
  <si>
    <t>KHI/HO/D/MO/PC COMP/E/47950/00249/10/2024</t>
  </si>
  <si>
    <t>KHI/HO/D/MO/PC COMP/E/47950/00251/10/2024</t>
  </si>
  <si>
    <t>KHI/HO/D/MO/PC COMP/E/47950/00257/10/2024</t>
  </si>
  <si>
    <t>KHI/HO/D/MO/PC COMP/E/47950/00264/10/2024</t>
  </si>
  <si>
    <t>KHI/HO/D/MO/PC COMP/E/47950/00326/10/2024</t>
  </si>
  <si>
    <t>KHI/HO/D/MO/PC COMP/E/47950/00273/10/2024</t>
  </si>
  <si>
    <t>KHI/HO/D/MO/PC COMP/E/47950/00277/10/2024</t>
  </si>
  <si>
    <t>KHI/HO/D/MO/PC COMP/E/47950/00280/10/2024</t>
  </si>
  <si>
    <t>KHI/HO/D/MO/PC COMP/E/47950/00317/10/2024</t>
  </si>
  <si>
    <t>KHI/HO/D/MO/PC COMP/E/47950/00297/10/2024</t>
  </si>
  <si>
    <t>KHI/HO/D/MO/PC COMP/E/47950/00303/10/2024</t>
  </si>
  <si>
    <t>KHI/HO/D/MO/PC COMP/E/47950/00307/10/2024</t>
  </si>
  <si>
    <t>KHI/HO/D/MO/PC COMP/E/47950/00282/10/2024</t>
  </si>
  <si>
    <t>KHI/HO/D/MO/PC COMP/E/47950/00246/10/2024</t>
  </si>
  <si>
    <t>End. Difference</t>
  </si>
  <si>
    <t>KHI/HO/D/MO/PC COMP/C/95603/184/08/2024</t>
  </si>
  <si>
    <t>KHI/HO/D/MO/PC COMP/P/99821/000366/10/2024</t>
  </si>
  <si>
    <t>-</t>
  </si>
  <si>
    <t>KHI/HO/D/MO/PC COMP/E/47950/00109/10/2024</t>
  </si>
  <si>
    <t xml:space="preserve"> </t>
  </si>
  <si>
    <t>-09-2024</t>
  </si>
  <si>
    <t>-08-2024</t>
  </si>
  <si>
    <t>-10-2024</t>
  </si>
  <si>
    <t>00001</t>
  </si>
  <si>
    <t>00002</t>
  </si>
  <si>
    <t>00003</t>
  </si>
  <si>
    <t>00004</t>
  </si>
  <si>
    <t>00005</t>
  </si>
  <si>
    <t>00007</t>
  </si>
  <si>
    <t>00008</t>
  </si>
  <si>
    <t>00009</t>
  </si>
  <si>
    <t>00013</t>
  </si>
  <si>
    <t>00014</t>
  </si>
  <si>
    <t>00015</t>
  </si>
  <si>
    <t>00018</t>
  </si>
  <si>
    <t>00019</t>
  </si>
  <si>
    <t>00021</t>
  </si>
  <si>
    <t>00023</t>
  </si>
  <si>
    <t>00024</t>
  </si>
  <si>
    <t>00025</t>
  </si>
  <si>
    <t>00026</t>
  </si>
  <si>
    <t>00028</t>
  </si>
  <si>
    <t>00034</t>
  </si>
  <si>
    <t>00037</t>
  </si>
  <si>
    <t>00038</t>
  </si>
  <si>
    <t>00040</t>
  </si>
  <si>
    <t>00041</t>
  </si>
  <si>
    <t>00045</t>
  </si>
  <si>
    <t>00053</t>
  </si>
  <si>
    <t>00054</t>
  </si>
  <si>
    <t>00055</t>
  </si>
  <si>
    <t>00056</t>
  </si>
  <si>
    <t>00060</t>
  </si>
  <si>
    <t>00062</t>
  </si>
  <si>
    <t>00064</t>
  </si>
  <si>
    <t>00065</t>
  </si>
  <si>
    <t>00069</t>
  </si>
  <si>
    <t>00070</t>
  </si>
  <si>
    <t>00072</t>
  </si>
  <si>
    <t>00074</t>
  </si>
  <si>
    <t>00076</t>
  </si>
  <si>
    <t>00084</t>
  </si>
  <si>
    <t>00085</t>
  </si>
  <si>
    <t>00086</t>
  </si>
  <si>
    <t>00087</t>
  </si>
  <si>
    <t>00088</t>
  </si>
  <si>
    <t>00090</t>
  </si>
  <si>
    <t>00094</t>
  </si>
  <si>
    <t>00095</t>
  </si>
  <si>
    <t>00096</t>
  </si>
  <si>
    <t>00098</t>
  </si>
  <si>
    <t>00100</t>
  </si>
  <si>
    <t>00105</t>
  </si>
  <si>
    <t>00106</t>
  </si>
  <si>
    <t>00107</t>
  </si>
  <si>
    <t>00108</t>
  </si>
  <si>
    <t>00114</t>
  </si>
  <si>
    <t>00119</t>
  </si>
  <si>
    <t>00121</t>
  </si>
  <si>
    <t>00122</t>
  </si>
  <si>
    <t>00125</t>
  </si>
  <si>
    <t>00126</t>
  </si>
  <si>
    <t>00128</t>
  </si>
  <si>
    <t>00129</t>
  </si>
  <si>
    <t>00133</t>
  </si>
  <si>
    <t>00135</t>
  </si>
  <si>
    <t>00137</t>
  </si>
  <si>
    <t>00017</t>
  </si>
  <si>
    <t>00020</t>
  </si>
  <si>
    <t>00142</t>
  </si>
  <si>
    <t>00027</t>
  </si>
  <si>
    <t>00029</t>
  </si>
  <si>
    <t>00031</t>
  </si>
  <si>
    <t>00032</t>
  </si>
  <si>
    <t>00033</t>
  </si>
  <si>
    <t>00148</t>
  </si>
  <si>
    <t>00035</t>
  </si>
  <si>
    <t>00150</t>
  </si>
  <si>
    <t>00151</t>
  </si>
  <si>
    <t>00152</t>
  </si>
  <si>
    <t>00036</t>
  </si>
  <si>
    <t>00039</t>
  </si>
  <si>
    <t>00154</t>
  </si>
  <si>
    <t>00042</t>
  </si>
  <si>
    <t>00156</t>
  </si>
  <si>
    <t>00043</t>
  </si>
  <si>
    <t>00158</t>
  </si>
  <si>
    <t>00044</t>
  </si>
  <si>
    <t>00159</t>
  </si>
  <si>
    <t>00160</t>
  </si>
  <si>
    <t>00046</t>
  </si>
  <si>
    <t>00047</t>
  </si>
  <si>
    <t>00048</t>
  </si>
  <si>
    <t>00049</t>
  </si>
  <si>
    <t>00050</t>
  </si>
  <si>
    <t>00051</t>
  </si>
  <si>
    <t>00168</t>
  </si>
  <si>
    <t>00169</t>
  </si>
  <si>
    <t>00052</t>
  </si>
  <si>
    <t>00059</t>
  </si>
  <si>
    <t>00172</t>
  </si>
  <si>
    <t>00173</t>
  </si>
  <si>
    <t>00061</t>
  </si>
  <si>
    <t>00174</t>
  </si>
  <si>
    <t>00063</t>
  </si>
  <si>
    <t>00067</t>
  </si>
  <si>
    <t>00179</t>
  </si>
  <si>
    <t>00068</t>
  </si>
  <si>
    <t>00181</t>
  </si>
  <si>
    <t>00071</t>
  </si>
  <si>
    <t>00185</t>
  </si>
  <si>
    <t>00186</t>
  </si>
  <si>
    <t>00187</t>
  </si>
  <si>
    <t>00188</t>
  </si>
  <si>
    <t>00189</t>
  </si>
  <si>
    <t>00192</t>
  </si>
  <si>
    <t>00193</t>
  </si>
  <si>
    <t>00194</t>
  </si>
  <si>
    <t>00073</t>
  </si>
  <si>
    <t>00075</t>
  </si>
  <si>
    <t>00197</t>
  </si>
  <si>
    <t>00198</t>
  </si>
  <si>
    <t>00199</t>
  </si>
  <si>
    <t>00200</t>
  </si>
  <si>
    <t>00077</t>
  </si>
  <si>
    <t>00078</t>
  </si>
  <si>
    <t>00079</t>
  </si>
  <si>
    <t>00080</t>
  </si>
  <si>
    <t>00081</t>
  </si>
  <si>
    <t>00082</t>
  </si>
  <si>
    <t>00083</t>
  </si>
  <si>
    <t>00089</t>
  </si>
  <si>
    <t>00092</t>
  </si>
  <si>
    <t>00093</t>
  </si>
  <si>
    <t>00210</t>
  </si>
  <si>
    <t>00212</t>
  </si>
  <si>
    <t>00213</t>
  </si>
  <si>
    <t>00097</t>
  </si>
  <si>
    <t>00099</t>
  </si>
  <si>
    <t>00216</t>
  </si>
  <si>
    <t>00101</t>
  </si>
  <si>
    <t>00102</t>
  </si>
  <si>
    <t>00220</t>
  </si>
  <si>
    <t>00103</t>
  </si>
  <si>
    <t>00104</t>
  </si>
  <si>
    <t>00109</t>
  </si>
  <si>
    <t>00110</t>
  </si>
  <si>
    <t>00112</t>
  </si>
  <si>
    <t>00228</t>
  </si>
  <si>
    <t>00229</t>
  </si>
  <si>
    <t>00113</t>
  </si>
  <si>
    <t>00115</t>
  </si>
  <si>
    <t>00116</t>
  </si>
  <si>
    <t>00117</t>
  </si>
  <si>
    <t>00233</t>
  </si>
  <si>
    <t>00234</t>
  </si>
  <si>
    <t>00235</t>
  </si>
  <si>
    <t>00236</t>
  </si>
  <si>
    <t>00118</t>
  </si>
  <si>
    <t>00238</t>
  </si>
  <si>
    <t>00239</t>
  </si>
  <si>
    <t>00240</t>
  </si>
  <si>
    <t>00241</t>
  </si>
  <si>
    <t>00120</t>
  </si>
  <si>
    <t>00123</t>
  </si>
  <si>
    <t>00124</t>
  </si>
  <si>
    <t>00127</t>
  </si>
  <si>
    <t>00130</t>
  </si>
  <si>
    <t>00131</t>
  </si>
  <si>
    <t>00132</t>
  </si>
  <si>
    <t>00134</t>
  </si>
  <si>
    <t>00136</t>
  </si>
  <si>
    <t>00254</t>
  </si>
  <si>
    <t>00138</t>
  </si>
  <si>
    <t>00256</t>
  </si>
  <si>
    <t>00139</t>
  </si>
  <si>
    <t>00140</t>
  </si>
  <si>
    <t>00258</t>
  </si>
  <si>
    <t>00259</t>
  </si>
  <si>
    <t>00260</t>
  </si>
  <si>
    <t>00141</t>
  </si>
  <si>
    <t>00261</t>
  </si>
  <si>
    <t>00143</t>
  </si>
  <si>
    <t>00144</t>
  </si>
  <si>
    <t>00145</t>
  </si>
  <si>
    <t>00265</t>
  </si>
  <si>
    <t>00266</t>
  </si>
  <si>
    <t>00146</t>
  </si>
  <si>
    <t>00268</t>
  </si>
  <si>
    <t>00147</t>
  </si>
  <si>
    <t>00270</t>
  </si>
  <si>
    <t>00149</t>
  </si>
  <si>
    <t>00153</t>
  </si>
  <si>
    <t>00272</t>
  </si>
  <si>
    <t>00157</t>
  </si>
  <si>
    <t>00161</t>
  </si>
  <si>
    <t>00163</t>
  </si>
  <si>
    <t>00278</t>
  </si>
  <si>
    <t>00279</t>
  </si>
  <si>
    <t>00164</t>
  </si>
  <si>
    <t>00165</t>
  </si>
  <si>
    <t>00170</t>
  </si>
  <si>
    <t>00171</t>
  </si>
  <si>
    <t>00176</t>
  </si>
  <si>
    <t>00286</t>
  </si>
  <si>
    <t>00287</t>
  </si>
  <si>
    <t>00288</t>
  </si>
  <si>
    <t>00177</t>
  </si>
  <si>
    <t>00178</t>
  </si>
  <si>
    <t>00291</t>
  </si>
  <si>
    <t>00180</t>
  </si>
  <si>
    <t>00293</t>
  </si>
  <si>
    <t>00182</t>
  </si>
  <si>
    <t>00296</t>
  </si>
  <si>
    <t>00184</t>
  </si>
  <si>
    <t>00298</t>
  </si>
  <si>
    <t>00191</t>
  </si>
  <si>
    <t>00299</t>
  </si>
  <si>
    <t>00195</t>
  </si>
  <si>
    <t>00196</t>
  </si>
  <si>
    <t>00201</t>
  </si>
  <si>
    <t>00202</t>
  </si>
  <si>
    <t>00204</t>
  </si>
  <si>
    <t>00205</t>
  </si>
  <si>
    <t>00206</t>
  </si>
  <si>
    <t>00312</t>
  </si>
  <si>
    <t>00313</t>
  </si>
  <si>
    <t>00207</t>
  </si>
  <si>
    <t>00315</t>
  </si>
  <si>
    <t>00208</t>
  </si>
  <si>
    <t>00209</t>
  </si>
  <si>
    <t>00211</t>
  </si>
  <si>
    <t>00318</t>
  </si>
  <si>
    <t>00319</t>
  </si>
  <si>
    <t>00320</t>
  </si>
  <si>
    <t>00366</t>
  </si>
  <si>
    <t>00321</t>
  </si>
  <si>
    <t>00322</t>
  </si>
  <si>
    <t>00214</t>
  </si>
  <si>
    <t>00323</t>
  </si>
  <si>
    <t>00215</t>
  </si>
  <si>
    <t>00217</t>
  </si>
  <si>
    <t>00218</t>
  </si>
  <si>
    <t>00219</t>
  </si>
  <si>
    <t>00221</t>
  </si>
  <si>
    <t>00222</t>
  </si>
  <si>
    <t>00223</t>
  </si>
  <si>
    <t>00331</t>
  </si>
  <si>
    <t>00224</t>
  </si>
  <si>
    <t>00225</t>
  </si>
  <si>
    <t>00227</t>
  </si>
  <si>
    <t>00337</t>
  </si>
  <si>
    <t>00230</t>
  </si>
  <si>
    <t>00231</t>
  </si>
  <si>
    <t>00336</t>
  </si>
  <si>
    <t>00232</t>
  </si>
  <si>
    <t>00237</t>
  </si>
  <si>
    <t>00242</t>
  </si>
  <si>
    <t>00335</t>
  </si>
  <si>
    <t>00334</t>
  </si>
  <si>
    <t>00333</t>
  </si>
  <si>
    <t>00243</t>
  </si>
  <si>
    <t>00332</t>
  </si>
  <si>
    <t>00244</t>
  </si>
  <si>
    <t>00330</t>
  </si>
  <si>
    <t>00329</t>
  </si>
  <si>
    <t>00328</t>
  </si>
  <si>
    <t>00248</t>
  </si>
  <si>
    <t>00249</t>
  </si>
  <si>
    <t>00250</t>
  </si>
  <si>
    <t>00251</t>
  </si>
  <si>
    <t>00252</t>
  </si>
  <si>
    <t>00253</t>
  </si>
  <si>
    <t>00255</t>
  </si>
  <si>
    <t>00257</t>
  </si>
  <si>
    <t>00262</t>
  </si>
  <si>
    <t>00263</t>
  </si>
  <si>
    <t>00327</t>
  </si>
  <si>
    <t>00264</t>
  </si>
  <si>
    <t>00267</t>
  </si>
  <si>
    <t>00269</t>
  </si>
  <si>
    <t>00326</t>
  </si>
  <si>
    <t>00271</t>
  </si>
  <si>
    <t>00273</t>
  </si>
  <si>
    <t>00325</t>
  </si>
  <si>
    <t>00274</t>
  </si>
  <si>
    <t>00275</t>
  </si>
  <si>
    <t>00276</t>
  </si>
  <si>
    <t>00277</t>
  </si>
  <si>
    <t>00280</t>
  </si>
  <si>
    <t>00281</t>
  </si>
  <si>
    <t>00284</t>
  </si>
  <si>
    <t>00285</t>
  </si>
  <si>
    <t>00289</t>
  </si>
  <si>
    <t>00290</t>
  </si>
  <si>
    <t>00317</t>
  </si>
  <si>
    <t>00316</t>
  </si>
  <si>
    <t>00294</t>
  </si>
  <si>
    <t>00295</t>
  </si>
  <si>
    <t>00297</t>
  </si>
  <si>
    <t>00300</t>
  </si>
  <si>
    <t>00301</t>
  </si>
  <si>
    <t>00311</t>
  </si>
  <si>
    <t>00310</t>
  </si>
  <si>
    <t>00302</t>
  </si>
  <si>
    <t>00303</t>
  </si>
  <si>
    <t>00309</t>
  </si>
  <si>
    <t>00308</t>
  </si>
  <si>
    <t>00304</t>
  </si>
  <si>
    <t>00305</t>
  </si>
  <si>
    <t>00307</t>
  </si>
  <si>
    <t>00306</t>
  </si>
  <si>
    <t>00012</t>
  </si>
  <si>
    <t>00016</t>
  </si>
  <si>
    <t>00022</t>
  </si>
  <si>
    <t>00166</t>
  </si>
  <si>
    <t>00190</t>
  </si>
  <si>
    <t>00111</t>
  </si>
  <si>
    <t>00162</t>
  </si>
  <si>
    <t>00282</t>
  </si>
  <si>
    <t>00283</t>
  </si>
  <si>
    <t>00203</t>
  </si>
  <si>
    <t>00245</t>
  </si>
  <si>
    <t>00246</t>
  </si>
  <si>
    <t>00247</t>
  </si>
  <si>
    <t>00324</t>
  </si>
  <si>
    <t xml:space="preserve">   </t>
  </si>
  <si>
    <t>FUNC_ASSORTED_STRING(IA.ASSORTED_CODE)</t>
  </si>
  <si>
    <t>ASSORTED_CODE</t>
  </si>
  <si>
    <t>070000164431</t>
  </si>
  <si>
    <t>KHI/HO/D/MO/PC COMP/C/99821/366/10/2024</t>
  </si>
  <si>
    <t>070000169330</t>
  </si>
  <si>
    <t>070000165777</t>
  </si>
  <si>
    <t>070000165778</t>
  </si>
  <si>
    <t>070000165779</t>
  </si>
  <si>
    <t>070000165780</t>
  </si>
  <si>
    <t>070000165782</t>
  </si>
  <si>
    <t>070000165783</t>
  </si>
  <si>
    <t>070000165784</t>
  </si>
  <si>
    <t>070000165795</t>
  </si>
  <si>
    <t>070000165799</t>
  </si>
  <si>
    <t>070000165802</t>
  </si>
  <si>
    <t>070000165806</t>
  </si>
  <si>
    <t>070000165809</t>
  </si>
  <si>
    <t>070000165813</t>
  </si>
  <si>
    <t>070000165822</t>
  </si>
  <si>
    <t>070000165826</t>
  </si>
  <si>
    <t>070000165829</t>
  </si>
  <si>
    <t>070000165836</t>
  </si>
  <si>
    <t>070000165840</t>
  </si>
  <si>
    <t>070000165849</t>
  </si>
  <si>
    <t>070000165853</t>
  </si>
  <si>
    <t>070000165856</t>
  </si>
  <si>
    <t>070000165860</t>
  </si>
  <si>
    <t>070000165863</t>
  </si>
  <si>
    <t>070000165787</t>
  </si>
  <si>
    <t>070000165788</t>
  </si>
  <si>
    <t>070000165789</t>
  </si>
  <si>
    <t>070000165790</t>
  </si>
  <si>
    <t>070000165791</t>
  </si>
  <si>
    <t>070000165792</t>
  </si>
  <si>
    <t>070000165793</t>
  </si>
  <si>
    <t>070000165794</t>
  </si>
  <si>
    <t>070000165796</t>
  </si>
  <si>
    <t>070000165797</t>
  </si>
  <si>
    <t>070000165798</t>
  </si>
  <si>
    <t>070000165800</t>
  </si>
  <si>
    <t>070000165801</t>
  </si>
  <si>
    <t>070000165803</t>
  </si>
  <si>
    <t>070000165804</t>
  </si>
  <si>
    <t>070000165807</t>
  </si>
  <si>
    <t>070000165808</t>
  </si>
  <si>
    <t>070000165810</t>
  </si>
  <si>
    <t>070000165811</t>
  </si>
  <si>
    <t>070000165812</t>
  </si>
  <si>
    <t>070000165867</t>
  </si>
  <si>
    <t>070000165876</t>
  </si>
  <si>
    <t>070000165880</t>
  </si>
  <si>
    <t>070000165883</t>
  </si>
  <si>
    <t>070000165887</t>
  </si>
  <si>
    <t>070000165890</t>
  </si>
  <si>
    <t>070000165894</t>
  </si>
  <si>
    <t>070000165903</t>
  </si>
  <si>
    <t>070000165907</t>
  </si>
  <si>
    <t>070000165910</t>
  </si>
  <si>
    <t>070000165914</t>
  </si>
  <si>
    <t>070000165917</t>
  </si>
  <si>
    <t>070000165921</t>
  </si>
  <si>
    <t>070000165934</t>
  </si>
  <si>
    <t>070000165937</t>
  </si>
  <si>
    <t>070000165941</t>
  </si>
  <si>
    <t>070000165944</t>
  </si>
  <si>
    <t>070000165814</t>
  </si>
  <si>
    <t>070000165815</t>
  </si>
  <si>
    <t>070000165816</t>
  </si>
  <si>
    <t>070000165817</t>
  </si>
  <si>
    <t>070000165818</t>
  </si>
  <si>
    <t>070000165819</t>
  </si>
  <si>
    <t>070000165820</t>
  </si>
  <si>
    <t>070000165821</t>
  </si>
  <si>
    <t>070000165823</t>
  </si>
  <si>
    <t>070000165824</t>
  </si>
  <si>
    <t>070000165825</t>
  </si>
  <si>
    <t>070000165827</t>
  </si>
  <si>
    <t>070000165828</t>
  </si>
  <si>
    <t>070000165830</t>
  </si>
  <si>
    <t>070000165831</t>
  </si>
  <si>
    <t>070000165834</t>
  </si>
  <si>
    <t>070000165835</t>
  </si>
  <si>
    <t>070000165837</t>
  </si>
  <si>
    <t>070000165838</t>
  </si>
  <si>
    <t>070000165839</t>
  </si>
  <si>
    <t>070000165948</t>
  </si>
  <si>
    <t>070000165957</t>
  </si>
  <si>
    <t>070000165961</t>
  </si>
  <si>
    <t>070000165964</t>
  </si>
  <si>
    <t>070000165968</t>
  </si>
  <si>
    <t>070000165971</t>
  </si>
  <si>
    <t>070000165975</t>
  </si>
  <si>
    <t>070000165984</t>
  </si>
  <si>
    <t>070000165988</t>
  </si>
  <si>
    <t>070000165991</t>
  </si>
  <si>
    <t>070000165995</t>
  </si>
  <si>
    <t>070000165998</t>
  </si>
  <si>
    <t>070000166002</t>
  </si>
  <si>
    <t>070000166011</t>
  </si>
  <si>
    <t>070000166015</t>
  </si>
  <si>
    <t>070000166018</t>
  </si>
  <si>
    <t>070000166022</t>
  </si>
  <si>
    <t>070000166025</t>
  </si>
  <si>
    <t>070000165842</t>
  </si>
  <si>
    <t>070000165843</t>
  </si>
  <si>
    <t>070000165844</t>
  </si>
  <si>
    <t>070000165845</t>
  </si>
  <si>
    <t>070000165846</t>
  </si>
  <si>
    <t>070000165847</t>
  </si>
  <si>
    <t>070000165848</t>
  </si>
  <si>
    <t>070000165850</t>
  </si>
  <si>
    <t>070000165851</t>
  </si>
  <si>
    <t>070000165852</t>
  </si>
  <si>
    <t>070000165854</t>
  </si>
  <si>
    <t>070000165855</t>
  </si>
  <si>
    <t>070000165857</t>
  </si>
  <si>
    <t>070000165858</t>
  </si>
  <si>
    <t>070000165859</t>
  </si>
  <si>
    <t>070000165861</t>
  </si>
  <si>
    <t>070000165862</t>
  </si>
  <si>
    <t>070000165864</t>
  </si>
  <si>
    <t>070000165865</t>
  </si>
  <si>
    <t>070000166029</t>
  </si>
  <si>
    <t>070000166038</t>
  </si>
  <si>
    <t>070000166042</t>
  </si>
  <si>
    <t>070000166045</t>
  </si>
  <si>
    <t>070000166049</t>
  </si>
  <si>
    <t>070000166052</t>
  </si>
  <si>
    <t>070000166056</t>
  </si>
  <si>
    <t>070000166065</t>
  </si>
  <si>
    <t>070000166069</t>
  </si>
  <si>
    <t>070000166072</t>
  </si>
  <si>
    <t>070000166076</t>
  </si>
  <si>
    <t>070000166079</t>
  </si>
  <si>
    <t>070000166083</t>
  </si>
  <si>
    <t>070000166092</t>
  </si>
  <si>
    <t>070000166096</t>
  </si>
  <si>
    <t>070000166099</t>
  </si>
  <si>
    <t>070000165868</t>
  </si>
  <si>
    <t>070000165869</t>
  </si>
  <si>
    <t>070000165870</t>
  </si>
  <si>
    <t>070000165871</t>
  </si>
  <si>
    <t>070000165872</t>
  </si>
  <si>
    <t>070000165873</t>
  </si>
  <si>
    <t>070000165874</t>
  </si>
  <si>
    <t>070000165875</t>
  </si>
  <si>
    <t>070000165877</t>
  </si>
  <si>
    <t>070000165878</t>
  </si>
  <si>
    <t>070000165879</t>
  </si>
  <si>
    <t>070000165881</t>
  </si>
  <si>
    <t>070000165882</t>
  </si>
  <si>
    <t>070000165884</t>
  </si>
  <si>
    <t>070000165885</t>
  </si>
  <si>
    <t>070000165886</t>
  </si>
  <si>
    <t>070000165888</t>
  </si>
  <si>
    <t>070000165889</t>
  </si>
  <si>
    <t>070000165891</t>
  </si>
  <si>
    <t>070000165892</t>
  </si>
  <si>
    <t>070000165893</t>
  </si>
  <si>
    <t>070000166103</t>
  </si>
  <si>
    <t>070000166106</t>
  </si>
  <si>
    <t>070000166110</t>
  </si>
  <si>
    <t>070000165895</t>
  </si>
  <si>
    <t>070000165896</t>
  </si>
  <si>
    <t>070000165897</t>
  </si>
  <si>
    <t>070000165898</t>
  </si>
  <si>
    <t>070000165899</t>
  </si>
  <si>
    <t>070000165900</t>
  </si>
  <si>
    <t>070000165901</t>
  </si>
  <si>
    <t>070000165902</t>
  </si>
  <si>
    <t>070000165904</t>
  </si>
  <si>
    <t>070000165905</t>
  </si>
  <si>
    <t>070000165906</t>
  </si>
  <si>
    <t>070000165908</t>
  </si>
  <si>
    <t>070000165909</t>
  </si>
  <si>
    <t>070000165911</t>
  </si>
  <si>
    <t>070000165912</t>
  </si>
  <si>
    <t>070000165913</t>
  </si>
  <si>
    <t>070000165915</t>
  </si>
  <si>
    <t>070000165916</t>
  </si>
  <si>
    <t>070000165918</t>
  </si>
  <si>
    <t>070000165919</t>
  </si>
  <si>
    <t>070000165920</t>
  </si>
  <si>
    <t>070000165922</t>
  </si>
  <si>
    <t>070000165923</t>
  </si>
  <si>
    <t>070000165924</t>
  </si>
  <si>
    <t>070000165925</t>
  </si>
  <si>
    <t>070000165926</t>
  </si>
  <si>
    <t>070000165927</t>
  </si>
  <si>
    <t>070000165928</t>
  </si>
  <si>
    <t>070000165929</t>
  </si>
  <si>
    <t>070000165931</t>
  </si>
  <si>
    <t>070000165932</t>
  </si>
  <si>
    <t>070000165933</t>
  </si>
  <si>
    <t>070000165935</t>
  </si>
  <si>
    <t>070000165936</t>
  </si>
  <si>
    <t>070000165938</t>
  </si>
  <si>
    <t>070000165939</t>
  </si>
  <si>
    <t>070000165940</t>
  </si>
  <si>
    <t>070000165943</t>
  </si>
  <si>
    <t>070000165945</t>
  </si>
  <si>
    <t>070000165946</t>
  </si>
  <si>
    <t>070000165947</t>
  </si>
  <si>
    <t>070000165949</t>
  </si>
  <si>
    <t>070000165951</t>
  </si>
  <si>
    <t>070000165952</t>
  </si>
  <si>
    <t>070000165953</t>
  </si>
  <si>
    <t>070000165954</t>
  </si>
  <si>
    <t>070000165955</t>
  </si>
  <si>
    <t>070000165956</t>
  </si>
  <si>
    <t>070000165960</t>
  </si>
  <si>
    <t>070000165962</t>
  </si>
  <si>
    <t>070000165963</t>
  </si>
  <si>
    <t>070000165965</t>
  </si>
  <si>
    <t>070000165966</t>
  </si>
  <si>
    <t>070000165967</t>
  </si>
  <si>
    <t>070000165969</t>
  </si>
  <si>
    <t>070000165970</t>
  </si>
  <si>
    <t>070000165972</t>
  </si>
  <si>
    <t>070000165973</t>
  </si>
  <si>
    <t>070000165974</t>
  </si>
  <si>
    <t>070000165976</t>
  </si>
  <si>
    <t>070000165977</t>
  </si>
  <si>
    <t>070000165978</t>
  </si>
  <si>
    <t>070000165979</t>
  </si>
  <si>
    <t>070000165980</t>
  </si>
  <si>
    <t>070000165981</t>
  </si>
  <si>
    <t>070000165982</t>
  </si>
  <si>
    <t>070000165983</t>
  </si>
  <si>
    <t>070000165985</t>
  </si>
  <si>
    <t>070000165986</t>
  </si>
  <si>
    <t>070000165987</t>
  </si>
  <si>
    <t>070000165989</t>
  </si>
  <si>
    <t>070000165990</t>
  </si>
  <si>
    <t>070000165992</t>
  </si>
  <si>
    <t>070000165993</t>
  </si>
  <si>
    <t>070000165994</t>
  </si>
  <si>
    <t>070000165996</t>
  </si>
  <si>
    <t>070000165997</t>
  </si>
  <si>
    <t>070000165999</t>
  </si>
  <si>
    <t>070000166000</t>
  </si>
  <si>
    <t>070000166003</t>
  </si>
  <si>
    <t>070000166004</t>
  </si>
  <si>
    <t>070000166005</t>
  </si>
  <si>
    <t>070000166006</t>
  </si>
  <si>
    <t>070000166007</t>
  </si>
  <si>
    <t>070000166008</t>
  </si>
  <si>
    <t>070000166009</t>
  </si>
  <si>
    <t>070000166010</t>
  </si>
  <si>
    <t>070000166012</t>
  </si>
  <si>
    <t>070000166013</t>
  </si>
  <si>
    <t>070000166014</t>
  </si>
  <si>
    <t>070000166016</t>
  </si>
  <si>
    <t>070000166017</t>
  </si>
  <si>
    <t>070000166019</t>
  </si>
  <si>
    <t>070000166020</t>
  </si>
  <si>
    <t>070000166021</t>
  </si>
  <si>
    <t>070000166023</t>
  </si>
  <si>
    <t>070000166024</t>
  </si>
  <si>
    <t>070000166026</t>
  </si>
  <si>
    <t>070000166027</t>
  </si>
  <si>
    <t>070000166028</t>
  </si>
  <si>
    <t>070000166030</t>
  </si>
  <si>
    <t>070000166031</t>
  </si>
  <si>
    <t>070000166032</t>
  </si>
  <si>
    <t>070000166033</t>
  </si>
  <si>
    <t>070000166034</t>
  </si>
  <si>
    <t>070000166035</t>
  </si>
  <si>
    <t>070000166036</t>
  </si>
  <si>
    <t>070000166037</t>
  </si>
  <si>
    <t>070000166039</t>
  </si>
  <si>
    <t>070000166040</t>
  </si>
  <si>
    <t>070000166041</t>
  </si>
  <si>
    <t>070000166043</t>
  </si>
  <si>
    <t>070000166044</t>
  </si>
  <si>
    <t>070000166046</t>
  </si>
  <si>
    <t>070000166047</t>
  </si>
  <si>
    <t>070000166048</t>
  </si>
  <si>
    <t>070000166050</t>
  </si>
  <si>
    <t>070000166051</t>
  </si>
  <si>
    <t>070000166053</t>
  </si>
  <si>
    <t>070000166054</t>
  </si>
  <si>
    <t>070000166055</t>
  </si>
  <si>
    <t>070000166057</t>
  </si>
  <si>
    <t>070000166058</t>
  </si>
  <si>
    <t>070000166059</t>
  </si>
  <si>
    <t>070000166060</t>
  </si>
  <si>
    <t>070000166061</t>
  </si>
  <si>
    <t>070000166062</t>
  </si>
  <si>
    <t>070000166063</t>
  </si>
  <si>
    <t>070000166064</t>
  </si>
  <si>
    <t>070000166066</t>
  </si>
  <si>
    <t>070000166068</t>
  </si>
  <si>
    <t>070000166070</t>
  </si>
  <si>
    <t>070000166071</t>
  </si>
  <si>
    <t>070000166073</t>
  </si>
  <si>
    <t>070000166074</t>
  </si>
  <si>
    <t>070000166075</t>
  </si>
  <si>
    <t>070000166077</t>
  </si>
  <si>
    <t>070000166078</t>
  </si>
  <si>
    <t>070000166080</t>
  </si>
  <si>
    <t>070000166081</t>
  </si>
  <si>
    <t>070000166082</t>
  </si>
  <si>
    <t>070000166084</t>
  </si>
  <si>
    <t>070000166085</t>
  </si>
  <si>
    <t>070000166086</t>
  </si>
  <si>
    <t>070000166087</t>
  </si>
  <si>
    <t>070000166088</t>
  </si>
  <si>
    <t>070000166090</t>
  </si>
  <si>
    <t>070000166091</t>
  </si>
  <si>
    <t>070000166093</t>
  </si>
  <si>
    <t>070000166094</t>
  </si>
  <si>
    <t>070000166095</t>
  </si>
  <si>
    <t>070000166097</t>
  </si>
  <si>
    <t>070000166098</t>
  </si>
  <si>
    <t>070000166100</t>
  </si>
  <si>
    <t>070000166101</t>
  </si>
  <si>
    <t>070000166102</t>
  </si>
  <si>
    <t>070000166104</t>
  </si>
  <si>
    <t>070000166105</t>
  </si>
  <si>
    <t>070000166107</t>
  </si>
  <si>
    <t>070000166108</t>
  </si>
  <si>
    <t>070000166109</t>
  </si>
  <si>
    <t>070000165775</t>
  </si>
  <si>
    <t>070000166111</t>
  </si>
  <si>
    <t>070000166112</t>
  </si>
  <si>
    <t>POLICY NO.</t>
  </si>
  <si>
    <t>Assorted_code</t>
  </si>
  <si>
    <t>050000812273</t>
  </si>
  <si>
    <t>050000812277</t>
  </si>
  <si>
    <t>050000812280</t>
  </si>
  <si>
    <t>050000812282</t>
  </si>
  <si>
    <t>050000812283</t>
  </si>
  <si>
    <t>050000812284</t>
  </si>
  <si>
    <t>050000812285</t>
  </si>
  <si>
    <t>050000812287</t>
  </si>
  <si>
    <t>050000812289</t>
  </si>
  <si>
    <t>050000812290</t>
  </si>
  <si>
    <t>050000812295</t>
  </si>
  <si>
    <t>050000812296</t>
  </si>
  <si>
    <t>050000812434</t>
  </si>
  <si>
    <t>050000812437</t>
  </si>
  <si>
    <t>050000812441</t>
  </si>
  <si>
    <t>050000812443</t>
  </si>
  <si>
    <t>050000812444</t>
  </si>
  <si>
    <t>050000812445</t>
  </si>
  <si>
    <t>050000812446</t>
  </si>
  <si>
    <t>050000812447</t>
  </si>
  <si>
    <t>050000812449</t>
  </si>
  <si>
    <t>050000812450</t>
  </si>
  <si>
    <t>050000812452</t>
  </si>
  <si>
    <t>050000812454</t>
  </si>
  <si>
    <t>050000812298</t>
  </si>
  <si>
    <t>050000812299</t>
  </si>
  <si>
    <t>050000812303</t>
  </si>
  <si>
    <t>050000812304</t>
  </si>
  <si>
    <t>050000812305</t>
  </si>
  <si>
    <t>050000812309</t>
  </si>
  <si>
    <t>050000812310</t>
  </si>
  <si>
    <t>050000812312</t>
  </si>
  <si>
    <t>050000812313</t>
  </si>
  <si>
    <t>050000812315</t>
  </si>
  <si>
    <t>050000812316</t>
  </si>
  <si>
    <t>050000812319</t>
  </si>
  <si>
    <t>050000812320</t>
  </si>
  <si>
    <t>050000812321</t>
  </si>
  <si>
    <t>050000812455</t>
  </si>
  <si>
    <t>050000812457</t>
  </si>
  <si>
    <t>050000812463</t>
  </si>
  <si>
    <t>050000812466</t>
  </si>
  <si>
    <t>050000812470</t>
  </si>
  <si>
    <t>050000812471</t>
  </si>
  <si>
    <t>050000812472</t>
  </si>
  <si>
    <t>050000812479</t>
  </si>
  <si>
    <t>050000812483</t>
  </si>
  <si>
    <t>050000812484</t>
  </si>
  <si>
    <t>050000812485</t>
  </si>
  <si>
    <t>050000812486</t>
  </si>
  <si>
    <t>050000812488</t>
  </si>
  <si>
    <t>050000812494</t>
  </si>
  <si>
    <t>050000812502</t>
  </si>
  <si>
    <t>050000812503</t>
  </si>
  <si>
    <t>050000812325</t>
  </si>
  <si>
    <t>050000812326</t>
  </si>
  <si>
    <t>050000812329</t>
  </si>
  <si>
    <t>050000812332</t>
  </si>
  <si>
    <t>050000812335</t>
  </si>
  <si>
    <t>050000812336</t>
  </si>
  <si>
    <t>050000812338</t>
  </si>
  <si>
    <t>050000812341</t>
  </si>
  <si>
    <t>050000812342</t>
  </si>
  <si>
    <t>050000812343</t>
  </si>
  <si>
    <t>050000812344</t>
  </si>
  <si>
    <t>050000812345</t>
  </si>
  <si>
    <t>050000812346</t>
  </si>
  <si>
    <t>050000812347</t>
  </si>
  <si>
    <t>050000812504</t>
  </si>
  <si>
    <t>050000812505</t>
  </si>
  <si>
    <t>050000812509</t>
  </si>
  <si>
    <t>050000812513</t>
  </si>
  <si>
    <t>050000812518</t>
  </si>
  <si>
    <t>050000812521</t>
  </si>
  <si>
    <t>050000812523</t>
  </si>
  <si>
    <t>050000812524</t>
  </si>
  <si>
    <t>050000812526</t>
  </si>
  <si>
    <t>050000812528</t>
  </si>
  <si>
    <t>050000812532</t>
  </si>
  <si>
    <t>050000812539</t>
  </si>
  <si>
    <t>050000812540</t>
  </si>
  <si>
    <t>050000812541</t>
  </si>
  <si>
    <t>050000812543</t>
  </si>
  <si>
    <t>050000812544</t>
  </si>
  <si>
    <t>050000812350</t>
  </si>
  <si>
    <t>050000812352</t>
  </si>
  <si>
    <t>050000812357</t>
  </si>
  <si>
    <t>050000812366</t>
  </si>
  <si>
    <t>050000812367</t>
  </si>
  <si>
    <t>050000812369</t>
  </si>
  <si>
    <t>050000812370</t>
  </si>
  <si>
    <t>050000812371</t>
  </si>
  <si>
    <t>050000812380</t>
  </si>
  <si>
    <t>050000812382</t>
  </si>
  <si>
    <t>050000812208</t>
  </si>
  <si>
    <t>050000812211</t>
  </si>
  <si>
    <t>050000812221</t>
  </si>
  <si>
    <t>050000812223</t>
  </si>
  <si>
    <t>050000812225</t>
  </si>
  <si>
    <t>050000812252</t>
  </si>
  <si>
    <t>050000812254</t>
  </si>
  <si>
    <t>050000812384</t>
  </si>
  <si>
    <t>050000812386</t>
  </si>
  <si>
    <t>050000812390</t>
  </si>
  <si>
    <t>050000812393</t>
  </si>
  <si>
    <t>050000812397</t>
  </si>
  <si>
    <t>050000812398</t>
  </si>
  <si>
    <t>050000812399</t>
  </si>
  <si>
    <t>050000812400</t>
  </si>
  <si>
    <t>050000812401</t>
  </si>
  <si>
    <t>050000812402</t>
  </si>
  <si>
    <t>050000812403</t>
  </si>
  <si>
    <t>050000812404</t>
  </si>
  <si>
    <t>050000812405</t>
  </si>
  <si>
    <t>050000812406</t>
  </si>
  <si>
    <t>050000812407</t>
  </si>
  <si>
    <t>050000812226</t>
  </si>
  <si>
    <t>050000812233</t>
  </si>
  <si>
    <t>050000812234</t>
  </si>
  <si>
    <t>050000812235</t>
  </si>
  <si>
    <t>050000812239</t>
  </si>
  <si>
    <t>050000812240</t>
  </si>
  <si>
    <t>050000812243</t>
  </si>
  <si>
    <t>050000812244</t>
  </si>
  <si>
    <t>050000812248</t>
  </si>
  <si>
    <t>050000812250</t>
  </si>
  <si>
    <t>050000812256</t>
  </si>
  <si>
    <t>050000812258</t>
  </si>
  <si>
    <t>050000812265</t>
  </si>
  <si>
    <t>050000812267</t>
  </si>
  <si>
    <t>050000812268</t>
  </si>
  <si>
    <t>050000812269</t>
  </si>
  <si>
    <t>050000812408</t>
  </si>
  <si>
    <t>050000812415</t>
  </si>
  <si>
    <t>050000812416</t>
  </si>
  <si>
    <t>050000812417</t>
  </si>
  <si>
    <t>050000812420</t>
  </si>
  <si>
    <t>050000812422</t>
  </si>
  <si>
    <t>050000812425</t>
  </si>
  <si>
    <t>050000812426</t>
  </si>
  <si>
    <t>050000812427</t>
  </si>
  <si>
    <t>050000812428</t>
  </si>
  <si>
    <t>050000812429</t>
  </si>
  <si>
    <t>29Oct240041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</si>
</sst>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);\(#,##0\)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"/>
      <family val="2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3" borderId="1" xfId="0" applyFont="1" applyFill="1" applyBorder="1"/>
    <xf numFmtId="0" fontId="2" fillId="3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1" xfId="0" applyBorder="1"/>
    <xf numFmtId="0" fontId="0" fillId="0" borderId="2" xfId="0" applyBorder="1"/>
    <xf numFmtId="164" fontId="0" fillId="0" borderId="0" xfId="1" applyNumberFormat="1" applyFont="1"/>
    <xf numFmtId="164" fontId="0" fillId="4" borderId="2" xfId="1" applyNumberFormat="1" applyFont="1" applyFill="1" applyBorder="1"/>
    <xf numFmtId="164" fontId="0" fillId="0" borderId="2" xfId="1" applyNumberFormat="1" applyFont="1" applyBorder="1"/>
    <xf numFmtId="14" fontId="0" fillId="0" borderId="2" xfId="0" applyNumberFormat="1" applyBorder="1"/>
    <xf numFmtId="14" fontId="0" fillId="4" borderId="2" xfId="0" applyNumberFormat="1" applyFill="1" applyBorder="1"/>
    <xf numFmtId="0" fontId="2" fillId="3" borderId="4" xfId="0" applyFont="1" applyFill="1" applyBorder="1"/>
    <xf numFmtId="164" fontId="3" fillId="2" borderId="3" xfId="1" applyNumberFormat="1" applyFont="1" applyFill="1" applyBorder="1"/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0" fillId="0" borderId="0" xfId="0" applyAlignment="1">
      <alignment vertical="top"/>
    </xf>
    <xf numFmtId="166" fontId="7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5" fillId="2" borderId="3" xfId="0" applyFont="1" applyFill="1" applyBorder="1" applyAlignment="1">
      <alignment horizontal="center" vertical="center"/>
    </xf>
    <xf numFmtId="166" fontId="0" fillId="0" borderId="0" xfId="0" applyNumberFormat="1"/>
    <xf numFmtId="0" fontId="8" fillId="0" borderId="0" xfId="0" applyFont="1"/>
    <xf numFmtId="164" fontId="4" fillId="5" borderId="0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1:AR420" totalsRowShown="0">
  <autoFilter ref="A1:AR420" xr:uid="{00000000-0009-0000-0100-000001000000}">
    <filterColumn colId="40">
      <filters>
        <filter val="10,413"/>
        <filter val="100,283"/>
        <filter val="103,320"/>
        <filter val="106,800"/>
        <filter val="12,750"/>
        <filter val="123,638"/>
        <filter val="128,646"/>
        <filter val="135,212"/>
        <filter val="14,720"/>
        <filter val="141,656"/>
        <filter val="15,750"/>
        <filter val="151,200"/>
        <filter val="16,485"/>
        <filter val="16,784"/>
        <filter val="16,800"/>
        <filter val="17,010"/>
        <filter val="17,808"/>
        <filter val="174,375"/>
        <filter val="18,000"/>
        <filter val="18,375"/>
        <filter val="18,384"/>
        <filter val="18,750"/>
        <filter val="18,915"/>
        <filter val="19,168"/>
        <filter val="19,250"/>
        <filter val="19,560"/>
        <filter val="19,712"/>
        <filter val="20,085"/>
        <filter val="20,125"/>
        <filter val="20,250"/>
        <filter val="20,400"/>
        <filter val="20,606"/>
        <filter val="20,970"/>
        <filter val="202,370"/>
        <filter val="21,263"/>
        <filter val="21,346"/>
        <filter val="21,360"/>
        <filter val="21,600"/>
        <filter val="21,665"/>
        <filter val="22,050"/>
        <filter val="22,500"/>
        <filter val="22,663"/>
        <filter val="22,928"/>
        <filter val="23,200"/>
        <filter val="23,625"/>
        <filter val="23,800"/>
        <filter val="23,970"/>
        <filter val="24,000"/>
        <filter val="24,075"/>
        <filter val="24,336"/>
        <filter val="24,469"/>
        <filter val="24,480"/>
        <filter val="24,624"/>
        <filter val="25,425"/>
        <filter val="25,436"/>
        <filter val="25,636"/>
        <filter val="25,760"/>
        <filter val="26,128"/>
        <filter val="26,138"/>
        <filter val="26,240"/>
        <filter val="26,282"/>
        <filter val="26,400"/>
        <filter val="26,480"/>
        <filter val="27,000"/>
        <filter val="27,519"/>
        <filter val="27,680"/>
        <filter val="27,975"/>
        <filter val="28,160"/>
        <filter val="28,263"/>
        <filter val="28,438"/>
        <filter val="28,480"/>
        <filter val="28,500"/>
        <filter val="28,650"/>
        <filter val="29,250"/>
        <filter val="29,280"/>
        <filter val="29,378"/>
        <filter val="29,400"/>
        <filter val="29,699"/>
        <filter val="29,750"/>
        <filter val="29,756"/>
        <filter val="29,985"/>
        <filter val="30,300"/>
        <filter val="30,375"/>
        <filter val="30,400"/>
        <filter val="30,555"/>
        <filter val="30,838"/>
        <filter val="30,866"/>
        <filter val="31,152"/>
        <filter val="31,200"/>
        <filter val="31,238"/>
        <filter val="31,500"/>
        <filter val="31,520"/>
        <filter val="31,579"/>
        <filter val="31,781"/>
        <filter val="32,100"/>
        <filter val="32,344"/>
        <filter val="32,725"/>
        <filter val="33,097"/>
        <filter val="33,375"/>
        <filter val="333,632"/>
        <filter val="34,080"/>
        <filter val="34,240"/>
        <filter val="34,368"/>
        <filter val="34,650"/>
        <filter val="35,105"/>
        <filter val="35,179"/>
        <filter val="35,216"/>
        <filter val="35,925"/>
        <filter val="36,000"/>
        <filter val="36,023"/>
        <filter val="36,722"/>
        <filter val="36,800"/>
        <filter val="36,825"/>
        <filter val="37,013"/>
        <filter val="37,039"/>
        <filter val="37,111"/>
        <filter val="37,723"/>
        <filter val="37,931"/>
        <filter val="38,000"/>
        <filter val="38,140"/>
        <filter val="38,306"/>
        <filter val="38,400"/>
        <filter val="38,610"/>
        <filter val="38,640"/>
        <filter val="38,850"/>
        <filter val="39,088"/>
        <filter val="39,184"/>
        <filter val="39,375"/>
        <filter val="39,472"/>
        <filter val="39,623"/>
        <filter val="40,412"/>
        <filter val="40,784"/>
        <filter val="40,848"/>
        <filter val="40,960"/>
        <filter val="40,966"/>
        <filter val="41,025"/>
        <filter val="41,062"/>
        <filter val="41,119"/>
        <filter val="41,424"/>
        <filter val="41,520"/>
        <filter val="41,968"/>
        <filter val="42,400"/>
        <filter val="43,138"/>
        <filter val="43,248"/>
        <filter val="43,881"/>
        <filter val="43,988"/>
        <filter val="44,000"/>
        <filter val="44,200"/>
        <filter val="44,240"/>
        <filter val="44,475"/>
        <filter val="44,625"/>
        <filter val="44,848"/>
        <filter val="44,880"/>
        <filter val="44,984"/>
        <filter val="46,113"/>
        <filter val="46,226"/>
        <filter val="46,429"/>
        <filter val="46,928"/>
        <filter val="47,235"/>
        <filter val="47,250"/>
        <filter val="47,600"/>
        <filter val="47,642"/>
        <filter val="48,750"/>
        <filter val="49,000"/>
        <filter val="49,283"/>
        <filter val="50,873"/>
        <filter val="50,880"/>
        <filter val="51,200"/>
        <filter val="51,600"/>
        <filter val="51,975"/>
        <filter val="52,063"/>
        <filter val="52,373"/>
        <filter val="52,528"/>
        <filter val="52,830"/>
        <filter val="53,184"/>
        <filter val="53,550"/>
        <filter val="54,000"/>
        <filter val="55,114"/>
        <filter val="55,429"/>
        <filter val="55,463"/>
        <filter val="55,556"/>
        <filter val="55,594"/>
        <filter val="55,930"/>
        <filter val="55,952"/>
        <filter val="56,000"/>
        <filter val="56,525"/>
        <filter val="57,360"/>
        <filter val="57,488"/>
        <filter val="58,146"/>
        <filter val="58,500"/>
        <filter val="58,575"/>
        <filter val="60,146"/>
        <filter val="60,739"/>
        <filter val="61,054"/>
        <filter val="61,088"/>
        <filter val="61,600"/>
        <filter val="61,905"/>
        <filter val="62,112"/>
        <filter val="62,156"/>
        <filter val="62,541"/>
        <filter val="62,603"/>
        <filter val="63,113"/>
        <filter val="63,200"/>
        <filter val="63,598"/>
        <filter val="63,737"/>
        <filter val="64,192"/>
        <filter val="64,323"/>
        <filter val="64,384"/>
        <filter val="65,348"/>
        <filter val="65,600"/>
        <filter val="66,032"/>
        <filter val="66,224"/>
        <filter val="66,948"/>
        <filter val="67,410"/>
        <filter val="68,425"/>
        <filter val="68,480"/>
        <filter val="68,586"/>
        <filter val="68,681"/>
        <filter val="68,704"/>
        <filter val="69,152"/>
        <filter val="69,232"/>
        <filter val="69,280"/>
        <filter val="70,912"/>
        <filter val="71,190"/>
        <filter val="71,505"/>
        <filter val="71,680"/>
        <filter val="72,784"/>
        <filter val="75,586"/>
        <filter val="75,848"/>
        <filter val="76,286"/>
        <filter val="76,790"/>
        <filter val="79,326"/>
        <filter val="80,846"/>
        <filter val="81,000"/>
        <filter val="81,584"/>
        <filter val="82,943"/>
        <filter val="83,475"/>
        <filter val="84,996"/>
        <filter val="87,760"/>
        <filter val="88,640"/>
        <filter val="90,400"/>
        <filter val="94,337"/>
        <filter val="94,618"/>
        <filter val="98,498"/>
        <filter val="99,025"/>
        <filter val="99,064"/>
        <filter val="99,450"/>
      </filters>
    </filterColumn>
  </autoFilter>
  <sortState xmlns:xlrd2="http://schemas.microsoft.com/office/spreadsheetml/2017/richdata2" ref="A2:AR420">
    <sortCondition ref="B2:B420"/>
  </sortState>
  <tableColumns count="44">
    <tableColumn id="1" xr3:uid="{00000000-0010-0000-0000-000001000000}" name="Sr."/>
    <tableColumn id="2" xr3:uid="{00000000-0010-0000-0000-000002000000}" name="Status"/>
    <tableColumn id="3" xr3:uid="{00000000-0010-0000-0000-000003000000}" name="Contract No."/>
    <tableColumn id="4" xr3:uid="{00000000-0010-0000-0000-000004000000}" name="Class Code"/>
    <tableColumn id="5" xr3:uid="{00000000-0010-0000-0000-000005000000}" name="Contract Status"/>
    <tableColumn id="6" xr3:uid="{00000000-0010-0000-0000-000006000000}" name="Insurance Agency"/>
    <tableColumn id="7" xr3:uid="{00000000-0010-0000-0000-000007000000}" name="Dealer Name"/>
    <tableColumn id="8" xr3:uid="{00000000-0010-0000-0000-000008000000}" name="App ID"/>
    <tableColumn id="9" xr3:uid="{00000000-0010-0000-0000-000009000000}" name="CIF #"/>
    <tableColumn id="10" xr3:uid="{00000000-0010-0000-0000-00000A000000}" name="Insurance Rate"/>
    <tableColumn id="11" xr3:uid="{00000000-0010-0000-0000-00000B000000}" name="Profit Rate"/>
    <tableColumn id="12" xr3:uid="{00000000-0010-0000-0000-00000C000000}" name="ISI Account No."/>
    <tableColumn id="13" xr3:uid="{00000000-0010-0000-0000-00000D000000}" name="Customer Name"/>
    <tableColumn id="14" xr3:uid="{00000000-0010-0000-0000-00000E000000}" name="City"/>
    <tableColumn id="15" xr3:uid="{00000000-0010-0000-0000-00000F000000}" name="CNIC No."/>
    <tableColumn id="16" xr3:uid="{00000000-0010-0000-0000-000010000000}" name="Home Phone#"/>
    <tableColumn id="17" xr3:uid="{00000000-0010-0000-0000-000011000000}" name="Mobile Number"/>
    <tableColumn id="18" xr3:uid="{00000000-0010-0000-0000-000012000000}" name="Business Phone#"/>
    <tableColumn id="19" xr3:uid="{00000000-0010-0000-0000-000013000000}" name="Mail Address"/>
    <tableColumn id="20" xr3:uid="{00000000-0010-0000-0000-000014000000}" name="Finance Amount"/>
    <tableColumn id="21" xr3:uid="{00000000-0010-0000-0000-000015000000}" name="Car Price"/>
    <tableColumn id="22" xr3:uid="{00000000-0010-0000-0000-000016000000}" name="Ins. Policy"/>
    <tableColumn id="23" xr3:uid="{00000000-0010-0000-0000-000017000000}" name="Ins. Expiry Date"/>
    <tableColumn id="24" xr3:uid="{00000000-0010-0000-0000-000018000000}" name="Engine No."/>
    <tableColumn id="25" xr3:uid="{00000000-0010-0000-0000-000019000000}" name="Chassis No."/>
    <tableColumn id="26" xr3:uid="{00000000-0010-0000-0000-00001A000000}" name="Car Category"/>
    <tableColumn id="27" xr3:uid="{00000000-0010-0000-0000-00001B000000}" name="Reg. No."/>
    <tableColumn id="28" xr3:uid="{00000000-0010-0000-0000-00001C000000}" name="Car Name"/>
    <tableColumn id="29" xr3:uid="{00000000-0010-0000-0000-00001D000000}" name="Model"/>
    <tableColumn id="30" xr3:uid="{00000000-0010-0000-0000-00001E000000}" name="Contract Booking Date"/>
    <tableColumn id="31" xr3:uid="{00000000-0010-0000-0000-00001F000000}" name="Contract Value Date"/>
    <tableColumn id="32" xr3:uid="{00000000-0010-0000-0000-000020000000}" name="Contract Maturity Date"/>
    <tableColumn id="33" xr3:uid="{00000000-0010-0000-0000-000021000000}" name="Purchase Order No."/>
    <tableColumn id="34" xr3:uid="{00000000-0010-0000-0000-000022000000}" name="Tenor#2"/>
    <tableColumn id="35" xr3:uid="{00000000-0010-0000-0000-000023000000}" name="Tracker Company"/>
    <tableColumn id="36" xr3:uid="{00000000-0010-0000-0000-000024000000}" name="Tracker Reference Number"/>
    <tableColumn id="37" xr3:uid="{00000000-0010-0000-0000-000025000000}" name="Tracker Installation Date"/>
    <tableColumn id="38" xr3:uid="{00000000-0010-0000-0000-000026000000}" name="Contract No.2"/>
    <tableColumn id="39" xr3:uid="{00000000-0010-0000-0000-000027000000}" name="Rate "/>
    <tableColumn id="40" xr3:uid="{00000000-0010-0000-0000-000028000000}" name="Sum Insured "/>
    <tableColumn id="41" xr3:uid="{00000000-0010-0000-0000-000029000000}" name="Premium"/>
    <tableColumn id="42" xr3:uid="{00000000-0010-0000-0000-00002A000000}" name="OLD Contract Ref"/>
    <tableColumn id="43" xr3:uid="{00000000-0010-0000-0000-00002B000000}" name="Remarks-I"/>
    <tableColumn id="44" xr3:uid="{00000000-0010-0000-0000-00002C000000}" name="Remarks-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20"/>
  <sheetViews>
    <sheetView topLeftCell="AH396" workbookViewId="0">
      <selection activeCell="AO1" sqref="AO1"/>
    </sheetView>
  </sheetViews>
  <sheetFormatPr defaultRowHeight="15" x14ac:dyDescent="0.25"/>
  <cols>
    <col min="3" max="3" width="14.140625" customWidth="1"/>
    <col min="4" max="4" width="12.5703125" customWidth="1"/>
    <col min="5" max="5" width="16.42578125" customWidth="1"/>
    <col min="6" max="6" width="18.5703125" customWidth="1"/>
    <col min="7" max="7" width="14.7109375" customWidth="1"/>
    <col min="10" max="10" width="16.140625" customWidth="1"/>
    <col min="11" max="11" width="12.5703125" customWidth="1"/>
    <col min="12" max="12" width="16.42578125" customWidth="1"/>
    <col min="13" max="13" width="17.42578125" customWidth="1"/>
    <col min="15" max="15" width="11" customWidth="1"/>
    <col min="16" max="16" width="15.5703125" customWidth="1"/>
    <col min="17" max="17" width="17.28515625" customWidth="1"/>
    <col min="18" max="18" width="18" customWidth="1"/>
    <col min="19" max="19" width="14.7109375" customWidth="1"/>
    <col min="20" max="20" width="17.5703125" customWidth="1"/>
    <col min="21" max="21" width="10.85546875" customWidth="1"/>
    <col min="22" max="22" width="12" customWidth="1"/>
    <col min="23" max="23" width="16.7109375" customWidth="1"/>
    <col min="24" max="24" width="12.7109375" customWidth="1"/>
    <col min="25" max="25" width="13.140625" customWidth="1"/>
    <col min="26" max="26" width="14.28515625" customWidth="1"/>
    <col min="27" max="27" width="10.5703125" customWidth="1"/>
    <col min="28" max="28" width="11.7109375" customWidth="1"/>
    <col min="30" max="30" width="22.7109375" customWidth="1"/>
    <col min="31" max="31" width="20.7109375" customWidth="1"/>
    <col min="32" max="32" width="23.28515625" customWidth="1"/>
    <col min="33" max="33" width="20.28515625" customWidth="1"/>
    <col min="34" max="34" width="10.28515625" customWidth="1"/>
    <col min="35" max="35" width="18.28515625" customWidth="1"/>
    <col min="36" max="36" width="26.85546875" customWidth="1"/>
    <col min="37" max="37" width="24.5703125" customWidth="1"/>
    <col min="38" max="38" width="15.140625" customWidth="1"/>
    <col min="40" max="40" width="14.5703125" customWidth="1"/>
    <col min="41" max="41" width="11.28515625" customWidth="1"/>
    <col min="42" max="42" width="18" customWidth="1"/>
    <col min="43" max="43" width="12" customWidth="1"/>
    <col min="44" max="44" width="12.57031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idden="1" x14ac:dyDescent="0.25">
      <c r="A2">
        <v>1</v>
      </c>
      <c r="B2" s="1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>
        <v>2</v>
      </c>
      <c r="K2">
        <v>25.45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>
        <v>2746100</v>
      </c>
      <c r="U2">
        <v>3923000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>
        <v>3</v>
      </c>
      <c r="AI2" t="s">
        <v>72</v>
      </c>
      <c r="AJ2" t="s">
        <v>73</v>
      </c>
      <c r="AK2" t="s">
        <v>74</v>
      </c>
      <c r="AM2" t="s">
        <v>75</v>
      </c>
      <c r="AN2">
        <v>0</v>
      </c>
      <c r="AO2">
        <v>0</v>
      </c>
    </row>
    <row r="3" spans="1:44" hidden="1" x14ac:dyDescent="0.25">
      <c r="A3">
        <v>2</v>
      </c>
      <c r="B3" s="1" t="s">
        <v>44</v>
      </c>
      <c r="C3" t="s">
        <v>76</v>
      </c>
      <c r="D3" t="s">
        <v>77</v>
      </c>
      <c r="E3" t="s">
        <v>47</v>
      </c>
      <c r="F3" t="s">
        <v>48</v>
      </c>
      <c r="G3" t="s">
        <v>78</v>
      </c>
      <c r="H3" t="s">
        <v>79</v>
      </c>
      <c r="I3" t="s">
        <v>80</v>
      </c>
      <c r="J3">
        <v>1.75</v>
      </c>
      <c r="K3">
        <v>25.2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>
        <v>1300000</v>
      </c>
      <c r="U3">
        <v>2000000</v>
      </c>
      <c r="V3" t="s">
        <v>89</v>
      </c>
      <c r="W3" t="s">
        <v>90</v>
      </c>
      <c r="X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97</v>
      </c>
      <c r="AE3" t="s">
        <v>98</v>
      </c>
      <c r="AF3" t="s">
        <v>70</v>
      </c>
      <c r="AG3" t="s">
        <v>99</v>
      </c>
      <c r="AH3">
        <v>2</v>
      </c>
      <c r="AI3" t="s">
        <v>100</v>
      </c>
      <c r="AJ3" t="s">
        <v>101</v>
      </c>
      <c r="AK3" t="s">
        <v>97</v>
      </c>
      <c r="AM3" t="s">
        <v>102</v>
      </c>
      <c r="AN3">
        <v>0</v>
      </c>
      <c r="AO3">
        <v>0</v>
      </c>
    </row>
    <row r="4" spans="1:44" hidden="1" x14ac:dyDescent="0.25">
      <c r="A4">
        <v>3</v>
      </c>
      <c r="B4" s="1" t="s">
        <v>44</v>
      </c>
      <c r="C4" t="s">
        <v>103</v>
      </c>
      <c r="D4" t="s">
        <v>46</v>
      </c>
      <c r="E4" t="s">
        <v>47</v>
      </c>
      <c r="F4" t="s">
        <v>48</v>
      </c>
      <c r="G4" t="s">
        <v>104</v>
      </c>
      <c r="H4" t="s">
        <v>105</v>
      </c>
      <c r="I4" t="s">
        <v>106</v>
      </c>
      <c r="J4">
        <v>1.75</v>
      </c>
      <c r="K4">
        <v>25.95</v>
      </c>
      <c r="L4" t="s">
        <v>107</v>
      </c>
      <c r="M4" t="s">
        <v>108</v>
      </c>
      <c r="N4" t="s">
        <v>83</v>
      </c>
      <c r="O4" t="s">
        <v>109</v>
      </c>
      <c r="P4" t="s">
        <v>65</v>
      </c>
      <c r="Q4" t="s">
        <v>110</v>
      </c>
      <c r="R4" t="s">
        <v>111</v>
      </c>
      <c r="S4" t="s">
        <v>112</v>
      </c>
      <c r="T4">
        <v>3386349</v>
      </c>
      <c r="U4">
        <v>5275999</v>
      </c>
      <c r="V4" t="s">
        <v>113</v>
      </c>
      <c r="W4" t="s">
        <v>61</v>
      </c>
      <c r="X4" t="s">
        <v>114</v>
      </c>
      <c r="Y4" t="s">
        <v>115</v>
      </c>
      <c r="Z4" t="s">
        <v>64</v>
      </c>
      <c r="AA4" t="s">
        <v>65</v>
      </c>
      <c r="AB4" t="s">
        <v>116</v>
      </c>
      <c r="AC4" t="s">
        <v>67</v>
      </c>
      <c r="AD4" t="s">
        <v>117</v>
      </c>
      <c r="AE4" t="s">
        <v>69</v>
      </c>
      <c r="AF4" t="s">
        <v>70</v>
      </c>
      <c r="AG4" t="s">
        <v>118</v>
      </c>
      <c r="AH4">
        <v>3</v>
      </c>
      <c r="AI4" t="s">
        <v>65</v>
      </c>
      <c r="AJ4" t="s">
        <v>65</v>
      </c>
      <c r="AK4" t="s">
        <v>65</v>
      </c>
      <c r="AM4" t="s">
        <v>102</v>
      </c>
      <c r="AN4">
        <v>0</v>
      </c>
      <c r="AO4">
        <v>0</v>
      </c>
    </row>
    <row r="5" spans="1:44" hidden="1" x14ac:dyDescent="0.25">
      <c r="A5">
        <v>4</v>
      </c>
      <c r="B5" s="1" t="s">
        <v>44</v>
      </c>
      <c r="C5" t="s">
        <v>119</v>
      </c>
      <c r="D5" t="s">
        <v>77</v>
      </c>
      <c r="E5" t="s">
        <v>47</v>
      </c>
      <c r="F5" t="s">
        <v>48</v>
      </c>
      <c r="G5" t="s">
        <v>120</v>
      </c>
      <c r="H5" t="s">
        <v>121</v>
      </c>
      <c r="I5" t="s">
        <v>122</v>
      </c>
      <c r="J5">
        <v>2</v>
      </c>
      <c r="K5">
        <v>25.69</v>
      </c>
      <c r="L5" t="s">
        <v>123</v>
      </c>
      <c r="M5" t="s">
        <v>124</v>
      </c>
      <c r="N5" t="s">
        <v>54</v>
      </c>
      <c r="O5" t="s">
        <v>125</v>
      </c>
      <c r="P5" t="s">
        <v>65</v>
      </c>
      <c r="Q5" t="s">
        <v>126</v>
      </c>
      <c r="R5" t="s">
        <v>65</v>
      </c>
      <c r="S5" t="s">
        <v>127</v>
      </c>
      <c r="T5">
        <v>2832500</v>
      </c>
      <c r="U5">
        <v>5150000</v>
      </c>
      <c r="V5" t="s">
        <v>128</v>
      </c>
      <c r="W5" t="s">
        <v>61</v>
      </c>
      <c r="X5" t="s">
        <v>129</v>
      </c>
      <c r="Y5" t="s">
        <v>130</v>
      </c>
      <c r="Z5" t="s">
        <v>93</v>
      </c>
      <c r="AA5" t="s">
        <v>131</v>
      </c>
      <c r="AB5" t="s">
        <v>132</v>
      </c>
      <c r="AC5" t="s">
        <v>67</v>
      </c>
      <c r="AD5" t="s">
        <v>133</v>
      </c>
      <c r="AE5" t="s">
        <v>69</v>
      </c>
      <c r="AF5" t="s">
        <v>70</v>
      </c>
      <c r="AG5" t="s">
        <v>134</v>
      </c>
      <c r="AH5">
        <v>3</v>
      </c>
      <c r="AI5" t="s">
        <v>65</v>
      </c>
      <c r="AJ5" t="s">
        <v>65</v>
      </c>
      <c r="AK5" t="s">
        <v>65</v>
      </c>
      <c r="AM5" t="s">
        <v>75</v>
      </c>
      <c r="AN5">
        <v>0</v>
      </c>
      <c r="AO5">
        <v>0</v>
      </c>
    </row>
    <row r="6" spans="1:44" hidden="1" x14ac:dyDescent="0.25">
      <c r="A6">
        <v>5</v>
      </c>
      <c r="B6" s="1" t="s">
        <v>44</v>
      </c>
      <c r="C6" t="s">
        <v>135</v>
      </c>
      <c r="D6" t="s">
        <v>136</v>
      </c>
      <c r="E6" t="s">
        <v>47</v>
      </c>
      <c r="F6" t="s">
        <v>48</v>
      </c>
      <c r="G6" t="s">
        <v>137</v>
      </c>
      <c r="H6" t="s">
        <v>138</v>
      </c>
      <c r="I6" t="s">
        <v>139</v>
      </c>
      <c r="J6">
        <v>1.5</v>
      </c>
      <c r="K6">
        <v>26.78</v>
      </c>
      <c r="L6" t="s">
        <v>140</v>
      </c>
      <c r="M6" t="s">
        <v>141</v>
      </c>
      <c r="N6" t="s">
        <v>54</v>
      </c>
      <c r="O6" t="s">
        <v>142</v>
      </c>
      <c r="P6" t="s">
        <v>143</v>
      </c>
      <c r="Q6" t="s">
        <v>144</v>
      </c>
      <c r="R6" t="s">
        <v>65</v>
      </c>
      <c r="S6" t="s">
        <v>145</v>
      </c>
      <c r="T6">
        <v>2837450</v>
      </c>
      <c r="U6">
        <v>4053500</v>
      </c>
      <c r="V6" t="s">
        <v>146</v>
      </c>
      <c r="W6" t="s">
        <v>147</v>
      </c>
      <c r="X6" t="s">
        <v>148</v>
      </c>
      <c r="Y6" t="s">
        <v>149</v>
      </c>
      <c r="Z6" t="s">
        <v>64</v>
      </c>
      <c r="AA6" t="s">
        <v>65</v>
      </c>
      <c r="AB6" t="s">
        <v>150</v>
      </c>
      <c r="AC6" t="s">
        <v>151</v>
      </c>
      <c r="AD6" t="s">
        <v>152</v>
      </c>
      <c r="AE6" t="s">
        <v>153</v>
      </c>
      <c r="AF6" t="s">
        <v>70</v>
      </c>
      <c r="AG6" t="s">
        <v>154</v>
      </c>
      <c r="AH6">
        <v>4</v>
      </c>
      <c r="AI6" t="s">
        <v>100</v>
      </c>
      <c r="AJ6" t="s">
        <v>155</v>
      </c>
      <c r="AK6" t="s">
        <v>156</v>
      </c>
      <c r="AM6" t="s">
        <v>157</v>
      </c>
      <c r="AN6">
        <v>0</v>
      </c>
      <c r="AO6">
        <v>0</v>
      </c>
    </row>
    <row r="7" spans="1:44" hidden="1" x14ac:dyDescent="0.25">
      <c r="A7">
        <v>6</v>
      </c>
      <c r="B7" s="1" t="s">
        <v>44</v>
      </c>
      <c r="C7" t="s">
        <v>158</v>
      </c>
      <c r="D7" t="s">
        <v>77</v>
      </c>
      <c r="E7" t="s">
        <v>47</v>
      </c>
      <c r="F7" t="s">
        <v>48</v>
      </c>
      <c r="G7" t="s">
        <v>159</v>
      </c>
      <c r="H7" t="s">
        <v>160</v>
      </c>
      <c r="I7" t="s">
        <v>161</v>
      </c>
      <c r="J7">
        <v>2.5</v>
      </c>
      <c r="K7">
        <v>26.7</v>
      </c>
      <c r="L7" t="s">
        <v>162</v>
      </c>
      <c r="M7" t="s">
        <v>163</v>
      </c>
      <c r="N7" t="s">
        <v>164</v>
      </c>
      <c r="O7" t="s">
        <v>165</v>
      </c>
      <c r="P7" t="s">
        <v>166</v>
      </c>
      <c r="Q7" t="s">
        <v>65</v>
      </c>
      <c r="R7" t="s">
        <v>167</v>
      </c>
      <c r="S7" t="s">
        <v>168</v>
      </c>
      <c r="T7">
        <v>2198570</v>
      </c>
      <c r="U7">
        <v>2783000</v>
      </c>
      <c r="V7" t="s">
        <v>169</v>
      </c>
      <c r="W7" t="s">
        <v>170</v>
      </c>
      <c r="X7" t="s">
        <v>171</v>
      </c>
      <c r="Y7" t="s">
        <v>172</v>
      </c>
      <c r="Z7" t="s">
        <v>64</v>
      </c>
      <c r="AA7" t="s">
        <v>173</v>
      </c>
      <c r="AB7" t="s">
        <v>174</v>
      </c>
      <c r="AC7" t="s">
        <v>175</v>
      </c>
      <c r="AD7" t="s">
        <v>176</v>
      </c>
      <c r="AE7" t="s">
        <v>177</v>
      </c>
      <c r="AF7" t="s">
        <v>70</v>
      </c>
      <c r="AG7" t="s">
        <v>178</v>
      </c>
      <c r="AH7">
        <v>5</v>
      </c>
      <c r="AI7" t="s">
        <v>100</v>
      </c>
      <c r="AJ7" t="s">
        <v>179</v>
      </c>
      <c r="AK7" t="s">
        <v>176</v>
      </c>
      <c r="AM7" t="s">
        <v>180</v>
      </c>
      <c r="AN7">
        <v>0</v>
      </c>
      <c r="AO7">
        <v>0</v>
      </c>
    </row>
    <row r="8" spans="1:44" hidden="1" x14ac:dyDescent="0.25">
      <c r="A8">
        <v>7</v>
      </c>
      <c r="B8" s="1" t="s">
        <v>44</v>
      </c>
      <c r="C8" t="s">
        <v>181</v>
      </c>
      <c r="D8" t="s">
        <v>46</v>
      </c>
      <c r="E8" t="s">
        <v>47</v>
      </c>
      <c r="F8" t="s">
        <v>48</v>
      </c>
      <c r="G8" t="s">
        <v>182</v>
      </c>
      <c r="H8" t="s">
        <v>183</v>
      </c>
      <c r="I8" t="s">
        <v>184</v>
      </c>
      <c r="J8">
        <v>2</v>
      </c>
      <c r="K8">
        <v>25.61</v>
      </c>
      <c r="L8" t="s">
        <v>185</v>
      </c>
      <c r="M8" t="s">
        <v>186</v>
      </c>
      <c r="N8" t="s">
        <v>187</v>
      </c>
      <c r="O8" t="s">
        <v>188</v>
      </c>
      <c r="P8" t="s">
        <v>189</v>
      </c>
      <c r="Q8" t="s">
        <v>189</v>
      </c>
      <c r="R8" t="s">
        <v>190</v>
      </c>
      <c r="S8" t="s">
        <v>191</v>
      </c>
      <c r="T8">
        <v>915000</v>
      </c>
      <c r="U8">
        <v>1830000</v>
      </c>
      <c r="V8" t="s">
        <v>192</v>
      </c>
      <c r="W8" t="s">
        <v>61</v>
      </c>
      <c r="X8" t="s">
        <v>193</v>
      </c>
      <c r="Y8" t="s">
        <v>194</v>
      </c>
      <c r="Z8" t="s">
        <v>64</v>
      </c>
      <c r="AA8" t="s">
        <v>65</v>
      </c>
      <c r="AB8" t="s">
        <v>195</v>
      </c>
      <c r="AC8" t="s">
        <v>67</v>
      </c>
      <c r="AD8" t="s">
        <v>196</v>
      </c>
      <c r="AE8" t="s">
        <v>69</v>
      </c>
      <c r="AF8" t="s">
        <v>70</v>
      </c>
      <c r="AG8" t="s">
        <v>197</v>
      </c>
      <c r="AH8">
        <v>3</v>
      </c>
      <c r="AI8" t="s">
        <v>198</v>
      </c>
      <c r="AJ8" t="s">
        <v>199</v>
      </c>
      <c r="AK8" t="s">
        <v>74</v>
      </c>
      <c r="AM8" t="s">
        <v>75</v>
      </c>
      <c r="AN8">
        <v>0</v>
      </c>
      <c r="AO8">
        <v>0</v>
      </c>
    </row>
    <row r="9" spans="1:44" hidden="1" x14ac:dyDescent="0.25">
      <c r="A9">
        <v>8</v>
      </c>
      <c r="B9" s="1" t="s">
        <v>44</v>
      </c>
      <c r="C9" t="s">
        <v>200</v>
      </c>
      <c r="D9" t="s">
        <v>46</v>
      </c>
      <c r="E9" t="s">
        <v>47</v>
      </c>
      <c r="F9" t="s">
        <v>48</v>
      </c>
      <c r="G9" t="s">
        <v>201</v>
      </c>
      <c r="H9" t="s">
        <v>202</v>
      </c>
      <c r="I9" t="s">
        <v>203</v>
      </c>
      <c r="J9">
        <v>2</v>
      </c>
      <c r="K9">
        <v>25.45</v>
      </c>
      <c r="L9" t="s">
        <v>204</v>
      </c>
      <c r="M9" t="s">
        <v>205</v>
      </c>
      <c r="N9" t="s">
        <v>54</v>
      </c>
      <c r="O9" t="s">
        <v>206</v>
      </c>
      <c r="P9" t="s">
        <v>207</v>
      </c>
      <c r="Q9" t="s">
        <v>208</v>
      </c>
      <c r="R9" t="s">
        <v>207</v>
      </c>
      <c r="S9" t="s">
        <v>209</v>
      </c>
      <c r="T9">
        <v>1077300</v>
      </c>
      <c r="U9">
        <v>1539000</v>
      </c>
      <c r="V9" t="s">
        <v>210</v>
      </c>
      <c r="W9" t="s">
        <v>211</v>
      </c>
      <c r="X9" t="s">
        <v>212</v>
      </c>
      <c r="Y9" t="s">
        <v>213</v>
      </c>
      <c r="Z9" t="s">
        <v>64</v>
      </c>
      <c r="AA9" t="s">
        <v>65</v>
      </c>
      <c r="AB9" t="s">
        <v>214</v>
      </c>
      <c r="AC9" t="s">
        <v>67</v>
      </c>
      <c r="AD9" t="s">
        <v>215</v>
      </c>
      <c r="AE9" t="s">
        <v>216</v>
      </c>
      <c r="AF9" t="s">
        <v>217</v>
      </c>
      <c r="AG9" t="s">
        <v>218</v>
      </c>
      <c r="AH9">
        <v>3</v>
      </c>
      <c r="AI9" t="s">
        <v>100</v>
      </c>
      <c r="AJ9" t="s">
        <v>219</v>
      </c>
      <c r="AK9" t="s">
        <v>147</v>
      </c>
      <c r="AM9" t="s">
        <v>75</v>
      </c>
      <c r="AN9">
        <v>0</v>
      </c>
      <c r="AO9">
        <v>0</v>
      </c>
    </row>
    <row r="10" spans="1:44" hidden="1" x14ac:dyDescent="0.25">
      <c r="A10">
        <v>9</v>
      </c>
      <c r="B10" s="1" t="s">
        <v>44</v>
      </c>
      <c r="C10" t="s">
        <v>220</v>
      </c>
      <c r="D10" t="s">
        <v>46</v>
      </c>
      <c r="E10" t="s">
        <v>47</v>
      </c>
      <c r="F10" t="s">
        <v>48</v>
      </c>
      <c r="G10" t="s">
        <v>221</v>
      </c>
      <c r="H10" t="s">
        <v>222</v>
      </c>
      <c r="I10" t="s">
        <v>223</v>
      </c>
      <c r="J10">
        <v>1.5</v>
      </c>
      <c r="K10">
        <v>25.56</v>
      </c>
      <c r="L10" t="s">
        <v>224</v>
      </c>
      <c r="M10" t="s">
        <v>225</v>
      </c>
      <c r="N10" t="s">
        <v>54</v>
      </c>
      <c r="O10" t="s">
        <v>226</v>
      </c>
      <c r="P10" t="s">
        <v>65</v>
      </c>
      <c r="Q10" t="s">
        <v>227</v>
      </c>
      <c r="R10" t="s">
        <v>228</v>
      </c>
      <c r="S10" t="s">
        <v>229</v>
      </c>
      <c r="T10">
        <v>3200300</v>
      </c>
      <c r="U10">
        <v>4610000</v>
      </c>
      <c r="V10" t="s">
        <v>230</v>
      </c>
      <c r="W10" t="s">
        <v>231</v>
      </c>
      <c r="X10" t="s">
        <v>232</v>
      </c>
      <c r="Y10" t="s">
        <v>233</v>
      </c>
      <c r="Z10" t="s">
        <v>64</v>
      </c>
      <c r="AA10" t="s">
        <v>65</v>
      </c>
      <c r="AB10" t="s">
        <v>234</v>
      </c>
      <c r="AC10" t="s">
        <v>67</v>
      </c>
      <c r="AD10" t="s">
        <v>235</v>
      </c>
      <c r="AE10" t="s">
        <v>69</v>
      </c>
      <c r="AF10" t="s">
        <v>70</v>
      </c>
      <c r="AG10" t="s">
        <v>236</v>
      </c>
      <c r="AH10">
        <v>3</v>
      </c>
      <c r="AI10" t="s">
        <v>237</v>
      </c>
      <c r="AJ10" t="s">
        <v>238</v>
      </c>
      <c r="AK10" t="s">
        <v>239</v>
      </c>
      <c r="AM10" t="s">
        <v>157</v>
      </c>
      <c r="AN10">
        <v>0</v>
      </c>
      <c r="AO10">
        <v>0</v>
      </c>
    </row>
    <row r="11" spans="1:44" hidden="1" x14ac:dyDescent="0.25">
      <c r="A11">
        <v>10</v>
      </c>
      <c r="B11" s="1" t="s">
        <v>44</v>
      </c>
      <c r="C11" t="s">
        <v>240</v>
      </c>
      <c r="D11" t="s">
        <v>241</v>
      </c>
      <c r="E11" t="s">
        <v>47</v>
      </c>
      <c r="F11" t="s">
        <v>48</v>
      </c>
      <c r="G11" t="s">
        <v>242</v>
      </c>
      <c r="H11" t="s">
        <v>243</v>
      </c>
      <c r="I11" t="s">
        <v>244</v>
      </c>
      <c r="J11">
        <v>2</v>
      </c>
      <c r="K11">
        <v>26.2</v>
      </c>
      <c r="L11" t="s">
        <v>245</v>
      </c>
      <c r="M11" t="s">
        <v>246</v>
      </c>
      <c r="N11" t="s">
        <v>83</v>
      </c>
      <c r="O11" t="s">
        <v>247</v>
      </c>
      <c r="P11" t="s">
        <v>248</v>
      </c>
      <c r="Q11" t="s">
        <v>248</v>
      </c>
      <c r="R11" t="s">
        <v>249</v>
      </c>
      <c r="S11" t="s">
        <v>250</v>
      </c>
      <c r="T11">
        <v>2954600</v>
      </c>
      <c r="U11">
        <v>7386500</v>
      </c>
      <c r="V11" t="s">
        <v>251</v>
      </c>
      <c r="W11" t="s">
        <v>231</v>
      </c>
      <c r="X11" t="s">
        <v>252</v>
      </c>
      <c r="Y11" t="s">
        <v>253</v>
      </c>
      <c r="Z11" t="s">
        <v>64</v>
      </c>
      <c r="AA11" t="s">
        <v>65</v>
      </c>
      <c r="AB11" t="s">
        <v>254</v>
      </c>
      <c r="AC11" t="s">
        <v>67</v>
      </c>
      <c r="AD11" t="s">
        <v>255</v>
      </c>
      <c r="AE11" t="s">
        <v>69</v>
      </c>
      <c r="AF11" t="s">
        <v>70</v>
      </c>
      <c r="AG11" t="s">
        <v>256</v>
      </c>
      <c r="AH11">
        <v>3</v>
      </c>
      <c r="AI11" t="s">
        <v>237</v>
      </c>
      <c r="AJ11" t="s">
        <v>257</v>
      </c>
      <c r="AK11" t="s">
        <v>258</v>
      </c>
      <c r="AM11" t="s">
        <v>75</v>
      </c>
      <c r="AN11">
        <v>0</v>
      </c>
      <c r="AO11">
        <v>0</v>
      </c>
    </row>
    <row r="12" spans="1:44" hidden="1" x14ac:dyDescent="0.25">
      <c r="A12">
        <v>11</v>
      </c>
      <c r="B12" s="1" t="s">
        <v>44</v>
      </c>
      <c r="C12" t="s">
        <v>259</v>
      </c>
      <c r="D12" t="s">
        <v>241</v>
      </c>
      <c r="E12" t="s">
        <v>47</v>
      </c>
      <c r="F12" t="s">
        <v>48</v>
      </c>
      <c r="G12" t="s">
        <v>260</v>
      </c>
      <c r="H12" t="s">
        <v>261</v>
      </c>
      <c r="I12" t="s">
        <v>262</v>
      </c>
      <c r="J12">
        <v>2</v>
      </c>
      <c r="K12">
        <v>26.11</v>
      </c>
      <c r="L12" t="s">
        <v>263</v>
      </c>
      <c r="M12" t="s">
        <v>264</v>
      </c>
      <c r="N12" t="s">
        <v>265</v>
      </c>
      <c r="O12" t="s">
        <v>266</v>
      </c>
      <c r="P12" t="s">
        <v>267</v>
      </c>
      <c r="Q12" t="s">
        <v>65</v>
      </c>
      <c r="R12" t="s">
        <v>268</v>
      </c>
      <c r="S12" t="s">
        <v>269</v>
      </c>
      <c r="T12">
        <v>1324000</v>
      </c>
      <c r="U12">
        <v>1655000</v>
      </c>
      <c r="V12" t="s">
        <v>270</v>
      </c>
      <c r="W12" t="s">
        <v>231</v>
      </c>
      <c r="X12" t="s">
        <v>271</v>
      </c>
      <c r="Y12" t="s">
        <v>272</v>
      </c>
      <c r="Z12" t="s">
        <v>64</v>
      </c>
      <c r="AA12" t="s">
        <v>65</v>
      </c>
      <c r="AB12" t="s">
        <v>273</v>
      </c>
      <c r="AC12" t="s">
        <v>67</v>
      </c>
      <c r="AD12" t="s">
        <v>196</v>
      </c>
      <c r="AE12" t="s">
        <v>216</v>
      </c>
      <c r="AF12" t="s">
        <v>217</v>
      </c>
      <c r="AG12" t="s">
        <v>274</v>
      </c>
      <c r="AH12">
        <v>3</v>
      </c>
      <c r="AI12" t="s">
        <v>198</v>
      </c>
      <c r="AJ12" t="s">
        <v>275</v>
      </c>
      <c r="AK12" t="s">
        <v>239</v>
      </c>
      <c r="AM12" t="s">
        <v>75</v>
      </c>
      <c r="AN12">
        <v>0</v>
      </c>
      <c r="AO12">
        <v>0</v>
      </c>
    </row>
    <row r="13" spans="1:44" hidden="1" x14ac:dyDescent="0.25">
      <c r="A13">
        <v>12</v>
      </c>
      <c r="B13" s="1" t="s">
        <v>44</v>
      </c>
      <c r="C13" t="s">
        <v>276</v>
      </c>
      <c r="D13" t="s">
        <v>277</v>
      </c>
      <c r="E13" t="s">
        <v>47</v>
      </c>
      <c r="F13" t="s">
        <v>48</v>
      </c>
      <c r="G13" t="s">
        <v>278</v>
      </c>
      <c r="H13" t="s">
        <v>279</v>
      </c>
      <c r="I13" t="s">
        <v>280</v>
      </c>
      <c r="J13">
        <v>2.5</v>
      </c>
      <c r="K13">
        <v>25.2</v>
      </c>
      <c r="L13" t="s">
        <v>281</v>
      </c>
      <c r="M13" t="s">
        <v>282</v>
      </c>
      <c r="N13" t="s">
        <v>164</v>
      </c>
      <c r="O13" t="s">
        <v>283</v>
      </c>
      <c r="P13" t="s">
        <v>284</v>
      </c>
      <c r="Q13" t="s">
        <v>65</v>
      </c>
      <c r="R13" t="s">
        <v>285</v>
      </c>
      <c r="S13" t="s">
        <v>286</v>
      </c>
      <c r="T13">
        <v>1003100</v>
      </c>
      <c r="U13">
        <v>1433000</v>
      </c>
      <c r="V13" t="s">
        <v>287</v>
      </c>
      <c r="W13" t="s">
        <v>288</v>
      </c>
      <c r="X13" t="s">
        <v>289</v>
      </c>
      <c r="Y13" t="s">
        <v>290</v>
      </c>
      <c r="Z13" t="s">
        <v>64</v>
      </c>
      <c r="AA13" t="s">
        <v>291</v>
      </c>
      <c r="AB13" t="s">
        <v>292</v>
      </c>
      <c r="AC13" t="s">
        <v>175</v>
      </c>
      <c r="AD13" t="s">
        <v>176</v>
      </c>
      <c r="AE13" t="s">
        <v>177</v>
      </c>
      <c r="AF13" t="s">
        <v>70</v>
      </c>
      <c r="AG13" t="s">
        <v>293</v>
      </c>
      <c r="AH13">
        <v>5</v>
      </c>
      <c r="AI13" t="s">
        <v>100</v>
      </c>
      <c r="AJ13" t="s">
        <v>294</v>
      </c>
      <c r="AK13" t="s">
        <v>295</v>
      </c>
      <c r="AM13" t="s">
        <v>180</v>
      </c>
      <c r="AN13">
        <v>0</v>
      </c>
      <c r="AO13">
        <v>0</v>
      </c>
    </row>
    <row r="14" spans="1:44" hidden="1" x14ac:dyDescent="0.25">
      <c r="A14">
        <v>13</v>
      </c>
      <c r="B14" s="1" t="s">
        <v>44</v>
      </c>
      <c r="C14" t="s">
        <v>296</v>
      </c>
      <c r="D14" t="s">
        <v>77</v>
      </c>
      <c r="E14" t="s">
        <v>47</v>
      </c>
      <c r="F14" t="s">
        <v>48</v>
      </c>
      <c r="G14" t="s">
        <v>297</v>
      </c>
      <c r="H14" t="s">
        <v>298</v>
      </c>
      <c r="I14" t="s">
        <v>299</v>
      </c>
      <c r="J14">
        <v>2</v>
      </c>
      <c r="K14">
        <v>25.69</v>
      </c>
      <c r="L14" t="s">
        <v>300</v>
      </c>
      <c r="M14" t="s">
        <v>301</v>
      </c>
      <c r="N14" t="s">
        <v>83</v>
      </c>
      <c r="O14" t="s">
        <v>302</v>
      </c>
      <c r="P14" t="s">
        <v>65</v>
      </c>
      <c r="Q14" t="s">
        <v>303</v>
      </c>
      <c r="R14" t="s">
        <v>304</v>
      </c>
      <c r="S14" t="s">
        <v>305</v>
      </c>
      <c r="T14">
        <v>6925000</v>
      </c>
      <c r="U14">
        <v>13850000</v>
      </c>
      <c r="V14" t="s">
        <v>306</v>
      </c>
      <c r="W14" t="s">
        <v>307</v>
      </c>
      <c r="X14" t="s">
        <v>308</v>
      </c>
      <c r="Y14" t="s">
        <v>309</v>
      </c>
      <c r="Z14" t="s">
        <v>64</v>
      </c>
      <c r="AA14" t="s">
        <v>65</v>
      </c>
      <c r="AB14" t="s">
        <v>310</v>
      </c>
      <c r="AC14" t="s">
        <v>67</v>
      </c>
      <c r="AD14" t="s">
        <v>147</v>
      </c>
      <c r="AE14" t="s">
        <v>69</v>
      </c>
      <c r="AF14" t="s">
        <v>70</v>
      </c>
      <c r="AG14" t="s">
        <v>311</v>
      </c>
      <c r="AH14">
        <v>3</v>
      </c>
      <c r="AI14" t="s">
        <v>65</v>
      </c>
      <c r="AJ14" t="s">
        <v>65</v>
      </c>
      <c r="AK14" t="s">
        <v>65</v>
      </c>
      <c r="AM14" t="s">
        <v>75</v>
      </c>
      <c r="AN14">
        <v>0</v>
      </c>
      <c r="AO14">
        <v>0</v>
      </c>
    </row>
    <row r="15" spans="1:44" hidden="1" x14ac:dyDescent="0.25">
      <c r="A15">
        <v>14</v>
      </c>
      <c r="B15" s="1" t="s">
        <v>44</v>
      </c>
      <c r="C15" t="s">
        <v>312</v>
      </c>
      <c r="D15" t="s">
        <v>241</v>
      </c>
      <c r="E15" t="s">
        <v>47</v>
      </c>
      <c r="F15" t="s">
        <v>48</v>
      </c>
      <c r="G15" t="s">
        <v>313</v>
      </c>
      <c r="H15" t="s">
        <v>314</v>
      </c>
      <c r="I15" t="s">
        <v>315</v>
      </c>
      <c r="J15">
        <v>2</v>
      </c>
      <c r="K15">
        <v>26.06</v>
      </c>
      <c r="L15" t="s">
        <v>316</v>
      </c>
      <c r="M15" t="s">
        <v>317</v>
      </c>
      <c r="N15" t="s">
        <v>83</v>
      </c>
      <c r="O15" t="s">
        <v>318</v>
      </c>
      <c r="P15" t="s">
        <v>319</v>
      </c>
      <c r="Q15" t="s">
        <v>320</v>
      </c>
      <c r="R15" t="s">
        <v>321</v>
      </c>
      <c r="S15" t="s">
        <v>322</v>
      </c>
      <c r="T15">
        <v>2006250</v>
      </c>
      <c r="U15">
        <v>2675000</v>
      </c>
      <c r="V15" t="s">
        <v>323</v>
      </c>
      <c r="W15" t="s">
        <v>307</v>
      </c>
      <c r="X15" t="s">
        <v>324</v>
      </c>
      <c r="Y15" t="s">
        <v>325</v>
      </c>
      <c r="Z15" t="s">
        <v>64</v>
      </c>
      <c r="AA15" t="s">
        <v>65</v>
      </c>
      <c r="AB15" t="s">
        <v>326</v>
      </c>
      <c r="AC15" t="s">
        <v>67</v>
      </c>
      <c r="AD15" t="s">
        <v>327</v>
      </c>
      <c r="AE15" t="s">
        <v>69</v>
      </c>
      <c r="AF15" t="s">
        <v>70</v>
      </c>
      <c r="AG15" t="s">
        <v>328</v>
      </c>
      <c r="AH15">
        <v>3</v>
      </c>
      <c r="AI15" t="s">
        <v>198</v>
      </c>
      <c r="AJ15" t="s">
        <v>329</v>
      </c>
      <c r="AK15" t="s">
        <v>330</v>
      </c>
      <c r="AM15" t="s">
        <v>75</v>
      </c>
      <c r="AN15">
        <v>0</v>
      </c>
      <c r="AO15">
        <v>0</v>
      </c>
    </row>
    <row r="16" spans="1:44" hidden="1" x14ac:dyDescent="0.25">
      <c r="A16">
        <v>15</v>
      </c>
      <c r="B16" s="1" t="s">
        <v>44</v>
      </c>
      <c r="C16" t="s">
        <v>331</v>
      </c>
      <c r="D16" t="s">
        <v>46</v>
      </c>
      <c r="E16" t="s">
        <v>47</v>
      </c>
      <c r="F16" t="s">
        <v>48</v>
      </c>
      <c r="G16" t="s">
        <v>182</v>
      </c>
      <c r="H16" t="s">
        <v>332</v>
      </c>
      <c r="I16" t="s">
        <v>333</v>
      </c>
      <c r="J16">
        <v>2</v>
      </c>
      <c r="K16">
        <v>25.55</v>
      </c>
      <c r="L16" t="s">
        <v>334</v>
      </c>
      <c r="M16" t="s">
        <v>335</v>
      </c>
      <c r="N16" t="s">
        <v>187</v>
      </c>
      <c r="O16" t="s">
        <v>336</v>
      </c>
      <c r="P16" t="s">
        <v>65</v>
      </c>
      <c r="Q16" t="s">
        <v>337</v>
      </c>
      <c r="R16" t="s">
        <v>65</v>
      </c>
      <c r="S16" t="s">
        <v>338</v>
      </c>
      <c r="T16">
        <v>1704000</v>
      </c>
      <c r="U16">
        <v>2130000</v>
      </c>
      <c r="V16" t="s">
        <v>339</v>
      </c>
      <c r="W16" t="s">
        <v>307</v>
      </c>
      <c r="X16" t="s">
        <v>340</v>
      </c>
      <c r="Y16" t="s">
        <v>341</v>
      </c>
      <c r="Z16" t="s">
        <v>64</v>
      </c>
      <c r="AA16" t="s">
        <v>65</v>
      </c>
      <c r="AB16" t="s">
        <v>342</v>
      </c>
      <c r="AC16" t="s">
        <v>67</v>
      </c>
      <c r="AD16" t="s">
        <v>343</v>
      </c>
      <c r="AE16" t="s">
        <v>69</v>
      </c>
      <c r="AF16" t="s">
        <v>70</v>
      </c>
      <c r="AG16" t="s">
        <v>344</v>
      </c>
      <c r="AH16">
        <v>3</v>
      </c>
      <c r="AI16" t="s">
        <v>237</v>
      </c>
      <c r="AJ16" t="s">
        <v>345</v>
      </c>
      <c r="AK16" t="s">
        <v>239</v>
      </c>
      <c r="AM16" t="s">
        <v>75</v>
      </c>
      <c r="AN16">
        <v>0</v>
      </c>
      <c r="AO16">
        <v>0</v>
      </c>
    </row>
    <row r="17" spans="1:41" hidden="1" x14ac:dyDescent="0.25">
      <c r="A17">
        <v>16</v>
      </c>
      <c r="B17" s="1" t="s">
        <v>44</v>
      </c>
      <c r="C17" t="s">
        <v>346</v>
      </c>
      <c r="D17" t="s">
        <v>241</v>
      </c>
      <c r="E17" t="s">
        <v>47</v>
      </c>
      <c r="F17" t="s">
        <v>48</v>
      </c>
      <c r="G17" t="s">
        <v>347</v>
      </c>
      <c r="H17" t="s">
        <v>348</v>
      </c>
      <c r="I17" t="s">
        <v>349</v>
      </c>
      <c r="J17">
        <v>2.5</v>
      </c>
      <c r="K17">
        <v>26.2</v>
      </c>
      <c r="L17" t="s">
        <v>350</v>
      </c>
      <c r="M17" t="s">
        <v>351</v>
      </c>
      <c r="N17" t="s">
        <v>54</v>
      </c>
      <c r="O17" t="s">
        <v>352</v>
      </c>
      <c r="P17" t="s">
        <v>353</v>
      </c>
      <c r="Q17" t="s">
        <v>354</v>
      </c>
      <c r="R17" t="s">
        <v>355</v>
      </c>
      <c r="S17" t="s">
        <v>356</v>
      </c>
      <c r="T17">
        <v>2999400</v>
      </c>
      <c r="U17">
        <v>4999000</v>
      </c>
      <c r="V17" t="s">
        <v>357</v>
      </c>
      <c r="W17" t="s">
        <v>358</v>
      </c>
      <c r="X17" t="s">
        <v>359</v>
      </c>
      <c r="Y17" t="s">
        <v>360</v>
      </c>
      <c r="Z17" t="s">
        <v>64</v>
      </c>
      <c r="AA17" t="s">
        <v>361</v>
      </c>
      <c r="AB17" t="s">
        <v>362</v>
      </c>
      <c r="AC17" t="s">
        <v>175</v>
      </c>
      <c r="AD17" t="s">
        <v>363</v>
      </c>
      <c r="AE17" t="s">
        <v>177</v>
      </c>
      <c r="AF17" t="s">
        <v>70</v>
      </c>
      <c r="AG17" t="s">
        <v>364</v>
      </c>
      <c r="AH17">
        <v>5</v>
      </c>
      <c r="AI17" t="s">
        <v>100</v>
      </c>
      <c r="AJ17" t="s">
        <v>65</v>
      </c>
      <c r="AK17" t="s">
        <v>65</v>
      </c>
      <c r="AM17" t="s">
        <v>180</v>
      </c>
      <c r="AN17">
        <v>0</v>
      </c>
      <c r="AO17">
        <v>0</v>
      </c>
    </row>
    <row r="18" spans="1:41" hidden="1" x14ac:dyDescent="0.25">
      <c r="A18">
        <v>17</v>
      </c>
      <c r="B18" s="1" t="s">
        <v>44</v>
      </c>
      <c r="C18" t="s">
        <v>365</v>
      </c>
      <c r="D18" t="s">
        <v>46</v>
      </c>
      <c r="E18" t="s">
        <v>47</v>
      </c>
      <c r="F18" t="s">
        <v>48</v>
      </c>
      <c r="G18" t="s">
        <v>366</v>
      </c>
      <c r="H18" t="s">
        <v>367</v>
      </c>
      <c r="I18" t="s">
        <v>368</v>
      </c>
      <c r="J18">
        <v>2</v>
      </c>
      <c r="K18">
        <v>25.45</v>
      </c>
      <c r="L18" t="s">
        <v>369</v>
      </c>
      <c r="M18" t="s">
        <v>370</v>
      </c>
      <c r="N18" t="s">
        <v>187</v>
      </c>
      <c r="O18" t="s">
        <v>371</v>
      </c>
      <c r="P18" t="s">
        <v>372</v>
      </c>
      <c r="Q18" t="s">
        <v>372</v>
      </c>
      <c r="R18" t="s">
        <v>372</v>
      </c>
      <c r="S18" t="s">
        <v>373</v>
      </c>
      <c r="T18">
        <v>2041800</v>
      </c>
      <c r="U18">
        <v>3403000</v>
      </c>
      <c r="V18" t="s">
        <v>374</v>
      </c>
      <c r="W18" t="s">
        <v>375</v>
      </c>
      <c r="X18" t="s">
        <v>376</v>
      </c>
      <c r="Y18" t="s">
        <v>377</v>
      </c>
      <c r="Z18" t="s">
        <v>64</v>
      </c>
      <c r="AA18" t="s">
        <v>65</v>
      </c>
      <c r="AB18" t="s">
        <v>378</v>
      </c>
      <c r="AC18" t="s">
        <v>67</v>
      </c>
      <c r="AD18" t="s">
        <v>379</v>
      </c>
      <c r="AE18" t="s">
        <v>69</v>
      </c>
      <c r="AF18" t="s">
        <v>70</v>
      </c>
      <c r="AG18" t="s">
        <v>380</v>
      </c>
      <c r="AH18">
        <v>3</v>
      </c>
      <c r="AI18" t="s">
        <v>237</v>
      </c>
      <c r="AJ18" t="s">
        <v>381</v>
      </c>
      <c r="AK18" t="s">
        <v>258</v>
      </c>
      <c r="AM18" t="s">
        <v>75</v>
      </c>
      <c r="AN18">
        <v>0</v>
      </c>
      <c r="AO18">
        <v>0</v>
      </c>
    </row>
    <row r="19" spans="1:41" hidden="1" x14ac:dyDescent="0.25">
      <c r="A19">
        <v>18</v>
      </c>
      <c r="B19" s="1" t="s">
        <v>44</v>
      </c>
      <c r="C19" t="s">
        <v>382</v>
      </c>
      <c r="D19" t="s">
        <v>241</v>
      </c>
      <c r="E19" t="s">
        <v>47</v>
      </c>
      <c r="F19" t="s">
        <v>48</v>
      </c>
      <c r="G19" t="s">
        <v>383</v>
      </c>
      <c r="H19" t="s">
        <v>384</v>
      </c>
      <c r="I19" t="s">
        <v>385</v>
      </c>
      <c r="J19">
        <v>2</v>
      </c>
      <c r="K19">
        <v>26.19</v>
      </c>
      <c r="L19" t="s">
        <v>386</v>
      </c>
      <c r="M19" t="s">
        <v>387</v>
      </c>
      <c r="N19" t="s">
        <v>54</v>
      </c>
      <c r="O19" t="s">
        <v>388</v>
      </c>
      <c r="P19" t="s">
        <v>389</v>
      </c>
      <c r="Q19" t="s">
        <v>390</v>
      </c>
      <c r="R19" t="s">
        <v>391</v>
      </c>
      <c r="S19" t="s">
        <v>392</v>
      </c>
      <c r="T19">
        <v>2927250</v>
      </c>
      <c r="U19">
        <v>3903000</v>
      </c>
      <c r="V19" t="s">
        <v>393</v>
      </c>
      <c r="W19" t="s">
        <v>394</v>
      </c>
      <c r="X19" t="s">
        <v>395</v>
      </c>
      <c r="Y19" t="s">
        <v>396</v>
      </c>
      <c r="Z19" t="s">
        <v>64</v>
      </c>
      <c r="AA19" t="s">
        <v>65</v>
      </c>
      <c r="AB19" t="s">
        <v>397</v>
      </c>
      <c r="AC19" t="s">
        <v>67</v>
      </c>
      <c r="AD19" t="s">
        <v>398</v>
      </c>
      <c r="AE19" t="s">
        <v>399</v>
      </c>
      <c r="AF19" t="s">
        <v>400</v>
      </c>
      <c r="AG19" t="s">
        <v>401</v>
      </c>
      <c r="AH19">
        <v>3</v>
      </c>
      <c r="AI19" t="s">
        <v>237</v>
      </c>
      <c r="AJ19" t="s">
        <v>402</v>
      </c>
      <c r="AK19" t="s">
        <v>403</v>
      </c>
      <c r="AM19" t="s">
        <v>75</v>
      </c>
      <c r="AN19">
        <v>0</v>
      </c>
      <c r="AO19">
        <v>0</v>
      </c>
    </row>
    <row r="20" spans="1:41" hidden="1" x14ac:dyDescent="0.25">
      <c r="A20">
        <v>19</v>
      </c>
      <c r="B20" s="1" t="s">
        <v>44</v>
      </c>
      <c r="C20" t="s">
        <v>404</v>
      </c>
      <c r="D20" t="s">
        <v>46</v>
      </c>
      <c r="E20" t="s">
        <v>47</v>
      </c>
      <c r="F20" t="s">
        <v>48</v>
      </c>
      <c r="G20" t="s">
        <v>182</v>
      </c>
      <c r="H20" t="s">
        <v>405</v>
      </c>
      <c r="I20" t="s">
        <v>406</v>
      </c>
      <c r="J20">
        <v>2</v>
      </c>
      <c r="K20">
        <v>25.56</v>
      </c>
      <c r="L20" t="s">
        <v>407</v>
      </c>
      <c r="M20" t="s">
        <v>408</v>
      </c>
      <c r="N20" t="s">
        <v>54</v>
      </c>
      <c r="O20" t="s">
        <v>409</v>
      </c>
      <c r="P20" t="s">
        <v>410</v>
      </c>
      <c r="Q20" t="s">
        <v>411</v>
      </c>
      <c r="R20" t="s">
        <v>410</v>
      </c>
      <c r="S20" t="s">
        <v>412</v>
      </c>
      <c r="T20">
        <v>993000</v>
      </c>
      <c r="U20">
        <v>1655000</v>
      </c>
      <c r="V20" t="s">
        <v>413</v>
      </c>
      <c r="W20" t="s">
        <v>394</v>
      </c>
      <c r="X20" t="s">
        <v>414</v>
      </c>
      <c r="Y20" t="s">
        <v>415</v>
      </c>
      <c r="Z20" t="s">
        <v>64</v>
      </c>
      <c r="AA20" t="s">
        <v>65</v>
      </c>
      <c r="AB20" t="s">
        <v>416</v>
      </c>
      <c r="AC20" t="s">
        <v>67</v>
      </c>
      <c r="AD20" t="s">
        <v>417</v>
      </c>
      <c r="AE20" t="s">
        <v>69</v>
      </c>
      <c r="AF20" t="s">
        <v>70</v>
      </c>
      <c r="AG20" t="s">
        <v>418</v>
      </c>
      <c r="AH20">
        <v>3</v>
      </c>
      <c r="AI20" t="s">
        <v>237</v>
      </c>
      <c r="AJ20" t="s">
        <v>419</v>
      </c>
      <c r="AK20" t="s">
        <v>403</v>
      </c>
      <c r="AM20" t="s">
        <v>75</v>
      </c>
      <c r="AN20">
        <v>0</v>
      </c>
      <c r="AO20">
        <v>0</v>
      </c>
    </row>
    <row r="21" spans="1:41" hidden="1" x14ac:dyDescent="0.25">
      <c r="A21">
        <v>20</v>
      </c>
      <c r="B21" s="1" t="s">
        <v>44</v>
      </c>
      <c r="C21" t="s">
        <v>420</v>
      </c>
      <c r="D21" t="s">
        <v>77</v>
      </c>
      <c r="E21" t="s">
        <v>47</v>
      </c>
      <c r="F21" t="s">
        <v>48</v>
      </c>
      <c r="G21" t="s">
        <v>421</v>
      </c>
      <c r="H21" t="s">
        <v>422</v>
      </c>
      <c r="I21" t="s">
        <v>423</v>
      </c>
      <c r="J21">
        <v>1.4</v>
      </c>
      <c r="K21">
        <v>22.69</v>
      </c>
      <c r="L21" t="s">
        <v>424</v>
      </c>
      <c r="M21" t="s">
        <v>425</v>
      </c>
      <c r="N21" t="s">
        <v>187</v>
      </c>
      <c r="O21" t="s">
        <v>426</v>
      </c>
      <c r="P21" t="s">
        <v>427</v>
      </c>
      <c r="Q21" t="s">
        <v>428</v>
      </c>
      <c r="R21" t="s">
        <v>167</v>
      </c>
      <c r="S21" t="s">
        <v>429</v>
      </c>
      <c r="T21">
        <v>3720000</v>
      </c>
      <c r="U21">
        <v>4960000</v>
      </c>
      <c r="V21" t="s">
        <v>430</v>
      </c>
      <c r="W21" t="s">
        <v>431</v>
      </c>
      <c r="X21" t="s">
        <v>432</v>
      </c>
      <c r="Y21" t="s">
        <v>433</v>
      </c>
      <c r="Z21" t="s">
        <v>434</v>
      </c>
      <c r="AA21" t="s">
        <v>65</v>
      </c>
      <c r="AB21" t="s">
        <v>435</v>
      </c>
      <c r="AC21" t="s">
        <v>436</v>
      </c>
      <c r="AD21" s="2">
        <v>45195</v>
      </c>
      <c r="AE21" t="s">
        <v>437</v>
      </c>
      <c r="AF21" t="s">
        <v>400</v>
      </c>
      <c r="AG21" t="s">
        <v>438</v>
      </c>
      <c r="AH21">
        <v>1</v>
      </c>
      <c r="AI21" t="s">
        <v>237</v>
      </c>
      <c r="AJ21" t="s">
        <v>439</v>
      </c>
      <c r="AK21" t="s">
        <v>440</v>
      </c>
      <c r="AM21" t="s">
        <v>441</v>
      </c>
      <c r="AN21">
        <v>0</v>
      </c>
      <c r="AO21">
        <v>0</v>
      </c>
    </row>
    <row r="22" spans="1:41" hidden="1" x14ac:dyDescent="0.25">
      <c r="A22">
        <v>21</v>
      </c>
      <c r="B22" s="1" t="s">
        <v>44</v>
      </c>
      <c r="C22" t="s">
        <v>442</v>
      </c>
      <c r="D22" t="s">
        <v>46</v>
      </c>
      <c r="E22" t="s">
        <v>47</v>
      </c>
      <c r="F22" t="s">
        <v>48</v>
      </c>
      <c r="G22" t="s">
        <v>443</v>
      </c>
      <c r="H22" t="s">
        <v>444</v>
      </c>
      <c r="I22" t="s">
        <v>445</v>
      </c>
      <c r="J22">
        <v>1.75</v>
      </c>
      <c r="K22">
        <v>26.21</v>
      </c>
      <c r="L22" t="s">
        <v>446</v>
      </c>
      <c r="M22" t="s">
        <v>447</v>
      </c>
      <c r="N22" t="s">
        <v>164</v>
      </c>
      <c r="O22" t="s">
        <v>448</v>
      </c>
      <c r="P22" t="s">
        <v>449</v>
      </c>
      <c r="Q22" t="s">
        <v>65</v>
      </c>
      <c r="R22" t="s">
        <v>450</v>
      </c>
      <c r="S22" t="s">
        <v>451</v>
      </c>
      <c r="T22">
        <v>4074750</v>
      </c>
      <c r="U22">
        <v>5433000</v>
      </c>
      <c r="V22" t="s">
        <v>452</v>
      </c>
      <c r="W22" t="s">
        <v>453</v>
      </c>
      <c r="X22" t="s">
        <v>454</v>
      </c>
      <c r="Y22" t="s">
        <v>455</v>
      </c>
      <c r="Z22" t="s">
        <v>64</v>
      </c>
      <c r="AA22" t="s">
        <v>65</v>
      </c>
      <c r="AB22" t="s">
        <v>456</v>
      </c>
      <c r="AC22" t="s">
        <v>67</v>
      </c>
      <c r="AD22" t="s">
        <v>457</v>
      </c>
      <c r="AE22" t="s">
        <v>69</v>
      </c>
      <c r="AF22" t="s">
        <v>70</v>
      </c>
      <c r="AG22" t="s">
        <v>458</v>
      </c>
      <c r="AH22">
        <v>3</v>
      </c>
      <c r="AI22" t="s">
        <v>65</v>
      </c>
      <c r="AJ22" t="s">
        <v>65</v>
      </c>
      <c r="AK22" t="s">
        <v>65</v>
      </c>
      <c r="AM22" t="s">
        <v>102</v>
      </c>
      <c r="AN22">
        <v>0</v>
      </c>
      <c r="AO22">
        <v>0</v>
      </c>
    </row>
    <row r="23" spans="1:41" hidden="1" x14ac:dyDescent="0.25">
      <c r="A23">
        <v>22</v>
      </c>
      <c r="B23" s="1" t="s">
        <v>44</v>
      </c>
      <c r="C23" t="s">
        <v>459</v>
      </c>
      <c r="D23" t="s">
        <v>46</v>
      </c>
      <c r="E23" t="s">
        <v>47</v>
      </c>
      <c r="F23" t="s">
        <v>48</v>
      </c>
      <c r="G23" t="s">
        <v>383</v>
      </c>
      <c r="H23" t="s">
        <v>460</v>
      </c>
      <c r="I23" t="s">
        <v>461</v>
      </c>
      <c r="J23">
        <v>2</v>
      </c>
      <c r="K23">
        <v>25.68</v>
      </c>
      <c r="L23" t="s">
        <v>462</v>
      </c>
      <c r="M23" t="s">
        <v>463</v>
      </c>
      <c r="N23" t="s">
        <v>54</v>
      </c>
      <c r="O23" t="s">
        <v>464</v>
      </c>
      <c r="P23" t="s">
        <v>465</v>
      </c>
      <c r="Q23" t="s">
        <v>466</v>
      </c>
      <c r="R23" t="s">
        <v>467</v>
      </c>
      <c r="S23" t="s">
        <v>468</v>
      </c>
      <c r="T23">
        <v>1949500</v>
      </c>
      <c r="U23">
        <v>3899000</v>
      </c>
      <c r="V23" t="s">
        <v>469</v>
      </c>
      <c r="W23" t="s">
        <v>453</v>
      </c>
      <c r="X23" t="s">
        <v>470</v>
      </c>
      <c r="Y23" t="s">
        <v>471</v>
      </c>
      <c r="Z23" t="s">
        <v>64</v>
      </c>
      <c r="AA23" t="s">
        <v>65</v>
      </c>
      <c r="AB23" t="s">
        <v>397</v>
      </c>
      <c r="AC23" t="s">
        <v>67</v>
      </c>
      <c r="AD23" t="s">
        <v>472</v>
      </c>
      <c r="AE23" t="s">
        <v>399</v>
      </c>
      <c r="AF23" t="s">
        <v>400</v>
      </c>
      <c r="AG23" t="s">
        <v>473</v>
      </c>
      <c r="AH23">
        <v>3</v>
      </c>
      <c r="AI23" t="s">
        <v>237</v>
      </c>
      <c r="AJ23" t="s">
        <v>474</v>
      </c>
      <c r="AK23" t="s">
        <v>475</v>
      </c>
      <c r="AM23" t="s">
        <v>75</v>
      </c>
      <c r="AN23">
        <v>0</v>
      </c>
      <c r="AO23">
        <v>0</v>
      </c>
    </row>
    <row r="24" spans="1:41" hidden="1" x14ac:dyDescent="0.25">
      <c r="A24">
        <v>23</v>
      </c>
      <c r="B24" s="1" t="s">
        <v>44</v>
      </c>
      <c r="C24" t="s">
        <v>476</v>
      </c>
      <c r="D24" t="s">
        <v>241</v>
      </c>
      <c r="E24" t="s">
        <v>47</v>
      </c>
      <c r="F24" t="s">
        <v>48</v>
      </c>
      <c r="G24" t="s">
        <v>477</v>
      </c>
      <c r="H24" t="s">
        <v>478</v>
      </c>
      <c r="I24" t="s">
        <v>479</v>
      </c>
      <c r="J24">
        <v>2</v>
      </c>
      <c r="K24">
        <v>26.06</v>
      </c>
      <c r="L24" t="s">
        <v>480</v>
      </c>
      <c r="M24" t="s">
        <v>481</v>
      </c>
      <c r="N24" t="s">
        <v>265</v>
      </c>
      <c r="O24" t="s">
        <v>482</v>
      </c>
      <c r="P24" t="s">
        <v>483</v>
      </c>
      <c r="Q24" t="s">
        <v>65</v>
      </c>
      <c r="R24" t="s">
        <v>484</v>
      </c>
      <c r="S24" t="s">
        <v>485</v>
      </c>
      <c r="T24">
        <v>1464000</v>
      </c>
      <c r="U24">
        <v>1830000</v>
      </c>
      <c r="V24" t="s">
        <v>486</v>
      </c>
      <c r="W24" t="s">
        <v>453</v>
      </c>
      <c r="X24" t="s">
        <v>487</v>
      </c>
      <c r="Y24" t="s">
        <v>488</v>
      </c>
      <c r="Z24" t="s">
        <v>64</v>
      </c>
      <c r="AA24" t="s">
        <v>65</v>
      </c>
      <c r="AB24" t="s">
        <v>489</v>
      </c>
      <c r="AC24" t="s">
        <v>67</v>
      </c>
      <c r="AD24" t="s">
        <v>490</v>
      </c>
      <c r="AE24" t="s">
        <v>69</v>
      </c>
      <c r="AF24" t="s">
        <v>70</v>
      </c>
      <c r="AG24" t="s">
        <v>491</v>
      </c>
      <c r="AH24">
        <v>3</v>
      </c>
      <c r="AI24" t="s">
        <v>237</v>
      </c>
      <c r="AJ24" t="s">
        <v>492</v>
      </c>
      <c r="AK24" t="s">
        <v>403</v>
      </c>
      <c r="AM24" t="s">
        <v>75</v>
      </c>
      <c r="AN24">
        <v>0</v>
      </c>
      <c r="AO24">
        <v>0</v>
      </c>
    </row>
    <row r="25" spans="1:41" hidden="1" x14ac:dyDescent="0.25">
      <c r="A25">
        <v>24</v>
      </c>
      <c r="B25" s="1" t="s">
        <v>44</v>
      </c>
      <c r="C25" t="s">
        <v>493</v>
      </c>
      <c r="D25" t="s">
        <v>77</v>
      </c>
      <c r="E25" t="s">
        <v>47</v>
      </c>
      <c r="F25" t="s">
        <v>48</v>
      </c>
      <c r="G25" t="s">
        <v>78</v>
      </c>
      <c r="H25" t="s">
        <v>494</v>
      </c>
      <c r="I25" t="s">
        <v>495</v>
      </c>
      <c r="J25">
        <v>3.2</v>
      </c>
      <c r="K25">
        <v>27.69</v>
      </c>
      <c r="L25" t="s">
        <v>496</v>
      </c>
      <c r="M25" t="s">
        <v>497</v>
      </c>
      <c r="N25" t="s">
        <v>83</v>
      </c>
      <c r="O25" t="s">
        <v>498</v>
      </c>
      <c r="P25" t="s">
        <v>65</v>
      </c>
      <c r="Q25" t="s">
        <v>499</v>
      </c>
      <c r="R25" t="s">
        <v>65</v>
      </c>
      <c r="S25" t="s">
        <v>500</v>
      </c>
      <c r="T25">
        <v>855000</v>
      </c>
      <c r="U25">
        <v>1140000</v>
      </c>
      <c r="V25" t="s">
        <v>501</v>
      </c>
      <c r="W25" t="s">
        <v>502</v>
      </c>
      <c r="X25" t="s">
        <v>503</v>
      </c>
      <c r="Y25" t="s">
        <v>504</v>
      </c>
      <c r="Z25" t="s">
        <v>93</v>
      </c>
      <c r="AA25" t="s">
        <v>505</v>
      </c>
      <c r="AB25" t="s">
        <v>506</v>
      </c>
      <c r="AC25" t="s">
        <v>507</v>
      </c>
      <c r="AD25" t="s">
        <v>508</v>
      </c>
      <c r="AE25" t="s">
        <v>509</v>
      </c>
      <c r="AF25" t="s">
        <v>400</v>
      </c>
      <c r="AG25" t="s">
        <v>510</v>
      </c>
      <c r="AH25">
        <v>7</v>
      </c>
      <c r="AI25" t="s">
        <v>511</v>
      </c>
      <c r="AJ25" t="s">
        <v>512</v>
      </c>
      <c r="AK25" t="s">
        <v>513</v>
      </c>
      <c r="AM25" t="s">
        <v>514</v>
      </c>
      <c r="AN25">
        <v>0</v>
      </c>
      <c r="AO25">
        <v>0</v>
      </c>
    </row>
    <row r="26" spans="1:41" hidden="1" x14ac:dyDescent="0.25">
      <c r="A26">
        <v>25</v>
      </c>
      <c r="B26" s="1" t="s">
        <v>44</v>
      </c>
      <c r="C26" t="s">
        <v>515</v>
      </c>
      <c r="D26" t="s">
        <v>77</v>
      </c>
      <c r="E26" t="s">
        <v>47</v>
      </c>
      <c r="F26" t="s">
        <v>48</v>
      </c>
      <c r="G26" t="s">
        <v>516</v>
      </c>
      <c r="H26" t="s">
        <v>517</v>
      </c>
      <c r="I26" t="s">
        <v>518</v>
      </c>
      <c r="J26">
        <v>1.75</v>
      </c>
      <c r="K26">
        <v>25.19</v>
      </c>
      <c r="L26" t="s">
        <v>519</v>
      </c>
      <c r="M26" t="s">
        <v>520</v>
      </c>
      <c r="N26" t="s">
        <v>187</v>
      </c>
      <c r="O26" t="s">
        <v>521</v>
      </c>
      <c r="P26" t="s">
        <v>65</v>
      </c>
      <c r="Q26" t="s">
        <v>522</v>
      </c>
      <c r="R26" t="s">
        <v>523</v>
      </c>
      <c r="S26" t="s">
        <v>524</v>
      </c>
      <c r="T26">
        <v>1470000</v>
      </c>
      <c r="U26">
        <v>2100000</v>
      </c>
      <c r="V26" t="s">
        <v>525</v>
      </c>
      <c r="W26" t="s">
        <v>526</v>
      </c>
      <c r="X26" t="s">
        <v>527</v>
      </c>
      <c r="Y26" t="s">
        <v>528</v>
      </c>
      <c r="Z26" t="s">
        <v>93</v>
      </c>
      <c r="AA26" t="s">
        <v>529</v>
      </c>
      <c r="AB26" t="s">
        <v>530</v>
      </c>
      <c r="AC26" t="s">
        <v>531</v>
      </c>
      <c r="AD26" t="s">
        <v>453</v>
      </c>
      <c r="AE26" t="s">
        <v>453</v>
      </c>
      <c r="AF26" t="s">
        <v>532</v>
      </c>
      <c r="AG26" t="s">
        <v>533</v>
      </c>
      <c r="AH26">
        <v>2</v>
      </c>
      <c r="AI26" t="s">
        <v>100</v>
      </c>
      <c r="AJ26" t="s">
        <v>534</v>
      </c>
      <c r="AK26" t="s">
        <v>453</v>
      </c>
      <c r="AM26" t="s">
        <v>102</v>
      </c>
      <c r="AN26">
        <v>0</v>
      </c>
      <c r="AO26">
        <v>0</v>
      </c>
    </row>
    <row r="27" spans="1:41" hidden="1" x14ac:dyDescent="0.25">
      <c r="A27">
        <v>26</v>
      </c>
      <c r="B27" s="1" t="s">
        <v>44</v>
      </c>
      <c r="C27" t="s">
        <v>535</v>
      </c>
      <c r="D27" t="s">
        <v>277</v>
      </c>
      <c r="E27" t="s">
        <v>47</v>
      </c>
      <c r="F27" t="s">
        <v>48</v>
      </c>
      <c r="G27" t="s">
        <v>120</v>
      </c>
      <c r="H27" t="s">
        <v>536</v>
      </c>
      <c r="I27" t="s">
        <v>537</v>
      </c>
      <c r="J27">
        <v>2.5</v>
      </c>
      <c r="K27">
        <v>29.44</v>
      </c>
      <c r="L27" t="s">
        <v>538</v>
      </c>
      <c r="M27" t="s">
        <v>539</v>
      </c>
      <c r="N27" t="s">
        <v>54</v>
      </c>
      <c r="O27" t="s">
        <v>540</v>
      </c>
      <c r="P27" t="s">
        <v>541</v>
      </c>
      <c r="Q27" t="s">
        <v>542</v>
      </c>
      <c r="R27" t="s">
        <v>543</v>
      </c>
      <c r="S27" t="s">
        <v>544</v>
      </c>
      <c r="T27">
        <v>1820000</v>
      </c>
      <c r="U27">
        <v>2600000</v>
      </c>
      <c r="V27" t="s">
        <v>545</v>
      </c>
      <c r="W27" t="s">
        <v>546</v>
      </c>
      <c r="X27" t="s">
        <v>547</v>
      </c>
      <c r="Y27" t="s">
        <v>548</v>
      </c>
      <c r="Z27" t="s">
        <v>549</v>
      </c>
      <c r="AA27" t="s">
        <v>550</v>
      </c>
      <c r="AB27" t="s">
        <v>551</v>
      </c>
      <c r="AC27" t="s">
        <v>552</v>
      </c>
      <c r="AD27" t="s">
        <v>553</v>
      </c>
      <c r="AE27" t="s">
        <v>554</v>
      </c>
      <c r="AF27" t="s">
        <v>532</v>
      </c>
      <c r="AG27" t="s">
        <v>555</v>
      </c>
      <c r="AH27">
        <v>5</v>
      </c>
      <c r="AI27" t="s">
        <v>237</v>
      </c>
      <c r="AJ27" t="s">
        <v>556</v>
      </c>
      <c r="AK27" t="s">
        <v>554</v>
      </c>
      <c r="AM27" t="s">
        <v>180</v>
      </c>
      <c r="AN27">
        <v>0</v>
      </c>
      <c r="AO27">
        <v>0</v>
      </c>
    </row>
    <row r="28" spans="1:41" hidden="1" x14ac:dyDescent="0.25">
      <c r="A28">
        <v>27</v>
      </c>
      <c r="B28" s="1" t="s">
        <v>44</v>
      </c>
      <c r="C28" t="s">
        <v>557</v>
      </c>
      <c r="D28" t="s">
        <v>77</v>
      </c>
      <c r="E28" t="s">
        <v>47</v>
      </c>
      <c r="F28" t="s">
        <v>48</v>
      </c>
      <c r="G28" t="s">
        <v>78</v>
      </c>
      <c r="H28" t="s">
        <v>558</v>
      </c>
      <c r="I28" t="s">
        <v>559</v>
      </c>
      <c r="J28">
        <v>1.5</v>
      </c>
      <c r="K28">
        <v>26.19</v>
      </c>
      <c r="L28" t="s">
        <v>560</v>
      </c>
      <c r="M28" t="s">
        <v>561</v>
      </c>
      <c r="N28" t="s">
        <v>83</v>
      </c>
      <c r="O28" t="s">
        <v>562</v>
      </c>
      <c r="P28" t="s">
        <v>563</v>
      </c>
      <c r="Q28" t="s">
        <v>563</v>
      </c>
      <c r="R28" t="s">
        <v>167</v>
      </c>
      <c r="S28" t="s">
        <v>564</v>
      </c>
      <c r="T28">
        <v>2968000</v>
      </c>
      <c r="U28">
        <v>5600000</v>
      </c>
      <c r="V28" t="s">
        <v>565</v>
      </c>
      <c r="W28" t="s">
        <v>566</v>
      </c>
      <c r="X28" t="s">
        <v>567</v>
      </c>
      <c r="Y28" t="s">
        <v>568</v>
      </c>
      <c r="Z28" t="s">
        <v>93</v>
      </c>
      <c r="AA28" t="s">
        <v>569</v>
      </c>
      <c r="AB28" t="s">
        <v>132</v>
      </c>
      <c r="AC28" t="s">
        <v>151</v>
      </c>
      <c r="AD28" t="s">
        <v>394</v>
      </c>
      <c r="AE28" t="s">
        <v>231</v>
      </c>
      <c r="AF28" t="s">
        <v>400</v>
      </c>
      <c r="AG28" t="s">
        <v>570</v>
      </c>
      <c r="AH28">
        <v>2</v>
      </c>
      <c r="AI28" t="s">
        <v>100</v>
      </c>
      <c r="AJ28" t="s">
        <v>571</v>
      </c>
      <c r="AK28" t="s">
        <v>453</v>
      </c>
      <c r="AM28" t="s">
        <v>157</v>
      </c>
      <c r="AN28">
        <v>0</v>
      </c>
      <c r="AO28">
        <v>0</v>
      </c>
    </row>
    <row r="29" spans="1:41" hidden="1" x14ac:dyDescent="0.25">
      <c r="A29">
        <v>28</v>
      </c>
      <c r="B29" s="1" t="s">
        <v>44</v>
      </c>
      <c r="C29" t="s">
        <v>572</v>
      </c>
      <c r="D29" t="s">
        <v>46</v>
      </c>
      <c r="E29" t="s">
        <v>47</v>
      </c>
      <c r="F29" t="s">
        <v>48</v>
      </c>
      <c r="G29" t="s">
        <v>573</v>
      </c>
      <c r="H29" t="s">
        <v>574</v>
      </c>
      <c r="I29" t="s">
        <v>575</v>
      </c>
      <c r="J29">
        <v>1.75</v>
      </c>
      <c r="K29">
        <v>25.94</v>
      </c>
      <c r="L29" t="s">
        <v>576</v>
      </c>
      <c r="M29" t="s">
        <v>577</v>
      </c>
      <c r="N29" t="s">
        <v>578</v>
      </c>
      <c r="O29" t="s">
        <v>579</v>
      </c>
      <c r="P29" t="s">
        <v>580</v>
      </c>
      <c r="Q29" t="s">
        <v>580</v>
      </c>
      <c r="R29" t="s">
        <v>580</v>
      </c>
      <c r="S29" t="s">
        <v>581</v>
      </c>
      <c r="T29">
        <v>3814300</v>
      </c>
      <c r="U29">
        <v>5449000</v>
      </c>
      <c r="V29" t="s">
        <v>582</v>
      </c>
      <c r="W29" t="s">
        <v>583</v>
      </c>
      <c r="X29" t="s">
        <v>584</v>
      </c>
      <c r="Y29" t="s">
        <v>585</v>
      </c>
      <c r="Z29" t="s">
        <v>64</v>
      </c>
      <c r="AA29" t="s">
        <v>65</v>
      </c>
      <c r="AB29" t="s">
        <v>586</v>
      </c>
      <c r="AC29" t="s">
        <v>67</v>
      </c>
      <c r="AD29" t="s">
        <v>587</v>
      </c>
      <c r="AE29" t="s">
        <v>399</v>
      </c>
      <c r="AF29" t="s">
        <v>400</v>
      </c>
      <c r="AG29" t="s">
        <v>588</v>
      </c>
      <c r="AH29">
        <v>3</v>
      </c>
      <c r="AI29" t="s">
        <v>237</v>
      </c>
      <c r="AJ29" t="s">
        <v>589</v>
      </c>
      <c r="AK29" t="s">
        <v>590</v>
      </c>
      <c r="AM29" t="s">
        <v>102</v>
      </c>
      <c r="AN29">
        <v>0</v>
      </c>
      <c r="AO29">
        <v>0</v>
      </c>
    </row>
    <row r="30" spans="1:41" hidden="1" x14ac:dyDescent="0.25">
      <c r="A30">
        <v>29</v>
      </c>
      <c r="B30" s="1" t="s">
        <v>44</v>
      </c>
      <c r="C30" t="s">
        <v>591</v>
      </c>
      <c r="D30" t="s">
        <v>46</v>
      </c>
      <c r="E30" t="s">
        <v>47</v>
      </c>
      <c r="F30" t="s">
        <v>48</v>
      </c>
      <c r="G30" t="s">
        <v>573</v>
      </c>
      <c r="H30" t="s">
        <v>592</v>
      </c>
      <c r="I30" t="s">
        <v>593</v>
      </c>
      <c r="J30">
        <v>1.75</v>
      </c>
      <c r="K30">
        <v>25.94</v>
      </c>
      <c r="L30" t="s">
        <v>594</v>
      </c>
      <c r="M30" t="s">
        <v>595</v>
      </c>
      <c r="N30" t="s">
        <v>596</v>
      </c>
      <c r="O30" t="s">
        <v>597</v>
      </c>
      <c r="P30" t="s">
        <v>598</v>
      </c>
      <c r="Q30" t="s">
        <v>598</v>
      </c>
      <c r="R30" t="s">
        <v>598</v>
      </c>
      <c r="S30" t="s">
        <v>599</v>
      </c>
      <c r="T30">
        <v>3432870</v>
      </c>
      <c r="U30">
        <v>5449000</v>
      </c>
      <c r="V30" t="s">
        <v>600</v>
      </c>
      <c r="W30" t="s">
        <v>583</v>
      </c>
      <c r="X30" t="s">
        <v>601</v>
      </c>
      <c r="Y30" t="s">
        <v>602</v>
      </c>
      <c r="Z30" t="s">
        <v>64</v>
      </c>
      <c r="AA30" t="s">
        <v>65</v>
      </c>
      <c r="AB30" t="s">
        <v>586</v>
      </c>
      <c r="AC30" t="s">
        <v>67</v>
      </c>
      <c r="AD30" t="s">
        <v>603</v>
      </c>
      <c r="AE30" t="s">
        <v>604</v>
      </c>
      <c r="AF30" t="s">
        <v>532</v>
      </c>
      <c r="AG30" t="s">
        <v>605</v>
      </c>
      <c r="AH30">
        <v>3</v>
      </c>
      <c r="AI30" t="s">
        <v>237</v>
      </c>
      <c r="AJ30" t="s">
        <v>606</v>
      </c>
      <c r="AK30" t="s">
        <v>607</v>
      </c>
      <c r="AM30" t="s">
        <v>102</v>
      </c>
      <c r="AN30">
        <v>0</v>
      </c>
      <c r="AO30">
        <v>0</v>
      </c>
    </row>
    <row r="31" spans="1:41" hidden="1" x14ac:dyDescent="0.25">
      <c r="A31">
        <v>30</v>
      </c>
      <c r="B31" s="1" t="s">
        <v>44</v>
      </c>
      <c r="C31" t="s">
        <v>608</v>
      </c>
      <c r="D31" t="s">
        <v>277</v>
      </c>
      <c r="E31" t="s">
        <v>47</v>
      </c>
      <c r="F31" t="s">
        <v>48</v>
      </c>
      <c r="G31" t="s">
        <v>609</v>
      </c>
      <c r="H31" t="s">
        <v>610</v>
      </c>
      <c r="I31" t="s">
        <v>611</v>
      </c>
      <c r="J31">
        <v>2.5</v>
      </c>
      <c r="K31">
        <v>29.19</v>
      </c>
      <c r="L31" t="s">
        <v>612</v>
      </c>
      <c r="M31" t="s">
        <v>613</v>
      </c>
      <c r="N31" t="s">
        <v>83</v>
      </c>
      <c r="O31" t="s">
        <v>614</v>
      </c>
      <c r="P31" t="s">
        <v>615</v>
      </c>
      <c r="Q31" t="s">
        <v>615</v>
      </c>
      <c r="R31" t="s">
        <v>616</v>
      </c>
      <c r="S31" t="s">
        <v>617</v>
      </c>
      <c r="T31">
        <v>1200000</v>
      </c>
      <c r="U31">
        <v>1500000</v>
      </c>
      <c r="V31" t="s">
        <v>618</v>
      </c>
      <c r="W31" t="s">
        <v>619</v>
      </c>
      <c r="X31" t="s">
        <v>620</v>
      </c>
      <c r="Y31" t="s">
        <v>621</v>
      </c>
      <c r="Z31" t="s">
        <v>93</v>
      </c>
      <c r="AA31" t="s">
        <v>622</v>
      </c>
      <c r="AB31" t="s">
        <v>623</v>
      </c>
      <c r="AC31" t="s">
        <v>624</v>
      </c>
      <c r="AD31" t="s">
        <v>553</v>
      </c>
      <c r="AE31" t="s">
        <v>554</v>
      </c>
      <c r="AF31" t="s">
        <v>532</v>
      </c>
      <c r="AG31" t="s">
        <v>625</v>
      </c>
      <c r="AH31">
        <v>5</v>
      </c>
      <c r="AI31" t="s">
        <v>100</v>
      </c>
      <c r="AJ31" t="s">
        <v>626</v>
      </c>
      <c r="AK31" t="s">
        <v>627</v>
      </c>
      <c r="AM31" t="s">
        <v>180</v>
      </c>
      <c r="AN31">
        <v>0</v>
      </c>
      <c r="AO31">
        <v>0</v>
      </c>
    </row>
    <row r="32" spans="1:41" hidden="1" x14ac:dyDescent="0.25">
      <c r="A32">
        <v>31</v>
      </c>
      <c r="B32" s="1" t="s">
        <v>44</v>
      </c>
      <c r="C32" t="s">
        <v>628</v>
      </c>
      <c r="D32" t="s">
        <v>77</v>
      </c>
      <c r="E32" t="s">
        <v>47</v>
      </c>
      <c r="F32" t="s">
        <v>48</v>
      </c>
      <c r="G32" t="s">
        <v>629</v>
      </c>
      <c r="H32" t="s">
        <v>630</v>
      </c>
      <c r="I32" t="s">
        <v>631</v>
      </c>
      <c r="J32">
        <v>2.5</v>
      </c>
      <c r="K32">
        <v>25.19</v>
      </c>
      <c r="L32" t="s">
        <v>632</v>
      </c>
      <c r="M32" t="s">
        <v>633</v>
      </c>
      <c r="N32" t="s">
        <v>187</v>
      </c>
      <c r="O32" t="s">
        <v>634</v>
      </c>
      <c r="P32" t="s">
        <v>635</v>
      </c>
      <c r="Q32" t="s">
        <v>636</v>
      </c>
      <c r="R32" t="s">
        <v>635</v>
      </c>
      <c r="S32" t="s">
        <v>637</v>
      </c>
      <c r="T32">
        <v>1137500</v>
      </c>
      <c r="U32">
        <v>1625000</v>
      </c>
      <c r="V32" t="s">
        <v>638</v>
      </c>
      <c r="W32" t="s">
        <v>619</v>
      </c>
      <c r="X32" t="s">
        <v>639</v>
      </c>
      <c r="Y32" t="s">
        <v>640</v>
      </c>
      <c r="Z32" t="s">
        <v>64</v>
      </c>
      <c r="AA32" t="s">
        <v>641</v>
      </c>
      <c r="AB32" t="s">
        <v>642</v>
      </c>
      <c r="AC32" t="s">
        <v>175</v>
      </c>
      <c r="AD32" t="s">
        <v>553</v>
      </c>
      <c r="AE32" t="s">
        <v>554</v>
      </c>
      <c r="AF32" t="s">
        <v>532</v>
      </c>
      <c r="AG32" t="s">
        <v>643</v>
      </c>
      <c r="AH32">
        <v>5</v>
      </c>
      <c r="AI32" t="s">
        <v>237</v>
      </c>
      <c r="AJ32" t="s">
        <v>644</v>
      </c>
      <c r="AK32" t="s">
        <v>645</v>
      </c>
      <c r="AM32" t="s">
        <v>180</v>
      </c>
      <c r="AN32">
        <v>0</v>
      </c>
      <c r="AO32">
        <v>0</v>
      </c>
    </row>
    <row r="33" spans="1:41" hidden="1" x14ac:dyDescent="0.25">
      <c r="A33">
        <v>32</v>
      </c>
      <c r="B33" s="1" t="s">
        <v>44</v>
      </c>
      <c r="C33" t="s">
        <v>646</v>
      </c>
      <c r="D33" t="s">
        <v>241</v>
      </c>
      <c r="E33" t="s">
        <v>47</v>
      </c>
      <c r="F33" t="s">
        <v>48</v>
      </c>
      <c r="G33" t="s">
        <v>182</v>
      </c>
      <c r="H33" t="s">
        <v>647</v>
      </c>
      <c r="I33" t="s">
        <v>648</v>
      </c>
      <c r="J33">
        <v>3.1</v>
      </c>
      <c r="K33">
        <v>24.03</v>
      </c>
      <c r="L33" t="s">
        <v>649</v>
      </c>
      <c r="M33" t="s">
        <v>650</v>
      </c>
      <c r="N33" t="s">
        <v>83</v>
      </c>
      <c r="O33" t="s">
        <v>651</v>
      </c>
      <c r="P33" t="s">
        <v>652</v>
      </c>
      <c r="Q33" t="s">
        <v>653</v>
      </c>
      <c r="R33" t="s">
        <v>654</v>
      </c>
      <c r="S33" t="s">
        <v>655</v>
      </c>
      <c r="T33">
        <v>790500</v>
      </c>
      <c r="U33">
        <v>1054000</v>
      </c>
      <c r="V33" t="s">
        <v>656</v>
      </c>
      <c r="W33" t="s">
        <v>657</v>
      </c>
      <c r="X33" t="s">
        <v>658</v>
      </c>
      <c r="Y33" t="s">
        <v>659</v>
      </c>
      <c r="Z33" t="s">
        <v>64</v>
      </c>
      <c r="AA33" t="s">
        <v>660</v>
      </c>
      <c r="AB33" t="s">
        <v>661</v>
      </c>
      <c r="AC33" t="s">
        <v>662</v>
      </c>
      <c r="AD33" t="s">
        <v>663</v>
      </c>
      <c r="AE33" t="s">
        <v>509</v>
      </c>
      <c r="AF33" t="s">
        <v>400</v>
      </c>
      <c r="AG33" t="s">
        <v>664</v>
      </c>
      <c r="AH33">
        <v>7</v>
      </c>
      <c r="AI33" t="s">
        <v>237</v>
      </c>
      <c r="AJ33" t="s">
        <v>665</v>
      </c>
      <c r="AK33" t="s">
        <v>666</v>
      </c>
      <c r="AM33" t="s">
        <v>667</v>
      </c>
      <c r="AN33">
        <v>0</v>
      </c>
      <c r="AO33">
        <v>0</v>
      </c>
    </row>
    <row r="34" spans="1:41" hidden="1" x14ac:dyDescent="0.25">
      <c r="A34">
        <v>33</v>
      </c>
      <c r="B34" s="1" t="s">
        <v>44</v>
      </c>
      <c r="C34" t="s">
        <v>668</v>
      </c>
      <c r="D34" t="s">
        <v>77</v>
      </c>
      <c r="E34" t="s">
        <v>47</v>
      </c>
      <c r="F34" t="s">
        <v>48</v>
      </c>
      <c r="G34" t="s">
        <v>516</v>
      </c>
      <c r="H34" t="s">
        <v>669</v>
      </c>
      <c r="I34" t="s">
        <v>670</v>
      </c>
      <c r="J34">
        <v>2</v>
      </c>
      <c r="K34">
        <v>25.54</v>
      </c>
      <c r="L34" t="s">
        <v>671</v>
      </c>
      <c r="M34" t="s">
        <v>672</v>
      </c>
      <c r="N34" t="s">
        <v>187</v>
      </c>
      <c r="O34" t="s">
        <v>673</v>
      </c>
      <c r="P34" t="s">
        <v>674</v>
      </c>
      <c r="Q34" t="s">
        <v>674</v>
      </c>
      <c r="R34" t="s">
        <v>674</v>
      </c>
      <c r="S34" t="s">
        <v>675</v>
      </c>
      <c r="T34">
        <v>1516500</v>
      </c>
      <c r="U34">
        <v>3033000</v>
      </c>
      <c r="V34" t="s">
        <v>676</v>
      </c>
      <c r="W34" t="s">
        <v>677</v>
      </c>
      <c r="X34" t="s">
        <v>678</v>
      </c>
      <c r="Y34" t="s">
        <v>679</v>
      </c>
      <c r="Z34" t="s">
        <v>64</v>
      </c>
      <c r="AA34" t="s">
        <v>65</v>
      </c>
      <c r="AB34" t="s">
        <v>680</v>
      </c>
      <c r="AC34" t="s">
        <v>67</v>
      </c>
      <c r="AD34" t="s">
        <v>399</v>
      </c>
      <c r="AE34" t="s">
        <v>399</v>
      </c>
      <c r="AF34" t="s">
        <v>400</v>
      </c>
      <c r="AG34" t="s">
        <v>681</v>
      </c>
      <c r="AH34">
        <v>3</v>
      </c>
      <c r="AI34" t="s">
        <v>237</v>
      </c>
      <c r="AJ34" t="s">
        <v>682</v>
      </c>
      <c r="AK34" t="s">
        <v>683</v>
      </c>
      <c r="AM34" t="s">
        <v>75</v>
      </c>
      <c r="AN34">
        <v>0</v>
      </c>
      <c r="AO34">
        <v>0</v>
      </c>
    </row>
    <row r="35" spans="1:41" hidden="1" x14ac:dyDescent="0.25">
      <c r="A35">
        <v>34</v>
      </c>
      <c r="B35" s="1" t="s">
        <v>44</v>
      </c>
      <c r="C35" t="s">
        <v>684</v>
      </c>
      <c r="D35" t="s">
        <v>46</v>
      </c>
      <c r="E35" t="s">
        <v>47</v>
      </c>
      <c r="F35" t="s">
        <v>48</v>
      </c>
      <c r="G35" t="s">
        <v>182</v>
      </c>
      <c r="H35" t="s">
        <v>685</v>
      </c>
      <c r="I35" t="s">
        <v>686</v>
      </c>
      <c r="J35">
        <v>2</v>
      </c>
      <c r="K35">
        <v>25.6</v>
      </c>
      <c r="L35" t="s">
        <v>687</v>
      </c>
      <c r="M35" t="s">
        <v>688</v>
      </c>
      <c r="N35" t="s">
        <v>54</v>
      </c>
      <c r="O35" t="s">
        <v>689</v>
      </c>
      <c r="P35" t="s">
        <v>690</v>
      </c>
      <c r="Q35" t="s">
        <v>690</v>
      </c>
      <c r="R35" t="s">
        <v>690</v>
      </c>
      <c r="S35" t="s">
        <v>691</v>
      </c>
      <c r="T35">
        <v>1372500</v>
      </c>
      <c r="U35">
        <v>1830000</v>
      </c>
      <c r="V35" t="s">
        <v>692</v>
      </c>
      <c r="W35" t="s">
        <v>693</v>
      </c>
      <c r="X35" t="s">
        <v>694</v>
      </c>
      <c r="Y35" t="s">
        <v>695</v>
      </c>
      <c r="Z35" t="s">
        <v>64</v>
      </c>
      <c r="AA35" t="s">
        <v>65</v>
      </c>
      <c r="AB35" t="s">
        <v>696</v>
      </c>
      <c r="AC35" t="s">
        <v>67</v>
      </c>
      <c r="AD35" t="s">
        <v>697</v>
      </c>
      <c r="AE35" t="s">
        <v>399</v>
      </c>
      <c r="AF35" t="s">
        <v>400</v>
      </c>
      <c r="AG35" t="s">
        <v>698</v>
      </c>
      <c r="AH35">
        <v>3</v>
      </c>
      <c r="AI35" t="s">
        <v>237</v>
      </c>
      <c r="AJ35" t="s">
        <v>699</v>
      </c>
      <c r="AK35" t="s">
        <v>330</v>
      </c>
      <c r="AM35" t="s">
        <v>75</v>
      </c>
      <c r="AN35">
        <v>0</v>
      </c>
      <c r="AO35">
        <v>0</v>
      </c>
    </row>
    <row r="36" spans="1:41" hidden="1" x14ac:dyDescent="0.25">
      <c r="A36">
        <v>35</v>
      </c>
      <c r="B36" s="1" t="s">
        <v>44</v>
      </c>
      <c r="C36" t="s">
        <v>700</v>
      </c>
      <c r="D36" t="s">
        <v>46</v>
      </c>
      <c r="E36" t="s">
        <v>47</v>
      </c>
      <c r="F36" t="s">
        <v>48</v>
      </c>
      <c r="G36" t="s">
        <v>104</v>
      </c>
      <c r="H36" t="s">
        <v>701</v>
      </c>
      <c r="I36" t="s">
        <v>702</v>
      </c>
      <c r="J36">
        <v>1.75</v>
      </c>
      <c r="K36">
        <v>25.94</v>
      </c>
      <c r="L36" t="s">
        <v>703</v>
      </c>
      <c r="M36" t="s">
        <v>704</v>
      </c>
      <c r="N36" t="s">
        <v>83</v>
      </c>
      <c r="O36" t="s">
        <v>705</v>
      </c>
      <c r="P36" t="s">
        <v>706</v>
      </c>
      <c r="Q36" t="s">
        <v>706</v>
      </c>
      <c r="R36" t="s">
        <v>167</v>
      </c>
      <c r="S36" t="s">
        <v>707</v>
      </c>
      <c r="T36">
        <v>3509350</v>
      </c>
      <c r="U36">
        <v>5399000</v>
      </c>
      <c r="V36" t="s">
        <v>708</v>
      </c>
      <c r="W36" t="s">
        <v>693</v>
      </c>
      <c r="X36" t="s">
        <v>709</v>
      </c>
      <c r="Y36" t="s">
        <v>710</v>
      </c>
      <c r="Z36" t="s">
        <v>64</v>
      </c>
      <c r="AA36" t="s">
        <v>65</v>
      </c>
      <c r="AB36" t="s">
        <v>711</v>
      </c>
      <c r="AC36" t="s">
        <v>67</v>
      </c>
      <c r="AD36" t="s">
        <v>343</v>
      </c>
      <c r="AE36" t="s">
        <v>604</v>
      </c>
      <c r="AF36" t="s">
        <v>532</v>
      </c>
      <c r="AG36" t="s">
        <v>712</v>
      </c>
      <c r="AH36">
        <v>3</v>
      </c>
      <c r="AI36" t="s">
        <v>65</v>
      </c>
      <c r="AJ36" t="s">
        <v>65</v>
      </c>
      <c r="AK36" t="s">
        <v>65</v>
      </c>
      <c r="AM36" t="s">
        <v>102</v>
      </c>
      <c r="AN36">
        <v>0</v>
      </c>
      <c r="AO36">
        <v>0</v>
      </c>
    </row>
    <row r="37" spans="1:41" hidden="1" x14ac:dyDescent="0.25">
      <c r="A37">
        <v>36</v>
      </c>
      <c r="B37" s="1" t="s">
        <v>44</v>
      </c>
      <c r="C37" t="s">
        <v>713</v>
      </c>
      <c r="D37" t="s">
        <v>77</v>
      </c>
      <c r="E37" t="s">
        <v>47</v>
      </c>
      <c r="F37" t="s">
        <v>48</v>
      </c>
      <c r="G37" t="s">
        <v>714</v>
      </c>
      <c r="H37" t="s">
        <v>715</v>
      </c>
      <c r="I37" t="s">
        <v>716</v>
      </c>
      <c r="J37">
        <v>1.75</v>
      </c>
      <c r="K37">
        <v>25.54</v>
      </c>
      <c r="L37" t="s">
        <v>717</v>
      </c>
      <c r="M37" t="s">
        <v>718</v>
      </c>
      <c r="N37" t="s">
        <v>187</v>
      </c>
      <c r="O37" t="s">
        <v>719</v>
      </c>
      <c r="P37" t="s">
        <v>720</v>
      </c>
      <c r="Q37" t="s">
        <v>720</v>
      </c>
      <c r="R37" t="s">
        <v>720</v>
      </c>
      <c r="S37" t="s">
        <v>721</v>
      </c>
      <c r="T37">
        <v>1305500</v>
      </c>
      <c r="U37">
        <v>1865000</v>
      </c>
      <c r="V37" t="s">
        <v>722</v>
      </c>
      <c r="W37" t="s">
        <v>693</v>
      </c>
      <c r="X37" t="s">
        <v>723</v>
      </c>
      <c r="Y37" t="s">
        <v>724</v>
      </c>
      <c r="Z37" t="s">
        <v>549</v>
      </c>
      <c r="AA37" t="s">
        <v>65</v>
      </c>
      <c r="AB37" t="s">
        <v>725</v>
      </c>
      <c r="AC37" t="s">
        <v>552</v>
      </c>
      <c r="AD37" t="s">
        <v>475</v>
      </c>
      <c r="AE37" t="s">
        <v>604</v>
      </c>
      <c r="AF37" t="s">
        <v>532</v>
      </c>
      <c r="AG37" t="s">
        <v>726</v>
      </c>
      <c r="AH37">
        <v>3</v>
      </c>
      <c r="AI37" t="s">
        <v>237</v>
      </c>
      <c r="AJ37" t="s">
        <v>727</v>
      </c>
      <c r="AK37" t="s">
        <v>728</v>
      </c>
      <c r="AM37" t="s">
        <v>102</v>
      </c>
      <c r="AN37">
        <v>0</v>
      </c>
      <c r="AO37">
        <v>0</v>
      </c>
    </row>
    <row r="38" spans="1:41" hidden="1" x14ac:dyDescent="0.25">
      <c r="A38">
        <v>37</v>
      </c>
      <c r="B38" s="1" t="s">
        <v>44</v>
      </c>
      <c r="C38" t="s">
        <v>729</v>
      </c>
      <c r="D38" t="s">
        <v>46</v>
      </c>
      <c r="E38" t="s">
        <v>47</v>
      </c>
      <c r="F38" t="s">
        <v>48</v>
      </c>
      <c r="G38" t="s">
        <v>221</v>
      </c>
      <c r="H38" t="s">
        <v>730</v>
      </c>
      <c r="I38" t="s">
        <v>731</v>
      </c>
      <c r="J38">
        <v>2</v>
      </c>
      <c r="K38">
        <v>25.45</v>
      </c>
      <c r="L38" t="s">
        <v>732</v>
      </c>
      <c r="M38" t="s">
        <v>733</v>
      </c>
      <c r="N38" t="s">
        <v>54</v>
      </c>
      <c r="O38" t="s">
        <v>734</v>
      </c>
      <c r="P38" t="s">
        <v>735</v>
      </c>
      <c r="Q38" t="s">
        <v>736</v>
      </c>
      <c r="R38" t="s">
        <v>737</v>
      </c>
      <c r="S38" t="s">
        <v>738</v>
      </c>
      <c r="T38">
        <v>712725</v>
      </c>
      <c r="U38">
        <v>1096500</v>
      </c>
      <c r="V38" t="s">
        <v>739</v>
      </c>
      <c r="W38" t="s">
        <v>693</v>
      </c>
      <c r="X38" t="s">
        <v>740</v>
      </c>
      <c r="Y38" t="s">
        <v>741</v>
      </c>
      <c r="Z38" t="s">
        <v>64</v>
      </c>
      <c r="AA38" t="s">
        <v>65</v>
      </c>
      <c r="AB38" t="s">
        <v>742</v>
      </c>
      <c r="AC38" t="s">
        <v>67</v>
      </c>
      <c r="AD38" t="s">
        <v>743</v>
      </c>
      <c r="AE38" t="s">
        <v>69</v>
      </c>
      <c r="AF38" t="s">
        <v>70</v>
      </c>
      <c r="AG38" t="s">
        <v>744</v>
      </c>
      <c r="AH38">
        <v>3</v>
      </c>
      <c r="AI38" t="s">
        <v>237</v>
      </c>
      <c r="AJ38" t="s">
        <v>745</v>
      </c>
      <c r="AK38" t="s">
        <v>330</v>
      </c>
      <c r="AM38" t="s">
        <v>75</v>
      </c>
      <c r="AN38">
        <v>0</v>
      </c>
      <c r="AO38">
        <v>0</v>
      </c>
    </row>
    <row r="39" spans="1:41" hidden="1" x14ac:dyDescent="0.25">
      <c r="A39">
        <v>38</v>
      </c>
      <c r="B39" s="1" t="s">
        <v>44</v>
      </c>
      <c r="C39" t="s">
        <v>746</v>
      </c>
      <c r="D39" t="s">
        <v>46</v>
      </c>
      <c r="E39" t="s">
        <v>47</v>
      </c>
      <c r="F39" t="s">
        <v>48</v>
      </c>
      <c r="G39" t="s">
        <v>182</v>
      </c>
      <c r="H39" t="s">
        <v>747</v>
      </c>
      <c r="I39" t="s">
        <v>748</v>
      </c>
      <c r="J39">
        <v>2</v>
      </c>
      <c r="K39">
        <v>25.55</v>
      </c>
      <c r="L39" t="s">
        <v>749</v>
      </c>
      <c r="M39" t="s">
        <v>750</v>
      </c>
      <c r="N39" t="s">
        <v>54</v>
      </c>
      <c r="O39" t="s">
        <v>751</v>
      </c>
      <c r="P39" t="s">
        <v>752</v>
      </c>
      <c r="Q39" t="s">
        <v>753</v>
      </c>
      <c r="R39" t="s">
        <v>752</v>
      </c>
      <c r="S39" t="s">
        <v>754</v>
      </c>
      <c r="T39">
        <v>1555500</v>
      </c>
      <c r="U39">
        <v>1830000</v>
      </c>
      <c r="V39" t="s">
        <v>755</v>
      </c>
      <c r="W39" t="s">
        <v>756</v>
      </c>
      <c r="X39" t="s">
        <v>757</v>
      </c>
      <c r="Y39" t="s">
        <v>758</v>
      </c>
      <c r="Z39" t="s">
        <v>64</v>
      </c>
      <c r="AA39" t="s">
        <v>65</v>
      </c>
      <c r="AB39" t="s">
        <v>759</v>
      </c>
      <c r="AC39" t="s">
        <v>67</v>
      </c>
      <c r="AD39" t="s">
        <v>760</v>
      </c>
      <c r="AE39" t="s">
        <v>399</v>
      </c>
      <c r="AF39" t="s">
        <v>400</v>
      </c>
      <c r="AG39" t="s">
        <v>761</v>
      </c>
      <c r="AH39">
        <v>3</v>
      </c>
      <c r="AI39" t="s">
        <v>237</v>
      </c>
      <c r="AJ39" t="s">
        <v>762</v>
      </c>
      <c r="AK39" t="s">
        <v>763</v>
      </c>
      <c r="AM39" t="s">
        <v>75</v>
      </c>
      <c r="AN39">
        <v>0</v>
      </c>
      <c r="AO39">
        <v>0</v>
      </c>
    </row>
    <row r="40" spans="1:41" hidden="1" x14ac:dyDescent="0.25">
      <c r="A40">
        <v>39</v>
      </c>
      <c r="B40" s="1" t="s">
        <v>44</v>
      </c>
      <c r="C40" t="s">
        <v>764</v>
      </c>
      <c r="D40" t="s">
        <v>241</v>
      </c>
      <c r="E40" t="s">
        <v>47</v>
      </c>
      <c r="F40" t="s">
        <v>48</v>
      </c>
      <c r="G40" t="s">
        <v>182</v>
      </c>
      <c r="H40" t="s">
        <v>765</v>
      </c>
      <c r="I40" t="s">
        <v>766</v>
      </c>
      <c r="J40">
        <v>2</v>
      </c>
      <c r="K40">
        <v>26.2</v>
      </c>
      <c r="L40" t="s">
        <v>767</v>
      </c>
      <c r="M40" t="s">
        <v>768</v>
      </c>
      <c r="N40" t="s">
        <v>769</v>
      </c>
      <c r="O40" t="s">
        <v>770</v>
      </c>
      <c r="P40" t="s">
        <v>771</v>
      </c>
      <c r="Q40" t="s">
        <v>771</v>
      </c>
      <c r="R40" t="s">
        <v>771</v>
      </c>
      <c r="S40" t="s">
        <v>772</v>
      </c>
      <c r="T40">
        <v>801000</v>
      </c>
      <c r="U40">
        <v>1335000</v>
      </c>
      <c r="V40" t="s">
        <v>773</v>
      </c>
      <c r="W40" t="s">
        <v>774</v>
      </c>
      <c r="X40" t="s">
        <v>775</v>
      </c>
      <c r="Y40" t="s">
        <v>776</v>
      </c>
      <c r="Z40" t="s">
        <v>64</v>
      </c>
      <c r="AA40" t="s">
        <v>65</v>
      </c>
      <c r="AB40" t="s">
        <v>777</v>
      </c>
      <c r="AC40" t="s">
        <v>67</v>
      </c>
      <c r="AD40" t="s">
        <v>778</v>
      </c>
      <c r="AE40" t="s">
        <v>69</v>
      </c>
      <c r="AF40" t="s">
        <v>70</v>
      </c>
      <c r="AG40" t="s">
        <v>779</v>
      </c>
      <c r="AH40">
        <v>3</v>
      </c>
      <c r="AI40" t="s">
        <v>198</v>
      </c>
      <c r="AJ40" t="s">
        <v>780</v>
      </c>
      <c r="AK40" t="s">
        <v>781</v>
      </c>
      <c r="AM40" t="s">
        <v>75</v>
      </c>
      <c r="AN40">
        <v>0</v>
      </c>
      <c r="AO40">
        <v>0</v>
      </c>
    </row>
    <row r="41" spans="1:41" hidden="1" x14ac:dyDescent="0.25">
      <c r="A41">
        <v>40</v>
      </c>
      <c r="B41" s="1" t="s">
        <v>44</v>
      </c>
      <c r="C41" t="s">
        <v>782</v>
      </c>
      <c r="D41" t="s">
        <v>46</v>
      </c>
      <c r="E41" t="s">
        <v>47</v>
      </c>
      <c r="F41" t="s">
        <v>48</v>
      </c>
      <c r="G41" t="s">
        <v>49</v>
      </c>
      <c r="H41" t="s">
        <v>783</v>
      </c>
      <c r="I41" t="s">
        <v>784</v>
      </c>
      <c r="J41">
        <v>2</v>
      </c>
      <c r="K41">
        <v>25.55</v>
      </c>
      <c r="L41" t="s">
        <v>785</v>
      </c>
      <c r="M41" t="s">
        <v>786</v>
      </c>
      <c r="N41" t="s">
        <v>54</v>
      </c>
      <c r="O41" t="s">
        <v>787</v>
      </c>
      <c r="P41" t="s">
        <v>788</v>
      </c>
      <c r="Q41" t="s">
        <v>789</v>
      </c>
      <c r="R41" t="s">
        <v>790</v>
      </c>
      <c r="S41" t="s">
        <v>791</v>
      </c>
      <c r="T41">
        <v>1805650</v>
      </c>
      <c r="U41">
        <v>3283000</v>
      </c>
      <c r="V41" t="s">
        <v>792</v>
      </c>
      <c r="W41" t="s">
        <v>472</v>
      </c>
      <c r="X41" t="s">
        <v>793</v>
      </c>
      <c r="Y41" t="s">
        <v>794</v>
      </c>
      <c r="Z41" t="s">
        <v>64</v>
      </c>
      <c r="AA41" t="s">
        <v>65</v>
      </c>
      <c r="AB41" t="s">
        <v>378</v>
      </c>
      <c r="AC41" t="s">
        <v>67</v>
      </c>
      <c r="AD41" t="s">
        <v>795</v>
      </c>
      <c r="AE41" t="s">
        <v>69</v>
      </c>
      <c r="AF41" t="s">
        <v>70</v>
      </c>
      <c r="AG41" t="s">
        <v>796</v>
      </c>
      <c r="AH41">
        <v>3</v>
      </c>
      <c r="AI41" t="s">
        <v>237</v>
      </c>
      <c r="AJ41" t="s">
        <v>797</v>
      </c>
      <c r="AK41" t="s">
        <v>781</v>
      </c>
      <c r="AM41" t="s">
        <v>75</v>
      </c>
      <c r="AN41">
        <v>0</v>
      </c>
      <c r="AO41">
        <v>0</v>
      </c>
    </row>
    <row r="42" spans="1:41" hidden="1" x14ac:dyDescent="0.25">
      <c r="A42">
        <v>41</v>
      </c>
      <c r="B42" s="1" t="s">
        <v>44</v>
      </c>
      <c r="C42" t="s">
        <v>798</v>
      </c>
      <c r="D42" t="s">
        <v>241</v>
      </c>
      <c r="E42" t="s">
        <v>47</v>
      </c>
      <c r="F42" t="s">
        <v>48</v>
      </c>
      <c r="G42" t="s">
        <v>182</v>
      </c>
      <c r="H42" t="s">
        <v>799</v>
      </c>
      <c r="I42" t="s">
        <v>800</v>
      </c>
      <c r="J42">
        <v>2</v>
      </c>
      <c r="K42">
        <v>26.05</v>
      </c>
      <c r="L42" t="s">
        <v>801</v>
      </c>
      <c r="M42" t="s">
        <v>802</v>
      </c>
      <c r="N42" t="s">
        <v>83</v>
      </c>
      <c r="O42" t="s">
        <v>803</v>
      </c>
      <c r="P42" t="s">
        <v>65</v>
      </c>
      <c r="Q42" t="s">
        <v>804</v>
      </c>
      <c r="R42" t="s">
        <v>65</v>
      </c>
      <c r="S42" t="s">
        <v>805</v>
      </c>
      <c r="T42">
        <v>1074750</v>
      </c>
      <c r="U42">
        <v>1433000</v>
      </c>
      <c r="V42" t="s">
        <v>806</v>
      </c>
      <c r="W42" t="s">
        <v>774</v>
      </c>
      <c r="X42" t="s">
        <v>807</v>
      </c>
      <c r="Y42" t="s">
        <v>808</v>
      </c>
      <c r="Z42" t="s">
        <v>64</v>
      </c>
      <c r="AA42" t="s">
        <v>65</v>
      </c>
      <c r="AB42" t="s">
        <v>809</v>
      </c>
      <c r="AC42" t="s">
        <v>67</v>
      </c>
      <c r="AD42" t="s">
        <v>810</v>
      </c>
      <c r="AE42" t="s">
        <v>604</v>
      </c>
      <c r="AF42" t="s">
        <v>532</v>
      </c>
      <c r="AG42" t="s">
        <v>811</v>
      </c>
      <c r="AH42">
        <v>3</v>
      </c>
      <c r="AI42" t="s">
        <v>198</v>
      </c>
      <c r="AJ42" t="s">
        <v>812</v>
      </c>
      <c r="AK42" t="s">
        <v>398</v>
      </c>
      <c r="AM42" t="s">
        <v>75</v>
      </c>
      <c r="AN42">
        <v>0</v>
      </c>
      <c r="AO42">
        <v>0</v>
      </c>
    </row>
    <row r="43" spans="1:41" hidden="1" x14ac:dyDescent="0.25">
      <c r="A43">
        <v>42</v>
      </c>
      <c r="B43" s="1" t="s">
        <v>44</v>
      </c>
      <c r="C43" t="s">
        <v>813</v>
      </c>
      <c r="D43" t="s">
        <v>277</v>
      </c>
      <c r="E43" t="s">
        <v>47</v>
      </c>
      <c r="F43" t="s">
        <v>48</v>
      </c>
      <c r="G43" t="s">
        <v>78</v>
      </c>
      <c r="H43" t="s">
        <v>814</v>
      </c>
      <c r="I43" t="s">
        <v>815</v>
      </c>
      <c r="J43">
        <v>2.5</v>
      </c>
      <c r="K43">
        <v>28.69</v>
      </c>
      <c r="L43" t="s">
        <v>816</v>
      </c>
      <c r="M43" t="s">
        <v>817</v>
      </c>
      <c r="N43" t="s">
        <v>83</v>
      </c>
      <c r="O43" t="s">
        <v>818</v>
      </c>
      <c r="P43" t="s">
        <v>819</v>
      </c>
      <c r="Q43" t="s">
        <v>820</v>
      </c>
      <c r="R43" t="s">
        <v>821</v>
      </c>
      <c r="S43" t="s">
        <v>822</v>
      </c>
      <c r="T43">
        <v>700000</v>
      </c>
      <c r="U43">
        <v>1400000</v>
      </c>
      <c r="V43" t="s">
        <v>823</v>
      </c>
      <c r="W43" t="s">
        <v>824</v>
      </c>
      <c r="X43" t="s">
        <v>825</v>
      </c>
      <c r="Y43" t="s">
        <v>826</v>
      </c>
      <c r="Z43" t="s">
        <v>93</v>
      </c>
      <c r="AA43" t="s">
        <v>827</v>
      </c>
      <c r="AB43" t="s">
        <v>174</v>
      </c>
      <c r="AC43" t="s">
        <v>507</v>
      </c>
      <c r="AD43" t="s">
        <v>828</v>
      </c>
      <c r="AE43" t="s">
        <v>554</v>
      </c>
      <c r="AF43" t="s">
        <v>532</v>
      </c>
      <c r="AG43" t="s">
        <v>829</v>
      </c>
      <c r="AH43">
        <v>5</v>
      </c>
      <c r="AI43" t="s">
        <v>100</v>
      </c>
      <c r="AJ43" t="s">
        <v>830</v>
      </c>
      <c r="AK43" t="s">
        <v>831</v>
      </c>
      <c r="AM43" t="s">
        <v>180</v>
      </c>
      <c r="AN43">
        <v>0</v>
      </c>
      <c r="AO43">
        <v>0</v>
      </c>
    </row>
    <row r="44" spans="1:41" hidden="1" x14ac:dyDescent="0.25">
      <c r="A44">
        <v>43</v>
      </c>
      <c r="B44" s="1" t="s">
        <v>44</v>
      </c>
      <c r="C44" t="s">
        <v>832</v>
      </c>
      <c r="D44" t="s">
        <v>77</v>
      </c>
      <c r="E44" t="s">
        <v>47</v>
      </c>
      <c r="F44" t="s">
        <v>48</v>
      </c>
      <c r="G44" t="s">
        <v>833</v>
      </c>
      <c r="H44" t="s">
        <v>834</v>
      </c>
      <c r="I44" t="s">
        <v>835</v>
      </c>
      <c r="J44">
        <v>1.75</v>
      </c>
      <c r="K44">
        <v>25.69</v>
      </c>
      <c r="L44" t="s">
        <v>836</v>
      </c>
      <c r="M44" t="s">
        <v>837</v>
      </c>
      <c r="N44" t="s">
        <v>83</v>
      </c>
      <c r="O44" t="s">
        <v>838</v>
      </c>
      <c r="P44" t="s">
        <v>652</v>
      </c>
      <c r="Q44" t="s">
        <v>839</v>
      </c>
      <c r="R44" t="s">
        <v>652</v>
      </c>
      <c r="S44" t="s">
        <v>840</v>
      </c>
      <c r="T44">
        <v>1615320</v>
      </c>
      <c r="U44">
        <v>2564000</v>
      </c>
      <c r="V44" t="s">
        <v>841</v>
      </c>
      <c r="W44" t="s">
        <v>842</v>
      </c>
      <c r="X44" t="s">
        <v>843</v>
      </c>
      <c r="Y44" t="s">
        <v>844</v>
      </c>
      <c r="Z44" t="s">
        <v>64</v>
      </c>
      <c r="AA44" t="s">
        <v>65</v>
      </c>
      <c r="AB44" t="s">
        <v>642</v>
      </c>
      <c r="AC44" t="s">
        <v>531</v>
      </c>
      <c r="AD44" t="s">
        <v>756</v>
      </c>
      <c r="AE44" t="s">
        <v>453</v>
      </c>
      <c r="AF44" t="s">
        <v>532</v>
      </c>
      <c r="AG44" t="s">
        <v>845</v>
      </c>
      <c r="AH44">
        <v>2</v>
      </c>
      <c r="AI44" t="s">
        <v>72</v>
      </c>
      <c r="AJ44" t="s">
        <v>846</v>
      </c>
      <c r="AK44" t="s">
        <v>756</v>
      </c>
      <c r="AM44" t="s">
        <v>102</v>
      </c>
      <c r="AN44">
        <v>0</v>
      </c>
      <c r="AO44">
        <v>0</v>
      </c>
    </row>
    <row r="45" spans="1:41" hidden="1" x14ac:dyDescent="0.25">
      <c r="A45">
        <v>44</v>
      </c>
      <c r="B45" s="1" t="s">
        <v>44</v>
      </c>
      <c r="C45" t="s">
        <v>847</v>
      </c>
      <c r="D45" t="s">
        <v>46</v>
      </c>
      <c r="E45" t="s">
        <v>47</v>
      </c>
      <c r="F45" t="s">
        <v>48</v>
      </c>
      <c r="G45" t="s">
        <v>104</v>
      </c>
      <c r="H45" t="s">
        <v>848</v>
      </c>
      <c r="I45" t="s">
        <v>849</v>
      </c>
      <c r="J45">
        <v>1.75</v>
      </c>
      <c r="K45">
        <v>25.94</v>
      </c>
      <c r="L45" t="s">
        <v>850</v>
      </c>
      <c r="M45" t="s">
        <v>851</v>
      </c>
      <c r="N45" t="s">
        <v>83</v>
      </c>
      <c r="O45" t="s">
        <v>852</v>
      </c>
      <c r="P45" t="s">
        <v>65</v>
      </c>
      <c r="Q45" t="s">
        <v>853</v>
      </c>
      <c r="R45" t="s">
        <v>854</v>
      </c>
      <c r="S45" t="s">
        <v>855</v>
      </c>
      <c r="T45">
        <v>2898500</v>
      </c>
      <c r="U45">
        <v>5270000</v>
      </c>
      <c r="V45" t="s">
        <v>856</v>
      </c>
      <c r="W45" t="s">
        <v>857</v>
      </c>
      <c r="X45" t="s">
        <v>858</v>
      </c>
      <c r="Y45" t="s">
        <v>859</v>
      </c>
      <c r="Z45" t="s">
        <v>64</v>
      </c>
      <c r="AA45" t="s">
        <v>65</v>
      </c>
      <c r="AB45" t="s">
        <v>116</v>
      </c>
      <c r="AC45" t="s">
        <v>67</v>
      </c>
      <c r="AD45" t="s">
        <v>196</v>
      </c>
      <c r="AE45" t="s">
        <v>604</v>
      </c>
      <c r="AF45" t="s">
        <v>532</v>
      </c>
      <c r="AG45" t="s">
        <v>860</v>
      </c>
      <c r="AH45">
        <v>3</v>
      </c>
      <c r="AI45" t="s">
        <v>65</v>
      </c>
      <c r="AJ45" t="s">
        <v>65</v>
      </c>
      <c r="AK45" t="s">
        <v>65</v>
      </c>
      <c r="AM45" t="s">
        <v>102</v>
      </c>
      <c r="AN45">
        <v>0</v>
      </c>
      <c r="AO45">
        <v>0</v>
      </c>
    </row>
    <row r="46" spans="1:41" hidden="1" x14ac:dyDescent="0.25">
      <c r="A46">
        <v>45</v>
      </c>
      <c r="B46" s="1" t="s">
        <v>44</v>
      </c>
      <c r="C46" t="s">
        <v>861</v>
      </c>
      <c r="D46" t="s">
        <v>46</v>
      </c>
      <c r="E46" t="s">
        <v>47</v>
      </c>
      <c r="F46" t="s">
        <v>48</v>
      </c>
      <c r="G46" t="s">
        <v>862</v>
      </c>
      <c r="H46" t="s">
        <v>863</v>
      </c>
      <c r="I46" t="s">
        <v>864</v>
      </c>
      <c r="J46">
        <v>2</v>
      </c>
      <c r="K46">
        <v>25.55</v>
      </c>
      <c r="L46" t="s">
        <v>865</v>
      </c>
      <c r="M46" t="s">
        <v>866</v>
      </c>
      <c r="N46" t="s">
        <v>83</v>
      </c>
      <c r="O46" t="s">
        <v>867</v>
      </c>
      <c r="P46" t="s">
        <v>868</v>
      </c>
      <c r="Q46" t="s">
        <v>868</v>
      </c>
      <c r="R46" t="s">
        <v>868</v>
      </c>
      <c r="S46" t="s">
        <v>869</v>
      </c>
      <c r="T46">
        <v>2816800</v>
      </c>
      <c r="U46">
        <v>4024000</v>
      </c>
      <c r="V46" t="s">
        <v>870</v>
      </c>
      <c r="W46" t="s">
        <v>857</v>
      </c>
      <c r="X46" t="s">
        <v>871</v>
      </c>
      <c r="Y46" t="s">
        <v>872</v>
      </c>
      <c r="Z46" t="s">
        <v>64</v>
      </c>
      <c r="AA46" t="s">
        <v>65</v>
      </c>
      <c r="AB46" t="s">
        <v>873</v>
      </c>
      <c r="AC46" t="s">
        <v>67</v>
      </c>
      <c r="AD46" t="s">
        <v>607</v>
      </c>
      <c r="AE46" t="s">
        <v>604</v>
      </c>
      <c r="AF46" t="s">
        <v>532</v>
      </c>
      <c r="AG46" t="s">
        <v>874</v>
      </c>
      <c r="AH46">
        <v>3</v>
      </c>
      <c r="AI46" t="s">
        <v>237</v>
      </c>
      <c r="AJ46" t="s">
        <v>875</v>
      </c>
      <c r="AK46" t="s">
        <v>876</v>
      </c>
      <c r="AM46" t="s">
        <v>75</v>
      </c>
      <c r="AN46">
        <v>0</v>
      </c>
      <c r="AO46">
        <v>0</v>
      </c>
    </row>
    <row r="47" spans="1:41" hidden="1" x14ac:dyDescent="0.25">
      <c r="A47">
        <v>46</v>
      </c>
      <c r="B47" s="1" t="s">
        <v>44</v>
      </c>
      <c r="C47" t="s">
        <v>877</v>
      </c>
      <c r="D47" t="s">
        <v>46</v>
      </c>
      <c r="E47" t="s">
        <v>47</v>
      </c>
      <c r="F47" t="s">
        <v>48</v>
      </c>
      <c r="G47" t="s">
        <v>878</v>
      </c>
      <c r="H47" t="s">
        <v>879</v>
      </c>
      <c r="I47" t="s">
        <v>880</v>
      </c>
      <c r="J47">
        <v>2</v>
      </c>
      <c r="K47">
        <v>25.44</v>
      </c>
      <c r="L47" t="s">
        <v>881</v>
      </c>
      <c r="M47" t="s">
        <v>882</v>
      </c>
      <c r="N47" t="s">
        <v>265</v>
      </c>
      <c r="O47" t="s">
        <v>883</v>
      </c>
      <c r="P47" t="s">
        <v>884</v>
      </c>
      <c r="Q47" t="s">
        <v>885</v>
      </c>
      <c r="R47" t="s">
        <v>886</v>
      </c>
      <c r="S47" t="s">
        <v>887</v>
      </c>
      <c r="T47">
        <v>2800000</v>
      </c>
      <c r="U47">
        <v>4000000</v>
      </c>
      <c r="V47" t="s">
        <v>888</v>
      </c>
      <c r="W47" t="s">
        <v>857</v>
      </c>
      <c r="X47" t="s">
        <v>889</v>
      </c>
      <c r="Y47" t="s">
        <v>890</v>
      </c>
      <c r="Z47" t="s">
        <v>64</v>
      </c>
      <c r="AA47" t="s">
        <v>65</v>
      </c>
      <c r="AB47" t="s">
        <v>891</v>
      </c>
      <c r="AC47" t="s">
        <v>67</v>
      </c>
      <c r="AD47" t="s">
        <v>892</v>
      </c>
      <c r="AE47" t="s">
        <v>604</v>
      </c>
      <c r="AF47" t="s">
        <v>532</v>
      </c>
      <c r="AG47" t="s">
        <v>893</v>
      </c>
      <c r="AH47">
        <v>3</v>
      </c>
      <c r="AI47" t="s">
        <v>72</v>
      </c>
      <c r="AJ47" t="s">
        <v>894</v>
      </c>
      <c r="AK47" t="s">
        <v>472</v>
      </c>
      <c r="AM47" t="s">
        <v>75</v>
      </c>
      <c r="AN47">
        <v>0</v>
      </c>
      <c r="AO47">
        <v>0</v>
      </c>
    </row>
    <row r="48" spans="1:41" hidden="1" x14ac:dyDescent="0.25">
      <c r="A48">
        <v>47</v>
      </c>
      <c r="B48" s="1" t="s">
        <v>44</v>
      </c>
      <c r="C48" t="s">
        <v>895</v>
      </c>
      <c r="D48" t="s">
        <v>46</v>
      </c>
      <c r="E48" t="s">
        <v>47</v>
      </c>
      <c r="F48" t="s">
        <v>48</v>
      </c>
      <c r="G48" t="s">
        <v>896</v>
      </c>
      <c r="H48" t="s">
        <v>897</v>
      </c>
      <c r="I48" t="s">
        <v>898</v>
      </c>
      <c r="J48">
        <v>2</v>
      </c>
      <c r="K48">
        <v>25.54</v>
      </c>
      <c r="L48" t="s">
        <v>899</v>
      </c>
      <c r="M48" t="s">
        <v>900</v>
      </c>
      <c r="N48" t="s">
        <v>901</v>
      </c>
      <c r="O48" t="s">
        <v>902</v>
      </c>
      <c r="P48" t="s">
        <v>903</v>
      </c>
      <c r="Q48" t="s">
        <v>903</v>
      </c>
      <c r="R48" t="s">
        <v>903</v>
      </c>
      <c r="S48" t="s">
        <v>904</v>
      </c>
      <c r="T48">
        <v>3239400</v>
      </c>
      <c r="U48">
        <v>5399000</v>
      </c>
      <c r="V48" t="s">
        <v>905</v>
      </c>
      <c r="W48" t="s">
        <v>906</v>
      </c>
      <c r="X48" t="s">
        <v>907</v>
      </c>
      <c r="Y48" t="s">
        <v>908</v>
      </c>
      <c r="Z48" t="s">
        <v>64</v>
      </c>
      <c r="AA48" t="s">
        <v>65</v>
      </c>
      <c r="AB48" t="s">
        <v>116</v>
      </c>
      <c r="AC48" t="s">
        <v>67</v>
      </c>
      <c r="AD48" t="s">
        <v>909</v>
      </c>
      <c r="AE48" t="s">
        <v>604</v>
      </c>
      <c r="AF48" t="s">
        <v>532</v>
      </c>
      <c r="AG48" t="s">
        <v>910</v>
      </c>
      <c r="AH48">
        <v>3</v>
      </c>
      <c r="AI48" t="s">
        <v>65</v>
      </c>
      <c r="AJ48" t="s">
        <v>65</v>
      </c>
      <c r="AK48" t="s">
        <v>65</v>
      </c>
      <c r="AM48" t="s">
        <v>75</v>
      </c>
      <c r="AN48">
        <v>0</v>
      </c>
      <c r="AO48">
        <v>0</v>
      </c>
    </row>
    <row r="49" spans="1:41" hidden="1" x14ac:dyDescent="0.25">
      <c r="A49">
        <v>48</v>
      </c>
      <c r="B49" s="1" t="s">
        <v>44</v>
      </c>
      <c r="C49" t="s">
        <v>911</v>
      </c>
      <c r="D49" t="s">
        <v>912</v>
      </c>
      <c r="E49" t="s">
        <v>47</v>
      </c>
      <c r="F49" t="s">
        <v>48</v>
      </c>
      <c r="G49" t="s">
        <v>913</v>
      </c>
      <c r="H49" t="s">
        <v>914</v>
      </c>
      <c r="I49" t="s">
        <v>915</v>
      </c>
      <c r="J49">
        <v>1.5</v>
      </c>
      <c r="K49">
        <v>26.68</v>
      </c>
      <c r="L49" t="s">
        <v>916</v>
      </c>
      <c r="M49" t="s">
        <v>917</v>
      </c>
      <c r="N49" t="s">
        <v>578</v>
      </c>
      <c r="O49" t="s">
        <v>918</v>
      </c>
      <c r="P49" t="s">
        <v>919</v>
      </c>
      <c r="Q49" t="s">
        <v>919</v>
      </c>
      <c r="R49" t="s">
        <v>919</v>
      </c>
      <c r="S49" t="s">
        <v>920</v>
      </c>
      <c r="T49">
        <v>3453100</v>
      </c>
      <c r="U49">
        <v>4933000</v>
      </c>
      <c r="V49" t="s">
        <v>921</v>
      </c>
      <c r="W49" t="s">
        <v>876</v>
      </c>
      <c r="X49" t="s">
        <v>922</v>
      </c>
      <c r="Y49" t="s">
        <v>923</v>
      </c>
      <c r="Z49" t="s">
        <v>64</v>
      </c>
      <c r="AA49" t="s">
        <v>65</v>
      </c>
      <c r="AB49" t="s">
        <v>116</v>
      </c>
      <c r="AC49" t="s">
        <v>151</v>
      </c>
      <c r="AD49" t="s">
        <v>924</v>
      </c>
      <c r="AE49" t="s">
        <v>288</v>
      </c>
      <c r="AF49" t="s">
        <v>400</v>
      </c>
      <c r="AG49" t="s">
        <v>925</v>
      </c>
      <c r="AH49">
        <v>4</v>
      </c>
      <c r="AI49" t="s">
        <v>65</v>
      </c>
      <c r="AJ49" t="s">
        <v>65</v>
      </c>
      <c r="AK49" t="s">
        <v>65</v>
      </c>
      <c r="AM49" t="s">
        <v>157</v>
      </c>
      <c r="AN49">
        <v>0</v>
      </c>
      <c r="AO49">
        <v>0</v>
      </c>
    </row>
    <row r="50" spans="1:41" hidden="1" x14ac:dyDescent="0.25">
      <c r="A50">
        <v>49</v>
      </c>
      <c r="B50" s="1" t="s">
        <v>44</v>
      </c>
      <c r="C50" t="s">
        <v>926</v>
      </c>
      <c r="D50" t="s">
        <v>46</v>
      </c>
      <c r="E50" t="s">
        <v>47</v>
      </c>
      <c r="F50" t="s">
        <v>48</v>
      </c>
      <c r="G50" t="s">
        <v>182</v>
      </c>
      <c r="H50" t="s">
        <v>927</v>
      </c>
      <c r="I50" t="s">
        <v>928</v>
      </c>
      <c r="J50">
        <v>2</v>
      </c>
      <c r="K50">
        <v>25.56</v>
      </c>
      <c r="L50" t="s">
        <v>929</v>
      </c>
      <c r="M50" t="s">
        <v>930</v>
      </c>
      <c r="N50" t="s">
        <v>931</v>
      </c>
      <c r="O50" t="s">
        <v>932</v>
      </c>
      <c r="P50" t="s">
        <v>933</v>
      </c>
      <c r="Q50" t="s">
        <v>934</v>
      </c>
      <c r="R50" t="s">
        <v>65</v>
      </c>
      <c r="S50" t="s">
        <v>935</v>
      </c>
      <c r="T50">
        <v>890000</v>
      </c>
      <c r="U50">
        <v>1780000</v>
      </c>
      <c r="V50" t="s">
        <v>936</v>
      </c>
      <c r="W50" t="s">
        <v>906</v>
      </c>
      <c r="X50" t="s">
        <v>937</v>
      </c>
      <c r="Y50" t="s">
        <v>938</v>
      </c>
      <c r="Z50" t="s">
        <v>64</v>
      </c>
      <c r="AA50" t="s">
        <v>65</v>
      </c>
      <c r="AB50" t="s">
        <v>939</v>
      </c>
      <c r="AC50" t="s">
        <v>67</v>
      </c>
      <c r="AD50" t="s">
        <v>940</v>
      </c>
      <c r="AE50" t="s">
        <v>69</v>
      </c>
      <c r="AF50" t="s">
        <v>70</v>
      </c>
      <c r="AG50" t="s">
        <v>941</v>
      </c>
      <c r="AH50">
        <v>3</v>
      </c>
      <c r="AI50" t="s">
        <v>237</v>
      </c>
      <c r="AJ50" t="s">
        <v>942</v>
      </c>
      <c r="AK50" t="s">
        <v>472</v>
      </c>
      <c r="AM50" t="s">
        <v>75</v>
      </c>
      <c r="AN50">
        <v>0</v>
      </c>
      <c r="AO50">
        <v>0</v>
      </c>
    </row>
    <row r="51" spans="1:41" hidden="1" x14ac:dyDescent="0.25">
      <c r="A51">
        <v>50</v>
      </c>
      <c r="B51" s="1" t="s">
        <v>44</v>
      </c>
      <c r="C51" t="s">
        <v>943</v>
      </c>
      <c r="D51" t="s">
        <v>46</v>
      </c>
      <c r="E51" t="s">
        <v>47</v>
      </c>
      <c r="F51" t="s">
        <v>48</v>
      </c>
      <c r="G51" t="s">
        <v>260</v>
      </c>
      <c r="H51" t="s">
        <v>944</v>
      </c>
      <c r="I51" t="s">
        <v>945</v>
      </c>
      <c r="J51">
        <v>2.5</v>
      </c>
      <c r="K51">
        <v>24.69</v>
      </c>
      <c r="L51" t="s">
        <v>946</v>
      </c>
      <c r="M51" t="s">
        <v>947</v>
      </c>
      <c r="N51" t="s">
        <v>164</v>
      </c>
      <c r="O51" t="s">
        <v>948</v>
      </c>
      <c r="P51" t="s">
        <v>949</v>
      </c>
      <c r="Q51" t="s">
        <v>65</v>
      </c>
      <c r="R51" t="s">
        <v>950</v>
      </c>
      <c r="S51" t="s">
        <v>951</v>
      </c>
      <c r="T51">
        <v>1036000</v>
      </c>
      <c r="U51">
        <v>1295000</v>
      </c>
      <c r="V51" t="s">
        <v>952</v>
      </c>
      <c r="W51" t="s">
        <v>953</v>
      </c>
      <c r="X51" t="s">
        <v>954</v>
      </c>
      <c r="Y51" t="s">
        <v>955</v>
      </c>
      <c r="Z51" t="s">
        <v>64</v>
      </c>
      <c r="AA51" t="s">
        <v>956</v>
      </c>
      <c r="AB51" t="s">
        <v>957</v>
      </c>
      <c r="AC51" t="s">
        <v>175</v>
      </c>
      <c r="AD51" t="s">
        <v>363</v>
      </c>
      <c r="AE51" t="s">
        <v>554</v>
      </c>
      <c r="AF51" t="s">
        <v>532</v>
      </c>
      <c r="AG51" t="s">
        <v>958</v>
      </c>
      <c r="AH51">
        <v>5</v>
      </c>
      <c r="AI51" t="s">
        <v>100</v>
      </c>
      <c r="AJ51" t="s">
        <v>959</v>
      </c>
      <c r="AK51" t="s">
        <v>960</v>
      </c>
      <c r="AM51" t="s">
        <v>180</v>
      </c>
      <c r="AN51">
        <v>0</v>
      </c>
      <c r="AO51">
        <v>0</v>
      </c>
    </row>
    <row r="52" spans="1:41" hidden="1" x14ac:dyDescent="0.25">
      <c r="A52">
        <v>51</v>
      </c>
      <c r="B52" s="1" t="s">
        <v>44</v>
      </c>
      <c r="C52" t="s">
        <v>961</v>
      </c>
      <c r="D52" t="s">
        <v>77</v>
      </c>
      <c r="E52" t="s">
        <v>47</v>
      </c>
      <c r="F52" t="s">
        <v>48</v>
      </c>
      <c r="G52" t="s">
        <v>962</v>
      </c>
      <c r="H52" t="s">
        <v>963</v>
      </c>
      <c r="I52" t="s">
        <v>964</v>
      </c>
      <c r="J52">
        <v>2</v>
      </c>
      <c r="K52">
        <v>25.68</v>
      </c>
      <c r="L52" t="s">
        <v>965</v>
      </c>
      <c r="M52" t="s">
        <v>966</v>
      </c>
      <c r="N52" t="s">
        <v>187</v>
      </c>
      <c r="O52" t="s">
        <v>967</v>
      </c>
      <c r="P52" t="s">
        <v>968</v>
      </c>
      <c r="Q52" t="s">
        <v>968</v>
      </c>
      <c r="R52" t="s">
        <v>968</v>
      </c>
      <c r="S52" t="s">
        <v>969</v>
      </c>
      <c r="T52">
        <v>2732100</v>
      </c>
      <c r="U52">
        <v>3903000</v>
      </c>
      <c r="V52" t="s">
        <v>970</v>
      </c>
      <c r="W52" t="s">
        <v>971</v>
      </c>
      <c r="X52" t="s">
        <v>972</v>
      </c>
      <c r="Y52" t="s">
        <v>973</v>
      </c>
      <c r="Z52" t="s">
        <v>64</v>
      </c>
      <c r="AA52" t="s">
        <v>65</v>
      </c>
      <c r="AB52" t="s">
        <v>66</v>
      </c>
      <c r="AC52" t="s">
        <v>67</v>
      </c>
      <c r="AD52" t="s">
        <v>763</v>
      </c>
      <c r="AE52" t="s">
        <v>604</v>
      </c>
      <c r="AF52" t="s">
        <v>974</v>
      </c>
      <c r="AG52" t="s">
        <v>975</v>
      </c>
      <c r="AH52">
        <v>5</v>
      </c>
      <c r="AI52" t="s">
        <v>237</v>
      </c>
      <c r="AJ52" t="s">
        <v>976</v>
      </c>
      <c r="AK52" t="s">
        <v>472</v>
      </c>
      <c r="AM52" t="s">
        <v>75</v>
      </c>
      <c r="AN52">
        <v>0</v>
      </c>
      <c r="AO52">
        <v>0</v>
      </c>
    </row>
    <row r="53" spans="1:41" hidden="1" x14ac:dyDescent="0.25">
      <c r="A53">
        <v>52</v>
      </c>
      <c r="B53" s="1" t="s">
        <v>44</v>
      </c>
      <c r="C53" t="s">
        <v>977</v>
      </c>
      <c r="D53" t="s">
        <v>46</v>
      </c>
      <c r="E53" t="s">
        <v>47</v>
      </c>
      <c r="F53" t="s">
        <v>48</v>
      </c>
      <c r="G53" t="s">
        <v>978</v>
      </c>
      <c r="H53" t="s">
        <v>979</v>
      </c>
      <c r="I53" t="s">
        <v>980</v>
      </c>
      <c r="J53">
        <v>2</v>
      </c>
      <c r="K53">
        <v>25.54</v>
      </c>
      <c r="L53" t="s">
        <v>981</v>
      </c>
      <c r="M53" t="s">
        <v>982</v>
      </c>
      <c r="N53" t="s">
        <v>83</v>
      </c>
      <c r="O53" t="s">
        <v>983</v>
      </c>
      <c r="P53" t="s">
        <v>984</v>
      </c>
      <c r="Q53" t="s">
        <v>984</v>
      </c>
      <c r="R53" t="s">
        <v>167</v>
      </c>
      <c r="S53" t="s">
        <v>985</v>
      </c>
      <c r="T53">
        <v>2559600</v>
      </c>
      <c r="U53">
        <v>6399000</v>
      </c>
      <c r="V53" t="s">
        <v>986</v>
      </c>
      <c r="W53" t="s">
        <v>971</v>
      </c>
      <c r="X53" t="s">
        <v>987</v>
      </c>
      <c r="Y53" t="s">
        <v>988</v>
      </c>
      <c r="Z53" t="s">
        <v>64</v>
      </c>
      <c r="AA53" t="s">
        <v>65</v>
      </c>
      <c r="AB53" t="s">
        <v>989</v>
      </c>
      <c r="AC53" t="s">
        <v>67</v>
      </c>
      <c r="AD53" t="s">
        <v>990</v>
      </c>
      <c r="AE53" t="s">
        <v>604</v>
      </c>
      <c r="AF53" t="s">
        <v>532</v>
      </c>
      <c r="AG53" t="s">
        <v>991</v>
      </c>
      <c r="AH53">
        <v>3</v>
      </c>
      <c r="AI53" t="s">
        <v>237</v>
      </c>
      <c r="AJ53" t="s">
        <v>992</v>
      </c>
      <c r="AK53" t="s">
        <v>876</v>
      </c>
      <c r="AM53" t="s">
        <v>75</v>
      </c>
      <c r="AN53">
        <v>0</v>
      </c>
      <c r="AO53">
        <v>0</v>
      </c>
    </row>
    <row r="54" spans="1:41" hidden="1" x14ac:dyDescent="0.25">
      <c r="A54">
        <v>53</v>
      </c>
      <c r="B54" s="1" t="s">
        <v>44</v>
      </c>
      <c r="C54" t="s">
        <v>993</v>
      </c>
      <c r="D54" t="s">
        <v>46</v>
      </c>
      <c r="E54" t="s">
        <v>47</v>
      </c>
      <c r="F54" t="s">
        <v>48</v>
      </c>
      <c r="G54" t="s">
        <v>994</v>
      </c>
      <c r="H54" t="s">
        <v>995</v>
      </c>
      <c r="I54" t="s">
        <v>996</v>
      </c>
      <c r="J54">
        <v>2</v>
      </c>
      <c r="K54">
        <v>25.45</v>
      </c>
      <c r="L54" t="s">
        <v>997</v>
      </c>
      <c r="M54" t="s">
        <v>998</v>
      </c>
      <c r="N54" t="s">
        <v>931</v>
      </c>
      <c r="O54" t="s">
        <v>999</v>
      </c>
      <c r="P54" t="s">
        <v>1000</v>
      </c>
      <c r="Q54" t="s">
        <v>1000</v>
      </c>
      <c r="R54" t="s">
        <v>1000</v>
      </c>
      <c r="S54" t="s">
        <v>1001</v>
      </c>
      <c r="T54">
        <v>1457500</v>
      </c>
      <c r="U54">
        <v>2650000</v>
      </c>
      <c r="V54" t="s">
        <v>1002</v>
      </c>
      <c r="W54" t="s">
        <v>971</v>
      </c>
      <c r="X54" t="s">
        <v>1003</v>
      </c>
      <c r="Y54" t="s">
        <v>1004</v>
      </c>
      <c r="Z54" t="s">
        <v>64</v>
      </c>
      <c r="AA54" t="s">
        <v>65</v>
      </c>
      <c r="AB54" t="s">
        <v>1005</v>
      </c>
      <c r="AC54" t="s">
        <v>67</v>
      </c>
      <c r="AD54" t="s">
        <v>1006</v>
      </c>
      <c r="AE54" t="s">
        <v>69</v>
      </c>
      <c r="AF54" t="s">
        <v>1007</v>
      </c>
      <c r="AG54" t="s">
        <v>1008</v>
      </c>
      <c r="AH54">
        <v>5</v>
      </c>
      <c r="AI54" t="s">
        <v>237</v>
      </c>
      <c r="AJ54" t="s">
        <v>942</v>
      </c>
      <c r="AK54" t="s">
        <v>876</v>
      </c>
      <c r="AM54" t="s">
        <v>75</v>
      </c>
      <c r="AN54">
        <v>0</v>
      </c>
      <c r="AO54">
        <v>0</v>
      </c>
    </row>
    <row r="55" spans="1:41" hidden="1" x14ac:dyDescent="0.25">
      <c r="A55">
        <v>54</v>
      </c>
      <c r="B55" s="1" t="s">
        <v>44</v>
      </c>
      <c r="C55" t="s">
        <v>1009</v>
      </c>
      <c r="D55" t="s">
        <v>46</v>
      </c>
      <c r="E55" t="s">
        <v>47</v>
      </c>
      <c r="F55" t="s">
        <v>48</v>
      </c>
      <c r="G55" t="s">
        <v>1010</v>
      </c>
      <c r="H55" t="s">
        <v>1011</v>
      </c>
      <c r="I55" t="s">
        <v>1012</v>
      </c>
      <c r="J55">
        <v>2</v>
      </c>
      <c r="K55">
        <v>25.6</v>
      </c>
      <c r="L55" t="s">
        <v>1013</v>
      </c>
      <c r="M55" t="s">
        <v>1014</v>
      </c>
      <c r="N55" t="s">
        <v>164</v>
      </c>
      <c r="O55" t="s">
        <v>1015</v>
      </c>
      <c r="P55" t="s">
        <v>1016</v>
      </c>
      <c r="Q55" t="s">
        <v>1017</v>
      </c>
      <c r="R55" t="s">
        <v>65</v>
      </c>
      <c r="S55" t="s">
        <v>1018</v>
      </c>
      <c r="T55">
        <v>1515500</v>
      </c>
      <c r="U55">
        <v>4330000</v>
      </c>
      <c r="V55" t="s">
        <v>1019</v>
      </c>
      <c r="W55" t="s">
        <v>1020</v>
      </c>
      <c r="X55" t="s">
        <v>1021</v>
      </c>
      <c r="Y55" t="s">
        <v>1022</v>
      </c>
      <c r="Z55" t="s">
        <v>64</v>
      </c>
      <c r="AA55" t="s">
        <v>65</v>
      </c>
      <c r="AB55" t="s">
        <v>1023</v>
      </c>
      <c r="AC55" t="s">
        <v>67</v>
      </c>
      <c r="AD55" t="s">
        <v>1024</v>
      </c>
      <c r="AE55" t="s">
        <v>604</v>
      </c>
      <c r="AF55" t="s">
        <v>532</v>
      </c>
      <c r="AG55" t="s">
        <v>1025</v>
      </c>
      <c r="AH55">
        <v>3</v>
      </c>
      <c r="AI55" t="s">
        <v>65</v>
      </c>
      <c r="AJ55" t="s">
        <v>65</v>
      </c>
      <c r="AK55" t="s">
        <v>65</v>
      </c>
      <c r="AM55" t="s">
        <v>75</v>
      </c>
      <c r="AN55">
        <v>0</v>
      </c>
      <c r="AO55">
        <v>0</v>
      </c>
    </row>
    <row r="56" spans="1:41" hidden="1" x14ac:dyDescent="0.25">
      <c r="A56">
        <v>55</v>
      </c>
      <c r="B56" s="1" t="s">
        <v>44</v>
      </c>
      <c r="C56" t="s">
        <v>1026</v>
      </c>
      <c r="D56" t="s">
        <v>46</v>
      </c>
      <c r="E56" t="s">
        <v>47</v>
      </c>
      <c r="F56" t="s">
        <v>48</v>
      </c>
      <c r="G56" t="s">
        <v>313</v>
      </c>
      <c r="H56" t="s">
        <v>1027</v>
      </c>
      <c r="I56" t="s">
        <v>1028</v>
      </c>
      <c r="J56">
        <v>1.75</v>
      </c>
      <c r="K56">
        <v>26.05</v>
      </c>
      <c r="L56" t="s">
        <v>1029</v>
      </c>
      <c r="M56" t="s">
        <v>1030</v>
      </c>
      <c r="N56" t="s">
        <v>83</v>
      </c>
      <c r="O56" t="s">
        <v>1031</v>
      </c>
      <c r="P56" t="s">
        <v>65</v>
      </c>
      <c r="Q56" t="s">
        <v>1032</v>
      </c>
      <c r="R56" t="s">
        <v>652</v>
      </c>
      <c r="S56" t="s">
        <v>1033</v>
      </c>
      <c r="T56">
        <v>4879225</v>
      </c>
      <c r="U56">
        <v>7506500</v>
      </c>
      <c r="V56" t="s">
        <v>1034</v>
      </c>
      <c r="W56" t="s">
        <v>1035</v>
      </c>
      <c r="X56" t="s">
        <v>1036</v>
      </c>
      <c r="Y56" t="s">
        <v>1037</v>
      </c>
      <c r="Z56" t="s">
        <v>64</v>
      </c>
      <c r="AA56" t="s">
        <v>65</v>
      </c>
      <c r="AB56" t="s">
        <v>1038</v>
      </c>
      <c r="AC56" t="s">
        <v>67</v>
      </c>
      <c r="AD56" t="s">
        <v>1039</v>
      </c>
      <c r="AE56" t="s">
        <v>604</v>
      </c>
      <c r="AF56" t="s">
        <v>532</v>
      </c>
      <c r="AG56" t="s">
        <v>1040</v>
      </c>
      <c r="AH56">
        <v>3</v>
      </c>
      <c r="AI56" t="s">
        <v>237</v>
      </c>
      <c r="AJ56" t="s">
        <v>1041</v>
      </c>
      <c r="AK56" t="s">
        <v>1042</v>
      </c>
      <c r="AM56" t="s">
        <v>102</v>
      </c>
      <c r="AN56">
        <v>0</v>
      </c>
      <c r="AO56">
        <v>0</v>
      </c>
    </row>
    <row r="57" spans="1:41" hidden="1" x14ac:dyDescent="0.25">
      <c r="A57">
        <v>56</v>
      </c>
      <c r="B57" s="1" t="s">
        <v>44</v>
      </c>
      <c r="C57" t="s">
        <v>1043</v>
      </c>
      <c r="D57" t="s">
        <v>46</v>
      </c>
      <c r="E57" t="s">
        <v>47</v>
      </c>
      <c r="F57" t="s">
        <v>48</v>
      </c>
      <c r="G57" t="s">
        <v>278</v>
      </c>
      <c r="H57" t="s">
        <v>1044</v>
      </c>
      <c r="I57" t="s">
        <v>1045</v>
      </c>
      <c r="J57">
        <v>2</v>
      </c>
      <c r="K57">
        <v>25.54</v>
      </c>
      <c r="L57" t="s">
        <v>1046</v>
      </c>
      <c r="M57" t="s">
        <v>1047</v>
      </c>
      <c r="N57" t="s">
        <v>1048</v>
      </c>
      <c r="O57" t="s">
        <v>1049</v>
      </c>
      <c r="P57" t="s">
        <v>1050</v>
      </c>
      <c r="Q57" t="s">
        <v>65</v>
      </c>
      <c r="R57" t="s">
        <v>167</v>
      </c>
      <c r="S57" t="s">
        <v>1051</v>
      </c>
      <c r="T57">
        <v>1491000</v>
      </c>
      <c r="U57">
        <v>2130000</v>
      </c>
      <c r="V57" t="s">
        <v>1052</v>
      </c>
      <c r="W57" t="s">
        <v>1035</v>
      </c>
      <c r="X57" t="s">
        <v>1053</v>
      </c>
      <c r="Y57" t="s">
        <v>1054</v>
      </c>
      <c r="Z57" t="s">
        <v>64</v>
      </c>
      <c r="AA57" t="s">
        <v>65</v>
      </c>
      <c r="AB57" t="s">
        <v>1055</v>
      </c>
      <c r="AC57" t="s">
        <v>67</v>
      </c>
      <c r="AD57" t="s">
        <v>1056</v>
      </c>
      <c r="AE57" t="s">
        <v>399</v>
      </c>
      <c r="AF57" t="s">
        <v>400</v>
      </c>
      <c r="AG57" t="s">
        <v>1057</v>
      </c>
      <c r="AH57">
        <v>3</v>
      </c>
      <c r="AI57" t="s">
        <v>237</v>
      </c>
      <c r="AJ57" t="s">
        <v>1058</v>
      </c>
      <c r="AK57" t="s">
        <v>604</v>
      </c>
      <c r="AM57" t="s">
        <v>75</v>
      </c>
      <c r="AN57">
        <v>0</v>
      </c>
      <c r="AO57">
        <v>0</v>
      </c>
    </row>
    <row r="58" spans="1:41" hidden="1" x14ac:dyDescent="0.25">
      <c r="A58">
        <v>57</v>
      </c>
      <c r="B58" s="1" t="s">
        <v>44</v>
      </c>
      <c r="C58" t="s">
        <v>1059</v>
      </c>
      <c r="D58" t="s">
        <v>46</v>
      </c>
      <c r="E58" t="s">
        <v>47</v>
      </c>
      <c r="F58" t="s">
        <v>48</v>
      </c>
      <c r="G58" t="s">
        <v>1060</v>
      </c>
      <c r="H58" t="s">
        <v>1061</v>
      </c>
      <c r="I58" t="s">
        <v>1062</v>
      </c>
      <c r="J58">
        <v>2</v>
      </c>
      <c r="K58">
        <v>25.74</v>
      </c>
      <c r="L58" t="s">
        <v>1063</v>
      </c>
      <c r="M58" t="s">
        <v>1064</v>
      </c>
      <c r="N58" t="s">
        <v>83</v>
      </c>
      <c r="O58" t="s">
        <v>1065</v>
      </c>
      <c r="P58" t="s">
        <v>1066</v>
      </c>
      <c r="Q58" t="s">
        <v>1067</v>
      </c>
      <c r="R58" t="s">
        <v>1068</v>
      </c>
      <c r="S58" t="s">
        <v>1069</v>
      </c>
      <c r="T58">
        <v>1719000</v>
      </c>
      <c r="U58">
        <v>2292000</v>
      </c>
      <c r="V58" t="s">
        <v>1070</v>
      </c>
      <c r="W58" t="s">
        <v>1071</v>
      </c>
      <c r="X58" t="s">
        <v>1072</v>
      </c>
      <c r="Y58" t="s">
        <v>1073</v>
      </c>
      <c r="Z58" t="s">
        <v>64</v>
      </c>
      <c r="AA58" t="s">
        <v>65</v>
      </c>
      <c r="AB58" t="s">
        <v>1074</v>
      </c>
      <c r="AC58" t="s">
        <v>531</v>
      </c>
      <c r="AD58" t="s">
        <v>1075</v>
      </c>
      <c r="AE58" t="s">
        <v>453</v>
      </c>
      <c r="AF58" t="s">
        <v>532</v>
      </c>
      <c r="AG58" t="s">
        <v>1076</v>
      </c>
      <c r="AH58">
        <v>2</v>
      </c>
      <c r="AI58" t="s">
        <v>198</v>
      </c>
      <c r="AJ58" t="s">
        <v>1077</v>
      </c>
      <c r="AK58" t="s">
        <v>1078</v>
      </c>
      <c r="AM58" t="s">
        <v>75</v>
      </c>
      <c r="AN58">
        <v>0</v>
      </c>
      <c r="AO58">
        <v>0</v>
      </c>
    </row>
    <row r="59" spans="1:41" hidden="1" x14ac:dyDescent="0.25">
      <c r="A59">
        <v>58</v>
      </c>
      <c r="B59" s="1" t="s">
        <v>44</v>
      </c>
      <c r="C59" t="s">
        <v>1079</v>
      </c>
      <c r="D59" t="s">
        <v>241</v>
      </c>
      <c r="E59" t="s">
        <v>47</v>
      </c>
      <c r="F59" t="s">
        <v>48</v>
      </c>
      <c r="G59" t="s">
        <v>1080</v>
      </c>
      <c r="H59" t="s">
        <v>1081</v>
      </c>
      <c r="I59" t="s">
        <v>1082</v>
      </c>
      <c r="J59">
        <v>1.75</v>
      </c>
      <c r="K59">
        <v>26.05</v>
      </c>
      <c r="L59" t="s">
        <v>1083</v>
      </c>
      <c r="M59" t="s">
        <v>1084</v>
      </c>
      <c r="N59" t="s">
        <v>1085</v>
      </c>
      <c r="O59" t="s">
        <v>1086</v>
      </c>
      <c r="P59" t="s">
        <v>1087</v>
      </c>
      <c r="Q59" t="s">
        <v>1087</v>
      </c>
      <c r="R59" t="s">
        <v>1087</v>
      </c>
      <c r="S59" t="s">
        <v>1088</v>
      </c>
      <c r="T59">
        <v>4823400</v>
      </c>
      <c r="U59">
        <v>8039000</v>
      </c>
      <c r="V59" t="s">
        <v>1089</v>
      </c>
      <c r="W59" t="s">
        <v>1090</v>
      </c>
      <c r="X59" t="s">
        <v>1091</v>
      </c>
      <c r="Y59" t="s">
        <v>1092</v>
      </c>
      <c r="Z59" t="s">
        <v>64</v>
      </c>
      <c r="AA59" t="s">
        <v>65</v>
      </c>
      <c r="AB59" t="s">
        <v>1093</v>
      </c>
      <c r="AC59" t="s">
        <v>67</v>
      </c>
      <c r="AD59" t="s">
        <v>1094</v>
      </c>
      <c r="AE59" t="s">
        <v>604</v>
      </c>
      <c r="AF59" t="s">
        <v>532</v>
      </c>
      <c r="AG59" t="s">
        <v>1095</v>
      </c>
      <c r="AH59">
        <v>3</v>
      </c>
      <c r="AI59" t="s">
        <v>237</v>
      </c>
      <c r="AJ59" t="s">
        <v>1096</v>
      </c>
      <c r="AK59" t="s">
        <v>1097</v>
      </c>
      <c r="AM59" t="s">
        <v>102</v>
      </c>
      <c r="AN59">
        <v>0</v>
      </c>
      <c r="AO59">
        <v>0</v>
      </c>
    </row>
    <row r="60" spans="1:41" hidden="1" x14ac:dyDescent="0.25">
      <c r="A60">
        <v>59</v>
      </c>
      <c r="B60" s="1" t="s">
        <v>44</v>
      </c>
      <c r="C60" t="s">
        <v>1098</v>
      </c>
      <c r="D60" t="s">
        <v>46</v>
      </c>
      <c r="E60" t="s">
        <v>47</v>
      </c>
      <c r="F60" t="s">
        <v>48</v>
      </c>
      <c r="G60" t="s">
        <v>1080</v>
      </c>
      <c r="H60" t="s">
        <v>1099</v>
      </c>
      <c r="I60" t="s">
        <v>1100</v>
      </c>
      <c r="J60">
        <v>2</v>
      </c>
      <c r="K60">
        <v>25.45</v>
      </c>
      <c r="L60" t="s">
        <v>1101</v>
      </c>
      <c r="M60" t="s">
        <v>1102</v>
      </c>
      <c r="N60" t="s">
        <v>187</v>
      </c>
      <c r="O60" t="s">
        <v>1103</v>
      </c>
      <c r="P60" t="s">
        <v>1104</v>
      </c>
      <c r="Q60" t="s">
        <v>1104</v>
      </c>
      <c r="R60" t="s">
        <v>1105</v>
      </c>
      <c r="S60" t="s">
        <v>1106</v>
      </c>
      <c r="T60">
        <v>2407060</v>
      </c>
      <c r="U60">
        <v>3283000</v>
      </c>
      <c r="V60" t="s">
        <v>1107</v>
      </c>
      <c r="W60" t="s">
        <v>1090</v>
      </c>
      <c r="X60" t="s">
        <v>1108</v>
      </c>
      <c r="Y60" t="s">
        <v>1109</v>
      </c>
      <c r="Z60" t="s">
        <v>64</v>
      </c>
      <c r="AA60" t="s">
        <v>65</v>
      </c>
      <c r="AB60" t="s">
        <v>1110</v>
      </c>
      <c r="AC60" t="s">
        <v>67</v>
      </c>
      <c r="AD60" t="s">
        <v>1111</v>
      </c>
      <c r="AE60" t="s">
        <v>69</v>
      </c>
      <c r="AF60" t="s">
        <v>70</v>
      </c>
      <c r="AG60" t="s">
        <v>1112</v>
      </c>
      <c r="AH60">
        <v>3</v>
      </c>
      <c r="AI60" t="s">
        <v>237</v>
      </c>
      <c r="AJ60" t="s">
        <v>1113</v>
      </c>
      <c r="AK60" t="s">
        <v>1097</v>
      </c>
      <c r="AM60" t="s">
        <v>75</v>
      </c>
      <c r="AN60">
        <v>0</v>
      </c>
      <c r="AO60">
        <v>0</v>
      </c>
    </row>
    <row r="61" spans="1:41" hidden="1" x14ac:dyDescent="0.25">
      <c r="A61">
        <v>60</v>
      </c>
      <c r="B61" s="1" t="s">
        <v>44</v>
      </c>
      <c r="C61" t="s">
        <v>1114</v>
      </c>
      <c r="D61" t="s">
        <v>241</v>
      </c>
      <c r="E61" t="s">
        <v>47</v>
      </c>
      <c r="F61" t="s">
        <v>48</v>
      </c>
      <c r="G61" t="s">
        <v>313</v>
      </c>
      <c r="H61" t="s">
        <v>1115</v>
      </c>
      <c r="I61" t="s">
        <v>1116</v>
      </c>
      <c r="J61">
        <v>2</v>
      </c>
      <c r="K61">
        <v>23.69</v>
      </c>
      <c r="L61" t="s">
        <v>1117</v>
      </c>
      <c r="M61" t="s">
        <v>1118</v>
      </c>
      <c r="N61" t="s">
        <v>83</v>
      </c>
      <c r="O61" t="s">
        <v>1119</v>
      </c>
      <c r="P61" t="s">
        <v>65</v>
      </c>
      <c r="Q61" t="s">
        <v>1120</v>
      </c>
      <c r="R61" t="s">
        <v>65</v>
      </c>
      <c r="S61" t="s">
        <v>1121</v>
      </c>
      <c r="T61">
        <v>1942500</v>
      </c>
      <c r="U61">
        <v>2775000</v>
      </c>
      <c r="V61" t="s">
        <v>1122</v>
      </c>
      <c r="W61" t="s">
        <v>1090</v>
      </c>
      <c r="X61" t="s">
        <v>1123</v>
      </c>
      <c r="Y61" t="s">
        <v>1124</v>
      </c>
      <c r="Z61" t="s">
        <v>64</v>
      </c>
      <c r="AA61" t="s">
        <v>65</v>
      </c>
      <c r="AB61" t="s">
        <v>1125</v>
      </c>
      <c r="AC61" t="s">
        <v>67</v>
      </c>
      <c r="AD61" t="s">
        <v>1126</v>
      </c>
      <c r="AE61" t="s">
        <v>1127</v>
      </c>
      <c r="AF61" t="s">
        <v>1128</v>
      </c>
      <c r="AG61" t="s">
        <v>1129</v>
      </c>
      <c r="AH61">
        <v>3</v>
      </c>
      <c r="AI61" t="s">
        <v>1130</v>
      </c>
      <c r="AJ61" t="s">
        <v>1131</v>
      </c>
      <c r="AK61" t="s">
        <v>1132</v>
      </c>
      <c r="AM61" t="s">
        <v>75</v>
      </c>
      <c r="AN61">
        <v>0</v>
      </c>
      <c r="AO61">
        <v>0</v>
      </c>
    </row>
    <row r="62" spans="1:41" hidden="1" x14ac:dyDescent="0.25">
      <c r="A62">
        <v>61</v>
      </c>
      <c r="B62" s="1" t="s">
        <v>44</v>
      </c>
      <c r="C62" t="s">
        <v>1133</v>
      </c>
      <c r="D62" t="s">
        <v>46</v>
      </c>
      <c r="E62" t="s">
        <v>47</v>
      </c>
      <c r="F62" t="s">
        <v>48</v>
      </c>
      <c r="G62" t="s">
        <v>182</v>
      </c>
      <c r="H62" t="s">
        <v>1134</v>
      </c>
      <c r="I62" t="s">
        <v>1135</v>
      </c>
      <c r="J62">
        <v>2</v>
      </c>
      <c r="K62">
        <v>25.56</v>
      </c>
      <c r="L62" t="s">
        <v>1136</v>
      </c>
      <c r="M62" t="s">
        <v>1137</v>
      </c>
      <c r="N62" t="s">
        <v>54</v>
      </c>
      <c r="O62" t="s">
        <v>1138</v>
      </c>
      <c r="P62" t="s">
        <v>1139</v>
      </c>
      <c r="Q62" t="s">
        <v>1140</v>
      </c>
      <c r="R62" t="s">
        <v>1141</v>
      </c>
      <c r="S62" t="s">
        <v>1142</v>
      </c>
      <c r="T62">
        <v>1631200</v>
      </c>
      <c r="U62">
        <v>2039000</v>
      </c>
      <c r="V62" t="s">
        <v>1143</v>
      </c>
      <c r="W62" t="s">
        <v>1090</v>
      </c>
      <c r="X62" t="s">
        <v>1144</v>
      </c>
      <c r="Y62" t="s">
        <v>1145</v>
      </c>
      <c r="Z62" t="s">
        <v>64</v>
      </c>
      <c r="AA62" t="s">
        <v>65</v>
      </c>
      <c r="AB62" t="s">
        <v>1055</v>
      </c>
      <c r="AC62" t="s">
        <v>67</v>
      </c>
      <c r="AD62" t="s">
        <v>1146</v>
      </c>
      <c r="AE62" t="s">
        <v>69</v>
      </c>
      <c r="AF62" t="s">
        <v>70</v>
      </c>
      <c r="AG62" t="s">
        <v>1147</v>
      </c>
      <c r="AH62">
        <v>3</v>
      </c>
      <c r="AI62" t="s">
        <v>237</v>
      </c>
      <c r="AJ62" t="s">
        <v>1148</v>
      </c>
      <c r="AK62" t="s">
        <v>398</v>
      </c>
      <c r="AM62" t="s">
        <v>75</v>
      </c>
      <c r="AN62">
        <v>0</v>
      </c>
      <c r="AO62">
        <v>0</v>
      </c>
    </row>
    <row r="63" spans="1:41" hidden="1" x14ac:dyDescent="0.25">
      <c r="A63">
        <v>62</v>
      </c>
      <c r="B63" s="1" t="s">
        <v>44</v>
      </c>
      <c r="C63" t="s">
        <v>1149</v>
      </c>
      <c r="D63" t="s">
        <v>77</v>
      </c>
      <c r="E63" t="s">
        <v>47</v>
      </c>
      <c r="F63" t="s">
        <v>48</v>
      </c>
      <c r="G63" t="s">
        <v>516</v>
      </c>
      <c r="H63" t="s">
        <v>1150</v>
      </c>
      <c r="I63" t="s">
        <v>1151</v>
      </c>
      <c r="J63">
        <v>2</v>
      </c>
      <c r="K63">
        <v>21.86</v>
      </c>
      <c r="L63" t="s">
        <v>1152</v>
      </c>
      <c r="M63" t="s">
        <v>1153</v>
      </c>
      <c r="N63" t="s">
        <v>187</v>
      </c>
      <c r="O63" t="s">
        <v>1154</v>
      </c>
      <c r="P63" t="s">
        <v>1155</v>
      </c>
      <c r="Q63" t="s">
        <v>1155</v>
      </c>
      <c r="R63" t="s">
        <v>1155</v>
      </c>
      <c r="S63" t="s">
        <v>1156</v>
      </c>
      <c r="T63">
        <v>1470000</v>
      </c>
      <c r="U63">
        <v>2100000</v>
      </c>
      <c r="V63" t="s">
        <v>1157</v>
      </c>
      <c r="W63" t="s">
        <v>1090</v>
      </c>
      <c r="X63" t="s">
        <v>1158</v>
      </c>
      <c r="Y63" t="s">
        <v>1159</v>
      </c>
      <c r="Z63" t="s">
        <v>64</v>
      </c>
      <c r="AA63" t="s">
        <v>1160</v>
      </c>
      <c r="AB63" t="s">
        <v>1161</v>
      </c>
      <c r="AC63" t="s">
        <v>624</v>
      </c>
      <c r="AD63" t="s">
        <v>1097</v>
      </c>
      <c r="AE63" t="s">
        <v>1127</v>
      </c>
      <c r="AF63" t="s">
        <v>1162</v>
      </c>
      <c r="AG63" t="s">
        <v>1163</v>
      </c>
      <c r="AH63">
        <v>5</v>
      </c>
      <c r="AI63" t="s">
        <v>237</v>
      </c>
      <c r="AJ63" t="s">
        <v>1164</v>
      </c>
      <c r="AK63" t="s">
        <v>398</v>
      </c>
      <c r="AM63" t="s">
        <v>75</v>
      </c>
      <c r="AN63">
        <v>0</v>
      </c>
      <c r="AO63">
        <v>0</v>
      </c>
    </row>
    <row r="64" spans="1:41" hidden="1" x14ac:dyDescent="0.25">
      <c r="A64">
        <v>63</v>
      </c>
      <c r="B64" s="1" t="s">
        <v>44</v>
      </c>
      <c r="C64" t="s">
        <v>1165</v>
      </c>
      <c r="D64" t="s">
        <v>277</v>
      </c>
      <c r="E64" t="s">
        <v>47</v>
      </c>
      <c r="F64" t="s">
        <v>48</v>
      </c>
      <c r="G64" t="s">
        <v>1166</v>
      </c>
      <c r="H64" t="s">
        <v>1167</v>
      </c>
      <c r="I64" t="s">
        <v>1168</v>
      </c>
      <c r="J64">
        <v>2.5</v>
      </c>
      <c r="K64">
        <v>27.69</v>
      </c>
      <c r="L64" t="s">
        <v>1169</v>
      </c>
      <c r="M64" t="s">
        <v>1170</v>
      </c>
      <c r="N64" t="s">
        <v>187</v>
      </c>
      <c r="O64" t="s">
        <v>1171</v>
      </c>
      <c r="P64" t="s">
        <v>1172</v>
      </c>
      <c r="Q64" t="s">
        <v>1173</v>
      </c>
      <c r="R64" t="s">
        <v>1174</v>
      </c>
      <c r="S64" t="s">
        <v>1175</v>
      </c>
      <c r="T64">
        <v>1157500</v>
      </c>
      <c r="U64">
        <v>2315000</v>
      </c>
      <c r="V64" t="s">
        <v>1176</v>
      </c>
      <c r="W64" t="s">
        <v>1177</v>
      </c>
      <c r="X64" t="s">
        <v>1178</v>
      </c>
      <c r="Y64" t="s">
        <v>1179</v>
      </c>
      <c r="Z64" t="s">
        <v>64</v>
      </c>
      <c r="AA64" t="s">
        <v>1180</v>
      </c>
      <c r="AB64" t="s">
        <v>1181</v>
      </c>
      <c r="AC64" t="s">
        <v>175</v>
      </c>
      <c r="AD64" t="s">
        <v>1182</v>
      </c>
      <c r="AE64" t="s">
        <v>960</v>
      </c>
      <c r="AF64" t="s">
        <v>1128</v>
      </c>
      <c r="AG64" t="s">
        <v>1183</v>
      </c>
      <c r="AH64">
        <v>5</v>
      </c>
      <c r="AI64" t="s">
        <v>237</v>
      </c>
      <c r="AJ64" t="s">
        <v>1184</v>
      </c>
      <c r="AK64" t="s">
        <v>1185</v>
      </c>
      <c r="AM64" t="s">
        <v>180</v>
      </c>
      <c r="AN64">
        <v>0</v>
      </c>
      <c r="AO64">
        <v>0</v>
      </c>
    </row>
    <row r="65" spans="1:41" hidden="1" x14ac:dyDescent="0.25">
      <c r="A65">
        <v>64</v>
      </c>
      <c r="B65" s="1" t="s">
        <v>44</v>
      </c>
      <c r="C65" t="s">
        <v>1186</v>
      </c>
      <c r="D65" t="s">
        <v>277</v>
      </c>
      <c r="E65" t="s">
        <v>47</v>
      </c>
      <c r="F65" t="s">
        <v>48</v>
      </c>
      <c r="G65" t="s">
        <v>78</v>
      </c>
      <c r="H65" t="s">
        <v>1187</v>
      </c>
      <c r="I65" t="s">
        <v>1188</v>
      </c>
      <c r="J65">
        <v>1.75</v>
      </c>
      <c r="K65">
        <v>22.87</v>
      </c>
      <c r="L65" t="s">
        <v>1189</v>
      </c>
      <c r="M65" t="s">
        <v>1190</v>
      </c>
      <c r="N65" t="s">
        <v>83</v>
      </c>
      <c r="O65" t="s">
        <v>1191</v>
      </c>
      <c r="P65" t="s">
        <v>65</v>
      </c>
      <c r="Q65" t="s">
        <v>1192</v>
      </c>
      <c r="R65" t="s">
        <v>65</v>
      </c>
      <c r="S65" t="s">
        <v>1193</v>
      </c>
      <c r="T65">
        <v>1386000</v>
      </c>
      <c r="U65">
        <v>1980000</v>
      </c>
      <c r="V65" t="s">
        <v>1194</v>
      </c>
      <c r="W65" t="s">
        <v>1195</v>
      </c>
      <c r="X65" t="s">
        <v>1196</v>
      </c>
      <c r="Y65" t="s">
        <v>1197</v>
      </c>
      <c r="Z65" t="s">
        <v>93</v>
      </c>
      <c r="AA65" t="s">
        <v>1198</v>
      </c>
      <c r="AB65" t="s">
        <v>1199</v>
      </c>
      <c r="AC65" t="s">
        <v>175</v>
      </c>
      <c r="AD65" t="s">
        <v>1020</v>
      </c>
      <c r="AE65" t="s">
        <v>1200</v>
      </c>
      <c r="AF65" t="s">
        <v>1201</v>
      </c>
      <c r="AG65" t="s">
        <v>1202</v>
      </c>
      <c r="AH65">
        <v>5</v>
      </c>
      <c r="AI65" t="s">
        <v>72</v>
      </c>
      <c r="AJ65" t="s">
        <v>1203</v>
      </c>
      <c r="AK65" t="s">
        <v>1090</v>
      </c>
      <c r="AM65" t="s">
        <v>102</v>
      </c>
      <c r="AN65">
        <v>0</v>
      </c>
      <c r="AO65">
        <v>0</v>
      </c>
    </row>
    <row r="66" spans="1:41" hidden="1" x14ac:dyDescent="0.25">
      <c r="A66">
        <v>65</v>
      </c>
      <c r="B66" s="1" t="s">
        <v>44</v>
      </c>
      <c r="C66" t="s">
        <v>1204</v>
      </c>
      <c r="D66" t="s">
        <v>46</v>
      </c>
      <c r="E66" t="s">
        <v>47</v>
      </c>
      <c r="F66" t="s">
        <v>48</v>
      </c>
      <c r="G66" t="s">
        <v>1205</v>
      </c>
      <c r="H66" t="s">
        <v>1206</v>
      </c>
      <c r="I66" t="s">
        <v>1207</v>
      </c>
      <c r="J66">
        <v>1.75</v>
      </c>
      <c r="K66">
        <v>25.95</v>
      </c>
      <c r="L66" t="s">
        <v>1208</v>
      </c>
      <c r="M66" t="s">
        <v>1209</v>
      </c>
      <c r="N66" t="s">
        <v>54</v>
      </c>
      <c r="O66" t="s">
        <v>1210</v>
      </c>
      <c r="P66" t="s">
        <v>1211</v>
      </c>
      <c r="Q66" t="s">
        <v>1212</v>
      </c>
      <c r="R66" t="s">
        <v>1211</v>
      </c>
      <c r="S66" t="s">
        <v>1213</v>
      </c>
      <c r="T66">
        <v>2964840</v>
      </c>
      <c r="U66">
        <v>4782000</v>
      </c>
      <c r="V66" t="s">
        <v>1214</v>
      </c>
      <c r="W66" t="s">
        <v>1215</v>
      </c>
      <c r="X66" t="s">
        <v>1216</v>
      </c>
      <c r="Y66" t="s">
        <v>1217</v>
      </c>
      <c r="Z66" t="s">
        <v>64</v>
      </c>
      <c r="AA66" t="s">
        <v>65</v>
      </c>
      <c r="AB66" t="s">
        <v>132</v>
      </c>
      <c r="AC66" t="s">
        <v>67</v>
      </c>
      <c r="AD66" t="s">
        <v>1218</v>
      </c>
      <c r="AE66" t="s">
        <v>69</v>
      </c>
      <c r="AF66" t="s">
        <v>70</v>
      </c>
      <c r="AG66" t="s">
        <v>1219</v>
      </c>
      <c r="AH66">
        <v>3</v>
      </c>
      <c r="AI66" t="s">
        <v>65</v>
      </c>
      <c r="AJ66" t="s">
        <v>65</v>
      </c>
      <c r="AK66" t="s">
        <v>65</v>
      </c>
      <c r="AM66" t="s">
        <v>102</v>
      </c>
      <c r="AN66">
        <v>0</v>
      </c>
      <c r="AO66">
        <v>0</v>
      </c>
    </row>
    <row r="67" spans="1:41" hidden="1" x14ac:dyDescent="0.25">
      <c r="A67">
        <v>66</v>
      </c>
      <c r="B67" s="1" t="s">
        <v>44</v>
      </c>
      <c r="C67" t="s">
        <v>1220</v>
      </c>
      <c r="D67" t="s">
        <v>277</v>
      </c>
      <c r="E67" t="s">
        <v>47</v>
      </c>
      <c r="F67" t="s">
        <v>48</v>
      </c>
      <c r="G67" t="s">
        <v>1221</v>
      </c>
      <c r="H67" t="s">
        <v>1222</v>
      </c>
      <c r="I67" t="s">
        <v>1223</v>
      </c>
      <c r="J67">
        <v>1.5</v>
      </c>
      <c r="K67">
        <v>27.44</v>
      </c>
      <c r="L67" t="s">
        <v>1224</v>
      </c>
      <c r="M67" t="s">
        <v>1225</v>
      </c>
      <c r="N67" t="s">
        <v>83</v>
      </c>
      <c r="O67" t="s">
        <v>1226</v>
      </c>
      <c r="P67" t="s">
        <v>1227</v>
      </c>
      <c r="Q67" t="s">
        <v>1227</v>
      </c>
      <c r="R67" t="s">
        <v>1228</v>
      </c>
      <c r="S67" t="s">
        <v>1229</v>
      </c>
      <c r="T67">
        <v>1763300</v>
      </c>
      <c r="U67">
        <v>2519000</v>
      </c>
      <c r="V67" t="s">
        <v>1230</v>
      </c>
      <c r="W67" t="s">
        <v>1231</v>
      </c>
      <c r="X67" t="s">
        <v>1232</v>
      </c>
      <c r="Y67" t="s">
        <v>1233</v>
      </c>
      <c r="Z67" t="s">
        <v>93</v>
      </c>
      <c r="AA67" t="s">
        <v>65</v>
      </c>
      <c r="AB67" t="s">
        <v>1234</v>
      </c>
      <c r="AC67" t="s">
        <v>151</v>
      </c>
      <c r="AD67" t="s">
        <v>1090</v>
      </c>
      <c r="AE67" t="s">
        <v>1200</v>
      </c>
      <c r="AF67" t="s">
        <v>1128</v>
      </c>
      <c r="AG67" t="s">
        <v>1235</v>
      </c>
      <c r="AH67">
        <v>2</v>
      </c>
      <c r="AI67" t="s">
        <v>100</v>
      </c>
      <c r="AJ67" t="s">
        <v>1236</v>
      </c>
      <c r="AK67" t="s">
        <v>1215</v>
      </c>
      <c r="AM67" t="s">
        <v>157</v>
      </c>
      <c r="AN67">
        <v>0</v>
      </c>
      <c r="AO67">
        <v>0</v>
      </c>
    </row>
    <row r="68" spans="1:41" hidden="1" x14ac:dyDescent="0.25">
      <c r="A68">
        <v>67</v>
      </c>
      <c r="B68" s="1" t="s">
        <v>44</v>
      </c>
      <c r="C68" t="s">
        <v>1237</v>
      </c>
      <c r="D68" t="s">
        <v>1238</v>
      </c>
      <c r="E68" t="s">
        <v>47</v>
      </c>
      <c r="F68" t="s">
        <v>48</v>
      </c>
      <c r="G68" t="s">
        <v>120</v>
      </c>
      <c r="H68" t="s">
        <v>1239</v>
      </c>
      <c r="I68" t="s">
        <v>1240</v>
      </c>
      <c r="J68">
        <v>2</v>
      </c>
      <c r="K68">
        <v>20.8</v>
      </c>
      <c r="L68" t="s">
        <v>1241</v>
      </c>
      <c r="M68" t="s">
        <v>1242</v>
      </c>
      <c r="N68" t="s">
        <v>54</v>
      </c>
      <c r="O68" t="s">
        <v>1243</v>
      </c>
      <c r="P68" t="s">
        <v>1244</v>
      </c>
      <c r="Q68" t="s">
        <v>1245</v>
      </c>
      <c r="R68" t="s">
        <v>1246</v>
      </c>
      <c r="S68" t="s">
        <v>1247</v>
      </c>
      <c r="T68">
        <v>1190000</v>
      </c>
      <c r="U68">
        <v>1700000</v>
      </c>
      <c r="V68" t="s">
        <v>1248</v>
      </c>
      <c r="W68" t="s">
        <v>1042</v>
      </c>
      <c r="X68" t="s">
        <v>1249</v>
      </c>
      <c r="Y68" t="s">
        <v>1250</v>
      </c>
      <c r="Z68" t="s">
        <v>549</v>
      </c>
      <c r="AA68" t="s">
        <v>1251</v>
      </c>
      <c r="AB68" t="s">
        <v>1161</v>
      </c>
      <c r="AC68" t="s">
        <v>507</v>
      </c>
      <c r="AD68" t="s">
        <v>1252</v>
      </c>
      <c r="AE68" t="s">
        <v>1253</v>
      </c>
      <c r="AF68" t="s">
        <v>1254</v>
      </c>
      <c r="AG68" t="s">
        <v>1255</v>
      </c>
      <c r="AH68">
        <v>5</v>
      </c>
      <c r="AI68" t="s">
        <v>100</v>
      </c>
      <c r="AJ68" t="s">
        <v>1256</v>
      </c>
      <c r="AK68" t="s">
        <v>1252</v>
      </c>
      <c r="AM68" t="s">
        <v>75</v>
      </c>
      <c r="AN68">
        <v>0</v>
      </c>
      <c r="AO68">
        <v>0</v>
      </c>
    </row>
    <row r="69" spans="1:41" hidden="1" x14ac:dyDescent="0.25">
      <c r="A69">
        <v>68</v>
      </c>
      <c r="B69" s="1" t="s">
        <v>44</v>
      </c>
      <c r="C69" t="s">
        <v>1257</v>
      </c>
      <c r="D69" t="s">
        <v>136</v>
      </c>
      <c r="E69" t="s">
        <v>47</v>
      </c>
      <c r="F69" t="s">
        <v>48</v>
      </c>
      <c r="G69" t="s">
        <v>1258</v>
      </c>
      <c r="H69" t="s">
        <v>1259</v>
      </c>
      <c r="I69" t="s">
        <v>1260</v>
      </c>
      <c r="J69">
        <v>1.5</v>
      </c>
      <c r="K69">
        <v>20.8</v>
      </c>
      <c r="L69" t="s">
        <v>1261</v>
      </c>
      <c r="M69" t="s">
        <v>1262</v>
      </c>
      <c r="N69" t="s">
        <v>187</v>
      </c>
      <c r="O69" t="s">
        <v>1263</v>
      </c>
      <c r="P69" t="s">
        <v>1264</v>
      </c>
      <c r="Q69" t="s">
        <v>1265</v>
      </c>
      <c r="R69" t="s">
        <v>1266</v>
      </c>
      <c r="S69" t="s">
        <v>1267</v>
      </c>
      <c r="T69">
        <v>3695250</v>
      </c>
      <c r="U69">
        <v>4927000</v>
      </c>
      <c r="V69" t="s">
        <v>146</v>
      </c>
      <c r="W69" t="s">
        <v>1268</v>
      </c>
      <c r="X69" t="s">
        <v>1269</v>
      </c>
      <c r="Y69" t="s">
        <v>1270</v>
      </c>
      <c r="Z69" t="s">
        <v>64</v>
      </c>
      <c r="AA69" t="s">
        <v>65</v>
      </c>
      <c r="AB69" t="s">
        <v>132</v>
      </c>
      <c r="AC69" t="s">
        <v>151</v>
      </c>
      <c r="AD69" t="s">
        <v>1271</v>
      </c>
      <c r="AE69" t="s">
        <v>1253</v>
      </c>
      <c r="AF69" t="s">
        <v>1201</v>
      </c>
      <c r="AG69" t="s">
        <v>1272</v>
      </c>
      <c r="AH69">
        <v>7</v>
      </c>
      <c r="AI69" t="s">
        <v>65</v>
      </c>
      <c r="AJ69" t="s">
        <v>65</v>
      </c>
      <c r="AK69" t="s">
        <v>65</v>
      </c>
      <c r="AM69" t="s">
        <v>157</v>
      </c>
      <c r="AN69">
        <v>0</v>
      </c>
      <c r="AO69">
        <v>0</v>
      </c>
    </row>
    <row r="70" spans="1:41" hidden="1" x14ac:dyDescent="0.25">
      <c r="A70">
        <v>69</v>
      </c>
      <c r="B70" s="1" t="s">
        <v>44</v>
      </c>
      <c r="C70" t="s">
        <v>1273</v>
      </c>
      <c r="D70" t="s">
        <v>46</v>
      </c>
      <c r="E70" t="s">
        <v>47</v>
      </c>
      <c r="F70" t="s">
        <v>48</v>
      </c>
      <c r="G70" t="s">
        <v>1274</v>
      </c>
      <c r="H70" t="s">
        <v>1275</v>
      </c>
      <c r="I70" t="s">
        <v>1276</v>
      </c>
      <c r="J70">
        <v>2</v>
      </c>
      <c r="K70">
        <v>25.54</v>
      </c>
      <c r="L70" t="s">
        <v>1277</v>
      </c>
      <c r="M70" t="s">
        <v>1278</v>
      </c>
      <c r="N70" t="s">
        <v>83</v>
      </c>
      <c r="O70" t="s">
        <v>1279</v>
      </c>
      <c r="P70" t="s">
        <v>1280</v>
      </c>
      <c r="Q70" t="s">
        <v>1281</v>
      </c>
      <c r="R70" t="s">
        <v>1282</v>
      </c>
      <c r="S70" t="s">
        <v>1283</v>
      </c>
      <c r="T70">
        <v>2859350</v>
      </c>
      <c r="U70">
        <v>4399000</v>
      </c>
      <c r="V70" t="s">
        <v>1284</v>
      </c>
      <c r="W70" t="s">
        <v>1285</v>
      </c>
      <c r="X70" t="s">
        <v>1286</v>
      </c>
      <c r="Y70" t="s">
        <v>1287</v>
      </c>
      <c r="Z70" t="s">
        <v>64</v>
      </c>
      <c r="AA70" t="s">
        <v>65</v>
      </c>
      <c r="AB70" t="s">
        <v>1288</v>
      </c>
      <c r="AC70" t="s">
        <v>67</v>
      </c>
      <c r="AD70" t="s">
        <v>1094</v>
      </c>
      <c r="AE70" t="s">
        <v>604</v>
      </c>
      <c r="AF70" t="s">
        <v>532</v>
      </c>
      <c r="AG70" t="s">
        <v>1289</v>
      </c>
      <c r="AH70">
        <v>3</v>
      </c>
      <c r="AI70" t="s">
        <v>65</v>
      </c>
      <c r="AJ70" t="s">
        <v>65</v>
      </c>
      <c r="AK70" t="s">
        <v>65</v>
      </c>
      <c r="AM70" t="s">
        <v>75</v>
      </c>
      <c r="AN70">
        <v>0</v>
      </c>
      <c r="AO70">
        <v>0</v>
      </c>
    </row>
    <row r="71" spans="1:41" hidden="1" x14ac:dyDescent="0.25">
      <c r="A71">
        <v>70</v>
      </c>
      <c r="B71" s="1" t="s">
        <v>44</v>
      </c>
      <c r="C71" t="s">
        <v>1290</v>
      </c>
      <c r="D71" t="s">
        <v>277</v>
      </c>
      <c r="E71" t="s">
        <v>47</v>
      </c>
      <c r="F71" t="s">
        <v>48</v>
      </c>
      <c r="G71" t="s">
        <v>78</v>
      </c>
      <c r="H71" t="s">
        <v>1291</v>
      </c>
      <c r="I71" t="s">
        <v>1292</v>
      </c>
      <c r="J71">
        <v>2</v>
      </c>
      <c r="K71">
        <v>25.6</v>
      </c>
      <c r="L71" t="s">
        <v>1293</v>
      </c>
      <c r="M71" t="s">
        <v>1294</v>
      </c>
      <c r="N71" t="s">
        <v>83</v>
      </c>
      <c r="O71" t="s">
        <v>1295</v>
      </c>
      <c r="P71" t="s">
        <v>1296</v>
      </c>
      <c r="Q71" t="s">
        <v>1296</v>
      </c>
      <c r="R71" t="s">
        <v>167</v>
      </c>
      <c r="S71" t="s">
        <v>1297</v>
      </c>
      <c r="T71">
        <v>2400000</v>
      </c>
      <c r="U71">
        <v>4000000</v>
      </c>
      <c r="V71" t="s">
        <v>1298</v>
      </c>
      <c r="W71" t="s">
        <v>1285</v>
      </c>
      <c r="X71" t="s">
        <v>1299</v>
      </c>
      <c r="Y71" t="s">
        <v>1300</v>
      </c>
      <c r="Z71" t="s">
        <v>549</v>
      </c>
      <c r="AA71" t="s">
        <v>65</v>
      </c>
      <c r="AB71" t="s">
        <v>1301</v>
      </c>
      <c r="AC71" t="s">
        <v>552</v>
      </c>
      <c r="AD71" t="s">
        <v>1042</v>
      </c>
      <c r="AE71" t="s">
        <v>1042</v>
      </c>
      <c r="AF71" t="s">
        <v>1302</v>
      </c>
      <c r="AG71" t="s">
        <v>1303</v>
      </c>
      <c r="AH71">
        <v>3</v>
      </c>
      <c r="AI71" t="s">
        <v>237</v>
      </c>
      <c r="AJ71" t="s">
        <v>1304</v>
      </c>
      <c r="AK71" t="s">
        <v>1042</v>
      </c>
      <c r="AM71" t="s">
        <v>75</v>
      </c>
      <c r="AN71">
        <v>0</v>
      </c>
      <c r="AO71">
        <v>0</v>
      </c>
    </row>
    <row r="72" spans="1:41" x14ac:dyDescent="0.25">
      <c r="A72">
        <v>71</v>
      </c>
      <c r="B72" t="s">
        <v>1305</v>
      </c>
      <c r="C72" t="s">
        <v>1306</v>
      </c>
      <c r="D72" t="s">
        <v>46</v>
      </c>
      <c r="E72" t="s">
        <v>47</v>
      </c>
      <c r="F72" t="s">
        <v>48</v>
      </c>
      <c r="G72" t="s">
        <v>182</v>
      </c>
      <c r="H72" t="s">
        <v>1307</v>
      </c>
      <c r="I72" t="s">
        <v>1308</v>
      </c>
      <c r="J72">
        <v>2</v>
      </c>
      <c r="K72">
        <v>25.79</v>
      </c>
      <c r="L72" t="s">
        <v>1309</v>
      </c>
      <c r="M72" t="s">
        <v>1310</v>
      </c>
      <c r="N72" t="s">
        <v>1311</v>
      </c>
      <c r="O72" t="s">
        <v>1312</v>
      </c>
      <c r="P72" t="s">
        <v>1313</v>
      </c>
      <c r="Q72" t="s">
        <v>1313</v>
      </c>
      <c r="R72" t="s">
        <v>1313</v>
      </c>
      <c r="S72" t="s">
        <v>1314</v>
      </c>
      <c r="T72">
        <v>801000</v>
      </c>
      <c r="U72">
        <v>1335000</v>
      </c>
      <c r="V72" t="s">
        <v>1315</v>
      </c>
      <c r="W72" t="s">
        <v>1285</v>
      </c>
      <c r="X72" t="s">
        <v>1316</v>
      </c>
      <c r="Y72" t="s">
        <v>1317</v>
      </c>
      <c r="Z72" t="s">
        <v>64</v>
      </c>
      <c r="AA72" t="s">
        <v>65</v>
      </c>
      <c r="AB72" t="s">
        <v>1318</v>
      </c>
      <c r="AC72" t="s">
        <v>67</v>
      </c>
      <c r="AD72" t="s">
        <v>1094</v>
      </c>
      <c r="AE72" t="s">
        <v>69</v>
      </c>
      <c r="AF72" t="s">
        <v>1319</v>
      </c>
      <c r="AG72" t="s">
        <v>1320</v>
      </c>
      <c r="AH72">
        <v>7</v>
      </c>
      <c r="AI72" t="s">
        <v>511</v>
      </c>
      <c r="AJ72" t="s">
        <v>1321</v>
      </c>
      <c r="AK72" t="s">
        <v>1132</v>
      </c>
      <c r="AM72" t="s">
        <v>75</v>
      </c>
      <c r="AN72">
        <v>1068000</v>
      </c>
      <c r="AO72" s="9">
        <v>21360</v>
      </c>
    </row>
    <row r="73" spans="1:41" x14ac:dyDescent="0.25">
      <c r="A73">
        <v>72</v>
      </c>
      <c r="B73" t="s">
        <v>1305</v>
      </c>
      <c r="C73" t="s">
        <v>1322</v>
      </c>
      <c r="D73" t="s">
        <v>136</v>
      </c>
      <c r="E73" t="s">
        <v>47</v>
      </c>
      <c r="F73" t="s">
        <v>48</v>
      </c>
      <c r="G73" t="s">
        <v>1323</v>
      </c>
      <c r="H73" t="s">
        <v>1324</v>
      </c>
      <c r="I73" t="s">
        <v>1325</v>
      </c>
      <c r="J73">
        <v>2</v>
      </c>
      <c r="K73">
        <v>20.8</v>
      </c>
      <c r="L73" t="s">
        <v>1326</v>
      </c>
      <c r="M73" t="s">
        <v>1327</v>
      </c>
      <c r="N73" t="s">
        <v>931</v>
      </c>
      <c r="O73" t="s">
        <v>1328</v>
      </c>
      <c r="P73" t="s">
        <v>1329</v>
      </c>
      <c r="Q73" t="s">
        <v>1330</v>
      </c>
      <c r="R73" t="s">
        <v>1329</v>
      </c>
      <c r="S73" t="s">
        <v>1331</v>
      </c>
      <c r="T73">
        <v>1916000</v>
      </c>
      <c r="U73">
        <v>2395000</v>
      </c>
      <c r="V73" t="s">
        <v>1332</v>
      </c>
      <c r="W73" t="s">
        <v>1268</v>
      </c>
      <c r="X73" t="s">
        <v>1333</v>
      </c>
      <c r="Y73" t="s">
        <v>1334</v>
      </c>
      <c r="Z73" t="s">
        <v>64</v>
      </c>
      <c r="AA73" t="s">
        <v>65</v>
      </c>
      <c r="AB73" t="s">
        <v>1335</v>
      </c>
      <c r="AC73" t="s">
        <v>151</v>
      </c>
      <c r="AD73" t="s">
        <v>1336</v>
      </c>
      <c r="AE73" t="s">
        <v>1253</v>
      </c>
      <c r="AF73" t="s">
        <v>1254</v>
      </c>
      <c r="AG73" t="s">
        <v>1337</v>
      </c>
      <c r="AH73">
        <v>5</v>
      </c>
      <c r="AI73" t="s">
        <v>100</v>
      </c>
      <c r="AJ73" t="s">
        <v>1338</v>
      </c>
      <c r="AK73" t="s">
        <v>1339</v>
      </c>
      <c r="AM73" t="s">
        <v>75</v>
      </c>
      <c r="AN73">
        <v>1796250</v>
      </c>
      <c r="AO73" s="9">
        <v>35925</v>
      </c>
    </row>
    <row r="74" spans="1:41" x14ac:dyDescent="0.25">
      <c r="A74">
        <v>73</v>
      </c>
      <c r="B74" t="s">
        <v>1305</v>
      </c>
      <c r="C74" t="s">
        <v>1340</v>
      </c>
      <c r="D74" t="s">
        <v>46</v>
      </c>
      <c r="E74" t="s">
        <v>47</v>
      </c>
      <c r="F74" t="s">
        <v>48</v>
      </c>
      <c r="G74" t="s">
        <v>1341</v>
      </c>
      <c r="H74" t="s">
        <v>1342</v>
      </c>
      <c r="I74" t="s">
        <v>1343</v>
      </c>
      <c r="J74">
        <v>2</v>
      </c>
      <c r="K74">
        <v>25.79</v>
      </c>
      <c r="L74" t="s">
        <v>1344</v>
      </c>
      <c r="M74" t="s">
        <v>1345</v>
      </c>
      <c r="N74" t="s">
        <v>1085</v>
      </c>
      <c r="O74" t="s">
        <v>1346</v>
      </c>
      <c r="P74" t="s">
        <v>1347</v>
      </c>
      <c r="Q74" t="s">
        <v>1347</v>
      </c>
      <c r="R74" t="s">
        <v>1348</v>
      </c>
      <c r="S74" t="s">
        <v>1349</v>
      </c>
      <c r="T74">
        <v>2880800</v>
      </c>
      <c r="U74">
        <v>4432000</v>
      </c>
      <c r="V74" t="s">
        <v>1350</v>
      </c>
      <c r="W74" t="s">
        <v>1285</v>
      </c>
      <c r="X74" t="s">
        <v>1351</v>
      </c>
      <c r="Y74" t="s">
        <v>1352</v>
      </c>
      <c r="Z74" t="s">
        <v>64</v>
      </c>
      <c r="AA74" t="s">
        <v>65</v>
      </c>
      <c r="AB74" t="s">
        <v>1353</v>
      </c>
      <c r="AC74" t="s">
        <v>67</v>
      </c>
      <c r="AD74" t="s">
        <v>1218</v>
      </c>
      <c r="AE74" t="s">
        <v>399</v>
      </c>
      <c r="AF74" t="s">
        <v>1354</v>
      </c>
      <c r="AG74" t="s">
        <v>1355</v>
      </c>
      <c r="AH74">
        <v>5</v>
      </c>
      <c r="AI74" t="s">
        <v>65</v>
      </c>
      <c r="AJ74" t="s">
        <v>65</v>
      </c>
      <c r="AK74" t="s">
        <v>65</v>
      </c>
      <c r="AM74" t="s">
        <v>75</v>
      </c>
      <c r="AN74">
        <v>3545600</v>
      </c>
      <c r="AO74" s="9">
        <v>70912</v>
      </c>
    </row>
    <row r="75" spans="1:41" x14ac:dyDescent="0.25">
      <c r="A75">
        <v>74</v>
      </c>
      <c r="B75" t="s">
        <v>1305</v>
      </c>
      <c r="C75" t="s">
        <v>1356</v>
      </c>
      <c r="D75" t="s">
        <v>46</v>
      </c>
      <c r="E75" t="s">
        <v>47</v>
      </c>
      <c r="F75" t="s">
        <v>48</v>
      </c>
      <c r="G75" t="s">
        <v>1341</v>
      </c>
      <c r="H75" t="s">
        <v>1357</v>
      </c>
      <c r="I75" t="s">
        <v>1358</v>
      </c>
      <c r="J75">
        <v>2</v>
      </c>
      <c r="K75">
        <v>26.29</v>
      </c>
      <c r="L75" t="s">
        <v>1359</v>
      </c>
      <c r="M75" t="s">
        <v>1360</v>
      </c>
      <c r="N75" t="s">
        <v>1085</v>
      </c>
      <c r="O75" t="s">
        <v>1361</v>
      </c>
      <c r="P75" t="s">
        <v>1362</v>
      </c>
      <c r="Q75" t="s">
        <v>1362</v>
      </c>
      <c r="R75" t="s">
        <v>1363</v>
      </c>
      <c r="S75" t="s">
        <v>1364</v>
      </c>
      <c r="T75">
        <v>3102400</v>
      </c>
      <c r="U75">
        <v>4432000</v>
      </c>
      <c r="V75" t="s">
        <v>1365</v>
      </c>
      <c r="W75" t="s">
        <v>1285</v>
      </c>
      <c r="X75" t="s">
        <v>1366</v>
      </c>
      <c r="Y75" t="s">
        <v>1367</v>
      </c>
      <c r="Z75" t="s">
        <v>64</v>
      </c>
      <c r="AA75" t="s">
        <v>65</v>
      </c>
      <c r="AB75" t="s">
        <v>1368</v>
      </c>
      <c r="AC75" t="s">
        <v>67</v>
      </c>
      <c r="AD75" t="s">
        <v>235</v>
      </c>
      <c r="AE75" t="s">
        <v>604</v>
      </c>
      <c r="AF75" t="s">
        <v>974</v>
      </c>
      <c r="AG75" t="s">
        <v>1369</v>
      </c>
      <c r="AH75">
        <v>5</v>
      </c>
      <c r="AI75" t="s">
        <v>65</v>
      </c>
      <c r="AJ75" t="s">
        <v>65</v>
      </c>
      <c r="AK75" t="s">
        <v>65</v>
      </c>
      <c r="AM75" t="s">
        <v>75</v>
      </c>
      <c r="AN75">
        <v>3545600</v>
      </c>
      <c r="AO75" s="9">
        <v>70912</v>
      </c>
    </row>
    <row r="76" spans="1:41" x14ac:dyDescent="0.25">
      <c r="A76">
        <v>75</v>
      </c>
      <c r="B76" t="s">
        <v>1305</v>
      </c>
      <c r="C76" t="s">
        <v>1370</v>
      </c>
      <c r="D76" t="s">
        <v>136</v>
      </c>
      <c r="E76" t="s">
        <v>47</v>
      </c>
      <c r="F76" t="s">
        <v>48</v>
      </c>
      <c r="G76" t="s">
        <v>1371</v>
      </c>
      <c r="H76" t="s">
        <v>1372</v>
      </c>
      <c r="I76" t="s">
        <v>1373</v>
      </c>
      <c r="J76">
        <v>1.5</v>
      </c>
      <c r="K76">
        <v>20.8</v>
      </c>
      <c r="L76" t="s">
        <v>1374</v>
      </c>
      <c r="M76" t="s">
        <v>1375</v>
      </c>
      <c r="N76" t="s">
        <v>265</v>
      </c>
      <c r="O76" t="s">
        <v>1376</v>
      </c>
      <c r="P76" t="s">
        <v>1377</v>
      </c>
      <c r="Q76" t="s">
        <v>1377</v>
      </c>
      <c r="R76" t="s">
        <v>1378</v>
      </c>
      <c r="S76" t="s">
        <v>1379</v>
      </c>
      <c r="T76">
        <v>3995260</v>
      </c>
      <c r="U76">
        <v>5399000</v>
      </c>
      <c r="V76" t="s">
        <v>1380</v>
      </c>
      <c r="W76" t="s">
        <v>1268</v>
      </c>
      <c r="X76" t="s">
        <v>1381</v>
      </c>
      <c r="Y76" t="s">
        <v>1382</v>
      </c>
      <c r="Z76" t="s">
        <v>64</v>
      </c>
      <c r="AA76" t="s">
        <v>65</v>
      </c>
      <c r="AB76" t="s">
        <v>116</v>
      </c>
      <c r="AC76" t="s">
        <v>151</v>
      </c>
      <c r="AD76" t="s">
        <v>1383</v>
      </c>
      <c r="AE76" t="s">
        <v>1253</v>
      </c>
      <c r="AF76" t="s">
        <v>1254</v>
      </c>
      <c r="AG76" t="s">
        <v>1384</v>
      </c>
      <c r="AH76">
        <v>5</v>
      </c>
      <c r="AI76" t="s">
        <v>65</v>
      </c>
      <c r="AJ76" t="s">
        <v>65</v>
      </c>
      <c r="AK76" t="s">
        <v>65</v>
      </c>
      <c r="AM76" t="s">
        <v>157</v>
      </c>
      <c r="AN76">
        <v>4049250</v>
      </c>
      <c r="AO76" s="9">
        <v>60738.75</v>
      </c>
    </row>
    <row r="77" spans="1:41" x14ac:dyDescent="0.25">
      <c r="A77">
        <v>76</v>
      </c>
      <c r="B77" t="s">
        <v>1305</v>
      </c>
      <c r="C77" t="s">
        <v>1385</v>
      </c>
      <c r="D77" t="s">
        <v>241</v>
      </c>
      <c r="E77" t="s">
        <v>47</v>
      </c>
      <c r="F77" t="s">
        <v>48</v>
      </c>
      <c r="G77" t="s">
        <v>366</v>
      </c>
      <c r="H77" t="s">
        <v>1386</v>
      </c>
      <c r="I77" t="s">
        <v>1387</v>
      </c>
      <c r="J77">
        <v>1.75</v>
      </c>
      <c r="K77">
        <v>26.18</v>
      </c>
      <c r="L77" t="s">
        <v>1388</v>
      </c>
      <c r="M77" t="s">
        <v>1389</v>
      </c>
      <c r="N77" t="s">
        <v>187</v>
      </c>
      <c r="O77" t="s">
        <v>1390</v>
      </c>
      <c r="P77" t="s">
        <v>65</v>
      </c>
      <c r="Q77" t="s">
        <v>1391</v>
      </c>
      <c r="R77" t="s">
        <v>1392</v>
      </c>
      <c r="S77" t="s">
        <v>1393</v>
      </c>
      <c r="T77">
        <v>4953200</v>
      </c>
      <c r="U77">
        <v>7076000</v>
      </c>
      <c r="V77" t="s">
        <v>1394</v>
      </c>
      <c r="W77" t="s">
        <v>1285</v>
      </c>
      <c r="X77" t="s">
        <v>1395</v>
      </c>
      <c r="Y77" t="s">
        <v>1396</v>
      </c>
      <c r="Z77" t="s">
        <v>64</v>
      </c>
      <c r="AA77" t="s">
        <v>65</v>
      </c>
      <c r="AB77" t="s">
        <v>1038</v>
      </c>
      <c r="AC77" t="s">
        <v>67</v>
      </c>
      <c r="AD77" t="s">
        <v>1397</v>
      </c>
      <c r="AE77" t="s">
        <v>604</v>
      </c>
      <c r="AF77" t="s">
        <v>974</v>
      </c>
      <c r="AG77" t="s">
        <v>1398</v>
      </c>
      <c r="AH77">
        <v>5</v>
      </c>
      <c r="AI77" t="s">
        <v>237</v>
      </c>
      <c r="AJ77" t="s">
        <v>1399</v>
      </c>
      <c r="AK77" t="s">
        <v>1132</v>
      </c>
      <c r="AM77" t="s">
        <v>102</v>
      </c>
      <c r="AN77">
        <v>5660800</v>
      </c>
      <c r="AO77" s="9">
        <v>99064.000000000015</v>
      </c>
    </row>
    <row r="78" spans="1:41" x14ac:dyDescent="0.25">
      <c r="A78">
        <v>77</v>
      </c>
      <c r="B78" t="s">
        <v>1305</v>
      </c>
      <c r="C78" t="s">
        <v>1400</v>
      </c>
      <c r="D78" t="s">
        <v>241</v>
      </c>
      <c r="E78" t="s">
        <v>47</v>
      </c>
      <c r="F78" t="s">
        <v>48</v>
      </c>
      <c r="G78" t="s">
        <v>1401</v>
      </c>
      <c r="H78" t="s">
        <v>1402</v>
      </c>
      <c r="I78" t="s">
        <v>1403</v>
      </c>
      <c r="J78">
        <v>2</v>
      </c>
      <c r="K78">
        <v>22.47</v>
      </c>
      <c r="L78" t="s">
        <v>1404</v>
      </c>
      <c r="M78" t="s">
        <v>1405</v>
      </c>
      <c r="N78" t="s">
        <v>1406</v>
      </c>
      <c r="O78" t="s">
        <v>1407</v>
      </c>
      <c r="P78" t="s">
        <v>65</v>
      </c>
      <c r="Q78" t="s">
        <v>1408</v>
      </c>
      <c r="R78" t="s">
        <v>65</v>
      </c>
      <c r="S78" t="s">
        <v>1409</v>
      </c>
      <c r="T78">
        <v>2102250</v>
      </c>
      <c r="U78">
        <v>2803000</v>
      </c>
      <c r="V78" t="s">
        <v>1410</v>
      </c>
      <c r="W78" t="s">
        <v>1285</v>
      </c>
      <c r="X78" t="s">
        <v>1411</v>
      </c>
      <c r="Y78" t="s">
        <v>1412</v>
      </c>
      <c r="Z78" t="s">
        <v>64</v>
      </c>
      <c r="AA78" t="s">
        <v>65</v>
      </c>
      <c r="AB78" t="s">
        <v>1125</v>
      </c>
      <c r="AC78" t="s">
        <v>67</v>
      </c>
      <c r="AD78" t="s">
        <v>1039</v>
      </c>
      <c r="AE78" t="s">
        <v>1127</v>
      </c>
      <c r="AF78" t="s">
        <v>1162</v>
      </c>
      <c r="AG78" t="s">
        <v>1413</v>
      </c>
      <c r="AH78">
        <v>5</v>
      </c>
      <c r="AI78" t="s">
        <v>198</v>
      </c>
      <c r="AJ78" t="s">
        <v>1414</v>
      </c>
      <c r="AK78" t="s">
        <v>1132</v>
      </c>
      <c r="AM78" t="s">
        <v>75</v>
      </c>
      <c r="AN78">
        <v>2242400</v>
      </c>
      <c r="AO78" s="9">
        <v>44848</v>
      </c>
    </row>
    <row r="79" spans="1:41" x14ac:dyDescent="0.25">
      <c r="A79">
        <v>78</v>
      </c>
      <c r="B79" t="s">
        <v>1305</v>
      </c>
      <c r="C79" t="s">
        <v>1415</v>
      </c>
      <c r="D79" t="s">
        <v>46</v>
      </c>
      <c r="E79" t="s">
        <v>47</v>
      </c>
      <c r="F79" t="s">
        <v>48</v>
      </c>
      <c r="G79" t="s">
        <v>1416</v>
      </c>
      <c r="H79" t="s">
        <v>1417</v>
      </c>
      <c r="I79" t="s">
        <v>1418</v>
      </c>
      <c r="J79">
        <v>2</v>
      </c>
      <c r="K79">
        <v>26.69</v>
      </c>
      <c r="L79" t="s">
        <v>1419</v>
      </c>
      <c r="M79" t="s">
        <v>1420</v>
      </c>
      <c r="N79" t="s">
        <v>83</v>
      </c>
      <c r="O79" t="s">
        <v>1421</v>
      </c>
      <c r="P79" t="s">
        <v>65</v>
      </c>
      <c r="Q79" t="s">
        <v>1422</v>
      </c>
      <c r="R79" t="s">
        <v>65</v>
      </c>
      <c r="S79" t="s">
        <v>1423</v>
      </c>
      <c r="T79">
        <v>1820000</v>
      </c>
      <c r="U79">
        <v>2600000</v>
      </c>
      <c r="V79" t="s">
        <v>1424</v>
      </c>
      <c r="W79" t="s">
        <v>1425</v>
      </c>
      <c r="X79" t="s">
        <v>1426</v>
      </c>
      <c r="Y79" t="s">
        <v>1427</v>
      </c>
      <c r="Z79" t="s">
        <v>64</v>
      </c>
      <c r="AA79" t="s">
        <v>65</v>
      </c>
      <c r="AB79" t="s">
        <v>1428</v>
      </c>
      <c r="AC79" t="s">
        <v>531</v>
      </c>
      <c r="AD79" t="s">
        <v>1429</v>
      </c>
      <c r="AE79" t="s">
        <v>453</v>
      </c>
      <c r="AF79" t="s">
        <v>1430</v>
      </c>
      <c r="AG79" t="s">
        <v>1431</v>
      </c>
      <c r="AH79">
        <v>3</v>
      </c>
      <c r="AI79" t="s">
        <v>100</v>
      </c>
      <c r="AJ79" t="s">
        <v>1432</v>
      </c>
      <c r="AK79" t="s">
        <v>1433</v>
      </c>
      <c r="AM79" t="s">
        <v>75</v>
      </c>
      <c r="AN79">
        <v>2210000</v>
      </c>
      <c r="AO79" s="9">
        <v>44200</v>
      </c>
    </row>
    <row r="80" spans="1:41" hidden="1" x14ac:dyDescent="0.25">
      <c r="A80">
        <v>79</v>
      </c>
      <c r="B80" t="s">
        <v>1305</v>
      </c>
      <c r="C80" t="s">
        <v>1434</v>
      </c>
      <c r="D80" t="s">
        <v>136</v>
      </c>
      <c r="E80" t="s">
        <v>47</v>
      </c>
      <c r="F80" t="s">
        <v>48</v>
      </c>
      <c r="G80" t="s">
        <v>1435</v>
      </c>
      <c r="H80" t="s">
        <v>1436</v>
      </c>
      <c r="I80" t="s">
        <v>1437</v>
      </c>
      <c r="J80">
        <v>3.1</v>
      </c>
      <c r="K80">
        <v>30</v>
      </c>
      <c r="L80" t="s">
        <v>1438</v>
      </c>
      <c r="M80" t="s">
        <v>1439</v>
      </c>
      <c r="N80" t="s">
        <v>164</v>
      </c>
      <c r="O80" t="s">
        <v>1440</v>
      </c>
      <c r="P80" t="s">
        <v>1441</v>
      </c>
      <c r="Q80" t="s">
        <v>1442</v>
      </c>
      <c r="R80" t="s">
        <v>1443</v>
      </c>
      <c r="S80" t="s">
        <v>1444</v>
      </c>
      <c r="T80">
        <v>1462290</v>
      </c>
      <c r="U80">
        <v>1851000</v>
      </c>
      <c r="V80" t="s">
        <v>1445</v>
      </c>
      <c r="W80" t="s">
        <v>1446</v>
      </c>
      <c r="X80" t="s">
        <v>1447</v>
      </c>
      <c r="Y80" t="s">
        <v>1448</v>
      </c>
      <c r="Z80" t="s">
        <v>64</v>
      </c>
      <c r="AA80" t="s">
        <v>1449</v>
      </c>
      <c r="AB80" t="s">
        <v>1450</v>
      </c>
      <c r="AC80" t="s">
        <v>96</v>
      </c>
      <c r="AD80" t="s">
        <v>1451</v>
      </c>
      <c r="AE80" t="s">
        <v>1452</v>
      </c>
      <c r="AF80" t="s">
        <v>1128</v>
      </c>
      <c r="AG80" t="s">
        <v>1453</v>
      </c>
      <c r="AH80">
        <v>6</v>
      </c>
      <c r="AI80" t="s">
        <v>237</v>
      </c>
      <c r="AJ80" t="s">
        <v>1454</v>
      </c>
      <c r="AK80" t="s">
        <v>1455</v>
      </c>
      <c r="AM80" t="s">
        <v>667</v>
      </c>
      <c r="AN80">
        <v>0</v>
      </c>
      <c r="AO80">
        <v>0</v>
      </c>
    </row>
    <row r="81" spans="1:41" x14ac:dyDescent="0.25">
      <c r="A81">
        <v>80</v>
      </c>
      <c r="B81" t="s">
        <v>1305</v>
      </c>
      <c r="C81" t="s">
        <v>1456</v>
      </c>
      <c r="D81" t="s">
        <v>46</v>
      </c>
      <c r="E81" t="s">
        <v>47</v>
      </c>
      <c r="F81" t="s">
        <v>48</v>
      </c>
      <c r="G81" t="s">
        <v>1457</v>
      </c>
      <c r="H81" t="s">
        <v>1458</v>
      </c>
      <c r="I81" t="s">
        <v>1459</v>
      </c>
      <c r="J81">
        <v>2</v>
      </c>
      <c r="K81">
        <v>25.79</v>
      </c>
      <c r="L81" t="s">
        <v>1460</v>
      </c>
      <c r="M81" t="s">
        <v>1461</v>
      </c>
      <c r="N81" t="s">
        <v>187</v>
      </c>
      <c r="O81" t="s">
        <v>1462</v>
      </c>
      <c r="P81" t="s">
        <v>1463</v>
      </c>
      <c r="Q81" t="s">
        <v>1463</v>
      </c>
      <c r="R81" t="s">
        <v>1463</v>
      </c>
      <c r="S81" t="s">
        <v>1464</v>
      </c>
      <c r="T81">
        <v>1146400</v>
      </c>
      <c r="U81">
        <v>1433000</v>
      </c>
      <c r="V81" t="s">
        <v>1465</v>
      </c>
      <c r="W81" t="s">
        <v>1078</v>
      </c>
      <c r="X81" t="s">
        <v>1466</v>
      </c>
      <c r="Y81" t="s">
        <v>1467</v>
      </c>
      <c r="Z81" t="s">
        <v>64</v>
      </c>
      <c r="AA81" t="s">
        <v>65</v>
      </c>
      <c r="AB81" t="s">
        <v>1468</v>
      </c>
      <c r="AC81" t="s">
        <v>67</v>
      </c>
      <c r="AD81" t="s">
        <v>1469</v>
      </c>
      <c r="AE81" t="s">
        <v>604</v>
      </c>
      <c r="AF81" t="s">
        <v>974</v>
      </c>
      <c r="AG81" t="s">
        <v>1470</v>
      </c>
      <c r="AH81">
        <v>5</v>
      </c>
      <c r="AI81" t="s">
        <v>198</v>
      </c>
      <c r="AJ81" t="s">
        <v>1471</v>
      </c>
      <c r="AK81" t="s">
        <v>1042</v>
      </c>
      <c r="AM81" t="s">
        <v>75</v>
      </c>
      <c r="AN81">
        <v>1146400</v>
      </c>
      <c r="AO81" s="9">
        <v>22928</v>
      </c>
    </row>
    <row r="82" spans="1:41" x14ac:dyDescent="0.25">
      <c r="A82">
        <v>81</v>
      </c>
      <c r="B82" t="s">
        <v>1305</v>
      </c>
      <c r="C82" t="s">
        <v>1472</v>
      </c>
      <c r="D82" t="s">
        <v>277</v>
      </c>
      <c r="E82" t="s">
        <v>47</v>
      </c>
      <c r="F82" t="s">
        <v>48</v>
      </c>
      <c r="G82" t="s">
        <v>1473</v>
      </c>
      <c r="H82" t="s">
        <v>1474</v>
      </c>
      <c r="I82" t="s">
        <v>1475</v>
      </c>
      <c r="J82">
        <v>2</v>
      </c>
      <c r="K82">
        <v>22.02</v>
      </c>
      <c r="L82" t="s">
        <v>1476</v>
      </c>
      <c r="M82" t="s">
        <v>1477</v>
      </c>
      <c r="N82" t="s">
        <v>83</v>
      </c>
      <c r="O82" t="s">
        <v>1478</v>
      </c>
      <c r="P82" t="s">
        <v>65</v>
      </c>
      <c r="Q82" t="s">
        <v>1479</v>
      </c>
      <c r="R82" t="s">
        <v>65</v>
      </c>
      <c r="S82" t="s">
        <v>1480</v>
      </c>
      <c r="T82">
        <v>1408000</v>
      </c>
      <c r="U82">
        <v>1760000</v>
      </c>
      <c r="V82" t="s">
        <v>1481</v>
      </c>
      <c r="W82" t="s">
        <v>1078</v>
      </c>
      <c r="X82" t="s">
        <v>1482</v>
      </c>
      <c r="Y82" t="s">
        <v>1483</v>
      </c>
      <c r="Z82" t="s">
        <v>64</v>
      </c>
      <c r="AA82" t="s">
        <v>65</v>
      </c>
      <c r="AB82" t="s">
        <v>1484</v>
      </c>
      <c r="AC82" t="s">
        <v>67</v>
      </c>
      <c r="AD82" t="s">
        <v>1097</v>
      </c>
      <c r="AE82" t="s">
        <v>1127</v>
      </c>
      <c r="AF82" t="s">
        <v>1485</v>
      </c>
      <c r="AG82" t="s">
        <v>1486</v>
      </c>
      <c r="AH82">
        <v>7</v>
      </c>
      <c r="AI82" t="s">
        <v>237</v>
      </c>
      <c r="AJ82" t="s">
        <v>1487</v>
      </c>
      <c r="AK82" t="s">
        <v>1097</v>
      </c>
      <c r="AM82" t="s">
        <v>75</v>
      </c>
      <c r="AN82">
        <v>1408000</v>
      </c>
      <c r="AO82" s="9">
        <v>28160</v>
      </c>
    </row>
    <row r="83" spans="1:41" x14ac:dyDescent="0.25">
      <c r="A83">
        <v>82</v>
      </c>
      <c r="B83" t="s">
        <v>1305</v>
      </c>
      <c r="C83" t="s">
        <v>1488</v>
      </c>
      <c r="D83" t="s">
        <v>1489</v>
      </c>
      <c r="E83" t="s">
        <v>47</v>
      </c>
      <c r="F83" t="s">
        <v>48</v>
      </c>
      <c r="G83" t="s">
        <v>1323</v>
      </c>
      <c r="H83" t="s">
        <v>1490</v>
      </c>
      <c r="I83" t="s">
        <v>1491</v>
      </c>
      <c r="J83">
        <v>2</v>
      </c>
      <c r="K83">
        <v>21.05</v>
      </c>
      <c r="L83" t="s">
        <v>1492</v>
      </c>
      <c r="M83" t="s">
        <v>1493</v>
      </c>
      <c r="N83" t="s">
        <v>54</v>
      </c>
      <c r="O83" t="s">
        <v>1494</v>
      </c>
      <c r="P83" t="s">
        <v>1495</v>
      </c>
      <c r="Q83" t="s">
        <v>1496</v>
      </c>
      <c r="R83" t="s">
        <v>1497</v>
      </c>
      <c r="S83" t="s">
        <v>1498</v>
      </c>
      <c r="T83">
        <v>1921200</v>
      </c>
      <c r="U83">
        <v>2401500</v>
      </c>
      <c r="V83" t="s">
        <v>1499</v>
      </c>
      <c r="W83" t="s">
        <v>1132</v>
      </c>
      <c r="X83" t="s">
        <v>1500</v>
      </c>
      <c r="Y83" t="s">
        <v>1501</v>
      </c>
      <c r="Z83" t="s">
        <v>64</v>
      </c>
      <c r="AA83" t="s">
        <v>1502</v>
      </c>
      <c r="AB83" t="s">
        <v>1503</v>
      </c>
      <c r="AC83" t="s">
        <v>151</v>
      </c>
      <c r="AD83" t="s">
        <v>1504</v>
      </c>
      <c r="AE83" t="s">
        <v>1253</v>
      </c>
      <c r="AF83" t="s">
        <v>1254</v>
      </c>
      <c r="AG83" t="s">
        <v>1505</v>
      </c>
      <c r="AH83">
        <v>5</v>
      </c>
      <c r="AI83" t="s">
        <v>100</v>
      </c>
      <c r="AJ83" t="s">
        <v>1506</v>
      </c>
      <c r="AK83" t="s">
        <v>1507</v>
      </c>
      <c r="AM83" t="s">
        <v>75</v>
      </c>
      <c r="AN83">
        <v>1801125</v>
      </c>
      <c r="AO83" s="9">
        <v>36022.5</v>
      </c>
    </row>
    <row r="84" spans="1:41" x14ac:dyDescent="0.25">
      <c r="A84">
        <v>83</v>
      </c>
      <c r="B84" t="s">
        <v>1305</v>
      </c>
      <c r="C84" t="s">
        <v>1508</v>
      </c>
      <c r="D84" t="s">
        <v>46</v>
      </c>
      <c r="E84" t="s">
        <v>47</v>
      </c>
      <c r="F84" t="s">
        <v>48</v>
      </c>
      <c r="G84" t="s">
        <v>182</v>
      </c>
      <c r="H84" t="s">
        <v>1509</v>
      </c>
      <c r="I84" t="s">
        <v>1510</v>
      </c>
      <c r="J84">
        <v>2</v>
      </c>
      <c r="K84">
        <v>25.79</v>
      </c>
      <c r="L84" t="s">
        <v>1511</v>
      </c>
      <c r="M84" t="s">
        <v>1512</v>
      </c>
      <c r="N84" t="s">
        <v>187</v>
      </c>
      <c r="O84" t="s">
        <v>1513</v>
      </c>
      <c r="P84" t="s">
        <v>65</v>
      </c>
      <c r="Q84" t="s">
        <v>1514</v>
      </c>
      <c r="R84" t="s">
        <v>1515</v>
      </c>
      <c r="S84" t="s">
        <v>1516</v>
      </c>
      <c r="T84">
        <v>1704000</v>
      </c>
      <c r="U84">
        <v>2130000</v>
      </c>
      <c r="V84" t="s">
        <v>1517</v>
      </c>
      <c r="W84" t="s">
        <v>1078</v>
      </c>
      <c r="X84" t="s">
        <v>1518</v>
      </c>
      <c r="Y84" t="s">
        <v>1519</v>
      </c>
      <c r="Z84" t="s">
        <v>64</v>
      </c>
      <c r="AA84" t="s">
        <v>65</v>
      </c>
      <c r="AB84" t="s">
        <v>1520</v>
      </c>
      <c r="AC84" t="s">
        <v>67</v>
      </c>
      <c r="AD84" t="s">
        <v>1094</v>
      </c>
      <c r="AE84" t="s">
        <v>69</v>
      </c>
      <c r="AF84" t="s">
        <v>1007</v>
      </c>
      <c r="AG84" t="s">
        <v>1521</v>
      </c>
      <c r="AH84">
        <v>5</v>
      </c>
      <c r="AI84" t="s">
        <v>237</v>
      </c>
      <c r="AJ84" t="s">
        <v>1522</v>
      </c>
      <c r="AK84" t="s">
        <v>1523</v>
      </c>
      <c r="AM84" t="s">
        <v>75</v>
      </c>
      <c r="AN84">
        <v>1704000</v>
      </c>
      <c r="AO84" s="9">
        <v>34080</v>
      </c>
    </row>
    <row r="85" spans="1:41" x14ac:dyDescent="0.25">
      <c r="A85">
        <v>84</v>
      </c>
      <c r="B85" t="s">
        <v>1305</v>
      </c>
      <c r="C85" t="s">
        <v>1524</v>
      </c>
      <c r="D85" t="s">
        <v>136</v>
      </c>
      <c r="E85" t="s">
        <v>47</v>
      </c>
      <c r="F85" t="s">
        <v>48</v>
      </c>
      <c r="G85" t="s">
        <v>1525</v>
      </c>
      <c r="H85" t="s">
        <v>1526</v>
      </c>
      <c r="I85" t="s">
        <v>1527</v>
      </c>
      <c r="J85">
        <v>2</v>
      </c>
      <c r="K85">
        <v>27.93</v>
      </c>
      <c r="L85" t="s">
        <v>1528</v>
      </c>
      <c r="M85" t="s">
        <v>1529</v>
      </c>
      <c r="N85" t="s">
        <v>164</v>
      </c>
      <c r="O85" t="s">
        <v>1530</v>
      </c>
      <c r="P85" t="s">
        <v>1531</v>
      </c>
      <c r="Q85" t="s">
        <v>65</v>
      </c>
      <c r="R85" t="s">
        <v>1532</v>
      </c>
      <c r="S85" t="s">
        <v>1533</v>
      </c>
      <c r="T85">
        <v>2187900</v>
      </c>
      <c r="U85">
        <v>2574000</v>
      </c>
      <c r="V85" t="s">
        <v>1534</v>
      </c>
      <c r="W85" t="s">
        <v>1132</v>
      </c>
      <c r="X85" t="s">
        <v>1535</v>
      </c>
      <c r="Y85" t="s">
        <v>1536</v>
      </c>
      <c r="Z85" t="s">
        <v>64</v>
      </c>
      <c r="AA85" t="s">
        <v>65</v>
      </c>
      <c r="AB85" t="s">
        <v>1537</v>
      </c>
      <c r="AC85" t="s">
        <v>151</v>
      </c>
      <c r="AD85" t="s">
        <v>1538</v>
      </c>
      <c r="AE85" t="s">
        <v>1539</v>
      </c>
      <c r="AF85" t="s">
        <v>1430</v>
      </c>
      <c r="AG85" t="s">
        <v>1540</v>
      </c>
      <c r="AH85">
        <v>5</v>
      </c>
      <c r="AI85" t="s">
        <v>237</v>
      </c>
      <c r="AJ85" t="s">
        <v>1541</v>
      </c>
      <c r="AK85" t="s">
        <v>1542</v>
      </c>
      <c r="AM85" t="s">
        <v>75</v>
      </c>
      <c r="AN85">
        <v>1930500</v>
      </c>
      <c r="AO85" s="9">
        <v>38610</v>
      </c>
    </row>
    <row r="86" spans="1:41" x14ac:dyDescent="0.25">
      <c r="A86">
        <v>85</v>
      </c>
      <c r="B86" t="s">
        <v>1305</v>
      </c>
      <c r="C86" t="s">
        <v>1543</v>
      </c>
      <c r="D86" t="s">
        <v>241</v>
      </c>
      <c r="E86" t="s">
        <v>47</v>
      </c>
      <c r="F86" t="s">
        <v>48</v>
      </c>
      <c r="G86" t="s">
        <v>1544</v>
      </c>
      <c r="H86" t="s">
        <v>1545</v>
      </c>
      <c r="I86" t="s">
        <v>1546</v>
      </c>
      <c r="J86">
        <v>2</v>
      </c>
      <c r="K86">
        <v>26.29</v>
      </c>
      <c r="L86" t="s">
        <v>1547</v>
      </c>
      <c r="M86" t="s">
        <v>1493</v>
      </c>
      <c r="N86" t="s">
        <v>187</v>
      </c>
      <c r="O86" t="s">
        <v>1548</v>
      </c>
      <c r="P86" t="s">
        <v>1549</v>
      </c>
      <c r="Q86" t="s">
        <v>1549</v>
      </c>
      <c r="R86" t="s">
        <v>1550</v>
      </c>
      <c r="S86" t="s">
        <v>1551</v>
      </c>
      <c r="T86">
        <v>2102250</v>
      </c>
      <c r="U86">
        <v>2803000</v>
      </c>
      <c r="V86" t="s">
        <v>1552</v>
      </c>
      <c r="W86" t="s">
        <v>1078</v>
      </c>
      <c r="X86" t="s">
        <v>1553</v>
      </c>
      <c r="Y86" t="s">
        <v>1554</v>
      </c>
      <c r="Z86" t="s">
        <v>64</v>
      </c>
      <c r="AA86" t="s">
        <v>65</v>
      </c>
      <c r="AB86" t="s">
        <v>1125</v>
      </c>
      <c r="AC86" t="s">
        <v>67</v>
      </c>
      <c r="AD86" t="s">
        <v>117</v>
      </c>
      <c r="AE86" t="s">
        <v>604</v>
      </c>
      <c r="AF86" t="s">
        <v>974</v>
      </c>
      <c r="AG86" t="s">
        <v>1555</v>
      </c>
      <c r="AH86">
        <v>5</v>
      </c>
      <c r="AI86" t="s">
        <v>198</v>
      </c>
      <c r="AJ86" t="s">
        <v>1556</v>
      </c>
      <c r="AK86" t="s">
        <v>1042</v>
      </c>
      <c r="AM86" t="s">
        <v>75</v>
      </c>
      <c r="AN86">
        <v>2242400</v>
      </c>
      <c r="AO86" s="9">
        <v>44848</v>
      </c>
    </row>
    <row r="87" spans="1:41" x14ac:dyDescent="0.25">
      <c r="A87">
        <v>86</v>
      </c>
      <c r="B87" t="s">
        <v>1305</v>
      </c>
      <c r="C87" t="s">
        <v>1557</v>
      </c>
      <c r="D87" t="s">
        <v>46</v>
      </c>
      <c r="E87" t="s">
        <v>47</v>
      </c>
      <c r="F87" t="s">
        <v>48</v>
      </c>
      <c r="G87" t="s">
        <v>878</v>
      </c>
      <c r="H87" t="s">
        <v>1558</v>
      </c>
      <c r="I87" t="s">
        <v>1559</v>
      </c>
      <c r="J87">
        <v>2</v>
      </c>
      <c r="K87">
        <v>21.86</v>
      </c>
      <c r="L87" t="s">
        <v>1560</v>
      </c>
      <c r="M87" t="s">
        <v>1561</v>
      </c>
      <c r="N87" t="s">
        <v>265</v>
      </c>
      <c r="O87" t="s">
        <v>1562</v>
      </c>
      <c r="P87" t="s">
        <v>1563</v>
      </c>
      <c r="Q87" t="s">
        <v>1563</v>
      </c>
      <c r="R87" t="s">
        <v>1564</v>
      </c>
      <c r="S87" t="s">
        <v>1565</v>
      </c>
      <c r="T87">
        <v>2956850</v>
      </c>
      <c r="U87">
        <v>4549000</v>
      </c>
      <c r="V87" t="s">
        <v>1566</v>
      </c>
      <c r="W87" t="s">
        <v>1078</v>
      </c>
      <c r="X87" t="s">
        <v>1567</v>
      </c>
      <c r="Y87" t="s">
        <v>1568</v>
      </c>
      <c r="Z87" t="s">
        <v>64</v>
      </c>
      <c r="AA87" t="s">
        <v>65</v>
      </c>
      <c r="AB87" t="s">
        <v>234</v>
      </c>
      <c r="AC87" t="s">
        <v>67</v>
      </c>
      <c r="AD87" t="s">
        <v>1569</v>
      </c>
      <c r="AE87" t="s">
        <v>1127</v>
      </c>
      <c r="AF87" t="s">
        <v>1162</v>
      </c>
      <c r="AG87" t="s">
        <v>1570</v>
      </c>
      <c r="AH87">
        <v>5</v>
      </c>
      <c r="AI87" t="s">
        <v>237</v>
      </c>
      <c r="AJ87" t="s">
        <v>1571</v>
      </c>
      <c r="AK87" t="s">
        <v>1523</v>
      </c>
      <c r="AM87" t="s">
        <v>75</v>
      </c>
      <c r="AN87">
        <v>3639200</v>
      </c>
      <c r="AO87" s="9">
        <v>72784</v>
      </c>
    </row>
    <row r="88" spans="1:41" x14ac:dyDescent="0.25">
      <c r="A88">
        <v>87</v>
      </c>
      <c r="B88" t="s">
        <v>1305</v>
      </c>
      <c r="C88" t="s">
        <v>1572</v>
      </c>
      <c r="D88" t="s">
        <v>46</v>
      </c>
      <c r="E88" t="s">
        <v>47</v>
      </c>
      <c r="F88" t="s">
        <v>48</v>
      </c>
      <c r="G88" t="s">
        <v>1416</v>
      </c>
      <c r="H88" t="s">
        <v>1573</v>
      </c>
      <c r="I88" t="s">
        <v>1574</v>
      </c>
      <c r="J88">
        <v>1.75</v>
      </c>
      <c r="K88">
        <v>25.95</v>
      </c>
      <c r="L88" t="s">
        <v>1575</v>
      </c>
      <c r="M88" t="s">
        <v>1576</v>
      </c>
      <c r="N88" t="s">
        <v>54</v>
      </c>
      <c r="O88" t="s">
        <v>1577</v>
      </c>
      <c r="P88" t="s">
        <v>1578</v>
      </c>
      <c r="Q88" t="s">
        <v>1579</v>
      </c>
      <c r="R88" t="s">
        <v>1578</v>
      </c>
      <c r="S88" t="s">
        <v>1580</v>
      </c>
      <c r="T88">
        <v>2917020</v>
      </c>
      <c r="U88">
        <v>4782000</v>
      </c>
      <c r="V88" t="s">
        <v>1581</v>
      </c>
      <c r="W88" t="s">
        <v>1078</v>
      </c>
      <c r="X88" t="s">
        <v>1582</v>
      </c>
      <c r="Y88" t="s">
        <v>1583</v>
      </c>
      <c r="Z88" t="s">
        <v>64</v>
      </c>
      <c r="AA88" t="s">
        <v>65</v>
      </c>
      <c r="AB88" t="s">
        <v>1584</v>
      </c>
      <c r="AC88" t="s">
        <v>67</v>
      </c>
      <c r="AD88" t="s">
        <v>1039</v>
      </c>
      <c r="AE88" t="s">
        <v>69</v>
      </c>
      <c r="AF88" t="s">
        <v>1007</v>
      </c>
      <c r="AG88" t="s">
        <v>1585</v>
      </c>
      <c r="AH88">
        <v>5</v>
      </c>
      <c r="AI88" t="s">
        <v>65</v>
      </c>
      <c r="AJ88" t="s">
        <v>65</v>
      </c>
      <c r="AK88" t="s">
        <v>65</v>
      </c>
      <c r="AM88" t="s">
        <v>102</v>
      </c>
      <c r="AN88">
        <v>3825600</v>
      </c>
      <c r="AO88" s="9">
        <v>66948</v>
      </c>
    </row>
    <row r="89" spans="1:41" x14ac:dyDescent="0.25">
      <c r="A89">
        <v>88</v>
      </c>
      <c r="B89" t="s">
        <v>1305</v>
      </c>
      <c r="C89" t="s">
        <v>1586</v>
      </c>
      <c r="D89" t="s">
        <v>241</v>
      </c>
      <c r="E89" t="s">
        <v>47</v>
      </c>
      <c r="F89" t="s">
        <v>48</v>
      </c>
      <c r="G89" t="s">
        <v>1587</v>
      </c>
      <c r="H89" t="s">
        <v>1588</v>
      </c>
      <c r="I89" t="s">
        <v>1589</v>
      </c>
      <c r="J89">
        <v>1.75</v>
      </c>
      <c r="K89">
        <v>19.87</v>
      </c>
      <c r="L89" t="s">
        <v>1590</v>
      </c>
      <c r="M89" t="s">
        <v>1591</v>
      </c>
      <c r="N89" t="s">
        <v>54</v>
      </c>
      <c r="O89" t="s">
        <v>1592</v>
      </c>
      <c r="P89" t="s">
        <v>1593</v>
      </c>
      <c r="Q89" t="s">
        <v>1594</v>
      </c>
      <c r="R89" t="s">
        <v>1595</v>
      </c>
      <c r="S89" t="s">
        <v>1596</v>
      </c>
      <c r="T89">
        <v>3541850</v>
      </c>
      <c r="U89">
        <v>5449000</v>
      </c>
      <c r="V89" t="s">
        <v>1597</v>
      </c>
      <c r="W89" t="s">
        <v>1078</v>
      </c>
      <c r="X89" t="s">
        <v>1598</v>
      </c>
      <c r="Y89" t="s">
        <v>1599</v>
      </c>
      <c r="Z89" t="s">
        <v>64</v>
      </c>
      <c r="AA89" t="s">
        <v>65</v>
      </c>
      <c r="AB89" t="s">
        <v>586</v>
      </c>
      <c r="AC89" t="s">
        <v>67</v>
      </c>
      <c r="AD89" t="s">
        <v>1569</v>
      </c>
      <c r="AE89" t="s">
        <v>1127</v>
      </c>
      <c r="AF89" t="s">
        <v>1162</v>
      </c>
      <c r="AG89" t="s">
        <v>1600</v>
      </c>
      <c r="AH89">
        <v>5</v>
      </c>
      <c r="AI89" t="s">
        <v>237</v>
      </c>
      <c r="AJ89" t="s">
        <v>1601</v>
      </c>
      <c r="AK89" t="s">
        <v>1042</v>
      </c>
      <c r="AM89" t="s">
        <v>102</v>
      </c>
      <c r="AN89">
        <v>4359200</v>
      </c>
      <c r="AO89" s="9">
        <v>76286</v>
      </c>
    </row>
    <row r="90" spans="1:41" x14ac:dyDescent="0.25">
      <c r="A90">
        <v>89</v>
      </c>
      <c r="B90" t="s">
        <v>1305</v>
      </c>
      <c r="C90" t="s">
        <v>1602</v>
      </c>
      <c r="D90" t="s">
        <v>912</v>
      </c>
      <c r="E90" t="s">
        <v>47</v>
      </c>
      <c r="F90" t="s">
        <v>48</v>
      </c>
      <c r="G90" t="s">
        <v>1603</v>
      </c>
      <c r="H90" t="s">
        <v>1604</v>
      </c>
      <c r="I90" t="s">
        <v>1605</v>
      </c>
      <c r="J90">
        <v>1.5</v>
      </c>
      <c r="K90">
        <v>20.3</v>
      </c>
      <c r="L90" t="s">
        <v>1606</v>
      </c>
      <c r="M90" t="s">
        <v>1607</v>
      </c>
      <c r="N90" t="s">
        <v>265</v>
      </c>
      <c r="O90" t="s">
        <v>1608</v>
      </c>
      <c r="P90" t="s">
        <v>652</v>
      </c>
      <c r="Q90" t="s">
        <v>1609</v>
      </c>
      <c r="R90" t="s">
        <v>1610</v>
      </c>
      <c r="S90" t="s">
        <v>1611</v>
      </c>
      <c r="T90">
        <v>2300000</v>
      </c>
      <c r="U90">
        <v>2875000</v>
      </c>
      <c r="V90" t="s">
        <v>1612</v>
      </c>
      <c r="W90" t="s">
        <v>1132</v>
      </c>
      <c r="X90" t="s">
        <v>1613</v>
      </c>
      <c r="Y90" t="s">
        <v>1614</v>
      </c>
      <c r="Z90" t="s">
        <v>64</v>
      </c>
      <c r="AA90" t="s">
        <v>65</v>
      </c>
      <c r="AB90" t="s">
        <v>1615</v>
      </c>
      <c r="AC90" t="s">
        <v>151</v>
      </c>
      <c r="AD90" t="s">
        <v>358</v>
      </c>
      <c r="AE90" t="s">
        <v>1507</v>
      </c>
      <c r="AF90" t="s">
        <v>1616</v>
      </c>
      <c r="AG90" t="s">
        <v>1617</v>
      </c>
      <c r="AH90">
        <v>7</v>
      </c>
      <c r="AI90" t="s">
        <v>65</v>
      </c>
      <c r="AJ90" t="s">
        <v>65</v>
      </c>
      <c r="AK90" t="s">
        <v>65</v>
      </c>
      <c r="AM90" t="s">
        <v>157</v>
      </c>
      <c r="AN90">
        <v>2156250</v>
      </c>
      <c r="AO90" s="9">
        <v>32343.75</v>
      </c>
    </row>
    <row r="91" spans="1:41" x14ac:dyDescent="0.25">
      <c r="A91">
        <v>90</v>
      </c>
      <c r="B91" t="s">
        <v>1305</v>
      </c>
      <c r="C91" t="s">
        <v>1618</v>
      </c>
      <c r="D91" t="s">
        <v>241</v>
      </c>
      <c r="E91" t="s">
        <v>47</v>
      </c>
      <c r="F91" t="s">
        <v>48</v>
      </c>
      <c r="G91" t="s">
        <v>833</v>
      </c>
      <c r="H91" t="s">
        <v>1619</v>
      </c>
      <c r="I91" t="s">
        <v>1620</v>
      </c>
      <c r="J91">
        <v>2.5</v>
      </c>
      <c r="K91">
        <v>25.19</v>
      </c>
      <c r="L91" t="s">
        <v>1621</v>
      </c>
      <c r="M91" t="s">
        <v>1622</v>
      </c>
      <c r="N91" t="s">
        <v>83</v>
      </c>
      <c r="O91" t="s">
        <v>1623</v>
      </c>
      <c r="P91" t="s">
        <v>1624</v>
      </c>
      <c r="Q91" t="s">
        <v>1625</v>
      </c>
      <c r="R91" t="s">
        <v>1624</v>
      </c>
      <c r="S91" t="s">
        <v>1626</v>
      </c>
      <c r="T91">
        <v>841750</v>
      </c>
      <c r="U91">
        <v>1295000</v>
      </c>
      <c r="V91" t="s">
        <v>1627</v>
      </c>
      <c r="W91" t="s">
        <v>1507</v>
      </c>
      <c r="X91" t="s">
        <v>1628</v>
      </c>
      <c r="Y91" t="s">
        <v>1629</v>
      </c>
      <c r="Z91" t="s">
        <v>64</v>
      </c>
      <c r="AA91" t="s">
        <v>1630</v>
      </c>
      <c r="AB91" t="s">
        <v>1631</v>
      </c>
      <c r="AC91" t="s">
        <v>175</v>
      </c>
      <c r="AD91" t="s">
        <v>1632</v>
      </c>
      <c r="AE91" t="s">
        <v>554</v>
      </c>
      <c r="AF91" t="s">
        <v>974</v>
      </c>
      <c r="AG91" t="s">
        <v>1633</v>
      </c>
      <c r="AH91">
        <v>7</v>
      </c>
      <c r="AI91" t="s">
        <v>100</v>
      </c>
      <c r="AJ91" t="s">
        <v>1634</v>
      </c>
      <c r="AK91" t="s">
        <v>553</v>
      </c>
      <c r="AM91" t="s">
        <v>180</v>
      </c>
      <c r="AN91">
        <v>906500</v>
      </c>
      <c r="AO91" s="9">
        <v>22662.5</v>
      </c>
    </row>
    <row r="92" spans="1:41" x14ac:dyDescent="0.25">
      <c r="A92">
        <v>91</v>
      </c>
      <c r="B92" t="s">
        <v>1305</v>
      </c>
      <c r="C92" t="s">
        <v>1635</v>
      </c>
      <c r="D92" t="s">
        <v>77</v>
      </c>
      <c r="E92" t="s">
        <v>47</v>
      </c>
      <c r="F92" t="s">
        <v>48</v>
      </c>
      <c r="G92" t="s">
        <v>1636</v>
      </c>
      <c r="H92" t="s">
        <v>1637</v>
      </c>
      <c r="I92" t="s">
        <v>1638</v>
      </c>
      <c r="J92">
        <v>1.5</v>
      </c>
      <c r="K92">
        <v>20.87</v>
      </c>
      <c r="L92" t="s">
        <v>1639</v>
      </c>
      <c r="M92" t="s">
        <v>1640</v>
      </c>
      <c r="N92" t="s">
        <v>83</v>
      </c>
      <c r="O92" t="s">
        <v>1641</v>
      </c>
      <c r="P92" t="s">
        <v>65</v>
      </c>
      <c r="Q92" t="s">
        <v>65</v>
      </c>
      <c r="R92" t="s">
        <v>65</v>
      </c>
      <c r="S92" t="s">
        <v>1642</v>
      </c>
      <c r="T92">
        <v>3000000</v>
      </c>
      <c r="U92">
        <v>6000000</v>
      </c>
      <c r="V92" t="s">
        <v>1643</v>
      </c>
      <c r="W92" t="s">
        <v>1644</v>
      </c>
      <c r="X92" t="s">
        <v>1645</v>
      </c>
      <c r="Y92" t="s">
        <v>1646</v>
      </c>
      <c r="Z92" t="s">
        <v>93</v>
      </c>
      <c r="AA92" t="s">
        <v>1647</v>
      </c>
      <c r="AB92" t="s">
        <v>66</v>
      </c>
      <c r="AC92" t="s">
        <v>67</v>
      </c>
      <c r="AD92" s="2">
        <v>45175</v>
      </c>
      <c r="AE92" t="s">
        <v>1648</v>
      </c>
      <c r="AF92" t="s">
        <v>1162</v>
      </c>
      <c r="AG92" t="s">
        <v>1649</v>
      </c>
      <c r="AH92">
        <v>3</v>
      </c>
      <c r="AI92" t="s">
        <v>100</v>
      </c>
      <c r="AJ92" t="s">
        <v>1650</v>
      </c>
      <c r="AK92" t="s">
        <v>1231</v>
      </c>
      <c r="AM92" t="s">
        <v>157</v>
      </c>
      <c r="AN92">
        <v>5400000</v>
      </c>
      <c r="AO92" s="9">
        <v>81000</v>
      </c>
    </row>
    <row r="93" spans="1:41" x14ac:dyDescent="0.25">
      <c r="A93">
        <v>92</v>
      </c>
      <c r="B93" t="s">
        <v>1305</v>
      </c>
      <c r="C93" t="s">
        <v>1651</v>
      </c>
      <c r="D93" t="s">
        <v>46</v>
      </c>
      <c r="E93" t="s">
        <v>47</v>
      </c>
      <c r="F93" t="s">
        <v>48</v>
      </c>
      <c r="G93" t="s">
        <v>629</v>
      </c>
      <c r="H93" t="s">
        <v>1652</v>
      </c>
      <c r="I93" t="s">
        <v>1653</v>
      </c>
      <c r="J93">
        <v>2.5</v>
      </c>
      <c r="K93">
        <v>20.87</v>
      </c>
      <c r="L93" t="s">
        <v>1654</v>
      </c>
      <c r="M93" t="s">
        <v>1655</v>
      </c>
      <c r="N93" t="s">
        <v>187</v>
      </c>
      <c r="O93" t="s">
        <v>1656</v>
      </c>
      <c r="P93" t="s">
        <v>1657</v>
      </c>
      <c r="Q93" t="s">
        <v>1657</v>
      </c>
      <c r="R93" t="s">
        <v>1658</v>
      </c>
      <c r="S93" t="s">
        <v>1659</v>
      </c>
      <c r="T93">
        <v>1036000</v>
      </c>
      <c r="U93">
        <v>1295000</v>
      </c>
      <c r="V93" t="s">
        <v>1660</v>
      </c>
      <c r="W93" t="s">
        <v>1252</v>
      </c>
      <c r="X93" t="s">
        <v>1661</v>
      </c>
      <c r="Y93" t="s">
        <v>1662</v>
      </c>
      <c r="Z93" t="s">
        <v>64</v>
      </c>
      <c r="AA93" t="s">
        <v>1663</v>
      </c>
      <c r="AB93" t="s">
        <v>1664</v>
      </c>
      <c r="AC93" t="s">
        <v>175</v>
      </c>
      <c r="AD93" t="s">
        <v>363</v>
      </c>
      <c r="AE93" t="s">
        <v>960</v>
      </c>
      <c r="AF93" t="s">
        <v>1162</v>
      </c>
      <c r="AG93" t="s">
        <v>1665</v>
      </c>
      <c r="AH93">
        <v>7</v>
      </c>
      <c r="AI93" t="s">
        <v>237</v>
      </c>
      <c r="AJ93" t="s">
        <v>1666</v>
      </c>
      <c r="AK93" t="s">
        <v>1185</v>
      </c>
      <c r="AM93" t="s">
        <v>180</v>
      </c>
      <c r="AN93">
        <v>906500</v>
      </c>
      <c r="AO93" s="9">
        <v>22662.5</v>
      </c>
    </row>
    <row r="94" spans="1:41" x14ac:dyDescent="0.25">
      <c r="A94">
        <v>93</v>
      </c>
      <c r="B94" t="s">
        <v>1305</v>
      </c>
      <c r="C94" t="s">
        <v>1667</v>
      </c>
      <c r="D94" t="s">
        <v>46</v>
      </c>
      <c r="E94" t="s">
        <v>47</v>
      </c>
      <c r="F94" t="s">
        <v>48</v>
      </c>
      <c r="G94" t="s">
        <v>1668</v>
      </c>
      <c r="H94" t="s">
        <v>1669</v>
      </c>
      <c r="I94" t="s">
        <v>1670</v>
      </c>
      <c r="J94">
        <v>1.4</v>
      </c>
      <c r="K94">
        <v>18.87</v>
      </c>
      <c r="L94" t="s">
        <v>1671</v>
      </c>
      <c r="M94" t="s">
        <v>1672</v>
      </c>
      <c r="N94" t="s">
        <v>187</v>
      </c>
      <c r="O94" t="s">
        <v>1673</v>
      </c>
      <c r="P94" t="s">
        <v>65</v>
      </c>
      <c r="Q94" t="s">
        <v>1674</v>
      </c>
      <c r="R94" t="s">
        <v>65</v>
      </c>
      <c r="S94" t="s">
        <v>1675</v>
      </c>
      <c r="T94">
        <v>2377200</v>
      </c>
      <c r="U94">
        <v>3396000</v>
      </c>
      <c r="V94" t="s">
        <v>1676</v>
      </c>
      <c r="W94" t="s">
        <v>1231</v>
      </c>
      <c r="X94" t="s">
        <v>1677</v>
      </c>
      <c r="Y94" t="s">
        <v>1678</v>
      </c>
      <c r="Z94" t="s">
        <v>434</v>
      </c>
      <c r="AA94" t="s">
        <v>65</v>
      </c>
      <c r="AB94" t="s">
        <v>1679</v>
      </c>
      <c r="AC94" t="s">
        <v>531</v>
      </c>
      <c r="AD94" t="s">
        <v>1680</v>
      </c>
      <c r="AE94" t="s">
        <v>1200</v>
      </c>
      <c r="AF94" t="s">
        <v>1201</v>
      </c>
      <c r="AG94" t="s">
        <v>1681</v>
      </c>
      <c r="AH94">
        <v>5</v>
      </c>
      <c r="AI94" t="s">
        <v>100</v>
      </c>
      <c r="AJ94" t="s">
        <v>1682</v>
      </c>
      <c r="AK94" t="s">
        <v>1683</v>
      </c>
      <c r="AM94" t="s">
        <v>441</v>
      </c>
      <c r="AN94">
        <v>2886600</v>
      </c>
      <c r="AO94" s="9">
        <v>40412.400000000001</v>
      </c>
    </row>
    <row r="95" spans="1:41" x14ac:dyDescent="0.25">
      <c r="A95">
        <v>94</v>
      </c>
      <c r="B95" t="s">
        <v>1305</v>
      </c>
      <c r="C95" t="s">
        <v>1684</v>
      </c>
      <c r="D95" t="s">
        <v>46</v>
      </c>
      <c r="E95" t="s">
        <v>47</v>
      </c>
      <c r="F95" t="s">
        <v>48</v>
      </c>
      <c r="G95" t="s">
        <v>182</v>
      </c>
      <c r="H95" t="s">
        <v>1685</v>
      </c>
      <c r="I95" t="s">
        <v>1686</v>
      </c>
      <c r="J95">
        <v>2</v>
      </c>
      <c r="K95">
        <v>22.37</v>
      </c>
      <c r="L95" t="s">
        <v>1687</v>
      </c>
      <c r="M95" t="s">
        <v>1688</v>
      </c>
      <c r="N95" t="s">
        <v>265</v>
      </c>
      <c r="O95" t="s">
        <v>1689</v>
      </c>
      <c r="P95" t="s">
        <v>1690</v>
      </c>
      <c r="Q95" t="s">
        <v>65</v>
      </c>
      <c r="R95" t="s">
        <v>1691</v>
      </c>
      <c r="S95" t="s">
        <v>1692</v>
      </c>
      <c r="T95">
        <v>1310250</v>
      </c>
      <c r="U95">
        <v>1747000</v>
      </c>
      <c r="V95" t="s">
        <v>1693</v>
      </c>
      <c r="W95" t="s">
        <v>1231</v>
      </c>
      <c r="X95" t="s">
        <v>1694</v>
      </c>
      <c r="Y95" t="s">
        <v>1695</v>
      </c>
      <c r="Z95" t="s">
        <v>64</v>
      </c>
      <c r="AA95" t="s">
        <v>65</v>
      </c>
      <c r="AB95" t="s">
        <v>1696</v>
      </c>
      <c r="AC95" t="s">
        <v>531</v>
      </c>
      <c r="AD95" t="s">
        <v>1697</v>
      </c>
      <c r="AE95" t="s">
        <v>1200</v>
      </c>
      <c r="AF95" t="s">
        <v>1254</v>
      </c>
      <c r="AG95" t="s">
        <v>1698</v>
      </c>
      <c r="AH95">
        <v>3</v>
      </c>
      <c r="AI95" t="s">
        <v>237</v>
      </c>
      <c r="AJ95" t="s">
        <v>1699</v>
      </c>
      <c r="AK95" t="s">
        <v>1215</v>
      </c>
      <c r="AM95" t="s">
        <v>75</v>
      </c>
      <c r="AN95">
        <v>1484950</v>
      </c>
      <c r="AO95" s="9">
        <v>29699</v>
      </c>
    </row>
    <row r="96" spans="1:41" x14ac:dyDescent="0.25">
      <c r="A96">
        <v>95</v>
      </c>
      <c r="B96" t="s">
        <v>1305</v>
      </c>
      <c r="C96" t="s">
        <v>1700</v>
      </c>
      <c r="D96" t="s">
        <v>241</v>
      </c>
      <c r="E96" t="s">
        <v>47</v>
      </c>
      <c r="F96" t="s">
        <v>48</v>
      </c>
      <c r="G96" t="s">
        <v>1371</v>
      </c>
      <c r="H96" t="s">
        <v>1701</v>
      </c>
      <c r="I96" t="s">
        <v>1702</v>
      </c>
      <c r="J96">
        <v>2</v>
      </c>
      <c r="K96">
        <v>27.44</v>
      </c>
      <c r="L96" t="s">
        <v>1703</v>
      </c>
      <c r="M96" t="s">
        <v>1704</v>
      </c>
      <c r="N96" t="s">
        <v>164</v>
      </c>
      <c r="O96" t="s">
        <v>1705</v>
      </c>
      <c r="P96" t="s">
        <v>1706</v>
      </c>
      <c r="Q96" t="s">
        <v>65</v>
      </c>
      <c r="R96" t="s">
        <v>1707</v>
      </c>
      <c r="S96" t="s">
        <v>1708</v>
      </c>
      <c r="T96">
        <v>2927400</v>
      </c>
      <c r="U96">
        <v>4879000</v>
      </c>
      <c r="V96" t="s">
        <v>1709</v>
      </c>
      <c r="W96" t="s">
        <v>1231</v>
      </c>
      <c r="X96" t="s">
        <v>1710</v>
      </c>
      <c r="Y96" t="s">
        <v>1711</v>
      </c>
      <c r="Z96" t="s">
        <v>64</v>
      </c>
      <c r="AA96" t="s">
        <v>65</v>
      </c>
      <c r="AB96" t="s">
        <v>1712</v>
      </c>
      <c r="AC96" t="s">
        <v>531</v>
      </c>
      <c r="AD96" t="s">
        <v>1713</v>
      </c>
      <c r="AE96" t="s">
        <v>453</v>
      </c>
      <c r="AF96" t="s">
        <v>1430</v>
      </c>
      <c r="AG96" t="s">
        <v>1714</v>
      </c>
      <c r="AH96">
        <v>3</v>
      </c>
      <c r="AI96" t="s">
        <v>72</v>
      </c>
      <c r="AJ96" t="s">
        <v>1715</v>
      </c>
      <c r="AK96" t="s">
        <v>1035</v>
      </c>
      <c r="AM96" t="s">
        <v>75</v>
      </c>
      <c r="AN96">
        <v>4147150</v>
      </c>
      <c r="AO96" s="9">
        <v>82943</v>
      </c>
    </row>
    <row r="97" spans="1:41" x14ac:dyDescent="0.25">
      <c r="A97">
        <v>96</v>
      </c>
      <c r="B97" t="s">
        <v>1305</v>
      </c>
      <c r="C97" t="s">
        <v>1716</v>
      </c>
      <c r="D97" t="s">
        <v>277</v>
      </c>
      <c r="E97" t="s">
        <v>47</v>
      </c>
      <c r="F97" t="s">
        <v>48</v>
      </c>
      <c r="G97" t="s">
        <v>1717</v>
      </c>
      <c r="H97" t="s">
        <v>1718</v>
      </c>
      <c r="I97" t="s">
        <v>1719</v>
      </c>
      <c r="J97">
        <v>1.75</v>
      </c>
      <c r="K97">
        <v>22.37</v>
      </c>
      <c r="L97" t="s">
        <v>1720</v>
      </c>
      <c r="M97" t="s">
        <v>1721</v>
      </c>
      <c r="N97" t="s">
        <v>187</v>
      </c>
      <c r="O97" t="s">
        <v>1722</v>
      </c>
      <c r="P97" t="s">
        <v>1723</v>
      </c>
      <c r="Q97" t="s">
        <v>1723</v>
      </c>
      <c r="R97" t="s">
        <v>1723</v>
      </c>
      <c r="S97" t="s">
        <v>1724</v>
      </c>
      <c r="T97">
        <v>2355000</v>
      </c>
      <c r="U97">
        <v>7850000</v>
      </c>
      <c r="V97" t="s">
        <v>1725</v>
      </c>
      <c r="W97" t="s">
        <v>1726</v>
      </c>
      <c r="X97" t="s">
        <v>1727</v>
      </c>
      <c r="Y97" t="s">
        <v>1728</v>
      </c>
      <c r="Z97" t="s">
        <v>93</v>
      </c>
      <c r="AA97" t="s">
        <v>1729</v>
      </c>
      <c r="AB97" t="s">
        <v>1730</v>
      </c>
      <c r="AC97" t="s">
        <v>531</v>
      </c>
      <c r="AD97" s="2">
        <v>45175</v>
      </c>
      <c r="AE97" t="s">
        <v>1648</v>
      </c>
      <c r="AF97" t="s">
        <v>1254</v>
      </c>
      <c r="AG97" t="s">
        <v>1731</v>
      </c>
      <c r="AH97">
        <v>2</v>
      </c>
      <c r="AI97" t="s">
        <v>237</v>
      </c>
      <c r="AJ97" t="s">
        <v>1732</v>
      </c>
      <c r="AK97" t="s">
        <v>1071</v>
      </c>
      <c r="AM97" t="s">
        <v>102</v>
      </c>
      <c r="AN97">
        <v>7065000</v>
      </c>
      <c r="AO97" s="9">
        <v>123637.50000000001</v>
      </c>
    </row>
    <row r="98" spans="1:41" hidden="1" x14ac:dyDescent="0.25">
      <c r="A98">
        <v>97</v>
      </c>
      <c r="B98" t="s">
        <v>1305</v>
      </c>
      <c r="C98" t="s">
        <v>1733</v>
      </c>
      <c r="D98" t="s">
        <v>241</v>
      </c>
      <c r="E98" t="s">
        <v>47</v>
      </c>
      <c r="F98" t="s">
        <v>48</v>
      </c>
      <c r="G98" t="s">
        <v>182</v>
      </c>
      <c r="H98" t="s">
        <v>1734</v>
      </c>
      <c r="I98" t="s">
        <v>1735</v>
      </c>
      <c r="J98">
        <v>3.1</v>
      </c>
      <c r="K98">
        <v>24.03</v>
      </c>
      <c r="L98" t="s">
        <v>1736</v>
      </c>
      <c r="M98" t="s">
        <v>1737</v>
      </c>
      <c r="N98" t="s">
        <v>83</v>
      </c>
      <c r="O98" t="s">
        <v>1738</v>
      </c>
      <c r="P98" t="s">
        <v>1739</v>
      </c>
      <c r="Q98" t="s">
        <v>1739</v>
      </c>
      <c r="R98" t="s">
        <v>167</v>
      </c>
      <c r="S98" t="s">
        <v>1740</v>
      </c>
      <c r="T98">
        <v>875200</v>
      </c>
      <c r="U98">
        <v>1094000</v>
      </c>
      <c r="V98" t="s">
        <v>1741</v>
      </c>
      <c r="W98" t="s">
        <v>1742</v>
      </c>
      <c r="X98" t="s">
        <v>1743</v>
      </c>
      <c r="Y98" t="s">
        <v>1744</v>
      </c>
      <c r="Z98" t="s">
        <v>64</v>
      </c>
      <c r="AA98" t="s">
        <v>1745</v>
      </c>
      <c r="AB98" t="s">
        <v>1746</v>
      </c>
      <c r="AC98" t="s">
        <v>662</v>
      </c>
      <c r="AD98" t="s">
        <v>1747</v>
      </c>
      <c r="AE98" t="s">
        <v>1748</v>
      </c>
      <c r="AF98" t="s">
        <v>532</v>
      </c>
      <c r="AG98" t="s">
        <v>1749</v>
      </c>
      <c r="AH98">
        <v>7</v>
      </c>
      <c r="AI98" t="s">
        <v>511</v>
      </c>
      <c r="AJ98" t="s">
        <v>1750</v>
      </c>
      <c r="AK98" t="s">
        <v>1751</v>
      </c>
      <c r="AM98" t="s">
        <v>667</v>
      </c>
      <c r="AN98">
        <v>0</v>
      </c>
      <c r="AO98">
        <v>0</v>
      </c>
    </row>
    <row r="99" spans="1:41" x14ac:dyDescent="0.25">
      <c r="A99">
        <v>98</v>
      </c>
      <c r="B99" t="s">
        <v>1305</v>
      </c>
      <c r="C99" t="s">
        <v>1752</v>
      </c>
      <c r="D99" t="s">
        <v>46</v>
      </c>
      <c r="E99" t="s">
        <v>47</v>
      </c>
      <c r="F99" t="s">
        <v>48</v>
      </c>
      <c r="G99" t="s">
        <v>182</v>
      </c>
      <c r="H99" t="s">
        <v>1753</v>
      </c>
      <c r="I99" t="s">
        <v>1754</v>
      </c>
      <c r="J99">
        <v>2</v>
      </c>
      <c r="K99">
        <v>25.79</v>
      </c>
      <c r="L99" t="s">
        <v>1755</v>
      </c>
      <c r="M99" t="s">
        <v>1756</v>
      </c>
      <c r="N99" t="s">
        <v>187</v>
      </c>
      <c r="O99" t="s">
        <v>1757</v>
      </c>
      <c r="P99" t="s">
        <v>1758</v>
      </c>
      <c r="Q99" t="s">
        <v>1758</v>
      </c>
      <c r="R99" t="s">
        <v>1759</v>
      </c>
      <c r="S99" t="s">
        <v>1760</v>
      </c>
      <c r="T99">
        <v>838600</v>
      </c>
      <c r="U99">
        <v>1198000</v>
      </c>
      <c r="V99" t="s">
        <v>1761</v>
      </c>
      <c r="W99" t="s">
        <v>1762</v>
      </c>
      <c r="X99" t="s">
        <v>1763</v>
      </c>
      <c r="Y99" t="s">
        <v>1764</v>
      </c>
      <c r="Z99" t="s">
        <v>64</v>
      </c>
      <c r="AA99" t="s">
        <v>65</v>
      </c>
      <c r="AB99" t="s">
        <v>1765</v>
      </c>
      <c r="AC99" t="s">
        <v>67</v>
      </c>
      <c r="AD99" t="s">
        <v>343</v>
      </c>
      <c r="AE99" t="s">
        <v>604</v>
      </c>
      <c r="AF99" t="s">
        <v>974</v>
      </c>
      <c r="AG99" t="s">
        <v>1766</v>
      </c>
      <c r="AH99">
        <v>5</v>
      </c>
      <c r="AI99" t="s">
        <v>237</v>
      </c>
      <c r="AJ99" t="s">
        <v>1767</v>
      </c>
      <c r="AK99" t="s">
        <v>1523</v>
      </c>
      <c r="AM99" t="s">
        <v>75</v>
      </c>
      <c r="AN99">
        <v>958400</v>
      </c>
      <c r="AO99" s="9">
        <v>19168</v>
      </c>
    </row>
    <row r="100" spans="1:41" x14ac:dyDescent="0.25">
      <c r="A100">
        <v>99</v>
      </c>
      <c r="B100" t="s">
        <v>1305</v>
      </c>
      <c r="C100" t="s">
        <v>1768</v>
      </c>
      <c r="D100" t="s">
        <v>46</v>
      </c>
      <c r="E100" t="s">
        <v>47</v>
      </c>
      <c r="F100" t="s">
        <v>48</v>
      </c>
      <c r="G100" t="s">
        <v>182</v>
      </c>
      <c r="H100" t="s">
        <v>1769</v>
      </c>
      <c r="I100" t="s">
        <v>1754</v>
      </c>
      <c r="J100">
        <v>2</v>
      </c>
      <c r="K100">
        <v>25.79</v>
      </c>
      <c r="L100" t="s">
        <v>1770</v>
      </c>
      <c r="M100" t="s">
        <v>1756</v>
      </c>
      <c r="N100" t="s">
        <v>187</v>
      </c>
      <c r="O100" t="s">
        <v>1757</v>
      </c>
      <c r="P100" t="s">
        <v>1758</v>
      </c>
      <c r="Q100" t="s">
        <v>1758</v>
      </c>
      <c r="R100" t="s">
        <v>1759</v>
      </c>
      <c r="S100" t="s">
        <v>1760</v>
      </c>
      <c r="T100">
        <v>958400</v>
      </c>
      <c r="U100">
        <v>1198000</v>
      </c>
      <c r="V100" t="s">
        <v>1771</v>
      </c>
      <c r="W100" t="s">
        <v>1215</v>
      </c>
      <c r="X100" t="s">
        <v>1772</v>
      </c>
      <c r="Y100" t="s">
        <v>1773</v>
      </c>
      <c r="Z100" t="s">
        <v>64</v>
      </c>
      <c r="AA100" t="s">
        <v>65</v>
      </c>
      <c r="AB100" t="s">
        <v>1774</v>
      </c>
      <c r="AC100" t="s">
        <v>67</v>
      </c>
      <c r="AD100" t="s">
        <v>343</v>
      </c>
      <c r="AE100" t="s">
        <v>399</v>
      </c>
      <c r="AF100" t="s">
        <v>1354</v>
      </c>
      <c r="AG100" t="s">
        <v>1775</v>
      </c>
      <c r="AH100">
        <v>5</v>
      </c>
      <c r="AI100" t="s">
        <v>237</v>
      </c>
      <c r="AJ100" t="s">
        <v>1776</v>
      </c>
      <c r="AK100" t="s">
        <v>1523</v>
      </c>
      <c r="AM100" t="s">
        <v>75</v>
      </c>
      <c r="AN100">
        <v>958400</v>
      </c>
      <c r="AO100" s="9">
        <v>19168</v>
      </c>
    </row>
    <row r="101" spans="1:41" hidden="1" x14ac:dyDescent="0.25">
      <c r="A101">
        <v>100</v>
      </c>
      <c r="B101" t="s">
        <v>1305</v>
      </c>
      <c r="C101" t="s">
        <v>1777</v>
      </c>
      <c r="D101" t="s">
        <v>241</v>
      </c>
      <c r="E101" t="s">
        <v>47</v>
      </c>
      <c r="F101" t="s">
        <v>48</v>
      </c>
      <c r="G101" t="s">
        <v>1778</v>
      </c>
      <c r="H101" t="s">
        <v>1779</v>
      </c>
      <c r="I101" t="s">
        <v>1780</v>
      </c>
      <c r="J101">
        <v>1.75</v>
      </c>
      <c r="K101">
        <v>25.94</v>
      </c>
      <c r="L101" t="s">
        <v>1781</v>
      </c>
      <c r="M101" t="s">
        <v>1493</v>
      </c>
      <c r="N101" t="s">
        <v>164</v>
      </c>
      <c r="O101" t="s">
        <v>1782</v>
      </c>
      <c r="P101" t="s">
        <v>1783</v>
      </c>
      <c r="Q101" t="s">
        <v>1784</v>
      </c>
      <c r="R101" t="s">
        <v>1785</v>
      </c>
      <c r="S101" t="s">
        <v>1786</v>
      </c>
      <c r="T101">
        <v>1230000</v>
      </c>
      <c r="U101">
        <v>1640000</v>
      </c>
      <c r="V101" t="s">
        <v>1787</v>
      </c>
      <c r="W101" t="s">
        <v>1215</v>
      </c>
      <c r="X101" t="s">
        <v>1788</v>
      </c>
      <c r="Y101" t="s">
        <v>1789</v>
      </c>
      <c r="Z101" t="s">
        <v>64</v>
      </c>
      <c r="AA101" t="s">
        <v>65</v>
      </c>
      <c r="AB101" t="s">
        <v>1790</v>
      </c>
      <c r="AC101" t="s">
        <v>67</v>
      </c>
      <c r="AD101" t="s">
        <v>379</v>
      </c>
      <c r="AE101" t="s">
        <v>1127</v>
      </c>
      <c r="AF101" t="s">
        <v>1128</v>
      </c>
      <c r="AG101" t="s">
        <v>1791</v>
      </c>
      <c r="AH101">
        <v>3</v>
      </c>
      <c r="AI101" t="s">
        <v>237</v>
      </c>
      <c r="AJ101" t="s">
        <v>1792</v>
      </c>
      <c r="AK101" t="s">
        <v>1523</v>
      </c>
      <c r="AM101" t="s">
        <v>102</v>
      </c>
      <c r="AN101">
        <v>0</v>
      </c>
      <c r="AO101">
        <v>0</v>
      </c>
    </row>
    <row r="102" spans="1:41" x14ac:dyDescent="0.25">
      <c r="A102">
        <v>101</v>
      </c>
      <c r="B102" t="s">
        <v>1305</v>
      </c>
      <c r="C102" t="s">
        <v>1793</v>
      </c>
      <c r="D102" t="s">
        <v>46</v>
      </c>
      <c r="E102" t="s">
        <v>47</v>
      </c>
      <c r="F102" t="s">
        <v>48</v>
      </c>
      <c r="G102" t="s">
        <v>994</v>
      </c>
      <c r="H102" t="s">
        <v>1794</v>
      </c>
      <c r="I102" t="s">
        <v>1795</v>
      </c>
      <c r="J102">
        <v>2</v>
      </c>
      <c r="K102">
        <v>25.68</v>
      </c>
      <c r="L102" t="s">
        <v>1796</v>
      </c>
      <c r="M102" t="s">
        <v>1797</v>
      </c>
      <c r="N102" t="s">
        <v>187</v>
      </c>
      <c r="O102" t="s">
        <v>1798</v>
      </c>
      <c r="P102" t="s">
        <v>65</v>
      </c>
      <c r="Q102" t="s">
        <v>1799</v>
      </c>
      <c r="R102" t="s">
        <v>65</v>
      </c>
      <c r="S102" t="s">
        <v>1800</v>
      </c>
      <c r="T102">
        <v>1148000</v>
      </c>
      <c r="U102">
        <v>1640000</v>
      </c>
      <c r="V102" t="s">
        <v>1801</v>
      </c>
      <c r="W102" t="s">
        <v>1215</v>
      </c>
      <c r="X102" t="s">
        <v>1802</v>
      </c>
      <c r="Y102" t="s">
        <v>1803</v>
      </c>
      <c r="Z102" t="s">
        <v>64</v>
      </c>
      <c r="AA102" t="s">
        <v>65</v>
      </c>
      <c r="AB102" t="s">
        <v>214</v>
      </c>
      <c r="AC102" t="s">
        <v>67</v>
      </c>
      <c r="AD102" t="s">
        <v>379</v>
      </c>
      <c r="AE102" t="s">
        <v>604</v>
      </c>
      <c r="AF102" t="s">
        <v>974</v>
      </c>
      <c r="AG102" t="s">
        <v>1804</v>
      </c>
      <c r="AH102">
        <v>5</v>
      </c>
      <c r="AI102" t="s">
        <v>237</v>
      </c>
      <c r="AJ102" t="s">
        <v>1805</v>
      </c>
      <c r="AK102" t="s">
        <v>398</v>
      </c>
      <c r="AM102" t="s">
        <v>75</v>
      </c>
      <c r="AN102">
        <v>1312000</v>
      </c>
      <c r="AO102" s="9">
        <v>26240</v>
      </c>
    </row>
    <row r="103" spans="1:41" x14ac:dyDescent="0.25">
      <c r="A103">
        <v>102</v>
      </c>
      <c r="B103" t="s">
        <v>1305</v>
      </c>
      <c r="C103" t="s">
        <v>1806</v>
      </c>
      <c r="D103" t="s">
        <v>46</v>
      </c>
      <c r="E103" t="s">
        <v>47</v>
      </c>
      <c r="F103" t="s">
        <v>48</v>
      </c>
      <c r="G103" t="s">
        <v>1807</v>
      </c>
      <c r="H103" t="s">
        <v>1808</v>
      </c>
      <c r="I103" t="s">
        <v>1809</v>
      </c>
      <c r="J103">
        <v>2</v>
      </c>
      <c r="K103">
        <v>21.96</v>
      </c>
      <c r="L103" t="s">
        <v>1810</v>
      </c>
      <c r="M103" t="s">
        <v>1811</v>
      </c>
      <c r="N103" t="s">
        <v>901</v>
      </c>
      <c r="O103" t="s">
        <v>1812</v>
      </c>
      <c r="P103" t="s">
        <v>1813</v>
      </c>
      <c r="Q103" t="s">
        <v>1813</v>
      </c>
      <c r="R103" t="s">
        <v>1814</v>
      </c>
      <c r="S103" t="s">
        <v>1815</v>
      </c>
      <c r="T103">
        <v>1379000</v>
      </c>
      <c r="U103">
        <v>1970000</v>
      </c>
      <c r="V103" t="s">
        <v>1816</v>
      </c>
      <c r="W103" t="s">
        <v>1215</v>
      </c>
      <c r="X103" t="s">
        <v>1817</v>
      </c>
      <c r="Y103" t="s">
        <v>1818</v>
      </c>
      <c r="Z103" t="s">
        <v>64</v>
      </c>
      <c r="AA103" t="s">
        <v>65</v>
      </c>
      <c r="AB103" t="s">
        <v>342</v>
      </c>
      <c r="AC103" t="s">
        <v>67</v>
      </c>
      <c r="AD103" t="s">
        <v>1819</v>
      </c>
      <c r="AE103" t="s">
        <v>1127</v>
      </c>
      <c r="AF103" t="s">
        <v>1162</v>
      </c>
      <c r="AG103" t="s">
        <v>1820</v>
      </c>
      <c r="AH103">
        <v>5</v>
      </c>
      <c r="AI103" t="s">
        <v>511</v>
      </c>
      <c r="AJ103" t="s">
        <v>1821</v>
      </c>
      <c r="AK103" t="s">
        <v>1132</v>
      </c>
      <c r="AM103" t="s">
        <v>75</v>
      </c>
      <c r="AN103">
        <v>1576000</v>
      </c>
      <c r="AO103" s="9">
        <v>31520</v>
      </c>
    </row>
    <row r="104" spans="1:41" x14ac:dyDescent="0.25">
      <c r="A104">
        <v>103</v>
      </c>
      <c r="B104" t="s">
        <v>1305</v>
      </c>
      <c r="C104" t="s">
        <v>1822</v>
      </c>
      <c r="D104" t="s">
        <v>46</v>
      </c>
      <c r="E104" t="s">
        <v>47</v>
      </c>
      <c r="F104" t="s">
        <v>48</v>
      </c>
      <c r="G104" t="s">
        <v>1823</v>
      </c>
      <c r="H104" t="s">
        <v>1824</v>
      </c>
      <c r="I104" t="s">
        <v>1825</v>
      </c>
      <c r="J104">
        <v>1.75</v>
      </c>
      <c r="K104">
        <v>22.02</v>
      </c>
      <c r="L104" t="s">
        <v>1826</v>
      </c>
      <c r="M104" t="s">
        <v>1827</v>
      </c>
      <c r="N104" t="s">
        <v>83</v>
      </c>
      <c r="O104" t="s">
        <v>1828</v>
      </c>
      <c r="P104" t="s">
        <v>65</v>
      </c>
      <c r="Q104" t="s">
        <v>1829</v>
      </c>
      <c r="R104" t="s">
        <v>1830</v>
      </c>
      <c r="S104" t="s">
        <v>1831</v>
      </c>
      <c r="T104">
        <v>10118500</v>
      </c>
      <c r="U104">
        <v>14455000</v>
      </c>
      <c r="V104" t="s">
        <v>1832</v>
      </c>
      <c r="W104" t="s">
        <v>1215</v>
      </c>
      <c r="X104" t="s">
        <v>1833</v>
      </c>
      <c r="Y104" t="s">
        <v>1834</v>
      </c>
      <c r="Z104" t="s">
        <v>64</v>
      </c>
      <c r="AA104" t="s">
        <v>65</v>
      </c>
      <c r="AB104" t="s">
        <v>1835</v>
      </c>
      <c r="AC104" t="s">
        <v>67</v>
      </c>
      <c r="AD104" t="s">
        <v>1132</v>
      </c>
      <c r="AE104" t="s">
        <v>1127</v>
      </c>
      <c r="AF104" t="s">
        <v>1162</v>
      </c>
      <c r="AG104" t="s">
        <v>1836</v>
      </c>
      <c r="AH104">
        <v>5</v>
      </c>
      <c r="AI104" t="s">
        <v>65</v>
      </c>
      <c r="AJ104" t="s">
        <v>65</v>
      </c>
      <c r="AK104" t="s">
        <v>65</v>
      </c>
      <c r="AM104" t="s">
        <v>102</v>
      </c>
      <c r="AN104">
        <v>11564000</v>
      </c>
      <c r="AO104" s="9">
        <v>202370.00000000003</v>
      </c>
    </row>
    <row r="105" spans="1:41" x14ac:dyDescent="0.25">
      <c r="A105">
        <v>104</v>
      </c>
      <c r="B105" t="s">
        <v>1305</v>
      </c>
      <c r="C105" t="s">
        <v>1837</v>
      </c>
      <c r="D105" t="s">
        <v>46</v>
      </c>
      <c r="E105" t="s">
        <v>47</v>
      </c>
      <c r="F105" t="s">
        <v>48</v>
      </c>
      <c r="G105" t="s">
        <v>1838</v>
      </c>
      <c r="H105" t="s">
        <v>1839</v>
      </c>
      <c r="I105" t="s">
        <v>1840</v>
      </c>
      <c r="J105">
        <v>2</v>
      </c>
      <c r="K105">
        <v>22.36</v>
      </c>
      <c r="L105" t="s">
        <v>1841</v>
      </c>
      <c r="M105" t="s">
        <v>1842</v>
      </c>
      <c r="N105" t="s">
        <v>1843</v>
      </c>
      <c r="O105" t="s">
        <v>1844</v>
      </c>
      <c r="P105" t="s">
        <v>1845</v>
      </c>
      <c r="Q105" t="s">
        <v>1845</v>
      </c>
      <c r="R105" t="s">
        <v>1845</v>
      </c>
      <c r="S105" t="s">
        <v>1846</v>
      </c>
      <c r="T105">
        <v>1269800</v>
      </c>
      <c r="U105">
        <v>1814000</v>
      </c>
      <c r="V105" t="s">
        <v>1847</v>
      </c>
      <c r="W105" t="s">
        <v>1195</v>
      </c>
      <c r="X105" t="s">
        <v>1848</v>
      </c>
      <c r="Y105" t="s">
        <v>1849</v>
      </c>
      <c r="Z105" t="s">
        <v>64</v>
      </c>
      <c r="AA105" t="s">
        <v>65</v>
      </c>
      <c r="AB105" t="s">
        <v>1850</v>
      </c>
      <c r="AC105" t="s">
        <v>531</v>
      </c>
      <c r="AD105" t="s">
        <v>1851</v>
      </c>
      <c r="AE105" t="s">
        <v>1200</v>
      </c>
      <c r="AF105" t="s">
        <v>1201</v>
      </c>
      <c r="AG105" t="s">
        <v>1852</v>
      </c>
      <c r="AH105">
        <v>5</v>
      </c>
      <c r="AI105" t="s">
        <v>198</v>
      </c>
      <c r="AJ105" t="s">
        <v>1853</v>
      </c>
      <c r="AK105" t="s">
        <v>1854</v>
      </c>
      <c r="AM105" t="s">
        <v>75</v>
      </c>
      <c r="AN105">
        <v>1541900</v>
      </c>
      <c r="AO105" s="9">
        <v>30838</v>
      </c>
    </row>
    <row r="106" spans="1:41" x14ac:dyDescent="0.25">
      <c r="A106">
        <v>105</v>
      </c>
      <c r="B106" t="s">
        <v>1305</v>
      </c>
      <c r="C106" t="s">
        <v>1855</v>
      </c>
      <c r="D106" t="s">
        <v>241</v>
      </c>
      <c r="E106" t="s">
        <v>47</v>
      </c>
      <c r="F106" t="s">
        <v>48</v>
      </c>
      <c r="G106" t="s">
        <v>182</v>
      </c>
      <c r="H106" t="s">
        <v>1856</v>
      </c>
      <c r="I106" t="s">
        <v>1857</v>
      </c>
      <c r="J106">
        <v>2</v>
      </c>
      <c r="K106">
        <v>22.86</v>
      </c>
      <c r="L106" t="s">
        <v>1858</v>
      </c>
      <c r="M106" t="s">
        <v>1859</v>
      </c>
      <c r="N106" t="s">
        <v>164</v>
      </c>
      <c r="O106" t="s">
        <v>1860</v>
      </c>
      <c r="P106" t="s">
        <v>65</v>
      </c>
      <c r="Q106" t="s">
        <v>1861</v>
      </c>
      <c r="R106" t="s">
        <v>65</v>
      </c>
      <c r="S106" t="s">
        <v>1862</v>
      </c>
      <c r="T106">
        <v>1131000</v>
      </c>
      <c r="U106">
        <v>1508000</v>
      </c>
      <c r="V106" t="s">
        <v>1863</v>
      </c>
      <c r="W106" t="s">
        <v>1195</v>
      </c>
      <c r="X106" t="s">
        <v>1864</v>
      </c>
      <c r="Y106" t="s">
        <v>1865</v>
      </c>
      <c r="Z106" t="s">
        <v>64</v>
      </c>
      <c r="AA106" t="s">
        <v>65</v>
      </c>
      <c r="AB106" t="s">
        <v>777</v>
      </c>
      <c r="AC106" t="s">
        <v>531</v>
      </c>
      <c r="AD106" t="s">
        <v>1866</v>
      </c>
      <c r="AE106" t="s">
        <v>1200</v>
      </c>
      <c r="AF106" t="s">
        <v>1867</v>
      </c>
      <c r="AG106" t="s">
        <v>1868</v>
      </c>
      <c r="AH106">
        <v>7</v>
      </c>
      <c r="AI106" t="s">
        <v>198</v>
      </c>
      <c r="AJ106" t="s">
        <v>1869</v>
      </c>
      <c r="AK106" t="s">
        <v>1090</v>
      </c>
      <c r="AM106" t="s">
        <v>75</v>
      </c>
      <c r="AN106">
        <v>1281800</v>
      </c>
      <c r="AO106" s="9">
        <v>25636</v>
      </c>
    </row>
    <row r="107" spans="1:41" x14ac:dyDescent="0.25">
      <c r="A107">
        <v>106</v>
      </c>
      <c r="B107" t="s">
        <v>1305</v>
      </c>
      <c r="C107" t="s">
        <v>1870</v>
      </c>
      <c r="D107" t="s">
        <v>77</v>
      </c>
      <c r="E107" t="s">
        <v>47</v>
      </c>
      <c r="F107" t="s">
        <v>48</v>
      </c>
      <c r="G107" t="s">
        <v>78</v>
      </c>
      <c r="H107" t="s">
        <v>1871</v>
      </c>
      <c r="I107" t="s">
        <v>1872</v>
      </c>
      <c r="J107">
        <v>1.5</v>
      </c>
      <c r="K107">
        <v>21.37</v>
      </c>
      <c r="L107" t="s">
        <v>1873</v>
      </c>
      <c r="M107" t="s">
        <v>1874</v>
      </c>
      <c r="N107" t="s">
        <v>83</v>
      </c>
      <c r="O107" t="s">
        <v>1875</v>
      </c>
      <c r="P107" t="s">
        <v>1876</v>
      </c>
      <c r="Q107" t="s">
        <v>1876</v>
      </c>
      <c r="R107" t="s">
        <v>167</v>
      </c>
      <c r="S107" t="s">
        <v>1877</v>
      </c>
      <c r="T107">
        <v>2415000</v>
      </c>
      <c r="U107">
        <v>3450000</v>
      </c>
      <c r="V107" t="s">
        <v>1878</v>
      </c>
      <c r="W107" t="s">
        <v>1195</v>
      </c>
      <c r="X107" t="s">
        <v>1879</v>
      </c>
      <c r="Y107" t="s">
        <v>1880</v>
      </c>
      <c r="Z107" t="s">
        <v>93</v>
      </c>
      <c r="AA107" t="s">
        <v>1881</v>
      </c>
      <c r="AB107" t="s">
        <v>378</v>
      </c>
      <c r="AC107" t="s">
        <v>552</v>
      </c>
      <c r="AD107" t="s">
        <v>1020</v>
      </c>
      <c r="AE107" t="s">
        <v>1200</v>
      </c>
      <c r="AF107" t="s">
        <v>1254</v>
      </c>
      <c r="AG107" t="s">
        <v>1882</v>
      </c>
      <c r="AH107">
        <v>3</v>
      </c>
      <c r="AI107" t="s">
        <v>100</v>
      </c>
      <c r="AJ107" t="s">
        <v>1883</v>
      </c>
      <c r="AK107" t="s">
        <v>1035</v>
      </c>
      <c r="AM107" t="s">
        <v>157</v>
      </c>
      <c r="AN107">
        <v>2932500</v>
      </c>
      <c r="AO107" s="9">
        <v>43987.5</v>
      </c>
    </row>
    <row r="108" spans="1:41" x14ac:dyDescent="0.25">
      <c r="A108">
        <v>107</v>
      </c>
      <c r="B108" t="s">
        <v>1305</v>
      </c>
      <c r="C108" t="s">
        <v>1884</v>
      </c>
      <c r="D108" t="s">
        <v>46</v>
      </c>
      <c r="E108" t="s">
        <v>47</v>
      </c>
      <c r="F108" t="s">
        <v>48</v>
      </c>
      <c r="G108" t="s">
        <v>182</v>
      </c>
      <c r="H108" t="s">
        <v>1885</v>
      </c>
      <c r="I108" t="s">
        <v>1886</v>
      </c>
      <c r="J108">
        <v>1.5</v>
      </c>
      <c r="K108">
        <v>25.19</v>
      </c>
      <c r="L108" t="s">
        <v>1887</v>
      </c>
      <c r="M108" t="s">
        <v>1888</v>
      </c>
      <c r="N108" t="s">
        <v>187</v>
      </c>
      <c r="O108" t="s">
        <v>1889</v>
      </c>
      <c r="P108" t="s">
        <v>65</v>
      </c>
      <c r="Q108" t="s">
        <v>1890</v>
      </c>
      <c r="R108" t="s">
        <v>65</v>
      </c>
      <c r="S108" t="s">
        <v>1891</v>
      </c>
      <c r="T108">
        <v>1519100</v>
      </c>
      <c r="U108">
        <v>2762000</v>
      </c>
      <c r="V108" t="s">
        <v>1892</v>
      </c>
      <c r="W108" t="s">
        <v>1195</v>
      </c>
      <c r="X108" t="s">
        <v>1893</v>
      </c>
      <c r="Y108" t="s">
        <v>1894</v>
      </c>
      <c r="Z108" t="s">
        <v>64</v>
      </c>
      <c r="AA108" t="s">
        <v>65</v>
      </c>
      <c r="AB108" t="s">
        <v>1520</v>
      </c>
      <c r="AC108" t="s">
        <v>531</v>
      </c>
      <c r="AD108" t="s">
        <v>1895</v>
      </c>
      <c r="AE108" t="s">
        <v>453</v>
      </c>
      <c r="AF108" t="s">
        <v>1430</v>
      </c>
      <c r="AG108" t="s">
        <v>1896</v>
      </c>
      <c r="AH108">
        <v>3</v>
      </c>
      <c r="AI108" t="s">
        <v>100</v>
      </c>
      <c r="AJ108" t="s">
        <v>1897</v>
      </c>
      <c r="AK108" t="s">
        <v>1090</v>
      </c>
      <c r="AM108" t="s">
        <v>157</v>
      </c>
      <c r="AN108">
        <v>2347700</v>
      </c>
      <c r="AO108" s="9">
        <v>35215.5</v>
      </c>
    </row>
    <row r="109" spans="1:41" x14ac:dyDescent="0.25">
      <c r="A109">
        <v>108</v>
      </c>
      <c r="B109" t="s">
        <v>1305</v>
      </c>
      <c r="C109" t="s">
        <v>1898</v>
      </c>
      <c r="D109" t="s">
        <v>277</v>
      </c>
      <c r="E109" t="s">
        <v>47</v>
      </c>
      <c r="F109" t="s">
        <v>48</v>
      </c>
      <c r="G109" t="s">
        <v>78</v>
      </c>
      <c r="H109" t="s">
        <v>1899</v>
      </c>
      <c r="I109" t="s">
        <v>1900</v>
      </c>
      <c r="J109">
        <v>1.5</v>
      </c>
      <c r="K109">
        <v>26.19</v>
      </c>
      <c r="L109" t="s">
        <v>1901</v>
      </c>
      <c r="M109" t="s">
        <v>1902</v>
      </c>
      <c r="N109" t="s">
        <v>83</v>
      </c>
      <c r="O109" t="s">
        <v>1903</v>
      </c>
      <c r="P109" t="s">
        <v>65</v>
      </c>
      <c r="Q109" t="s">
        <v>1904</v>
      </c>
      <c r="R109" t="s">
        <v>65</v>
      </c>
      <c r="S109" t="s">
        <v>1905</v>
      </c>
      <c r="T109">
        <v>1082200</v>
      </c>
      <c r="U109">
        <v>1546000</v>
      </c>
      <c r="V109" t="s">
        <v>1906</v>
      </c>
      <c r="W109" t="s">
        <v>1195</v>
      </c>
      <c r="X109" t="s">
        <v>1907</v>
      </c>
      <c r="Y109" t="s">
        <v>1908</v>
      </c>
      <c r="Z109" t="s">
        <v>93</v>
      </c>
      <c r="AA109" t="s">
        <v>1909</v>
      </c>
      <c r="AB109" t="s">
        <v>777</v>
      </c>
      <c r="AC109" t="s">
        <v>531</v>
      </c>
      <c r="AD109" t="s">
        <v>774</v>
      </c>
      <c r="AE109" t="s">
        <v>453</v>
      </c>
      <c r="AF109" t="s">
        <v>1430</v>
      </c>
      <c r="AG109" t="s">
        <v>1910</v>
      </c>
      <c r="AH109">
        <v>3</v>
      </c>
      <c r="AI109" t="s">
        <v>72</v>
      </c>
      <c r="AJ109" t="s">
        <v>1911</v>
      </c>
      <c r="AK109" t="s">
        <v>1090</v>
      </c>
      <c r="AM109" t="s">
        <v>157</v>
      </c>
      <c r="AN109">
        <v>1314100</v>
      </c>
      <c r="AO109" s="9">
        <v>19711.5</v>
      </c>
    </row>
    <row r="110" spans="1:41" x14ac:dyDescent="0.25">
      <c r="A110">
        <v>109</v>
      </c>
      <c r="B110" t="s">
        <v>1305</v>
      </c>
      <c r="C110" t="s">
        <v>1912</v>
      </c>
      <c r="D110" t="s">
        <v>46</v>
      </c>
      <c r="E110" t="s">
        <v>47</v>
      </c>
      <c r="F110" t="s">
        <v>48</v>
      </c>
      <c r="G110" t="s">
        <v>1913</v>
      </c>
      <c r="H110" t="s">
        <v>1914</v>
      </c>
      <c r="I110" t="s">
        <v>1915</v>
      </c>
      <c r="J110">
        <v>2</v>
      </c>
      <c r="K110">
        <v>26.69</v>
      </c>
      <c r="L110" t="s">
        <v>1916</v>
      </c>
      <c r="M110" t="s">
        <v>1917</v>
      </c>
      <c r="N110" t="s">
        <v>265</v>
      </c>
      <c r="O110" t="s">
        <v>1918</v>
      </c>
      <c r="P110" t="s">
        <v>1919</v>
      </c>
      <c r="Q110" t="s">
        <v>65</v>
      </c>
      <c r="R110" t="s">
        <v>1920</v>
      </c>
      <c r="S110" t="s">
        <v>1921</v>
      </c>
      <c r="T110">
        <v>1820000</v>
      </c>
      <c r="U110">
        <v>2600000</v>
      </c>
      <c r="V110" t="s">
        <v>1922</v>
      </c>
      <c r="W110" t="s">
        <v>1195</v>
      </c>
      <c r="X110" t="s">
        <v>1923</v>
      </c>
      <c r="Y110" t="s">
        <v>1924</v>
      </c>
      <c r="Z110" t="s">
        <v>64</v>
      </c>
      <c r="AA110" t="s">
        <v>65</v>
      </c>
      <c r="AB110" t="s">
        <v>1925</v>
      </c>
      <c r="AC110" t="s">
        <v>531</v>
      </c>
      <c r="AD110" t="s">
        <v>1926</v>
      </c>
      <c r="AE110" t="s">
        <v>453</v>
      </c>
      <c r="AF110" t="s">
        <v>1430</v>
      </c>
      <c r="AG110" t="s">
        <v>1927</v>
      </c>
      <c r="AH110">
        <v>3</v>
      </c>
      <c r="AI110" t="s">
        <v>100</v>
      </c>
      <c r="AJ110" t="s">
        <v>1928</v>
      </c>
      <c r="AK110" t="s">
        <v>1090</v>
      </c>
      <c r="AM110" t="s">
        <v>75</v>
      </c>
      <c r="AN110">
        <v>2210000</v>
      </c>
      <c r="AO110" s="9">
        <v>44200</v>
      </c>
    </row>
    <row r="111" spans="1:41" x14ac:dyDescent="0.25">
      <c r="A111">
        <v>110</v>
      </c>
      <c r="B111" t="s">
        <v>1305</v>
      </c>
      <c r="C111" t="s">
        <v>1929</v>
      </c>
      <c r="D111" t="s">
        <v>77</v>
      </c>
      <c r="E111" t="s">
        <v>47</v>
      </c>
      <c r="F111" t="s">
        <v>48</v>
      </c>
      <c r="G111" t="s">
        <v>1930</v>
      </c>
      <c r="H111" t="s">
        <v>1931</v>
      </c>
      <c r="I111" t="s">
        <v>1932</v>
      </c>
      <c r="J111">
        <v>1.75</v>
      </c>
      <c r="K111">
        <v>22.12</v>
      </c>
      <c r="L111" t="s">
        <v>1933</v>
      </c>
      <c r="M111" t="s">
        <v>1934</v>
      </c>
      <c r="N111" t="s">
        <v>187</v>
      </c>
      <c r="O111" t="s">
        <v>1935</v>
      </c>
      <c r="P111" t="s">
        <v>1936</v>
      </c>
      <c r="Q111" t="s">
        <v>1936</v>
      </c>
      <c r="R111" t="s">
        <v>1936</v>
      </c>
      <c r="S111" t="s">
        <v>1937</v>
      </c>
      <c r="T111">
        <v>1261000</v>
      </c>
      <c r="U111">
        <v>1940000</v>
      </c>
      <c r="V111" t="s">
        <v>1938</v>
      </c>
      <c r="W111" t="s">
        <v>1939</v>
      </c>
      <c r="X111" t="s">
        <v>1940</v>
      </c>
      <c r="Y111" t="s">
        <v>1941</v>
      </c>
      <c r="Z111" t="s">
        <v>64</v>
      </c>
      <c r="AA111" t="s">
        <v>65</v>
      </c>
      <c r="AB111" t="s">
        <v>1942</v>
      </c>
      <c r="AC111" t="s">
        <v>436</v>
      </c>
      <c r="AD111" s="2">
        <v>45177</v>
      </c>
      <c r="AE111" t="s">
        <v>1648</v>
      </c>
      <c r="AF111" t="s">
        <v>1485</v>
      </c>
      <c r="AG111" t="s">
        <v>1943</v>
      </c>
      <c r="AH111">
        <v>5</v>
      </c>
      <c r="AI111" t="s">
        <v>237</v>
      </c>
      <c r="AJ111" t="s">
        <v>1944</v>
      </c>
      <c r="AK111" t="s">
        <v>1945</v>
      </c>
      <c r="AM111" t="s">
        <v>102</v>
      </c>
      <c r="AN111">
        <v>1746000</v>
      </c>
      <c r="AO111" s="9">
        <v>30555.000000000004</v>
      </c>
    </row>
    <row r="112" spans="1:41" hidden="1" x14ac:dyDescent="0.25">
      <c r="A112">
        <v>111</v>
      </c>
      <c r="B112" t="s">
        <v>1305</v>
      </c>
      <c r="C112" t="s">
        <v>1946</v>
      </c>
      <c r="D112" t="s">
        <v>277</v>
      </c>
      <c r="E112" t="s">
        <v>47</v>
      </c>
      <c r="F112" t="s">
        <v>48</v>
      </c>
      <c r="G112" t="s">
        <v>1947</v>
      </c>
      <c r="H112" t="s">
        <v>1948</v>
      </c>
      <c r="I112" t="s">
        <v>1949</v>
      </c>
      <c r="J112">
        <v>1.75</v>
      </c>
      <c r="K112">
        <v>26.19</v>
      </c>
      <c r="L112" t="s">
        <v>1950</v>
      </c>
      <c r="M112" t="s">
        <v>1951</v>
      </c>
      <c r="N112" t="s">
        <v>164</v>
      </c>
      <c r="O112" t="s">
        <v>1952</v>
      </c>
      <c r="P112" t="s">
        <v>1953</v>
      </c>
      <c r="Q112" t="s">
        <v>65</v>
      </c>
      <c r="R112" t="s">
        <v>1953</v>
      </c>
      <c r="S112" t="s">
        <v>1954</v>
      </c>
      <c r="T112">
        <v>2970000</v>
      </c>
      <c r="U112">
        <v>6750000</v>
      </c>
      <c r="V112" t="s">
        <v>1955</v>
      </c>
      <c r="W112" t="s">
        <v>1939</v>
      </c>
      <c r="X112" t="s">
        <v>1956</v>
      </c>
      <c r="Y112" t="s">
        <v>1957</v>
      </c>
      <c r="Z112" t="s">
        <v>93</v>
      </c>
      <c r="AA112" t="s">
        <v>1958</v>
      </c>
      <c r="AB112" t="s">
        <v>1959</v>
      </c>
      <c r="AC112" t="s">
        <v>67</v>
      </c>
      <c r="AD112" s="2">
        <v>45176</v>
      </c>
      <c r="AE112" t="s">
        <v>1648</v>
      </c>
      <c r="AF112" t="s">
        <v>1128</v>
      </c>
      <c r="AG112" t="s">
        <v>1960</v>
      </c>
      <c r="AH112">
        <v>1</v>
      </c>
      <c r="AI112" t="s">
        <v>237</v>
      </c>
      <c r="AJ112" t="s">
        <v>1961</v>
      </c>
      <c r="AK112" t="s">
        <v>1071</v>
      </c>
      <c r="AM112" t="s">
        <v>102</v>
      </c>
      <c r="AN112">
        <v>0</v>
      </c>
      <c r="AO112">
        <v>0</v>
      </c>
    </row>
    <row r="113" spans="1:41" x14ac:dyDescent="0.25">
      <c r="A113">
        <v>112</v>
      </c>
      <c r="B113" t="s">
        <v>1305</v>
      </c>
      <c r="C113" t="s">
        <v>1962</v>
      </c>
      <c r="D113" t="s">
        <v>277</v>
      </c>
      <c r="E113" t="s">
        <v>47</v>
      </c>
      <c r="F113" t="s">
        <v>48</v>
      </c>
      <c r="G113" t="s">
        <v>1947</v>
      </c>
      <c r="H113" t="s">
        <v>1963</v>
      </c>
      <c r="I113" t="s">
        <v>1964</v>
      </c>
      <c r="J113">
        <v>1.75</v>
      </c>
      <c r="K113">
        <v>22.37</v>
      </c>
      <c r="L113" t="s">
        <v>1965</v>
      </c>
      <c r="M113" t="s">
        <v>1966</v>
      </c>
      <c r="N113" t="s">
        <v>164</v>
      </c>
      <c r="O113" t="s">
        <v>1967</v>
      </c>
      <c r="P113" t="s">
        <v>1016</v>
      </c>
      <c r="Q113" t="s">
        <v>1968</v>
      </c>
      <c r="R113" t="s">
        <v>1969</v>
      </c>
      <c r="S113" t="s">
        <v>1970</v>
      </c>
      <c r="T113">
        <v>1980000</v>
      </c>
      <c r="U113">
        <v>3300000</v>
      </c>
      <c r="V113" t="s">
        <v>1971</v>
      </c>
      <c r="W113" t="s">
        <v>1939</v>
      </c>
      <c r="X113" t="s">
        <v>1972</v>
      </c>
      <c r="Y113" t="s">
        <v>1973</v>
      </c>
      <c r="Z113" t="s">
        <v>93</v>
      </c>
      <c r="AA113" t="s">
        <v>1974</v>
      </c>
      <c r="AB113" t="s">
        <v>1975</v>
      </c>
      <c r="AC113" t="s">
        <v>67</v>
      </c>
      <c r="AD113" s="2">
        <v>45176</v>
      </c>
      <c r="AE113" t="s">
        <v>1648</v>
      </c>
      <c r="AF113" t="s">
        <v>1162</v>
      </c>
      <c r="AG113" t="s">
        <v>1976</v>
      </c>
      <c r="AH113">
        <v>3</v>
      </c>
      <c r="AI113" t="s">
        <v>237</v>
      </c>
      <c r="AJ113" t="s">
        <v>1977</v>
      </c>
      <c r="AK113" t="s">
        <v>1978</v>
      </c>
      <c r="AM113" t="s">
        <v>102</v>
      </c>
      <c r="AN113">
        <v>2970000</v>
      </c>
      <c r="AO113" s="9">
        <v>51975.000000000007</v>
      </c>
    </row>
    <row r="114" spans="1:41" x14ac:dyDescent="0.25">
      <c r="A114">
        <v>113</v>
      </c>
      <c r="B114" t="s">
        <v>1305</v>
      </c>
      <c r="C114" t="s">
        <v>1979</v>
      </c>
      <c r="D114" t="s">
        <v>136</v>
      </c>
      <c r="E114" t="s">
        <v>47</v>
      </c>
      <c r="F114" t="s">
        <v>48</v>
      </c>
      <c r="G114" t="s">
        <v>1980</v>
      </c>
      <c r="H114" t="s">
        <v>1981</v>
      </c>
      <c r="I114" t="s">
        <v>1982</v>
      </c>
      <c r="J114">
        <v>2</v>
      </c>
      <c r="K114">
        <v>20.8</v>
      </c>
      <c r="L114" t="s">
        <v>1983</v>
      </c>
      <c r="M114" t="s">
        <v>1984</v>
      </c>
      <c r="N114" t="s">
        <v>164</v>
      </c>
      <c r="O114" t="s">
        <v>1985</v>
      </c>
      <c r="P114" t="s">
        <v>1986</v>
      </c>
      <c r="Q114" t="s">
        <v>65</v>
      </c>
      <c r="R114" t="s">
        <v>167</v>
      </c>
      <c r="S114" t="s">
        <v>1987</v>
      </c>
      <c r="T114">
        <v>879200</v>
      </c>
      <c r="U114">
        <v>1099000</v>
      </c>
      <c r="V114" t="s">
        <v>1988</v>
      </c>
      <c r="W114" t="s">
        <v>1523</v>
      </c>
      <c r="X114" t="s">
        <v>1989</v>
      </c>
      <c r="Y114" t="s">
        <v>1990</v>
      </c>
      <c r="Z114" t="s">
        <v>64</v>
      </c>
      <c r="AA114" t="s">
        <v>65</v>
      </c>
      <c r="AB114" t="s">
        <v>1991</v>
      </c>
      <c r="AC114" t="s">
        <v>151</v>
      </c>
      <c r="AD114" t="s">
        <v>1504</v>
      </c>
      <c r="AE114" t="s">
        <v>1253</v>
      </c>
      <c r="AF114" t="s">
        <v>1254</v>
      </c>
      <c r="AG114" t="s">
        <v>1992</v>
      </c>
      <c r="AH114">
        <v>5</v>
      </c>
      <c r="AI114" t="s">
        <v>237</v>
      </c>
      <c r="AJ114" t="s">
        <v>1993</v>
      </c>
      <c r="AK114" t="s">
        <v>1542</v>
      </c>
      <c r="AM114" t="s">
        <v>75</v>
      </c>
      <c r="AN114">
        <v>824250</v>
      </c>
      <c r="AO114" s="9">
        <v>16485</v>
      </c>
    </row>
    <row r="115" spans="1:41" x14ac:dyDescent="0.25">
      <c r="A115">
        <v>114</v>
      </c>
      <c r="B115" t="s">
        <v>1305</v>
      </c>
      <c r="C115" t="s">
        <v>1994</v>
      </c>
      <c r="D115" t="s">
        <v>46</v>
      </c>
      <c r="E115" t="s">
        <v>47</v>
      </c>
      <c r="F115" t="s">
        <v>48</v>
      </c>
      <c r="G115" t="s">
        <v>182</v>
      </c>
      <c r="H115" t="s">
        <v>1995</v>
      </c>
      <c r="I115" t="s">
        <v>1996</v>
      </c>
      <c r="J115">
        <v>2</v>
      </c>
      <c r="K115">
        <v>25.8</v>
      </c>
      <c r="L115" t="s">
        <v>1997</v>
      </c>
      <c r="M115" t="s">
        <v>1998</v>
      </c>
      <c r="N115" t="s">
        <v>187</v>
      </c>
      <c r="O115" t="s">
        <v>1999</v>
      </c>
      <c r="P115" t="s">
        <v>2000</v>
      </c>
      <c r="Q115" t="s">
        <v>2000</v>
      </c>
      <c r="R115" t="s">
        <v>2001</v>
      </c>
      <c r="S115" t="s">
        <v>2002</v>
      </c>
      <c r="T115">
        <v>946050</v>
      </c>
      <c r="U115">
        <v>1113000</v>
      </c>
      <c r="V115" t="s">
        <v>2003</v>
      </c>
      <c r="W115" t="s">
        <v>1090</v>
      </c>
      <c r="X115" t="s">
        <v>2004</v>
      </c>
      <c r="Y115" t="s">
        <v>2005</v>
      </c>
      <c r="Z115" t="s">
        <v>64</v>
      </c>
      <c r="AA115" t="s">
        <v>65</v>
      </c>
      <c r="AB115" t="s">
        <v>2006</v>
      </c>
      <c r="AC115" t="s">
        <v>67</v>
      </c>
      <c r="AD115" t="s">
        <v>490</v>
      </c>
      <c r="AE115" t="s">
        <v>69</v>
      </c>
      <c r="AF115" t="s">
        <v>1007</v>
      </c>
      <c r="AG115" t="s">
        <v>2007</v>
      </c>
      <c r="AH115">
        <v>5</v>
      </c>
      <c r="AI115" t="s">
        <v>237</v>
      </c>
      <c r="AJ115" t="s">
        <v>2008</v>
      </c>
      <c r="AK115" t="s">
        <v>398</v>
      </c>
      <c r="AM115" t="s">
        <v>75</v>
      </c>
      <c r="AN115">
        <v>890400</v>
      </c>
      <c r="AO115" s="9">
        <v>17808</v>
      </c>
    </row>
    <row r="116" spans="1:41" x14ac:dyDescent="0.25">
      <c r="A116">
        <v>115</v>
      </c>
      <c r="B116" t="s">
        <v>1305</v>
      </c>
      <c r="C116" t="s">
        <v>2009</v>
      </c>
      <c r="D116" t="s">
        <v>46</v>
      </c>
      <c r="E116" t="s">
        <v>47</v>
      </c>
      <c r="F116" t="s">
        <v>48</v>
      </c>
      <c r="G116" t="s">
        <v>182</v>
      </c>
      <c r="H116" t="s">
        <v>2010</v>
      </c>
      <c r="I116" t="s">
        <v>2011</v>
      </c>
      <c r="J116">
        <v>2</v>
      </c>
      <c r="K116">
        <v>21.97</v>
      </c>
      <c r="L116" t="s">
        <v>2012</v>
      </c>
      <c r="M116" t="s">
        <v>2013</v>
      </c>
      <c r="N116" t="s">
        <v>265</v>
      </c>
      <c r="O116" t="s">
        <v>2014</v>
      </c>
      <c r="P116" t="s">
        <v>2015</v>
      </c>
      <c r="Q116" t="s">
        <v>2016</v>
      </c>
      <c r="R116" t="s">
        <v>65</v>
      </c>
      <c r="S116" t="s">
        <v>2017</v>
      </c>
      <c r="T116">
        <v>1211000</v>
      </c>
      <c r="U116">
        <v>1730000</v>
      </c>
      <c r="V116" t="s">
        <v>2018</v>
      </c>
      <c r="W116" t="s">
        <v>1090</v>
      </c>
      <c r="X116" t="s">
        <v>2019</v>
      </c>
      <c r="Y116" t="s">
        <v>2020</v>
      </c>
      <c r="Z116" t="s">
        <v>64</v>
      </c>
      <c r="AA116" t="s">
        <v>65</v>
      </c>
      <c r="AB116" t="s">
        <v>642</v>
      </c>
      <c r="AC116" t="s">
        <v>67</v>
      </c>
      <c r="AD116" t="s">
        <v>1094</v>
      </c>
      <c r="AE116" t="s">
        <v>1127</v>
      </c>
      <c r="AF116" t="s">
        <v>1485</v>
      </c>
      <c r="AG116" t="s">
        <v>2021</v>
      </c>
      <c r="AH116">
        <v>7</v>
      </c>
      <c r="AI116" t="s">
        <v>237</v>
      </c>
      <c r="AJ116" t="s">
        <v>2022</v>
      </c>
      <c r="AK116" t="s">
        <v>1097</v>
      </c>
      <c r="AM116" t="s">
        <v>75</v>
      </c>
      <c r="AN116">
        <v>1384000</v>
      </c>
      <c r="AO116" s="9">
        <v>27680</v>
      </c>
    </row>
    <row r="117" spans="1:41" x14ac:dyDescent="0.25">
      <c r="A117">
        <v>116</v>
      </c>
      <c r="B117" t="s">
        <v>1305</v>
      </c>
      <c r="C117" t="s">
        <v>2023</v>
      </c>
      <c r="D117" t="s">
        <v>46</v>
      </c>
      <c r="E117" t="s">
        <v>47</v>
      </c>
      <c r="F117" t="s">
        <v>48</v>
      </c>
      <c r="G117" t="s">
        <v>182</v>
      </c>
      <c r="H117" t="s">
        <v>2024</v>
      </c>
      <c r="I117" t="s">
        <v>2025</v>
      </c>
      <c r="J117">
        <v>2</v>
      </c>
      <c r="K117">
        <v>25.8</v>
      </c>
      <c r="L117" t="s">
        <v>2026</v>
      </c>
      <c r="M117" t="s">
        <v>2027</v>
      </c>
      <c r="N117" t="s">
        <v>187</v>
      </c>
      <c r="O117" t="s">
        <v>2028</v>
      </c>
      <c r="P117" t="s">
        <v>65</v>
      </c>
      <c r="Q117" t="s">
        <v>2029</v>
      </c>
      <c r="R117" t="s">
        <v>2030</v>
      </c>
      <c r="S117" t="s">
        <v>2031</v>
      </c>
      <c r="T117">
        <v>1281000</v>
      </c>
      <c r="U117">
        <v>1830000</v>
      </c>
      <c r="V117" t="s">
        <v>2032</v>
      </c>
      <c r="W117" t="s">
        <v>1090</v>
      </c>
      <c r="X117" t="s">
        <v>2033</v>
      </c>
      <c r="Y117" t="s">
        <v>2034</v>
      </c>
      <c r="Z117" t="s">
        <v>64</v>
      </c>
      <c r="AA117" t="s">
        <v>65</v>
      </c>
      <c r="AB117" t="s">
        <v>195</v>
      </c>
      <c r="AC117" t="s">
        <v>67</v>
      </c>
      <c r="AD117" t="s">
        <v>697</v>
      </c>
      <c r="AE117" t="s">
        <v>69</v>
      </c>
      <c r="AF117" t="s">
        <v>1007</v>
      </c>
      <c r="AG117" t="s">
        <v>2035</v>
      </c>
      <c r="AH117">
        <v>5</v>
      </c>
      <c r="AI117" t="s">
        <v>198</v>
      </c>
      <c r="AJ117" t="s">
        <v>2036</v>
      </c>
      <c r="AK117" t="s">
        <v>398</v>
      </c>
      <c r="AM117" t="s">
        <v>75</v>
      </c>
      <c r="AN117">
        <v>1464000</v>
      </c>
      <c r="AO117" s="9">
        <v>29280</v>
      </c>
    </row>
    <row r="118" spans="1:41" x14ac:dyDescent="0.25">
      <c r="A118">
        <v>117</v>
      </c>
      <c r="B118" t="s">
        <v>1305</v>
      </c>
      <c r="C118" t="s">
        <v>2037</v>
      </c>
      <c r="D118" t="s">
        <v>77</v>
      </c>
      <c r="E118" t="s">
        <v>47</v>
      </c>
      <c r="F118" t="s">
        <v>48</v>
      </c>
      <c r="G118" t="s">
        <v>2038</v>
      </c>
      <c r="H118" t="s">
        <v>2039</v>
      </c>
      <c r="I118" t="s">
        <v>2040</v>
      </c>
      <c r="J118">
        <v>2</v>
      </c>
      <c r="K118">
        <v>21.86</v>
      </c>
      <c r="L118" t="s">
        <v>2041</v>
      </c>
      <c r="M118" t="s">
        <v>2042</v>
      </c>
      <c r="N118" t="s">
        <v>187</v>
      </c>
      <c r="O118" t="s">
        <v>2043</v>
      </c>
      <c r="P118" t="s">
        <v>2044</v>
      </c>
      <c r="Q118" t="s">
        <v>2044</v>
      </c>
      <c r="R118" t="s">
        <v>2044</v>
      </c>
      <c r="S118" t="s">
        <v>2045</v>
      </c>
      <c r="T118">
        <v>1320000</v>
      </c>
      <c r="U118">
        <v>1760000</v>
      </c>
      <c r="V118" t="s">
        <v>2046</v>
      </c>
      <c r="W118" t="s">
        <v>1090</v>
      </c>
      <c r="X118" t="s">
        <v>2047</v>
      </c>
      <c r="Y118" t="s">
        <v>2048</v>
      </c>
      <c r="Z118" t="s">
        <v>64</v>
      </c>
      <c r="AA118" t="s">
        <v>65</v>
      </c>
      <c r="AB118" t="s">
        <v>1484</v>
      </c>
      <c r="AC118" t="s">
        <v>67</v>
      </c>
      <c r="AD118" t="s">
        <v>2049</v>
      </c>
      <c r="AE118" t="s">
        <v>1127</v>
      </c>
      <c r="AF118" t="s">
        <v>1162</v>
      </c>
      <c r="AG118" t="s">
        <v>2050</v>
      </c>
      <c r="AH118">
        <v>5</v>
      </c>
      <c r="AI118" t="s">
        <v>237</v>
      </c>
      <c r="AJ118" t="s">
        <v>2051</v>
      </c>
      <c r="AK118" t="s">
        <v>398</v>
      </c>
      <c r="AM118" t="s">
        <v>75</v>
      </c>
      <c r="AN118">
        <v>1408000</v>
      </c>
      <c r="AO118" s="9">
        <v>28160</v>
      </c>
    </row>
    <row r="119" spans="1:41" x14ac:dyDescent="0.25">
      <c r="A119">
        <v>118</v>
      </c>
      <c r="B119" t="s">
        <v>1305</v>
      </c>
      <c r="C119" t="s">
        <v>2052</v>
      </c>
      <c r="D119" t="s">
        <v>1489</v>
      </c>
      <c r="E119" t="s">
        <v>47</v>
      </c>
      <c r="F119" t="s">
        <v>48</v>
      </c>
      <c r="G119" t="s">
        <v>1323</v>
      </c>
      <c r="H119" t="s">
        <v>2053</v>
      </c>
      <c r="I119" t="s">
        <v>2054</v>
      </c>
      <c r="J119">
        <v>2</v>
      </c>
      <c r="K119">
        <v>21.8</v>
      </c>
      <c r="L119" t="s">
        <v>2055</v>
      </c>
      <c r="M119" t="s">
        <v>2056</v>
      </c>
      <c r="N119" t="s">
        <v>54</v>
      </c>
      <c r="O119" t="s">
        <v>2057</v>
      </c>
      <c r="P119" t="s">
        <v>2058</v>
      </c>
      <c r="Q119" t="s">
        <v>2059</v>
      </c>
      <c r="R119" t="s">
        <v>2058</v>
      </c>
      <c r="S119" t="s">
        <v>2060</v>
      </c>
      <c r="T119">
        <v>1801800</v>
      </c>
      <c r="U119">
        <v>2574000</v>
      </c>
      <c r="V119" t="s">
        <v>2061</v>
      </c>
      <c r="W119" t="s">
        <v>1523</v>
      </c>
      <c r="X119" t="s">
        <v>2062</v>
      </c>
      <c r="Y119" t="s">
        <v>2063</v>
      </c>
      <c r="Z119" t="s">
        <v>64</v>
      </c>
      <c r="AA119" t="s">
        <v>65</v>
      </c>
      <c r="AB119" t="s">
        <v>2064</v>
      </c>
      <c r="AC119" t="s">
        <v>151</v>
      </c>
      <c r="AD119" t="s">
        <v>2065</v>
      </c>
      <c r="AE119" t="s">
        <v>1253</v>
      </c>
      <c r="AF119" t="s">
        <v>1254</v>
      </c>
      <c r="AG119" t="s">
        <v>2066</v>
      </c>
      <c r="AH119">
        <v>5</v>
      </c>
      <c r="AI119" t="s">
        <v>198</v>
      </c>
      <c r="AJ119" t="s">
        <v>2067</v>
      </c>
      <c r="AK119" t="s">
        <v>2068</v>
      </c>
      <c r="AM119" t="s">
        <v>75</v>
      </c>
      <c r="AN119">
        <v>1930500</v>
      </c>
      <c r="AO119" s="9">
        <v>38610</v>
      </c>
    </row>
    <row r="120" spans="1:41" x14ac:dyDescent="0.25">
      <c r="A120">
        <v>119</v>
      </c>
      <c r="B120" t="s">
        <v>1305</v>
      </c>
      <c r="C120" t="s">
        <v>2069</v>
      </c>
      <c r="D120" t="s">
        <v>77</v>
      </c>
      <c r="E120" t="s">
        <v>47</v>
      </c>
      <c r="F120" t="s">
        <v>48</v>
      </c>
      <c r="G120" t="s">
        <v>2070</v>
      </c>
      <c r="H120" t="s">
        <v>2071</v>
      </c>
      <c r="I120" t="s">
        <v>2072</v>
      </c>
      <c r="J120">
        <v>2</v>
      </c>
      <c r="K120">
        <v>21.86</v>
      </c>
      <c r="L120" t="s">
        <v>2073</v>
      </c>
      <c r="M120" t="s">
        <v>2074</v>
      </c>
      <c r="N120" t="s">
        <v>187</v>
      </c>
      <c r="O120" t="s">
        <v>2075</v>
      </c>
      <c r="P120" t="s">
        <v>2076</v>
      </c>
      <c r="Q120" t="s">
        <v>2076</v>
      </c>
      <c r="R120" t="s">
        <v>2076</v>
      </c>
      <c r="S120" t="s">
        <v>2077</v>
      </c>
      <c r="T120">
        <v>2462250</v>
      </c>
      <c r="U120">
        <v>3283000</v>
      </c>
      <c r="V120" t="s">
        <v>2078</v>
      </c>
      <c r="W120" t="s">
        <v>1090</v>
      </c>
      <c r="X120" t="s">
        <v>2079</v>
      </c>
      <c r="Y120" t="s">
        <v>2080</v>
      </c>
      <c r="Z120" t="s">
        <v>64</v>
      </c>
      <c r="AA120" t="s">
        <v>65</v>
      </c>
      <c r="AB120" t="s">
        <v>378</v>
      </c>
      <c r="AC120" t="s">
        <v>67</v>
      </c>
      <c r="AD120" t="s">
        <v>1097</v>
      </c>
      <c r="AE120" t="s">
        <v>1127</v>
      </c>
      <c r="AF120" t="s">
        <v>1485</v>
      </c>
      <c r="AG120" t="s">
        <v>2081</v>
      </c>
      <c r="AH120">
        <v>7</v>
      </c>
      <c r="AI120" t="s">
        <v>237</v>
      </c>
      <c r="AJ120" t="s">
        <v>2082</v>
      </c>
      <c r="AK120" t="s">
        <v>398</v>
      </c>
      <c r="AM120" t="s">
        <v>75</v>
      </c>
      <c r="AN120">
        <v>2626400</v>
      </c>
      <c r="AO120" s="9">
        <v>52528</v>
      </c>
    </row>
    <row r="121" spans="1:41" x14ac:dyDescent="0.25">
      <c r="A121">
        <v>120</v>
      </c>
      <c r="B121" t="s">
        <v>1305</v>
      </c>
      <c r="C121" t="s">
        <v>2083</v>
      </c>
      <c r="D121" t="s">
        <v>241</v>
      </c>
      <c r="E121" t="s">
        <v>47</v>
      </c>
      <c r="F121" t="s">
        <v>48</v>
      </c>
      <c r="G121" t="s">
        <v>2084</v>
      </c>
      <c r="H121" t="s">
        <v>2085</v>
      </c>
      <c r="I121" t="s">
        <v>2086</v>
      </c>
      <c r="J121">
        <v>2</v>
      </c>
      <c r="K121">
        <v>19.87</v>
      </c>
      <c r="L121" t="s">
        <v>2087</v>
      </c>
      <c r="M121" t="s">
        <v>2088</v>
      </c>
      <c r="N121" t="s">
        <v>83</v>
      </c>
      <c r="O121" t="s">
        <v>2089</v>
      </c>
      <c r="P121" t="s">
        <v>2090</v>
      </c>
      <c r="Q121" t="s">
        <v>2091</v>
      </c>
      <c r="R121" t="s">
        <v>2090</v>
      </c>
      <c r="S121" t="s">
        <v>2092</v>
      </c>
      <c r="T121">
        <v>2615600</v>
      </c>
      <c r="U121">
        <v>4024000</v>
      </c>
      <c r="V121" t="s">
        <v>2093</v>
      </c>
      <c r="W121" t="s">
        <v>1090</v>
      </c>
      <c r="X121" t="s">
        <v>2094</v>
      </c>
      <c r="Y121" t="s">
        <v>2095</v>
      </c>
      <c r="Z121" t="s">
        <v>64</v>
      </c>
      <c r="AA121" t="s">
        <v>65</v>
      </c>
      <c r="AB121" t="s">
        <v>2096</v>
      </c>
      <c r="AC121" t="s">
        <v>67</v>
      </c>
      <c r="AD121" t="s">
        <v>255</v>
      </c>
      <c r="AE121" t="s">
        <v>1127</v>
      </c>
      <c r="AF121" t="s">
        <v>1162</v>
      </c>
      <c r="AG121" t="s">
        <v>2097</v>
      </c>
      <c r="AH121">
        <v>5</v>
      </c>
      <c r="AI121" t="s">
        <v>237</v>
      </c>
      <c r="AJ121" t="s">
        <v>2098</v>
      </c>
      <c r="AK121" t="s">
        <v>398</v>
      </c>
      <c r="AM121" t="s">
        <v>75</v>
      </c>
      <c r="AN121">
        <v>3219200</v>
      </c>
      <c r="AO121" s="9">
        <v>64384</v>
      </c>
    </row>
    <row r="122" spans="1:41" x14ac:dyDescent="0.25">
      <c r="A122">
        <v>121</v>
      </c>
      <c r="B122" t="s">
        <v>1305</v>
      </c>
      <c r="C122" t="s">
        <v>2099</v>
      </c>
      <c r="D122" t="s">
        <v>77</v>
      </c>
      <c r="E122" t="s">
        <v>47</v>
      </c>
      <c r="F122" t="s">
        <v>48</v>
      </c>
      <c r="G122" t="s">
        <v>2100</v>
      </c>
      <c r="H122" t="s">
        <v>2101</v>
      </c>
      <c r="I122" t="s">
        <v>2102</v>
      </c>
      <c r="J122">
        <v>2</v>
      </c>
      <c r="K122">
        <v>21.86</v>
      </c>
      <c r="L122" t="s">
        <v>2103</v>
      </c>
      <c r="M122" t="s">
        <v>2104</v>
      </c>
      <c r="N122" t="s">
        <v>187</v>
      </c>
      <c r="O122" t="s">
        <v>2105</v>
      </c>
      <c r="P122" t="s">
        <v>2106</v>
      </c>
      <c r="Q122" t="s">
        <v>2106</v>
      </c>
      <c r="R122" t="s">
        <v>2106</v>
      </c>
      <c r="S122" t="s">
        <v>2107</v>
      </c>
      <c r="T122">
        <v>2808400</v>
      </c>
      <c r="U122">
        <v>4012000</v>
      </c>
      <c r="V122" t="s">
        <v>2108</v>
      </c>
      <c r="W122" t="s">
        <v>1090</v>
      </c>
      <c r="X122" t="s">
        <v>2109</v>
      </c>
      <c r="Y122" t="s">
        <v>2110</v>
      </c>
      <c r="Z122" t="s">
        <v>64</v>
      </c>
      <c r="AA122" t="s">
        <v>65</v>
      </c>
      <c r="AB122" t="s">
        <v>1959</v>
      </c>
      <c r="AC122" t="s">
        <v>67</v>
      </c>
      <c r="AD122" t="s">
        <v>1097</v>
      </c>
      <c r="AE122" t="s">
        <v>1127</v>
      </c>
      <c r="AF122" t="s">
        <v>1162</v>
      </c>
      <c r="AG122" t="s">
        <v>2111</v>
      </c>
      <c r="AH122">
        <v>5</v>
      </c>
      <c r="AI122" t="s">
        <v>237</v>
      </c>
      <c r="AJ122" t="s">
        <v>2112</v>
      </c>
      <c r="AK122" t="s">
        <v>398</v>
      </c>
      <c r="AM122" t="s">
        <v>75</v>
      </c>
      <c r="AN122">
        <v>3209600</v>
      </c>
      <c r="AO122" s="9">
        <v>64192</v>
      </c>
    </row>
    <row r="123" spans="1:41" x14ac:dyDescent="0.25">
      <c r="A123">
        <v>122</v>
      </c>
      <c r="B123" t="s">
        <v>1305</v>
      </c>
      <c r="C123" t="s">
        <v>2113</v>
      </c>
      <c r="D123" t="s">
        <v>77</v>
      </c>
      <c r="E123" t="s">
        <v>47</v>
      </c>
      <c r="F123" t="s">
        <v>48</v>
      </c>
      <c r="G123" t="s">
        <v>1717</v>
      </c>
      <c r="H123" t="s">
        <v>2114</v>
      </c>
      <c r="I123" t="s">
        <v>2115</v>
      </c>
      <c r="J123">
        <v>1.75</v>
      </c>
      <c r="K123">
        <v>21.62</v>
      </c>
      <c r="L123" t="s">
        <v>2116</v>
      </c>
      <c r="M123" t="s">
        <v>2117</v>
      </c>
      <c r="N123" t="s">
        <v>187</v>
      </c>
      <c r="O123" t="s">
        <v>2118</v>
      </c>
      <c r="P123" t="s">
        <v>65</v>
      </c>
      <c r="Q123" t="s">
        <v>2119</v>
      </c>
      <c r="R123" t="s">
        <v>2120</v>
      </c>
      <c r="S123" t="s">
        <v>2121</v>
      </c>
      <c r="T123">
        <v>1365000</v>
      </c>
      <c r="U123">
        <v>2100000</v>
      </c>
      <c r="V123" t="s">
        <v>2122</v>
      </c>
      <c r="W123" t="s">
        <v>1071</v>
      </c>
      <c r="X123" t="s">
        <v>2123</v>
      </c>
      <c r="Y123" t="s">
        <v>2124</v>
      </c>
      <c r="Z123" t="s">
        <v>93</v>
      </c>
      <c r="AA123" t="s">
        <v>2125</v>
      </c>
      <c r="AB123" t="s">
        <v>1696</v>
      </c>
      <c r="AC123" t="s">
        <v>175</v>
      </c>
      <c r="AD123" t="s">
        <v>971</v>
      </c>
      <c r="AE123" t="s">
        <v>1200</v>
      </c>
      <c r="AF123" t="s">
        <v>1201</v>
      </c>
      <c r="AG123" t="s">
        <v>2126</v>
      </c>
      <c r="AH123">
        <v>5</v>
      </c>
      <c r="AI123" t="s">
        <v>100</v>
      </c>
      <c r="AJ123" t="s">
        <v>2127</v>
      </c>
      <c r="AK123" t="s">
        <v>1035</v>
      </c>
      <c r="AM123" t="s">
        <v>102</v>
      </c>
      <c r="AN123">
        <v>1785000</v>
      </c>
      <c r="AO123" s="9">
        <v>31237.500000000004</v>
      </c>
    </row>
    <row r="124" spans="1:41" x14ac:dyDescent="0.25">
      <c r="A124">
        <v>123</v>
      </c>
      <c r="B124" t="s">
        <v>1305</v>
      </c>
      <c r="C124" t="s">
        <v>2128</v>
      </c>
      <c r="D124" t="s">
        <v>241</v>
      </c>
      <c r="E124" t="s">
        <v>47</v>
      </c>
      <c r="F124" t="s">
        <v>48</v>
      </c>
      <c r="G124" t="s">
        <v>1205</v>
      </c>
      <c r="H124" t="s">
        <v>2129</v>
      </c>
      <c r="I124" t="s">
        <v>2130</v>
      </c>
      <c r="J124">
        <v>2</v>
      </c>
      <c r="K124">
        <v>26.44</v>
      </c>
      <c r="L124" t="s">
        <v>2131</v>
      </c>
      <c r="M124" t="s">
        <v>2132</v>
      </c>
      <c r="N124" t="s">
        <v>187</v>
      </c>
      <c r="O124" t="s">
        <v>2133</v>
      </c>
      <c r="P124" t="s">
        <v>65</v>
      </c>
      <c r="Q124" t="s">
        <v>2134</v>
      </c>
      <c r="R124" t="s">
        <v>2135</v>
      </c>
      <c r="S124" t="s">
        <v>2136</v>
      </c>
      <c r="T124">
        <v>2330000</v>
      </c>
      <c r="U124">
        <v>5825000</v>
      </c>
      <c r="V124" t="s">
        <v>2137</v>
      </c>
      <c r="W124" t="s">
        <v>1071</v>
      </c>
      <c r="X124" t="s">
        <v>2138</v>
      </c>
      <c r="Y124" t="s">
        <v>2139</v>
      </c>
      <c r="Z124" t="s">
        <v>64</v>
      </c>
      <c r="AA124" t="s">
        <v>65</v>
      </c>
      <c r="AB124" t="s">
        <v>116</v>
      </c>
      <c r="AC124" t="s">
        <v>531</v>
      </c>
      <c r="AD124" t="s">
        <v>2140</v>
      </c>
      <c r="AE124" t="s">
        <v>453</v>
      </c>
      <c r="AF124" t="s">
        <v>1430</v>
      </c>
      <c r="AG124" t="s">
        <v>2141</v>
      </c>
      <c r="AH124">
        <v>3</v>
      </c>
      <c r="AI124" t="s">
        <v>198</v>
      </c>
      <c r="AJ124" t="s">
        <v>2142</v>
      </c>
      <c r="AK124" t="s">
        <v>1035</v>
      </c>
      <c r="AM124" t="s">
        <v>75</v>
      </c>
      <c r="AN124">
        <v>4951250</v>
      </c>
      <c r="AO124" s="9">
        <v>99025</v>
      </c>
    </row>
    <row r="125" spans="1:41" x14ac:dyDescent="0.25">
      <c r="A125">
        <v>124</v>
      </c>
      <c r="B125" t="s">
        <v>1305</v>
      </c>
      <c r="C125" t="s">
        <v>2143</v>
      </c>
      <c r="D125" t="s">
        <v>277</v>
      </c>
      <c r="E125" t="s">
        <v>47</v>
      </c>
      <c r="F125" t="s">
        <v>48</v>
      </c>
      <c r="G125" t="s">
        <v>2144</v>
      </c>
      <c r="H125" t="s">
        <v>2145</v>
      </c>
      <c r="I125" t="s">
        <v>2146</v>
      </c>
      <c r="J125">
        <v>1.75</v>
      </c>
      <c r="K125">
        <v>22.37</v>
      </c>
      <c r="L125" t="s">
        <v>2147</v>
      </c>
      <c r="M125" t="s">
        <v>2148</v>
      </c>
      <c r="N125" t="s">
        <v>187</v>
      </c>
      <c r="O125" t="s">
        <v>2149</v>
      </c>
      <c r="P125" t="s">
        <v>2150</v>
      </c>
      <c r="Q125" t="s">
        <v>2150</v>
      </c>
      <c r="R125" t="s">
        <v>2150</v>
      </c>
      <c r="S125" t="s">
        <v>2151</v>
      </c>
      <c r="T125">
        <v>2654600</v>
      </c>
      <c r="U125">
        <v>4084000</v>
      </c>
      <c r="V125" t="s">
        <v>2152</v>
      </c>
      <c r="W125" t="s">
        <v>2153</v>
      </c>
      <c r="X125" t="s">
        <v>2154</v>
      </c>
      <c r="Y125" t="s">
        <v>2155</v>
      </c>
      <c r="Z125" t="s">
        <v>64</v>
      </c>
      <c r="AA125" t="s">
        <v>65</v>
      </c>
      <c r="AB125" t="s">
        <v>195</v>
      </c>
      <c r="AC125" t="s">
        <v>436</v>
      </c>
      <c r="AD125" s="2">
        <v>45177</v>
      </c>
      <c r="AE125" t="s">
        <v>1648</v>
      </c>
      <c r="AF125" t="s">
        <v>1254</v>
      </c>
      <c r="AG125" t="s">
        <v>2156</v>
      </c>
      <c r="AH125">
        <v>2</v>
      </c>
      <c r="AI125" t="s">
        <v>237</v>
      </c>
      <c r="AJ125" t="s">
        <v>2157</v>
      </c>
      <c r="AK125" t="s">
        <v>1945</v>
      </c>
      <c r="AM125" t="s">
        <v>102</v>
      </c>
      <c r="AN125">
        <v>3675600</v>
      </c>
      <c r="AO125" s="9">
        <v>64323.000000000007</v>
      </c>
    </row>
    <row r="126" spans="1:41" x14ac:dyDescent="0.25">
      <c r="A126">
        <v>125</v>
      </c>
      <c r="B126" t="s">
        <v>1305</v>
      </c>
      <c r="C126" t="s">
        <v>2158</v>
      </c>
      <c r="D126" t="s">
        <v>277</v>
      </c>
      <c r="E126" t="s">
        <v>47</v>
      </c>
      <c r="F126" t="s">
        <v>48</v>
      </c>
      <c r="G126" t="s">
        <v>1717</v>
      </c>
      <c r="H126" t="s">
        <v>2159</v>
      </c>
      <c r="I126" t="s">
        <v>2160</v>
      </c>
      <c r="J126">
        <v>1.75</v>
      </c>
      <c r="K126">
        <v>22.87</v>
      </c>
      <c r="L126" t="s">
        <v>2161</v>
      </c>
      <c r="M126" t="s">
        <v>2162</v>
      </c>
      <c r="N126" t="s">
        <v>187</v>
      </c>
      <c r="O126" t="s">
        <v>2163</v>
      </c>
      <c r="P126" t="s">
        <v>65</v>
      </c>
      <c r="Q126" t="s">
        <v>2164</v>
      </c>
      <c r="R126" t="s">
        <v>65</v>
      </c>
      <c r="S126" t="s">
        <v>2165</v>
      </c>
      <c r="T126">
        <v>1300000</v>
      </c>
      <c r="U126">
        <v>2000000</v>
      </c>
      <c r="V126" t="s">
        <v>2166</v>
      </c>
      <c r="W126" t="s">
        <v>2153</v>
      </c>
      <c r="X126" t="s">
        <v>2167</v>
      </c>
      <c r="Y126" t="s">
        <v>2168</v>
      </c>
      <c r="Z126" t="s">
        <v>93</v>
      </c>
      <c r="AA126" t="s">
        <v>2169</v>
      </c>
      <c r="AB126" t="s">
        <v>416</v>
      </c>
      <c r="AC126" t="s">
        <v>96</v>
      </c>
      <c r="AD126" s="2">
        <v>45177</v>
      </c>
      <c r="AE126" t="s">
        <v>1648</v>
      </c>
      <c r="AF126" t="s">
        <v>1485</v>
      </c>
      <c r="AG126" t="s">
        <v>2170</v>
      </c>
      <c r="AH126">
        <v>5</v>
      </c>
      <c r="AI126" t="s">
        <v>237</v>
      </c>
      <c r="AJ126" t="s">
        <v>2171</v>
      </c>
      <c r="AK126" t="s">
        <v>1945</v>
      </c>
      <c r="AM126" t="s">
        <v>102</v>
      </c>
      <c r="AN126">
        <v>1800000</v>
      </c>
      <c r="AO126" s="9">
        <v>31500.000000000004</v>
      </c>
    </row>
    <row r="127" spans="1:41" x14ac:dyDescent="0.25">
      <c r="A127">
        <v>126</v>
      </c>
      <c r="B127" t="s">
        <v>1305</v>
      </c>
      <c r="C127" t="s">
        <v>2172</v>
      </c>
      <c r="D127" t="s">
        <v>77</v>
      </c>
      <c r="E127" t="s">
        <v>47</v>
      </c>
      <c r="F127" t="s">
        <v>48</v>
      </c>
      <c r="G127" t="s">
        <v>1080</v>
      </c>
      <c r="H127" t="s">
        <v>2173</v>
      </c>
      <c r="I127" t="s">
        <v>2174</v>
      </c>
      <c r="J127">
        <v>1.75</v>
      </c>
      <c r="K127">
        <v>21.87</v>
      </c>
      <c r="L127" t="s">
        <v>2175</v>
      </c>
      <c r="M127" t="s">
        <v>2176</v>
      </c>
      <c r="N127" t="s">
        <v>187</v>
      </c>
      <c r="O127" t="s">
        <v>2177</v>
      </c>
      <c r="P127" t="s">
        <v>2178</v>
      </c>
      <c r="Q127" t="s">
        <v>2178</v>
      </c>
      <c r="R127" t="s">
        <v>2178</v>
      </c>
      <c r="S127" t="s">
        <v>2179</v>
      </c>
      <c r="T127">
        <v>2965620</v>
      </c>
      <c r="U127">
        <v>21183000</v>
      </c>
      <c r="V127" t="s">
        <v>2180</v>
      </c>
      <c r="W127" t="s">
        <v>2153</v>
      </c>
      <c r="X127" t="s">
        <v>2181</v>
      </c>
      <c r="Y127" t="s">
        <v>2182</v>
      </c>
      <c r="Z127" t="s">
        <v>64</v>
      </c>
      <c r="AA127" t="s">
        <v>65</v>
      </c>
      <c r="AB127" t="s">
        <v>2183</v>
      </c>
      <c r="AC127" t="s">
        <v>436</v>
      </c>
      <c r="AD127" s="2">
        <v>45176</v>
      </c>
      <c r="AE127" t="s">
        <v>1648</v>
      </c>
      <c r="AF127" t="s">
        <v>1162</v>
      </c>
      <c r="AG127" t="s">
        <v>2184</v>
      </c>
      <c r="AH127">
        <v>3</v>
      </c>
      <c r="AI127" t="s">
        <v>237</v>
      </c>
      <c r="AJ127" t="s">
        <v>2185</v>
      </c>
      <c r="AK127" t="s">
        <v>1978</v>
      </c>
      <c r="AM127" t="s">
        <v>102</v>
      </c>
      <c r="AN127">
        <v>19064700</v>
      </c>
      <c r="AO127" s="9">
        <v>333632.25000000006</v>
      </c>
    </row>
    <row r="128" spans="1:41" x14ac:dyDescent="0.25">
      <c r="A128">
        <v>127</v>
      </c>
      <c r="B128" t="s">
        <v>1305</v>
      </c>
      <c r="C128" t="s">
        <v>2186</v>
      </c>
      <c r="D128" t="s">
        <v>46</v>
      </c>
      <c r="E128" t="s">
        <v>47</v>
      </c>
      <c r="F128" t="s">
        <v>48</v>
      </c>
      <c r="G128" t="s">
        <v>182</v>
      </c>
      <c r="H128" t="s">
        <v>2187</v>
      </c>
      <c r="I128" t="s">
        <v>2188</v>
      </c>
      <c r="J128">
        <v>2</v>
      </c>
      <c r="K128">
        <v>22.37</v>
      </c>
      <c r="L128" t="s">
        <v>2189</v>
      </c>
      <c r="M128" t="s">
        <v>2190</v>
      </c>
      <c r="N128" t="s">
        <v>83</v>
      </c>
      <c r="O128" t="s">
        <v>2191</v>
      </c>
      <c r="P128" t="s">
        <v>65</v>
      </c>
      <c r="Q128" t="s">
        <v>2192</v>
      </c>
      <c r="R128" t="s">
        <v>65</v>
      </c>
      <c r="S128" t="s">
        <v>2193</v>
      </c>
      <c r="T128">
        <v>2054500</v>
      </c>
      <c r="U128">
        <v>2935000</v>
      </c>
      <c r="V128" t="s">
        <v>2194</v>
      </c>
      <c r="W128" t="s">
        <v>2153</v>
      </c>
      <c r="X128" t="s">
        <v>2195</v>
      </c>
      <c r="Y128" t="s">
        <v>2196</v>
      </c>
      <c r="Z128" t="s">
        <v>64</v>
      </c>
      <c r="AA128" t="s">
        <v>65</v>
      </c>
      <c r="AB128" t="s">
        <v>1696</v>
      </c>
      <c r="AC128" t="s">
        <v>436</v>
      </c>
      <c r="AD128" s="2">
        <v>45145</v>
      </c>
      <c r="AE128" t="s">
        <v>1648</v>
      </c>
      <c r="AF128" t="s">
        <v>1254</v>
      </c>
      <c r="AG128" t="s">
        <v>2197</v>
      </c>
      <c r="AH128">
        <v>2</v>
      </c>
      <c r="AI128" t="s">
        <v>100</v>
      </c>
      <c r="AJ128" t="s">
        <v>2198</v>
      </c>
      <c r="AK128" t="s">
        <v>1071</v>
      </c>
      <c r="AM128" t="s">
        <v>75</v>
      </c>
      <c r="AN128">
        <v>2641500</v>
      </c>
      <c r="AO128" s="9">
        <v>52830</v>
      </c>
    </row>
    <row r="129" spans="1:43" x14ac:dyDescent="0.25">
      <c r="A129">
        <v>128</v>
      </c>
      <c r="B129" t="s">
        <v>1305</v>
      </c>
      <c r="C129" t="s">
        <v>2199</v>
      </c>
      <c r="D129" t="s">
        <v>136</v>
      </c>
      <c r="E129" t="s">
        <v>47</v>
      </c>
      <c r="F129" t="s">
        <v>48</v>
      </c>
      <c r="G129" t="s">
        <v>2200</v>
      </c>
      <c r="H129" t="s">
        <v>2201</v>
      </c>
      <c r="I129" t="s">
        <v>2202</v>
      </c>
      <c r="J129">
        <v>2</v>
      </c>
      <c r="K129">
        <v>26.93</v>
      </c>
      <c r="L129" t="s">
        <v>2203</v>
      </c>
      <c r="M129" t="s">
        <v>2204</v>
      </c>
      <c r="N129" t="s">
        <v>2205</v>
      </c>
      <c r="O129" t="s">
        <v>2206</v>
      </c>
      <c r="P129" t="s">
        <v>2207</v>
      </c>
      <c r="Q129" t="s">
        <v>2207</v>
      </c>
      <c r="R129" t="s">
        <v>2207</v>
      </c>
      <c r="S129" t="s">
        <v>2208</v>
      </c>
      <c r="T129">
        <v>1118400</v>
      </c>
      <c r="U129">
        <v>1398000</v>
      </c>
      <c r="V129" t="s">
        <v>2209</v>
      </c>
      <c r="W129" t="s">
        <v>398</v>
      </c>
      <c r="X129" t="s">
        <v>2210</v>
      </c>
      <c r="Y129" t="s">
        <v>2211</v>
      </c>
      <c r="Z129" t="s">
        <v>64</v>
      </c>
      <c r="AA129" t="s">
        <v>65</v>
      </c>
      <c r="AB129" t="s">
        <v>2212</v>
      </c>
      <c r="AC129" t="s">
        <v>151</v>
      </c>
      <c r="AD129" t="s">
        <v>2065</v>
      </c>
      <c r="AE129" t="s">
        <v>288</v>
      </c>
      <c r="AF129" t="s">
        <v>2213</v>
      </c>
      <c r="AG129" t="s">
        <v>2214</v>
      </c>
      <c r="AH129">
        <v>5</v>
      </c>
      <c r="AI129" t="s">
        <v>237</v>
      </c>
      <c r="AJ129" t="s">
        <v>2215</v>
      </c>
      <c r="AK129" t="s">
        <v>1542</v>
      </c>
      <c r="AM129" t="s">
        <v>75</v>
      </c>
      <c r="AN129">
        <v>1048500</v>
      </c>
      <c r="AO129" s="9">
        <v>20970</v>
      </c>
    </row>
    <row r="130" spans="1:43" x14ac:dyDescent="0.25">
      <c r="A130">
        <v>129</v>
      </c>
      <c r="B130" t="s">
        <v>1305</v>
      </c>
      <c r="C130" t="s">
        <v>2216</v>
      </c>
      <c r="D130" t="s">
        <v>136</v>
      </c>
      <c r="E130" t="s">
        <v>47</v>
      </c>
      <c r="F130" t="s">
        <v>48</v>
      </c>
      <c r="G130" t="s">
        <v>1323</v>
      </c>
      <c r="H130" t="s">
        <v>2217</v>
      </c>
      <c r="I130" t="s">
        <v>2218</v>
      </c>
      <c r="J130">
        <v>2</v>
      </c>
      <c r="K130">
        <v>21.8</v>
      </c>
      <c r="L130" t="s">
        <v>2219</v>
      </c>
      <c r="M130" t="s">
        <v>2220</v>
      </c>
      <c r="N130" t="s">
        <v>54</v>
      </c>
      <c r="O130" t="s">
        <v>2221</v>
      </c>
      <c r="P130" t="s">
        <v>2222</v>
      </c>
      <c r="Q130" t="s">
        <v>2223</v>
      </c>
      <c r="R130" t="s">
        <v>2222</v>
      </c>
      <c r="S130" t="s">
        <v>2224</v>
      </c>
      <c r="T130">
        <v>1853280</v>
      </c>
      <c r="U130">
        <v>2574000</v>
      </c>
      <c r="V130" t="s">
        <v>2225</v>
      </c>
      <c r="W130" t="s">
        <v>398</v>
      </c>
      <c r="X130" t="s">
        <v>2226</v>
      </c>
      <c r="Y130" t="s">
        <v>2227</v>
      </c>
      <c r="Z130" t="s">
        <v>64</v>
      </c>
      <c r="AA130" t="s">
        <v>65</v>
      </c>
      <c r="AB130" t="s">
        <v>2228</v>
      </c>
      <c r="AC130" t="s">
        <v>151</v>
      </c>
      <c r="AD130" t="s">
        <v>2229</v>
      </c>
      <c r="AE130" t="s">
        <v>1253</v>
      </c>
      <c r="AF130" t="s">
        <v>1254</v>
      </c>
      <c r="AG130" t="s">
        <v>2230</v>
      </c>
      <c r="AH130">
        <v>5</v>
      </c>
      <c r="AI130" t="s">
        <v>237</v>
      </c>
      <c r="AJ130" t="s">
        <v>2231</v>
      </c>
      <c r="AK130" t="s">
        <v>1542</v>
      </c>
      <c r="AM130" t="s">
        <v>75</v>
      </c>
      <c r="AN130">
        <v>1930500</v>
      </c>
      <c r="AO130" s="9">
        <v>38610</v>
      </c>
    </row>
    <row r="131" spans="1:43" x14ac:dyDescent="0.25">
      <c r="A131">
        <v>130</v>
      </c>
      <c r="B131" t="s">
        <v>1305</v>
      </c>
      <c r="C131" t="s">
        <v>2232</v>
      </c>
      <c r="D131" t="s">
        <v>77</v>
      </c>
      <c r="E131" t="s">
        <v>47</v>
      </c>
      <c r="F131" t="s">
        <v>48</v>
      </c>
      <c r="G131" t="s">
        <v>78</v>
      </c>
      <c r="H131" t="s">
        <v>2233</v>
      </c>
      <c r="I131" t="s">
        <v>2234</v>
      </c>
      <c r="J131">
        <v>2</v>
      </c>
      <c r="K131">
        <v>21.78</v>
      </c>
      <c r="L131" t="s">
        <v>2235</v>
      </c>
      <c r="M131" t="s">
        <v>2236</v>
      </c>
      <c r="N131" t="s">
        <v>83</v>
      </c>
      <c r="O131" t="s">
        <v>2237</v>
      </c>
      <c r="P131" t="s">
        <v>2238</v>
      </c>
      <c r="Q131" t="s">
        <v>2238</v>
      </c>
      <c r="R131" t="s">
        <v>2238</v>
      </c>
      <c r="S131" t="s">
        <v>2239</v>
      </c>
      <c r="T131">
        <v>1662500</v>
      </c>
      <c r="U131">
        <v>2375000</v>
      </c>
      <c r="V131" t="s">
        <v>2240</v>
      </c>
      <c r="W131" t="s">
        <v>2241</v>
      </c>
      <c r="X131" t="s">
        <v>2242</v>
      </c>
      <c r="Y131" t="s">
        <v>2243</v>
      </c>
      <c r="Z131" t="s">
        <v>93</v>
      </c>
      <c r="AA131" t="s">
        <v>2244</v>
      </c>
      <c r="AB131" t="s">
        <v>2245</v>
      </c>
      <c r="AC131" t="s">
        <v>552</v>
      </c>
      <c r="AD131" t="s">
        <v>876</v>
      </c>
      <c r="AE131" t="s">
        <v>1127</v>
      </c>
      <c r="AF131" t="s">
        <v>1162</v>
      </c>
      <c r="AG131" t="s">
        <v>2246</v>
      </c>
      <c r="AH131">
        <v>5</v>
      </c>
      <c r="AI131" t="s">
        <v>237</v>
      </c>
      <c r="AJ131" t="s">
        <v>2247</v>
      </c>
      <c r="AK131" t="s">
        <v>2049</v>
      </c>
      <c r="AM131" t="s">
        <v>75</v>
      </c>
      <c r="AN131">
        <v>1900000</v>
      </c>
      <c r="AO131" s="9">
        <v>38000</v>
      </c>
    </row>
    <row r="132" spans="1:43" x14ac:dyDescent="0.25">
      <c r="A132">
        <v>131</v>
      </c>
      <c r="B132" t="s">
        <v>1305</v>
      </c>
      <c r="C132" t="s">
        <v>2248</v>
      </c>
      <c r="D132" t="s">
        <v>241</v>
      </c>
      <c r="E132" t="s">
        <v>47</v>
      </c>
      <c r="F132" t="s">
        <v>48</v>
      </c>
      <c r="G132" t="s">
        <v>313</v>
      </c>
      <c r="H132" t="s">
        <v>2249</v>
      </c>
      <c r="I132" t="s">
        <v>2250</v>
      </c>
      <c r="J132">
        <v>2</v>
      </c>
      <c r="K132">
        <v>22.47</v>
      </c>
      <c r="L132" t="s">
        <v>2251</v>
      </c>
      <c r="M132" t="s">
        <v>2252</v>
      </c>
      <c r="N132" t="s">
        <v>83</v>
      </c>
      <c r="O132" t="s">
        <v>2253</v>
      </c>
      <c r="P132" t="s">
        <v>2254</v>
      </c>
      <c r="Q132" t="s">
        <v>2254</v>
      </c>
      <c r="R132" t="s">
        <v>2254</v>
      </c>
      <c r="S132" t="s">
        <v>2255</v>
      </c>
      <c r="T132">
        <v>1690500</v>
      </c>
      <c r="U132">
        <v>2415000</v>
      </c>
      <c r="V132" t="s">
        <v>2256</v>
      </c>
      <c r="W132" t="s">
        <v>1035</v>
      </c>
      <c r="X132" t="s">
        <v>2257</v>
      </c>
      <c r="Y132" t="s">
        <v>2258</v>
      </c>
      <c r="Z132" t="s">
        <v>64</v>
      </c>
      <c r="AA132" t="s">
        <v>65</v>
      </c>
      <c r="AB132" t="s">
        <v>2259</v>
      </c>
      <c r="AC132" t="s">
        <v>67</v>
      </c>
      <c r="AD132" t="s">
        <v>2260</v>
      </c>
      <c r="AE132" t="s">
        <v>1127</v>
      </c>
      <c r="AF132" t="s">
        <v>1162</v>
      </c>
      <c r="AG132" t="s">
        <v>2261</v>
      </c>
      <c r="AH132">
        <v>5</v>
      </c>
      <c r="AI132" t="s">
        <v>237</v>
      </c>
      <c r="AJ132" t="s">
        <v>2262</v>
      </c>
      <c r="AK132" t="s">
        <v>1523</v>
      </c>
      <c r="AM132" t="s">
        <v>75</v>
      </c>
      <c r="AN132">
        <v>1932000</v>
      </c>
      <c r="AO132" s="9">
        <v>38640</v>
      </c>
    </row>
    <row r="133" spans="1:43" x14ac:dyDescent="0.25">
      <c r="A133">
        <v>132</v>
      </c>
      <c r="B133" t="s">
        <v>1305</v>
      </c>
      <c r="C133" t="s">
        <v>2263</v>
      </c>
      <c r="D133" t="s">
        <v>46</v>
      </c>
      <c r="E133" t="s">
        <v>47</v>
      </c>
      <c r="F133" t="s">
        <v>48</v>
      </c>
      <c r="G133" t="s">
        <v>1080</v>
      </c>
      <c r="H133" t="s">
        <v>2264</v>
      </c>
      <c r="I133" t="s">
        <v>2265</v>
      </c>
      <c r="J133">
        <v>1.75</v>
      </c>
      <c r="K133">
        <v>25.85</v>
      </c>
      <c r="L133" t="s">
        <v>2266</v>
      </c>
      <c r="M133" t="s">
        <v>2267</v>
      </c>
      <c r="N133" t="s">
        <v>187</v>
      </c>
      <c r="O133" t="s">
        <v>2268</v>
      </c>
      <c r="P133" t="s">
        <v>2269</v>
      </c>
      <c r="Q133" t="s">
        <v>2269</v>
      </c>
      <c r="R133" t="s">
        <v>2269</v>
      </c>
      <c r="S133" t="s">
        <v>2270</v>
      </c>
      <c r="T133">
        <v>1678720</v>
      </c>
      <c r="U133">
        <v>2623000</v>
      </c>
      <c r="V133" t="s">
        <v>2271</v>
      </c>
      <c r="W133" t="s">
        <v>1035</v>
      </c>
      <c r="X133" t="s">
        <v>2272</v>
      </c>
      <c r="Y133" t="s">
        <v>2273</v>
      </c>
      <c r="Z133" t="s">
        <v>64</v>
      </c>
      <c r="AA133" t="s">
        <v>65</v>
      </c>
      <c r="AB133" t="s">
        <v>2274</v>
      </c>
      <c r="AC133" t="s">
        <v>67</v>
      </c>
      <c r="AD133" t="s">
        <v>2275</v>
      </c>
      <c r="AE133" t="s">
        <v>69</v>
      </c>
      <c r="AF133" t="s">
        <v>1319</v>
      </c>
      <c r="AG133" t="s">
        <v>2276</v>
      </c>
      <c r="AH133">
        <v>7</v>
      </c>
      <c r="AI133" t="s">
        <v>237</v>
      </c>
      <c r="AJ133" t="s">
        <v>2277</v>
      </c>
      <c r="AK133" t="s">
        <v>2049</v>
      </c>
      <c r="AM133" t="s">
        <v>102</v>
      </c>
      <c r="AN133">
        <v>2098400</v>
      </c>
      <c r="AO133" s="9">
        <v>36722</v>
      </c>
    </row>
    <row r="134" spans="1:43" x14ac:dyDescent="0.25">
      <c r="A134">
        <v>133</v>
      </c>
      <c r="B134" t="s">
        <v>1305</v>
      </c>
      <c r="C134" t="s">
        <v>2278</v>
      </c>
      <c r="D134" t="s">
        <v>136</v>
      </c>
      <c r="E134" t="s">
        <v>47</v>
      </c>
      <c r="F134" t="s">
        <v>48</v>
      </c>
      <c r="G134" t="s">
        <v>182</v>
      </c>
      <c r="H134" t="s">
        <v>2279</v>
      </c>
      <c r="I134" t="s">
        <v>2280</v>
      </c>
      <c r="J134">
        <v>1.5</v>
      </c>
      <c r="K134">
        <v>20.8</v>
      </c>
      <c r="L134" t="s">
        <v>2281</v>
      </c>
      <c r="M134" t="s">
        <v>2282</v>
      </c>
      <c r="N134" t="s">
        <v>54</v>
      </c>
      <c r="O134" t="s">
        <v>2283</v>
      </c>
      <c r="P134" t="s">
        <v>2284</v>
      </c>
      <c r="Q134" t="s">
        <v>2285</v>
      </c>
      <c r="R134" t="s">
        <v>2286</v>
      </c>
      <c r="S134" t="s">
        <v>2287</v>
      </c>
      <c r="T134">
        <v>3674250</v>
      </c>
      <c r="U134">
        <v>4899000</v>
      </c>
      <c r="V134" t="s">
        <v>2288</v>
      </c>
      <c r="W134" t="s">
        <v>398</v>
      </c>
      <c r="X134" t="s">
        <v>2289</v>
      </c>
      <c r="Y134" t="s">
        <v>2290</v>
      </c>
      <c r="Z134" t="s">
        <v>64</v>
      </c>
      <c r="AA134" t="s">
        <v>65</v>
      </c>
      <c r="AB134" t="s">
        <v>132</v>
      </c>
      <c r="AC134" t="s">
        <v>151</v>
      </c>
      <c r="AD134" t="s">
        <v>2291</v>
      </c>
      <c r="AE134" t="s">
        <v>1253</v>
      </c>
      <c r="AF134" t="s">
        <v>1254</v>
      </c>
      <c r="AG134" t="s">
        <v>2292</v>
      </c>
      <c r="AH134">
        <v>5</v>
      </c>
      <c r="AI134" t="s">
        <v>65</v>
      </c>
      <c r="AJ134" t="s">
        <v>65</v>
      </c>
      <c r="AK134" t="s">
        <v>65</v>
      </c>
      <c r="AM134" t="s">
        <v>157</v>
      </c>
      <c r="AN134">
        <v>3674250</v>
      </c>
      <c r="AO134" s="9">
        <v>55113.75</v>
      </c>
    </row>
    <row r="135" spans="1:43" x14ac:dyDescent="0.25">
      <c r="A135">
        <v>134</v>
      </c>
      <c r="B135" t="s">
        <v>1305</v>
      </c>
      <c r="C135" t="s">
        <v>2293</v>
      </c>
      <c r="D135" t="s">
        <v>46</v>
      </c>
      <c r="E135" t="s">
        <v>47</v>
      </c>
      <c r="F135" t="s">
        <v>48</v>
      </c>
      <c r="G135" t="s">
        <v>2294</v>
      </c>
      <c r="H135" t="s">
        <v>2295</v>
      </c>
      <c r="I135" t="s">
        <v>2296</v>
      </c>
      <c r="J135">
        <v>2</v>
      </c>
      <c r="K135">
        <v>21.96</v>
      </c>
      <c r="L135" t="s">
        <v>2297</v>
      </c>
      <c r="M135" t="s">
        <v>2298</v>
      </c>
      <c r="N135" t="s">
        <v>83</v>
      </c>
      <c r="O135" t="s">
        <v>2299</v>
      </c>
      <c r="P135" t="s">
        <v>65</v>
      </c>
      <c r="Q135" t="s">
        <v>2300</v>
      </c>
      <c r="R135" t="s">
        <v>65</v>
      </c>
      <c r="S135" t="s">
        <v>2301</v>
      </c>
      <c r="T135">
        <v>3311200</v>
      </c>
      <c r="U135">
        <v>4139000</v>
      </c>
      <c r="V135" t="s">
        <v>2302</v>
      </c>
      <c r="W135" t="s">
        <v>1035</v>
      </c>
      <c r="X135" t="s">
        <v>2303</v>
      </c>
      <c r="Y135" t="s">
        <v>2304</v>
      </c>
      <c r="Z135" t="s">
        <v>64</v>
      </c>
      <c r="AA135" t="s">
        <v>65</v>
      </c>
      <c r="AB135" t="s">
        <v>873</v>
      </c>
      <c r="AC135" t="s">
        <v>67</v>
      </c>
      <c r="AD135" t="s">
        <v>1056</v>
      </c>
      <c r="AE135" t="s">
        <v>1127</v>
      </c>
      <c r="AF135" t="s">
        <v>1162</v>
      </c>
      <c r="AG135" t="s">
        <v>2305</v>
      </c>
      <c r="AH135">
        <v>5</v>
      </c>
      <c r="AI135" t="s">
        <v>198</v>
      </c>
      <c r="AJ135" t="s">
        <v>2306</v>
      </c>
      <c r="AK135" t="s">
        <v>2307</v>
      </c>
      <c r="AM135" t="s">
        <v>75</v>
      </c>
      <c r="AN135">
        <v>3311200</v>
      </c>
      <c r="AO135" s="9">
        <v>66224</v>
      </c>
    </row>
    <row r="136" spans="1:43" x14ac:dyDescent="0.25">
      <c r="A136">
        <v>135</v>
      </c>
      <c r="B136" t="s">
        <v>1305</v>
      </c>
      <c r="C136" t="s">
        <v>2308</v>
      </c>
      <c r="D136" t="s">
        <v>46</v>
      </c>
      <c r="E136" t="s">
        <v>47</v>
      </c>
      <c r="F136" t="s">
        <v>48</v>
      </c>
      <c r="G136" t="s">
        <v>2309</v>
      </c>
      <c r="H136" t="s">
        <v>2310</v>
      </c>
      <c r="I136" t="s">
        <v>2311</v>
      </c>
      <c r="J136">
        <v>1.75</v>
      </c>
      <c r="K136">
        <v>21.97</v>
      </c>
      <c r="L136" t="s">
        <v>2312</v>
      </c>
      <c r="M136" t="s">
        <v>2313</v>
      </c>
      <c r="N136" t="s">
        <v>83</v>
      </c>
      <c r="O136" t="s">
        <v>2314</v>
      </c>
      <c r="P136" t="s">
        <v>65</v>
      </c>
      <c r="Q136" t="s">
        <v>2315</v>
      </c>
      <c r="R136" t="s">
        <v>65</v>
      </c>
      <c r="S136" t="s">
        <v>2316</v>
      </c>
      <c r="T136">
        <v>5794800</v>
      </c>
      <c r="U136">
        <v>9658000</v>
      </c>
      <c r="V136" t="s">
        <v>2317</v>
      </c>
      <c r="W136" t="s">
        <v>1035</v>
      </c>
      <c r="X136" t="s">
        <v>2318</v>
      </c>
      <c r="Y136" t="s">
        <v>2319</v>
      </c>
      <c r="Z136" t="s">
        <v>64</v>
      </c>
      <c r="AA136" t="s">
        <v>65</v>
      </c>
      <c r="AB136" t="s">
        <v>2320</v>
      </c>
      <c r="AC136" t="s">
        <v>67</v>
      </c>
      <c r="AD136" t="s">
        <v>1146</v>
      </c>
      <c r="AE136" t="s">
        <v>1127</v>
      </c>
      <c r="AF136" t="s">
        <v>1254</v>
      </c>
      <c r="AG136" t="s">
        <v>2321</v>
      </c>
      <c r="AH136">
        <v>4</v>
      </c>
      <c r="AI136" t="s">
        <v>237</v>
      </c>
      <c r="AJ136" t="s">
        <v>2322</v>
      </c>
      <c r="AK136" t="s">
        <v>2323</v>
      </c>
      <c r="AM136" t="s">
        <v>102</v>
      </c>
      <c r="AN136">
        <v>7726400</v>
      </c>
      <c r="AO136" s="9">
        <v>135212</v>
      </c>
    </row>
    <row r="137" spans="1:43" hidden="1" x14ac:dyDescent="0.25">
      <c r="A137">
        <v>136</v>
      </c>
      <c r="B137" t="s">
        <v>1305</v>
      </c>
      <c r="C137" t="s">
        <v>2324</v>
      </c>
      <c r="D137" t="s">
        <v>277</v>
      </c>
      <c r="E137" t="s">
        <v>47</v>
      </c>
      <c r="F137" t="s">
        <v>48</v>
      </c>
      <c r="G137" t="s">
        <v>2144</v>
      </c>
      <c r="H137" t="s">
        <v>65</v>
      </c>
      <c r="I137" t="s">
        <v>2325</v>
      </c>
      <c r="J137">
        <v>2.5</v>
      </c>
      <c r="K137">
        <v>23.62</v>
      </c>
      <c r="L137" t="s">
        <v>2326</v>
      </c>
      <c r="M137" t="s">
        <v>2327</v>
      </c>
      <c r="N137" t="s">
        <v>65</v>
      </c>
      <c r="O137" t="s">
        <v>2328</v>
      </c>
      <c r="P137" t="s">
        <v>2329</v>
      </c>
      <c r="Q137" t="s">
        <v>2329</v>
      </c>
      <c r="R137" t="s">
        <v>2329</v>
      </c>
      <c r="S137" t="s">
        <v>2330</v>
      </c>
      <c r="T137">
        <v>723665</v>
      </c>
      <c r="U137">
        <v>1135000</v>
      </c>
      <c r="V137" t="s">
        <v>2331</v>
      </c>
      <c r="W137" t="s">
        <v>924</v>
      </c>
      <c r="X137" t="s">
        <v>65</v>
      </c>
      <c r="Y137" t="s">
        <v>65</v>
      </c>
      <c r="Z137" t="s">
        <v>65</v>
      </c>
      <c r="AA137" t="s">
        <v>2332</v>
      </c>
      <c r="AB137" t="s">
        <v>2333</v>
      </c>
      <c r="AC137" t="s">
        <v>175</v>
      </c>
      <c r="AD137" t="s">
        <v>2334</v>
      </c>
      <c r="AE137" t="s">
        <v>2335</v>
      </c>
      <c r="AF137" t="s">
        <v>400</v>
      </c>
      <c r="AG137" t="s">
        <v>2336</v>
      </c>
      <c r="AH137">
        <v>5</v>
      </c>
      <c r="AI137" t="s">
        <v>237</v>
      </c>
      <c r="AJ137" t="s">
        <v>2337</v>
      </c>
      <c r="AK137" t="s">
        <v>2338</v>
      </c>
      <c r="AM137" t="s">
        <v>180</v>
      </c>
      <c r="AN137">
        <v>0</v>
      </c>
      <c r="AO137">
        <v>0</v>
      </c>
      <c r="AP137" t="s">
        <v>2339</v>
      </c>
      <c r="AQ137" t="s">
        <v>2340</v>
      </c>
    </row>
    <row r="138" spans="1:43" x14ac:dyDescent="0.25">
      <c r="A138">
        <v>137</v>
      </c>
      <c r="B138" t="s">
        <v>1305</v>
      </c>
      <c r="C138" t="s">
        <v>2341</v>
      </c>
      <c r="D138" t="s">
        <v>241</v>
      </c>
      <c r="E138" t="s">
        <v>47</v>
      </c>
      <c r="F138" t="s">
        <v>48</v>
      </c>
      <c r="G138" t="s">
        <v>1416</v>
      </c>
      <c r="H138" t="s">
        <v>2342</v>
      </c>
      <c r="I138" t="s">
        <v>2343</v>
      </c>
      <c r="J138">
        <v>1.5</v>
      </c>
      <c r="K138">
        <v>26.69</v>
      </c>
      <c r="L138" t="s">
        <v>2344</v>
      </c>
      <c r="M138" t="s">
        <v>2345</v>
      </c>
      <c r="N138" t="s">
        <v>83</v>
      </c>
      <c r="O138" t="s">
        <v>2346</v>
      </c>
      <c r="P138" t="s">
        <v>2347</v>
      </c>
      <c r="Q138" t="s">
        <v>2347</v>
      </c>
      <c r="R138" t="s">
        <v>167</v>
      </c>
      <c r="S138" t="s">
        <v>2348</v>
      </c>
      <c r="T138">
        <v>2999400</v>
      </c>
      <c r="U138">
        <v>4999000</v>
      </c>
      <c r="V138" t="s">
        <v>2349</v>
      </c>
      <c r="W138" t="s">
        <v>1978</v>
      </c>
      <c r="X138" t="s">
        <v>2350</v>
      </c>
      <c r="Y138" t="s">
        <v>2351</v>
      </c>
      <c r="Z138" t="s">
        <v>64</v>
      </c>
      <c r="AA138" t="s">
        <v>65</v>
      </c>
      <c r="AB138" t="s">
        <v>2352</v>
      </c>
      <c r="AC138" t="s">
        <v>531</v>
      </c>
      <c r="AD138" t="s">
        <v>1078</v>
      </c>
      <c r="AE138" t="s">
        <v>453</v>
      </c>
      <c r="AF138" t="s">
        <v>1430</v>
      </c>
      <c r="AG138" t="s">
        <v>2353</v>
      </c>
      <c r="AH138">
        <v>3</v>
      </c>
      <c r="AI138" t="s">
        <v>72</v>
      </c>
      <c r="AJ138" t="s">
        <v>2354</v>
      </c>
      <c r="AK138" t="s">
        <v>1215</v>
      </c>
      <c r="AM138" t="s">
        <v>157</v>
      </c>
      <c r="AN138">
        <v>4249150</v>
      </c>
      <c r="AO138" s="9">
        <v>63737.25</v>
      </c>
    </row>
    <row r="139" spans="1:43" x14ac:dyDescent="0.25">
      <c r="A139">
        <v>138</v>
      </c>
      <c r="B139" t="s">
        <v>1305</v>
      </c>
      <c r="C139" t="s">
        <v>2355</v>
      </c>
      <c r="D139" t="s">
        <v>77</v>
      </c>
      <c r="E139" t="s">
        <v>47</v>
      </c>
      <c r="F139" t="s">
        <v>48</v>
      </c>
      <c r="G139" t="s">
        <v>2356</v>
      </c>
      <c r="H139" t="s">
        <v>2357</v>
      </c>
      <c r="I139" t="s">
        <v>2358</v>
      </c>
      <c r="J139">
        <v>1.5</v>
      </c>
      <c r="K139">
        <v>25.44</v>
      </c>
      <c r="L139" t="s">
        <v>2359</v>
      </c>
      <c r="M139" t="s">
        <v>2360</v>
      </c>
      <c r="N139" t="s">
        <v>83</v>
      </c>
      <c r="O139" t="s">
        <v>2361</v>
      </c>
      <c r="P139" t="s">
        <v>2362</v>
      </c>
      <c r="Q139" t="s">
        <v>2363</v>
      </c>
      <c r="R139" t="s">
        <v>65</v>
      </c>
      <c r="S139" t="s">
        <v>2364</v>
      </c>
      <c r="T139">
        <v>1435000</v>
      </c>
      <c r="U139">
        <v>2050000</v>
      </c>
      <c r="V139" t="s">
        <v>2365</v>
      </c>
      <c r="W139" t="s">
        <v>1978</v>
      </c>
      <c r="X139" t="s">
        <v>2366</v>
      </c>
      <c r="Y139" t="s">
        <v>2367</v>
      </c>
      <c r="Z139" t="s">
        <v>93</v>
      </c>
      <c r="AA139" t="s">
        <v>2368</v>
      </c>
      <c r="AB139" t="s">
        <v>2369</v>
      </c>
      <c r="AC139" t="s">
        <v>67</v>
      </c>
      <c r="AD139" t="s">
        <v>677</v>
      </c>
      <c r="AE139" t="s">
        <v>453</v>
      </c>
      <c r="AF139" t="s">
        <v>2370</v>
      </c>
      <c r="AG139" t="s">
        <v>2371</v>
      </c>
      <c r="AH139">
        <v>5</v>
      </c>
      <c r="AI139" t="s">
        <v>100</v>
      </c>
      <c r="AJ139" t="s">
        <v>2372</v>
      </c>
      <c r="AK139" t="s">
        <v>971</v>
      </c>
      <c r="AM139" t="s">
        <v>157</v>
      </c>
      <c r="AN139">
        <v>1742500</v>
      </c>
      <c r="AO139" s="9">
        <v>26137.5</v>
      </c>
    </row>
    <row r="140" spans="1:43" hidden="1" x14ac:dyDescent="0.25">
      <c r="A140">
        <v>139</v>
      </c>
      <c r="B140" t="s">
        <v>1305</v>
      </c>
      <c r="C140" t="s">
        <v>2373</v>
      </c>
      <c r="D140" t="s">
        <v>77</v>
      </c>
      <c r="E140" t="s">
        <v>47</v>
      </c>
      <c r="F140" t="s">
        <v>48</v>
      </c>
      <c r="G140" t="s">
        <v>962</v>
      </c>
      <c r="H140" t="s">
        <v>2374</v>
      </c>
      <c r="I140" t="s">
        <v>2375</v>
      </c>
      <c r="J140">
        <v>3.2</v>
      </c>
      <c r="K140">
        <v>25.53</v>
      </c>
      <c r="L140" t="s">
        <v>2376</v>
      </c>
      <c r="M140" t="s">
        <v>2377</v>
      </c>
      <c r="N140" t="s">
        <v>187</v>
      </c>
      <c r="O140" t="s">
        <v>2378</v>
      </c>
      <c r="P140" t="s">
        <v>2379</v>
      </c>
      <c r="Q140" t="s">
        <v>2379</v>
      </c>
      <c r="R140" t="s">
        <v>2380</v>
      </c>
      <c r="S140" t="s">
        <v>2381</v>
      </c>
      <c r="T140">
        <v>631750</v>
      </c>
      <c r="U140">
        <v>1094000</v>
      </c>
      <c r="V140" t="s">
        <v>2382</v>
      </c>
      <c r="W140" t="s">
        <v>2383</v>
      </c>
      <c r="X140" t="s">
        <v>2384</v>
      </c>
      <c r="Y140" t="s">
        <v>2385</v>
      </c>
      <c r="Z140" t="s">
        <v>64</v>
      </c>
      <c r="AA140" t="s">
        <v>2386</v>
      </c>
      <c r="AB140" t="s">
        <v>642</v>
      </c>
      <c r="AC140" t="s">
        <v>662</v>
      </c>
      <c r="AD140" t="s">
        <v>2387</v>
      </c>
      <c r="AE140" t="s">
        <v>1748</v>
      </c>
      <c r="AF140" t="s">
        <v>532</v>
      </c>
      <c r="AG140" t="s">
        <v>2388</v>
      </c>
      <c r="AH140">
        <v>7</v>
      </c>
      <c r="AI140" t="s">
        <v>511</v>
      </c>
      <c r="AJ140" t="s">
        <v>2389</v>
      </c>
      <c r="AK140" t="s">
        <v>2390</v>
      </c>
      <c r="AM140" t="s">
        <v>514</v>
      </c>
      <c r="AN140">
        <v>0</v>
      </c>
      <c r="AO140">
        <v>0</v>
      </c>
      <c r="AP140" t="s">
        <v>2391</v>
      </c>
      <c r="AQ140" t="s">
        <v>2340</v>
      </c>
    </row>
    <row r="141" spans="1:43" x14ac:dyDescent="0.25">
      <c r="A141">
        <v>140</v>
      </c>
      <c r="B141" t="s">
        <v>1305</v>
      </c>
      <c r="C141" t="s">
        <v>2392</v>
      </c>
      <c r="D141" t="s">
        <v>277</v>
      </c>
      <c r="E141" t="s">
        <v>47</v>
      </c>
      <c r="F141" t="s">
        <v>48</v>
      </c>
      <c r="G141" t="s">
        <v>2393</v>
      </c>
      <c r="H141" t="s">
        <v>2394</v>
      </c>
      <c r="I141" t="s">
        <v>2395</v>
      </c>
      <c r="J141">
        <v>1.75</v>
      </c>
      <c r="K141">
        <v>22.87</v>
      </c>
      <c r="L141" t="s">
        <v>2396</v>
      </c>
      <c r="M141" t="s">
        <v>2397</v>
      </c>
      <c r="N141" t="s">
        <v>265</v>
      </c>
      <c r="O141" t="s">
        <v>2398</v>
      </c>
      <c r="P141" t="s">
        <v>65</v>
      </c>
      <c r="Q141" t="s">
        <v>2399</v>
      </c>
      <c r="R141" t="s">
        <v>65</v>
      </c>
      <c r="S141" t="s">
        <v>2400</v>
      </c>
      <c r="T141">
        <v>877500</v>
      </c>
      <c r="U141">
        <v>1350000</v>
      </c>
      <c r="V141" t="s">
        <v>2401</v>
      </c>
      <c r="W141" t="s">
        <v>2402</v>
      </c>
      <c r="X141" t="s">
        <v>2403</v>
      </c>
      <c r="Y141" t="s">
        <v>2404</v>
      </c>
      <c r="Z141" t="s">
        <v>93</v>
      </c>
      <c r="AA141" t="s">
        <v>2405</v>
      </c>
      <c r="AB141" t="s">
        <v>2406</v>
      </c>
      <c r="AC141" t="s">
        <v>175</v>
      </c>
      <c r="AD141" s="2">
        <v>45180</v>
      </c>
      <c r="AE141" t="s">
        <v>1648</v>
      </c>
      <c r="AF141" t="s">
        <v>1485</v>
      </c>
      <c r="AG141" t="s">
        <v>2407</v>
      </c>
      <c r="AH141">
        <v>5</v>
      </c>
      <c r="AI141" t="s">
        <v>237</v>
      </c>
      <c r="AJ141" t="s">
        <v>2408</v>
      </c>
      <c r="AK141" t="s">
        <v>1945</v>
      </c>
      <c r="AM141" t="s">
        <v>102</v>
      </c>
      <c r="AN141">
        <v>1215000</v>
      </c>
      <c r="AO141" s="9">
        <v>21262.500000000004</v>
      </c>
    </row>
    <row r="142" spans="1:43" hidden="1" x14ac:dyDescent="0.25">
      <c r="A142">
        <v>141</v>
      </c>
      <c r="B142" t="s">
        <v>1305</v>
      </c>
      <c r="C142" t="s">
        <v>2409</v>
      </c>
      <c r="D142" t="s">
        <v>77</v>
      </c>
      <c r="E142" t="s">
        <v>47</v>
      </c>
      <c r="F142" t="s">
        <v>48</v>
      </c>
      <c r="G142" t="s">
        <v>1636</v>
      </c>
      <c r="H142" t="s">
        <v>2410</v>
      </c>
      <c r="I142" t="s">
        <v>2411</v>
      </c>
      <c r="J142">
        <v>2.75</v>
      </c>
      <c r="K142">
        <v>27.83</v>
      </c>
      <c r="L142" t="s">
        <v>2412</v>
      </c>
      <c r="M142" t="s">
        <v>2413</v>
      </c>
      <c r="N142" t="s">
        <v>83</v>
      </c>
      <c r="O142" t="s">
        <v>2414</v>
      </c>
      <c r="P142" t="s">
        <v>2415</v>
      </c>
      <c r="Q142" t="s">
        <v>2416</v>
      </c>
      <c r="R142" t="s">
        <v>2417</v>
      </c>
      <c r="S142" t="s">
        <v>2418</v>
      </c>
      <c r="T142">
        <v>728544</v>
      </c>
      <c r="U142">
        <v>2200000</v>
      </c>
      <c r="V142" t="s">
        <v>2419</v>
      </c>
      <c r="W142" t="s">
        <v>2420</v>
      </c>
      <c r="X142" t="s">
        <v>2421</v>
      </c>
      <c r="Y142" t="s">
        <v>2422</v>
      </c>
      <c r="Z142" t="s">
        <v>93</v>
      </c>
      <c r="AA142" t="s">
        <v>2423</v>
      </c>
      <c r="AB142" t="s">
        <v>2424</v>
      </c>
      <c r="AC142" t="s">
        <v>2425</v>
      </c>
      <c r="AD142" t="s">
        <v>2426</v>
      </c>
      <c r="AE142" t="s">
        <v>2426</v>
      </c>
      <c r="AF142" t="s">
        <v>2427</v>
      </c>
      <c r="AG142" t="s">
        <v>2428</v>
      </c>
      <c r="AH142">
        <v>7</v>
      </c>
      <c r="AI142" t="s">
        <v>237</v>
      </c>
      <c r="AJ142" t="s">
        <v>2429</v>
      </c>
      <c r="AK142" t="s">
        <v>2430</v>
      </c>
      <c r="AM142" t="s">
        <v>2431</v>
      </c>
      <c r="AN142">
        <v>0</v>
      </c>
      <c r="AO142">
        <v>0</v>
      </c>
      <c r="AP142" t="s">
        <v>2432</v>
      </c>
      <c r="AQ142" t="s">
        <v>2340</v>
      </c>
    </row>
    <row r="143" spans="1:43" x14ac:dyDescent="0.25">
      <c r="A143">
        <v>142</v>
      </c>
      <c r="B143" t="s">
        <v>1305</v>
      </c>
      <c r="C143" t="s">
        <v>2433</v>
      </c>
      <c r="D143" t="s">
        <v>77</v>
      </c>
      <c r="E143" t="s">
        <v>47</v>
      </c>
      <c r="F143" t="s">
        <v>48</v>
      </c>
      <c r="G143" t="s">
        <v>2434</v>
      </c>
      <c r="H143" t="s">
        <v>2435</v>
      </c>
      <c r="I143" t="s">
        <v>2436</v>
      </c>
      <c r="J143">
        <v>2.5</v>
      </c>
      <c r="K143">
        <v>27.7</v>
      </c>
      <c r="L143" t="s">
        <v>2437</v>
      </c>
      <c r="M143" t="s">
        <v>2438</v>
      </c>
      <c r="N143" t="s">
        <v>54</v>
      </c>
      <c r="O143" t="s">
        <v>2439</v>
      </c>
      <c r="P143" t="s">
        <v>2440</v>
      </c>
      <c r="Q143" t="s">
        <v>2441</v>
      </c>
      <c r="R143" t="s">
        <v>2442</v>
      </c>
      <c r="S143" t="s">
        <v>2443</v>
      </c>
      <c r="T143">
        <v>805000</v>
      </c>
      <c r="U143">
        <v>1150000</v>
      </c>
      <c r="V143" t="s">
        <v>2444</v>
      </c>
      <c r="W143" t="s">
        <v>156</v>
      </c>
      <c r="X143" t="s">
        <v>2445</v>
      </c>
      <c r="Y143" t="s">
        <v>2446</v>
      </c>
      <c r="Z143" t="s">
        <v>93</v>
      </c>
      <c r="AA143" t="s">
        <v>2447</v>
      </c>
      <c r="AB143" t="s">
        <v>2448</v>
      </c>
      <c r="AC143" t="s">
        <v>624</v>
      </c>
      <c r="AD143" t="s">
        <v>2449</v>
      </c>
      <c r="AE143" t="s">
        <v>177</v>
      </c>
      <c r="AF143" t="s">
        <v>1007</v>
      </c>
      <c r="AG143" t="s">
        <v>2450</v>
      </c>
      <c r="AH143">
        <v>7</v>
      </c>
      <c r="AI143" t="s">
        <v>237</v>
      </c>
      <c r="AJ143" t="s">
        <v>2451</v>
      </c>
      <c r="AK143" t="s">
        <v>2452</v>
      </c>
      <c r="AM143" t="s">
        <v>180</v>
      </c>
      <c r="AN143">
        <v>805000</v>
      </c>
      <c r="AO143" s="9">
        <v>20125</v>
      </c>
    </row>
    <row r="144" spans="1:43" x14ac:dyDescent="0.25">
      <c r="A144">
        <v>143</v>
      </c>
      <c r="B144" t="s">
        <v>1305</v>
      </c>
      <c r="C144" t="s">
        <v>2453</v>
      </c>
      <c r="D144" t="s">
        <v>912</v>
      </c>
      <c r="E144" t="s">
        <v>47</v>
      </c>
      <c r="F144" t="s">
        <v>48</v>
      </c>
      <c r="G144" t="s">
        <v>2454</v>
      </c>
      <c r="H144" t="s">
        <v>2455</v>
      </c>
      <c r="I144" t="s">
        <v>2456</v>
      </c>
      <c r="J144">
        <v>2</v>
      </c>
      <c r="K144">
        <v>25.84</v>
      </c>
      <c r="L144" t="s">
        <v>2457</v>
      </c>
      <c r="M144" t="s">
        <v>2458</v>
      </c>
      <c r="N144" t="s">
        <v>83</v>
      </c>
      <c r="O144" t="s">
        <v>2459</v>
      </c>
      <c r="P144" t="s">
        <v>2460</v>
      </c>
      <c r="Q144" t="s">
        <v>2460</v>
      </c>
      <c r="R144" t="s">
        <v>167</v>
      </c>
      <c r="S144" t="s">
        <v>2461</v>
      </c>
      <c r="T144">
        <v>1440000</v>
      </c>
      <c r="U144">
        <v>1800000</v>
      </c>
      <c r="V144" t="s">
        <v>2462</v>
      </c>
      <c r="W144" t="s">
        <v>74</v>
      </c>
      <c r="X144" t="s">
        <v>2463</v>
      </c>
      <c r="Y144" t="s">
        <v>2464</v>
      </c>
      <c r="Z144" t="s">
        <v>93</v>
      </c>
      <c r="AA144" t="s">
        <v>2465</v>
      </c>
      <c r="AB144" t="s">
        <v>2466</v>
      </c>
      <c r="AC144" t="s">
        <v>2425</v>
      </c>
      <c r="AD144" t="s">
        <v>2467</v>
      </c>
      <c r="AE144" t="s">
        <v>2468</v>
      </c>
      <c r="AF144" t="s">
        <v>2469</v>
      </c>
      <c r="AG144" t="s">
        <v>2470</v>
      </c>
      <c r="AH144">
        <v>5</v>
      </c>
      <c r="AI144" t="s">
        <v>237</v>
      </c>
      <c r="AJ144" t="s">
        <v>2471</v>
      </c>
      <c r="AK144" t="s">
        <v>2472</v>
      </c>
      <c r="AM144" t="s">
        <v>75</v>
      </c>
      <c r="AN144">
        <v>1350000</v>
      </c>
      <c r="AO144" s="9">
        <v>27000</v>
      </c>
    </row>
    <row r="145" spans="1:41" x14ac:dyDescent="0.25">
      <c r="A145">
        <v>144</v>
      </c>
      <c r="B145" t="s">
        <v>1305</v>
      </c>
      <c r="C145" t="s">
        <v>2473</v>
      </c>
      <c r="D145" t="s">
        <v>77</v>
      </c>
      <c r="E145" t="s">
        <v>47</v>
      </c>
      <c r="F145" t="s">
        <v>48</v>
      </c>
      <c r="G145" t="s">
        <v>629</v>
      </c>
      <c r="H145" t="s">
        <v>2474</v>
      </c>
      <c r="I145" t="s">
        <v>2475</v>
      </c>
      <c r="J145">
        <v>2</v>
      </c>
      <c r="K145">
        <v>24.69</v>
      </c>
      <c r="L145" t="s">
        <v>2476</v>
      </c>
      <c r="M145" t="s">
        <v>2477</v>
      </c>
      <c r="N145" t="s">
        <v>187</v>
      </c>
      <c r="O145" t="s">
        <v>2478</v>
      </c>
      <c r="P145" t="s">
        <v>2479</v>
      </c>
      <c r="Q145" t="s">
        <v>2479</v>
      </c>
      <c r="R145" t="s">
        <v>2479</v>
      </c>
      <c r="S145" t="s">
        <v>2480</v>
      </c>
      <c r="T145">
        <v>534000</v>
      </c>
      <c r="U145">
        <v>1335000</v>
      </c>
      <c r="V145" t="s">
        <v>2481</v>
      </c>
      <c r="W145" t="s">
        <v>1020</v>
      </c>
      <c r="X145" t="s">
        <v>2482</v>
      </c>
      <c r="Y145" t="s">
        <v>2483</v>
      </c>
      <c r="Z145" t="s">
        <v>64</v>
      </c>
      <c r="AA145" t="s">
        <v>65</v>
      </c>
      <c r="AB145" t="s">
        <v>1318</v>
      </c>
      <c r="AC145" t="s">
        <v>67</v>
      </c>
      <c r="AD145" t="s">
        <v>728</v>
      </c>
      <c r="AE145" t="s">
        <v>604</v>
      </c>
      <c r="AF145" t="s">
        <v>974</v>
      </c>
      <c r="AG145" t="s">
        <v>2484</v>
      </c>
      <c r="AH145">
        <v>5</v>
      </c>
      <c r="AI145" t="s">
        <v>237</v>
      </c>
      <c r="AJ145" t="s">
        <v>2485</v>
      </c>
      <c r="AK145" t="s">
        <v>2049</v>
      </c>
      <c r="AM145" t="s">
        <v>75</v>
      </c>
      <c r="AN145">
        <v>1068000</v>
      </c>
      <c r="AO145" s="9">
        <v>21360</v>
      </c>
    </row>
    <row r="146" spans="1:41" x14ac:dyDescent="0.25">
      <c r="A146">
        <v>145</v>
      </c>
      <c r="B146" t="s">
        <v>1305</v>
      </c>
      <c r="C146" t="s">
        <v>2486</v>
      </c>
      <c r="D146" t="s">
        <v>912</v>
      </c>
      <c r="E146" t="s">
        <v>47</v>
      </c>
      <c r="F146" t="s">
        <v>48</v>
      </c>
      <c r="G146" t="s">
        <v>2487</v>
      </c>
      <c r="H146" t="s">
        <v>2488</v>
      </c>
      <c r="I146" t="s">
        <v>2489</v>
      </c>
      <c r="J146">
        <v>2</v>
      </c>
      <c r="K146">
        <v>26.28</v>
      </c>
      <c r="L146" t="s">
        <v>2490</v>
      </c>
      <c r="M146" t="s">
        <v>2491</v>
      </c>
      <c r="N146" t="s">
        <v>1843</v>
      </c>
      <c r="O146" t="s">
        <v>2492</v>
      </c>
      <c r="P146" t="s">
        <v>2493</v>
      </c>
      <c r="Q146" t="s">
        <v>2494</v>
      </c>
      <c r="R146" t="s">
        <v>167</v>
      </c>
      <c r="S146" t="s">
        <v>2495</v>
      </c>
      <c r="T146">
        <v>1118400</v>
      </c>
      <c r="U146">
        <v>1398000</v>
      </c>
      <c r="V146" t="s">
        <v>2496</v>
      </c>
      <c r="W146" t="s">
        <v>147</v>
      </c>
      <c r="X146" t="s">
        <v>2497</v>
      </c>
      <c r="Y146" t="s">
        <v>2498</v>
      </c>
      <c r="Z146" t="s">
        <v>64</v>
      </c>
      <c r="AA146" t="s">
        <v>65</v>
      </c>
      <c r="AB146" t="s">
        <v>2499</v>
      </c>
      <c r="AC146" t="s">
        <v>151</v>
      </c>
      <c r="AD146" t="s">
        <v>2500</v>
      </c>
      <c r="AE146" t="s">
        <v>153</v>
      </c>
      <c r="AF146" t="s">
        <v>1007</v>
      </c>
      <c r="AG146" t="s">
        <v>2501</v>
      </c>
      <c r="AH146">
        <v>6</v>
      </c>
      <c r="AI146" t="s">
        <v>2502</v>
      </c>
      <c r="AJ146" t="s">
        <v>2503</v>
      </c>
      <c r="AK146" t="s">
        <v>156</v>
      </c>
      <c r="AM146" t="s">
        <v>75</v>
      </c>
      <c r="AN146">
        <v>1048500</v>
      </c>
      <c r="AO146" s="9">
        <v>20970</v>
      </c>
    </row>
    <row r="147" spans="1:41" x14ac:dyDescent="0.25">
      <c r="A147">
        <v>146</v>
      </c>
      <c r="B147" t="s">
        <v>1305</v>
      </c>
      <c r="C147" t="s">
        <v>2504</v>
      </c>
      <c r="D147" t="s">
        <v>77</v>
      </c>
      <c r="E147" t="s">
        <v>47</v>
      </c>
      <c r="F147" t="s">
        <v>48</v>
      </c>
      <c r="G147" t="s">
        <v>421</v>
      </c>
      <c r="H147" t="s">
        <v>2505</v>
      </c>
      <c r="I147" t="s">
        <v>2506</v>
      </c>
      <c r="J147">
        <v>1.75</v>
      </c>
      <c r="K147">
        <v>25.7</v>
      </c>
      <c r="L147" t="s">
        <v>2507</v>
      </c>
      <c r="M147" t="s">
        <v>2508</v>
      </c>
      <c r="N147" t="s">
        <v>187</v>
      </c>
      <c r="O147" t="s">
        <v>2509</v>
      </c>
      <c r="P147" t="s">
        <v>2510</v>
      </c>
      <c r="Q147" t="s">
        <v>2510</v>
      </c>
      <c r="R147" t="s">
        <v>65</v>
      </c>
      <c r="S147" t="s">
        <v>2511</v>
      </c>
      <c r="T147">
        <v>2054500</v>
      </c>
      <c r="U147">
        <v>2935000</v>
      </c>
      <c r="V147" t="s">
        <v>2512</v>
      </c>
      <c r="W147" t="s">
        <v>2513</v>
      </c>
      <c r="X147" t="s">
        <v>2514</v>
      </c>
      <c r="Y147" t="s">
        <v>2515</v>
      </c>
      <c r="Z147" t="s">
        <v>64</v>
      </c>
      <c r="AA147" t="s">
        <v>65</v>
      </c>
      <c r="AB147" t="s">
        <v>1696</v>
      </c>
      <c r="AC147" t="s">
        <v>436</v>
      </c>
      <c r="AD147" s="2">
        <v>45199</v>
      </c>
      <c r="AE147" t="s">
        <v>2516</v>
      </c>
      <c r="AF147" t="s">
        <v>1007</v>
      </c>
      <c r="AG147" t="s">
        <v>2517</v>
      </c>
      <c r="AH147">
        <v>3</v>
      </c>
      <c r="AI147" t="s">
        <v>511</v>
      </c>
      <c r="AJ147" t="s">
        <v>2518</v>
      </c>
      <c r="AK147" t="s">
        <v>2519</v>
      </c>
      <c r="AM147" t="s">
        <v>102</v>
      </c>
      <c r="AN147">
        <v>2641500</v>
      </c>
      <c r="AO147" s="9">
        <v>46226.250000000007</v>
      </c>
    </row>
    <row r="148" spans="1:41" x14ac:dyDescent="0.25">
      <c r="A148">
        <v>147</v>
      </c>
      <c r="B148" t="s">
        <v>1305</v>
      </c>
      <c r="C148" t="s">
        <v>2520</v>
      </c>
      <c r="D148" t="s">
        <v>77</v>
      </c>
      <c r="E148" t="s">
        <v>47</v>
      </c>
      <c r="F148" t="s">
        <v>48</v>
      </c>
      <c r="G148" t="s">
        <v>2521</v>
      </c>
      <c r="H148" t="s">
        <v>2522</v>
      </c>
      <c r="I148" t="s">
        <v>2523</v>
      </c>
      <c r="J148">
        <v>1.75</v>
      </c>
      <c r="K148">
        <v>25.2</v>
      </c>
      <c r="L148" t="s">
        <v>2524</v>
      </c>
      <c r="M148" t="s">
        <v>1209</v>
      </c>
      <c r="N148" t="s">
        <v>187</v>
      </c>
      <c r="O148" t="s">
        <v>2525</v>
      </c>
      <c r="P148" t="s">
        <v>2526</v>
      </c>
      <c r="Q148" t="s">
        <v>2526</v>
      </c>
      <c r="R148" t="s">
        <v>2526</v>
      </c>
      <c r="S148" t="s">
        <v>2527</v>
      </c>
      <c r="T148">
        <v>2176000</v>
      </c>
      <c r="U148">
        <v>3200000</v>
      </c>
      <c r="V148" t="s">
        <v>2528</v>
      </c>
      <c r="W148" t="s">
        <v>90</v>
      </c>
      <c r="X148" t="s">
        <v>2529</v>
      </c>
      <c r="Y148" t="s">
        <v>2530</v>
      </c>
      <c r="Z148" t="s">
        <v>93</v>
      </c>
      <c r="AA148" t="s">
        <v>2531</v>
      </c>
      <c r="AB148" t="s">
        <v>2532</v>
      </c>
      <c r="AC148" t="s">
        <v>175</v>
      </c>
      <c r="AD148" t="s">
        <v>97</v>
      </c>
      <c r="AE148" t="s">
        <v>98</v>
      </c>
      <c r="AF148" t="s">
        <v>2533</v>
      </c>
      <c r="AG148" t="s">
        <v>2534</v>
      </c>
      <c r="AH148">
        <v>3</v>
      </c>
      <c r="AI148" t="s">
        <v>100</v>
      </c>
      <c r="AJ148" t="s">
        <v>2535</v>
      </c>
      <c r="AK148" t="s">
        <v>97</v>
      </c>
      <c r="AM148" t="s">
        <v>102</v>
      </c>
      <c r="AN148">
        <v>2720000</v>
      </c>
      <c r="AO148" s="9">
        <v>47600.000000000007</v>
      </c>
    </row>
    <row r="149" spans="1:41" x14ac:dyDescent="0.25">
      <c r="A149">
        <v>148</v>
      </c>
      <c r="B149" t="s">
        <v>1305</v>
      </c>
      <c r="C149" t="s">
        <v>2536</v>
      </c>
      <c r="D149" t="s">
        <v>46</v>
      </c>
      <c r="E149" t="s">
        <v>47</v>
      </c>
      <c r="F149" t="s">
        <v>48</v>
      </c>
      <c r="G149" t="s">
        <v>182</v>
      </c>
      <c r="H149" t="s">
        <v>2537</v>
      </c>
      <c r="I149" t="s">
        <v>2538</v>
      </c>
      <c r="J149">
        <v>2</v>
      </c>
      <c r="K149">
        <v>25.8</v>
      </c>
      <c r="L149" t="s">
        <v>2539</v>
      </c>
      <c r="M149" t="s">
        <v>2540</v>
      </c>
      <c r="N149" t="s">
        <v>187</v>
      </c>
      <c r="O149" t="s">
        <v>2541</v>
      </c>
      <c r="P149" t="s">
        <v>2542</v>
      </c>
      <c r="Q149" t="s">
        <v>2542</v>
      </c>
      <c r="R149" t="s">
        <v>2542</v>
      </c>
      <c r="S149" t="s">
        <v>2543</v>
      </c>
      <c r="T149">
        <v>1324000</v>
      </c>
      <c r="U149">
        <v>1655000</v>
      </c>
      <c r="V149" t="s">
        <v>2544</v>
      </c>
      <c r="W149" t="s">
        <v>147</v>
      </c>
      <c r="X149" t="s">
        <v>2545</v>
      </c>
      <c r="Y149" t="s">
        <v>2546</v>
      </c>
      <c r="Z149" t="s">
        <v>64</v>
      </c>
      <c r="AA149" t="s">
        <v>65</v>
      </c>
      <c r="AB149" t="s">
        <v>273</v>
      </c>
      <c r="AC149" t="s">
        <v>67</v>
      </c>
      <c r="AD149" t="s">
        <v>2275</v>
      </c>
      <c r="AE149" t="s">
        <v>69</v>
      </c>
      <c r="AF149" t="s">
        <v>1319</v>
      </c>
      <c r="AG149" t="s">
        <v>2547</v>
      </c>
      <c r="AH149">
        <v>7</v>
      </c>
      <c r="AI149" t="s">
        <v>237</v>
      </c>
      <c r="AJ149" t="s">
        <v>2548</v>
      </c>
      <c r="AK149" t="s">
        <v>74</v>
      </c>
      <c r="AM149" t="s">
        <v>75</v>
      </c>
      <c r="AN149">
        <v>1324000</v>
      </c>
      <c r="AO149" s="9">
        <v>26480</v>
      </c>
    </row>
    <row r="150" spans="1:41" x14ac:dyDescent="0.25">
      <c r="A150">
        <v>149</v>
      </c>
      <c r="B150" t="s">
        <v>1305</v>
      </c>
      <c r="C150" t="s">
        <v>2549</v>
      </c>
      <c r="D150" t="s">
        <v>1238</v>
      </c>
      <c r="E150" t="s">
        <v>47</v>
      </c>
      <c r="F150" t="s">
        <v>48</v>
      </c>
      <c r="G150" t="s">
        <v>2550</v>
      </c>
      <c r="H150" t="s">
        <v>2551</v>
      </c>
      <c r="I150" t="s">
        <v>2552</v>
      </c>
      <c r="J150">
        <v>2</v>
      </c>
      <c r="K150">
        <v>27.28</v>
      </c>
      <c r="L150" t="s">
        <v>2553</v>
      </c>
      <c r="M150" t="s">
        <v>2554</v>
      </c>
      <c r="N150" t="s">
        <v>83</v>
      </c>
      <c r="O150" t="s">
        <v>2555</v>
      </c>
      <c r="P150" t="s">
        <v>2556</v>
      </c>
      <c r="Q150" t="s">
        <v>2556</v>
      </c>
      <c r="R150" t="s">
        <v>2557</v>
      </c>
      <c r="S150" t="s">
        <v>2558</v>
      </c>
      <c r="T150">
        <v>907200</v>
      </c>
      <c r="U150">
        <v>1134000</v>
      </c>
      <c r="V150" t="s">
        <v>2559</v>
      </c>
      <c r="W150" t="s">
        <v>147</v>
      </c>
      <c r="X150" t="s">
        <v>2560</v>
      </c>
      <c r="Y150" t="s">
        <v>2561</v>
      </c>
      <c r="Z150" t="s">
        <v>64</v>
      </c>
      <c r="AA150" t="s">
        <v>65</v>
      </c>
      <c r="AB150" t="s">
        <v>1991</v>
      </c>
      <c r="AC150" t="s">
        <v>151</v>
      </c>
      <c r="AD150" t="s">
        <v>2500</v>
      </c>
      <c r="AE150" t="s">
        <v>153</v>
      </c>
      <c r="AF150" t="s">
        <v>2533</v>
      </c>
      <c r="AG150" t="s">
        <v>2562</v>
      </c>
      <c r="AH150">
        <v>5</v>
      </c>
      <c r="AI150" t="s">
        <v>198</v>
      </c>
      <c r="AJ150" t="s">
        <v>2563</v>
      </c>
      <c r="AK150" t="s">
        <v>156</v>
      </c>
      <c r="AM150" t="s">
        <v>75</v>
      </c>
      <c r="AN150">
        <v>850500</v>
      </c>
      <c r="AO150" s="9">
        <v>17010</v>
      </c>
    </row>
    <row r="151" spans="1:41" x14ac:dyDescent="0.25">
      <c r="A151">
        <v>150</v>
      </c>
      <c r="B151" t="s">
        <v>1305</v>
      </c>
      <c r="C151" t="s">
        <v>2564</v>
      </c>
      <c r="D151" t="s">
        <v>77</v>
      </c>
      <c r="E151" t="s">
        <v>47</v>
      </c>
      <c r="F151" t="s">
        <v>48</v>
      </c>
      <c r="G151" t="s">
        <v>1717</v>
      </c>
      <c r="H151" t="s">
        <v>2565</v>
      </c>
      <c r="I151" t="s">
        <v>2566</v>
      </c>
      <c r="J151">
        <v>2</v>
      </c>
      <c r="K151">
        <v>25.68</v>
      </c>
      <c r="L151" t="s">
        <v>2567</v>
      </c>
      <c r="M151" t="s">
        <v>2568</v>
      </c>
      <c r="N151" t="s">
        <v>187</v>
      </c>
      <c r="O151" t="s">
        <v>2569</v>
      </c>
      <c r="P151" t="s">
        <v>2570</v>
      </c>
      <c r="Q151" t="s">
        <v>2570</v>
      </c>
      <c r="R151" t="s">
        <v>2570</v>
      </c>
      <c r="S151" t="s">
        <v>2571</v>
      </c>
      <c r="T151">
        <v>1560000</v>
      </c>
      <c r="U151">
        <v>2400000</v>
      </c>
      <c r="V151" t="s">
        <v>2572</v>
      </c>
      <c r="W151" t="s">
        <v>1020</v>
      </c>
      <c r="X151" t="s">
        <v>2573</v>
      </c>
      <c r="Y151" t="s">
        <v>2574</v>
      </c>
      <c r="Z151" t="s">
        <v>93</v>
      </c>
      <c r="AA151" t="s">
        <v>2575</v>
      </c>
      <c r="AB151" t="s">
        <v>2532</v>
      </c>
      <c r="AC151" t="s">
        <v>96</v>
      </c>
      <c r="AD151" t="s">
        <v>781</v>
      </c>
      <c r="AE151" t="s">
        <v>604</v>
      </c>
      <c r="AF151" t="s">
        <v>974</v>
      </c>
      <c r="AG151" t="s">
        <v>2576</v>
      </c>
      <c r="AH151">
        <v>5</v>
      </c>
      <c r="AI151" t="s">
        <v>237</v>
      </c>
      <c r="AJ151" t="s">
        <v>2577</v>
      </c>
      <c r="AK151" t="s">
        <v>2049</v>
      </c>
      <c r="AM151" t="s">
        <v>75</v>
      </c>
      <c r="AN151">
        <v>1920000</v>
      </c>
      <c r="AO151" s="9">
        <v>38400</v>
      </c>
    </row>
    <row r="152" spans="1:41" x14ac:dyDescent="0.25">
      <c r="A152">
        <v>151</v>
      </c>
      <c r="B152" t="s">
        <v>1305</v>
      </c>
      <c r="C152" t="s">
        <v>2578</v>
      </c>
      <c r="D152" t="s">
        <v>277</v>
      </c>
      <c r="E152" t="s">
        <v>47</v>
      </c>
      <c r="F152" t="s">
        <v>48</v>
      </c>
      <c r="G152" t="s">
        <v>78</v>
      </c>
      <c r="H152" t="s">
        <v>2579</v>
      </c>
      <c r="I152" t="s">
        <v>2580</v>
      </c>
      <c r="J152">
        <v>1.5</v>
      </c>
      <c r="K152">
        <v>26.2</v>
      </c>
      <c r="L152" t="s">
        <v>2581</v>
      </c>
      <c r="M152" t="s">
        <v>2582</v>
      </c>
      <c r="N152" t="s">
        <v>83</v>
      </c>
      <c r="O152" t="s">
        <v>2583</v>
      </c>
      <c r="P152" t="s">
        <v>65</v>
      </c>
      <c r="Q152" t="s">
        <v>2584</v>
      </c>
      <c r="R152" t="s">
        <v>65</v>
      </c>
      <c r="S152" t="s">
        <v>2585</v>
      </c>
      <c r="T152">
        <v>2970000</v>
      </c>
      <c r="U152">
        <v>4950000</v>
      </c>
      <c r="V152" t="s">
        <v>2586</v>
      </c>
      <c r="W152" t="s">
        <v>90</v>
      </c>
      <c r="X152" t="s">
        <v>2587</v>
      </c>
      <c r="Y152" t="s">
        <v>2588</v>
      </c>
      <c r="Z152" t="s">
        <v>93</v>
      </c>
      <c r="AA152" t="s">
        <v>2589</v>
      </c>
      <c r="AB152" t="s">
        <v>2590</v>
      </c>
      <c r="AC152" t="s">
        <v>151</v>
      </c>
      <c r="AD152" t="s">
        <v>98</v>
      </c>
      <c r="AE152" t="s">
        <v>98</v>
      </c>
      <c r="AF152" t="s">
        <v>2533</v>
      </c>
      <c r="AG152" t="s">
        <v>2591</v>
      </c>
      <c r="AH152">
        <v>3</v>
      </c>
      <c r="AI152" t="s">
        <v>100</v>
      </c>
      <c r="AJ152" t="s">
        <v>2592</v>
      </c>
      <c r="AK152" t="s">
        <v>97</v>
      </c>
      <c r="AM152" t="s">
        <v>157</v>
      </c>
      <c r="AN152">
        <v>4207500</v>
      </c>
      <c r="AO152" s="9">
        <v>63112.5</v>
      </c>
    </row>
    <row r="153" spans="1:41" x14ac:dyDescent="0.25">
      <c r="A153">
        <v>152</v>
      </c>
      <c r="B153" t="s">
        <v>1305</v>
      </c>
      <c r="C153" t="s">
        <v>2593</v>
      </c>
      <c r="D153" t="s">
        <v>46</v>
      </c>
      <c r="E153" t="s">
        <v>47</v>
      </c>
      <c r="F153" t="s">
        <v>48</v>
      </c>
      <c r="G153" t="s">
        <v>182</v>
      </c>
      <c r="H153" t="s">
        <v>2594</v>
      </c>
      <c r="I153" t="s">
        <v>2595</v>
      </c>
      <c r="J153">
        <v>2</v>
      </c>
      <c r="K153">
        <v>25.79</v>
      </c>
      <c r="L153" t="s">
        <v>2596</v>
      </c>
      <c r="M153" t="s">
        <v>2597</v>
      </c>
      <c r="N153" t="s">
        <v>187</v>
      </c>
      <c r="O153" t="s">
        <v>2598</v>
      </c>
      <c r="P153" t="s">
        <v>2599</v>
      </c>
      <c r="Q153" t="s">
        <v>2599</v>
      </c>
      <c r="R153" t="s">
        <v>2600</v>
      </c>
      <c r="S153" t="s">
        <v>2601</v>
      </c>
      <c r="T153">
        <v>1810500</v>
      </c>
      <c r="U153">
        <v>2130000</v>
      </c>
      <c r="V153" t="s">
        <v>2602</v>
      </c>
      <c r="W153" t="s">
        <v>1097</v>
      </c>
      <c r="X153" t="s">
        <v>2603</v>
      </c>
      <c r="Y153" t="s">
        <v>2604</v>
      </c>
      <c r="Z153" t="s">
        <v>64</v>
      </c>
      <c r="AA153" t="s">
        <v>65</v>
      </c>
      <c r="AB153" t="s">
        <v>2605</v>
      </c>
      <c r="AC153" t="s">
        <v>67</v>
      </c>
      <c r="AD153" t="s">
        <v>2606</v>
      </c>
      <c r="AE153" t="s">
        <v>69</v>
      </c>
      <c r="AF153" t="s">
        <v>1319</v>
      </c>
      <c r="AG153" t="s">
        <v>2607</v>
      </c>
      <c r="AH153">
        <v>7</v>
      </c>
      <c r="AI153" t="s">
        <v>237</v>
      </c>
      <c r="AJ153" t="s">
        <v>2608</v>
      </c>
      <c r="AK153" t="s">
        <v>2049</v>
      </c>
      <c r="AM153" t="s">
        <v>75</v>
      </c>
      <c r="AN153">
        <v>1704000</v>
      </c>
      <c r="AO153" s="9">
        <v>34080</v>
      </c>
    </row>
    <row r="154" spans="1:41" x14ac:dyDescent="0.25">
      <c r="A154">
        <v>153</v>
      </c>
      <c r="B154" t="s">
        <v>1305</v>
      </c>
      <c r="C154" t="s">
        <v>2609</v>
      </c>
      <c r="D154" t="s">
        <v>46</v>
      </c>
      <c r="E154" t="s">
        <v>47</v>
      </c>
      <c r="F154" t="s">
        <v>48</v>
      </c>
      <c r="G154" t="s">
        <v>1544</v>
      </c>
      <c r="H154" t="s">
        <v>2610</v>
      </c>
      <c r="I154" t="s">
        <v>2611</v>
      </c>
      <c r="J154">
        <v>2</v>
      </c>
      <c r="K154">
        <v>25.8</v>
      </c>
      <c r="L154" t="s">
        <v>2612</v>
      </c>
      <c r="M154" t="s">
        <v>2613</v>
      </c>
      <c r="N154" t="s">
        <v>187</v>
      </c>
      <c r="O154" t="s">
        <v>2614</v>
      </c>
      <c r="P154" t="s">
        <v>2615</v>
      </c>
      <c r="Q154" t="s">
        <v>2616</v>
      </c>
      <c r="R154" t="s">
        <v>2615</v>
      </c>
      <c r="S154" t="s">
        <v>2617</v>
      </c>
      <c r="T154">
        <v>2199750</v>
      </c>
      <c r="U154">
        <v>2933000</v>
      </c>
      <c r="V154" t="s">
        <v>2618</v>
      </c>
      <c r="W154" t="s">
        <v>1020</v>
      </c>
      <c r="X154" t="s">
        <v>2619</v>
      </c>
      <c r="Y154" t="s">
        <v>2620</v>
      </c>
      <c r="Z154" t="s">
        <v>64</v>
      </c>
      <c r="AA154" t="s">
        <v>65</v>
      </c>
      <c r="AB154" t="s">
        <v>680</v>
      </c>
      <c r="AC154" t="s">
        <v>67</v>
      </c>
      <c r="AD154" t="s">
        <v>760</v>
      </c>
      <c r="AE154" t="s">
        <v>69</v>
      </c>
      <c r="AF154" t="s">
        <v>2533</v>
      </c>
      <c r="AG154" t="s">
        <v>2621</v>
      </c>
      <c r="AH154">
        <v>4</v>
      </c>
      <c r="AI154" t="s">
        <v>237</v>
      </c>
      <c r="AJ154" t="s">
        <v>2622</v>
      </c>
      <c r="AK154" t="s">
        <v>1097</v>
      </c>
      <c r="AM154" t="s">
        <v>75</v>
      </c>
      <c r="AN154">
        <v>2346400</v>
      </c>
      <c r="AO154" s="9">
        <v>46928</v>
      </c>
    </row>
    <row r="155" spans="1:41" x14ac:dyDescent="0.25">
      <c r="A155">
        <v>154</v>
      </c>
      <c r="B155" t="s">
        <v>1305</v>
      </c>
      <c r="C155" t="s">
        <v>2623</v>
      </c>
      <c r="D155" t="s">
        <v>46</v>
      </c>
      <c r="E155" t="s">
        <v>47</v>
      </c>
      <c r="F155" t="s">
        <v>48</v>
      </c>
      <c r="G155" t="s">
        <v>2070</v>
      </c>
      <c r="H155" t="s">
        <v>2624</v>
      </c>
      <c r="I155" t="s">
        <v>2625</v>
      </c>
      <c r="J155">
        <v>2</v>
      </c>
      <c r="K155">
        <v>25.84</v>
      </c>
      <c r="L155" t="s">
        <v>2626</v>
      </c>
      <c r="M155" t="s">
        <v>2627</v>
      </c>
      <c r="N155" t="s">
        <v>187</v>
      </c>
      <c r="O155" t="s">
        <v>2628</v>
      </c>
      <c r="P155" t="s">
        <v>2629</v>
      </c>
      <c r="Q155" t="s">
        <v>2630</v>
      </c>
      <c r="R155" t="s">
        <v>2631</v>
      </c>
      <c r="S155" t="s">
        <v>2632</v>
      </c>
      <c r="T155">
        <v>2042400</v>
      </c>
      <c r="U155">
        <v>2553000</v>
      </c>
      <c r="V155" t="s">
        <v>2633</v>
      </c>
      <c r="W155" t="s">
        <v>1020</v>
      </c>
      <c r="X155" t="s">
        <v>2634</v>
      </c>
      <c r="Y155" t="s">
        <v>2635</v>
      </c>
      <c r="Z155" t="s">
        <v>64</v>
      </c>
      <c r="AA155" t="s">
        <v>65</v>
      </c>
      <c r="AB155" t="s">
        <v>2636</v>
      </c>
      <c r="AC155" t="s">
        <v>67</v>
      </c>
      <c r="AD155" t="s">
        <v>2637</v>
      </c>
      <c r="AE155" t="s">
        <v>604</v>
      </c>
      <c r="AF155" t="s">
        <v>2638</v>
      </c>
      <c r="AG155" t="s">
        <v>2639</v>
      </c>
      <c r="AH155">
        <v>7</v>
      </c>
      <c r="AI155" t="s">
        <v>237</v>
      </c>
      <c r="AJ155" t="s">
        <v>2640</v>
      </c>
      <c r="AK155" t="s">
        <v>2049</v>
      </c>
      <c r="AM155" t="s">
        <v>75</v>
      </c>
      <c r="AN155">
        <v>2042400</v>
      </c>
      <c r="AO155" s="9">
        <v>40848</v>
      </c>
    </row>
    <row r="156" spans="1:41" x14ac:dyDescent="0.25">
      <c r="A156">
        <v>155</v>
      </c>
      <c r="B156" t="s">
        <v>1305</v>
      </c>
      <c r="C156" t="s">
        <v>2641</v>
      </c>
      <c r="D156" t="s">
        <v>46</v>
      </c>
      <c r="E156" t="s">
        <v>47</v>
      </c>
      <c r="F156" t="s">
        <v>48</v>
      </c>
      <c r="G156" t="s">
        <v>1416</v>
      </c>
      <c r="H156" t="s">
        <v>2642</v>
      </c>
      <c r="I156" t="s">
        <v>2643</v>
      </c>
      <c r="J156">
        <v>2</v>
      </c>
      <c r="K156">
        <v>26.7</v>
      </c>
      <c r="L156" t="s">
        <v>2644</v>
      </c>
      <c r="M156" t="s">
        <v>2645</v>
      </c>
      <c r="N156" t="s">
        <v>83</v>
      </c>
      <c r="O156" t="s">
        <v>2646</v>
      </c>
      <c r="P156" t="s">
        <v>2647</v>
      </c>
      <c r="Q156" t="s">
        <v>2648</v>
      </c>
      <c r="R156" t="s">
        <v>2649</v>
      </c>
      <c r="S156" t="s">
        <v>2650</v>
      </c>
      <c r="T156">
        <v>2925000</v>
      </c>
      <c r="U156">
        <v>5850000</v>
      </c>
      <c r="V156" t="s">
        <v>2651</v>
      </c>
      <c r="W156" t="s">
        <v>90</v>
      </c>
      <c r="X156" t="s">
        <v>2652</v>
      </c>
      <c r="Y156" t="s">
        <v>2653</v>
      </c>
      <c r="Z156" t="s">
        <v>64</v>
      </c>
      <c r="AA156" t="s">
        <v>65</v>
      </c>
      <c r="AB156" t="s">
        <v>2654</v>
      </c>
      <c r="AC156" t="s">
        <v>531</v>
      </c>
      <c r="AD156" t="s">
        <v>61</v>
      </c>
      <c r="AE156" t="s">
        <v>98</v>
      </c>
      <c r="AF156" t="s">
        <v>2533</v>
      </c>
      <c r="AG156" t="s">
        <v>2655</v>
      </c>
      <c r="AH156">
        <v>3</v>
      </c>
      <c r="AI156" t="s">
        <v>100</v>
      </c>
      <c r="AJ156" t="s">
        <v>2656</v>
      </c>
      <c r="AK156" t="s">
        <v>97</v>
      </c>
      <c r="AM156" t="s">
        <v>75</v>
      </c>
      <c r="AN156">
        <v>4972500</v>
      </c>
      <c r="AO156" s="9">
        <v>99450</v>
      </c>
    </row>
    <row r="157" spans="1:41" x14ac:dyDescent="0.25">
      <c r="A157">
        <v>156</v>
      </c>
      <c r="B157" t="s">
        <v>1305</v>
      </c>
      <c r="C157" t="s">
        <v>2657</v>
      </c>
      <c r="D157" t="s">
        <v>77</v>
      </c>
      <c r="E157" t="s">
        <v>47</v>
      </c>
      <c r="F157" t="s">
        <v>48</v>
      </c>
      <c r="G157" t="s">
        <v>2658</v>
      </c>
      <c r="H157" t="s">
        <v>2659</v>
      </c>
      <c r="I157" t="s">
        <v>2660</v>
      </c>
      <c r="J157">
        <v>1.75</v>
      </c>
      <c r="K157">
        <v>25.2</v>
      </c>
      <c r="L157" t="s">
        <v>2661</v>
      </c>
      <c r="M157" t="s">
        <v>2662</v>
      </c>
      <c r="N157" t="s">
        <v>187</v>
      </c>
      <c r="O157" t="s">
        <v>2663</v>
      </c>
      <c r="P157" t="s">
        <v>65</v>
      </c>
      <c r="Q157" t="s">
        <v>2664</v>
      </c>
      <c r="R157" t="s">
        <v>65</v>
      </c>
      <c r="S157" t="s">
        <v>2665</v>
      </c>
      <c r="T157">
        <v>2052000</v>
      </c>
      <c r="U157">
        <v>3600000</v>
      </c>
      <c r="V157" t="s">
        <v>2666</v>
      </c>
      <c r="W157" t="s">
        <v>90</v>
      </c>
      <c r="X157" t="s">
        <v>2667</v>
      </c>
      <c r="Y157" t="s">
        <v>2668</v>
      </c>
      <c r="Z157" t="s">
        <v>93</v>
      </c>
      <c r="AA157" t="s">
        <v>2669</v>
      </c>
      <c r="AB157" t="s">
        <v>1959</v>
      </c>
      <c r="AC157" t="s">
        <v>96</v>
      </c>
      <c r="AD157" t="s">
        <v>97</v>
      </c>
      <c r="AE157" t="s">
        <v>98</v>
      </c>
      <c r="AF157" t="s">
        <v>2533</v>
      </c>
      <c r="AG157" t="s">
        <v>2670</v>
      </c>
      <c r="AH157">
        <v>3</v>
      </c>
      <c r="AI157" t="s">
        <v>100</v>
      </c>
      <c r="AJ157" t="s">
        <v>97</v>
      </c>
      <c r="AK157" t="s">
        <v>90</v>
      </c>
      <c r="AM157" t="s">
        <v>102</v>
      </c>
      <c r="AN157">
        <v>3060000</v>
      </c>
      <c r="AO157" s="9">
        <v>53550.000000000007</v>
      </c>
    </row>
    <row r="158" spans="1:41" x14ac:dyDescent="0.25">
      <c r="A158">
        <v>157</v>
      </c>
      <c r="B158" t="s">
        <v>1305</v>
      </c>
      <c r="C158" t="s">
        <v>2671</v>
      </c>
      <c r="D158" t="s">
        <v>46</v>
      </c>
      <c r="E158" t="s">
        <v>47</v>
      </c>
      <c r="F158" t="s">
        <v>48</v>
      </c>
      <c r="G158" t="s">
        <v>313</v>
      </c>
      <c r="H158" t="s">
        <v>2672</v>
      </c>
      <c r="I158" t="s">
        <v>2673</v>
      </c>
      <c r="J158">
        <v>2</v>
      </c>
      <c r="K158">
        <v>25.68</v>
      </c>
      <c r="L158" t="s">
        <v>2674</v>
      </c>
      <c r="M158" t="s">
        <v>2675</v>
      </c>
      <c r="N158" t="s">
        <v>83</v>
      </c>
      <c r="O158" t="s">
        <v>2676</v>
      </c>
      <c r="P158" t="s">
        <v>2677</v>
      </c>
      <c r="Q158" t="s">
        <v>2677</v>
      </c>
      <c r="R158" t="s">
        <v>167</v>
      </c>
      <c r="S158" t="s">
        <v>2678</v>
      </c>
      <c r="T158">
        <v>2700000</v>
      </c>
      <c r="U158">
        <v>3375000</v>
      </c>
      <c r="V158" t="s">
        <v>2679</v>
      </c>
      <c r="W158" t="s">
        <v>1020</v>
      </c>
      <c r="X158" t="s">
        <v>2680</v>
      </c>
      <c r="Y158" t="s">
        <v>2681</v>
      </c>
      <c r="Z158" t="s">
        <v>64</v>
      </c>
      <c r="AA158" t="s">
        <v>65</v>
      </c>
      <c r="AB158" t="s">
        <v>378</v>
      </c>
      <c r="AC158" t="s">
        <v>67</v>
      </c>
      <c r="AD158" t="s">
        <v>2682</v>
      </c>
      <c r="AE158" t="s">
        <v>604</v>
      </c>
      <c r="AF158" t="s">
        <v>974</v>
      </c>
      <c r="AG158" t="s">
        <v>2683</v>
      </c>
      <c r="AH158">
        <v>5</v>
      </c>
      <c r="AI158" t="s">
        <v>237</v>
      </c>
      <c r="AJ158" t="s">
        <v>2684</v>
      </c>
      <c r="AK158" t="s">
        <v>1523</v>
      </c>
      <c r="AM158" t="s">
        <v>75</v>
      </c>
      <c r="AN158">
        <v>2700000</v>
      </c>
      <c r="AO158" s="9">
        <v>54000</v>
      </c>
    </row>
    <row r="159" spans="1:41" x14ac:dyDescent="0.25">
      <c r="A159">
        <v>158</v>
      </c>
      <c r="B159" t="s">
        <v>1305</v>
      </c>
      <c r="C159" t="s">
        <v>2685</v>
      </c>
      <c r="D159" t="s">
        <v>277</v>
      </c>
      <c r="E159" t="s">
        <v>47</v>
      </c>
      <c r="F159" t="s">
        <v>48</v>
      </c>
      <c r="G159" t="s">
        <v>2521</v>
      </c>
      <c r="H159" t="s">
        <v>2686</v>
      </c>
      <c r="I159" t="s">
        <v>2687</v>
      </c>
      <c r="J159">
        <v>1.75</v>
      </c>
      <c r="K159">
        <v>26.7</v>
      </c>
      <c r="L159" t="s">
        <v>2688</v>
      </c>
      <c r="M159" t="s">
        <v>2689</v>
      </c>
      <c r="N159" t="s">
        <v>187</v>
      </c>
      <c r="O159" t="s">
        <v>2690</v>
      </c>
      <c r="P159" t="s">
        <v>652</v>
      </c>
      <c r="Q159" t="s">
        <v>2691</v>
      </c>
      <c r="R159" t="s">
        <v>2692</v>
      </c>
      <c r="S159" t="s">
        <v>2693</v>
      </c>
      <c r="T159">
        <v>1382500</v>
      </c>
      <c r="U159">
        <v>1975000</v>
      </c>
      <c r="V159" t="s">
        <v>2694</v>
      </c>
      <c r="W159" t="s">
        <v>90</v>
      </c>
      <c r="X159" t="s">
        <v>2695</v>
      </c>
      <c r="Y159" t="s">
        <v>2696</v>
      </c>
      <c r="Z159" t="s">
        <v>93</v>
      </c>
      <c r="AA159" t="s">
        <v>2697</v>
      </c>
      <c r="AB159" t="s">
        <v>642</v>
      </c>
      <c r="AC159" t="s">
        <v>96</v>
      </c>
      <c r="AD159" t="s">
        <v>97</v>
      </c>
      <c r="AE159" t="s">
        <v>98</v>
      </c>
      <c r="AF159" t="s">
        <v>2698</v>
      </c>
      <c r="AG159" t="s">
        <v>2699</v>
      </c>
      <c r="AH159">
        <v>5</v>
      </c>
      <c r="AI159" t="s">
        <v>100</v>
      </c>
      <c r="AJ159" t="s">
        <v>2700</v>
      </c>
      <c r="AK159" t="s">
        <v>97</v>
      </c>
      <c r="AM159" t="s">
        <v>102</v>
      </c>
      <c r="AN159">
        <v>1678750</v>
      </c>
      <c r="AO159" s="9">
        <v>29378.125000000004</v>
      </c>
    </row>
    <row r="160" spans="1:41" hidden="1" x14ac:dyDescent="0.25">
      <c r="A160">
        <v>159</v>
      </c>
      <c r="B160" t="s">
        <v>1305</v>
      </c>
      <c r="C160" t="s">
        <v>2701</v>
      </c>
      <c r="D160" t="s">
        <v>277</v>
      </c>
      <c r="E160" t="s">
        <v>47</v>
      </c>
      <c r="F160" t="s">
        <v>48</v>
      </c>
      <c r="G160" t="s">
        <v>516</v>
      </c>
      <c r="H160" t="s">
        <v>2702</v>
      </c>
      <c r="I160" t="s">
        <v>2703</v>
      </c>
      <c r="J160">
        <v>1.75</v>
      </c>
      <c r="K160">
        <v>25.68</v>
      </c>
      <c r="L160" t="s">
        <v>2704</v>
      </c>
      <c r="M160" t="s">
        <v>2705</v>
      </c>
      <c r="N160" t="s">
        <v>187</v>
      </c>
      <c r="O160" t="s">
        <v>2706</v>
      </c>
      <c r="P160" t="s">
        <v>652</v>
      </c>
      <c r="Q160" t="s">
        <v>2707</v>
      </c>
      <c r="R160" t="s">
        <v>2708</v>
      </c>
      <c r="S160" t="s">
        <v>2709</v>
      </c>
      <c r="T160">
        <v>3291000</v>
      </c>
      <c r="U160">
        <v>5485000</v>
      </c>
      <c r="V160" t="s">
        <v>2710</v>
      </c>
      <c r="W160" t="s">
        <v>1020</v>
      </c>
      <c r="X160" t="s">
        <v>2711</v>
      </c>
      <c r="Y160" t="s">
        <v>2712</v>
      </c>
      <c r="Z160" t="s">
        <v>64</v>
      </c>
      <c r="AA160" t="s">
        <v>65</v>
      </c>
      <c r="AB160" t="s">
        <v>2713</v>
      </c>
      <c r="AC160" t="s">
        <v>67</v>
      </c>
      <c r="AD160" t="s">
        <v>876</v>
      </c>
      <c r="AE160" t="s">
        <v>1127</v>
      </c>
      <c r="AF160" t="s">
        <v>1128</v>
      </c>
      <c r="AG160" t="s">
        <v>2714</v>
      </c>
      <c r="AH160">
        <v>3</v>
      </c>
      <c r="AI160" t="s">
        <v>237</v>
      </c>
      <c r="AJ160" t="s">
        <v>2715</v>
      </c>
      <c r="AK160" t="s">
        <v>2049</v>
      </c>
      <c r="AM160" t="s">
        <v>102</v>
      </c>
      <c r="AN160">
        <v>0</v>
      </c>
      <c r="AO160">
        <v>0</v>
      </c>
    </row>
    <row r="161" spans="1:41" x14ac:dyDescent="0.25">
      <c r="A161">
        <v>160</v>
      </c>
      <c r="B161" t="s">
        <v>1305</v>
      </c>
      <c r="C161" t="s">
        <v>2716</v>
      </c>
      <c r="D161" t="s">
        <v>46</v>
      </c>
      <c r="E161" t="s">
        <v>47</v>
      </c>
      <c r="F161" t="s">
        <v>48</v>
      </c>
      <c r="G161" t="s">
        <v>2717</v>
      </c>
      <c r="H161" t="s">
        <v>2718</v>
      </c>
      <c r="I161" t="s">
        <v>2719</v>
      </c>
      <c r="J161">
        <v>2</v>
      </c>
      <c r="K161">
        <v>25.78</v>
      </c>
      <c r="L161" t="s">
        <v>2720</v>
      </c>
      <c r="M161" t="s">
        <v>2721</v>
      </c>
      <c r="N161" t="s">
        <v>1085</v>
      </c>
      <c r="O161" t="s">
        <v>2722</v>
      </c>
      <c r="P161" t="s">
        <v>2723</v>
      </c>
      <c r="Q161" t="s">
        <v>2723</v>
      </c>
      <c r="R161" t="s">
        <v>2723</v>
      </c>
      <c r="S161" t="s">
        <v>2724</v>
      </c>
      <c r="T161">
        <v>2956850</v>
      </c>
      <c r="U161">
        <v>4549000</v>
      </c>
      <c r="V161" t="s">
        <v>2725</v>
      </c>
      <c r="W161" t="s">
        <v>1020</v>
      </c>
      <c r="X161" t="s">
        <v>2726</v>
      </c>
      <c r="Y161" t="s">
        <v>2727</v>
      </c>
      <c r="Z161" t="s">
        <v>64</v>
      </c>
      <c r="AA161" t="s">
        <v>65</v>
      </c>
      <c r="AB161" t="s">
        <v>234</v>
      </c>
      <c r="AC161" t="s">
        <v>67</v>
      </c>
      <c r="AD161" t="s">
        <v>2728</v>
      </c>
      <c r="AE161" t="s">
        <v>604</v>
      </c>
      <c r="AF161" t="s">
        <v>974</v>
      </c>
      <c r="AG161" t="s">
        <v>2729</v>
      </c>
      <c r="AH161">
        <v>5</v>
      </c>
      <c r="AI161" t="s">
        <v>511</v>
      </c>
      <c r="AJ161" t="s">
        <v>2730</v>
      </c>
      <c r="AK161" t="s">
        <v>1097</v>
      </c>
      <c r="AM161" t="s">
        <v>75</v>
      </c>
      <c r="AN161">
        <v>3639200</v>
      </c>
      <c r="AO161" s="9">
        <v>72784</v>
      </c>
    </row>
    <row r="162" spans="1:41" x14ac:dyDescent="0.25">
      <c r="A162">
        <v>161</v>
      </c>
      <c r="B162" t="s">
        <v>1305</v>
      </c>
      <c r="C162" t="s">
        <v>2731</v>
      </c>
      <c r="D162" t="s">
        <v>77</v>
      </c>
      <c r="E162" t="s">
        <v>47</v>
      </c>
      <c r="F162" t="s">
        <v>48</v>
      </c>
      <c r="G162" t="s">
        <v>609</v>
      </c>
      <c r="H162" t="s">
        <v>2732</v>
      </c>
      <c r="I162" t="s">
        <v>2733</v>
      </c>
      <c r="J162">
        <v>1.75</v>
      </c>
      <c r="K162">
        <v>25.2</v>
      </c>
      <c r="L162" t="s">
        <v>2734</v>
      </c>
      <c r="M162" t="s">
        <v>2735</v>
      </c>
      <c r="N162" t="s">
        <v>83</v>
      </c>
      <c r="O162" t="s">
        <v>2736</v>
      </c>
      <c r="P162" t="s">
        <v>2737</v>
      </c>
      <c r="Q162" t="s">
        <v>2738</v>
      </c>
      <c r="R162" t="s">
        <v>167</v>
      </c>
      <c r="S162" t="s">
        <v>2739</v>
      </c>
      <c r="T162">
        <v>1798000</v>
      </c>
      <c r="U162">
        <v>2900000</v>
      </c>
      <c r="V162" t="s">
        <v>2740</v>
      </c>
      <c r="W162" t="s">
        <v>90</v>
      </c>
      <c r="X162" t="s">
        <v>2741</v>
      </c>
      <c r="Y162" t="s">
        <v>2742</v>
      </c>
      <c r="Z162" t="s">
        <v>93</v>
      </c>
      <c r="AA162" t="s">
        <v>2743</v>
      </c>
      <c r="AB162" t="s">
        <v>95</v>
      </c>
      <c r="AC162" t="s">
        <v>67</v>
      </c>
      <c r="AD162" t="s">
        <v>97</v>
      </c>
      <c r="AE162" t="s">
        <v>98</v>
      </c>
      <c r="AF162" t="s">
        <v>2533</v>
      </c>
      <c r="AG162" t="s">
        <v>2744</v>
      </c>
      <c r="AH162">
        <v>3</v>
      </c>
      <c r="AI162" t="s">
        <v>100</v>
      </c>
      <c r="AJ162" t="s">
        <v>2745</v>
      </c>
      <c r="AK162" t="s">
        <v>97</v>
      </c>
      <c r="AM162" t="s">
        <v>102</v>
      </c>
      <c r="AN162">
        <v>2465000</v>
      </c>
      <c r="AO162" s="9">
        <v>43137.500000000007</v>
      </c>
    </row>
    <row r="163" spans="1:41" x14ac:dyDescent="0.25">
      <c r="A163">
        <v>162</v>
      </c>
      <c r="B163" t="s">
        <v>1305</v>
      </c>
      <c r="C163" t="s">
        <v>2746</v>
      </c>
      <c r="D163" t="s">
        <v>136</v>
      </c>
      <c r="E163" t="s">
        <v>47</v>
      </c>
      <c r="F163" t="s">
        <v>48</v>
      </c>
      <c r="G163" t="s">
        <v>366</v>
      </c>
      <c r="H163" t="s">
        <v>2747</v>
      </c>
      <c r="I163" t="s">
        <v>2748</v>
      </c>
      <c r="J163">
        <v>1.5</v>
      </c>
      <c r="K163">
        <v>26.93</v>
      </c>
      <c r="L163" t="s">
        <v>2749</v>
      </c>
      <c r="M163" t="s">
        <v>2750</v>
      </c>
      <c r="N163" t="s">
        <v>187</v>
      </c>
      <c r="O163" t="s">
        <v>2751</v>
      </c>
      <c r="P163" t="s">
        <v>65</v>
      </c>
      <c r="Q163" t="s">
        <v>2752</v>
      </c>
      <c r="R163" t="s">
        <v>65</v>
      </c>
      <c r="S163" t="s">
        <v>2753</v>
      </c>
      <c r="T163">
        <v>7347200</v>
      </c>
      <c r="U163">
        <v>9184000</v>
      </c>
      <c r="V163" t="s">
        <v>146</v>
      </c>
      <c r="W163" t="s">
        <v>1097</v>
      </c>
      <c r="X163" t="s">
        <v>2754</v>
      </c>
      <c r="Y163" t="s">
        <v>2755</v>
      </c>
      <c r="Z163" t="s">
        <v>64</v>
      </c>
      <c r="AA163" t="s">
        <v>65</v>
      </c>
      <c r="AB163" t="s">
        <v>2756</v>
      </c>
      <c r="AC163" t="s">
        <v>151</v>
      </c>
      <c r="AD163" t="s">
        <v>1504</v>
      </c>
      <c r="AE163" t="s">
        <v>1539</v>
      </c>
      <c r="AF163" t="s">
        <v>2370</v>
      </c>
      <c r="AG163" t="s">
        <v>2757</v>
      </c>
      <c r="AH163">
        <v>7</v>
      </c>
      <c r="AI163" t="s">
        <v>100</v>
      </c>
      <c r="AJ163" t="s">
        <v>2758</v>
      </c>
      <c r="AK163" t="s">
        <v>953</v>
      </c>
      <c r="AM163" t="s">
        <v>157</v>
      </c>
      <c r="AN163">
        <v>6888000</v>
      </c>
      <c r="AO163" s="9">
        <v>103320</v>
      </c>
    </row>
    <row r="164" spans="1:41" x14ac:dyDescent="0.25">
      <c r="A164">
        <v>163</v>
      </c>
      <c r="B164" t="s">
        <v>1305</v>
      </c>
      <c r="C164" t="s">
        <v>2759</v>
      </c>
      <c r="D164" t="s">
        <v>77</v>
      </c>
      <c r="E164" t="s">
        <v>47</v>
      </c>
      <c r="F164" t="s">
        <v>48</v>
      </c>
      <c r="G164" t="s">
        <v>78</v>
      </c>
      <c r="H164" t="s">
        <v>2760</v>
      </c>
      <c r="I164" t="s">
        <v>2761</v>
      </c>
      <c r="J164">
        <v>1.75</v>
      </c>
      <c r="K164">
        <v>25.45</v>
      </c>
      <c r="L164" t="s">
        <v>2762</v>
      </c>
      <c r="M164" t="s">
        <v>2763</v>
      </c>
      <c r="N164" t="s">
        <v>83</v>
      </c>
      <c r="O164" t="s">
        <v>2764</v>
      </c>
      <c r="P164" t="s">
        <v>2765</v>
      </c>
      <c r="Q164" t="s">
        <v>2765</v>
      </c>
      <c r="R164" t="s">
        <v>2766</v>
      </c>
      <c r="S164" t="s">
        <v>2767</v>
      </c>
      <c r="T164">
        <v>1655500</v>
      </c>
      <c r="U164">
        <v>2365000</v>
      </c>
      <c r="V164" t="s">
        <v>2768</v>
      </c>
      <c r="W164" t="s">
        <v>90</v>
      </c>
      <c r="X164" t="s">
        <v>2769</v>
      </c>
      <c r="Y164" t="s">
        <v>2770</v>
      </c>
      <c r="Z164" t="s">
        <v>93</v>
      </c>
      <c r="AA164" t="s">
        <v>2771</v>
      </c>
      <c r="AB164" t="s">
        <v>530</v>
      </c>
      <c r="AC164" t="s">
        <v>67</v>
      </c>
      <c r="AD164" t="s">
        <v>97</v>
      </c>
      <c r="AE164" t="s">
        <v>98</v>
      </c>
      <c r="AF164" t="s">
        <v>2698</v>
      </c>
      <c r="AG164" t="s">
        <v>2772</v>
      </c>
      <c r="AH164">
        <v>5</v>
      </c>
      <c r="AI164" t="s">
        <v>100</v>
      </c>
      <c r="AJ164" t="s">
        <v>2773</v>
      </c>
      <c r="AK164" t="s">
        <v>97</v>
      </c>
      <c r="AM164" t="s">
        <v>102</v>
      </c>
      <c r="AN164">
        <v>2010250</v>
      </c>
      <c r="AO164" s="9">
        <v>35179.375</v>
      </c>
    </row>
    <row r="165" spans="1:41" x14ac:dyDescent="0.25">
      <c r="A165">
        <v>164</v>
      </c>
      <c r="B165" t="s">
        <v>1305</v>
      </c>
      <c r="C165" t="s">
        <v>2774</v>
      </c>
      <c r="D165" t="s">
        <v>277</v>
      </c>
      <c r="E165" t="s">
        <v>47</v>
      </c>
      <c r="F165" t="s">
        <v>48</v>
      </c>
      <c r="G165" t="s">
        <v>609</v>
      </c>
      <c r="H165" t="s">
        <v>2775</v>
      </c>
      <c r="I165" t="s">
        <v>2776</v>
      </c>
      <c r="J165">
        <v>1.75</v>
      </c>
      <c r="K165">
        <v>26.19</v>
      </c>
      <c r="L165" t="s">
        <v>2777</v>
      </c>
      <c r="M165" t="s">
        <v>2104</v>
      </c>
      <c r="N165" t="s">
        <v>83</v>
      </c>
      <c r="O165" t="s">
        <v>2778</v>
      </c>
      <c r="P165" t="s">
        <v>65</v>
      </c>
      <c r="Q165" t="s">
        <v>2779</v>
      </c>
      <c r="R165" t="s">
        <v>65</v>
      </c>
      <c r="S165" t="s">
        <v>2780</v>
      </c>
      <c r="T165">
        <v>1026000</v>
      </c>
      <c r="U165">
        <v>1900000</v>
      </c>
      <c r="V165" t="s">
        <v>2781</v>
      </c>
      <c r="W165" t="s">
        <v>1945</v>
      </c>
      <c r="X165" t="s">
        <v>2782</v>
      </c>
      <c r="Y165" t="s">
        <v>2783</v>
      </c>
      <c r="Z165" t="s">
        <v>93</v>
      </c>
      <c r="AA165" t="s">
        <v>2784</v>
      </c>
      <c r="AB165" t="s">
        <v>2785</v>
      </c>
      <c r="AC165" t="s">
        <v>662</v>
      </c>
      <c r="AD165" t="s">
        <v>774</v>
      </c>
      <c r="AE165" t="s">
        <v>453</v>
      </c>
      <c r="AF165" t="s">
        <v>1430</v>
      </c>
      <c r="AG165" t="s">
        <v>2786</v>
      </c>
      <c r="AH165">
        <v>3</v>
      </c>
      <c r="AI165" t="s">
        <v>100</v>
      </c>
      <c r="AJ165" t="s">
        <v>2787</v>
      </c>
      <c r="AK165" t="s">
        <v>857</v>
      </c>
      <c r="AM165" t="s">
        <v>102</v>
      </c>
      <c r="AN165">
        <v>1615000</v>
      </c>
      <c r="AO165" s="9">
        <v>28262.500000000004</v>
      </c>
    </row>
    <row r="166" spans="1:41" x14ac:dyDescent="0.25">
      <c r="A166">
        <v>165</v>
      </c>
      <c r="B166" t="s">
        <v>1305</v>
      </c>
      <c r="C166" t="s">
        <v>2788</v>
      </c>
      <c r="D166" t="s">
        <v>77</v>
      </c>
      <c r="E166" t="s">
        <v>47</v>
      </c>
      <c r="F166" t="s">
        <v>48</v>
      </c>
      <c r="G166" t="s">
        <v>1636</v>
      </c>
      <c r="H166" t="s">
        <v>2789</v>
      </c>
      <c r="I166" t="s">
        <v>2790</v>
      </c>
      <c r="J166">
        <v>1.75</v>
      </c>
      <c r="K166">
        <v>25.44</v>
      </c>
      <c r="L166" t="s">
        <v>2791</v>
      </c>
      <c r="M166" t="s">
        <v>2792</v>
      </c>
      <c r="N166" t="s">
        <v>83</v>
      </c>
      <c r="O166" t="s">
        <v>2793</v>
      </c>
      <c r="P166" t="s">
        <v>65</v>
      </c>
      <c r="Q166" t="s">
        <v>2794</v>
      </c>
      <c r="R166" t="s">
        <v>65</v>
      </c>
      <c r="S166" t="s">
        <v>2795</v>
      </c>
      <c r="T166">
        <v>1652000</v>
      </c>
      <c r="U166">
        <v>2360000</v>
      </c>
      <c r="V166" t="s">
        <v>2796</v>
      </c>
      <c r="W166" t="s">
        <v>1945</v>
      </c>
      <c r="X166" t="s">
        <v>2797</v>
      </c>
      <c r="Y166" t="s">
        <v>2798</v>
      </c>
      <c r="Z166" t="s">
        <v>93</v>
      </c>
      <c r="AA166" t="s">
        <v>2799</v>
      </c>
      <c r="AB166" t="s">
        <v>1696</v>
      </c>
      <c r="AC166" t="s">
        <v>531</v>
      </c>
      <c r="AD166" t="s">
        <v>774</v>
      </c>
      <c r="AE166" t="s">
        <v>453</v>
      </c>
      <c r="AF166" t="s">
        <v>2370</v>
      </c>
      <c r="AG166" t="s">
        <v>2800</v>
      </c>
      <c r="AH166">
        <v>5</v>
      </c>
      <c r="AI166" t="s">
        <v>100</v>
      </c>
      <c r="AJ166" t="s">
        <v>2801</v>
      </c>
      <c r="AK166" t="s">
        <v>906</v>
      </c>
      <c r="AM166" t="s">
        <v>102</v>
      </c>
      <c r="AN166">
        <v>2006000</v>
      </c>
      <c r="AO166" s="9">
        <v>35105</v>
      </c>
    </row>
    <row r="167" spans="1:41" x14ac:dyDescent="0.25">
      <c r="A167">
        <v>166</v>
      </c>
      <c r="B167" t="s">
        <v>1305</v>
      </c>
      <c r="C167" t="s">
        <v>2802</v>
      </c>
      <c r="D167" t="s">
        <v>277</v>
      </c>
      <c r="E167" t="s">
        <v>47</v>
      </c>
      <c r="F167" t="s">
        <v>48</v>
      </c>
      <c r="G167" t="s">
        <v>421</v>
      </c>
      <c r="H167" t="s">
        <v>2803</v>
      </c>
      <c r="I167" t="s">
        <v>2804</v>
      </c>
      <c r="J167">
        <v>1.75</v>
      </c>
      <c r="K167">
        <v>26.7</v>
      </c>
      <c r="L167" t="s">
        <v>2805</v>
      </c>
      <c r="M167" t="s">
        <v>2806</v>
      </c>
      <c r="N167" t="s">
        <v>187</v>
      </c>
      <c r="O167" t="s">
        <v>2807</v>
      </c>
      <c r="P167" t="s">
        <v>2808</v>
      </c>
      <c r="Q167" t="s">
        <v>2808</v>
      </c>
      <c r="R167" t="s">
        <v>2808</v>
      </c>
      <c r="S167" t="s">
        <v>2809</v>
      </c>
      <c r="T167">
        <v>1282000</v>
      </c>
      <c r="U167">
        <v>2564000</v>
      </c>
      <c r="V167" t="s">
        <v>2810</v>
      </c>
      <c r="W167" t="s">
        <v>90</v>
      </c>
      <c r="X167" t="s">
        <v>2811</v>
      </c>
      <c r="Y167" t="s">
        <v>2812</v>
      </c>
      <c r="Z167" t="s">
        <v>64</v>
      </c>
      <c r="AA167" t="s">
        <v>65</v>
      </c>
      <c r="AB167" t="s">
        <v>642</v>
      </c>
      <c r="AC167" t="s">
        <v>531</v>
      </c>
      <c r="AD167" t="s">
        <v>97</v>
      </c>
      <c r="AE167" t="s">
        <v>98</v>
      </c>
      <c r="AF167" t="s">
        <v>2698</v>
      </c>
      <c r="AG167" t="s">
        <v>2813</v>
      </c>
      <c r="AH167">
        <v>5</v>
      </c>
      <c r="AI167" t="s">
        <v>100</v>
      </c>
      <c r="AJ167" t="s">
        <v>2814</v>
      </c>
      <c r="AK167" t="s">
        <v>97</v>
      </c>
      <c r="AM167" t="s">
        <v>102</v>
      </c>
      <c r="AN167">
        <v>2179400</v>
      </c>
      <c r="AO167" s="9">
        <v>38139.5</v>
      </c>
    </row>
    <row r="168" spans="1:41" x14ac:dyDescent="0.25">
      <c r="A168">
        <v>167</v>
      </c>
      <c r="B168" t="s">
        <v>1305</v>
      </c>
      <c r="C168" t="s">
        <v>2815</v>
      </c>
      <c r="D168" t="s">
        <v>77</v>
      </c>
      <c r="E168" t="s">
        <v>47</v>
      </c>
      <c r="F168" t="s">
        <v>48</v>
      </c>
      <c r="G168" t="s">
        <v>2144</v>
      </c>
      <c r="H168" t="s">
        <v>2816</v>
      </c>
      <c r="I168" t="s">
        <v>2817</v>
      </c>
      <c r="J168">
        <v>1.75</v>
      </c>
      <c r="K168">
        <v>25.7</v>
      </c>
      <c r="L168" t="s">
        <v>2818</v>
      </c>
      <c r="M168" t="s">
        <v>2819</v>
      </c>
      <c r="N168" t="s">
        <v>187</v>
      </c>
      <c r="O168" t="s">
        <v>2820</v>
      </c>
      <c r="P168" t="s">
        <v>2821</v>
      </c>
      <c r="Q168" t="s">
        <v>2821</v>
      </c>
      <c r="R168" t="s">
        <v>2821</v>
      </c>
      <c r="S168" t="s">
        <v>2822</v>
      </c>
      <c r="T168">
        <v>2394000</v>
      </c>
      <c r="U168">
        <v>3420000</v>
      </c>
      <c r="V168" t="s">
        <v>2823</v>
      </c>
      <c r="W168" t="s">
        <v>90</v>
      </c>
      <c r="X168" t="s">
        <v>2824</v>
      </c>
      <c r="Y168" t="s">
        <v>2825</v>
      </c>
      <c r="Z168" t="s">
        <v>64</v>
      </c>
      <c r="AA168" t="s">
        <v>65</v>
      </c>
      <c r="AB168" t="s">
        <v>2826</v>
      </c>
      <c r="AC168" t="s">
        <v>531</v>
      </c>
      <c r="AD168" t="s">
        <v>97</v>
      </c>
      <c r="AE168" t="s">
        <v>98</v>
      </c>
      <c r="AF168" t="s">
        <v>2533</v>
      </c>
      <c r="AG168" t="s">
        <v>2827</v>
      </c>
      <c r="AH168">
        <v>3</v>
      </c>
      <c r="AI168" t="s">
        <v>100</v>
      </c>
      <c r="AJ168" t="s">
        <v>2828</v>
      </c>
      <c r="AK168" t="s">
        <v>97</v>
      </c>
      <c r="AM168" t="s">
        <v>102</v>
      </c>
      <c r="AN168">
        <v>2907000</v>
      </c>
      <c r="AO168" s="9">
        <v>50872.500000000007</v>
      </c>
    </row>
    <row r="169" spans="1:41" x14ac:dyDescent="0.25">
      <c r="A169">
        <v>168</v>
      </c>
      <c r="B169" t="s">
        <v>1305</v>
      </c>
      <c r="C169" t="s">
        <v>2829</v>
      </c>
      <c r="D169" t="s">
        <v>77</v>
      </c>
      <c r="E169" t="s">
        <v>47</v>
      </c>
      <c r="F169" t="s">
        <v>48</v>
      </c>
      <c r="G169" t="s">
        <v>2658</v>
      </c>
      <c r="H169" t="s">
        <v>2830</v>
      </c>
      <c r="I169" t="s">
        <v>2831</v>
      </c>
      <c r="J169">
        <v>1.75</v>
      </c>
      <c r="K169">
        <v>25.45</v>
      </c>
      <c r="L169" t="s">
        <v>2832</v>
      </c>
      <c r="M169" t="s">
        <v>2833</v>
      </c>
      <c r="N169" t="s">
        <v>187</v>
      </c>
      <c r="O169" t="s">
        <v>2834</v>
      </c>
      <c r="P169" t="s">
        <v>2835</v>
      </c>
      <c r="Q169" t="s">
        <v>2835</v>
      </c>
      <c r="R169" t="s">
        <v>2836</v>
      </c>
      <c r="S169" t="s">
        <v>2837</v>
      </c>
      <c r="T169">
        <v>1618500</v>
      </c>
      <c r="U169">
        <v>2490000</v>
      </c>
      <c r="V169" t="s">
        <v>2838</v>
      </c>
      <c r="W169" t="s">
        <v>90</v>
      </c>
      <c r="X169" t="s">
        <v>2839</v>
      </c>
      <c r="Y169" t="s">
        <v>2840</v>
      </c>
      <c r="Z169" t="s">
        <v>93</v>
      </c>
      <c r="AA169" t="s">
        <v>2841</v>
      </c>
      <c r="AB169" t="s">
        <v>2842</v>
      </c>
      <c r="AC169" t="s">
        <v>175</v>
      </c>
      <c r="AD169" t="s">
        <v>97</v>
      </c>
      <c r="AE169" t="s">
        <v>98</v>
      </c>
      <c r="AF169" t="s">
        <v>2698</v>
      </c>
      <c r="AG169" t="s">
        <v>2843</v>
      </c>
      <c r="AH169">
        <v>5</v>
      </c>
      <c r="AI169" t="s">
        <v>100</v>
      </c>
      <c r="AJ169" t="s">
        <v>2844</v>
      </c>
      <c r="AK169" t="s">
        <v>97</v>
      </c>
      <c r="AM169" t="s">
        <v>102</v>
      </c>
      <c r="AN169">
        <v>2116500</v>
      </c>
      <c r="AO169" s="9">
        <v>37038.75</v>
      </c>
    </row>
    <row r="170" spans="1:41" x14ac:dyDescent="0.25">
      <c r="A170">
        <v>169</v>
      </c>
      <c r="B170" t="s">
        <v>1305</v>
      </c>
      <c r="C170" t="s">
        <v>2845</v>
      </c>
      <c r="D170" t="s">
        <v>77</v>
      </c>
      <c r="E170" t="s">
        <v>47</v>
      </c>
      <c r="F170" t="s">
        <v>48</v>
      </c>
      <c r="G170" t="s">
        <v>629</v>
      </c>
      <c r="H170" t="s">
        <v>2846</v>
      </c>
      <c r="I170" t="s">
        <v>2847</v>
      </c>
      <c r="J170">
        <v>1.75</v>
      </c>
      <c r="K170">
        <v>25.7</v>
      </c>
      <c r="L170" t="s">
        <v>2848</v>
      </c>
      <c r="M170" t="s">
        <v>2849</v>
      </c>
      <c r="N170" t="s">
        <v>187</v>
      </c>
      <c r="O170" t="s">
        <v>2850</v>
      </c>
      <c r="P170" t="s">
        <v>2851</v>
      </c>
      <c r="Q170" t="s">
        <v>2851</v>
      </c>
      <c r="R170" t="s">
        <v>65</v>
      </c>
      <c r="S170" t="s">
        <v>2852</v>
      </c>
      <c r="T170">
        <v>717920</v>
      </c>
      <c r="U170">
        <v>2564000</v>
      </c>
      <c r="V170" t="s">
        <v>2853</v>
      </c>
      <c r="W170" t="s">
        <v>90</v>
      </c>
      <c r="X170" t="s">
        <v>2854</v>
      </c>
      <c r="Y170" t="s">
        <v>2855</v>
      </c>
      <c r="Z170" t="s">
        <v>64</v>
      </c>
      <c r="AA170" t="s">
        <v>65</v>
      </c>
      <c r="AB170" t="s">
        <v>642</v>
      </c>
      <c r="AC170" t="s">
        <v>531</v>
      </c>
      <c r="AD170" t="s">
        <v>97</v>
      </c>
      <c r="AE170" t="s">
        <v>98</v>
      </c>
      <c r="AF170" t="s">
        <v>2533</v>
      </c>
      <c r="AG170" t="s">
        <v>2856</v>
      </c>
      <c r="AH170">
        <v>3</v>
      </c>
      <c r="AI170" t="s">
        <v>100</v>
      </c>
      <c r="AJ170" t="s">
        <v>2857</v>
      </c>
      <c r="AK170" t="s">
        <v>97</v>
      </c>
      <c r="AM170" t="s">
        <v>102</v>
      </c>
      <c r="AN170">
        <v>2179400</v>
      </c>
      <c r="AO170" s="9">
        <v>38139.5</v>
      </c>
    </row>
    <row r="171" spans="1:41" x14ac:dyDescent="0.25">
      <c r="A171">
        <v>170</v>
      </c>
      <c r="B171" t="s">
        <v>1305</v>
      </c>
      <c r="C171" t="s">
        <v>2858</v>
      </c>
      <c r="D171" t="s">
        <v>77</v>
      </c>
      <c r="E171" t="s">
        <v>47</v>
      </c>
      <c r="F171" t="s">
        <v>48</v>
      </c>
      <c r="G171" t="s">
        <v>2521</v>
      </c>
      <c r="H171" t="s">
        <v>2859</v>
      </c>
      <c r="I171" t="s">
        <v>2860</v>
      </c>
      <c r="J171">
        <v>1.75</v>
      </c>
      <c r="K171">
        <v>25.45</v>
      </c>
      <c r="L171" t="s">
        <v>2861</v>
      </c>
      <c r="M171" t="s">
        <v>2862</v>
      </c>
      <c r="N171" t="s">
        <v>187</v>
      </c>
      <c r="O171" t="s">
        <v>2863</v>
      </c>
      <c r="P171" t="s">
        <v>2864</v>
      </c>
      <c r="Q171" t="s">
        <v>2864</v>
      </c>
      <c r="R171" t="s">
        <v>2864</v>
      </c>
      <c r="S171" t="s">
        <v>2865</v>
      </c>
      <c r="T171">
        <v>1216000</v>
      </c>
      <c r="U171">
        <v>1900000</v>
      </c>
      <c r="V171" t="s">
        <v>2866</v>
      </c>
      <c r="W171" t="s">
        <v>90</v>
      </c>
      <c r="X171" t="s">
        <v>2867</v>
      </c>
      <c r="Y171" t="s">
        <v>2868</v>
      </c>
      <c r="Z171" t="s">
        <v>93</v>
      </c>
      <c r="AA171" t="s">
        <v>2869</v>
      </c>
      <c r="AB171" t="s">
        <v>2870</v>
      </c>
      <c r="AC171" t="s">
        <v>96</v>
      </c>
      <c r="AD171" t="s">
        <v>97</v>
      </c>
      <c r="AE171" t="s">
        <v>98</v>
      </c>
      <c r="AF171" t="s">
        <v>2698</v>
      </c>
      <c r="AG171" t="s">
        <v>2871</v>
      </c>
      <c r="AH171">
        <v>5</v>
      </c>
      <c r="AI171" t="s">
        <v>72</v>
      </c>
      <c r="AJ171" t="s">
        <v>2872</v>
      </c>
      <c r="AK171" t="s">
        <v>97</v>
      </c>
      <c r="AM171" t="s">
        <v>102</v>
      </c>
      <c r="AN171">
        <v>1615000</v>
      </c>
      <c r="AO171" s="9">
        <v>28262.500000000004</v>
      </c>
    </row>
    <row r="172" spans="1:41" x14ac:dyDescent="0.25">
      <c r="A172">
        <v>171</v>
      </c>
      <c r="B172" t="s">
        <v>1305</v>
      </c>
      <c r="C172" t="s">
        <v>2873</v>
      </c>
      <c r="D172" t="s">
        <v>46</v>
      </c>
      <c r="E172" t="s">
        <v>47</v>
      </c>
      <c r="F172" t="s">
        <v>48</v>
      </c>
      <c r="G172" t="s">
        <v>2874</v>
      </c>
      <c r="H172" t="s">
        <v>2875</v>
      </c>
      <c r="I172" t="s">
        <v>2876</v>
      </c>
      <c r="J172">
        <v>2</v>
      </c>
      <c r="K172">
        <v>25.79</v>
      </c>
      <c r="L172" t="s">
        <v>2877</v>
      </c>
      <c r="M172" t="s">
        <v>2878</v>
      </c>
      <c r="N172" t="s">
        <v>187</v>
      </c>
      <c r="O172" t="s">
        <v>2879</v>
      </c>
      <c r="P172" t="s">
        <v>2880</v>
      </c>
      <c r="Q172" t="s">
        <v>2880</v>
      </c>
      <c r="R172" t="s">
        <v>2880</v>
      </c>
      <c r="S172" t="s">
        <v>2881</v>
      </c>
      <c r="T172">
        <v>3314350</v>
      </c>
      <c r="U172">
        <v>5099000</v>
      </c>
      <c r="V172" t="s">
        <v>2882</v>
      </c>
      <c r="W172" t="s">
        <v>147</v>
      </c>
      <c r="X172" t="s">
        <v>2883</v>
      </c>
      <c r="Y172" t="s">
        <v>2884</v>
      </c>
      <c r="Z172" t="s">
        <v>64</v>
      </c>
      <c r="AA172" t="s">
        <v>65</v>
      </c>
      <c r="AB172" t="s">
        <v>2885</v>
      </c>
      <c r="AC172" t="s">
        <v>67</v>
      </c>
      <c r="AD172" t="s">
        <v>2886</v>
      </c>
      <c r="AE172" t="s">
        <v>69</v>
      </c>
      <c r="AF172" t="s">
        <v>1007</v>
      </c>
      <c r="AG172" t="s">
        <v>2887</v>
      </c>
      <c r="AH172">
        <v>5</v>
      </c>
      <c r="AI172" t="s">
        <v>237</v>
      </c>
      <c r="AJ172" t="s">
        <v>2888</v>
      </c>
      <c r="AK172" t="s">
        <v>74</v>
      </c>
      <c r="AM172" t="s">
        <v>75</v>
      </c>
      <c r="AN172">
        <v>4079200</v>
      </c>
      <c r="AO172" s="9">
        <v>81584</v>
      </c>
    </row>
    <row r="173" spans="1:41" x14ac:dyDescent="0.25">
      <c r="A173">
        <v>172</v>
      </c>
      <c r="B173" t="s">
        <v>1305</v>
      </c>
      <c r="C173" t="s">
        <v>2889</v>
      </c>
      <c r="D173" t="s">
        <v>46</v>
      </c>
      <c r="E173" t="s">
        <v>47</v>
      </c>
      <c r="F173" t="s">
        <v>48</v>
      </c>
      <c r="G173" t="s">
        <v>182</v>
      </c>
      <c r="H173" t="s">
        <v>2890</v>
      </c>
      <c r="I173" t="s">
        <v>2891</v>
      </c>
      <c r="J173">
        <v>2</v>
      </c>
      <c r="K173">
        <v>25.8</v>
      </c>
      <c r="L173" t="s">
        <v>2892</v>
      </c>
      <c r="M173" t="s">
        <v>2893</v>
      </c>
      <c r="N173" t="s">
        <v>2894</v>
      </c>
      <c r="O173" t="s">
        <v>2895</v>
      </c>
      <c r="P173" t="s">
        <v>65</v>
      </c>
      <c r="Q173" t="s">
        <v>2896</v>
      </c>
      <c r="R173" t="s">
        <v>2897</v>
      </c>
      <c r="S173" t="s">
        <v>2898</v>
      </c>
      <c r="T173">
        <v>1064700</v>
      </c>
      <c r="U173">
        <v>1521000</v>
      </c>
      <c r="V173" t="s">
        <v>2899</v>
      </c>
      <c r="W173" t="s">
        <v>971</v>
      </c>
      <c r="X173" t="s">
        <v>2900</v>
      </c>
      <c r="Y173" t="s">
        <v>2901</v>
      </c>
      <c r="Z173" t="s">
        <v>64</v>
      </c>
      <c r="AA173" t="s">
        <v>65</v>
      </c>
      <c r="AB173" t="s">
        <v>1664</v>
      </c>
      <c r="AC173" t="s">
        <v>67</v>
      </c>
      <c r="AD173" t="s">
        <v>1094</v>
      </c>
      <c r="AE173" t="s">
        <v>69</v>
      </c>
      <c r="AF173" t="s">
        <v>1007</v>
      </c>
      <c r="AG173" t="s">
        <v>2902</v>
      </c>
      <c r="AH173">
        <v>5</v>
      </c>
      <c r="AI173" t="s">
        <v>511</v>
      </c>
      <c r="AJ173" t="s">
        <v>2903</v>
      </c>
      <c r="AK173" t="s">
        <v>876</v>
      </c>
      <c r="AM173" t="s">
        <v>75</v>
      </c>
      <c r="AN173">
        <v>1216800</v>
      </c>
      <c r="AO173" s="9">
        <v>24336</v>
      </c>
    </row>
    <row r="174" spans="1:41" x14ac:dyDescent="0.25">
      <c r="A174">
        <v>173</v>
      </c>
      <c r="B174" t="s">
        <v>1305</v>
      </c>
      <c r="C174" t="s">
        <v>2904</v>
      </c>
      <c r="D174" t="s">
        <v>241</v>
      </c>
      <c r="E174" t="s">
        <v>47</v>
      </c>
      <c r="F174" t="s">
        <v>48</v>
      </c>
      <c r="G174" t="s">
        <v>994</v>
      </c>
      <c r="H174" t="s">
        <v>2905</v>
      </c>
      <c r="I174" t="s">
        <v>2906</v>
      </c>
      <c r="J174">
        <v>2</v>
      </c>
      <c r="K174">
        <v>26.18</v>
      </c>
      <c r="L174" t="s">
        <v>2907</v>
      </c>
      <c r="M174" t="s">
        <v>2908</v>
      </c>
      <c r="N174" t="s">
        <v>1085</v>
      </c>
      <c r="O174" t="s">
        <v>2909</v>
      </c>
      <c r="P174" t="s">
        <v>2910</v>
      </c>
      <c r="Q174" t="s">
        <v>2910</v>
      </c>
      <c r="R174" t="s">
        <v>2910</v>
      </c>
      <c r="S174" t="s">
        <v>2911</v>
      </c>
      <c r="T174">
        <v>1148000</v>
      </c>
      <c r="U174">
        <v>1640000</v>
      </c>
      <c r="V174" t="s">
        <v>2912</v>
      </c>
      <c r="W174" t="s">
        <v>971</v>
      </c>
      <c r="X174" t="s">
        <v>2913</v>
      </c>
      <c r="Y174" t="s">
        <v>2914</v>
      </c>
      <c r="Z174" t="s">
        <v>64</v>
      </c>
      <c r="AA174" t="s">
        <v>65</v>
      </c>
      <c r="AB174" t="s">
        <v>1790</v>
      </c>
      <c r="AC174" t="s">
        <v>67</v>
      </c>
      <c r="AD174" t="s">
        <v>1397</v>
      </c>
      <c r="AE174" t="s">
        <v>399</v>
      </c>
      <c r="AF174" t="s">
        <v>1354</v>
      </c>
      <c r="AG174" t="s">
        <v>2915</v>
      </c>
      <c r="AH174">
        <v>5</v>
      </c>
      <c r="AI174" t="s">
        <v>511</v>
      </c>
      <c r="AJ174" t="s">
        <v>2916</v>
      </c>
      <c r="AK174" t="s">
        <v>876</v>
      </c>
      <c r="AM174" t="s">
        <v>75</v>
      </c>
      <c r="AN174">
        <v>1312000</v>
      </c>
      <c r="AO174" s="9">
        <v>26240</v>
      </c>
    </row>
    <row r="175" spans="1:41" x14ac:dyDescent="0.25">
      <c r="A175">
        <v>174</v>
      </c>
      <c r="B175" t="s">
        <v>1305</v>
      </c>
      <c r="C175" t="s">
        <v>2917</v>
      </c>
      <c r="D175" t="s">
        <v>912</v>
      </c>
      <c r="E175" t="s">
        <v>47</v>
      </c>
      <c r="F175" t="s">
        <v>48</v>
      </c>
      <c r="G175" t="s">
        <v>2918</v>
      </c>
      <c r="H175" t="s">
        <v>2919</v>
      </c>
      <c r="I175" t="s">
        <v>2920</v>
      </c>
      <c r="J175">
        <v>1.5</v>
      </c>
      <c r="K175">
        <v>26.78</v>
      </c>
      <c r="L175" t="s">
        <v>2921</v>
      </c>
      <c r="M175" t="s">
        <v>2922</v>
      </c>
      <c r="N175" t="s">
        <v>187</v>
      </c>
      <c r="O175" t="s">
        <v>2923</v>
      </c>
      <c r="P175" t="s">
        <v>2924</v>
      </c>
      <c r="Q175" t="s">
        <v>2924</v>
      </c>
      <c r="R175" t="s">
        <v>2925</v>
      </c>
      <c r="S175" t="s">
        <v>2926</v>
      </c>
      <c r="T175">
        <v>4072500</v>
      </c>
      <c r="U175">
        <v>5430000</v>
      </c>
      <c r="V175" t="s">
        <v>2927</v>
      </c>
      <c r="W175" t="s">
        <v>147</v>
      </c>
      <c r="X175" t="s">
        <v>2928</v>
      </c>
      <c r="Y175" t="s">
        <v>2929</v>
      </c>
      <c r="Z175" t="s">
        <v>64</v>
      </c>
      <c r="AA175" t="s">
        <v>65</v>
      </c>
      <c r="AB175" t="s">
        <v>116</v>
      </c>
      <c r="AC175" t="s">
        <v>151</v>
      </c>
      <c r="AD175" t="s">
        <v>2500</v>
      </c>
      <c r="AE175" t="s">
        <v>153</v>
      </c>
      <c r="AF175" t="s">
        <v>2533</v>
      </c>
      <c r="AG175" t="s">
        <v>2930</v>
      </c>
      <c r="AH175">
        <v>5</v>
      </c>
      <c r="AI175" t="s">
        <v>65</v>
      </c>
      <c r="AJ175" t="s">
        <v>65</v>
      </c>
      <c r="AK175" t="s">
        <v>65</v>
      </c>
      <c r="AM175" t="s">
        <v>157</v>
      </c>
      <c r="AN175">
        <v>4072500</v>
      </c>
      <c r="AO175" s="9">
        <v>61087.5</v>
      </c>
    </row>
    <row r="176" spans="1:41" x14ac:dyDescent="0.25">
      <c r="A176">
        <v>175</v>
      </c>
      <c r="B176" t="s">
        <v>1305</v>
      </c>
      <c r="C176" t="s">
        <v>2931</v>
      </c>
      <c r="D176" t="s">
        <v>136</v>
      </c>
      <c r="E176" t="s">
        <v>47</v>
      </c>
      <c r="F176" t="s">
        <v>48</v>
      </c>
      <c r="G176" t="s">
        <v>2932</v>
      </c>
      <c r="H176" t="s">
        <v>2933</v>
      </c>
      <c r="I176" t="s">
        <v>2934</v>
      </c>
      <c r="J176">
        <v>1.5</v>
      </c>
      <c r="K176">
        <v>26.78</v>
      </c>
      <c r="L176" t="s">
        <v>2935</v>
      </c>
      <c r="M176" t="s">
        <v>2936</v>
      </c>
      <c r="N176" t="s">
        <v>187</v>
      </c>
      <c r="O176" t="s">
        <v>2937</v>
      </c>
      <c r="P176" t="s">
        <v>2938</v>
      </c>
      <c r="Q176" t="s">
        <v>2939</v>
      </c>
      <c r="R176" t="s">
        <v>2940</v>
      </c>
      <c r="S176" t="s">
        <v>2941</v>
      </c>
      <c r="T176">
        <v>3961710</v>
      </c>
      <c r="U176">
        <v>5427000</v>
      </c>
      <c r="V176" t="s">
        <v>2942</v>
      </c>
      <c r="W176" t="s">
        <v>147</v>
      </c>
      <c r="X176" t="s">
        <v>2943</v>
      </c>
      <c r="Y176" t="s">
        <v>2944</v>
      </c>
      <c r="Z176" t="s">
        <v>64</v>
      </c>
      <c r="AA176" t="s">
        <v>65</v>
      </c>
      <c r="AB176" t="s">
        <v>2945</v>
      </c>
      <c r="AC176" t="s">
        <v>151</v>
      </c>
      <c r="AD176" t="s">
        <v>2946</v>
      </c>
      <c r="AE176" t="s">
        <v>2947</v>
      </c>
      <c r="AF176" t="s">
        <v>2948</v>
      </c>
      <c r="AG176" t="s">
        <v>2949</v>
      </c>
      <c r="AH176">
        <v>5</v>
      </c>
      <c r="AI176" t="s">
        <v>65</v>
      </c>
      <c r="AJ176" t="s">
        <v>65</v>
      </c>
      <c r="AK176" t="s">
        <v>65</v>
      </c>
      <c r="AM176" t="s">
        <v>157</v>
      </c>
      <c r="AN176">
        <v>4070250</v>
      </c>
      <c r="AO176" s="9">
        <v>61053.75</v>
      </c>
    </row>
    <row r="177" spans="1:41" x14ac:dyDescent="0.25">
      <c r="A177">
        <v>176</v>
      </c>
      <c r="B177" t="s">
        <v>1305</v>
      </c>
      <c r="C177" t="s">
        <v>2950</v>
      </c>
      <c r="D177" t="s">
        <v>241</v>
      </c>
      <c r="E177" t="s">
        <v>47</v>
      </c>
      <c r="F177" t="s">
        <v>48</v>
      </c>
      <c r="G177" t="s">
        <v>2951</v>
      </c>
      <c r="H177" t="s">
        <v>2952</v>
      </c>
      <c r="I177" t="s">
        <v>2953</v>
      </c>
      <c r="J177">
        <v>2</v>
      </c>
      <c r="K177">
        <v>26.34</v>
      </c>
      <c r="L177" t="s">
        <v>2954</v>
      </c>
      <c r="M177" t="s">
        <v>2955</v>
      </c>
      <c r="N177" t="s">
        <v>164</v>
      </c>
      <c r="O177" t="s">
        <v>2956</v>
      </c>
      <c r="P177" t="s">
        <v>2957</v>
      </c>
      <c r="Q177" t="s">
        <v>65</v>
      </c>
      <c r="R177" t="s">
        <v>167</v>
      </c>
      <c r="S177" t="s">
        <v>2958</v>
      </c>
      <c r="T177">
        <v>1281000</v>
      </c>
      <c r="U177">
        <v>1830000</v>
      </c>
      <c r="V177" t="s">
        <v>2959</v>
      </c>
      <c r="W177" t="s">
        <v>971</v>
      </c>
      <c r="X177" t="s">
        <v>2960</v>
      </c>
      <c r="Y177" t="s">
        <v>2961</v>
      </c>
      <c r="Z177" t="s">
        <v>64</v>
      </c>
      <c r="AA177" t="s">
        <v>65</v>
      </c>
      <c r="AB177" t="s">
        <v>195</v>
      </c>
      <c r="AC177" t="s">
        <v>67</v>
      </c>
      <c r="AD177" t="s">
        <v>196</v>
      </c>
      <c r="AE177" t="s">
        <v>399</v>
      </c>
      <c r="AF177" t="s">
        <v>1354</v>
      </c>
      <c r="AG177" t="s">
        <v>2962</v>
      </c>
      <c r="AH177">
        <v>5</v>
      </c>
      <c r="AI177" t="s">
        <v>198</v>
      </c>
      <c r="AJ177" t="s">
        <v>2963</v>
      </c>
      <c r="AK177" t="s">
        <v>876</v>
      </c>
      <c r="AM177" t="s">
        <v>75</v>
      </c>
      <c r="AN177">
        <v>1464000</v>
      </c>
      <c r="AO177" s="9">
        <v>29280</v>
      </c>
    </row>
    <row r="178" spans="1:41" x14ac:dyDescent="0.25">
      <c r="A178">
        <v>177</v>
      </c>
      <c r="B178" t="s">
        <v>1305</v>
      </c>
      <c r="C178" t="s">
        <v>2964</v>
      </c>
      <c r="D178" t="s">
        <v>46</v>
      </c>
      <c r="E178" t="s">
        <v>47</v>
      </c>
      <c r="F178" t="s">
        <v>48</v>
      </c>
      <c r="G178" t="s">
        <v>182</v>
      </c>
      <c r="H178" t="s">
        <v>2965</v>
      </c>
      <c r="I178" t="s">
        <v>2966</v>
      </c>
      <c r="J178">
        <v>2</v>
      </c>
      <c r="K178">
        <v>25.79</v>
      </c>
      <c r="L178" t="s">
        <v>2967</v>
      </c>
      <c r="M178" t="s">
        <v>2968</v>
      </c>
      <c r="N178" t="s">
        <v>83</v>
      </c>
      <c r="O178" t="s">
        <v>2969</v>
      </c>
      <c r="P178" t="s">
        <v>2970</v>
      </c>
      <c r="Q178" t="s">
        <v>2970</v>
      </c>
      <c r="R178" t="s">
        <v>167</v>
      </c>
      <c r="S178" t="s">
        <v>2971</v>
      </c>
      <c r="T178">
        <v>1290070</v>
      </c>
      <c r="U178">
        <v>1633000</v>
      </c>
      <c r="V178" t="s">
        <v>2972</v>
      </c>
      <c r="W178" t="s">
        <v>971</v>
      </c>
      <c r="X178" t="s">
        <v>2973</v>
      </c>
      <c r="Y178" t="s">
        <v>2974</v>
      </c>
      <c r="Z178" t="s">
        <v>64</v>
      </c>
      <c r="AA178" t="s">
        <v>65</v>
      </c>
      <c r="AB178" t="s">
        <v>1696</v>
      </c>
      <c r="AC178" t="s">
        <v>67</v>
      </c>
      <c r="AD178" t="s">
        <v>1094</v>
      </c>
      <c r="AE178" t="s">
        <v>604</v>
      </c>
      <c r="AF178" t="s">
        <v>2638</v>
      </c>
      <c r="AG178" t="s">
        <v>2975</v>
      </c>
      <c r="AH178">
        <v>7</v>
      </c>
      <c r="AI178" t="s">
        <v>237</v>
      </c>
      <c r="AJ178" t="s">
        <v>2976</v>
      </c>
      <c r="AK178" t="s">
        <v>1042</v>
      </c>
      <c r="AM178" t="s">
        <v>75</v>
      </c>
      <c r="AN178">
        <v>1306400</v>
      </c>
      <c r="AO178" s="9">
        <v>26128</v>
      </c>
    </row>
    <row r="179" spans="1:41" x14ac:dyDescent="0.25">
      <c r="A179">
        <v>178</v>
      </c>
      <c r="B179" t="s">
        <v>1305</v>
      </c>
      <c r="C179" t="s">
        <v>2977</v>
      </c>
      <c r="D179" t="s">
        <v>46</v>
      </c>
      <c r="E179" t="s">
        <v>47</v>
      </c>
      <c r="F179" t="s">
        <v>48</v>
      </c>
      <c r="G179" t="s">
        <v>2932</v>
      </c>
      <c r="H179" t="s">
        <v>2978</v>
      </c>
      <c r="I179" t="s">
        <v>2979</v>
      </c>
      <c r="J179">
        <v>1.5</v>
      </c>
      <c r="K179">
        <v>25.8</v>
      </c>
      <c r="L179" t="s">
        <v>2980</v>
      </c>
      <c r="M179" t="s">
        <v>2981</v>
      </c>
      <c r="N179" t="s">
        <v>187</v>
      </c>
      <c r="O179" t="s">
        <v>2982</v>
      </c>
      <c r="P179" t="s">
        <v>2983</v>
      </c>
      <c r="Q179" t="s">
        <v>2983</v>
      </c>
      <c r="R179" t="s">
        <v>2984</v>
      </c>
      <c r="S179" t="s">
        <v>2985</v>
      </c>
      <c r="T179">
        <v>3324000</v>
      </c>
      <c r="U179">
        <v>4432000</v>
      </c>
      <c r="V179" t="s">
        <v>2986</v>
      </c>
      <c r="W179" t="s">
        <v>61</v>
      </c>
      <c r="X179" t="s">
        <v>2987</v>
      </c>
      <c r="Y179" t="s">
        <v>2988</v>
      </c>
      <c r="Z179" t="s">
        <v>64</v>
      </c>
      <c r="AA179" t="s">
        <v>65</v>
      </c>
      <c r="AB179" t="s">
        <v>2989</v>
      </c>
      <c r="AC179" t="s">
        <v>67</v>
      </c>
      <c r="AD179" t="s">
        <v>1469</v>
      </c>
      <c r="AE179" t="s">
        <v>69</v>
      </c>
      <c r="AF179" t="s">
        <v>2533</v>
      </c>
      <c r="AG179" t="s">
        <v>2990</v>
      </c>
      <c r="AH179">
        <v>4</v>
      </c>
      <c r="AI179" t="s">
        <v>65</v>
      </c>
      <c r="AJ179" t="s">
        <v>65</v>
      </c>
      <c r="AK179" t="s">
        <v>65</v>
      </c>
      <c r="AM179" t="s">
        <v>157</v>
      </c>
      <c r="AN179">
        <v>3545600</v>
      </c>
      <c r="AO179" s="9">
        <v>53184</v>
      </c>
    </row>
    <row r="180" spans="1:41" x14ac:dyDescent="0.25">
      <c r="A180">
        <v>179</v>
      </c>
      <c r="B180" t="s">
        <v>1305</v>
      </c>
      <c r="C180" t="s">
        <v>2991</v>
      </c>
      <c r="D180" t="s">
        <v>136</v>
      </c>
      <c r="E180" t="s">
        <v>47</v>
      </c>
      <c r="F180" t="s">
        <v>48</v>
      </c>
      <c r="G180" t="s">
        <v>2992</v>
      </c>
      <c r="H180" t="s">
        <v>2993</v>
      </c>
      <c r="I180" t="s">
        <v>2994</v>
      </c>
      <c r="J180">
        <v>2</v>
      </c>
      <c r="K180">
        <v>26.93</v>
      </c>
      <c r="L180" t="s">
        <v>2995</v>
      </c>
      <c r="M180" t="s">
        <v>2996</v>
      </c>
      <c r="N180" t="s">
        <v>578</v>
      </c>
      <c r="O180" t="s">
        <v>2997</v>
      </c>
      <c r="P180" t="s">
        <v>2998</v>
      </c>
      <c r="Q180" t="s">
        <v>2999</v>
      </c>
      <c r="R180" t="s">
        <v>3000</v>
      </c>
      <c r="S180" t="s">
        <v>3001</v>
      </c>
      <c r="T180">
        <v>1796250</v>
      </c>
      <c r="U180">
        <v>2395000</v>
      </c>
      <c r="V180" t="s">
        <v>3002</v>
      </c>
      <c r="W180" t="s">
        <v>2049</v>
      </c>
      <c r="X180" t="s">
        <v>3003</v>
      </c>
      <c r="Y180" t="s">
        <v>3004</v>
      </c>
      <c r="Z180" t="s">
        <v>64</v>
      </c>
      <c r="AA180" t="s">
        <v>65</v>
      </c>
      <c r="AB180" t="s">
        <v>1335</v>
      </c>
      <c r="AC180" t="s">
        <v>151</v>
      </c>
      <c r="AD180" t="s">
        <v>3005</v>
      </c>
      <c r="AE180" t="s">
        <v>1539</v>
      </c>
      <c r="AF180" t="s">
        <v>1430</v>
      </c>
      <c r="AG180" t="s">
        <v>3006</v>
      </c>
      <c r="AH180">
        <v>5</v>
      </c>
      <c r="AI180" t="s">
        <v>237</v>
      </c>
      <c r="AJ180" t="s">
        <v>3007</v>
      </c>
      <c r="AK180" t="s">
        <v>1253</v>
      </c>
      <c r="AM180" t="s">
        <v>75</v>
      </c>
      <c r="AN180">
        <v>1796250</v>
      </c>
      <c r="AO180" s="9">
        <v>35925</v>
      </c>
    </row>
    <row r="181" spans="1:41" x14ac:dyDescent="0.25">
      <c r="A181">
        <v>180</v>
      </c>
      <c r="B181" t="s">
        <v>1305</v>
      </c>
      <c r="C181" t="s">
        <v>3008</v>
      </c>
      <c r="D181" t="s">
        <v>912</v>
      </c>
      <c r="E181" t="s">
        <v>47</v>
      </c>
      <c r="F181" t="s">
        <v>48</v>
      </c>
      <c r="G181" t="s">
        <v>3009</v>
      </c>
      <c r="H181" t="s">
        <v>3010</v>
      </c>
      <c r="I181" t="s">
        <v>3011</v>
      </c>
      <c r="J181">
        <v>1.5</v>
      </c>
      <c r="K181">
        <v>26.78</v>
      </c>
      <c r="L181" t="s">
        <v>3012</v>
      </c>
      <c r="M181" t="s">
        <v>3013</v>
      </c>
      <c r="N181" t="s">
        <v>187</v>
      </c>
      <c r="O181" t="s">
        <v>3014</v>
      </c>
      <c r="P181" t="s">
        <v>3015</v>
      </c>
      <c r="Q181" t="s">
        <v>3016</v>
      </c>
      <c r="R181" t="s">
        <v>3017</v>
      </c>
      <c r="S181" t="s">
        <v>3018</v>
      </c>
      <c r="T181">
        <v>3301600</v>
      </c>
      <c r="U181">
        <v>4127000</v>
      </c>
      <c r="V181" t="s">
        <v>146</v>
      </c>
      <c r="W181" t="s">
        <v>147</v>
      </c>
      <c r="X181" t="s">
        <v>3019</v>
      </c>
      <c r="Y181" t="s">
        <v>3020</v>
      </c>
      <c r="Z181" t="s">
        <v>64</v>
      </c>
      <c r="AA181" t="s">
        <v>65</v>
      </c>
      <c r="AB181" t="s">
        <v>150</v>
      </c>
      <c r="AC181" t="s">
        <v>151</v>
      </c>
      <c r="AD181" t="s">
        <v>156</v>
      </c>
      <c r="AE181" t="s">
        <v>153</v>
      </c>
      <c r="AF181" t="s">
        <v>2533</v>
      </c>
      <c r="AG181" t="s">
        <v>3021</v>
      </c>
      <c r="AH181">
        <v>5</v>
      </c>
      <c r="AI181" t="s">
        <v>2502</v>
      </c>
      <c r="AJ181" t="s">
        <v>3022</v>
      </c>
      <c r="AK181" t="s">
        <v>156</v>
      </c>
      <c r="AM181" t="s">
        <v>157</v>
      </c>
      <c r="AN181">
        <v>3095250</v>
      </c>
      <c r="AO181" s="9">
        <v>46428.75</v>
      </c>
    </row>
    <row r="182" spans="1:41" x14ac:dyDescent="0.25">
      <c r="A182">
        <v>181</v>
      </c>
      <c r="B182" t="s">
        <v>1305</v>
      </c>
      <c r="C182" t="s">
        <v>3023</v>
      </c>
      <c r="D182" t="s">
        <v>136</v>
      </c>
      <c r="E182" t="s">
        <v>47</v>
      </c>
      <c r="F182" t="s">
        <v>48</v>
      </c>
      <c r="G182" t="s">
        <v>1668</v>
      </c>
      <c r="H182" t="s">
        <v>3024</v>
      </c>
      <c r="I182" t="s">
        <v>3025</v>
      </c>
      <c r="J182">
        <v>2</v>
      </c>
      <c r="K182">
        <v>26.78</v>
      </c>
      <c r="L182" t="s">
        <v>3026</v>
      </c>
      <c r="M182" t="s">
        <v>3027</v>
      </c>
      <c r="N182" t="s">
        <v>187</v>
      </c>
      <c r="O182" t="s">
        <v>3028</v>
      </c>
      <c r="P182" t="s">
        <v>3029</v>
      </c>
      <c r="Q182" t="s">
        <v>3029</v>
      </c>
      <c r="R182" t="s">
        <v>3030</v>
      </c>
      <c r="S182" t="s">
        <v>3031</v>
      </c>
      <c r="T182">
        <v>2928750</v>
      </c>
      <c r="U182">
        <v>3905000</v>
      </c>
      <c r="V182" t="s">
        <v>146</v>
      </c>
      <c r="W182" t="s">
        <v>147</v>
      </c>
      <c r="X182" t="s">
        <v>3032</v>
      </c>
      <c r="Y182" t="s">
        <v>3033</v>
      </c>
      <c r="Z182" t="s">
        <v>64</v>
      </c>
      <c r="AA182" t="s">
        <v>65</v>
      </c>
      <c r="AB182" t="s">
        <v>150</v>
      </c>
      <c r="AC182" t="s">
        <v>151</v>
      </c>
      <c r="AD182" t="s">
        <v>152</v>
      </c>
      <c r="AE182" t="s">
        <v>153</v>
      </c>
      <c r="AF182" t="s">
        <v>2533</v>
      </c>
      <c r="AG182" t="s">
        <v>3034</v>
      </c>
      <c r="AH182">
        <v>5</v>
      </c>
      <c r="AI182" t="s">
        <v>100</v>
      </c>
      <c r="AJ182" t="s">
        <v>3035</v>
      </c>
      <c r="AK182" t="s">
        <v>170</v>
      </c>
      <c r="AM182" t="s">
        <v>75</v>
      </c>
      <c r="AN182">
        <v>2928750</v>
      </c>
      <c r="AO182" s="9">
        <v>58575</v>
      </c>
    </row>
    <row r="183" spans="1:41" x14ac:dyDescent="0.25">
      <c r="A183">
        <v>182</v>
      </c>
      <c r="B183" t="s">
        <v>1305</v>
      </c>
      <c r="C183" t="s">
        <v>3036</v>
      </c>
      <c r="D183" t="s">
        <v>241</v>
      </c>
      <c r="E183" t="s">
        <v>47</v>
      </c>
      <c r="F183" t="s">
        <v>48</v>
      </c>
      <c r="G183" t="s">
        <v>242</v>
      </c>
      <c r="H183" t="s">
        <v>3037</v>
      </c>
      <c r="I183" t="s">
        <v>3038</v>
      </c>
      <c r="J183">
        <v>2</v>
      </c>
      <c r="K183">
        <v>26.18</v>
      </c>
      <c r="L183" t="s">
        <v>3039</v>
      </c>
      <c r="M183" t="s">
        <v>3040</v>
      </c>
      <c r="N183" t="s">
        <v>83</v>
      </c>
      <c r="O183" t="s">
        <v>3041</v>
      </c>
      <c r="P183" t="s">
        <v>65</v>
      </c>
      <c r="Q183" t="s">
        <v>3042</v>
      </c>
      <c r="R183" t="s">
        <v>65</v>
      </c>
      <c r="S183" t="s">
        <v>3043</v>
      </c>
      <c r="T183">
        <v>2193750</v>
      </c>
      <c r="U183">
        <v>3375000</v>
      </c>
      <c r="V183" t="s">
        <v>3044</v>
      </c>
      <c r="W183" t="s">
        <v>971</v>
      </c>
      <c r="X183" t="s">
        <v>3045</v>
      </c>
      <c r="Y183" t="s">
        <v>3046</v>
      </c>
      <c r="Z183" t="s">
        <v>64</v>
      </c>
      <c r="AA183" t="s">
        <v>65</v>
      </c>
      <c r="AB183" t="s">
        <v>1110</v>
      </c>
      <c r="AC183" t="s">
        <v>67</v>
      </c>
      <c r="AD183" t="s">
        <v>3047</v>
      </c>
      <c r="AE183" t="s">
        <v>604</v>
      </c>
      <c r="AF183" t="s">
        <v>974</v>
      </c>
      <c r="AG183" t="s">
        <v>3048</v>
      </c>
      <c r="AH183">
        <v>5</v>
      </c>
      <c r="AI183" t="s">
        <v>237</v>
      </c>
      <c r="AJ183" t="s">
        <v>3049</v>
      </c>
      <c r="AK183" t="s">
        <v>876</v>
      </c>
      <c r="AM183" t="s">
        <v>75</v>
      </c>
      <c r="AN183">
        <v>2700000</v>
      </c>
      <c r="AO183" s="9">
        <v>54000</v>
      </c>
    </row>
    <row r="184" spans="1:41" x14ac:dyDescent="0.25">
      <c r="A184">
        <v>183</v>
      </c>
      <c r="B184" t="s">
        <v>1305</v>
      </c>
      <c r="C184" t="s">
        <v>3050</v>
      </c>
      <c r="D184" t="s">
        <v>77</v>
      </c>
      <c r="E184" t="s">
        <v>47</v>
      </c>
      <c r="F184" t="s">
        <v>48</v>
      </c>
      <c r="G184" t="s">
        <v>516</v>
      </c>
      <c r="H184" t="s">
        <v>3051</v>
      </c>
      <c r="I184" t="s">
        <v>3052</v>
      </c>
      <c r="J184">
        <v>2</v>
      </c>
      <c r="K184">
        <v>25.69</v>
      </c>
      <c r="L184" t="s">
        <v>3053</v>
      </c>
      <c r="M184" t="s">
        <v>3054</v>
      </c>
      <c r="N184" t="s">
        <v>187</v>
      </c>
      <c r="O184" t="s">
        <v>3055</v>
      </c>
      <c r="P184" t="s">
        <v>3056</v>
      </c>
      <c r="Q184" t="s">
        <v>3056</v>
      </c>
      <c r="R184" t="s">
        <v>3057</v>
      </c>
      <c r="S184" t="s">
        <v>3058</v>
      </c>
      <c r="T184">
        <v>2050000</v>
      </c>
      <c r="U184">
        <v>4100000</v>
      </c>
      <c r="V184" t="s">
        <v>3059</v>
      </c>
      <c r="W184" t="s">
        <v>61</v>
      </c>
      <c r="X184" t="s">
        <v>3060</v>
      </c>
      <c r="Y184" t="s">
        <v>3061</v>
      </c>
      <c r="Z184" t="s">
        <v>93</v>
      </c>
      <c r="AA184" t="s">
        <v>3062</v>
      </c>
      <c r="AB184" t="s">
        <v>873</v>
      </c>
      <c r="AC184" t="s">
        <v>151</v>
      </c>
      <c r="AD184" t="s">
        <v>133</v>
      </c>
      <c r="AE184" t="s">
        <v>69</v>
      </c>
      <c r="AF184" t="s">
        <v>1007</v>
      </c>
      <c r="AG184" t="s">
        <v>3063</v>
      </c>
      <c r="AH184">
        <v>5</v>
      </c>
      <c r="AI184" t="s">
        <v>237</v>
      </c>
      <c r="AJ184" t="s">
        <v>3064</v>
      </c>
      <c r="AK184" t="s">
        <v>74</v>
      </c>
      <c r="AM184" t="s">
        <v>75</v>
      </c>
      <c r="AN184">
        <v>3280000</v>
      </c>
      <c r="AO184" s="9">
        <v>65600</v>
      </c>
    </row>
    <row r="185" spans="1:41" x14ac:dyDescent="0.25">
      <c r="A185">
        <v>184</v>
      </c>
      <c r="B185" t="s">
        <v>1305</v>
      </c>
      <c r="C185" t="s">
        <v>3065</v>
      </c>
      <c r="D185" t="s">
        <v>241</v>
      </c>
      <c r="E185" t="s">
        <v>47</v>
      </c>
      <c r="F185" t="s">
        <v>48</v>
      </c>
      <c r="G185" t="s">
        <v>104</v>
      </c>
      <c r="H185" t="s">
        <v>3066</v>
      </c>
      <c r="I185" t="s">
        <v>3067</v>
      </c>
      <c r="J185">
        <v>1.75</v>
      </c>
      <c r="K185">
        <v>25.95</v>
      </c>
      <c r="L185" t="s">
        <v>3068</v>
      </c>
      <c r="M185" t="s">
        <v>3069</v>
      </c>
      <c r="N185" t="s">
        <v>187</v>
      </c>
      <c r="O185" t="s">
        <v>3070</v>
      </c>
      <c r="P185" t="s">
        <v>65</v>
      </c>
      <c r="Q185" t="s">
        <v>3071</v>
      </c>
      <c r="R185" t="s">
        <v>65</v>
      </c>
      <c r="S185" t="s">
        <v>3072</v>
      </c>
      <c r="T185">
        <v>2449500</v>
      </c>
      <c r="U185">
        <v>4899000</v>
      </c>
      <c r="V185" t="s">
        <v>3073</v>
      </c>
      <c r="W185" t="s">
        <v>971</v>
      </c>
      <c r="X185" t="s">
        <v>3074</v>
      </c>
      <c r="Y185" t="s">
        <v>3075</v>
      </c>
      <c r="Z185" t="s">
        <v>64</v>
      </c>
      <c r="AA185" t="s">
        <v>65</v>
      </c>
      <c r="AB185" t="s">
        <v>132</v>
      </c>
      <c r="AC185" t="s">
        <v>67</v>
      </c>
      <c r="AD185" t="s">
        <v>117</v>
      </c>
      <c r="AE185" t="s">
        <v>69</v>
      </c>
      <c r="AF185" t="s">
        <v>1007</v>
      </c>
      <c r="AG185" t="s">
        <v>3076</v>
      </c>
      <c r="AH185">
        <v>5</v>
      </c>
      <c r="AI185" t="s">
        <v>198</v>
      </c>
      <c r="AJ185" t="s">
        <v>3077</v>
      </c>
      <c r="AK185" t="s">
        <v>781</v>
      </c>
      <c r="AM185" t="s">
        <v>102</v>
      </c>
      <c r="AN185">
        <v>3919200</v>
      </c>
      <c r="AO185" s="9">
        <v>68586</v>
      </c>
    </row>
    <row r="186" spans="1:41" x14ac:dyDescent="0.25">
      <c r="A186">
        <v>185</v>
      </c>
      <c r="B186" t="s">
        <v>1305</v>
      </c>
      <c r="C186" t="s">
        <v>3078</v>
      </c>
      <c r="D186" t="s">
        <v>1238</v>
      </c>
      <c r="E186" t="s">
        <v>47</v>
      </c>
      <c r="F186" t="s">
        <v>48</v>
      </c>
      <c r="G186" t="s">
        <v>3079</v>
      </c>
      <c r="H186" t="s">
        <v>3080</v>
      </c>
      <c r="I186" t="s">
        <v>3081</v>
      </c>
      <c r="J186">
        <v>2</v>
      </c>
      <c r="K186">
        <v>27.28</v>
      </c>
      <c r="L186" t="s">
        <v>3082</v>
      </c>
      <c r="M186" t="s">
        <v>3083</v>
      </c>
      <c r="N186" t="s">
        <v>83</v>
      </c>
      <c r="O186" t="s">
        <v>3084</v>
      </c>
      <c r="P186" t="s">
        <v>3085</v>
      </c>
      <c r="Q186" t="s">
        <v>3085</v>
      </c>
      <c r="R186" t="s">
        <v>167</v>
      </c>
      <c r="S186" t="s">
        <v>3086</v>
      </c>
      <c r="T186">
        <v>2437500</v>
      </c>
      <c r="U186">
        <v>3250000</v>
      </c>
      <c r="V186" t="s">
        <v>3087</v>
      </c>
      <c r="W186" t="s">
        <v>147</v>
      </c>
      <c r="X186" t="s">
        <v>3088</v>
      </c>
      <c r="Y186" t="s">
        <v>3089</v>
      </c>
      <c r="Z186" t="s">
        <v>93</v>
      </c>
      <c r="AA186" t="s">
        <v>3090</v>
      </c>
      <c r="AB186" t="s">
        <v>3091</v>
      </c>
      <c r="AC186" t="s">
        <v>96</v>
      </c>
      <c r="AD186" t="s">
        <v>156</v>
      </c>
      <c r="AE186" t="s">
        <v>153</v>
      </c>
      <c r="AF186" t="s">
        <v>2533</v>
      </c>
      <c r="AG186" t="s">
        <v>3092</v>
      </c>
      <c r="AH186">
        <v>5</v>
      </c>
      <c r="AI186" t="s">
        <v>2502</v>
      </c>
      <c r="AJ186" t="s">
        <v>3093</v>
      </c>
      <c r="AK186" t="s">
        <v>156</v>
      </c>
      <c r="AM186" t="s">
        <v>75</v>
      </c>
      <c r="AN186">
        <v>2437500</v>
      </c>
      <c r="AO186" s="9">
        <v>48750</v>
      </c>
    </row>
    <row r="187" spans="1:41" x14ac:dyDescent="0.25">
      <c r="A187">
        <v>186</v>
      </c>
      <c r="B187" t="s">
        <v>1305</v>
      </c>
      <c r="C187" t="s">
        <v>3094</v>
      </c>
      <c r="D187" t="s">
        <v>77</v>
      </c>
      <c r="E187" t="s">
        <v>47</v>
      </c>
      <c r="F187" t="s">
        <v>48</v>
      </c>
      <c r="G187" t="s">
        <v>3095</v>
      </c>
      <c r="H187" t="s">
        <v>3096</v>
      </c>
      <c r="I187" t="s">
        <v>3097</v>
      </c>
      <c r="J187">
        <v>2</v>
      </c>
      <c r="K187">
        <v>25.68</v>
      </c>
      <c r="L187" t="s">
        <v>3098</v>
      </c>
      <c r="M187" t="s">
        <v>3099</v>
      </c>
      <c r="N187" t="s">
        <v>187</v>
      </c>
      <c r="O187" t="s">
        <v>3100</v>
      </c>
      <c r="P187" t="s">
        <v>3101</v>
      </c>
      <c r="Q187" t="s">
        <v>3101</v>
      </c>
      <c r="R187" t="s">
        <v>3101</v>
      </c>
      <c r="S187" t="s">
        <v>3102</v>
      </c>
      <c r="T187">
        <v>3390000</v>
      </c>
      <c r="U187">
        <v>5650000</v>
      </c>
      <c r="V187" t="s">
        <v>3103</v>
      </c>
      <c r="W187" t="s">
        <v>971</v>
      </c>
      <c r="X187" t="s">
        <v>3104</v>
      </c>
      <c r="Y187" t="s">
        <v>3105</v>
      </c>
      <c r="Z187" t="s">
        <v>93</v>
      </c>
      <c r="AA187" t="s">
        <v>3106</v>
      </c>
      <c r="AB187" t="s">
        <v>3107</v>
      </c>
      <c r="AC187" t="s">
        <v>67</v>
      </c>
      <c r="AD187" t="s">
        <v>728</v>
      </c>
      <c r="AE187" t="s">
        <v>604</v>
      </c>
      <c r="AF187" t="s">
        <v>974</v>
      </c>
      <c r="AG187" t="s">
        <v>3108</v>
      </c>
      <c r="AH187">
        <v>5</v>
      </c>
      <c r="AI187" t="s">
        <v>237</v>
      </c>
      <c r="AJ187" t="s">
        <v>3109</v>
      </c>
      <c r="AK187" t="s">
        <v>781</v>
      </c>
      <c r="AM187" t="s">
        <v>75</v>
      </c>
      <c r="AN187">
        <v>4520000</v>
      </c>
      <c r="AO187" s="9">
        <v>90400</v>
      </c>
    </row>
    <row r="188" spans="1:41" x14ac:dyDescent="0.25">
      <c r="A188">
        <v>187</v>
      </c>
      <c r="B188" t="s">
        <v>1305</v>
      </c>
      <c r="C188" t="s">
        <v>3110</v>
      </c>
      <c r="D188" t="s">
        <v>77</v>
      </c>
      <c r="E188" t="s">
        <v>47</v>
      </c>
      <c r="F188" t="s">
        <v>48</v>
      </c>
      <c r="G188" t="s">
        <v>516</v>
      </c>
      <c r="H188" t="s">
        <v>3111</v>
      </c>
      <c r="I188" t="s">
        <v>3112</v>
      </c>
      <c r="J188">
        <v>2</v>
      </c>
      <c r="K188">
        <v>25.68</v>
      </c>
      <c r="L188" t="s">
        <v>3113</v>
      </c>
      <c r="M188" t="s">
        <v>3114</v>
      </c>
      <c r="N188" t="s">
        <v>187</v>
      </c>
      <c r="O188" t="s">
        <v>3115</v>
      </c>
      <c r="P188" t="s">
        <v>3116</v>
      </c>
      <c r="Q188" t="s">
        <v>3117</v>
      </c>
      <c r="R188" t="s">
        <v>3118</v>
      </c>
      <c r="S188" t="s">
        <v>3119</v>
      </c>
      <c r="T188">
        <v>3410200</v>
      </c>
      <c r="U188">
        <v>4012000</v>
      </c>
      <c r="V188" t="s">
        <v>3120</v>
      </c>
      <c r="W188" t="s">
        <v>971</v>
      </c>
      <c r="X188" t="s">
        <v>3121</v>
      </c>
      <c r="Y188" t="s">
        <v>3122</v>
      </c>
      <c r="Z188" t="s">
        <v>64</v>
      </c>
      <c r="AA188" t="s">
        <v>65</v>
      </c>
      <c r="AB188" t="s">
        <v>873</v>
      </c>
      <c r="AC188" t="s">
        <v>67</v>
      </c>
      <c r="AD188" t="s">
        <v>781</v>
      </c>
      <c r="AE188" t="s">
        <v>604</v>
      </c>
      <c r="AF188" t="s">
        <v>974</v>
      </c>
      <c r="AG188" t="s">
        <v>3123</v>
      </c>
      <c r="AH188">
        <v>5</v>
      </c>
      <c r="AI188" t="s">
        <v>237</v>
      </c>
      <c r="AJ188" t="s">
        <v>3124</v>
      </c>
      <c r="AK188" t="s">
        <v>472</v>
      </c>
      <c r="AM188" t="s">
        <v>75</v>
      </c>
      <c r="AN188">
        <v>3209600</v>
      </c>
      <c r="AO188" s="9">
        <v>64192</v>
      </c>
    </row>
    <row r="189" spans="1:41" x14ac:dyDescent="0.25">
      <c r="A189">
        <v>188</v>
      </c>
      <c r="B189" t="s">
        <v>1305</v>
      </c>
      <c r="C189" t="s">
        <v>3125</v>
      </c>
      <c r="D189" t="s">
        <v>1489</v>
      </c>
      <c r="E189" t="s">
        <v>47</v>
      </c>
      <c r="F189" t="s">
        <v>48</v>
      </c>
      <c r="G189" t="s">
        <v>3126</v>
      </c>
      <c r="H189" t="s">
        <v>3127</v>
      </c>
      <c r="I189" t="s">
        <v>3128</v>
      </c>
      <c r="J189">
        <v>1.5</v>
      </c>
      <c r="K189">
        <v>21.05</v>
      </c>
      <c r="L189" t="s">
        <v>3129</v>
      </c>
      <c r="M189" t="s">
        <v>3130</v>
      </c>
      <c r="N189" t="s">
        <v>83</v>
      </c>
      <c r="O189" t="s">
        <v>3131</v>
      </c>
      <c r="P189" t="s">
        <v>65</v>
      </c>
      <c r="Q189" t="s">
        <v>3132</v>
      </c>
      <c r="R189" t="s">
        <v>65</v>
      </c>
      <c r="S189" t="s">
        <v>3133</v>
      </c>
      <c r="T189">
        <v>4273500</v>
      </c>
      <c r="U189">
        <v>6105000</v>
      </c>
      <c r="V189" t="s">
        <v>3134</v>
      </c>
      <c r="W189" t="s">
        <v>2049</v>
      </c>
      <c r="X189" t="s">
        <v>3135</v>
      </c>
      <c r="Y189" t="s">
        <v>3136</v>
      </c>
      <c r="Z189" t="s">
        <v>64</v>
      </c>
      <c r="AA189" t="s">
        <v>65</v>
      </c>
      <c r="AB189" t="s">
        <v>3137</v>
      </c>
      <c r="AC189" t="s">
        <v>151</v>
      </c>
      <c r="AD189" t="s">
        <v>2946</v>
      </c>
      <c r="AE189" t="s">
        <v>1253</v>
      </c>
      <c r="AF189" t="s">
        <v>1254</v>
      </c>
      <c r="AG189" t="s">
        <v>3138</v>
      </c>
      <c r="AH189">
        <v>5</v>
      </c>
      <c r="AI189" t="s">
        <v>100</v>
      </c>
      <c r="AJ189" t="s">
        <v>3139</v>
      </c>
      <c r="AK189" t="s">
        <v>1507</v>
      </c>
      <c r="AM189" t="s">
        <v>157</v>
      </c>
      <c r="AN189">
        <v>4578750</v>
      </c>
      <c r="AO189" s="9">
        <v>68681.25</v>
      </c>
    </row>
    <row r="190" spans="1:41" x14ac:dyDescent="0.25">
      <c r="A190">
        <v>189</v>
      </c>
      <c r="B190" t="s">
        <v>1305</v>
      </c>
      <c r="C190" t="s">
        <v>3140</v>
      </c>
      <c r="D190" t="s">
        <v>77</v>
      </c>
      <c r="E190" t="s">
        <v>47</v>
      </c>
      <c r="F190" t="s">
        <v>48</v>
      </c>
      <c r="G190" t="s">
        <v>1717</v>
      </c>
      <c r="H190" t="s">
        <v>3141</v>
      </c>
      <c r="I190" t="s">
        <v>3142</v>
      </c>
      <c r="J190">
        <v>2</v>
      </c>
      <c r="K190">
        <v>25.68</v>
      </c>
      <c r="L190" t="s">
        <v>3143</v>
      </c>
      <c r="M190" t="s">
        <v>3144</v>
      </c>
      <c r="N190" t="s">
        <v>187</v>
      </c>
      <c r="O190" t="s">
        <v>3145</v>
      </c>
      <c r="P190" t="s">
        <v>3146</v>
      </c>
      <c r="Q190" t="s">
        <v>3146</v>
      </c>
      <c r="R190" t="s">
        <v>3146</v>
      </c>
      <c r="S190" t="s">
        <v>3147</v>
      </c>
      <c r="T190">
        <v>3839500</v>
      </c>
      <c r="U190">
        <v>5485000</v>
      </c>
      <c r="V190" t="s">
        <v>3148</v>
      </c>
      <c r="W190" t="s">
        <v>971</v>
      </c>
      <c r="X190" t="s">
        <v>3149</v>
      </c>
      <c r="Y190" t="s">
        <v>3150</v>
      </c>
      <c r="Z190" t="s">
        <v>64</v>
      </c>
      <c r="AA190" t="s">
        <v>65</v>
      </c>
      <c r="AB190" t="s">
        <v>3151</v>
      </c>
      <c r="AC190" t="s">
        <v>67</v>
      </c>
      <c r="AD190" t="s">
        <v>604</v>
      </c>
      <c r="AE190" t="s">
        <v>604</v>
      </c>
      <c r="AF190" t="s">
        <v>974</v>
      </c>
      <c r="AG190" t="s">
        <v>3152</v>
      </c>
      <c r="AH190">
        <v>5</v>
      </c>
      <c r="AI190" t="s">
        <v>237</v>
      </c>
      <c r="AJ190" t="s">
        <v>3153</v>
      </c>
      <c r="AK190" t="s">
        <v>472</v>
      </c>
      <c r="AM190" t="s">
        <v>75</v>
      </c>
      <c r="AN190">
        <v>4388000</v>
      </c>
      <c r="AO190" s="9">
        <v>87760</v>
      </c>
    </row>
    <row r="191" spans="1:41" x14ac:dyDescent="0.25">
      <c r="A191">
        <v>190</v>
      </c>
      <c r="B191" t="s">
        <v>1305</v>
      </c>
      <c r="C191" t="s">
        <v>3154</v>
      </c>
      <c r="D191" t="s">
        <v>77</v>
      </c>
      <c r="E191" t="s">
        <v>47</v>
      </c>
      <c r="F191" t="s">
        <v>48</v>
      </c>
      <c r="G191" t="s">
        <v>516</v>
      </c>
      <c r="H191" t="s">
        <v>3155</v>
      </c>
      <c r="I191" t="s">
        <v>3156</v>
      </c>
      <c r="J191">
        <v>2</v>
      </c>
      <c r="K191">
        <v>21.86</v>
      </c>
      <c r="L191" t="s">
        <v>3157</v>
      </c>
      <c r="M191" t="s">
        <v>3158</v>
      </c>
      <c r="N191" t="s">
        <v>187</v>
      </c>
      <c r="O191" t="s">
        <v>3159</v>
      </c>
      <c r="P191" t="s">
        <v>65</v>
      </c>
      <c r="Q191" t="s">
        <v>3160</v>
      </c>
      <c r="R191" t="s">
        <v>65</v>
      </c>
      <c r="S191" t="s">
        <v>3161</v>
      </c>
      <c r="T191">
        <v>4155000</v>
      </c>
      <c r="U191">
        <v>5540000</v>
      </c>
      <c r="V191" t="s">
        <v>3162</v>
      </c>
      <c r="W191" t="s">
        <v>971</v>
      </c>
      <c r="X191" t="s">
        <v>3163</v>
      </c>
      <c r="Y191" t="s">
        <v>3164</v>
      </c>
      <c r="Z191" t="s">
        <v>93</v>
      </c>
      <c r="AA191" t="s">
        <v>3165</v>
      </c>
      <c r="AB191" t="s">
        <v>456</v>
      </c>
      <c r="AC191" t="s">
        <v>67</v>
      </c>
      <c r="AD191" t="s">
        <v>876</v>
      </c>
      <c r="AE191" t="s">
        <v>1127</v>
      </c>
      <c r="AF191" t="s">
        <v>1162</v>
      </c>
      <c r="AG191" t="s">
        <v>3166</v>
      </c>
      <c r="AH191">
        <v>5</v>
      </c>
      <c r="AI191" t="s">
        <v>198</v>
      </c>
      <c r="AJ191" t="s">
        <v>3167</v>
      </c>
      <c r="AK191" t="s">
        <v>876</v>
      </c>
      <c r="AM191" t="s">
        <v>75</v>
      </c>
      <c r="AN191">
        <v>4432000</v>
      </c>
      <c r="AO191" s="9">
        <v>88640</v>
      </c>
    </row>
    <row r="192" spans="1:41" x14ac:dyDescent="0.25">
      <c r="A192">
        <v>191</v>
      </c>
      <c r="B192" t="s">
        <v>1305</v>
      </c>
      <c r="C192" t="s">
        <v>3168</v>
      </c>
      <c r="D192" t="s">
        <v>46</v>
      </c>
      <c r="E192" t="s">
        <v>47</v>
      </c>
      <c r="F192" t="s">
        <v>48</v>
      </c>
      <c r="G192" t="s">
        <v>182</v>
      </c>
      <c r="H192" t="s">
        <v>3169</v>
      </c>
      <c r="I192" t="s">
        <v>3170</v>
      </c>
      <c r="J192">
        <v>2.5</v>
      </c>
      <c r="K192">
        <v>24.13</v>
      </c>
      <c r="L192" t="s">
        <v>3171</v>
      </c>
      <c r="M192" t="s">
        <v>3172</v>
      </c>
      <c r="N192" t="s">
        <v>901</v>
      </c>
      <c r="O192" t="s">
        <v>3173</v>
      </c>
      <c r="P192" t="s">
        <v>3174</v>
      </c>
      <c r="Q192" t="s">
        <v>3175</v>
      </c>
      <c r="R192" t="s">
        <v>3175</v>
      </c>
      <c r="S192" t="s">
        <v>3176</v>
      </c>
      <c r="T192">
        <v>582000</v>
      </c>
      <c r="U192">
        <v>1164000</v>
      </c>
      <c r="V192" t="s">
        <v>3177</v>
      </c>
      <c r="W192" t="s">
        <v>3178</v>
      </c>
      <c r="X192" t="s">
        <v>3179</v>
      </c>
      <c r="Y192" t="s">
        <v>3180</v>
      </c>
      <c r="Z192" t="s">
        <v>64</v>
      </c>
      <c r="AA192" t="s">
        <v>3181</v>
      </c>
      <c r="AB192" t="s">
        <v>2448</v>
      </c>
      <c r="AC192" t="s">
        <v>96</v>
      </c>
      <c r="AD192" t="s">
        <v>3182</v>
      </c>
      <c r="AE192" t="s">
        <v>502</v>
      </c>
      <c r="AF192" t="s">
        <v>1430</v>
      </c>
      <c r="AG192" t="s">
        <v>3183</v>
      </c>
      <c r="AH192">
        <v>7</v>
      </c>
      <c r="AI192" t="s">
        <v>237</v>
      </c>
      <c r="AJ192" t="s">
        <v>3184</v>
      </c>
      <c r="AK192" t="s">
        <v>3185</v>
      </c>
      <c r="AM192" t="s">
        <v>180</v>
      </c>
      <c r="AN192">
        <v>756600</v>
      </c>
      <c r="AO192" s="9">
        <v>18915</v>
      </c>
    </row>
    <row r="193" spans="1:41" x14ac:dyDescent="0.25">
      <c r="A193">
        <v>192</v>
      </c>
      <c r="B193" t="s">
        <v>1305</v>
      </c>
      <c r="C193" t="s">
        <v>3186</v>
      </c>
      <c r="D193" t="s">
        <v>912</v>
      </c>
      <c r="E193" t="s">
        <v>47</v>
      </c>
      <c r="F193" t="s">
        <v>48</v>
      </c>
      <c r="G193" t="s">
        <v>516</v>
      </c>
      <c r="H193" t="s">
        <v>3187</v>
      </c>
      <c r="I193" t="s">
        <v>3188</v>
      </c>
      <c r="J193">
        <v>2</v>
      </c>
      <c r="K193">
        <v>26.43</v>
      </c>
      <c r="L193" t="s">
        <v>3189</v>
      </c>
      <c r="M193" t="s">
        <v>3190</v>
      </c>
      <c r="N193" t="s">
        <v>187</v>
      </c>
      <c r="O193" t="s">
        <v>3191</v>
      </c>
      <c r="P193" t="s">
        <v>3192</v>
      </c>
      <c r="Q193" t="s">
        <v>3192</v>
      </c>
      <c r="R193" t="s">
        <v>3193</v>
      </c>
      <c r="S193" t="s">
        <v>3194</v>
      </c>
      <c r="T193">
        <v>552500</v>
      </c>
      <c r="U193">
        <v>850000</v>
      </c>
      <c r="V193" t="s">
        <v>146</v>
      </c>
      <c r="W193" t="s">
        <v>876</v>
      </c>
      <c r="X193" t="s">
        <v>3195</v>
      </c>
      <c r="Y193" t="s">
        <v>3196</v>
      </c>
      <c r="Z193" t="s">
        <v>93</v>
      </c>
      <c r="AA193" t="s">
        <v>3197</v>
      </c>
      <c r="AB193" t="s">
        <v>3198</v>
      </c>
      <c r="AC193" t="s">
        <v>624</v>
      </c>
      <c r="AD193" t="s">
        <v>3199</v>
      </c>
      <c r="AE193" t="s">
        <v>1539</v>
      </c>
      <c r="AF193" t="s">
        <v>1430</v>
      </c>
      <c r="AG193" t="s">
        <v>3200</v>
      </c>
      <c r="AH193">
        <v>5</v>
      </c>
      <c r="AI193" t="s">
        <v>100</v>
      </c>
      <c r="AJ193" t="s">
        <v>3201</v>
      </c>
      <c r="AK193" t="s">
        <v>3202</v>
      </c>
      <c r="AM193" t="s">
        <v>75</v>
      </c>
      <c r="AN193">
        <v>637500</v>
      </c>
      <c r="AO193" s="9">
        <v>12750</v>
      </c>
    </row>
    <row r="194" spans="1:41" x14ac:dyDescent="0.25">
      <c r="A194">
        <v>193</v>
      </c>
      <c r="B194" t="s">
        <v>1305</v>
      </c>
      <c r="C194" t="s">
        <v>3203</v>
      </c>
      <c r="D194" t="s">
        <v>136</v>
      </c>
      <c r="E194" t="s">
        <v>47</v>
      </c>
      <c r="F194" t="s">
        <v>48</v>
      </c>
      <c r="G194" t="s">
        <v>629</v>
      </c>
      <c r="H194" t="s">
        <v>3204</v>
      </c>
      <c r="I194" t="s">
        <v>3205</v>
      </c>
      <c r="J194">
        <v>2</v>
      </c>
      <c r="K194">
        <v>26.93</v>
      </c>
      <c r="L194" t="s">
        <v>3206</v>
      </c>
      <c r="M194" t="s">
        <v>3207</v>
      </c>
      <c r="N194" t="s">
        <v>187</v>
      </c>
      <c r="O194" t="s">
        <v>3208</v>
      </c>
      <c r="P194" t="s">
        <v>3209</v>
      </c>
      <c r="Q194" t="s">
        <v>3209</v>
      </c>
      <c r="R194" t="s">
        <v>3210</v>
      </c>
      <c r="S194" t="s">
        <v>3211</v>
      </c>
      <c r="T194">
        <v>1398750</v>
      </c>
      <c r="U194">
        <v>1865000</v>
      </c>
      <c r="V194" t="s">
        <v>146</v>
      </c>
      <c r="W194" t="s">
        <v>876</v>
      </c>
      <c r="X194" t="s">
        <v>3212</v>
      </c>
      <c r="Y194" t="s">
        <v>3213</v>
      </c>
      <c r="Z194" t="s">
        <v>64</v>
      </c>
      <c r="AA194" t="s">
        <v>65</v>
      </c>
      <c r="AB194" t="s">
        <v>3214</v>
      </c>
      <c r="AC194" t="s">
        <v>151</v>
      </c>
      <c r="AD194" t="s">
        <v>1504</v>
      </c>
      <c r="AE194" t="s">
        <v>1539</v>
      </c>
      <c r="AF194" t="s">
        <v>1430</v>
      </c>
      <c r="AG194" t="s">
        <v>3215</v>
      </c>
      <c r="AH194">
        <v>5</v>
      </c>
      <c r="AI194" t="s">
        <v>100</v>
      </c>
      <c r="AJ194" t="s">
        <v>3216</v>
      </c>
      <c r="AK194" t="s">
        <v>953</v>
      </c>
      <c r="AM194" t="s">
        <v>75</v>
      </c>
      <c r="AN194">
        <v>1398750</v>
      </c>
      <c r="AO194" s="9">
        <v>27975</v>
      </c>
    </row>
    <row r="195" spans="1:41" x14ac:dyDescent="0.25">
      <c r="A195">
        <v>194</v>
      </c>
      <c r="B195" t="s">
        <v>1305</v>
      </c>
      <c r="C195" t="s">
        <v>3217</v>
      </c>
      <c r="D195" t="s">
        <v>277</v>
      </c>
      <c r="E195" t="s">
        <v>47</v>
      </c>
      <c r="F195" t="s">
        <v>48</v>
      </c>
      <c r="G195" t="s">
        <v>1323</v>
      </c>
      <c r="H195" t="s">
        <v>3218</v>
      </c>
      <c r="I195" t="s">
        <v>3219</v>
      </c>
      <c r="J195">
        <v>2</v>
      </c>
      <c r="K195">
        <v>26.05</v>
      </c>
      <c r="L195" t="s">
        <v>3220</v>
      </c>
      <c r="M195" t="s">
        <v>3221</v>
      </c>
      <c r="N195" t="s">
        <v>54</v>
      </c>
      <c r="O195" t="s">
        <v>3222</v>
      </c>
      <c r="P195" t="s">
        <v>3223</v>
      </c>
      <c r="Q195" t="s">
        <v>3224</v>
      </c>
      <c r="R195" t="s">
        <v>3223</v>
      </c>
      <c r="S195" t="s">
        <v>3225</v>
      </c>
      <c r="T195">
        <v>1968050</v>
      </c>
      <c r="U195">
        <v>2811500</v>
      </c>
      <c r="V195" t="s">
        <v>3226</v>
      </c>
      <c r="W195" t="s">
        <v>61</v>
      </c>
      <c r="X195" t="s">
        <v>3227</v>
      </c>
      <c r="Y195" t="s">
        <v>3228</v>
      </c>
      <c r="Z195" t="s">
        <v>64</v>
      </c>
      <c r="AA195" t="s">
        <v>65</v>
      </c>
      <c r="AB195" t="s">
        <v>3229</v>
      </c>
      <c r="AC195" t="s">
        <v>67</v>
      </c>
      <c r="AD195" t="s">
        <v>133</v>
      </c>
      <c r="AE195" t="s">
        <v>69</v>
      </c>
      <c r="AF195" t="s">
        <v>1007</v>
      </c>
      <c r="AG195" t="s">
        <v>3230</v>
      </c>
      <c r="AH195">
        <v>5</v>
      </c>
      <c r="AI195" t="s">
        <v>237</v>
      </c>
      <c r="AJ195" t="s">
        <v>3231</v>
      </c>
      <c r="AK195" t="s">
        <v>74</v>
      </c>
      <c r="AM195" t="s">
        <v>75</v>
      </c>
      <c r="AN195">
        <v>2249200</v>
      </c>
      <c r="AO195" s="9">
        <v>44984</v>
      </c>
    </row>
    <row r="196" spans="1:41" x14ac:dyDescent="0.25">
      <c r="A196">
        <v>195</v>
      </c>
      <c r="B196" t="s">
        <v>1305</v>
      </c>
      <c r="C196" t="s">
        <v>3232</v>
      </c>
      <c r="D196" t="s">
        <v>1238</v>
      </c>
      <c r="E196" t="s">
        <v>47</v>
      </c>
      <c r="F196" t="s">
        <v>48</v>
      </c>
      <c r="G196" t="s">
        <v>78</v>
      </c>
      <c r="H196" t="s">
        <v>3233</v>
      </c>
      <c r="I196" t="s">
        <v>3234</v>
      </c>
      <c r="J196">
        <v>2</v>
      </c>
      <c r="K196">
        <v>27.28</v>
      </c>
      <c r="L196" t="s">
        <v>3235</v>
      </c>
      <c r="M196" t="s">
        <v>3236</v>
      </c>
      <c r="N196" t="s">
        <v>83</v>
      </c>
      <c r="O196" t="s">
        <v>3237</v>
      </c>
      <c r="P196" t="s">
        <v>3238</v>
      </c>
      <c r="Q196" t="s">
        <v>3238</v>
      </c>
      <c r="R196" t="s">
        <v>3239</v>
      </c>
      <c r="S196" t="s">
        <v>3240</v>
      </c>
      <c r="T196">
        <v>1950000</v>
      </c>
      <c r="U196">
        <v>3900000</v>
      </c>
      <c r="V196" t="s">
        <v>3241</v>
      </c>
      <c r="W196" t="s">
        <v>147</v>
      </c>
      <c r="X196" t="s">
        <v>3242</v>
      </c>
      <c r="Y196" t="s">
        <v>3243</v>
      </c>
      <c r="Z196" t="s">
        <v>93</v>
      </c>
      <c r="AA196" t="s">
        <v>3244</v>
      </c>
      <c r="AB196" t="s">
        <v>3245</v>
      </c>
      <c r="AC196" t="s">
        <v>175</v>
      </c>
      <c r="AD196" t="s">
        <v>2500</v>
      </c>
      <c r="AE196" t="s">
        <v>153</v>
      </c>
      <c r="AF196" t="s">
        <v>2698</v>
      </c>
      <c r="AG196" t="s">
        <v>3246</v>
      </c>
      <c r="AH196">
        <v>7</v>
      </c>
      <c r="AI196" t="s">
        <v>2502</v>
      </c>
      <c r="AJ196" t="s">
        <v>3247</v>
      </c>
      <c r="AK196" t="s">
        <v>156</v>
      </c>
      <c r="AM196" t="s">
        <v>75</v>
      </c>
      <c r="AN196">
        <v>2925000</v>
      </c>
      <c r="AO196" s="9">
        <v>58500</v>
      </c>
    </row>
    <row r="197" spans="1:41" x14ac:dyDescent="0.25">
      <c r="A197">
        <v>196</v>
      </c>
      <c r="B197" t="s">
        <v>1305</v>
      </c>
      <c r="C197" t="s">
        <v>3248</v>
      </c>
      <c r="D197" t="s">
        <v>136</v>
      </c>
      <c r="E197" t="s">
        <v>47</v>
      </c>
      <c r="F197" t="s">
        <v>48</v>
      </c>
      <c r="G197" t="s">
        <v>1258</v>
      </c>
      <c r="H197" t="s">
        <v>3249</v>
      </c>
      <c r="I197" t="s">
        <v>3250</v>
      </c>
      <c r="J197">
        <v>1.5</v>
      </c>
      <c r="K197">
        <v>27.18</v>
      </c>
      <c r="L197" t="s">
        <v>3251</v>
      </c>
      <c r="M197" t="s">
        <v>3252</v>
      </c>
      <c r="N197" t="s">
        <v>187</v>
      </c>
      <c r="O197" t="s">
        <v>3253</v>
      </c>
      <c r="P197" t="s">
        <v>3254</v>
      </c>
      <c r="Q197" t="s">
        <v>3255</v>
      </c>
      <c r="R197" t="s">
        <v>3256</v>
      </c>
      <c r="S197" t="s">
        <v>3257</v>
      </c>
      <c r="T197">
        <v>3448900</v>
      </c>
      <c r="U197">
        <v>4927000</v>
      </c>
      <c r="V197" t="s">
        <v>146</v>
      </c>
      <c r="W197" t="s">
        <v>876</v>
      </c>
      <c r="X197" t="s">
        <v>3258</v>
      </c>
      <c r="Y197" t="s">
        <v>3259</v>
      </c>
      <c r="Z197" t="s">
        <v>64</v>
      </c>
      <c r="AA197" t="s">
        <v>65</v>
      </c>
      <c r="AB197" t="s">
        <v>116</v>
      </c>
      <c r="AC197" t="s">
        <v>151</v>
      </c>
      <c r="AD197" t="s">
        <v>1504</v>
      </c>
      <c r="AE197" t="s">
        <v>1539</v>
      </c>
      <c r="AF197" t="s">
        <v>1430</v>
      </c>
      <c r="AG197" t="s">
        <v>3260</v>
      </c>
      <c r="AH197">
        <v>5</v>
      </c>
      <c r="AI197" t="s">
        <v>65</v>
      </c>
      <c r="AJ197" t="s">
        <v>65</v>
      </c>
      <c r="AK197" t="s">
        <v>65</v>
      </c>
      <c r="AM197" t="s">
        <v>157</v>
      </c>
      <c r="AN197">
        <v>3695250</v>
      </c>
      <c r="AO197" s="9">
        <v>55428.75</v>
      </c>
    </row>
    <row r="198" spans="1:41" x14ac:dyDescent="0.25">
      <c r="A198">
        <v>197</v>
      </c>
      <c r="B198" t="s">
        <v>1305</v>
      </c>
      <c r="C198" t="s">
        <v>3261</v>
      </c>
      <c r="D198" t="s">
        <v>77</v>
      </c>
      <c r="E198" t="s">
        <v>47</v>
      </c>
      <c r="F198" t="s">
        <v>48</v>
      </c>
      <c r="G198" t="s">
        <v>2658</v>
      </c>
      <c r="H198" t="s">
        <v>3262</v>
      </c>
      <c r="I198" t="s">
        <v>3263</v>
      </c>
      <c r="J198">
        <v>1.75</v>
      </c>
      <c r="K198">
        <v>25.44</v>
      </c>
      <c r="L198" t="s">
        <v>3264</v>
      </c>
      <c r="M198" t="s">
        <v>3265</v>
      </c>
      <c r="N198" t="s">
        <v>187</v>
      </c>
      <c r="O198" t="s">
        <v>3266</v>
      </c>
      <c r="P198" t="s">
        <v>3267</v>
      </c>
      <c r="Q198" t="s">
        <v>3267</v>
      </c>
      <c r="R198" t="s">
        <v>3267</v>
      </c>
      <c r="S198" t="s">
        <v>3268</v>
      </c>
      <c r="T198">
        <v>1050000</v>
      </c>
      <c r="U198">
        <v>1500000</v>
      </c>
      <c r="V198" t="s">
        <v>3269</v>
      </c>
      <c r="W198" t="s">
        <v>3270</v>
      </c>
      <c r="X198" t="s">
        <v>3271</v>
      </c>
      <c r="Y198" t="s">
        <v>3272</v>
      </c>
      <c r="Z198" t="s">
        <v>93</v>
      </c>
      <c r="AA198" t="s">
        <v>3273</v>
      </c>
      <c r="AB198" t="s">
        <v>3274</v>
      </c>
      <c r="AC198" t="s">
        <v>67</v>
      </c>
      <c r="AD198" s="2">
        <v>45182</v>
      </c>
      <c r="AE198" t="s">
        <v>3275</v>
      </c>
      <c r="AF198" t="s">
        <v>2638</v>
      </c>
      <c r="AG198" t="s">
        <v>3276</v>
      </c>
      <c r="AH198">
        <v>5</v>
      </c>
      <c r="AI198" t="s">
        <v>237</v>
      </c>
      <c r="AJ198" t="s">
        <v>3277</v>
      </c>
      <c r="AK198" t="s">
        <v>842</v>
      </c>
      <c r="AM198" t="s">
        <v>102</v>
      </c>
      <c r="AN198">
        <v>1350000</v>
      </c>
      <c r="AO198" s="9">
        <v>23625.000000000004</v>
      </c>
    </row>
    <row r="199" spans="1:41" x14ac:dyDescent="0.25">
      <c r="A199">
        <v>198</v>
      </c>
      <c r="B199" t="s">
        <v>1305</v>
      </c>
      <c r="C199" t="s">
        <v>3278</v>
      </c>
      <c r="D199" t="s">
        <v>77</v>
      </c>
      <c r="E199" t="s">
        <v>47</v>
      </c>
      <c r="F199" t="s">
        <v>48</v>
      </c>
      <c r="G199" t="s">
        <v>1717</v>
      </c>
      <c r="H199" t="s">
        <v>3279</v>
      </c>
      <c r="I199" t="s">
        <v>3280</v>
      </c>
      <c r="J199">
        <v>1.75</v>
      </c>
      <c r="K199">
        <v>25.19</v>
      </c>
      <c r="L199" t="s">
        <v>3281</v>
      </c>
      <c r="M199" t="s">
        <v>3282</v>
      </c>
      <c r="N199" t="s">
        <v>187</v>
      </c>
      <c r="O199" t="s">
        <v>3283</v>
      </c>
      <c r="P199" t="s">
        <v>3284</v>
      </c>
      <c r="Q199" t="s">
        <v>3285</v>
      </c>
      <c r="R199" t="s">
        <v>3284</v>
      </c>
      <c r="S199" t="s">
        <v>3286</v>
      </c>
      <c r="T199">
        <v>1800000</v>
      </c>
      <c r="U199">
        <v>3000000</v>
      </c>
      <c r="V199" t="s">
        <v>3287</v>
      </c>
      <c r="W199" t="s">
        <v>3270</v>
      </c>
      <c r="X199" t="s">
        <v>3288</v>
      </c>
      <c r="Y199" t="s">
        <v>3289</v>
      </c>
      <c r="Z199" t="s">
        <v>93</v>
      </c>
      <c r="AA199" t="s">
        <v>3290</v>
      </c>
      <c r="AB199" t="s">
        <v>3291</v>
      </c>
      <c r="AC199" t="s">
        <v>624</v>
      </c>
      <c r="AD199" s="2">
        <v>45182</v>
      </c>
      <c r="AE199" t="s">
        <v>3275</v>
      </c>
      <c r="AF199" t="s">
        <v>974</v>
      </c>
      <c r="AG199" t="s">
        <v>3292</v>
      </c>
      <c r="AH199">
        <v>3</v>
      </c>
      <c r="AI199" t="s">
        <v>237</v>
      </c>
      <c r="AJ199" t="s">
        <v>3293</v>
      </c>
      <c r="AK199" t="s">
        <v>842</v>
      </c>
      <c r="AM199" t="s">
        <v>102</v>
      </c>
      <c r="AN199">
        <v>2700000</v>
      </c>
      <c r="AO199" s="9">
        <v>47250.000000000007</v>
      </c>
    </row>
    <row r="200" spans="1:41" x14ac:dyDescent="0.25">
      <c r="A200">
        <v>199</v>
      </c>
      <c r="B200" t="s">
        <v>1305</v>
      </c>
      <c r="C200" t="s">
        <v>3294</v>
      </c>
      <c r="D200" t="s">
        <v>277</v>
      </c>
      <c r="E200" t="s">
        <v>47</v>
      </c>
      <c r="F200" t="s">
        <v>48</v>
      </c>
      <c r="G200" t="s">
        <v>3295</v>
      </c>
      <c r="H200" t="s">
        <v>3296</v>
      </c>
      <c r="I200" t="s">
        <v>3297</v>
      </c>
      <c r="J200">
        <v>1.75</v>
      </c>
      <c r="K200">
        <v>26.19</v>
      </c>
      <c r="L200" t="s">
        <v>3298</v>
      </c>
      <c r="M200" t="s">
        <v>3299</v>
      </c>
      <c r="N200" t="s">
        <v>187</v>
      </c>
      <c r="O200" t="s">
        <v>3300</v>
      </c>
      <c r="P200" t="s">
        <v>3301</v>
      </c>
      <c r="Q200" t="s">
        <v>3301</v>
      </c>
      <c r="R200" t="s">
        <v>65</v>
      </c>
      <c r="S200" t="s">
        <v>3302</v>
      </c>
      <c r="T200">
        <v>2968020</v>
      </c>
      <c r="U200">
        <v>8994000</v>
      </c>
      <c r="V200" t="s">
        <v>3303</v>
      </c>
      <c r="W200" t="s">
        <v>3270</v>
      </c>
      <c r="X200" t="s">
        <v>3304</v>
      </c>
      <c r="Y200" t="s">
        <v>3305</v>
      </c>
      <c r="Z200" t="s">
        <v>64</v>
      </c>
      <c r="AA200" t="s">
        <v>65</v>
      </c>
      <c r="AB200" t="s">
        <v>116</v>
      </c>
      <c r="AC200" t="s">
        <v>436</v>
      </c>
      <c r="AD200" s="2">
        <v>45181</v>
      </c>
      <c r="AE200" t="s">
        <v>3275</v>
      </c>
      <c r="AF200" t="s">
        <v>974</v>
      </c>
      <c r="AG200" t="s">
        <v>3306</v>
      </c>
      <c r="AH200">
        <v>3</v>
      </c>
      <c r="AI200" t="s">
        <v>237</v>
      </c>
      <c r="AJ200" t="s">
        <v>3307</v>
      </c>
      <c r="AK200" t="s">
        <v>1648</v>
      </c>
      <c r="AM200" t="s">
        <v>102</v>
      </c>
      <c r="AN200">
        <v>8094600</v>
      </c>
      <c r="AO200" s="9">
        <v>141655.5</v>
      </c>
    </row>
    <row r="201" spans="1:41" x14ac:dyDescent="0.25">
      <c r="A201">
        <v>200</v>
      </c>
      <c r="B201" t="s">
        <v>1305</v>
      </c>
      <c r="C201" t="s">
        <v>3308</v>
      </c>
      <c r="D201" t="s">
        <v>912</v>
      </c>
      <c r="E201" t="s">
        <v>47</v>
      </c>
      <c r="F201" t="s">
        <v>48</v>
      </c>
      <c r="G201" t="s">
        <v>313</v>
      </c>
      <c r="H201" t="s">
        <v>3309</v>
      </c>
      <c r="I201" t="s">
        <v>3310</v>
      </c>
      <c r="J201">
        <v>2</v>
      </c>
      <c r="K201">
        <v>26.78</v>
      </c>
      <c r="L201" t="s">
        <v>3311</v>
      </c>
      <c r="M201" t="s">
        <v>3312</v>
      </c>
      <c r="N201" t="s">
        <v>83</v>
      </c>
      <c r="O201" t="s">
        <v>3313</v>
      </c>
      <c r="P201" t="s">
        <v>3314</v>
      </c>
      <c r="Q201" t="s">
        <v>3314</v>
      </c>
      <c r="R201" t="s">
        <v>167</v>
      </c>
      <c r="S201" t="s">
        <v>3315</v>
      </c>
      <c r="T201">
        <v>2223750</v>
      </c>
      <c r="U201">
        <v>2965000</v>
      </c>
      <c r="V201" t="s">
        <v>3316</v>
      </c>
      <c r="W201" t="s">
        <v>147</v>
      </c>
      <c r="X201" t="s">
        <v>3317</v>
      </c>
      <c r="Y201" t="s">
        <v>3318</v>
      </c>
      <c r="Z201" t="s">
        <v>64</v>
      </c>
      <c r="AA201" t="s">
        <v>65</v>
      </c>
      <c r="AB201" t="s">
        <v>680</v>
      </c>
      <c r="AC201" t="s">
        <v>151</v>
      </c>
      <c r="AD201" t="s">
        <v>2500</v>
      </c>
      <c r="AE201" t="s">
        <v>153</v>
      </c>
      <c r="AF201" t="s">
        <v>2533</v>
      </c>
      <c r="AG201" t="s">
        <v>3319</v>
      </c>
      <c r="AH201">
        <v>5</v>
      </c>
      <c r="AI201" t="s">
        <v>2502</v>
      </c>
      <c r="AJ201" t="s">
        <v>3320</v>
      </c>
      <c r="AK201" t="s">
        <v>156</v>
      </c>
      <c r="AM201" t="s">
        <v>75</v>
      </c>
      <c r="AN201">
        <v>2223750</v>
      </c>
      <c r="AO201" s="9">
        <v>44475</v>
      </c>
    </row>
    <row r="202" spans="1:41" x14ac:dyDescent="0.25">
      <c r="A202">
        <v>201</v>
      </c>
      <c r="B202" t="s">
        <v>1305</v>
      </c>
      <c r="C202" t="s">
        <v>3321</v>
      </c>
      <c r="D202" t="s">
        <v>277</v>
      </c>
      <c r="E202" t="s">
        <v>47</v>
      </c>
      <c r="F202" t="s">
        <v>48</v>
      </c>
      <c r="G202" t="s">
        <v>2454</v>
      </c>
      <c r="H202" t="s">
        <v>3322</v>
      </c>
      <c r="I202" t="s">
        <v>3323</v>
      </c>
      <c r="J202">
        <v>2.5</v>
      </c>
      <c r="K202">
        <v>29.45</v>
      </c>
      <c r="L202" t="s">
        <v>3324</v>
      </c>
      <c r="M202" t="s">
        <v>3325</v>
      </c>
      <c r="N202" t="s">
        <v>83</v>
      </c>
      <c r="O202" t="s">
        <v>3326</v>
      </c>
      <c r="P202" t="s">
        <v>1016</v>
      </c>
      <c r="Q202" t="s">
        <v>3327</v>
      </c>
      <c r="R202" t="s">
        <v>3328</v>
      </c>
      <c r="S202" t="s">
        <v>3329</v>
      </c>
      <c r="T202">
        <v>2044000</v>
      </c>
      <c r="U202">
        <v>2800000</v>
      </c>
      <c r="V202" t="s">
        <v>3330</v>
      </c>
      <c r="W202" t="s">
        <v>170</v>
      </c>
      <c r="X202" t="s">
        <v>3331</v>
      </c>
      <c r="Y202" t="s">
        <v>3332</v>
      </c>
      <c r="Z202" t="s">
        <v>549</v>
      </c>
      <c r="AA202" t="s">
        <v>3333</v>
      </c>
      <c r="AB202" t="s">
        <v>3334</v>
      </c>
      <c r="AC202" t="s">
        <v>624</v>
      </c>
      <c r="AD202" t="s">
        <v>176</v>
      </c>
      <c r="AE202" t="s">
        <v>177</v>
      </c>
      <c r="AF202" t="s">
        <v>1007</v>
      </c>
      <c r="AG202" t="s">
        <v>3335</v>
      </c>
      <c r="AH202">
        <v>7</v>
      </c>
      <c r="AI202" t="s">
        <v>237</v>
      </c>
      <c r="AJ202" t="s">
        <v>3336</v>
      </c>
      <c r="AK202" t="s">
        <v>176</v>
      </c>
      <c r="AM202" t="s">
        <v>180</v>
      </c>
      <c r="AN202">
        <v>1959999.9999999998</v>
      </c>
      <c r="AO202" s="9">
        <v>49000</v>
      </c>
    </row>
    <row r="203" spans="1:41" x14ac:dyDescent="0.25">
      <c r="A203">
        <v>202</v>
      </c>
      <c r="B203" t="s">
        <v>1305</v>
      </c>
      <c r="C203" t="s">
        <v>3337</v>
      </c>
      <c r="D203" t="s">
        <v>912</v>
      </c>
      <c r="E203" t="s">
        <v>47</v>
      </c>
      <c r="F203" t="s">
        <v>48</v>
      </c>
      <c r="G203" t="s">
        <v>609</v>
      </c>
      <c r="H203" t="s">
        <v>3338</v>
      </c>
      <c r="I203" t="s">
        <v>3339</v>
      </c>
      <c r="J203">
        <v>2</v>
      </c>
      <c r="K203">
        <v>26.78</v>
      </c>
      <c r="L203" t="s">
        <v>3340</v>
      </c>
      <c r="M203" t="s">
        <v>3341</v>
      </c>
      <c r="N203" t="s">
        <v>83</v>
      </c>
      <c r="O203" t="s">
        <v>3342</v>
      </c>
      <c r="P203" t="s">
        <v>3343</v>
      </c>
      <c r="Q203" t="s">
        <v>3343</v>
      </c>
      <c r="R203" t="s">
        <v>167</v>
      </c>
      <c r="S203" t="s">
        <v>3344</v>
      </c>
      <c r="T203">
        <v>1920000</v>
      </c>
      <c r="U203">
        <v>2400000</v>
      </c>
      <c r="V203" t="s">
        <v>3345</v>
      </c>
      <c r="W203" t="s">
        <v>147</v>
      </c>
      <c r="X203" t="s">
        <v>3346</v>
      </c>
      <c r="Y203" t="s">
        <v>3347</v>
      </c>
      <c r="Z203" t="s">
        <v>549</v>
      </c>
      <c r="AA203" t="s">
        <v>65</v>
      </c>
      <c r="AB203" t="s">
        <v>1161</v>
      </c>
      <c r="AC203" t="s">
        <v>662</v>
      </c>
      <c r="AD203" t="s">
        <v>156</v>
      </c>
      <c r="AE203" t="s">
        <v>153</v>
      </c>
      <c r="AF203" t="s">
        <v>2533</v>
      </c>
      <c r="AG203" t="s">
        <v>3348</v>
      </c>
      <c r="AH203">
        <v>5</v>
      </c>
      <c r="AI203" t="s">
        <v>2502</v>
      </c>
      <c r="AJ203" t="s">
        <v>3349</v>
      </c>
      <c r="AK203" t="s">
        <v>156</v>
      </c>
      <c r="AM203" t="s">
        <v>75</v>
      </c>
      <c r="AN203">
        <v>1800000</v>
      </c>
      <c r="AO203" s="9">
        <v>36000</v>
      </c>
    </row>
    <row r="204" spans="1:41" x14ac:dyDescent="0.25">
      <c r="A204">
        <v>203</v>
      </c>
      <c r="B204" t="s">
        <v>1305</v>
      </c>
      <c r="C204" t="s">
        <v>3350</v>
      </c>
      <c r="D204" t="s">
        <v>77</v>
      </c>
      <c r="E204" t="s">
        <v>47</v>
      </c>
      <c r="F204" t="s">
        <v>48</v>
      </c>
      <c r="G204" t="s">
        <v>3351</v>
      </c>
      <c r="H204" t="s">
        <v>3352</v>
      </c>
      <c r="I204" t="s">
        <v>3353</v>
      </c>
      <c r="J204">
        <v>2</v>
      </c>
      <c r="K204">
        <v>25.69</v>
      </c>
      <c r="L204" t="s">
        <v>3354</v>
      </c>
      <c r="M204" t="s">
        <v>3355</v>
      </c>
      <c r="N204" t="s">
        <v>54</v>
      </c>
      <c r="O204" t="s">
        <v>3356</v>
      </c>
      <c r="P204" t="s">
        <v>3357</v>
      </c>
      <c r="Q204" t="s">
        <v>3358</v>
      </c>
      <c r="R204" t="s">
        <v>3357</v>
      </c>
      <c r="S204" t="s">
        <v>3359</v>
      </c>
      <c r="T204">
        <v>1462500</v>
      </c>
      <c r="U204">
        <v>1950000</v>
      </c>
      <c r="V204" t="s">
        <v>3360</v>
      </c>
      <c r="W204" t="s">
        <v>61</v>
      </c>
      <c r="X204" t="s">
        <v>3361</v>
      </c>
      <c r="Y204" t="s">
        <v>3362</v>
      </c>
      <c r="Z204" t="s">
        <v>93</v>
      </c>
      <c r="AA204" t="s">
        <v>3363</v>
      </c>
      <c r="AB204" t="s">
        <v>1520</v>
      </c>
      <c r="AC204" t="s">
        <v>175</v>
      </c>
      <c r="AD204" t="s">
        <v>133</v>
      </c>
      <c r="AE204" t="s">
        <v>69</v>
      </c>
      <c r="AF204" t="s">
        <v>1007</v>
      </c>
      <c r="AG204" t="s">
        <v>3364</v>
      </c>
      <c r="AH204">
        <v>5</v>
      </c>
      <c r="AI204" t="s">
        <v>237</v>
      </c>
      <c r="AJ204" t="s">
        <v>3365</v>
      </c>
      <c r="AK204" t="s">
        <v>133</v>
      </c>
      <c r="AM204" t="s">
        <v>75</v>
      </c>
      <c r="AN204">
        <v>1560000</v>
      </c>
      <c r="AO204" s="9">
        <v>31200</v>
      </c>
    </row>
    <row r="205" spans="1:41" x14ac:dyDescent="0.25">
      <c r="A205">
        <v>204</v>
      </c>
      <c r="B205" t="s">
        <v>1305</v>
      </c>
      <c r="C205" t="s">
        <v>3366</v>
      </c>
      <c r="D205" t="s">
        <v>1238</v>
      </c>
      <c r="E205" t="s">
        <v>47</v>
      </c>
      <c r="F205" t="s">
        <v>48</v>
      </c>
      <c r="G205" t="s">
        <v>3367</v>
      </c>
      <c r="H205" t="s">
        <v>3368</v>
      </c>
      <c r="I205" t="s">
        <v>3369</v>
      </c>
      <c r="J205">
        <v>2</v>
      </c>
      <c r="K205">
        <v>26.78</v>
      </c>
      <c r="L205" t="s">
        <v>3370</v>
      </c>
      <c r="M205" t="s">
        <v>3371</v>
      </c>
      <c r="N205" t="s">
        <v>83</v>
      </c>
      <c r="O205" t="s">
        <v>3372</v>
      </c>
      <c r="P205" t="s">
        <v>65</v>
      </c>
      <c r="Q205" t="s">
        <v>65</v>
      </c>
      <c r="R205" t="s">
        <v>65</v>
      </c>
      <c r="S205" t="s">
        <v>3373</v>
      </c>
      <c r="T205">
        <v>1777750</v>
      </c>
      <c r="U205">
        <v>2735000</v>
      </c>
      <c r="V205" t="s">
        <v>146</v>
      </c>
      <c r="W205" t="s">
        <v>147</v>
      </c>
      <c r="X205" t="s">
        <v>3374</v>
      </c>
      <c r="Y205" t="s">
        <v>3375</v>
      </c>
      <c r="Z205" t="s">
        <v>64</v>
      </c>
      <c r="AA205" t="s">
        <v>65</v>
      </c>
      <c r="AB205" t="s">
        <v>3376</v>
      </c>
      <c r="AC205" t="s">
        <v>151</v>
      </c>
      <c r="AD205" t="s">
        <v>156</v>
      </c>
      <c r="AE205" t="s">
        <v>153</v>
      </c>
      <c r="AF205" t="s">
        <v>2533</v>
      </c>
      <c r="AG205" t="s">
        <v>3377</v>
      </c>
      <c r="AH205">
        <v>5</v>
      </c>
      <c r="AI205" t="s">
        <v>237</v>
      </c>
      <c r="AJ205" t="s">
        <v>3378</v>
      </c>
      <c r="AK205" t="s">
        <v>156</v>
      </c>
      <c r="AM205" t="s">
        <v>75</v>
      </c>
      <c r="AN205">
        <v>2051250</v>
      </c>
      <c r="AO205" s="9">
        <v>41025</v>
      </c>
    </row>
    <row r="206" spans="1:41" x14ac:dyDescent="0.25">
      <c r="A206">
        <v>205</v>
      </c>
      <c r="B206" t="s">
        <v>1305</v>
      </c>
      <c r="C206" t="s">
        <v>3379</v>
      </c>
      <c r="D206" t="s">
        <v>77</v>
      </c>
      <c r="E206" t="s">
        <v>47</v>
      </c>
      <c r="F206" t="s">
        <v>48</v>
      </c>
      <c r="G206" t="s">
        <v>3351</v>
      </c>
      <c r="H206" t="s">
        <v>3380</v>
      </c>
      <c r="I206" t="s">
        <v>3381</v>
      </c>
      <c r="J206">
        <v>2</v>
      </c>
      <c r="K206">
        <v>25.69</v>
      </c>
      <c r="L206" t="s">
        <v>3382</v>
      </c>
      <c r="M206" t="s">
        <v>3383</v>
      </c>
      <c r="N206" t="s">
        <v>54</v>
      </c>
      <c r="O206" t="s">
        <v>3384</v>
      </c>
      <c r="P206" t="s">
        <v>3385</v>
      </c>
      <c r="Q206" t="s">
        <v>3386</v>
      </c>
      <c r="R206" t="s">
        <v>3385</v>
      </c>
      <c r="S206" t="s">
        <v>3387</v>
      </c>
      <c r="T206">
        <v>1330000</v>
      </c>
      <c r="U206">
        <v>1900000</v>
      </c>
      <c r="V206" t="s">
        <v>3388</v>
      </c>
      <c r="W206" t="s">
        <v>61</v>
      </c>
      <c r="X206" t="s">
        <v>3389</v>
      </c>
      <c r="Y206" t="s">
        <v>3390</v>
      </c>
      <c r="Z206" t="s">
        <v>93</v>
      </c>
      <c r="AA206" t="s">
        <v>3391</v>
      </c>
      <c r="AB206" t="s">
        <v>342</v>
      </c>
      <c r="AC206" t="s">
        <v>151</v>
      </c>
      <c r="AD206" t="s">
        <v>133</v>
      </c>
      <c r="AE206" t="s">
        <v>69</v>
      </c>
      <c r="AF206" t="s">
        <v>1007</v>
      </c>
      <c r="AG206" t="s">
        <v>3392</v>
      </c>
      <c r="AH206">
        <v>5</v>
      </c>
      <c r="AI206" t="s">
        <v>237</v>
      </c>
      <c r="AJ206" t="s">
        <v>3393</v>
      </c>
      <c r="AK206" t="s">
        <v>133</v>
      </c>
      <c r="AM206" t="s">
        <v>75</v>
      </c>
      <c r="AN206">
        <v>1520000</v>
      </c>
      <c r="AO206" s="9">
        <v>30400</v>
      </c>
    </row>
    <row r="207" spans="1:41" x14ac:dyDescent="0.25">
      <c r="A207">
        <v>206</v>
      </c>
      <c r="B207" t="s">
        <v>1305</v>
      </c>
      <c r="C207" t="s">
        <v>3394</v>
      </c>
      <c r="D207" t="s">
        <v>912</v>
      </c>
      <c r="E207" t="s">
        <v>47</v>
      </c>
      <c r="F207" t="s">
        <v>48</v>
      </c>
      <c r="G207" t="s">
        <v>1636</v>
      </c>
      <c r="H207" t="s">
        <v>3395</v>
      </c>
      <c r="I207" t="s">
        <v>3396</v>
      </c>
      <c r="J207">
        <v>2</v>
      </c>
      <c r="K207">
        <v>26.78</v>
      </c>
      <c r="L207" t="s">
        <v>3397</v>
      </c>
      <c r="M207" t="s">
        <v>3398</v>
      </c>
      <c r="N207" t="s">
        <v>83</v>
      </c>
      <c r="O207" t="s">
        <v>3399</v>
      </c>
      <c r="P207" t="s">
        <v>65</v>
      </c>
      <c r="Q207" t="s">
        <v>3400</v>
      </c>
      <c r="R207" t="s">
        <v>65</v>
      </c>
      <c r="S207" t="s">
        <v>3401</v>
      </c>
      <c r="T207">
        <v>1520000</v>
      </c>
      <c r="U207">
        <v>1900000</v>
      </c>
      <c r="V207" t="s">
        <v>3402</v>
      </c>
      <c r="W207" t="s">
        <v>147</v>
      </c>
      <c r="X207" t="s">
        <v>3403</v>
      </c>
      <c r="Y207" t="s">
        <v>3404</v>
      </c>
      <c r="Z207" t="s">
        <v>93</v>
      </c>
      <c r="AA207" t="s">
        <v>3405</v>
      </c>
      <c r="AB207" t="s">
        <v>3406</v>
      </c>
      <c r="AC207" t="s">
        <v>552</v>
      </c>
      <c r="AD207" t="s">
        <v>2500</v>
      </c>
      <c r="AE207" t="s">
        <v>153</v>
      </c>
      <c r="AF207" t="s">
        <v>2533</v>
      </c>
      <c r="AG207" t="s">
        <v>3407</v>
      </c>
      <c r="AH207">
        <v>5</v>
      </c>
      <c r="AI207" t="s">
        <v>2502</v>
      </c>
      <c r="AJ207" t="s">
        <v>3408</v>
      </c>
      <c r="AK207" t="s">
        <v>156</v>
      </c>
      <c r="AM207" t="s">
        <v>75</v>
      </c>
      <c r="AN207">
        <v>1425000</v>
      </c>
      <c r="AO207" s="9">
        <v>28500</v>
      </c>
    </row>
    <row r="208" spans="1:41" x14ac:dyDescent="0.25">
      <c r="A208">
        <v>207</v>
      </c>
      <c r="B208" t="s">
        <v>1305</v>
      </c>
      <c r="C208" t="s">
        <v>3409</v>
      </c>
      <c r="D208" t="s">
        <v>912</v>
      </c>
      <c r="E208" t="s">
        <v>47</v>
      </c>
      <c r="F208" t="s">
        <v>48</v>
      </c>
      <c r="G208" t="s">
        <v>78</v>
      </c>
      <c r="H208" t="s">
        <v>3410</v>
      </c>
      <c r="I208" t="s">
        <v>3411</v>
      </c>
      <c r="J208">
        <v>2</v>
      </c>
      <c r="K208">
        <v>26.78</v>
      </c>
      <c r="L208" t="s">
        <v>3412</v>
      </c>
      <c r="M208" t="s">
        <v>3413</v>
      </c>
      <c r="N208" t="s">
        <v>83</v>
      </c>
      <c r="O208" t="s">
        <v>3414</v>
      </c>
      <c r="P208" t="s">
        <v>3415</v>
      </c>
      <c r="Q208" t="s">
        <v>3415</v>
      </c>
      <c r="R208" t="s">
        <v>3416</v>
      </c>
      <c r="S208" t="s">
        <v>3417</v>
      </c>
      <c r="T208">
        <v>1337000</v>
      </c>
      <c r="U208">
        <v>1910000</v>
      </c>
      <c r="V208" t="s">
        <v>3418</v>
      </c>
      <c r="W208" t="s">
        <v>147</v>
      </c>
      <c r="X208" t="s">
        <v>3419</v>
      </c>
      <c r="Y208" t="s">
        <v>3420</v>
      </c>
      <c r="Z208" t="s">
        <v>93</v>
      </c>
      <c r="AA208" t="s">
        <v>3421</v>
      </c>
      <c r="AB208" t="s">
        <v>3422</v>
      </c>
      <c r="AC208" t="s">
        <v>624</v>
      </c>
      <c r="AD208" t="s">
        <v>156</v>
      </c>
      <c r="AE208" t="s">
        <v>153</v>
      </c>
      <c r="AF208" t="s">
        <v>2533</v>
      </c>
      <c r="AG208" t="s">
        <v>3423</v>
      </c>
      <c r="AH208">
        <v>5</v>
      </c>
      <c r="AI208" t="s">
        <v>237</v>
      </c>
      <c r="AJ208" t="s">
        <v>3424</v>
      </c>
      <c r="AK208" t="s">
        <v>3425</v>
      </c>
      <c r="AM208" t="s">
        <v>75</v>
      </c>
      <c r="AN208">
        <v>1432500</v>
      </c>
      <c r="AO208" s="9">
        <v>28650</v>
      </c>
    </row>
    <row r="209" spans="1:41" x14ac:dyDescent="0.25">
      <c r="A209">
        <v>208</v>
      </c>
      <c r="B209" t="s">
        <v>1305</v>
      </c>
      <c r="C209" t="s">
        <v>3426</v>
      </c>
      <c r="D209" t="s">
        <v>77</v>
      </c>
      <c r="E209" t="s">
        <v>47</v>
      </c>
      <c r="F209" t="s">
        <v>48</v>
      </c>
      <c r="G209" t="s">
        <v>3427</v>
      </c>
      <c r="H209" t="s">
        <v>3428</v>
      </c>
      <c r="I209" t="s">
        <v>3429</v>
      </c>
      <c r="J209">
        <v>2</v>
      </c>
      <c r="K209">
        <v>25.69</v>
      </c>
      <c r="L209" t="s">
        <v>3430</v>
      </c>
      <c r="M209" t="s">
        <v>3431</v>
      </c>
      <c r="N209" t="s">
        <v>83</v>
      </c>
      <c r="O209" t="s">
        <v>3432</v>
      </c>
      <c r="P209" t="s">
        <v>3433</v>
      </c>
      <c r="Q209" t="s">
        <v>3434</v>
      </c>
      <c r="R209" t="s">
        <v>3435</v>
      </c>
      <c r="S209" t="s">
        <v>3436</v>
      </c>
      <c r="T209">
        <v>1012500</v>
      </c>
      <c r="U209">
        <v>1350000</v>
      </c>
      <c r="V209" t="s">
        <v>3437</v>
      </c>
      <c r="W209" t="s">
        <v>61</v>
      </c>
      <c r="X209" t="s">
        <v>3438</v>
      </c>
      <c r="Y209" t="s">
        <v>3439</v>
      </c>
      <c r="Z209" t="s">
        <v>93</v>
      </c>
      <c r="AA209" t="s">
        <v>3440</v>
      </c>
      <c r="AB209" t="s">
        <v>3441</v>
      </c>
      <c r="AC209" t="s">
        <v>2425</v>
      </c>
      <c r="AD209" t="s">
        <v>133</v>
      </c>
      <c r="AE209" t="s">
        <v>69</v>
      </c>
      <c r="AF209" t="s">
        <v>2533</v>
      </c>
      <c r="AG209" t="s">
        <v>3442</v>
      </c>
      <c r="AH209">
        <v>4</v>
      </c>
      <c r="AI209" t="s">
        <v>237</v>
      </c>
      <c r="AJ209" t="s">
        <v>3443</v>
      </c>
      <c r="AK209" t="s">
        <v>74</v>
      </c>
      <c r="AM209" t="s">
        <v>75</v>
      </c>
      <c r="AN209">
        <v>1080000</v>
      </c>
      <c r="AO209" s="9">
        <v>21600</v>
      </c>
    </row>
    <row r="210" spans="1:41" x14ac:dyDescent="0.25">
      <c r="A210">
        <v>209</v>
      </c>
      <c r="B210" t="s">
        <v>1305</v>
      </c>
      <c r="C210" t="s">
        <v>3444</v>
      </c>
      <c r="D210" t="s">
        <v>912</v>
      </c>
      <c r="E210" t="s">
        <v>47</v>
      </c>
      <c r="F210" t="s">
        <v>48</v>
      </c>
      <c r="G210" t="s">
        <v>609</v>
      </c>
      <c r="H210" t="s">
        <v>3445</v>
      </c>
      <c r="I210" t="s">
        <v>3446</v>
      </c>
      <c r="J210">
        <v>2</v>
      </c>
      <c r="K210">
        <v>26.78</v>
      </c>
      <c r="L210" t="s">
        <v>3447</v>
      </c>
      <c r="M210" t="s">
        <v>3448</v>
      </c>
      <c r="N210" t="s">
        <v>83</v>
      </c>
      <c r="O210" t="s">
        <v>3449</v>
      </c>
      <c r="P210" t="s">
        <v>652</v>
      </c>
      <c r="Q210" t="s">
        <v>3450</v>
      </c>
      <c r="R210" t="s">
        <v>3451</v>
      </c>
      <c r="S210" t="s">
        <v>3452</v>
      </c>
      <c r="T210">
        <v>1170000</v>
      </c>
      <c r="U210">
        <v>1950000</v>
      </c>
      <c r="V210" t="s">
        <v>146</v>
      </c>
      <c r="W210" t="s">
        <v>147</v>
      </c>
      <c r="X210" t="s">
        <v>3453</v>
      </c>
      <c r="Y210" t="s">
        <v>3454</v>
      </c>
      <c r="Z210" t="s">
        <v>549</v>
      </c>
      <c r="AA210" t="s">
        <v>65</v>
      </c>
      <c r="AB210" t="s">
        <v>3455</v>
      </c>
      <c r="AC210" t="s">
        <v>662</v>
      </c>
      <c r="AD210" t="s">
        <v>156</v>
      </c>
      <c r="AE210" t="s">
        <v>153</v>
      </c>
      <c r="AF210" t="s">
        <v>2533</v>
      </c>
      <c r="AG210" t="s">
        <v>3456</v>
      </c>
      <c r="AH210">
        <v>5</v>
      </c>
      <c r="AI210" t="s">
        <v>237</v>
      </c>
      <c r="AJ210" t="s">
        <v>3457</v>
      </c>
      <c r="AK210" t="s">
        <v>156</v>
      </c>
      <c r="AM210" t="s">
        <v>75</v>
      </c>
      <c r="AN210">
        <v>1462500</v>
      </c>
      <c r="AO210" s="9">
        <v>29250</v>
      </c>
    </row>
    <row r="211" spans="1:41" x14ac:dyDescent="0.25">
      <c r="A211">
        <v>210</v>
      </c>
      <c r="B211" t="s">
        <v>1305</v>
      </c>
      <c r="C211" t="s">
        <v>3458</v>
      </c>
      <c r="D211" t="s">
        <v>277</v>
      </c>
      <c r="E211" t="s">
        <v>47</v>
      </c>
      <c r="F211" t="s">
        <v>48</v>
      </c>
      <c r="G211" t="s">
        <v>1717</v>
      </c>
      <c r="H211" t="s">
        <v>3459</v>
      </c>
      <c r="I211" t="s">
        <v>3460</v>
      </c>
      <c r="J211">
        <v>1.75</v>
      </c>
      <c r="K211">
        <v>26.69</v>
      </c>
      <c r="L211" t="s">
        <v>3461</v>
      </c>
      <c r="M211" t="s">
        <v>3462</v>
      </c>
      <c r="N211" t="s">
        <v>187</v>
      </c>
      <c r="O211" t="s">
        <v>3463</v>
      </c>
      <c r="P211" t="s">
        <v>3464</v>
      </c>
      <c r="Q211" t="s">
        <v>3464</v>
      </c>
      <c r="R211" t="s">
        <v>3464</v>
      </c>
      <c r="S211" t="s">
        <v>3465</v>
      </c>
      <c r="T211">
        <v>1452500</v>
      </c>
      <c r="U211">
        <v>2075000</v>
      </c>
      <c r="V211" t="s">
        <v>3466</v>
      </c>
      <c r="W211" t="s">
        <v>1648</v>
      </c>
      <c r="X211" t="s">
        <v>3467</v>
      </c>
      <c r="Y211" t="s">
        <v>3468</v>
      </c>
      <c r="Z211" t="s">
        <v>93</v>
      </c>
      <c r="AA211" t="s">
        <v>3469</v>
      </c>
      <c r="AB211" t="s">
        <v>214</v>
      </c>
      <c r="AC211" t="s">
        <v>67</v>
      </c>
      <c r="AD211" t="s">
        <v>756</v>
      </c>
      <c r="AE211" t="s">
        <v>453</v>
      </c>
      <c r="AF211" t="s">
        <v>2370</v>
      </c>
      <c r="AG211" t="s">
        <v>3470</v>
      </c>
      <c r="AH211">
        <v>5</v>
      </c>
      <c r="AI211" t="s">
        <v>72</v>
      </c>
      <c r="AJ211" t="s">
        <v>3471</v>
      </c>
      <c r="AK211" t="s">
        <v>774</v>
      </c>
      <c r="AM211" t="s">
        <v>102</v>
      </c>
      <c r="AN211">
        <v>1763750</v>
      </c>
      <c r="AO211" s="9">
        <v>30865.625000000004</v>
      </c>
    </row>
    <row r="212" spans="1:41" x14ac:dyDescent="0.25">
      <c r="A212">
        <v>211</v>
      </c>
      <c r="B212" t="s">
        <v>1305</v>
      </c>
      <c r="C212" t="s">
        <v>3472</v>
      </c>
      <c r="D212" t="s">
        <v>46</v>
      </c>
      <c r="E212" t="s">
        <v>47</v>
      </c>
      <c r="F212" t="s">
        <v>48</v>
      </c>
      <c r="G212" t="s">
        <v>1371</v>
      </c>
      <c r="H212" t="s">
        <v>3473</v>
      </c>
      <c r="I212" t="s">
        <v>3474</v>
      </c>
      <c r="J212">
        <v>2</v>
      </c>
      <c r="K212">
        <v>25.74</v>
      </c>
      <c r="L212" t="s">
        <v>3475</v>
      </c>
      <c r="M212" t="s">
        <v>3476</v>
      </c>
      <c r="N212" t="s">
        <v>164</v>
      </c>
      <c r="O212" t="s">
        <v>3477</v>
      </c>
      <c r="P212" t="s">
        <v>65</v>
      </c>
      <c r="Q212" t="s">
        <v>65</v>
      </c>
      <c r="R212" t="s">
        <v>65</v>
      </c>
      <c r="S212" t="s">
        <v>3478</v>
      </c>
      <c r="T212">
        <v>1091500</v>
      </c>
      <c r="U212">
        <v>2183000</v>
      </c>
      <c r="V212" t="s">
        <v>3479</v>
      </c>
      <c r="W212" t="s">
        <v>1648</v>
      </c>
      <c r="X212" t="s">
        <v>3480</v>
      </c>
      <c r="Y212" t="s">
        <v>3481</v>
      </c>
      <c r="Z212" t="s">
        <v>64</v>
      </c>
      <c r="AA212" t="s">
        <v>65</v>
      </c>
      <c r="AB212" t="s">
        <v>1074</v>
      </c>
      <c r="AC212" t="s">
        <v>531</v>
      </c>
      <c r="AD212" t="s">
        <v>3482</v>
      </c>
      <c r="AE212" t="s">
        <v>453</v>
      </c>
      <c r="AF212" t="s">
        <v>1430</v>
      </c>
      <c r="AG212" t="s">
        <v>3483</v>
      </c>
      <c r="AH212">
        <v>3</v>
      </c>
      <c r="AI212" t="s">
        <v>237</v>
      </c>
      <c r="AJ212" t="s">
        <v>3484</v>
      </c>
      <c r="AK212" t="s">
        <v>774</v>
      </c>
      <c r="AM212" t="s">
        <v>75</v>
      </c>
      <c r="AN212">
        <v>1855550</v>
      </c>
      <c r="AO212" s="9">
        <v>37111</v>
      </c>
    </row>
    <row r="213" spans="1:41" x14ac:dyDescent="0.25">
      <c r="A213">
        <v>212</v>
      </c>
      <c r="B213" t="s">
        <v>1305</v>
      </c>
      <c r="C213" t="s">
        <v>3485</v>
      </c>
      <c r="D213" t="s">
        <v>241</v>
      </c>
      <c r="E213" t="s">
        <v>47</v>
      </c>
      <c r="F213" t="s">
        <v>48</v>
      </c>
      <c r="G213" t="s">
        <v>3486</v>
      </c>
      <c r="H213" t="s">
        <v>3487</v>
      </c>
      <c r="I213" t="s">
        <v>3488</v>
      </c>
      <c r="J213">
        <v>2</v>
      </c>
      <c r="K213">
        <v>27.44</v>
      </c>
      <c r="L213" t="s">
        <v>3489</v>
      </c>
      <c r="M213" t="s">
        <v>3490</v>
      </c>
      <c r="N213" t="s">
        <v>164</v>
      </c>
      <c r="O213" t="s">
        <v>3491</v>
      </c>
      <c r="P213" t="s">
        <v>3492</v>
      </c>
      <c r="Q213" t="s">
        <v>3492</v>
      </c>
      <c r="R213" t="s">
        <v>3493</v>
      </c>
      <c r="S213" t="s">
        <v>3494</v>
      </c>
      <c r="T213">
        <v>2114200</v>
      </c>
      <c r="U213">
        <v>3844000</v>
      </c>
      <c r="V213" t="s">
        <v>3495</v>
      </c>
      <c r="W213" t="s">
        <v>1648</v>
      </c>
      <c r="X213" t="s">
        <v>3496</v>
      </c>
      <c r="Y213" t="s">
        <v>3497</v>
      </c>
      <c r="Z213" t="s">
        <v>64</v>
      </c>
      <c r="AA213" t="s">
        <v>65</v>
      </c>
      <c r="AB213" t="s">
        <v>1005</v>
      </c>
      <c r="AC213" t="s">
        <v>531</v>
      </c>
      <c r="AD213" t="s">
        <v>3498</v>
      </c>
      <c r="AE213" t="s">
        <v>453</v>
      </c>
      <c r="AF213" t="s">
        <v>1430</v>
      </c>
      <c r="AG213" t="s">
        <v>3499</v>
      </c>
      <c r="AH213">
        <v>3</v>
      </c>
      <c r="AI213" t="s">
        <v>72</v>
      </c>
      <c r="AJ213" t="s">
        <v>3500</v>
      </c>
      <c r="AK213" t="s">
        <v>774</v>
      </c>
      <c r="AM213" t="s">
        <v>75</v>
      </c>
      <c r="AN213">
        <v>3267400</v>
      </c>
      <c r="AO213" s="9">
        <v>65348</v>
      </c>
    </row>
    <row r="214" spans="1:41" x14ac:dyDescent="0.25">
      <c r="A214">
        <v>213</v>
      </c>
      <c r="B214" t="s">
        <v>1305</v>
      </c>
      <c r="C214" t="s">
        <v>3501</v>
      </c>
      <c r="D214" t="s">
        <v>1238</v>
      </c>
      <c r="E214" t="s">
        <v>47</v>
      </c>
      <c r="F214" t="s">
        <v>48</v>
      </c>
      <c r="G214" t="s">
        <v>3079</v>
      </c>
      <c r="H214" t="s">
        <v>3502</v>
      </c>
      <c r="I214" t="s">
        <v>3503</v>
      </c>
      <c r="J214">
        <v>2</v>
      </c>
      <c r="K214">
        <v>27.28</v>
      </c>
      <c r="L214" t="s">
        <v>3504</v>
      </c>
      <c r="M214" t="s">
        <v>3505</v>
      </c>
      <c r="N214" t="s">
        <v>83</v>
      </c>
      <c r="O214" t="s">
        <v>3506</v>
      </c>
      <c r="P214" t="s">
        <v>3507</v>
      </c>
      <c r="Q214" t="s">
        <v>3508</v>
      </c>
      <c r="R214" t="s">
        <v>3509</v>
      </c>
      <c r="S214" t="s">
        <v>3510</v>
      </c>
      <c r="T214">
        <v>1125000</v>
      </c>
      <c r="U214">
        <v>1500000</v>
      </c>
      <c r="V214" t="s">
        <v>3511</v>
      </c>
      <c r="W214" t="s">
        <v>147</v>
      </c>
      <c r="X214" t="s">
        <v>3512</v>
      </c>
      <c r="Y214" t="s">
        <v>3513</v>
      </c>
      <c r="Z214" t="s">
        <v>93</v>
      </c>
      <c r="AA214" t="s">
        <v>3514</v>
      </c>
      <c r="AB214" t="s">
        <v>273</v>
      </c>
      <c r="AC214" t="s">
        <v>175</v>
      </c>
      <c r="AD214" t="s">
        <v>3515</v>
      </c>
      <c r="AE214" t="s">
        <v>2947</v>
      </c>
      <c r="AF214" t="s">
        <v>2948</v>
      </c>
      <c r="AG214" t="s">
        <v>3516</v>
      </c>
      <c r="AH214">
        <v>5</v>
      </c>
      <c r="AI214" t="s">
        <v>198</v>
      </c>
      <c r="AJ214" t="s">
        <v>3517</v>
      </c>
      <c r="AK214" t="s">
        <v>156</v>
      </c>
      <c r="AM214" t="s">
        <v>75</v>
      </c>
      <c r="AN214">
        <v>1125000</v>
      </c>
      <c r="AO214" s="9">
        <v>22500</v>
      </c>
    </row>
    <row r="215" spans="1:41" x14ac:dyDescent="0.25">
      <c r="A215">
        <v>214</v>
      </c>
      <c r="B215" t="s">
        <v>1305</v>
      </c>
      <c r="C215" t="s">
        <v>3518</v>
      </c>
      <c r="D215" t="s">
        <v>1238</v>
      </c>
      <c r="E215" t="s">
        <v>47</v>
      </c>
      <c r="F215" t="s">
        <v>48</v>
      </c>
      <c r="G215" t="s">
        <v>3519</v>
      </c>
      <c r="H215" t="s">
        <v>3520</v>
      </c>
      <c r="I215" t="s">
        <v>3521</v>
      </c>
      <c r="J215">
        <v>2</v>
      </c>
      <c r="K215">
        <v>26.78</v>
      </c>
      <c r="L215" t="s">
        <v>3522</v>
      </c>
      <c r="M215" t="s">
        <v>3523</v>
      </c>
      <c r="N215" t="s">
        <v>54</v>
      </c>
      <c r="O215" t="s">
        <v>3524</v>
      </c>
      <c r="P215" t="s">
        <v>3525</v>
      </c>
      <c r="Q215" t="s">
        <v>3526</v>
      </c>
      <c r="R215" t="s">
        <v>3525</v>
      </c>
      <c r="S215" t="s">
        <v>3527</v>
      </c>
      <c r="T215">
        <v>1123500</v>
      </c>
      <c r="U215">
        <v>1605000</v>
      </c>
      <c r="V215" t="s">
        <v>3528</v>
      </c>
      <c r="W215" t="s">
        <v>147</v>
      </c>
      <c r="X215" t="s">
        <v>3529</v>
      </c>
      <c r="Y215" t="s">
        <v>3530</v>
      </c>
      <c r="Z215" t="s">
        <v>64</v>
      </c>
      <c r="AA215" t="s">
        <v>65</v>
      </c>
      <c r="AB215" t="s">
        <v>642</v>
      </c>
      <c r="AC215" t="s">
        <v>151</v>
      </c>
      <c r="AD215" t="s">
        <v>2500</v>
      </c>
      <c r="AE215" t="s">
        <v>153</v>
      </c>
      <c r="AF215" t="s">
        <v>2533</v>
      </c>
      <c r="AG215" t="s">
        <v>3531</v>
      </c>
      <c r="AH215">
        <v>5</v>
      </c>
      <c r="AI215" t="s">
        <v>2502</v>
      </c>
      <c r="AJ215" t="s">
        <v>3532</v>
      </c>
      <c r="AK215" t="s">
        <v>156</v>
      </c>
      <c r="AM215" t="s">
        <v>75</v>
      </c>
      <c r="AN215">
        <v>1203750</v>
      </c>
      <c r="AO215" s="9">
        <v>24075</v>
      </c>
    </row>
    <row r="216" spans="1:41" hidden="1" x14ac:dyDescent="0.25">
      <c r="A216">
        <v>215</v>
      </c>
      <c r="B216" t="s">
        <v>1305</v>
      </c>
      <c r="C216" t="s">
        <v>3533</v>
      </c>
      <c r="D216" t="s">
        <v>277</v>
      </c>
      <c r="E216" t="s">
        <v>47</v>
      </c>
      <c r="F216" t="s">
        <v>48</v>
      </c>
      <c r="G216" t="s">
        <v>1221</v>
      </c>
      <c r="H216" t="s">
        <v>3534</v>
      </c>
      <c r="I216" t="s">
        <v>3535</v>
      </c>
      <c r="J216">
        <v>2.5</v>
      </c>
      <c r="K216">
        <v>29.2</v>
      </c>
      <c r="L216" t="s">
        <v>3536</v>
      </c>
      <c r="M216" t="s">
        <v>3537</v>
      </c>
      <c r="N216" t="s">
        <v>83</v>
      </c>
      <c r="O216" t="s">
        <v>3538</v>
      </c>
      <c r="P216" t="s">
        <v>3539</v>
      </c>
      <c r="Q216" t="s">
        <v>3539</v>
      </c>
      <c r="R216" t="s">
        <v>167</v>
      </c>
      <c r="S216" t="s">
        <v>3540</v>
      </c>
      <c r="T216">
        <v>1275000</v>
      </c>
      <c r="U216">
        <v>1700000</v>
      </c>
      <c r="V216" t="s">
        <v>3541</v>
      </c>
      <c r="W216" t="s">
        <v>170</v>
      </c>
      <c r="X216" t="s">
        <v>3542</v>
      </c>
      <c r="Y216" t="s">
        <v>3543</v>
      </c>
      <c r="Z216" t="s">
        <v>93</v>
      </c>
      <c r="AA216" t="s">
        <v>3544</v>
      </c>
      <c r="AB216" t="s">
        <v>3545</v>
      </c>
      <c r="AC216" t="s">
        <v>507</v>
      </c>
      <c r="AD216" t="s">
        <v>176</v>
      </c>
      <c r="AE216" t="s">
        <v>177</v>
      </c>
      <c r="AF216" t="s">
        <v>70</v>
      </c>
      <c r="AG216" t="s">
        <v>3546</v>
      </c>
      <c r="AH216">
        <v>5</v>
      </c>
      <c r="AI216" t="s">
        <v>100</v>
      </c>
      <c r="AJ216" t="s">
        <v>3547</v>
      </c>
      <c r="AK216" t="s">
        <v>176</v>
      </c>
      <c r="AM216" t="s">
        <v>180</v>
      </c>
      <c r="AN216">
        <v>0</v>
      </c>
      <c r="AO216">
        <v>0</v>
      </c>
    </row>
    <row r="217" spans="1:41" x14ac:dyDescent="0.25">
      <c r="A217">
        <v>216</v>
      </c>
      <c r="B217" t="s">
        <v>1305</v>
      </c>
      <c r="C217" t="s">
        <v>3548</v>
      </c>
      <c r="D217" t="s">
        <v>46</v>
      </c>
      <c r="E217" t="s">
        <v>47</v>
      </c>
      <c r="F217" t="s">
        <v>48</v>
      </c>
      <c r="G217" t="s">
        <v>3549</v>
      </c>
      <c r="H217" t="s">
        <v>3550</v>
      </c>
      <c r="I217" t="s">
        <v>3551</v>
      </c>
      <c r="J217">
        <v>2</v>
      </c>
      <c r="K217">
        <v>27.19</v>
      </c>
      <c r="L217" t="s">
        <v>3552</v>
      </c>
      <c r="M217" t="s">
        <v>3553</v>
      </c>
      <c r="N217" t="s">
        <v>54</v>
      </c>
      <c r="O217" t="s">
        <v>3554</v>
      </c>
      <c r="P217" t="s">
        <v>3555</v>
      </c>
      <c r="Q217" t="s">
        <v>3556</v>
      </c>
      <c r="R217" t="s">
        <v>1246</v>
      </c>
      <c r="S217" t="s">
        <v>3557</v>
      </c>
      <c r="T217">
        <v>884500</v>
      </c>
      <c r="U217">
        <v>3538000</v>
      </c>
      <c r="V217" t="s">
        <v>3558</v>
      </c>
      <c r="W217" t="s">
        <v>1648</v>
      </c>
      <c r="X217" t="s">
        <v>3559</v>
      </c>
      <c r="Y217" t="s">
        <v>3560</v>
      </c>
      <c r="Z217" t="s">
        <v>64</v>
      </c>
      <c r="AA217" t="s">
        <v>65</v>
      </c>
      <c r="AB217" t="s">
        <v>3561</v>
      </c>
      <c r="AC217" t="s">
        <v>531</v>
      </c>
      <c r="AD217" t="s">
        <v>3562</v>
      </c>
      <c r="AE217" t="s">
        <v>453</v>
      </c>
      <c r="AF217" t="s">
        <v>2370</v>
      </c>
      <c r="AG217" t="s">
        <v>3563</v>
      </c>
      <c r="AH217">
        <v>5</v>
      </c>
      <c r="AI217" t="s">
        <v>100</v>
      </c>
      <c r="AJ217" t="s">
        <v>3564</v>
      </c>
      <c r="AK217" t="s">
        <v>774</v>
      </c>
      <c r="AM217" t="s">
        <v>75</v>
      </c>
      <c r="AN217">
        <v>3007300</v>
      </c>
      <c r="AO217" s="9">
        <v>60146</v>
      </c>
    </row>
    <row r="218" spans="1:41" x14ac:dyDescent="0.25">
      <c r="A218">
        <v>217</v>
      </c>
      <c r="B218" t="s">
        <v>1305</v>
      </c>
      <c r="C218" t="s">
        <v>3565</v>
      </c>
      <c r="D218" t="s">
        <v>77</v>
      </c>
      <c r="E218" t="s">
        <v>47</v>
      </c>
      <c r="F218" t="s">
        <v>48</v>
      </c>
      <c r="G218" t="s">
        <v>1717</v>
      </c>
      <c r="H218" t="s">
        <v>3566</v>
      </c>
      <c r="I218" t="s">
        <v>3567</v>
      </c>
      <c r="J218">
        <v>2</v>
      </c>
      <c r="K218">
        <v>25.69</v>
      </c>
      <c r="L218" t="s">
        <v>3568</v>
      </c>
      <c r="M218" t="s">
        <v>3569</v>
      </c>
      <c r="N218" t="s">
        <v>187</v>
      </c>
      <c r="O218" t="s">
        <v>3570</v>
      </c>
      <c r="P218" t="s">
        <v>3571</v>
      </c>
      <c r="Q218" t="s">
        <v>3572</v>
      </c>
      <c r="R218" t="s">
        <v>3573</v>
      </c>
      <c r="S218" t="s">
        <v>3574</v>
      </c>
      <c r="T218">
        <v>750000</v>
      </c>
      <c r="U218">
        <v>1500000</v>
      </c>
      <c r="V218" t="s">
        <v>3575</v>
      </c>
      <c r="W218" t="s">
        <v>61</v>
      </c>
      <c r="X218" t="s">
        <v>3576</v>
      </c>
      <c r="Y218" t="s">
        <v>3577</v>
      </c>
      <c r="Z218" t="s">
        <v>549</v>
      </c>
      <c r="AA218" t="s">
        <v>65</v>
      </c>
      <c r="AB218" t="s">
        <v>3578</v>
      </c>
      <c r="AC218" t="s">
        <v>96</v>
      </c>
      <c r="AD218" t="s">
        <v>133</v>
      </c>
      <c r="AE218" t="s">
        <v>69</v>
      </c>
      <c r="AF218" t="s">
        <v>1007</v>
      </c>
      <c r="AG218" t="s">
        <v>3579</v>
      </c>
      <c r="AH218">
        <v>5</v>
      </c>
      <c r="AI218" t="s">
        <v>237</v>
      </c>
      <c r="AJ218" t="s">
        <v>3580</v>
      </c>
      <c r="AK218" t="s">
        <v>74</v>
      </c>
      <c r="AM218" t="s">
        <v>75</v>
      </c>
      <c r="AN218">
        <v>1200000</v>
      </c>
      <c r="AO218" s="9">
        <v>24000</v>
      </c>
    </row>
    <row r="219" spans="1:41" hidden="1" x14ac:dyDescent="0.25">
      <c r="A219">
        <v>218</v>
      </c>
      <c r="B219" t="s">
        <v>1305</v>
      </c>
      <c r="C219" t="s">
        <v>3581</v>
      </c>
      <c r="D219" t="s">
        <v>277</v>
      </c>
      <c r="E219" t="s">
        <v>47</v>
      </c>
      <c r="F219" t="s">
        <v>48</v>
      </c>
      <c r="G219" t="s">
        <v>3582</v>
      </c>
      <c r="H219" t="s">
        <v>3583</v>
      </c>
      <c r="I219" t="s">
        <v>3584</v>
      </c>
      <c r="J219">
        <v>2.5</v>
      </c>
      <c r="K219">
        <v>26.2</v>
      </c>
      <c r="L219" t="s">
        <v>3585</v>
      </c>
      <c r="M219" t="s">
        <v>3586</v>
      </c>
      <c r="N219" t="s">
        <v>187</v>
      </c>
      <c r="O219" t="s">
        <v>3587</v>
      </c>
      <c r="P219" t="s">
        <v>3588</v>
      </c>
      <c r="Q219" t="s">
        <v>3588</v>
      </c>
      <c r="R219" t="s">
        <v>3588</v>
      </c>
      <c r="S219" t="s">
        <v>3589</v>
      </c>
      <c r="T219">
        <v>1218750</v>
      </c>
      <c r="U219">
        <v>1625000</v>
      </c>
      <c r="V219" t="s">
        <v>3590</v>
      </c>
      <c r="W219" t="s">
        <v>170</v>
      </c>
      <c r="X219" t="s">
        <v>3591</v>
      </c>
      <c r="Y219" t="s">
        <v>3592</v>
      </c>
      <c r="Z219" t="s">
        <v>64</v>
      </c>
      <c r="AA219" t="s">
        <v>3593</v>
      </c>
      <c r="AB219" t="s">
        <v>1746</v>
      </c>
      <c r="AC219" t="s">
        <v>175</v>
      </c>
      <c r="AD219" t="s">
        <v>176</v>
      </c>
      <c r="AE219" t="s">
        <v>177</v>
      </c>
      <c r="AF219" t="s">
        <v>70</v>
      </c>
      <c r="AG219" t="s">
        <v>3594</v>
      </c>
      <c r="AH219">
        <v>5</v>
      </c>
      <c r="AI219" t="s">
        <v>100</v>
      </c>
      <c r="AJ219" t="s">
        <v>3595</v>
      </c>
      <c r="AK219" t="s">
        <v>176</v>
      </c>
      <c r="AM219" t="s">
        <v>180</v>
      </c>
      <c r="AN219">
        <v>0</v>
      </c>
      <c r="AO219">
        <v>0</v>
      </c>
    </row>
    <row r="220" spans="1:41" x14ac:dyDescent="0.25">
      <c r="A220">
        <v>219</v>
      </c>
      <c r="B220" t="s">
        <v>1305</v>
      </c>
      <c r="C220" t="s">
        <v>3596</v>
      </c>
      <c r="D220" t="s">
        <v>77</v>
      </c>
      <c r="E220" t="s">
        <v>47</v>
      </c>
      <c r="F220" t="s">
        <v>48</v>
      </c>
      <c r="G220" t="s">
        <v>516</v>
      </c>
      <c r="H220" t="s">
        <v>3597</v>
      </c>
      <c r="I220" t="s">
        <v>3598</v>
      </c>
      <c r="J220">
        <v>2</v>
      </c>
      <c r="K220">
        <v>25.69</v>
      </c>
      <c r="L220" t="s">
        <v>3599</v>
      </c>
      <c r="M220" t="s">
        <v>3600</v>
      </c>
      <c r="N220" t="s">
        <v>187</v>
      </c>
      <c r="O220" t="s">
        <v>3601</v>
      </c>
      <c r="P220" t="s">
        <v>3602</v>
      </c>
      <c r="Q220" t="s">
        <v>3602</v>
      </c>
      <c r="R220" t="s">
        <v>3603</v>
      </c>
      <c r="S220" t="s">
        <v>3604</v>
      </c>
      <c r="T220">
        <v>736000</v>
      </c>
      <c r="U220">
        <v>920000</v>
      </c>
      <c r="V220" t="s">
        <v>3605</v>
      </c>
      <c r="W220" t="s">
        <v>61</v>
      </c>
      <c r="X220" t="s">
        <v>3606</v>
      </c>
      <c r="Y220" t="s">
        <v>3607</v>
      </c>
      <c r="Z220" t="s">
        <v>93</v>
      </c>
      <c r="AA220" t="s">
        <v>3608</v>
      </c>
      <c r="AB220" t="s">
        <v>2406</v>
      </c>
      <c r="AC220" t="s">
        <v>662</v>
      </c>
      <c r="AD220" t="s">
        <v>133</v>
      </c>
      <c r="AE220" t="s">
        <v>69</v>
      </c>
      <c r="AF220" t="s">
        <v>1007</v>
      </c>
      <c r="AG220" t="s">
        <v>3609</v>
      </c>
      <c r="AH220">
        <v>5</v>
      </c>
      <c r="AI220" t="s">
        <v>237</v>
      </c>
      <c r="AJ220" t="s">
        <v>3610</v>
      </c>
      <c r="AK220" t="s">
        <v>74</v>
      </c>
      <c r="AM220" t="s">
        <v>75</v>
      </c>
      <c r="AN220">
        <v>736000</v>
      </c>
      <c r="AO220" s="9">
        <v>14720</v>
      </c>
    </row>
    <row r="221" spans="1:41" x14ac:dyDescent="0.25">
      <c r="A221">
        <v>220</v>
      </c>
      <c r="B221" t="s">
        <v>1305</v>
      </c>
      <c r="C221" t="s">
        <v>3611</v>
      </c>
      <c r="D221" t="s">
        <v>77</v>
      </c>
      <c r="E221" t="s">
        <v>47</v>
      </c>
      <c r="F221" t="s">
        <v>48</v>
      </c>
      <c r="G221" t="s">
        <v>3095</v>
      </c>
      <c r="H221" t="s">
        <v>3612</v>
      </c>
      <c r="I221" t="s">
        <v>3613</v>
      </c>
      <c r="J221">
        <v>1.75</v>
      </c>
      <c r="K221">
        <v>25.19</v>
      </c>
      <c r="L221" t="s">
        <v>3614</v>
      </c>
      <c r="M221" t="s">
        <v>3615</v>
      </c>
      <c r="N221" t="s">
        <v>265</v>
      </c>
      <c r="O221" t="s">
        <v>3616</v>
      </c>
      <c r="P221" t="s">
        <v>65</v>
      </c>
      <c r="Q221" t="s">
        <v>3617</v>
      </c>
      <c r="R221" t="s">
        <v>65</v>
      </c>
      <c r="S221" t="s">
        <v>3618</v>
      </c>
      <c r="T221">
        <v>2451600</v>
      </c>
      <c r="U221">
        <v>4540000</v>
      </c>
      <c r="V221" t="s">
        <v>3619</v>
      </c>
      <c r="W221" t="s">
        <v>3620</v>
      </c>
      <c r="X221" t="s">
        <v>3621</v>
      </c>
      <c r="Y221" t="s">
        <v>3622</v>
      </c>
      <c r="Z221" t="s">
        <v>93</v>
      </c>
      <c r="AA221" t="s">
        <v>3623</v>
      </c>
      <c r="AB221" t="s">
        <v>2245</v>
      </c>
      <c r="AC221" t="s">
        <v>175</v>
      </c>
      <c r="AD221" s="2">
        <v>45182</v>
      </c>
      <c r="AE221" t="s">
        <v>3275</v>
      </c>
      <c r="AF221" t="s">
        <v>974</v>
      </c>
      <c r="AG221" t="s">
        <v>3624</v>
      </c>
      <c r="AH221">
        <v>3</v>
      </c>
      <c r="AI221" t="s">
        <v>237</v>
      </c>
      <c r="AJ221" t="s">
        <v>3625</v>
      </c>
      <c r="AK221" t="s">
        <v>3626</v>
      </c>
      <c r="AM221" t="s">
        <v>102</v>
      </c>
      <c r="AN221">
        <v>4086000</v>
      </c>
      <c r="AO221" s="9">
        <v>71505</v>
      </c>
    </row>
    <row r="222" spans="1:41" x14ac:dyDescent="0.25">
      <c r="A222">
        <v>221</v>
      </c>
      <c r="B222" t="s">
        <v>1305</v>
      </c>
      <c r="C222" t="s">
        <v>3627</v>
      </c>
      <c r="D222" t="s">
        <v>1238</v>
      </c>
      <c r="E222" t="s">
        <v>47</v>
      </c>
      <c r="F222" t="s">
        <v>48</v>
      </c>
      <c r="G222" t="s">
        <v>78</v>
      </c>
      <c r="H222" t="s">
        <v>3628</v>
      </c>
      <c r="I222" t="s">
        <v>3629</v>
      </c>
      <c r="J222">
        <v>2</v>
      </c>
      <c r="K222">
        <v>27.28</v>
      </c>
      <c r="L222" t="s">
        <v>3630</v>
      </c>
      <c r="M222" t="s">
        <v>3631</v>
      </c>
      <c r="N222" t="s">
        <v>83</v>
      </c>
      <c r="O222" t="s">
        <v>3632</v>
      </c>
      <c r="P222" t="s">
        <v>3633</v>
      </c>
      <c r="Q222" t="s">
        <v>3633</v>
      </c>
      <c r="R222" t="s">
        <v>3634</v>
      </c>
      <c r="S222" t="s">
        <v>3635</v>
      </c>
      <c r="T222">
        <v>840000</v>
      </c>
      <c r="U222">
        <v>1200000</v>
      </c>
      <c r="V222" t="s">
        <v>3636</v>
      </c>
      <c r="W222" t="s">
        <v>170</v>
      </c>
      <c r="X222" t="s">
        <v>3637</v>
      </c>
      <c r="Y222" t="s">
        <v>3638</v>
      </c>
      <c r="Z222" t="s">
        <v>549</v>
      </c>
      <c r="AA222" t="s">
        <v>65</v>
      </c>
      <c r="AB222" t="s">
        <v>3639</v>
      </c>
      <c r="AC222" t="s">
        <v>624</v>
      </c>
      <c r="AD222" t="s">
        <v>156</v>
      </c>
      <c r="AE222" t="s">
        <v>153</v>
      </c>
      <c r="AF222" t="s">
        <v>2533</v>
      </c>
      <c r="AG222" t="s">
        <v>3640</v>
      </c>
      <c r="AH222">
        <v>5</v>
      </c>
      <c r="AI222" t="s">
        <v>2502</v>
      </c>
      <c r="AJ222" t="s">
        <v>3641</v>
      </c>
      <c r="AK222" t="s">
        <v>156</v>
      </c>
      <c r="AM222" t="s">
        <v>75</v>
      </c>
      <c r="AN222">
        <v>900000</v>
      </c>
      <c r="AO222" s="9">
        <v>18000</v>
      </c>
    </row>
    <row r="223" spans="1:41" x14ac:dyDescent="0.25">
      <c r="A223">
        <v>222</v>
      </c>
      <c r="B223" t="s">
        <v>1305</v>
      </c>
      <c r="C223" t="s">
        <v>3642</v>
      </c>
      <c r="D223" t="s">
        <v>277</v>
      </c>
      <c r="E223" t="s">
        <v>47</v>
      </c>
      <c r="F223" t="s">
        <v>48</v>
      </c>
      <c r="G223" t="s">
        <v>609</v>
      </c>
      <c r="H223" t="s">
        <v>3643</v>
      </c>
      <c r="I223" t="s">
        <v>3644</v>
      </c>
      <c r="J223">
        <v>2.5</v>
      </c>
      <c r="K223">
        <v>28.7</v>
      </c>
      <c r="L223" t="s">
        <v>3645</v>
      </c>
      <c r="M223" t="s">
        <v>3646</v>
      </c>
      <c r="N223" t="s">
        <v>83</v>
      </c>
      <c r="O223" t="s">
        <v>3647</v>
      </c>
      <c r="P223" t="s">
        <v>3648</v>
      </c>
      <c r="Q223" t="s">
        <v>3648</v>
      </c>
      <c r="R223" t="s">
        <v>167</v>
      </c>
      <c r="S223" t="s">
        <v>3649</v>
      </c>
      <c r="T223">
        <v>825000</v>
      </c>
      <c r="U223">
        <v>1100000</v>
      </c>
      <c r="V223" t="s">
        <v>3650</v>
      </c>
      <c r="W223" t="s">
        <v>170</v>
      </c>
      <c r="X223" t="s">
        <v>3651</v>
      </c>
      <c r="Y223" t="s">
        <v>3652</v>
      </c>
      <c r="Z223" t="s">
        <v>549</v>
      </c>
      <c r="AA223" t="s">
        <v>3653</v>
      </c>
      <c r="AB223" t="s">
        <v>3654</v>
      </c>
      <c r="AC223" t="s">
        <v>2425</v>
      </c>
      <c r="AD223" t="s">
        <v>176</v>
      </c>
      <c r="AE223" t="s">
        <v>177</v>
      </c>
      <c r="AF223" t="s">
        <v>2533</v>
      </c>
      <c r="AG223" t="s">
        <v>3655</v>
      </c>
      <c r="AH223">
        <v>6</v>
      </c>
      <c r="AI223" t="s">
        <v>237</v>
      </c>
      <c r="AJ223" t="s">
        <v>3656</v>
      </c>
      <c r="AK223" t="s">
        <v>176</v>
      </c>
      <c r="AM223" t="s">
        <v>180</v>
      </c>
      <c r="AN223">
        <v>770000</v>
      </c>
      <c r="AO223" s="9">
        <v>19250</v>
      </c>
    </row>
    <row r="224" spans="1:41" x14ac:dyDescent="0.25">
      <c r="A224">
        <v>223</v>
      </c>
      <c r="B224" t="s">
        <v>1305</v>
      </c>
      <c r="C224" t="s">
        <v>3657</v>
      </c>
      <c r="D224" t="s">
        <v>912</v>
      </c>
      <c r="E224" t="s">
        <v>47</v>
      </c>
      <c r="F224" t="s">
        <v>48</v>
      </c>
      <c r="G224" t="s">
        <v>78</v>
      </c>
      <c r="H224" t="s">
        <v>3658</v>
      </c>
      <c r="I224" t="s">
        <v>3659</v>
      </c>
      <c r="J224">
        <v>2</v>
      </c>
      <c r="K224">
        <v>26.78</v>
      </c>
      <c r="L224" t="s">
        <v>3660</v>
      </c>
      <c r="M224" t="s">
        <v>3661</v>
      </c>
      <c r="N224" t="s">
        <v>83</v>
      </c>
      <c r="O224" t="s">
        <v>3662</v>
      </c>
      <c r="P224" t="s">
        <v>3663</v>
      </c>
      <c r="Q224" t="s">
        <v>3664</v>
      </c>
      <c r="R224" t="s">
        <v>3665</v>
      </c>
      <c r="S224" t="s">
        <v>3666</v>
      </c>
      <c r="T224">
        <v>750000</v>
      </c>
      <c r="U224">
        <v>1250000</v>
      </c>
      <c r="V224" t="s">
        <v>3667</v>
      </c>
      <c r="W224" t="s">
        <v>147</v>
      </c>
      <c r="X224" t="s">
        <v>3668</v>
      </c>
      <c r="Y224" t="s">
        <v>3669</v>
      </c>
      <c r="Z224" t="s">
        <v>93</v>
      </c>
      <c r="AA224" t="s">
        <v>3670</v>
      </c>
      <c r="AB224" t="s">
        <v>642</v>
      </c>
      <c r="AC224" t="s">
        <v>624</v>
      </c>
      <c r="AD224" t="s">
        <v>156</v>
      </c>
      <c r="AE224" t="s">
        <v>153</v>
      </c>
      <c r="AF224" t="s">
        <v>2533</v>
      </c>
      <c r="AG224" t="s">
        <v>3671</v>
      </c>
      <c r="AH224">
        <v>5</v>
      </c>
      <c r="AI224" t="s">
        <v>237</v>
      </c>
      <c r="AJ224" t="s">
        <v>3672</v>
      </c>
      <c r="AK224" t="s">
        <v>156</v>
      </c>
      <c r="AM224" t="s">
        <v>75</v>
      </c>
      <c r="AN224">
        <v>937500</v>
      </c>
      <c r="AO224" s="9">
        <v>18750</v>
      </c>
    </row>
    <row r="225" spans="1:41" x14ac:dyDescent="0.25">
      <c r="A225">
        <v>224</v>
      </c>
      <c r="B225" t="s">
        <v>1305</v>
      </c>
      <c r="C225" t="s">
        <v>3673</v>
      </c>
      <c r="D225" t="s">
        <v>1238</v>
      </c>
      <c r="E225" t="s">
        <v>47</v>
      </c>
      <c r="F225" t="s">
        <v>48</v>
      </c>
      <c r="G225" t="s">
        <v>3079</v>
      </c>
      <c r="H225" t="s">
        <v>3674</v>
      </c>
      <c r="I225" t="s">
        <v>3675</v>
      </c>
      <c r="J225">
        <v>2</v>
      </c>
      <c r="K225">
        <v>27.28</v>
      </c>
      <c r="L225" t="s">
        <v>3676</v>
      </c>
      <c r="M225" t="s">
        <v>3677</v>
      </c>
      <c r="N225" t="s">
        <v>83</v>
      </c>
      <c r="O225" t="s">
        <v>3678</v>
      </c>
      <c r="P225" t="s">
        <v>3679</v>
      </c>
      <c r="Q225" t="s">
        <v>3679</v>
      </c>
      <c r="R225" t="s">
        <v>3680</v>
      </c>
      <c r="S225" t="s">
        <v>3681</v>
      </c>
      <c r="T225">
        <v>742500</v>
      </c>
      <c r="U225">
        <v>1350000</v>
      </c>
      <c r="V225" t="s">
        <v>3682</v>
      </c>
      <c r="W225" t="s">
        <v>147</v>
      </c>
      <c r="X225" t="s">
        <v>3683</v>
      </c>
      <c r="Y225" t="s">
        <v>3684</v>
      </c>
      <c r="Z225" t="s">
        <v>93</v>
      </c>
      <c r="AA225" t="s">
        <v>3685</v>
      </c>
      <c r="AB225" t="s">
        <v>342</v>
      </c>
      <c r="AC225" t="s">
        <v>662</v>
      </c>
      <c r="AD225" t="s">
        <v>156</v>
      </c>
      <c r="AE225" t="s">
        <v>153</v>
      </c>
      <c r="AF225" t="s">
        <v>2533</v>
      </c>
      <c r="AG225" t="s">
        <v>3686</v>
      </c>
      <c r="AH225">
        <v>5</v>
      </c>
      <c r="AI225" t="s">
        <v>237</v>
      </c>
      <c r="AJ225" t="s">
        <v>3687</v>
      </c>
      <c r="AK225" t="s">
        <v>156</v>
      </c>
      <c r="AM225" t="s">
        <v>75</v>
      </c>
      <c r="AN225">
        <v>1012500</v>
      </c>
      <c r="AO225" s="9">
        <v>20250</v>
      </c>
    </row>
    <row r="226" spans="1:41" x14ac:dyDescent="0.25">
      <c r="A226">
        <v>225</v>
      </c>
      <c r="B226" t="s">
        <v>1305</v>
      </c>
      <c r="C226" t="s">
        <v>3688</v>
      </c>
      <c r="D226" t="s">
        <v>77</v>
      </c>
      <c r="E226" t="s">
        <v>47</v>
      </c>
      <c r="F226" t="s">
        <v>48</v>
      </c>
      <c r="G226" t="s">
        <v>3689</v>
      </c>
      <c r="H226" t="s">
        <v>3690</v>
      </c>
      <c r="I226" t="s">
        <v>3691</v>
      </c>
      <c r="J226">
        <v>1.75</v>
      </c>
      <c r="K226">
        <v>25.7</v>
      </c>
      <c r="L226" t="s">
        <v>3692</v>
      </c>
      <c r="M226" t="s">
        <v>3693</v>
      </c>
      <c r="N226" t="s">
        <v>187</v>
      </c>
      <c r="O226" t="s">
        <v>3694</v>
      </c>
      <c r="P226" t="s">
        <v>3695</v>
      </c>
      <c r="Q226" t="s">
        <v>3695</v>
      </c>
      <c r="R226" t="s">
        <v>3695</v>
      </c>
      <c r="S226" t="s">
        <v>3696</v>
      </c>
      <c r="T226">
        <v>2957420</v>
      </c>
      <c r="U226">
        <v>5099000</v>
      </c>
      <c r="V226" t="s">
        <v>3697</v>
      </c>
      <c r="W226" t="s">
        <v>3698</v>
      </c>
      <c r="X226" t="s">
        <v>3699</v>
      </c>
      <c r="Y226" t="s">
        <v>3700</v>
      </c>
      <c r="Z226" t="s">
        <v>64</v>
      </c>
      <c r="AA226" t="s">
        <v>65</v>
      </c>
      <c r="AB226" t="s">
        <v>3701</v>
      </c>
      <c r="AC226" t="s">
        <v>531</v>
      </c>
      <c r="AD226" t="s">
        <v>97</v>
      </c>
      <c r="AE226" t="s">
        <v>98</v>
      </c>
      <c r="AF226" t="s">
        <v>2533</v>
      </c>
      <c r="AG226" t="s">
        <v>3702</v>
      </c>
      <c r="AH226">
        <v>3</v>
      </c>
      <c r="AI226" t="s">
        <v>100</v>
      </c>
      <c r="AJ226" t="s">
        <v>3703</v>
      </c>
      <c r="AK226" t="s">
        <v>97</v>
      </c>
      <c r="AM226" t="s">
        <v>102</v>
      </c>
      <c r="AN226">
        <v>4334150</v>
      </c>
      <c r="AO226" s="9">
        <v>75847.625</v>
      </c>
    </row>
    <row r="227" spans="1:41" x14ac:dyDescent="0.25">
      <c r="A227">
        <v>226</v>
      </c>
      <c r="B227" t="s">
        <v>1305</v>
      </c>
      <c r="C227" t="s">
        <v>3704</v>
      </c>
      <c r="D227" t="s">
        <v>46</v>
      </c>
      <c r="E227" t="s">
        <v>47</v>
      </c>
      <c r="F227" t="s">
        <v>48</v>
      </c>
      <c r="G227" t="s">
        <v>477</v>
      </c>
      <c r="H227" t="s">
        <v>3705</v>
      </c>
      <c r="I227" t="s">
        <v>3706</v>
      </c>
      <c r="J227">
        <v>2</v>
      </c>
      <c r="K227">
        <v>25.84</v>
      </c>
      <c r="L227" t="s">
        <v>3707</v>
      </c>
      <c r="M227" t="s">
        <v>3708</v>
      </c>
      <c r="N227" t="s">
        <v>164</v>
      </c>
      <c r="O227" t="s">
        <v>3709</v>
      </c>
      <c r="P227" t="s">
        <v>3710</v>
      </c>
      <c r="Q227" t="s">
        <v>65</v>
      </c>
      <c r="R227" t="s">
        <v>3711</v>
      </c>
      <c r="S227" t="s">
        <v>3712</v>
      </c>
      <c r="T227">
        <v>1300500</v>
      </c>
      <c r="U227">
        <v>1530000</v>
      </c>
      <c r="V227" t="s">
        <v>3713</v>
      </c>
      <c r="W227" t="s">
        <v>857</v>
      </c>
      <c r="X227" t="s">
        <v>3714</v>
      </c>
      <c r="Y227" t="s">
        <v>3715</v>
      </c>
      <c r="Z227" t="s">
        <v>64</v>
      </c>
      <c r="AA227" t="s">
        <v>65</v>
      </c>
      <c r="AB227" t="s">
        <v>661</v>
      </c>
      <c r="AC227" t="s">
        <v>67</v>
      </c>
      <c r="AD227" t="s">
        <v>490</v>
      </c>
      <c r="AE227" t="s">
        <v>604</v>
      </c>
      <c r="AF227" t="s">
        <v>1430</v>
      </c>
      <c r="AG227" t="s">
        <v>3716</v>
      </c>
      <c r="AH227">
        <v>4</v>
      </c>
      <c r="AI227" t="s">
        <v>237</v>
      </c>
      <c r="AJ227" t="s">
        <v>3717</v>
      </c>
      <c r="AK227" t="s">
        <v>472</v>
      </c>
      <c r="AM227" t="s">
        <v>75</v>
      </c>
      <c r="AN227">
        <v>1224000</v>
      </c>
      <c r="AO227" s="9">
        <v>24480</v>
      </c>
    </row>
    <row r="228" spans="1:41" x14ac:dyDescent="0.25">
      <c r="A228">
        <v>227</v>
      </c>
      <c r="B228" t="s">
        <v>1305</v>
      </c>
      <c r="C228" t="s">
        <v>3718</v>
      </c>
      <c r="D228" t="s">
        <v>46</v>
      </c>
      <c r="E228" t="s">
        <v>47</v>
      </c>
      <c r="F228" t="s">
        <v>48</v>
      </c>
      <c r="G228" t="s">
        <v>182</v>
      </c>
      <c r="H228" t="s">
        <v>3719</v>
      </c>
      <c r="I228" t="s">
        <v>3720</v>
      </c>
      <c r="J228">
        <v>2</v>
      </c>
      <c r="K228">
        <v>25.84</v>
      </c>
      <c r="L228" t="s">
        <v>3721</v>
      </c>
      <c r="M228" t="s">
        <v>3722</v>
      </c>
      <c r="N228" t="s">
        <v>164</v>
      </c>
      <c r="O228" t="s">
        <v>3723</v>
      </c>
      <c r="P228" t="s">
        <v>3724</v>
      </c>
      <c r="Q228" t="s">
        <v>65</v>
      </c>
      <c r="R228" t="s">
        <v>3725</v>
      </c>
      <c r="S228" t="s">
        <v>3726</v>
      </c>
      <c r="T228">
        <v>1281000</v>
      </c>
      <c r="U228">
        <v>1830000</v>
      </c>
      <c r="V228" t="s">
        <v>3727</v>
      </c>
      <c r="W228" t="s">
        <v>857</v>
      </c>
      <c r="X228" t="s">
        <v>3728</v>
      </c>
      <c r="Y228" t="s">
        <v>3729</v>
      </c>
      <c r="Z228" t="s">
        <v>64</v>
      </c>
      <c r="AA228" t="s">
        <v>65</v>
      </c>
      <c r="AB228" t="s">
        <v>342</v>
      </c>
      <c r="AC228" t="s">
        <v>67</v>
      </c>
      <c r="AD228" t="s">
        <v>697</v>
      </c>
      <c r="AE228" t="s">
        <v>604</v>
      </c>
      <c r="AF228" t="s">
        <v>974</v>
      </c>
      <c r="AG228" t="s">
        <v>3730</v>
      </c>
      <c r="AH228">
        <v>5</v>
      </c>
      <c r="AI228" t="s">
        <v>237</v>
      </c>
      <c r="AJ228" t="s">
        <v>3731</v>
      </c>
      <c r="AK228" t="s">
        <v>472</v>
      </c>
      <c r="AM228" t="s">
        <v>75</v>
      </c>
      <c r="AN228">
        <v>1464000</v>
      </c>
      <c r="AO228" s="9">
        <v>29280</v>
      </c>
    </row>
    <row r="229" spans="1:41" x14ac:dyDescent="0.25">
      <c r="A229">
        <v>228</v>
      </c>
      <c r="B229" t="s">
        <v>1305</v>
      </c>
      <c r="C229" t="s">
        <v>3732</v>
      </c>
      <c r="D229" t="s">
        <v>277</v>
      </c>
      <c r="E229" t="s">
        <v>47</v>
      </c>
      <c r="F229" t="s">
        <v>48</v>
      </c>
      <c r="G229" t="s">
        <v>1930</v>
      </c>
      <c r="H229" t="s">
        <v>3733</v>
      </c>
      <c r="I229" t="s">
        <v>3734</v>
      </c>
      <c r="J229">
        <v>1.75</v>
      </c>
      <c r="K229">
        <v>26.7</v>
      </c>
      <c r="L229" t="s">
        <v>3735</v>
      </c>
      <c r="M229" t="s">
        <v>3736</v>
      </c>
      <c r="N229" t="s">
        <v>187</v>
      </c>
      <c r="O229" t="s">
        <v>3737</v>
      </c>
      <c r="P229" t="s">
        <v>652</v>
      </c>
      <c r="Q229" t="s">
        <v>3738</v>
      </c>
      <c r="R229" t="s">
        <v>3739</v>
      </c>
      <c r="S229" t="s">
        <v>3740</v>
      </c>
      <c r="T229">
        <v>1004500</v>
      </c>
      <c r="U229">
        <v>1435000</v>
      </c>
      <c r="V229" t="s">
        <v>3741</v>
      </c>
      <c r="W229" t="s">
        <v>3698</v>
      </c>
      <c r="X229" t="s">
        <v>3742</v>
      </c>
      <c r="Y229" t="s">
        <v>3743</v>
      </c>
      <c r="Z229" t="s">
        <v>93</v>
      </c>
      <c r="AA229" t="s">
        <v>3744</v>
      </c>
      <c r="AB229" t="s">
        <v>3745</v>
      </c>
      <c r="AC229" t="s">
        <v>531</v>
      </c>
      <c r="AD229" t="s">
        <v>97</v>
      </c>
      <c r="AE229" t="s">
        <v>98</v>
      </c>
      <c r="AF229" t="s">
        <v>2698</v>
      </c>
      <c r="AG229" t="s">
        <v>3746</v>
      </c>
      <c r="AH229">
        <v>5</v>
      </c>
      <c r="AI229" t="s">
        <v>100</v>
      </c>
      <c r="AJ229" t="s">
        <v>3747</v>
      </c>
      <c r="AK229" t="s">
        <v>61</v>
      </c>
      <c r="AM229" t="s">
        <v>102</v>
      </c>
      <c r="AN229">
        <v>1219750</v>
      </c>
      <c r="AO229" s="9">
        <v>21345.625000000004</v>
      </c>
    </row>
    <row r="230" spans="1:41" x14ac:dyDescent="0.25">
      <c r="A230">
        <v>229</v>
      </c>
      <c r="B230" t="s">
        <v>1305</v>
      </c>
      <c r="C230" t="s">
        <v>3748</v>
      </c>
      <c r="D230" t="s">
        <v>77</v>
      </c>
      <c r="E230" t="s">
        <v>47</v>
      </c>
      <c r="F230" t="s">
        <v>48</v>
      </c>
      <c r="G230" t="s">
        <v>516</v>
      </c>
      <c r="H230" t="s">
        <v>3749</v>
      </c>
      <c r="I230" t="s">
        <v>3750</v>
      </c>
      <c r="J230">
        <v>1.75</v>
      </c>
      <c r="K230">
        <v>25.45</v>
      </c>
      <c r="L230" t="s">
        <v>3751</v>
      </c>
      <c r="M230" t="s">
        <v>3752</v>
      </c>
      <c r="N230" t="s">
        <v>187</v>
      </c>
      <c r="O230" t="s">
        <v>3753</v>
      </c>
      <c r="P230" t="s">
        <v>65</v>
      </c>
      <c r="Q230" t="s">
        <v>3754</v>
      </c>
      <c r="R230" t="s">
        <v>65</v>
      </c>
      <c r="S230" t="s">
        <v>3755</v>
      </c>
      <c r="T230">
        <v>1400000</v>
      </c>
      <c r="U230">
        <v>2000000</v>
      </c>
      <c r="V230" t="s">
        <v>3756</v>
      </c>
      <c r="W230" t="s">
        <v>3698</v>
      </c>
      <c r="X230" t="s">
        <v>3757</v>
      </c>
      <c r="Y230" t="s">
        <v>3758</v>
      </c>
      <c r="Z230" t="s">
        <v>93</v>
      </c>
      <c r="AA230" t="s">
        <v>3759</v>
      </c>
      <c r="AB230" t="s">
        <v>642</v>
      </c>
      <c r="AC230" t="s">
        <v>175</v>
      </c>
      <c r="AD230" t="s">
        <v>97</v>
      </c>
      <c r="AE230" t="s">
        <v>98</v>
      </c>
      <c r="AF230" t="s">
        <v>2698</v>
      </c>
      <c r="AG230" t="s">
        <v>3760</v>
      </c>
      <c r="AH230">
        <v>5</v>
      </c>
      <c r="AI230" t="s">
        <v>72</v>
      </c>
      <c r="AJ230" t="s">
        <v>3761</v>
      </c>
      <c r="AK230" t="s">
        <v>61</v>
      </c>
      <c r="AM230" t="s">
        <v>102</v>
      </c>
      <c r="AN230">
        <v>1700000</v>
      </c>
      <c r="AO230" s="9">
        <v>29750.000000000004</v>
      </c>
    </row>
    <row r="231" spans="1:41" x14ac:dyDescent="0.25">
      <c r="A231">
        <v>230</v>
      </c>
      <c r="B231" t="s">
        <v>1305</v>
      </c>
      <c r="C231" t="s">
        <v>3762</v>
      </c>
      <c r="D231" t="s">
        <v>77</v>
      </c>
      <c r="E231" t="s">
        <v>47</v>
      </c>
      <c r="F231" t="s">
        <v>48</v>
      </c>
      <c r="G231" t="s">
        <v>2454</v>
      </c>
      <c r="H231" t="s">
        <v>3763</v>
      </c>
      <c r="I231" t="s">
        <v>3764</v>
      </c>
      <c r="J231">
        <v>1.75</v>
      </c>
      <c r="K231">
        <v>25.2</v>
      </c>
      <c r="L231" t="s">
        <v>3765</v>
      </c>
      <c r="M231" t="s">
        <v>3766</v>
      </c>
      <c r="N231" t="s">
        <v>83</v>
      </c>
      <c r="O231" t="s">
        <v>3767</v>
      </c>
      <c r="P231" t="s">
        <v>3768</v>
      </c>
      <c r="Q231" t="s">
        <v>3768</v>
      </c>
      <c r="R231" t="s">
        <v>167</v>
      </c>
      <c r="S231" t="s">
        <v>3769</v>
      </c>
      <c r="T231">
        <v>1120000</v>
      </c>
      <c r="U231">
        <v>1600000</v>
      </c>
      <c r="V231" t="s">
        <v>3770</v>
      </c>
      <c r="W231" t="s">
        <v>3698</v>
      </c>
      <c r="X231" t="s">
        <v>3771</v>
      </c>
      <c r="Y231" t="s">
        <v>3772</v>
      </c>
      <c r="Z231" t="s">
        <v>93</v>
      </c>
      <c r="AA231" t="s">
        <v>3773</v>
      </c>
      <c r="AB231" t="s">
        <v>3774</v>
      </c>
      <c r="AC231" t="s">
        <v>96</v>
      </c>
      <c r="AD231" t="s">
        <v>97</v>
      </c>
      <c r="AE231" t="s">
        <v>98</v>
      </c>
      <c r="AF231" t="s">
        <v>2533</v>
      </c>
      <c r="AG231" t="s">
        <v>3775</v>
      </c>
      <c r="AH231">
        <v>3</v>
      </c>
      <c r="AI231" t="s">
        <v>100</v>
      </c>
      <c r="AJ231" t="s">
        <v>3776</v>
      </c>
      <c r="AK231" t="s">
        <v>61</v>
      </c>
      <c r="AM231" t="s">
        <v>102</v>
      </c>
      <c r="AN231">
        <v>1360000</v>
      </c>
      <c r="AO231" s="9">
        <v>23800.000000000004</v>
      </c>
    </row>
    <row r="232" spans="1:41" x14ac:dyDescent="0.25">
      <c r="A232">
        <v>231</v>
      </c>
      <c r="B232" t="s">
        <v>1305</v>
      </c>
      <c r="C232" t="s">
        <v>3777</v>
      </c>
      <c r="D232" t="s">
        <v>77</v>
      </c>
      <c r="E232" t="s">
        <v>47</v>
      </c>
      <c r="F232" t="s">
        <v>48</v>
      </c>
      <c r="G232" t="s">
        <v>3778</v>
      </c>
      <c r="H232" t="s">
        <v>3779</v>
      </c>
      <c r="I232" t="s">
        <v>3780</v>
      </c>
      <c r="J232">
        <v>1.5</v>
      </c>
      <c r="K232">
        <v>24.7</v>
      </c>
      <c r="L232" t="s">
        <v>3781</v>
      </c>
      <c r="M232" t="s">
        <v>3782</v>
      </c>
      <c r="N232" t="s">
        <v>187</v>
      </c>
      <c r="O232" t="s">
        <v>3783</v>
      </c>
      <c r="P232" t="s">
        <v>65</v>
      </c>
      <c r="Q232" t="s">
        <v>3784</v>
      </c>
      <c r="R232" t="s">
        <v>65</v>
      </c>
      <c r="S232" t="s">
        <v>3785</v>
      </c>
      <c r="T232">
        <v>2959600</v>
      </c>
      <c r="U232">
        <v>7399000</v>
      </c>
      <c r="V232" t="s">
        <v>3786</v>
      </c>
      <c r="W232" t="s">
        <v>3698</v>
      </c>
      <c r="X232" t="s">
        <v>3787</v>
      </c>
      <c r="Y232" t="s">
        <v>3788</v>
      </c>
      <c r="Z232" t="s">
        <v>64</v>
      </c>
      <c r="AA232" t="s">
        <v>65</v>
      </c>
      <c r="AB232" t="s">
        <v>3789</v>
      </c>
      <c r="AC232" t="s">
        <v>531</v>
      </c>
      <c r="AD232" t="s">
        <v>97</v>
      </c>
      <c r="AE232" t="s">
        <v>98</v>
      </c>
      <c r="AF232" t="s">
        <v>2533</v>
      </c>
      <c r="AG232" t="s">
        <v>3790</v>
      </c>
      <c r="AH232">
        <v>3</v>
      </c>
      <c r="AI232" t="s">
        <v>100</v>
      </c>
      <c r="AJ232" t="s">
        <v>3791</v>
      </c>
      <c r="AK232" t="s">
        <v>61</v>
      </c>
      <c r="AM232" t="s">
        <v>157</v>
      </c>
      <c r="AN232">
        <v>6289150</v>
      </c>
      <c r="AO232" s="9">
        <v>94337.25</v>
      </c>
    </row>
    <row r="233" spans="1:41" x14ac:dyDescent="0.25">
      <c r="A233">
        <v>232</v>
      </c>
      <c r="B233" t="s">
        <v>1305</v>
      </c>
      <c r="C233" t="s">
        <v>3792</v>
      </c>
      <c r="D233" t="s">
        <v>46</v>
      </c>
      <c r="E233" t="s">
        <v>47</v>
      </c>
      <c r="F233" t="s">
        <v>48</v>
      </c>
      <c r="G233" t="s">
        <v>3793</v>
      </c>
      <c r="H233" t="s">
        <v>3794</v>
      </c>
      <c r="I233" t="s">
        <v>3795</v>
      </c>
      <c r="J233">
        <v>2</v>
      </c>
      <c r="K233">
        <v>25.8</v>
      </c>
      <c r="L233" t="s">
        <v>3796</v>
      </c>
      <c r="M233" t="s">
        <v>2540</v>
      </c>
      <c r="N233" t="s">
        <v>54</v>
      </c>
      <c r="O233" t="s">
        <v>3797</v>
      </c>
      <c r="P233" t="s">
        <v>3798</v>
      </c>
      <c r="Q233" t="s">
        <v>3799</v>
      </c>
      <c r="R233" t="s">
        <v>3798</v>
      </c>
      <c r="S233" t="s">
        <v>3800</v>
      </c>
      <c r="T233">
        <v>2379850</v>
      </c>
      <c r="U233">
        <v>4327000</v>
      </c>
      <c r="V233" t="s">
        <v>3801</v>
      </c>
      <c r="W233" t="s">
        <v>857</v>
      </c>
      <c r="X233" t="s">
        <v>3802</v>
      </c>
      <c r="Y233" t="s">
        <v>3803</v>
      </c>
      <c r="Z233" t="s">
        <v>64</v>
      </c>
      <c r="AA233" t="s">
        <v>65</v>
      </c>
      <c r="AB233" t="s">
        <v>1368</v>
      </c>
      <c r="AC233" t="s">
        <v>67</v>
      </c>
      <c r="AD233" t="s">
        <v>3804</v>
      </c>
      <c r="AE233" t="s">
        <v>69</v>
      </c>
      <c r="AF233" t="s">
        <v>1007</v>
      </c>
      <c r="AG233" t="s">
        <v>3805</v>
      </c>
      <c r="AH233">
        <v>5</v>
      </c>
      <c r="AI233" t="s">
        <v>65</v>
      </c>
      <c r="AJ233" t="s">
        <v>65</v>
      </c>
      <c r="AK233" t="s">
        <v>65</v>
      </c>
      <c r="AM233" t="s">
        <v>75</v>
      </c>
      <c r="AN233">
        <v>3461600</v>
      </c>
      <c r="AO233" s="9">
        <v>69232</v>
      </c>
    </row>
    <row r="234" spans="1:41" x14ac:dyDescent="0.25">
      <c r="A234">
        <v>233</v>
      </c>
      <c r="B234" t="s">
        <v>1305</v>
      </c>
      <c r="C234" t="s">
        <v>3806</v>
      </c>
      <c r="D234" t="s">
        <v>277</v>
      </c>
      <c r="E234" t="s">
        <v>47</v>
      </c>
      <c r="F234" t="s">
        <v>48</v>
      </c>
      <c r="G234" t="s">
        <v>3807</v>
      </c>
      <c r="H234" t="s">
        <v>3808</v>
      </c>
      <c r="I234" t="s">
        <v>3809</v>
      </c>
      <c r="J234">
        <v>2</v>
      </c>
      <c r="K234">
        <v>25.84</v>
      </c>
      <c r="L234" t="s">
        <v>3810</v>
      </c>
      <c r="M234" t="s">
        <v>3811</v>
      </c>
      <c r="N234" t="s">
        <v>83</v>
      </c>
      <c r="O234" t="s">
        <v>3812</v>
      </c>
      <c r="P234" t="s">
        <v>3813</v>
      </c>
      <c r="Q234" t="s">
        <v>3814</v>
      </c>
      <c r="R234" t="s">
        <v>167</v>
      </c>
      <c r="S234" t="s">
        <v>3815</v>
      </c>
      <c r="T234">
        <v>2912000</v>
      </c>
      <c r="U234">
        <v>4480000</v>
      </c>
      <c r="V234" t="s">
        <v>3816</v>
      </c>
      <c r="W234" t="s">
        <v>857</v>
      </c>
      <c r="X234" t="s">
        <v>3817</v>
      </c>
      <c r="Y234" t="s">
        <v>3818</v>
      </c>
      <c r="Z234" t="s">
        <v>64</v>
      </c>
      <c r="AA234" t="s">
        <v>65</v>
      </c>
      <c r="AB234" t="s">
        <v>234</v>
      </c>
      <c r="AC234" t="s">
        <v>67</v>
      </c>
      <c r="AD234" t="s">
        <v>781</v>
      </c>
      <c r="AE234" t="s">
        <v>604</v>
      </c>
      <c r="AF234" t="s">
        <v>974</v>
      </c>
      <c r="AG234" t="s">
        <v>3819</v>
      </c>
      <c r="AH234">
        <v>5</v>
      </c>
      <c r="AI234" t="s">
        <v>237</v>
      </c>
      <c r="AJ234" t="s">
        <v>3820</v>
      </c>
      <c r="AK234" t="s">
        <v>472</v>
      </c>
      <c r="AM234" t="s">
        <v>75</v>
      </c>
      <c r="AN234">
        <v>3584000</v>
      </c>
      <c r="AO234" s="9">
        <v>71680</v>
      </c>
    </row>
    <row r="235" spans="1:41" x14ac:dyDescent="0.25">
      <c r="A235">
        <v>234</v>
      </c>
      <c r="B235" t="s">
        <v>1305</v>
      </c>
      <c r="C235" t="s">
        <v>3821</v>
      </c>
      <c r="D235" t="s">
        <v>241</v>
      </c>
      <c r="E235" t="s">
        <v>47</v>
      </c>
      <c r="F235" t="s">
        <v>48</v>
      </c>
      <c r="G235" t="s">
        <v>573</v>
      </c>
      <c r="H235" t="s">
        <v>3822</v>
      </c>
      <c r="I235" t="s">
        <v>3823</v>
      </c>
      <c r="J235">
        <v>1.75</v>
      </c>
      <c r="K235">
        <v>26.19</v>
      </c>
      <c r="L235" t="s">
        <v>3824</v>
      </c>
      <c r="M235" t="s">
        <v>3825</v>
      </c>
      <c r="N235" t="s">
        <v>187</v>
      </c>
      <c r="O235" t="s">
        <v>3826</v>
      </c>
      <c r="P235" t="s">
        <v>3827</v>
      </c>
      <c r="Q235" t="s">
        <v>3827</v>
      </c>
      <c r="R235" t="s">
        <v>3828</v>
      </c>
      <c r="S235" t="s">
        <v>3829</v>
      </c>
      <c r="T235">
        <v>4113750</v>
      </c>
      <c r="U235">
        <v>5485000</v>
      </c>
      <c r="V235" t="s">
        <v>3830</v>
      </c>
      <c r="W235" t="s">
        <v>857</v>
      </c>
      <c r="X235" t="s">
        <v>3831</v>
      </c>
      <c r="Y235" t="s">
        <v>3832</v>
      </c>
      <c r="Z235" t="s">
        <v>64</v>
      </c>
      <c r="AA235" t="s">
        <v>65</v>
      </c>
      <c r="AB235" t="s">
        <v>586</v>
      </c>
      <c r="AC235" t="s">
        <v>67</v>
      </c>
      <c r="AD235" t="s">
        <v>3833</v>
      </c>
      <c r="AE235" t="s">
        <v>69</v>
      </c>
      <c r="AF235" t="s">
        <v>2533</v>
      </c>
      <c r="AG235" t="s">
        <v>3834</v>
      </c>
      <c r="AH235">
        <v>4</v>
      </c>
      <c r="AI235" t="s">
        <v>237</v>
      </c>
      <c r="AJ235" t="s">
        <v>3835</v>
      </c>
      <c r="AK235" t="s">
        <v>781</v>
      </c>
      <c r="AM235" t="s">
        <v>102</v>
      </c>
      <c r="AN235">
        <v>4388000</v>
      </c>
      <c r="AO235" s="9">
        <v>76790.000000000015</v>
      </c>
    </row>
    <row r="236" spans="1:41" x14ac:dyDescent="0.25">
      <c r="A236">
        <v>235</v>
      </c>
      <c r="B236" t="s">
        <v>1305</v>
      </c>
      <c r="C236" t="s">
        <v>3836</v>
      </c>
      <c r="D236" t="s">
        <v>241</v>
      </c>
      <c r="E236" t="s">
        <v>47</v>
      </c>
      <c r="F236" t="s">
        <v>48</v>
      </c>
      <c r="G236" t="s">
        <v>182</v>
      </c>
      <c r="H236" t="s">
        <v>3837</v>
      </c>
      <c r="I236" t="s">
        <v>3838</v>
      </c>
      <c r="J236">
        <v>2</v>
      </c>
      <c r="K236">
        <v>26.34</v>
      </c>
      <c r="L236" t="s">
        <v>3839</v>
      </c>
      <c r="M236" t="s">
        <v>3840</v>
      </c>
      <c r="N236" t="s">
        <v>931</v>
      </c>
      <c r="O236" t="s">
        <v>3841</v>
      </c>
      <c r="P236" t="s">
        <v>3842</v>
      </c>
      <c r="Q236" t="s">
        <v>3842</v>
      </c>
      <c r="R236" t="s">
        <v>3842</v>
      </c>
      <c r="S236" t="s">
        <v>3843</v>
      </c>
      <c r="T236">
        <v>734300</v>
      </c>
      <c r="U236">
        <v>1049000</v>
      </c>
      <c r="V236" t="s">
        <v>3844</v>
      </c>
      <c r="W236" t="s">
        <v>857</v>
      </c>
      <c r="X236" t="s">
        <v>3845</v>
      </c>
      <c r="Y236" t="s">
        <v>3846</v>
      </c>
      <c r="Z236" t="s">
        <v>64</v>
      </c>
      <c r="AA236" t="s">
        <v>65</v>
      </c>
      <c r="AB236" t="s">
        <v>3847</v>
      </c>
      <c r="AC236" t="s">
        <v>67</v>
      </c>
      <c r="AD236" t="s">
        <v>196</v>
      </c>
      <c r="AE236" t="s">
        <v>604</v>
      </c>
      <c r="AF236" t="s">
        <v>974</v>
      </c>
      <c r="AG236" t="s">
        <v>3848</v>
      </c>
      <c r="AH236">
        <v>5</v>
      </c>
      <c r="AI236" t="s">
        <v>198</v>
      </c>
      <c r="AJ236" t="s">
        <v>3849</v>
      </c>
      <c r="AK236" t="s">
        <v>781</v>
      </c>
      <c r="AM236" t="s">
        <v>75</v>
      </c>
      <c r="AN236">
        <v>839200</v>
      </c>
      <c r="AO236" s="9">
        <v>16784</v>
      </c>
    </row>
    <row r="237" spans="1:41" x14ac:dyDescent="0.25">
      <c r="A237">
        <v>236</v>
      </c>
      <c r="B237" t="s">
        <v>1305</v>
      </c>
      <c r="C237" t="s">
        <v>3850</v>
      </c>
      <c r="D237" t="s">
        <v>77</v>
      </c>
      <c r="E237" t="s">
        <v>47</v>
      </c>
      <c r="F237" t="s">
        <v>48</v>
      </c>
      <c r="G237" t="s">
        <v>2658</v>
      </c>
      <c r="H237" t="s">
        <v>3851</v>
      </c>
      <c r="I237" t="s">
        <v>3852</v>
      </c>
      <c r="J237">
        <v>1.75</v>
      </c>
      <c r="K237">
        <v>25.2</v>
      </c>
      <c r="L237" t="s">
        <v>3853</v>
      </c>
      <c r="M237" t="s">
        <v>3854</v>
      </c>
      <c r="N237" t="s">
        <v>187</v>
      </c>
      <c r="O237" t="s">
        <v>3855</v>
      </c>
      <c r="P237" t="s">
        <v>3856</v>
      </c>
      <c r="Q237" t="s">
        <v>3856</v>
      </c>
      <c r="R237" t="s">
        <v>3856</v>
      </c>
      <c r="S237" t="s">
        <v>3857</v>
      </c>
      <c r="T237">
        <v>1085000</v>
      </c>
      <c r="U237">
        <v>3100000</v>
      </c>
      <c r="V237" t="s">
        <v>3858</v>
      </c>
      <c r="W237" t="s">
        <v>3698</v>
      </c>
      <c r="X237" t="s">
        <v>3859</v>
      </c>
      <c r="Y237" t="s">
        <v>3860</v>
      </c>
      <c r="Z237" t="s">
        <v>93</v>
      </c>
      <c r="AA237" t="s">
        <v>3861</v>
      </c>
      <c r="AB237" t="s">
        <v>3862</v>
      </c>
      <c r="AC237" t="s">
        <v>67</v>
      </c>
      <c r="AD237" t="s">
        <v>97</v>
      </c>
      <c r="AE237" t="s">
        <v>98</v>
      </c>
      <c r="AF237" t="s">
        <v>2533</v>
      </c>
      <c r="AG237" t="s">
        <v>3863</v>
      </c>
      <c r="AH237">
        <v>3</v>
      </c>
      <c r="AI237" t="s">
        <v>100</v>
      </c>
      <c r="AJ237" t="s">
        <v>3864</v>
      </c>
      <c r="AK237" t="s">
        <v>61</v>
      </c>
      <c r="AM237" t="s">
        <v>102</v>
      </c>
      <c r="AN237">
        <v>2635000</v>
      </c>
      <c r="AO237" s="9">
        <v>46112.500000000007</v>
      </c>
    </row>
    <row r="238" spans="1:41" x14ac:dyDescent="0.25">
      <c r="A238">
        <v>237</v>
      </c>
      <c r="B238" t="s">
        <v>1305</v>
      </c>
      <c r="C238" t="s">
        <v>3865</v>
      </c>
      <c r="D238" t="s">
        <v>77</v>
      </c>
      <c r="E238" t="s">
        <v>47</v>
      </c>
      <c r="F238" t="s">
        <v>48</v>
      </c>
      <c r="G238" t="s">
        <v>2487</v>
      </c>
      <c r="H238" t="s">
        <v>3866</v>
      </c>
      <c r="I238" t="s">
        <v>3867</v>
      </c>
      <c r="J238">
        <v>1.75</v>
      </c>
      <c r="K238">
        <v>25.44</v>
      </c>
      <c r="L238" t="s">
        <v>3868</v>
      </c>
      <c r="M238" t="s">
        <v>3869</v>
      </c>
      <c r="N238" t="s">
        <v>83</v>
      </c>
      <c r="O238" t="s">
        <v>3870</v>
      </c>
      <c r="P238" t="s">
        <v>65</v>
      </c>
      <c r="Q238" t="s">
        <v>3871</v>
      </c>
      <c r="R238" t="s">
        <v>65</v>
      </c>
      <c r="S238" t="s">
        <v>3872</v>
      </c>
      <c r="T238">
        <v>1557500</v>
      </c>
      <c r="U238">
        <v>2225000</v>
      </c>
      <c r="V238" t="s">
        <v>3873</v>
      </c>
      <c r="W238" t="s">
        <v>842</v>
      </c>
      <c r="X238" t="s">
        <v>3874</v>
      </c>
      <c r="Y238" t="s">
        <v>3875</v>
      </c>
      <c r="Z238" t="s">
        <v>93</v>
      </c>
      <c r="AA238" t="s">
        <v>3876</v>
      </c>
      <c r="AB238" t="s">
        <v>2369</v>
      </c>
      <c r="AC238" t="s">
        <v>531</v>
      </c>
      <c r="AD238" t="s">
        <v>693</v>
      </c>
      <c r="AE238" t="s">
        <v>453</v>
      </c>
      <c r="AF238" t="s">
        <v>2370</v>
      </c>
      <c r="AG238" t="s">
        <v>3877</v>
      </c>
      <c r="AH238">
        <v>5</v>
      </c>
      <c r="AI238" t="s">
        <v>100</v>
      </c>
      <c r="AJ238" t="s">
        <v>3878</v>
      </c>
      <c r="AK238" t="s">
        <v>774</v>
      </c>
      <c r="AM238" t="s">
        <v>102</v>
      </c>
      <c r="AN238">
        <v>1891250</v>
      </c>
      <c r="AO238" s="9">
        <v>33096.875</v>
      </c>
    </row>
    <row r="239" spans="1:41" x14ac:dyDescent="0.25">
      <c r="A239">
        <v>238</v>
      </c>
      <c r="B239" t="s">
        <v>1305</v>
      </c>
      <c r="C239" t="s">
        <v>3879</v>
      </c>
      <c r="D239" t="s">
        <v>241</v>
      </c>
      <c r="E239" t="s">
        <v>47</v>
      </c>
      <c r="F239" t="s">
        <v>48</v>
      </c>
      <c r="G239" t="s">
        <v>182</v>
      </c>
      <c r="H239" t="s">
        <v>3880</v>
      </c>
      <c r="I239" t="s">
        <v>3881</v>
      </c>
      <c r="J239">
        <v>2</v>
      </c>
      <c r="K239">
        <v>26.94</v>
      </c>
      <c r="L239" t="s">
        <v>3882</v>
      </c>
      <c r="M239" t="s">
        <v>3883</v>
      </c>
      <c r="N239" t="s">
        <v>164</v>
      </c>
      <c r="O239" t="s">
        <v>3884</v>
      </c>
      <c r="P239" t="s">
        <v>3885</v>
      </c>
      <c r="Q239" t="s">
        <v>65</v>
      </c>
      <c r="R239" t="s">
        <v>167</v>
      </c>
      <c r="S239" t="s">
        <v>3886</v>
      </c>
      <c r="T239">
        <v>773000</v>
      </c>
      <c r="U239">
        <v>1546000</v>
      </c>
      <c r="V239" t="s">
        <v>3887</v>
      </c>
      <c r="W239" t="s">
        <v>842</v>
      </c>
      <c r="X239" t="s">
        <v>3888</v>
      </c>
      <c r="Y239" t="s">
        <v>3889</v>
      </c>
      <c r="Z239" t="s">
        <v>64</v>
      </c>
      <c r="AA239" t="s">
        <v>65</v>
      </c>
      <c r="AB239" t="s">
        <v>3890</v>
      </c>
      <c r="AC239" t="s">
        <v>531</v>
      </c>
      <c r="AD239" t="s">
        <v>1697</v>
      </c>
      <c r="AE239" t="s">
        <v>453</v>
      </c>
      <c r="AF239" t="s">
        <v>2370</v>
      </c>
      <c r="AG239" t="s">
        <v>3891</v>
      </c>
      <c r="AH239">
        <v>5</v>
      </c>
      <c r="AI239" t="s">
        <v>237</v>
      </c>
      <c r="AJ239" t="s">
        <v>3892</v>
      </c>
      <c r="AK239" t="s">
        <v>756</v>
      </c>
      <c r="AM239" t="s">
        <v>75</v>
      </c>
      <c r="AN239">
        <v>1314100</v>
      </c>
      <c r="AO239" s="9">
        <v>26282</v>
      </c>
    </row>
    <row r="240" spans="1:41" x14ac:dyDescent="0.25">
      <c r="A240">
        <v>239</v>
      </c>
      <c r="B240" t="s">
        <v>1305</v>
      </c>
      <c r="C240" t="s">
        <v>3893</v>
      </c>
      <c r="D240" t="s">
        <v>46</v>
      </c>
      <c r="E240" t="s">
        <v>47</v>
      </c>
      <c r="F240" t="s">
        <v>48</v>
      </c>
      <c r="G240" t="s">
        <v>2918</v>
      </c>
      <c r="H240" t="s">
        <v>3894</v>
      </c>
      <c r="I240" t="s">
        <v>3895</v>
      </c>
      <c r="J240">
        <v>2</v>
      </c>
      <c r="K240">
        <v>26.69</v>
      </c>
      <c r="L240" t="s">
        <v>3896</v>
      </c>
      <c r="M240" t="s">
        <v>3897</v>
      </c>
      <c r="N240" t="s">
        <v>187</v>
      </c>
      <c r="O240" t="s">
        <v>3898</v>
      </c>
      <c r="P240" t="s">
        <v>3899</v>
      </c>
      <c r="Q240" t="s">
        <v>3899</v>
      </c>
      <c r="R240" t="s">
        <v>3899</v>
      </c>
      <c r="S240" t="s">
        <v>3900</v>
      </c>
      <c r="T240">
        <v>1768000</v>
      </c>
      <c r="U240">
        <v>2600000</v>
      </c>
      <c r="V240" t="s">
        <v>3901</v>
      </c>
      <c r="W240" t="s">
        <v>842</v>
      </c>
      <c r="X240" t="s">
        <v>3902</v>
      </c>
      <c r="Y240" t="s">
        <v>3903</v>
      </c>
      <c r="Z240" t="s">
        <v>64</v>
      </c>
      <c r="AA240" t="s">
        <v>65</v>
      </c>
      <c r="AB240" t="s">
        <v>3904</v>
      </c>
      <c r="AC240" t="s">
        <v>531</v>
      </c>
      <c r="AD240" t="s">
        <v>3905</v>
      </c>
      <c r="AE240" t="s">
        <v>453</v>
      </c>
      <c r="AF240" t="s">
        <v>2370</v>
      </c>
      <c r="AG240" t="s">
        <v>3906</v>
      </c>
      <c r="AH240">
        <v>5</v>
      </c>
      <c r="AI240" t="s">
        <v>72</v>
      </c>
      <c r="AJ240" t="s">
        <v>3907</v>
      </c>
      <c r="AK240" t="s">
        <v>756</v>
      </c>
      <c r="AM240" t="s">
        <v>75</v>
      </c>
      <c r="AN240">
        <v>2210000</v>
      </c>
      <c r="AO240" s="9">
        <v>44200</v>
      </c>
    </row>
    <row r="241" spans="1:41" x14ac:dyDescent="0.25">
      <c r="A241">
        <v>240</v>
      </c>
      <c r="B241" t="s">
        <v>1305</v>
      </c>
      <c r="C241" t="s">
        <v>3908</v>
      </c>
      <c r="D241" t="s">
        <v>241</v>
      </c>
      <c r="E241" t="s">
        <v>47</v>
      </c>
      <c r="F241" t="s">
        <v>48</v>
      </c>
      <c r="G241" t="s">
        <v>182</v>
      </c>
      <c r="H241" t="s">
        <v>3909</v>
      </c>
      <c r="I241" t="s">
        <v>3910</v>
      </c>
      <c r="J241">
        <v>2</v>
      </c>
      <c r="K241">
        <v>26.94</v>
      </c>
      <c r="L241" t="s">
        <v>3911</v>
      </c>
      <c r="M241" t="s">
        <v>3912</v>
      </c>
      <c r="N241" t="s">
        <v>265</v>
      </c>
      <c r="O241" t="s">
        <v>3913</v>
      </c>
      <c r="P241" t="s">
        <v>65</v>
      </c>
      <c r="Q241" t="s">
        <v>3914</v>
      </c>
      <c r="R241" t="s">
        <v>65</v>
      </c>
      <c r="S241" t="s">
        <v>3915</v>
      </c>
      <c r="T241">
        <v>1066740</v>
      </c>
      <c r="U241">
        <v>1546000</v>
      </c>
      <c r="V241" t="s">
        <v>3916</v>
      </c>
      <c r="W241" t="s">
        <v>842</v>
      </c>
      <c r="X241" t="s">
        <v>3917</v>
      </c>
      <c r="Y241" t="s">
        <v>3918</v>
      </c>
      <c r="Z241" t="s">
        <v>64</v>
      </c>
      <c r="AA241" t="s">
        <v>65</v>
      </c>
      <c r="AB241" t="s">
        <v>777</v>
      </c>
      <c r="AC241" t="s">
        <v>531</v>
      </c>
      <c r="AD241" t="s">
        <v>3919</v>
      </c>
      <c r="AE241" t="s">
        <v>453</v>
      </c>
      <c r="AF241" t="s">
        <v>2638</v>
      </c>
      <c r="AG241" t="s">
        <v>3920</v>
      </c>
      <c r="AH241">
        <v>6</v>
      </c>
      <c r="AI241" t="s">
        <v>237</v>
      </c>
      <c r="AJ241" t="s">
        <v>3921</v>
      </c>
      <c r="AK241" t="s">
        <v>756</v>
      </c>
      <c r="AM241" t="s">
        <v>75</v>
      </c>
      <c r="AN241">
        <v>1314100</v>
      </c>
      <c r="AO241" s="9">
        <v>26282</v>
      </c>
    </row>
    <row r="242" spans="1:41" x14ac:dyDescent="0.25">
      <c r="A242">
        <v>241</v>
      </c>
      <c r="B242" t="s">
        <v>1305</v>
      </c>
      <c r="C242" t="s">
        <v>3922</v>
      </c>
      <c r="D242" t="s">
        <v>46</v>
      </c>
      <c r="E242" t="s">
        <v>47</v>
      </c>
      <c r="F242" t="s">
        <v>48</v>
      </c>
      <c r="G242" t="s">
        <v>3923</v>
      </c>
      <c r="H242" t="s">
        <v>3924</v>
      </c>
      <c r="I242" t="s">
        <v>3925</v>
      </c>
      <c r="J242">
        <v>1.75</v>
      </c>
      <c r="K242">
        <v>25.69</v>
      </c>
      <c r="L242" t="s">
        <v>3926</v>
      </c>
      <c r="M242" t="s">
        <v>750</v>
      </c>
      <c r="N242" t="s">
        <v>54</v>
      </c>
      <c r="O242" t="s">
        <v>3927</v>
      </c>
      <c r="P242" t="s">
        <v>3928</v>
      </c>
      <c r="Q242" t="s">
        <v>3929</v>
      </c>
      <c r="R242" t="s">
        <v>3930</v>
      </c>
      <c r="S242" t="s">
        <v>3931</v>
      </c>
      <c r="T242">
        <v>5972850</v>
      </c>
      <c r="U242">
        <v>9189000</v>
      </c>
      <c r="V242" t="s">
        <v>3932</v>
      </c>
      <c r="W242" t="s">
        <v>211</v>
      </c>
      <c r="X242" t="s">
        <v>3933</v>
      </c>
      <c r="Y242" t="s">
        <v>3934</v>
      </c>
      <c r="Z242" t="s">
        <v>64</v>
      </c>
      <c r="AA242" t="s">
        <v>65</v>
      </c>
      <c r="AB242" t="s">
        <v>3935</v>
      </c>
      <c r="AC242" t="s">
        <v>67</v>
      </c>
      <c r="AD242" t="s">
        <v>3936</v>
      </c>
      <c r="AE242" t="s">
        <v>69</v>
      </c>
      <c r="AF242" t="s">
        <v>2533</v>
      </c>
      <c r="AG242" t="s">
        <v>3937</v>
      </c>
      <c r="AH242">
        <v>4</v>
      </c>
      <c r="AI242" t="s">
        <v>72</v>
      </c>
      <c r="AJ242" t="s">
        <v>3938</v>
      </c>
      <c r="AK242" t="s">
        <v>147</v>
      </c>
      <c r="AM242" t="s">
        <v>102</v>
      </c>
      <c r="AN242">
        <v>7351200</v>
      </c>
      <c r="AO242" s="9">
        <v>128646.00000000001</v>
      </c>
    </row>
    <row r="243" spans="1:41" x14ac:dyDescent="0.25">
      <c r="A243">
        <v>242</v>
      </c>
      <c r="B243" t="s">
        <v>1305</v>
      </c>
      <c r="C243" t="s">
        <v>3939</v>
      </c>
      <c r="D243" t="s">
        <v>136</v>
      </c>
      <c r="E243" t="s">
        <v>47</v>
      </c>
      <c r="F243" t="s">
        <v>48</v>
      </c>
      <c r="G243" t="s">
        <v>1274</v>
      </c>
      <c r="H243" t="s">
        <v>3940</v>
      </c>
      <c r="I243" t="s">
        <v>3941</v>
      </c>
      <c r="J243">
        <v>1.5</v>
      </c>
      <c r="K243">
        <v>27.03</v>
      </c>
      <c r="L243" t="s">
        <v>3942</v>
      </c>
      <c r="M243" t="s">
        <v>3943</v>
      </c>
      <c r="N243" t="s">
        <v>54</v>
      </c>
      <c r="O243" t="s">
        <v>3944</v>
      </c>
      <c r="P243" t="s">
        <v>3945</v>
      </c>
      <c r="Q243" t="s">
        <v>3946</v>
      </c>
      <c r="R243" t="s">
        <v>3947</v>
      </c>
      <c r="S243" t="s">
        <v>3948</v>
      </c>
      <c r="T243">
        <v>3779300</v>
      </c>
      <c r="U243">
        <v>5399000</v>
      </c>
      <c r="V243" t="s">
        <v>3949</v>
      </c>
      <c r="W243" t="s">
        <v>239</v>
      </c>
      <c r="X243" t="s">
        <v>3950</v>
      </c>
      <c r="Y243" t="s">
        <v>3951</v>
      </c>
      <c r="Z243" t="s">
        <v>64</v>
      </c>
      <c r="AA243" t="s">
        <v>65</v>
      </c>
      <c r="AB243" t="s">
        <v>456</v>
      </c>
      <c r="AC243" t="s">
        <v>151</v>
      </c>
      <c r="AD243" t="s">
        <v>3952</v>
      </c>
      <c r="AE243" t="s">
        <v>153</v>
      </c>
      <c r="AF243" t="s">
        <v>2533</v>
      </c>
      <c r="AG243" t="s">
        <v>3953</v>
      </c>
      <c r="AH243">
        <v>5</v>
      </c>
      <c r="AI243" t="s">
        <v>65</v>
      </c>
      <c r="AJ243" t="s">
        <v>65</v>
      </c>
      <c r="AK243" t="s">
        <v>65</v>
      </c>
      <c r="AM243" t="s">
        <v>157</v>
      </c>
      <c r="AN243">
        <v>4049250</v>
      </c>
      <c r="AO243" s="9">
        <v>60738.75</v>
      </c>
    </row>
    <row r="244" spans="1:41" x14ac:dyDescent="0.25">
      <c r="A244">
        <v>243</v>
      </c>
      <c r="B244" t="s">
        <v>1305</v>
      </c>
      <c r="C244" t="s">
        <v>3954</v>
      </c>
      <c r="D244" t="s">
        <v>277</v>
      </c>
      <c r="E244" t="s">
        <v>47</v>
      </c>
      <c r="F244" t="s">
        <v>48</v>
      </c>
      <c r="G244" t="s">
        <v>3955</v>
      </c>
      <c r="H244" t="s">
        <v>3956</v>
      </c>
      <c r="I244" t="s">
        <v>3957</v>
      </c>
      <c r="J244">
        <v>2</v>
      </c>
      <c r="K244">
        <v>25.95</v>
      </c>
      <c r="L244" t="s">
        <v>3958</v>
      </c>
      <c r="M244" t="s">
        <v>3959</v>
      </c>
      <c r="N244" t="s">
        <v>187</v>
      </c>
      <c r="O244" t="s">
        <v>3960</v>
      </c>
      <c r="P244" t="s">
        <v>3961</v>
      </c>
      <c r="Q244" t="s">
        <v>3961</v>
      </c>
      <c r="R244" t="s">
        <v>3961</v>
      </c>
      <c r="S244" t="s">
        <v>3962</v>
      </c>
      <c r="T244">
        <v>1963500</v>
      </c>
      <c r="U244">
        <v>2805000</v>
      </c>
      <c r="V244" t="s">
        <v>3963</v>
      </c>
      <c r="W244" t="s">
        <v>211</v>
      </c>
      <c r="X244" t="s">
        <v>3964</v>
      </c>
      <c r="Y244" t="s">
        <v>3965</v>
      </c>
      <c r="Z244" t="s">
        <v>64</v>
      </c>
      <c r="AA244" t="s">
        <v>65</v>
      </c>
      <c r="AB244" t="s">
        <v>2532</v>
      </c>
      <c r="AC244" t="s">
        <v>67</v>
      </c>
      <c r="AD244" t="s">
        <v>133</v>
      </c>
      <c r="AE244" t="s">
        <v>69</v>
      </c>
      <c r="AF244" t="s">
        <v>1007</v>
      </c>
      <c r="AG244" t="s">
        <v>3966</v>
      </c>
      <c r="AH244">
        <v>5</v>
      </c>
      <c r="AI244" t="s">
        <v>237</v>
      </c>
      <c r="AJ244" t="s">
        <v>3967</v>
      </c>
      <c r="AK244" t="s">
        <v>74</v>
      </c>
      <c r="AM244" t="s">
        <v>75</v>
      </c>
      <c r="AN244">
        <v>2244000</v>
      </c>
      <c r="AO244" s="9">
        <v>44880</v>
      </c>
    </row>
    <row r="245" spans="1:41" x14ac:dyDescent="0.25">
      <c r="A245">
        <v>244</v>
      </c>
      <c r="B245" t="s">
        <v>1305</v>
      </c>
      <c r="C245" t="s">
        <v>3968</v>
      </c>
      <c r="D245" t="s">
        <v>136</v>
      </c>
      <c r="E245" t="s">
        <v>47</v>
      </c>
      <c r="F245" t="s">
        <v>48</v>
      </c>
      <c r="G245" t="s">
        <v>1668</v>
      </c>
      <c r="H245" t="s">
        <v>3969</v>
      </c>
      <c r="I245" t="s">
        <v>3970</v>
      </c>
      <c r="J245">
        <v>1.5</v>
      </c>
      <c r="K245">
        <v>26.78</v>
      </c>
      <c r="L245" t="s">
        <v>3971</v>
      </c>
      <c r="M245" t="s">
        <v>3972</v>
      </c>
      <c r="N245" t="s">
        <v>187</v>
      </c>
      <c r="O245" t="s">
        <v>3973</v>
      </c>
      <c r="P245" t="s">
        <v>3974</v>
      </c>
      <c r="Q245" t="s">
        <v>3974</v>
      </c>
      <c r="R245" t="s">
        <v>3975</v>
      </c>
      <c r="S245" t="s">
        <v>3976</v>
      </c>
      <c r="T245">
        <v>1974900</v>
      </c>
      <c r="U245">
        <v>3405000</v>
      </c>
      <c r="V245" t="s">
        <v>3977</v>
      </c>
      <c r="W245" t="s">
        <v>239</v>
      </c>
      <c r="X245" t="s">
        <v>3978</v>
      </c>
      <c r="Y245" t="s">
        <v>3979</v>
      </c>
      <c r="Z245" t="s">
        <v>64</v>
      </c>
      <c r="AA245" t="s">
        <v>65</v>
      </c>
      <c r="AB245" t="s">
        <v>3980</v>
      </c>
      <c r="AC245" t="s">
        <v>151</v>
      </c>
      <c r="AD245" t="s">
        <v>3981</v>
      </c>
      <c r="AE245" t="s">
        <v>153</v>
      </c>
      <c r="AF245" t="s">
        <v>2698</v>
      </c>
      <c r="AG245" t="s">
        <v>3982</v>
      </c>
      <c r="AH245">
        <v>7</v>
      </c>
      <c r="AI245" t="s">
        <v>72</v>
      </c>
      <c r="AJ245" t="s">
        <v>3983</v>
      </c>
      <c r="AK245" t="s">
        <v>170</v>
      </c>
      <c r="AM245" t="s">
        <v>157</v>
      </c>
      <c r="AN245">
        <v>2553750</v>
      </c>
      <c r="AO245" s="9">
        <v>38306.25</v>
      </c>
    </row>
    <row r="246" spans="1:41" x14ac:dyDescent="0.25">
      <c r="A246">
        <v>245</v>
      </c>
      <c r="B246" t="s">
        <v>1305</v>
      </c>
      <c r="C246" t="s">
        <v>3984</v>
      </c>
      <c r="D246" t="s">
        <v>277</v>
      </c>
      <c r="E246" t="s">
        <v>47</v>
      </c>
      <c r="F246" t="s">
        <v>48</v>
      </c>
      <c r="G246" t="s">
        <v>3985</v>
      </c>
      <c r="H246" t="s">
        <v>3986</v>
      </c>
      <c r="I246" t="s">
        <v>3987</v>
      </c>
      <c r="J246">
        <v>1.75</v>
      </c>
      <c r="K246">
        <v>26.7</v>
      </c>
      <c r="L246" t="s">
        <v>3988</v>
      </c>
      <c r="M246" t="s">
        <v>3989</v>
      </c>
      <c r="N246" t="s">
        <v>187</v>
      </c>
      <c r="O246" t="s">
        <v>3990</v>
      </c>
      <c r="P246" t="s">
        <v>3991</v>
      </c>
      <c r="Q246" t="s">
        <v>3991</v>
      </c>
      <c r="R246" t="s">
        <v>3991</v>
      </c>
      <c r="S246" t="s">
        <v>3992</v>
      </c>
      <c r="T246">
        <v>1794800</v>
      </c>
      <c r="U246">
        <v>2564000</v>
      </c>
      <c r="V246" t="s">
        <v>3993</v>
      </c>
      <c r="W246" t="s">
        <v>437</v>
      </c>
      <c r="X246" t="s">
        <v>3994</v>
      </c>
      <c r="Y246" t="s">
        <v>3995</v>
      </c>
      <c r="Z246" t="s">
        <v>64</v>
      </c>
      <c r="AA246" t="s">
        <v>65</v>
      </c>
      <c r="AB246" t="s">
        <v>642</v>
      </c>
      <c r="AC246" t="s">
        <v>531</v>
      </c>
      <c r="AD246" t="s">
        <v>97</v>
      </c>
      <c r="AE246" t="s">
        <v>98</v>
      </c>
      <c r="AF246" t="s">
        <v>2698</v>
      </c>
      <c r="AG246" t="s">
        <v>3996</v>
      </c>
      <c r="AH246">
        <v>5</v>
      </c>
      <c r="AI246" t="s">
        <v>100</v>
      </c>
      <c r="AJ246" t="s">
        <v>3997</v>
      </c>
      <c r="AK246" t="s">
        <v>211</v>
      </c>
      <c r="AM246" t="s">
        <v>102</v>
      </c>
      <c r="AN246">
        <v>2179400</v>
      </c>
      <c r="AO246" s="9">
        <v>38139.5</v>
      </c>
    </row>
    <row r="247" spans="1:41" x14ac:dyDescent="0.25">
      <c r="A247">
        <v>246</v>
      </c>
      <c r="B247" t="s">
        <v>1305</v>
      </c>
      <c r="C247" t="s">
        <v>3998</v>
      </c>
      <c r="D247" t="s">
        <v>46</v>
      </c>
      <c r="E247" t="s">
        <v>47</v>
      </c>
      <c r="F247" t="s">
        <v>48</v>
      </c>
      <c r="G247" t="s">
        <v>3999</v>
      </c>
      <c r="H247" t="s">
        <v>4000</v>
      </c>
      <c r="I247" t="s">
        <v>4001</v>
      </c>
      <c r="J247">
        <v>1.4</v>
      </c>
      <c r="K247">
        <v>22.7</v>
      </c>
      <c r="L247" t="s">
        <v>4002</v>
      </c>
      <c r="M247" t="s">
        <v>4003</v>
      </c>
      <c r="N247" t="s">
        <v>769</v>
      </c>
      <c r="O247" t="s">
        <v>4004</v>
      </c>
      <c r="P247" t="s">
        <v>65</v>
      </c>
      <c r="Q247" t="s">
        <v>4005</v>
      </c>
      <c r="R247" t="s">
        <v>65</v>
      </c>
      <c r="S247" t="s">
        <v>4006</v>
      </c>
      <c r="T247">
        <v>3910000</v>
      </c>
      <c r="U247">
        <v>5750000</v>
      </c>
      <c r="V247" t="s">
        <v>4007</v>
      </c>
      <c r="W247" t="s">
        <v>437</v>
      </c>
      <c r="X247" t="s">
        <v>4008</v>
      </c>
      <c r="Y247" t="s">
        <v>4009</v>
      </c>
      <c r="Z247" t="s">
        <v>434</v>
      </c>
      <c r="AA247" t="s">
        <v>65</v>
      </c>
      <c r="AB247" t="s">
        <v>4010</v>
      </c>
      <c r="AC247" t="s">
        <v>531</v>
      </c>
      <c r="AD247" t="s">
        <v>4011</v>
      </c>
      <c r="AE247" t="s">
        <v>98</v>
      </c>
      <c r="AF247" t="s">
        <v>2533</v>
      </c>
      <c r="AG247" t="s">
        <v>4012</v>
      </c>
      <c r="AH247">
        <v>3</v>
      </c>
      <c r="AI247" t="s">
        <v>237</v>
      </c>
      <c r="AJ247" t="s">
        <v>4013</v>
      </c>
      <c r="AK247" t="s">
        <v>211</v>
      </c>
      <c r="AM247" t="s">
        <v>441</v>
      </c>
      <c r="AN247">
        <v>4887500</v>
      </c>
      <c r="AO247" s="9">
        <v>68425</v>
      </c>
    </row>
    <row r="248" spans="1:41" x14ac:dyDescent="0.25">
      <c r="A248">
        <v>247</v>
      </c>
      <c r="B248" t="s">
        <v>1305</v>
      </c>
      <c r="C248" t="s">
        <v>4014</v>
      </c>
      <c r="D248" t="s">
        <v>277</v>
      </c>
      <c r="E248" t="s">
        <v>47</v>
      </c>
      <c r="F248" t="s">
        <v>48</v>
      </c>
      <c r="G248" t="s">
        <v>2658</v>
      </c>
      <c r="H248" t="s">
        <v>4015</v>
      </c>
      <c r="I248" t="s">
        <v>4016</v>
      </c>
      <c r="J248">
        <v>1.75</v>
      </c>
      <c r="K248">
        <v>26.2</v>
      </c>
      <c r="L248" t="s">
        <v>4017</v>
      </c>
      <c r="M248" t="s">
        <v>4018</v>
      </c>
      <c r="N248" t="s">
        <v>187</v>
      </c>
      <c r="O248" t="s">
        <v>4019</v>
      </c>
      <c r="P248" t="s">
        <v>4020</v>
      </c>
      <c r="Q248" t="s">
        <v>4021</v>
      </c>
      <c r="R248" t="s">
        <v>4021</v>
      </c>
      <c r="S248" t="s">
        <v>4022</v>
      </c>
      <c r="T248">
        <v>2372500</v>
      </c>
      <c r="U248">
        <v>3650000</v>
      </c>
      <c r="V248" t="s">
        <v>4023</v>
      </c>
      <c r="W248" t="s">
        <v>4024</v>
      </c>
      <c r="X248" t="s">
        <v>4025</v>
      </c>
      <c r="Y248" t="s">
        <v>4026</v>
      </c>
      <c r="Z248" t="s">
        <v>93</v>
      </c>
      <c r="AA248" t="s">
        <v>4027</v>
      </c>
      <c r="AB248" t="s">
        <v>1234</v>
      </c>
      <c r="AC248" t="s">
        <v>96</v>
      </c>
      <c r="AD248" s="2">
        <v>45203</v>
      </c>
      <c r="AE248" t="s">
        <v>4028</v>
      </c>
      <c r="AF248" t="s">
        <v>4029</v>
      </c>
      <c r="AG248" t="s">
        <v>4030</v>
      </c>
      <c r="AH248">
        <v>3</v>
      </c>
      <c r="AI248" t="s">
        <v>237</v>
      </c>
      <c r="AJ248" t="s">
        <v>4031</v>
      </c>
      <c r="AK248" t="s">
        <v>2516</v>
      </c>
      <c r="AM248" t="s">
        <v>102</v>
      </c>
      <c r="AN248">
        <v>3285000</v>
      </c>
      <c r="AO248" s="9">
        <v>57487.500000000007</v>
      </c>
    </row>
    <row r="249" spans="1:41" x14ac:dyDescent="0.25">
      <c r="A249">
        <v>248</v>
      </c>
      <c r="B249" t="s">
        <v>1305</v>
      </c>
      <c r="C249" t="s">
        <v>4032</v>
      </c>
      <c r="D249" t="s">
        <v>277</v>
      </c>
      <c r="E249" t="s">
        <v>47</v>
      </c>
      <c r="F249" t="s">
        <v>48</v>
      </c>
      <c r="G249" t="s">
        <v>4033</v>
      </c>
      <c r="H249" t="s">
        <v>4034</v>
      </c>
      <c r="I249" t="s">
        <v>4035</v>
      </c>
      <c r="J249">
        <v>2</v>
      </c>
      <c r="K249">
        <v>26.55</v>
      </c>
      <c r="L249" t="s">
        <v>4036</v>
      </c>
      <c r="M249" t="s">
        <v>4037</v>
      </c>
      <c r="N249" t="s">
        <v>54</v>
      </c>
      <c r="O249" t="s">
        <v>4038</v>
      </c>
      <c r="P249" t="s">
        <v>4039</v>
      </c>
      <c r="Q249" t="s">
        <v>4040</v>
      </c>
      <c r="R249" t="s">
        <v>4039</v>
      </c>
      <c r="S249" t="s">
        <v>4041</v>
      </c>
      <c r="T249">
        <v>994500</v>
      </c>
      <c r="U249">
        <v>1530000</v>
      </c>
      <c r="V249" t="s">
        <v>4042</v>
      </c>
      <c r="W249" t="s">
        <v>231</v>
      </c>
      <c r="X249" t="s">
        <v>4043</v>
      </c>
      <c r="Y249" t="s">
        <v>4044</v>
      </c>
      <c r="Z249" t="s">
        <v>64</v>
      </c>
      <c r="AA249" t="s">
        <v>65</v>
      </c>
      <c r="AB249" t="s">
        <v>4045</v>
      </c>
      <c r="AC249" t="s">
        <v>67</v>
      </c>
      <c r="AD249" t="s">
        <v>74</v>
      </c>
      <c r="AE249" t="s">
        <v>69</v>
      </c>
      <c r="AF249" t="s">
        <v>1007</v>
      </c>
      <c r="AG249" t="s">
        <v>4046</v>
      </c>
      <c r="AH249">
        <v>5</v>
      </c>
      <c r="AI249" t="s">
        <v>237</v>
      </c>
      <c r="AJ249" t="s">
        <v>4047</v>
      </c>
      <c r="AK249" t="s">
        <v>239</v>
      </c>
      <c r="AM249" t="s">
        <v>75</v>
      </c>
      <c r="AN249">
        <v>1224000</v>
      </c>
      <c r="AO249" s="9">
        <v>24480</v>
      </c>
    </row>
    <row r="250" spans="1:41" x14ac:dyDescent="0.25">
      <c r="A250">
        <v>249</v>
      </c>
      <c r="B250" t="s">
        <v>1305</v>
      </c>
      <c r="C250" t="s">
        <v>4048</v>
      </c>
      <c r="D250" t="s">
        <v>46</v>
      </c>
      <c r="E250" t="s">
        <v>47</v>
      </c>
      <c r="F250" t="s">
        <v>48</v>
      </c>
      <c r="G250" t="s">
        <v>182</v>
      </c>
      <c r="H250" t="s">
        <v>4049</v>
      </c>
      <c r="I250" t="s">
        <v>4050</v>
      </c>
      <c r="J250">
        <v>2</v>
      </c>
      <c r="K250">
        <v>26.2</v>
      </c>
      <c r="L250" t="s">
        <v>4051</v>
      </c>
      <c r="M250" t="s">
        <v>4052</v>
      </c>
      <c r="N250" t="s">
        <v>83</v>
      </c>
      <c r="O250" t="s">
        <v>4053</v>
      </c>
      <c r="P250" t="s">
        <v>4054</v>
      </c>
      <c r="Q250" t="s">
        <v>4054</v>
      </c>
      <c r="R250" t="s">
        <v>167</v>
      </c>
      <c r="S250" t="s">
        <v>4055</v>
      </c>
      <c r="T250">
        <v>2054500</v>
      </c>
      <c r="U250">
        <v>2935000</v>
      </c>
      <c r="V250" t="s">
        <v>4056</v>
      </c>
      <c r="W250" t="s">
        <v>4024</v>
      </c>
      <c r="X250" t="s">
        <v>4057</v>
      </c>
      <c r="Y250" t="s">
        <v>4058</v>
      </c>
      <c r="Z250" t="s">
        <v>64</v>
      </c>
      <c r="AA250" t="s">
        <v>65</v>
      </c>
      <c r="AB250" t="s">
        <v>1696</v>
      </c>
      <c r="AC250" t="s">
        <v>436</v>
      </c>
      <c r="AD250" s="2">
        <v>45154</v>
      </c>
      <c r="AE250" t="s">
        <v>2516</v>
      </c>
      <c r="AF250" t="s">
        <v>1007</v>
      </c>
      <c r="AG250" t="s">
        <v>4059</v>
      </c>
      <c r="AH250">
        <v>3</v>
      </c>
      <c r="AI250" t="s">
        <v>72</v>
      </c>
      <c r="AJ250" t="s">
        <v>4060</v>
      </c>
      <c r="AK250" t="s">
        <v>437</v>
      </c>
      <c r="AM250" t="s">
        <v>75</v>
      </c>
      <c r="AN250">
        <v>2641500</v>
      </c>
      <c r="AO250" s="9">
        <v>52830</v>
      </c>
    </row>
    <row r="251" spans="1:41" x14ac:dyDescent="0.25">
      <c r="A251">
        <v>250</v>
      </c>
      <c r="B251" t="s">
        <v>1305</v>
      </c>
      <c r="C251" t="s">
        <v>4061</v>
      </c>
      <c r="D251" t="s">
        <v>241</v>
      </c>
      <c r="E251" t="s">
        <v>47</v>
      </c>
      <c r="F251" t="s">
        <v>48</v>
      </c>
      <c r="G251" t="s">
        <v>201</v>
      </c>
      <c r="H251" t="s">
        <v>4062</v>
      </c>
      <c r="I251" t="s">
        <v>4063</v>
      </c>
      <c r="J251">
        <v>2</v>
      </c>
      <c r="K251">
        <v>26.19</v>
      </c>
      <c r="L251" t="s">
        <v>4064</v>
      </c>
      <c r="M251" t="s">
        <v>4065</v>
      </c>
      <c r="N251" t="s">
        <v>2894</v>
      </c>
      <c r="O251" t="s">
        <v>4066</v>
      </c>
      <c r="P251" t="s">
        <v>4067</v>
      </c>
      <c r="Q251" t="s">
        <v>4067</v>
      </c>
      <c r="R251" t="s">
        <v>4067</v>
      </c>
      <c r="S251" t="s">
        <v>4068</v>
      </c>
      <c r="T251">
        <v>1000350</v>
      </c>
      <c r="U251">
        <v>1539000</v>
      </c>
      <c r="V251" t="s">
        <v>4069</v>
      </c>
      <c r="W251" t="s">
        <v>774</v>
      </c>
      <c r="X251" t="s">
        <v>4070</v>
      </c>
      <c r="Y251" t="s">
        <v>4071</v>
      </c>
      <c r="Z251" t="s">
        <v>64</v>
      </c>
      <c r="AA251" t="s">
        <v>65</v>
      </c>
      <c r="AB251" t="s">
        <v>214</v>
      </c>
      <c r="AC251" t="s">
        <v>67</v>
      </c>
      <c r="AD251" t="s">
        <v>4072</v>
      </c>
      <c r="AE251" t="s">
        <v>69</v>
      </c>
      <c r="AF251" t="s">
        <v>1007</v>
      </c>
      <c r="AG251" t="s">
        <v>4073</v>
      </c>
      <c r="AH251">
        <v>5</v>
      </c>
      <c r="AI251" t="s">
        <v>237</v>
      </c>
      <c r="AJ251" t="s">
        <v>4074</v>
      </c>
      <c r="AK251" t="s">
        <v>781</v>
      </c>
      <c r="AM251" t="s">
        <v>75</v>
      </c>
      <c r="AN251">
        <v>1231200</v>
      </c>
      <c r="AO251" s="9">
        <v>24624</v>
      </c>
    </row>
    <row r="252" spans="1:41" x14ac:dyDescent="0.25">
      <c r="A252">
        <v>251</v>
      </c>
      <c r="B252" t="s">
        <v>1305</v>
      </c>
      <c r="C252" t="s">
        <v>4075</v>
      </c>
      <c r="D252" t="s">
        <v>77</v>
      </c>
      <c r="E252" t="s">
        <v>47</v>
      </c>
      <c r="F252" t="s">
        <v>48</v>
      </c>
      <c r="G252" t="s">
        <v>1717</v>
      </c>
      <c r="H252" t="s">
        <v>4076</v>
      </c>
      <c r="I252" t="s">
        <v>4077</v>
      </c>
      <c r="J252">
        <v>1.75</v>
      </c>
      <c r="K252">
        <v>25.2</v>
      </c>
      <c r="L252" t="s">
        <v>4078</v>
      </c>
      <c r="M252" t="s">
        <v>4079</v>
      </c>
      <c r="N252" t="s">
        <v>187</v>
      </c>
      <c r="O252" t="s">
        <v>4080</v>
      </c>
      <c r="P252" t="s">
        <v>4081</v>
      </c>
      <c r="Q252" t="s">
        <v>4081</v>
      </c>
      <c r="R252" t="s">
        <v>4081</v>
      </c>
      <c r="S252" t="s">
        <v>4082</v>
      </c>
      <c r="T252">
        <v>2996000</v>
      </c>
      <c r="U252">
        <v>4280000</v>
      </c>
      <c r="V252" t="s">
        <v>4083</v>
      </c>
      <c r="W252" t="s">
        <v>4024</v>
      </c>
      <c r="X252" t="s">
        <v>4084</v>
      </c>
      <c r="Y252" t="s">
        <v>4085</v>
      </c>
      <c r="Z252" t="s">
        <v>93</v>
      </c>
      <c r="AA252" t="s">
        <v>4086</v>
      </c>
      <c r="AB252" t="s">
        <v>2532</v>
      </c>
      <c r="AC252" t="s">
        <v>531</v>
      </c>
      <c r="AD252" s="2">
        <v>45199</v>
      </c>
      <c r="AE252" t="s">
        <v>2516</v>
      </c>
      <c r="AF252" t="s">
        <v>1007</v>
      </c>
      <c r="AG252" t="s">
        <v>4087</v>
      </c>
      <c r="AH252">
        <v>3</v>
      </c>
      <c r="AI252" t="s">
        <v>237</v>
      </c>
      <c r="AJ252" t="s">
        <v>4088</v>
      </c>
      <c r="AK252" t="s">
        <v>2519</v>
      </c>
      <c r="AM252" t="s">
        <v>102</v>
      </c>
      <c r="AN252">
        <v>3852000</v>
      </c>
      <c r="AO252" s="9">
        <v>67410</v>
      </c>
    </row>
    <row r="253" spans="1:41" x14ac:dyDescent="0.25">
      <c r="A253">
        <v>252</v>
      </c>
      <c r="B253" t="s">
        <v>1305</v>
      </c>
      <c r="C253" t="s">
        <v>4089</v>
      </c>
      <c r="D253" t="s">
        <v>46</v>
      </c>
      <c r="E253" t="s">
        <v>47</v>
      </c>
      <c r="F253" t="s">
        <v>48</v>
      </c>
      <c r="G253" t="s">
        <v>4090</v>
      </c>
      <c r="H253" t="s">
        <v>4091</v>
      </c>
      <c r="I253" t="s">
        <v>4092</v>
      </c>
      <c r="J253">
        <v>2</v>
      </c>
      <c r="K253">
        <v>25.78</v>
      </c>
      <c r="L253" t="s">
        <v>4093</v>
      </c>
      <c r="M253" t="s">
        <v>4094</v>
      </c>
      <c r="N253" t="s">
        <v>83</v>
      </c>
      <c r="O253" t="s">
        <v>4095</v>
      </c>
      <c r="P253" t="s">
        <v>4096</v>
      </c>
      <c r="Q253" t="s">
        <v>4096</v>
      </c>
      <c r="R253" t="s">
        <v>4097</v>
      </c>
      <c r="S253" t="s">
        <v>4098</v>
      </c>
      <c r="T253">
        <v>1033200</v>
      </c>
      <c r="U253">
        <v>1640000</v>
      </c>
      <c r="V253" t="s">
        <v>4099</v>
      </c>
      <c r="W253" t="s">
        <v>774</v>
      </c>
      <c r="X253" t="s">
        <v>4100</v>
      </c>
      <c r="Y253" t="s">
        <v>4101</v>
      </c>
      <c r="Z253" t="s">
        <v>64</v>
      </c>
      <c r="AA253" t="s">
        <v>65</v>
      </c>
      <c r="AB253" t="s">
        <v>214</v>
      </c>
      <c r="AC253" t="s">
        <v>67</v>
      </c>
      <c r="AD253" t="s">
        <v>2886</v>
      </c>
      <c r="AE253" t="s">
        <v>604</v>
      </c>
      <c r="AF253" t="s">
        <v>974</v>
      </c>
      <c r="AG253" t="s">
        <v>4102</v>
      </c>
      <c r="AH253">
        <v>5</v>
      </c>
      <c r="AI253" t="s">
        <v>511</v>
      </c>
      <c r="AJ253" t="s">
        <v>4103</v>
      </c>
      <c r="AK253" t="s">
        <v>472</v>
      </c>
      <c r="AM253" t="s">
        <v>75</v>
      </c>
      <c r="AN253">
        <v>1312000</v>
      </c>
      <c r="AO253" s="9">
        <v>26240</v>
      </c>
    </row>
    <row r="254" spans="1:41" hidden="1" x14ac:dyDescent="0.25">
      <c r="A254">
        <v>253</v>
      </c>
      <c r="B254" t="s">
        <v>1305</v>
      </c>
      <c r="C254" t="s">
        <v>4104</v>
      </c>
      <c r="D254" t="s">
        <v>277</v>
      </c>
      <c r="E254" t="s">
        <v>47</v>
      </c>
      <c r="F254" t="s">
        <v>48</v>
      </c>
      <c r="G254" t="s">
        <v>516</v>
      </c>
      <c r="H254" t="s">
        <v>4105</v>
      </c>
      <c r="I254" t="s">
        <v>4106</v>
      </c>
      <c r="J254">
        <v>2</v>
      </c>
      <c r="K254">
        <v>25.68</v>
      </c>
      <c r="L254" t="s">
        <v>4107</v>
      </c>
      <c r="M254" t="s">
        <v>4108</v>
      </c>
      <c r="N254" t="s">
        <v>187</v>
      </c>
      <c r="O254" t="s">
        <v>4109</v>
      </c>
      <c r="P254" t="s">
        <v>4110</v>
      </c>
      <c r="Q254" t="s">
        <v>4110</v>
      </c>
      <c r="R254" t="s">
        <v>4111</v>
      </c>
      <c r="S254" t="s">
        <v>4112</v>
      </c>
      <c r="T254">
        <v>1540000</v>
      </c>
      <c r="U254">
        <v>2200000</v>
      </c>
      <c r="V254" t="s">
        <v>4113</v>
      </c>
      <c r="W254" t="s">
        <v>774</v>
      </c>
      <c r="X254" t="s">
        <v>4114</v>
      </c>
      <c r="Y254" t="s">
        <v>4115</v>
      </c>
      <c r="Z254" t="s">
        <v>93</v>
      </c>
      <c r="AA254" t="s">
        <v>4116</v>
      </c>
      <c r="AB254" t="s">
        <v>3406</v>
      </c>
      <c r="AC254" t="s">
        <v>507</v>
      </c>
      <c r="AD254" t="s">
        <v>604</v>
      </c>
      <c r="AE254" t="s">
        <v>604</v>
      </c>
      <c r="AF254" t="s">
        <v>532</v>
      </c>
      <c r="AG254" t="s">
        <v>4117</v>
      </c>
      <c r="AH254">
        <v>3</v>
      </c>
      <c r="AI254" t="s">
        <v>237</v>
      </c>
      <c r="AJ254" t="s">
        <v>4118</v>
      </c>
      <c r="AK254" t="s">
        <v>763</v>
      </c>
      <c r="AM254" t="s">
        <v>75</v>
      </c>
      <c r="AN254">
        <v>0</v>
      </c>
      <c r="AO254">
        <v>0</v>
      </c>
    </row>
    <row r="255" spans="1:41" x14ac:dyDescent="0.25">
      <c r="A255">
        <v>254</v>
      </c>
      <c r="B255" t="s">
        <v>1305</v>
      </c>
      <c r="C255" t="s">
        <v>4119</v>
      </c>
      <c r="D255" t="s">
        <v>277</v>
      </c>
      <c r="E255" t="s">
        <v>47</v>
      </c>
      <c r="F255" t="s">
        <v>48</v>
      </c>
      <c r="G255" t="s">
        <v>1947</v>
      </c>
      <c r="H255" t="s">
        <v>4120</v>
      </c>
      <c r="I255" t="s">
        <v>4121</v>
      </c>
      <c r="J255">
        <v>1.75</v>
      </c>
      <c r="K255">
        <v>26.7</v>
      </c>
      <c r="L255" t="s">
        <v>4122</v>
      </c>
      <c r="M255" t="s">
        <v>4123</v>
      </c>
      <c r="N255" t="s">
        <v>265</v>
      </c>
      <c r="O255" t="s">
        <v>4124</v>
      </c>
      <c r="P255" t="s">
        <v>4125</v>
      </c>
      <c r="Q255" t="s">
        <v>65</v>
      </c>
      <c r="R255" t="s">
        <v>4126</v>
      </c>
      <c r="S255" t="s">
        <v>4127</v>
      </c>
      <c r="T255">
        <v>1430000</v>
      </c>
      <c r="U255">
        <v>2200000</v>
      </c>
      <c r="V255" t="s">
        <v>4128</v>
      </c>
      <c r="W255" t="s">
        <v>4024</v>
      </c>
      <c r="X255" t="s">
        <v>4129</v>
      </c>
      <c r="Y255" t="s">
        <v>4130</v>
      </c>
      <c r="Z255" t="s">
        <v>93</v>
      </c>
      <c r="AA255" t="s">
        <v>4131</v>
      </c>
      <c r="AB255" t="s">
        <v>4132</v>
      </c>
      <c r="AC255" t="s">
        <v>531</v>
      </c>
      <c r="AD255" s="2">
        <v>45199</v>
      </c>
      <c r="AE255" t="s">
        <v>2516</v>
      </c>
      <c r="AF255" t="s">
        <v>1319</v>
      </c>
      <c r="AG255" t="s">
        <v>4133</v>
      </c>
      <c r="AH255">
        <v>5</v>
      </c>
      <c r="AI255" t="s">
        <v>237</v>
      </c>
      <c r="AJ255" t="s">
        <v>4134</v>
      </c>
      <c r="AK255" t="s">
        <v>2519</v>
      </c>
      <c r="AM255" t="s">
        <v>102</v>
      </c>
      <c r="AN255">
        <v>1980000</v>
      </c>
      <c r="AO255" s="9">
        <v>34650</v>
      </c>
    </row>
    <row r="256" spans="1:41" x14ac:dyDescent="0.25">
      <c r="A256">
        <v>255</v>
      </c>
      <c r="B256" t="s">
        <v>1305</v>
      </c>
      <c r="C256" t="s">
        <v>4135</v>
      </c>
      <c r="D256" t="s">
        <v>77</v>
      </c>
      <c r="E256" t="s">
        <v>47</v>
      </c>
      <c r="F256" t="s">
        <v>48</v>
      </c>
      <c r="G256" t="s">
        <v>4136</v>
      </c>
      <c r="H256" t="s">
        <v>4137</v>
      </c>
      <c r="I256" t="s">
        <v>4138</v>
      </c>
      <c r="J256">
        <v>1.75</v>
      </c>
      <c r="K256">
        <v>25.95</v>
      </c>
      <c r="L256" t="s">
        <v>4139</v>
      </c>
      <c r="M256" t="s">
        <v>4140</v>
      </c>
      <c r="N256" t="s">
        <v>187</v>
      </c>
      <c r="O256" t="s">
        <v>4141</v>
      </c>
      <c r="P256" t="s">
        <v>4142</v>
      </c>
      <c r="Q256" t="s">
        <v>4142</v>
      </c>
      <c r="R256" t="s">
        <v>4142</v>
      </c>
      <c r="S256" t="s">
        <v>4143</v>
      </c>
      <c r="T256">
        <v>1794800</v>
      </c>
      <c r="U256">
        <v>2564000</v>
      </c>
      <c r="V256" t="s">
        <v>4144</v>
      </c>
      <c r="W256" t="s">
        <v>437</v>
      </c>
      <c r="X256" t="s">
        <v>4145</v>
      </c>
      <c r="Y256" t="s">
        <v>4146</v>
      </c>
      <c r="Z256" t="s">
        <v>64</v>
      </c>
      <c r="AA256" t="s">
        <v>65</v>
      </c>
      <c r="AB256" t="s">
        <v>4147</v>
      </c>
      <c r="AC256" t="s">
        <v>531</v>
      </c>
      <c r="AD256" t="s">
        <v>97</v>
      </c>
      <c r="AE256" t="s">
        <v>98</v>
      </c>
      <c r="AF256" t="s">
        <v>2698</v>
      </c>
      <c r="AG256" t="s">
        <v>4148</v>
      </c>
      <c r="AH256">
        <v>5</v>
      </c>
      <c r="AI256" t="s">
        <v>100</v>
      </c>
      <c r="AJ256" t="s">
        <v>4149</v>
      </c>
      <c r="AK256" t="s">
        <v>211</v>
      </c>
      <c r="AM256" t="s">
        <v>102</v>
      </c>
      <c r="AN256">
        <v>2179400</v>
      </c>
      <c r="AO256" s="9">
        <v>38139.5</v>
      </c>
    </row>
    <row r="257" spans="1:41" hidden="1" x14ac:dyDescent="0.25">
      <c r="A257">
        <v>256</v>
      </c>
      <c r="B257" t="s">
        <v>1305</v>
      </c>
      <c r="C257" t="s">
        <v>4150</v>
      </c>
      <c r="D257" t="s">
        <v>46</v>
      </c>
      <c r="E257" t="s">
        <v>47</v>
      </c>
      <c r="F257" t="s">
        <v>48</v>
      </c>
      <c r="G257" t="s">
        <v>201</v>
      </c>
      <c r="H257" t="s">
        <v>4151</v>
      </c>
      <c r="I257" t="s">
        <v>4152</v>
      </c>
      <c r="J257">
        <v>2</v>
      </c>
      <c r="K257">
        <v>25.45</v>
      </c>
      <c r="L257" t="s">
        <v>4153</v>
      </c>
      <c r="M257" t="s">
        <v>4154</v>
      </c>
      <c r="N257" t="s">
        <v>2205</v>
      </c>
      <c r="O257" t="s">
        <v>4155</v>
      </c>
      <c r="P257" t="s">
        <v>65</v>
      </c>
      <c r="Q257" t="s">
        <v>4156</v>
      </c>
      <c r="R257" t="s">
        <v>65</v>
      </c>
      <c r="S257" t="s">
        <v>4157</v>
      </c>
      <c r="T257">
        <v>801000</v>
      </c>
      <c r="U257">
        <v>1539000</v>
      </c>
      <c r="V257" t="s">
        <v>4158</v>
      </c>
      <c r="W257" t="s">
        <v>231</v>
      </c>
      <c r="X257" t="s">
        <v>4159</v>
      </c>
      <c r="Y257" t="s">
        <v>4160</v>
      </c>
      <c r="Z257" t="s">
        <v>64</v>
      </c>
      <c r="AA257" t="s">
        <v>65</v>
      </c>
      <c r="AB257" t="s">
        <v>1790</v>
      </c>
      <c r="AC257" t="s">
        <v>67</v>
      </c>
      <c r="AD257" t="s">
        <v>1569</v>
      </c>
      <c r="AE257" t="s">
        <v>216</v>
      </c>
      <c r="AF257" t="s">
        <v>217</v>
      </c>
      <c r="AG257" t="s">
        <v>4161</v>
      </c>
      <c r="AH257">
        <v>3</v>
      </c>
      <c r="AI257" t="s">
        <v>72</v>
      </c>
      <c r="AJ257" t="s">
        <v>4162</v>
      </c>
      <c r="AK257" t="s">
        <v>239</v>
      </c>
      <c r="AM257" t="s">
        <v>75</v>
      </c>
      <c r="AN257">
        <v>0</v>
      </c>
      <c r="AO257">
        <v>0</v>
      </c>
    </row>
    <row r="258" spans="1:41" x14ac:dyDescent="0.25">
      <c r="A258">
        <v>257</v>
      </c>
      <c r="B258" t="s">
        <v>1305</v>
      </c>
      <c r="C258" t="s">
        <v>4163</v>
      </c>
      <c r="D258" t="s">
        <v>46</v>
      </c>
      <c r="E258" t="s">
        <v>47</v>
      </c>
      <c r="F258" t="s">
        <v>48</v>
      </c>
      <c r="G258" t="s">
        <v>182</v>
      </c>
      <c r="H258" t="s">
        <v>4164</v>
      </c>
      <c r="I258" t="s">
        <v>4165</v>
      </c>
      <c r="J258">
        <v>2</v>
      </c>
      <c r="K258">
        <v>25.79</v>
      </c>
      <c r="L258" t="s">
        <v>4166</v>
      </c>
      <c r="M258" t="s">
        <v>4167</v>
      </c>
      <c r="N258" t="s">
        <v>187</v>
      </c>
      <c r="O258" t="s">
        <v>4168</v>
      </c>
      <c r="P258" t="s">
        <v>4169</v>
      </c>
      <c r="Q258" t="s">
        <v>4169</v>
      </c>
      <c r="R258" t="s">
        <v>4169</v>
      </c>
      <c r="S258" t="s">
        <v>4170</v>
      </c>
      <c r="T258">
        <v>1704000</v>
      </c>
      <c r="U258">
        <v>2130000</v>
      </c>
      <c r="V258" t="s">
        <v>4171</v>
      </c>
      <c r="W258" t="s">
        <v>774</v>
      </c>
      <c r="X258" t="s">
        <v>4172</v>
      </c>
      <c r="Y258" t="s">
        <v>4173</v>
      </c>
      <c r="Z258" t="s">
        <v>64</v>
      </c>
      <c r="AA258" t="s">
        <v>65</v>
      </c>
      <c r="AB258" t="s">
        <v>1055</v>
      </c>
      <c r="AC258" t="s">
        <v>67</v>
      </c>
      <c r="AD258" t="s">
        <v>1039</v>
      </c>
      <c r="AE258" t="s">
        <v>604</v>
      </c>
      <c r="AF258" t="s">
        <v>974</v>
      </c>
      <c r="AG258" t="s">
        <v>4174</v>
      </c>
      <c r="AH258">
        <v>5</v>
      </c>
      <c r="AI258" t="s">
        <v>198</v>
      </c>
      <c r="AJ258" t="s">
        <v>4175</v>
      </c>
      <c r="AK258" t="s">
        <v>781</v>
      </c>
      <c r="AM258" t="s">
        <v>75</v>
      </c>
      <c r="AN258">
        <v>1704000</v>
      </c>
      <c r="AO258" s="9">
        <v>34080</v>
      </c>
    </row>
    <row r="259" spans="1:41" x14ac:dyDescent="0.25">
      <c r="A259">
        <v>258</v>
      </c>
      <c r="B259" t="s">
        <v>1305</v>
      </c>
      <c r="C259" t="s">
        <v>4176</v>
      </c>
      <c r="D259" t="s">
        <v>241</v>
      </c>
      <c r="E259" t="s">
        <v>47</v>
      </c>
      <c r="F259" t="s">
        <v>48</v>
      </c>
      <c r="G259" t="s">
        <v>1080</v>
      </c>
      <c r="H259" t="s">
        <v>4177</v>
      </c>
      <c r="I259" t="s">
        <v>4178</v>
      </c>
      <c r="J259">
        <v>2</v>
      </c>
      <c r="K259">
        <v>26.3</v>
      </c>
      <c r="L259" t="s">
        <v>4179</v>
      </c>
      <c r="M259" t="s">
        <v>4180</v>
      </c>
      <c r="N259" t="s">
        <v>187</v>
      </c>
      <c r="O259" t="s">
        <v>4181</v>
      </c>
      <c r="P259" t="s">
        <v>4182</v>
      </c>
      <c r="Q259" t="s">
        <v>4182</v>
      </c>
      <c r="R259" t="s">
        <v>4183</v>
      </c>
      <c r="S259" t="s">
        <v>4184</v>
      </c>
      <c r="T259">
        <v>1836100</v>
      </c>
      <c r="U259">
        <v>2623000</v>
      </c>
      <c r="V259" t="s">
        <v>4185</v>
      </c>
      <c r="W259" t="s">
        <v>774</v>
      </c>
      <c r="X259" t="s">
        <v>4186</v>
      </c>
      <c r="Y259" t="s">
        <v>4187</v>
      </c>
      <c r="Z259" t="s">
        <v>64</v>
      </c>
      <c r="AA259" t="s">
        <v>65</v>
      </c>
      <c r="AB259" t="s">
        <v>4188</v>
      </c>
      <c r="AC259" t="s">
        <v>67</v>
      </c>
      <c r="AD259" t="s">
        <v>4189</v>
      </c>
      <c r="AE259" t="s">
        <v>69</v>
      </c>
      <c r="AF259" t="s">
        <v>1007</v>
      </c>
      <c r="AG259" t="s">
        <v>4190</v>
      </c>
      <c r="AH259">
        <v>5</v>
      </c>
      <c r="AI259" t="s">
        <v>237</v>
      </c>
      <c r="AJ259" t="s">
        <v>4191</v>
      </c>
      <c r="AK259" t="s">
        <v>781</v>
      </c>
      <c r="AM259" t="s">
        <v>75</v>
      </c>
      <c r="AN259">
        <v>2098400</v>
      </c>
      <c r="AO259" s="9">
        <v>41968</v>
      </c>
    </row>
    <row r="260" spans="1:41" x14ac:dyDescent="0.25">
      <c r="A260">
        <v>259</v>
      </c>
      <c r="B260" t="s">
        <v>1305</v>
      </c>
      <c r="C260" t="s">
        <v>4192</v>
      </c>
      <c r="D260" t="s">
        <v>1489</v>
      </c>
      <c r="E260" t="s">
        <v>47</v>
      </c>
      <c r="F260" t="s">
        <v>48</v>
      </c>
      <c r="G260" t="s">
        <v>4193</v>
      </c>
      <c r="H260" t="s">
        <v>4194</v>
      </c>
      <c r="I260" t="s">
        <v>4195</v>
      </c>
      <c r="J260">
        <v>2.5</v>
      </c>
      <c r="K260">
        <v>27.18</v>
      </c>
      <c r="L260" t="s">
        <v>4196</v>
      </c>
      <c r="M260" t="s">
        <v>4197</v>
      </c>
      <c r="N260" t="s">
        <v>83</v>
      </c>
      <c r="O260" t="s">
        <v>4198</v>
      </c>
      <c r="P260" t="s">
        <v>4199</v>
      </c>
      <c r="Q260" t="s">
        <v>4200</v>
      </c>
      <c r="R260" t="s">
        <v>4201</v>
      </c>
      <c r="S260" t="s">
        <v>4202</v>
      </c>
      <c r="T260">
        <v>2372000</v>
      </c>
      <c r="U260">
        <v>2965000</v>
      </c>
      <c r="V260" t="s">
        <v>4203</v>
      </c>
      <c r="W260" t="s">
        <v>472</v>
      </c>
      <c r="X260" t="s">
        <v>4204</v>
      </c>
      <c r="Y260" t="s">
        <v>4205</v>
      </c>
      <c r="Z260" t="s">
        <v>64</v>
      </c>
      <c r="AA260" t="s">
        <v>65</v>
      </c>
      <c r="AB260" t="s">
        <v>3561</v>
      </c>
      <c r="AC260" t="s">
        <v>151</v>
      </c>
      <c r="AD260" t="s">
        <v>4206</v>
      </c>
      <c r="AE260" t="s">
        <v>1539</v>
      </c>
      <c r="AF260" t="s">
        <v>1430</v>
      </c>
      <c r="AG260" t="s">
        <v>4207</v>
      </c>
      <c r="AH260">
        <v>5</v>
      </c>
      <c r="AI260" t="s">
        <v>511</v>
      </c>
      <c r="AJ260" t="s">
        <v>4208</v>
      </c>
      <c r="AK260" t="s">
        <v>1542</v>
      </c>
      <c r="AM260" t="s">
        <v>180</v>
      </c>
      <c r="AN260">
        <v>2223750</v>
      </c>
      <c r="AO260" s="9">
        <v>55593.75</v>
      </c>
    </row>
    <row r="261" spans="1:41" x14ac:dyDescent="0.25">
      <c r="A261">
        <v>260</v>
      </c>
      <c r="B261" t="s">
        <v>1305</v>
      </c>
      <c r="C261" t="s">
        <v>4209</v>
      </c>
      <c r="D261" t="s">
        <v>912</v>
      </c>
      <c r="E261" t="s">
        <v>47</v>
      </c>
      <c r="F261" t="s">
        <v>48</v>
      </c>
      <c r="G261" t="s">
        <v>1947</v>
      </c>
      <c r="H261" t="s">
        <v>4210</v>
      </c>
      <c r="I261" t="s">
        <v>4211</v>
      </c>
      <c r="J261">
        <v>1.5</v>
      </c>
      <c r="K261">
        <v>26.78</v>
      </c>
      <c r="L261" t="s">
        <v>4212</v>
      </c>
      <c r="M261" t="s">
        <v>4213</v>
      </c>
      <c r="N261" t="s">
        <v>164</v>
      </c>
      <c r="O261" t="s">
        <v>4214</v>
      </c>
      <c r="P261" t="s">
        <v>65</v>
      </c>
      <c r="Q261" t="s">
        <v>4215</v>
      </c>
      <c r="R261" t="s">
        <v>65</v>
      </c>
      <c r="S261" t="s">
        <v>4216</v>
      </c>
      <c r="T261">
        <v>10075000</v>
      </c>
      <c r="U261">
        <v>15500000</v>
      </c>
      <c r="V261" t="s">
        <v>4217</v>
      </c>
      <c r="W261" t="s">
        <v>399</v>
      </c>
      <c r="X261" t="s">
        <v>4218</v>
      </c>
      <c r="Y261" t="s">
        <v>4219</v>
      </c>
      <c r="Z261" t="s">
        <v>64</v>
      </c>
      <c r="AA261" t="s">
        <v>65</v>
      </c>
      <c r="AB261" t="s">
        <v>4220</v>
      </c>
      <c r="AC261" t="s">
        <v>151</v>
      </c>
      <c r="AD261" t="s">
        <v>170</v>
      </c>
      <c r="AE261" t="s">
        <v>153</v>
      </c>
      <c r="AF261" t="s">
        <v>2533</v>
      </c>
      <c r="AG261" t="s">
        <v>4221</v>
      </c>
      <c r="AH261">
        <v>5</v>
      </c>
      <c r="AI261" t="s">
        <v>65</v>
      </c>
      <c r="AJ261" t="s">
        <v>65</v>
      </c>
      <c r="AK261" t="s">
        <v>65</v>
      </c>
      <c r="AM261" t="s">
        <v>157</v>
      </c>
      <c r="AN261">
        <v>11625000</v>
      </c>
      <c r="AO261" s="9">
        <v>174375</v>
      </c>
    </row>
    <row r="262" spans="1:41" x14ac:dyDescent="0.25">
      <c r="A262">
        <v>261</v>
      </c>
      <c r="B262" t="s">
        <v>1305</v>
      </c>
      <c r="C262" t="s">
        <v>4222</v>
      </c>
      <c r="D262" t="s">
        <v>241</v>
      </c>
      <c r="E262" t="s">
        <v>47</v>
      </c>
      <c r="F262" t="s">
        <v>48</v>
      </c>
      <c r="G262" t="s">
        <v>242</v>
      </c>
      <c r="H262" t="s">
        <v>4223</v>
      </c>
      <c r="I262" t="s">
        <v>4224</v>
      </c>
      <c r="J262">
        <v>1.75</v>
      </c>
      <c r="K262">
        <v>26.29</v>
      </c>
      <c r="L262" t="s">
        <v>4225</v>
      </c>
      <c r="M262" t="s">
        <v>4226</v>
      </c>
      <c r="N262" t="s">
        <v>83</v>
      </c>
      <c r="O262" t="s">
        <v>4227</v>
      </c>
      <c r="P262" t="s">
        <v>4228</v>
      </c>
      <c r="Q262" t="s">
        <v>4229</v>
      </c>
      <c r="R262" t="s">
        <v>4229</v>
      </c>
      <c r="S262" t="s">
        <v>4230</v>
      </c>
      <c r="T262">
        <v>1942500</v>
      </c>
      <c r="U262">
        <v>2775000</v>
      </c>
      <c r="V262" t="s">
        <v>4231</v>
      </c>
      <c r="W262" t="s">
        <v>774</v>
      </c>
      <c r="X262" t="s">
        <v>4232</v>
      </c>
      <c r="Y262" t="s">
        <v>4233</v>
      </c>
      <c r="Z262" t="s">
        <v>64</v>
      </c>
      <c r="AA262" t="s">
        <v>65</v>
      </c>
      <c r="AB262" t="s">
        <v>326</v>
      </c>
      <c r="AC262" t="s">
        <v>67</v>
      </c>
      <c r="AD262" t="s">
        <v>4234</v>
      </c>
      <c r="AE262" t="s">
        <v>604</v>
      </c>
      <c r="AF262" t="s">
        <v>2638</v>
      </c>
      <c r="AG262" t="s">
        <v>4235</v>
      </c>
      <c r="AH262">
        <v>7</v>
      </c>
      <c r="AI262" t="s">
        <v>237</v>
      </c>
      <c r="AJ262" t="s">
        <v>4236</v>
      </c>
      <c r="AK262" t="s">
        <v>472</v>
      </c>
      <c r="AM262" t="s">
        <v>102</v>
      </c>
      <c r="AN262">
        <v>2220000</v>
      </c>
      <c r="AO262" s="9">
        <v>38850.000000000007</v>
      </c>
    </row>
    <row r="263" spans="1:41" x14ac:dyDescent="0.25">
      <c r="A263">
        <v>262</v>
      </c>
      <c r="B263" t="s">
        <v>1305</v>
      </c>
      <c r="C263" t="s">
        <v>4237</v>
      </c>
      <c r="D263" t="s">
        <v>241</v>
      </c>
      <c r="E263" t="s">
        <v>47</v>
      </c>
      <c r="F263" t="s">
        <v>48</v>
      </c>
      <c r="G263" t="s">
        <v>2084</v>
      </c>
      <c r="H263" t="s">
        <v>4238</v>
      </c>
      <c r="I263" t="s">
        <v>4239</v>
      </c>
      <c r="J263">
        <v>2</v>
      </c>
      <c r="K263">
        <v>26.35</v>
      </c>
      <c r="L263" t="s">
        <v>4240</v>
      </c>
      <c r="M263" t="s">
        <v>4241</v>
      </c>
      <c r="N263" t="s">
        <v>83</v>
      </c>
      <c r="O263" t="s">
        <v>4242</v>
      </c>
      <c r="P263" t="s">
        <v>4243</v>
      </c>
      <c r="Q263" t="s">
        <v>4243</v>
      </c>
      <c r="R263" t="s">
        <v>4244</v>
      </c>
      <c r="S263" t="s">
        <v>4245</v>
      </c>
      <c r="T263">
        <v>2473600</v>
      </c>
      <c r="U263">
        <v>3882000</v>
      </c>
      <c r="V263" t="s">
        <v>4246</v>
      </c>
      <c r="W263" t="s">
        <v>231</v>
      </c>
      <c r="X263" t="s">
        <v>4247</v>
      </c>
      <c r="Y263" t="s">
        <v>4248</v>
      </c>
      <c r="Z263" t="s">
        <v>64</v>
      </c>
      <c r="AA263" t="s">
        <v>65</v>
      </c>
      <c r="AB263" t="s">
        <v>2590</v>
      </c>
      <c r="AC263" t="s">
        <v>67</v>
      </c>
      <c r="AD263" t="s">
        <v>4249</v>
      </c>
      <c r="AE263" t="s">
        <v>69</v>
      </c>
      <c r="AF263" t="s">
        <v>1007</v>
      </c>
      <c r="AG263" t="s">
        <v>4250</v>
      </c>
      <c r="AH263">
        <v>5</v>
      </c>
      <c r="AI263" t="s">
        <v>237</v>
      </c>
      <c r="AJ263" t="s">
        <v>4251</v>
      </c>
      <c r="AK263" t="s">
        <v>258</v>
      </c>
      <c r="AM263" t="s">
        <v>75</v>
      </c>
      <c r="AN263">
        <v>3105600</v>
      </c>
      <c r="AO263" s="9">
        <v>62112</v>
      </c>
    </row>
    <row r="264" spans="1:41" x14ac:dyDescent="0.25">
      <c r="A264">
        <v>263</v>
      </c>
      <c r="B264" t="s">
        <v>1305</v>
      </c>
      <c r="C264" t="s">
        <v>4252</v>
      </c>
      <c r="D264" t="s">
        <v>912</v>
      </c>
      <c r="E264" t="s">
        <v>47</v>
      </c>
      <c r="F264" t="s">
        <v>48</v>
      </c>
      <c r="G264" t="s">
        <v>3079</v>
      </c>
      <c r="H264" t="s">
        <v>4253</v>
      </c>
      <c r="I264" t="s">
        <v>4254</v>
      </c>
      <c r="J264">
        <v>2</v>
      </c>
      <c r="K264">
        <v>26.78</v>
      </c>
      <c r="L264" t="s">
        <v>4255</v>
      </c>
      <c r="M264" t="s">
        <v>4256</v>
      </c>
      <c r="N264" t="s">
        <v>83</v>
      </c>
      <c r="O264" t="s">
        <v>4257</v>
      </c>
      <c r="P264" t="s">
        <v>4258</v>
      </c>
      <c r="Q264" t="s">
        <v>4258</v>
      </c>
      <c r="R264" t="s">
        <v>4258</v>
      </c>
      <c r="S264" t="s">
        <v>4259</v>
      </c>
      <c r="T264">
        <v>2730000</v>
      </c>
      <c r="U264">
        <v>3900000</v>
      </c>
      <c r="V264" t="s">
        <v>4260</v>
      </c>
      <c r="W264" t="s">
        <v>399</v>
      </c>
      <c r="X264" t="s">
        <v>4261</v>
      </c>
      <c r="Y264" t="s">
        <v>4262</v>
      </c>
      <c r="Z264" t="s">
        <v>549</v>
      </c>
      <c r="AA264" t="s">
        <v>65</v>
      </c>
      <c r="AB264" t="s">
        <v>4263</v>
      </c>
      <c r="AC264" t="s">
        <v>624</v>
      </c>
      <c r="AD264" t="s">
        <v>170</v>
      </c>
      <c r="AE264" t="s">
        <v>153</v>
      </c>
      <c r="AF264" t="s">
        <v>2533</v>
      </c>
      <c r="AG264" t="s">
        <v>4264</v>
      </c>
      <c r="AH264">
        <v>5</v>
      </c>
      <c r="AI264" t="s">
        <v>237</v>
      </c>
      <c r="AJ264" t="s">
        <v>4265</v>
      </c>
      <c r="AK264" t="s">
        <v>170</v>
      </c>
      <c r="AM264" t="s">
        <v>75</v>
      </c>
      <c r="AN264">
        <v>2925000</v>
      </c>
      <c r="AO264" s="9">
        <v>58500</v>
      </c>
    </row>
    <row r="265" spans="1:41" x14ac:dyDescent="0.25">
      <c r="A265">
        <v>264</v>
      </c>
      <c r="B265" t="s">
        <v>1305</v>
      </c>
      <c r="C265" t="s">
        <v>4266</v>
      </c>
      <c r="D265" t="s">
        <v>77</v>
      </c>
      <c r="E265" t="s">
        <v>47</v>
      </c>
      <c r="F265" t="s">
        <v>48</v>
      </c>
      <c r="G265" t="s">
        <v>609</v>
      </c>
      <c r="H265" t="s">
        <v>4267</v>
      </c>
      <c r="I265" t="s">
        <v>4268</v>
      </c>
      <c r="J265">
        <v>2</v>
      </c>
      <c r="K265">
        <v>25.61</v>
      </c>
      <c r="L265" t="s">
        <v>4269</v>
      </c>
      <c r="M265" t="s">
        <v>4270</v>
      </c>
      <c r="N265" t="s">
        <v>83</v>
      </c>
      <c r="O265" t="s">
        <v>4271</v>
      </c>
      <c r="P265" t="s">
        <v>65</v>
      </c>
      <c r="Q265" t="s">
        <v>65</v>
      </c>
      <c r="R265" t="s">
        <v>65</v>
      </c>
      <c r="S265" t="s">
        <v>4272</v>
      </c>
      <c r="T265">
        <v>2090000</v>
      </c>
      <c r="U265">
        <v>2750000</v>
      </c>
      <c r="V265" t="s">
        <v>4273</v>
      </c>
      <c r="W265" t="s">
        <v>231</v>
      </c>
      <c r="X265" t="s">
        <v>4274</v>
      </c>
      <c r="Y265" t="s">
        <v>4275</v>
      </c>
      <c r="Z265" t="s">
        <v>93</v>
      </c>
      <c r="AA265" t="s">
        <v>4276</v>
      </c>
      <c r="AB265" t="s">
        <v>66</v>
      </c>
      <c r="AC265" t="s">
        <v>624</v>
      </c>
      <c r="AD265" t="s">
        <v>239</v>
      </c>
      <c r="AE265" t="s">
        <v>69</v>
      </c>
      <c r="AF265" t="s">
        <v>1007</v>
      </c>
      <c r="AG265" t="s">
        <v>4277</v>
      </c>
      <c r="AH265">
        <v>5</v>
      </c>
      <c r="AI265" t="s">
        <v>237</v>
      </c>
      <c r="AJ265" t="s">
        <v>4278</v>
      </c>
      <c r="AK265" t="s">
        <v>239</v>
      </c>
      <c r="AM265" t="s">
        <v>75</v>
      </c>
      <c r="AN265">
        <v>2200000</v>
      </c>
      <c r="AO265" s="9">
        <v>44000</v>
      </c>
    </row>
    <row r="266" spans="1:41" x14ac:dyDescent="0.25">
      <c r="A266">
        <v>265</v>
      </c>
      <c r="B266" t="s">
        <v>1305</v>
      </c>
      <c r="C266" t="s">
        <v>4279</v>
      </c>
      <c r="D266" t="s">
        <v>136</v>
      </c>
      <c r="E266" t="s">
        <v>47</v>
      </c>
      <c r="F266" t="s">
        <v>48</v>
      </c>
      <c r="G266" t="s">
        <v>347</v>
      </c>
      <c r="H266" t="s">
        <v>4280</v>
      </c>
      <c r="I266" t="s">
        <v>4281</v>
      </c>
      <c r="J266">
        <v>1.5</v>
      </c>
      <c r="K266">
        <v>27.18</v>
      </c>
      <c r="L266" t="s">
        <v>4282</v>
      </c>
      <c r="M266" t="s">
        <v>4283</v>
      </c>
      <c r="N266" t="s">
        <v>54</v>
      </c>
      <c r="O266" t="s">
        <v>4284</v>
      </c>
      <c r="P266" t="s">
        <v>4285</v>
      </c>
      <c r="Q266" t="s">
        <v>4286</v>
      </c>
      <c r="R266" t="s">
        <v>4285</v>
      </c>
      <c r="S266" t="s">
        <v>4287</v>
      </c>
      <c r="T266">
        <v>3239400</v>
      </c>
      <c r="U266">
        <v>5399000</v>
      </c>
      <c r="V266" t="s">
        <v>4288</v>
      </c>
      <c r="W266" t="s">
        <v>472</v>
      </c>
      <c r="X266" t="s">
        <v>4289</v>
      </c>
      <c r="Y266" t="s">
        <v>4290</v>
      </c>
      <c r="Z266" t="s">
        <v>64</v>
      </c>
      <c r="AA266" t="s">
        <v>65</v>
      </c>
      <c r="AB266" t="s">
        <v>456</v>
      </c>
      <c r="AC266" t="s">
        <v>151</v>
      </c>
      <c r="AD266" t="s">
        <v>4291</v>
      </c>
      <c r="AE266" t="s">
        <v>1539</v>
      </c>
      <c r="AF266" t="s">
        <v>1430</v>
      </c>
      <c r="AG266" t="s">
        <v>4292</v>
      </c>
      <c r="AH266">
        <v>5</v>
      </c>
      <c r="AI266" t="s">
        <v>65</v>
      </c>
      <c r="AJ266" t="s">
        <v>65</v>
      </c>
      <c r="AK266" t="s">
        <v>65</v>
      </c>
      <c r="AM266" t="s">
        <v>157</v>
      </c>
      <c r="AN266">
        <v>4049250</v>
      </c>
      <c r="AO266" s="9">
        <v>60738.75</v>
      </c>
    </row>
    <row r="267" spans="1:41" x14ac:dyDescent="0.25">
      <c r="A267">
        <v>266</v>
      </c>
      <c r="B267" t="s">
        <v>1305</v>
      </c>
      <c r="C267" t="s">
        <v>4293</v>
      </c>
      <c r="D267" t="s">
        <v>241</v>
      </c>
      <c r="E267" t="s">
        <v>47</v>
      </c>
      <c r="F267" t="s">
        <v>48</v>
      </c>
      <c r="G267" t="s">
        <v>221</v>
      </c>
      <c r="H267" t="s">
        <v>4294</v>
      </c>
      <c r="I267" t="s">
        <v>4295</v>
      </c>
      <c r="J267">
        <v>2</v>
      </c>
      <c r="K267">
        <v>26.29</v>
      </c>
      <c r="L267" t="s">
        <v>4296</v>
      </c>
      <c r="M267" t="s">
        <v>4297</v>
      </c>
      <c r="N267" t="s">
        <v>54</v>
      </c>
      <c r="O267" t="s">
        <v>4298</v>
      </c>
      <c r="P267" t="s">
        <v>4299</v>
      </c>
      <c r="Q267" t="s">
        <v>4300</v>
      </c>
      <c r="R267" t="s">
        <v>4301</v>
      </c>
      <c r="S267" t="s">
        <v>4302</v>
      </c>
      <c r="T267">
        <v>2912000</v>
      </c>
      <c r="U267">
        <v>4480000</v>
      </c>
      <c r="V267" t="s">
        <v>4303</v>
      </c>
      <c r="W267" t="s">
        <v>774</v>
      </c>
      <c r="X267" t="s">
        <v>4304</v>
      </c>
      <c r="Y267" t="s">
        <v>4305</v>
      </c>
      <c r="Z267" t="s">
        <v>64</v>
      </c>
      <c r="AA267" t="s">
        <v>65</v>
      </c>
      <c r="AB267" t="s">
        <v>234</v>
      </c>
      <c r="AC267" t="s">
        <v>67</v>
      </c>
      <c r="AD267" t="s">
        <v>2637</v>
      </c>
      <c r="AE267" t="s">
        <v>604</v>
      </c>
      <c r="AF267" t="s">
        <v>1430</v>
      </c>
      <c r="AG267" t="s">
        <v>4306</v>
      </c>
      <c r="AH267">
        <v>4</v>
      </c>
      <c r="AI267" t="s">
        <v>237</v>
      </c>
      <c r="AJ267" t="s">
        <v>4307</v>
      </c>
      <c r="AK267" t="s">
        <v>781</v>
      </c>
      <c r="AM267" t="s">
        <v>75</v>
      </c>
      <c r="AN267">
        <v>3584000</v>
      </c>
      <c r="AO267" s="9">
        <v>71680</v>
      </c>
    </row>
    <row r="268" spans="1:41" x14ac:dyDescent="0.25">
      <c r="A268">
        <v>267</v>
      </c>
      <c r="B268" t="s">
        <v>1305</v>
      </c>
      <c r="C268" t="s">
        <v>4308</v>
      </c>
      <c r="D268" t="s">
        <v>912</v>
      </c>
      <c r="E268" t="s">
        <v>47</v>
      </c>
      <c r="F268" t="s">
        <v>48</v>
      </c>
      <c r="G268" t="s">
        <v>137</v>
      </c>
      <c r="H268" t="s">
        <v>4309</v>
      </c>
      <c r="I268" t="s">
        <v>4310</v>
      </c>
      <c r="J268">
        <v>2</v>
      </c>
      <c r="K268">
        <v>26.53</v>
      </c>
      <c r="L268" t="s">
        <v>4311</v>
      </c>
      <c r="M268" t="s">
        <v>4312</v>
      </c>
      <c r="N268" t="s">
        <v>54</v>
      </c>
      <c r="O268" t="s">
        <v>4313</v>
      </c>
      <c r="P268" t="s">
        <v>4314</v>
      </c>
      <c r="Q268" t="s">
        <v>4315</v>
      </c>
      <c r="R268" t="s">
        <v>4314</v>
      </c>
      <c r="S268" t="s">
        <v>4316</v>
      </c>
      <c r="T268">
        <v>2094900</v>
      </c>
      <c r="U268">
        <v>3491500</v>
      </c>
      <c r="V268" t="s">
        <v>4317</v>
      </c>
      <c r="W268" t="s">
        <v>399</v>
      </c>
      <c r="X268" t="s">
        <v>4318</v>
      </c>
      <c r="Y268" t="s">
        <v>4319</v>
      </c>
      <c r="Z268" t="s">
        <v>64</v>
      </c>
      <c r="AA268" t="s">
        <v>65</v>
      </c>
      <c r="AB268" t="s">
        <v>4320</v>
      </c>
      <c r="AC268" t="s">
        <v>151</v>
      </c>
      <c r="AD268" t="s">
        <v>170</v>
      </c>
      <c r="AE268" t="s">
        <v>153</v>
      </c>
      <c r="AF268" t="s">
        <v>2533</v>
      </c>
      <c r="AG268" t="s">
        <v>4321</v>
      </c>
      <c r="AH268">
        <v>5</v>
      </c>
      <c r="AI268" t="s">
        <v>237</v>
      </c>
      <c r="AJ268" t="s">
        <v>4322</v>
      </c>
      <c r="AK268" t="s">
        <v>4323</v>
      </c>
      <c r="AM268" t="s">
        <v>75</v>
      </c>
      <c r="AN268">
        <v>2618625</v>
      </c>
      <c r="AO268" s="9">
        <v>52372.5</v>
      </c>
    </row>
    <row r="269" spans="1:41" x14ac:dyDescent="0.25">
      <c r="A269">
        <v>268</v>
      </c>
      <c r="B269" t="s">
        <v>1305</v>
      </c>
      <c r="C269" t="s">
        <v>4324</v>
      </c>
      <c r="D269" t="s">
        <v>46</v>
      </c>
      <c r="E269" t="s">
        <v>47</v>
      </c>
      <c r="F269" t="s">
        <v>48</v>
      </c>
      <c r="G269" t="s">
        <v>443</v>
      </c>
      <c r="H269" t="s">
        <v>4325</v>
      </c>
      <c r="I269" t="s">
        <v>4326</v>
      </c>
      <c r="J269">
        <v>1.75</v>
      </c>
      <c r="K269">
        <v>25.78</v>
      </c>
      <c r="L269" t="s">
        <v>4327</v>
      </c>
      <c r="M269" t="s">
        <v>4328</v>
      </c>
      <c r="N269" t="s">
        <v>265</v>
      </c>
      <c r="O269" t="s">
        <v>4329</v>
      </c>
      <c r="P269" t="s">
        <v>4330</v>
      </c>
      <c r="Q269" t="s">
        <v>65</v>
      </c>
      <c r="R269" t="s">
        <v>4331</v>
      </c>
      <c r="S269" t="s">
        <v>4332</v>
      </c>
      <c r="T269">
        <v>3804500</v>
      </c>
      <c r="U269">
        <v>5435000</v>
      </c>
      <c r="V269" t="s">
        <v>4333</v>
      </c>
      <c r="W269" t="s">
        <v>774</v>
      </c>
      <c r="X269" t="s">
        <v>4334</v>
      </c>
      <c r="Y269" t="s">
        <v>4335</v>
      </c>
      <c r="Z269" t="s">
        <v>64</v>
      </c>
      <c r="AA269" t="s">
        <v>65</v>
      </c>
      <c r="AB269" t="s">
        <v>116</v>
      </c>
      <c r="AC269" t="s">
        <v>67</v>
      </c>
      <c r="AD269" t="s">
        <v>1056</v>
      </c>
      <c r="AE269" t="s">
        <v>604</v>
      </c>
      <c r="AF269" t="s">
        <v>974</v>
      </c>
      <c r="AG269" t="s">
        <v>4336</v>
      </c>
      <c r="AH269">
        <v>5</v>
      </c>
      <c r="AI269" t="s">
        <v>65</v>
      </c>
      <c r="AJ269" t="s">
        <v>65</v>
      </c>
      <c r="AK269" t="s">
        <v>65</v>
      </c>
      <c r="AM269" t="s">
        <v>102</v>
      </c>
      <c r="AN269">
        <v>4619750</v>
      </c>
      <c r="AO269" s="9">
        <v>80845.625000000015</v>
      </c>
    </row>
    <row r="270" spans="1:41" x14ac:dyDescent="0.25">
      <c r="A270">
        <v>269</v>
      </c>
      <c r="B270" t="s">
        <v>1305</v>
      </c>
      <c r="C270" t="s">
        <v>4337</v>
      </c>
      <c r="D270" t="s">
        <v>46</v>
      </c>
      <c r="E270" t="s">
        <v>47</v>
      </c>
      <c r="F270" t="s">
        <v>48</v>
      </c>
      <c r="G270" t="s">
        <v>4193</v>
      </c>
      <c r="H270" t="s">
        <v>4338</v>
      </c>
      <c r="I270" t="s">
        <v>4339</v>
      </c>
      <c r="J270">
        <v>2</v>
      </c>
      <c r="K270">
        <v>25.85</v>
      </c>
      <c r="L270" t="s">
        <v>4340</v>
      </c>
      <c r="M270" t="s">
        <v>4341</v>
      </c>
      <c r="N270" t="s">
        <v>83</v>
      </c>
      <c r="O270" t="s">
        <v>4342</v>
      </c>
      <c r="P270" t="s">
        <v>4343</v>
      </c>
      <c r="Q270" t="s">
        <v>4343</v>
      </c>
      <c r="R270" t="s">
        <v>4344</v>
      </c>
      <c r="S270" t="s">
        <v>4345</v>
      </c>
      <c r="T270">
        <v>1557000</v>
      </c>
      <c r="U270">
        <v>2595000</v>
      </c>
      <c r="V270" t="s">
        <v>4346</v>
      </c>
      <c r="W270" t="s">
        <v>231</v>
      </c>
      <c r="X270" t="s">
        <v>4347</v>
      </c>
      <c r="Y270" t="s">
        <v>4348</v>
      </c>
      <c r="Z270" t="s">
        <v>64</v>
      </c>
      <c r="AA270" t="s">
        <v>65</v>
      </c>
      <c r="AB270" t="s">
        <v>4349</v>
      </c>
      <c r="AC270" t="s">
        <v>67</v>
      </c>
      <c r="AD270" t="s">
        <v>255</v>
      </c>
      <c r="AE270" t="s">
        <v>69</v>
      </c>
      <c r="AF270" t="s">
        <v>1007</v>
      </c>
      <c r="AG270" t="s">
        <v>4350</v>
      </c>
      <c r="AH270">
        <v>5</v>
      </c>
      <c r="AI270" t="s">
        <v>237</v>
      </c>
      <c r="AJ270" t="s">
        <v>4351</v>
      </c>
      <c r="AK270" t="s">
        <v>239</v>
      </c>
      <c r="AM270" t="s">
        <v>75</v>
      </c>
      <c r="AN270">
        <v>2076000</v>
      </c>
      <c r="AO270" s="9">
        <v>41520</v>
      </c>
    </row>
    <row r="271" spans="1:41" x14ac:dyDescent="0.25">
      <c r="A271">
        <v>270</v>
      </c>
      <c r="B271" t="s">
        <v>1305</v>
      </c>
      <c r="C271" t="s">
        <v>4352</v>
      </c>
      <c r="D271" t="s">
        <v>77</v>
      </c>
      <c r="E271" t="s">
        <v>47</v>
      </c>
      <c r="F271" t="s">
        <v>48</v>
      </c>
      <c r="G271" t="s">
        <v>3955</v>
      </c>
      <c r="H271" t="s">
        <v>4353</v>
      </c>
      <c r="I271" t="s">
        <v>4354</v>
      </c>
      <c r="J271">
        <v>2</v>
      </c>
      <c r="K271">
        <v>25.68</v>
      </c>
      <c r="L271" t="s">
        <v>4355</v>
      </c>
      <c r="M271" t="s">
        <v>4356</v>
      </c>
      <c r="N271" t="s">
        <v>187</v>
      </c>
      <c r="O271" t="s">
        <v>4357</v>
      </c>
      <c r="P271" t="s">
        <v>4358</v>
      </c>
      <c r="Q271" t="s">
        <v>4358</v>
      </c>
      <c r="R271" t="s">
        <v>4359</v>
      </c>
      <c r="S271" t="s">
        <v>4360</v>
      </c>
      <c r="T271">
        <v>2244000</v>
      </c>
      <c r="U271">
        <v>2805000</v>
      </c>
      <c r="V271" t="s">
        <v>4361</v>
      </c>
      <c r="W271" t="s">
        <v>774</v>
      </c>
      <c r="X271" t="s">
        <v>4362</v>
      </c>
      <c r="Y271" t="s">
        <v>4363</v>
      </c>
      <c r="Z271" t="s">
        <v>64</v>
      </c>
      <c r="AA271" t="s">
        <v>65</v>
      </c>
      <c r="AB271" t="s">
        <v>4364</v>
      </c>
      <c r="AC271" t="s">
        <v>67</v>
      </c>
      <c r="AD271" t="s">
        <v>728</v>
      </c>
      <c r="AE271" t="s">
        <v>604</v>
      </c>
      <c r="AF271" t="s">
        <v>974</v>
      </c>
      <c r="AG271" t="s">
        <v>4365</v>
      </c>
      <c r="AH271">
        <v>5</v>
      </c>
      <c r="AI271" t="s">
        <v>237</v>
      </c>
      <c r="AJ271" t="s">
        <v>4366</v>
      </c>
      <c r="AK271" t="s">
        <v>763</v>
      </c>
      <c r="AM271" t="s">
        <v>75</v>
      </c>
      <c r="AN271">
        <v>2244000</v>
      </c>
      <c r="AO271" s="9">
        <v>44880</v>
      </c>
    </row>
    <row r="272" spans="1:41" x14ac:dyDescent="0.25">
      <c r="A272">
        <v>271</v>
      </c>
      <c r="B272" t="s">
        <v>1305</v>
      </c>
      <c r="C272" t="s">
        <v>4367</v>
      </c>
      <c r="D272" t="s">
        <v>46</v>
      </c>
      <c r="E272" t="s">
        <v>47</v>
      </c>
      <c r="F272" t="s">
        <v>48</v>
      </c>
      <c r="G272" t="s">
        <v>4368</v>
      </c>
      <c r="H272" t="s">
        <v>4369</v>
      </c>
      <c r="I272" t="s">
        <v>4370</v>
      </c>
      <c r="J272">
        <v>2</v>
      </c>
      <c r="K272">
        <v>25.8</v>
      </c>
      <c r="L272" t="s">
        <v>4371</v>
      </c>
      <c r="M272" t="s">
        <v>4372</v>
      </c>
      <c r="N272" t="s">
        <v>4373</v>
      </c>
      <c r="O272" t="s">
        <v>4374</v>
      </c>
      <c r="P272" t="s">
        <v>4375</v>
      </c>
      <c r="Q272" t="s">
        <v>4375</v>
      </c>
      <c r="R272" t="s">
        <v>4376</v>
      </c>
      <c r="S272" t="s">
        <v>4377</v>
      </c>
      <c r="T272">
        <v>1294500</v>
      </c>
      <c r="U272">
        <v>2589000</v>
      </c>
      <c r="V272" t="s">
        <v>4378</v>
      </c>
      <c r="W272" t="s">
        <v>231</v>
      </c>
      <c r="X272" t="s">
        <v>4379</v>
      </c>
      <c r="Y272" t="s">
        <v>4380</v>
      </c>
      <c r="Z272" t="s">
        <v>64</v>
      </c>
      <c r="AA272" t="s">
        <v>65</v>
      </c>
      <c r="AB272" t="s">
        <v>4381</v>
      </c>
      <c r="AC272" t="s">
        <v>67</v>
      </c>
      <c r="AD272" t="s">
        <v>4382</v>
      </c>
      <c r="AE272" t="s">
        <v>4383</v>
      </c>
      <c r="AF272" t="s">
        <v>4384</v>
      </c>
      <c r="AG272" t="s">
        <v>4385</v>
      </c>
      <c r="AH272">
        <v>5</v>
      </c>
      <c r="AI272" t="s">
        <v>72</v>
      </c>
      <c r="AJ272" t="s">
        <v>4386</v>
      </c>
      <c r="AK272" t="s">
        <v>239</v>
      </c>
      <c r="AM272" t="s">
        <v>75</v>
      </c>
      <c r="AN272">
        <v>2071200</v>
      </c>
      <c r="AO272" s="9">
        <v>41424</v>
      </c>
    </row>
    <row r="273" spans="1:41" x14ac:dyDescent="0.25">
      <c r="A273">
        <v>272</v>
      </c>
      <c r="B273" t="s">
        <v>1305</v>
      </c>
      <c r="C273" t="s">
        <v>4387</v>
      </c>
      <c r="D273" t="s">
        <v>46</v>
      </c>
      <c r="E273" t="s">
        <v>47</v>
      </c>
      <c r="F273" t="s">
        <v>48</v>
      </c>
      <c r="G273" t="s">
        <v>2084</v>
      </c>
      <c r="H273" t="s">
        <v>4388</v>
      </c>
      <c r="I273" t="s">
        <v>4389</v>
      </c>
      <c r="J273">
        <v>2</v>
      </c>
      <c r="K273">
        <v>25.79</v>
      </c>
      <c r="L273" t="s">
        <v>4390</v>
      </c>
      <c r="M273" t="s">
        <v>4391</v>
      </c>
      <c r="N273" t="s">
        <v>83</v>
      </c>
      <c r="O273" t="s">
        <v>4392</v>
      </c>
      <c r="P273" t="s">
        <v>1016</v>
      </c>
      <c r="Q273" t="s">
        <v>4393</v>
      </c>
      <c r="R273" t="s">
        <v>1016</v>
      </c>
      <c r="S273" t="s">
        <v>4394</v>
      </c>
      <c r="T273">
        <v>1208830</v>
      </c>
      <c r="U273">
        <v>2467000</v>
      </c>
      <c r="V273" t="s">
        <v>4395</v>
      </c>
      <c r="W273" t="s">
        <v>231</v>
      </c>
      <c r="X273" t="s">
        <v>4396</v>
      </c>
      <c r="Y273" t="s">
        <v>4397</v>
      </c>
      <c r="Z273" t="s">
        <v>64</v>
      </c>
      <c r="AA273" t="s">
        <v>65</v>
      </c>
      <c r="AB273" t="s">
        <v>1503</v>
      </c>
      <c r="AC273" t="s">
        <v>67</v>
      </c>
      <c r="AD273" t="s">
        <v>1056</v>
      </c>
      <c r="AE273" t="s">
        <v>69</v>
      </c>
      <c r="AF273" t="s">
        <v>1007</v>
      </c>
      <c r="AG273" t="s">
        <v>4398</v>
      </c>
      <c r="AH273">
        <v>5</v>
      </c>
      <c r="AI273" t="s">
        <v>511</v>
      </c>
      <c r="AJ273" t="s">
        <v>4399</v>
      </c>
      <c r="AK273" t="s">
        <v>258</v>
      </c>
      <c r="AM273" t="s">
        <v>75</v>
      </c>
      <c r="AN273">
        <v>1973600</v>
      </c>
      <c r="AO273" s="9">
        <v>39472</v>
      </c>
    </row>
    <row r="274" spans="1:41" x14ac:dyDescent="0.25">
      <c r="A274">
        <v>273</v>
      </c>
      <c r="B274" t="s">
        <v>1305</v>
      </c>
      <c r="C274" t="s">
        <v>4400</v>
      </c>
      <c r="D274" t="s">
        <v>277</v>
      </c>
      <c r="E274" t="s">
        <v>47</v>
      </c>
      <c r="F274" t="s">
        <v>48</v>
      </c>
      <c r="G274" t="s">
        <v>1636</v>
      </c>
      <c r="H274" t="s">
        <v>4401</v>
      </c>
      <c r="I274" t="s">
        <v>4402</v>
      </c>
      <c r="J274">
        <v>1.75</v>
      </c>
      <c r="K274">
        <v>26.19</v>
      </c>
      <c r="L274" t="s">
        <v>4403</v>
      </c>
      <c r="M274" t="s">
        <v>2088</v>
      </c>
      <c r="N274" t="s">
        <v>83</v>
      </c>
      <c r="O274" t="s">
        <v>4404</v>
      </c>
      <c r="P274" t="s">
        <v>4405</v>
      </c>
      <c r="Q274" t="s">
        <v>4405</v>
      </c>
      <c r="R274" t="s">
        <v>167</v>
      </c>
      <c r="S274" t="s">
        <v>4406</v>
      </c>
      <c r="T274">
        <v>1330000</v>
      </c>
      <c r="U274">
        <v>3500000</v>
      </c>
      <c r="V274" t="s">
        <v>4407</v>
      </c>
      <c r="W274" t="s">
        <v>3626</v>
      </c>
      <c r="X274" t="s">
        <v>4408</v>
      </c>
      <c r="Y274" t="s">
        <v>4409</v>
      </c>
      <c r="Z274" t="s">
        <v>93</v>
      </c>
      <c r="AA274" t="s">
        <v>4410</v>
      </c>
      <c r="AB274" t="s">
        <v>378</v>
      </c>
      <c r="AC274" t="s">
        <v>662</v>
      </c>
      <c r="AD274" t="s">
        <v>693</v>
      </c>
      <c r="AE274" t="s">
        <v>453</v>
      </c>
      <c r="AF274" t="s">
        <v>1430</v>
      </c>
      <c r="AG274" t="s">
        <v>4411</v>
      </c>
      <c r="AH274">
        <v>3</v>
      </c>
      <c r="AI274" t="s">
        <v>72</v>
      </c>
      <c r="AJ274" t="s">
        <v>4412</v>
      </c>
      <c r="AK274" t="s">
        <v>756</v>
      </c>
      <c r="AM274" t="s">
        <v>102</v>
      </c>
      <c r="AN274">
        <v>2975000</v>
      </c>
      <c r="AO274" s="9">
        <v>52062.500000000007</v>
      </c>
    </row>
    <row r="275" spans="1:41" x14ac:dyDescent="0.25">
      <c r="A275">
        <v>274</v>
      </c>
      <c r="B275" t="s">
        <v>1305</v>
      </c>
      <c r="C275" t="s">
        <v>4413</v>
      </c>
      <c r="D275" t="s">
        <v>241</v>
      </c>
      <c r="E275" t="s">
        <v>47</v>
      </c>
      <c r="F275" t="s">
        <v>48</v>
      </c>
      <c r="G275" t="s">
        <v>2951</v>
      </c>
      <c r="H275" t="s">
        <v>4414</v>
      </c>
      <c r="I275" t="s">
        <v>4415</v>
      </c>
      <c r="J275">
        <v>2</v>
      </c>
      <c r="K275">
        <v>26.3</v>
      </c>
      <c r="L275" t="s">
        <v>4416</v>
      </c>
      <c r="M275" t="s">
        <v>4417</v>
      </c>
      <c r="N275" t="s">
        <v>265</v>
      </c>
      <c r="O275" t="s">
        <v>4418</v>
      </c>
      <c r="P275" t="s">
        <v>4419</v>
      </c>
      <c r="Q275" t="s">
        <v>65</v>
      </c>
      <c r="R275" t="s">
        <v>4420</v>
      </c>
      <c r="S275" t="s">
        <v>4421</v>
      </c>
      <c r="T275">
        <v>845470</v>
      </c>
      <c r="U275">
        <v>1433000</v>
      </c>
      <c r="V275" t="s">
        <v>4422</v>
      </c>
      <c r="W275" t="s">
        <v>231</v>
      </c>
      <c r="X275" t="s">
        <v>4423</v>
      </c>
      <c r="Y275" t="s">
        <v>4424</v>
      </c>
      <c r="Z275" t="s">
        <v>64</v>
      </c>
      <c r="AA275" t="s">
        <v>65</v>
      </c>
      <c r="AB275" t="s">
        <v>2499</v>
      </c>
      <c r="AC275" t="s">
        <v>67</v>
      </c>
      <c r="AD275" t="s">
        <v>2606</v>
      </c>
      <c r="AE275" t="s">
        <v>69</v>
      </c>
      <c r="AF275" t="s">
        <v>1319</v>
      </c>
      <c r="AG275" t="s">
        <v>4425</v>
      </c>
      <c r="AH275">
        <v>7</v>
      </c>
      <c r="AI275" t="s">
        <v>198</v>
      </c>
      <c r="AJ275" t="s">
        <v>4426</v>
      </c>
      <c r="AK275" t="s">
        <v>147</v>
      </c>
      <c r="AM275" t="s">
        <v>75</v>
      </c>
      <c r="AN275">
        <v>1146400</v>
      </c>
      <c r="AO275" s="9">
        <v>22928</v>
      </c>
    </row>
    <row r="276" spans="1:41" x14ac:dyDescent="0.25">
      <c r="A276">
        <v>275</v>
      </c>
      <c r="B276" t="s">
        <v>1305</v>
      </c>
      <c r="C276" t="s">
        <v>4427</v>
      </c>
      <c r="D276" t="s">
        <v>77</v>
      </c>
      <c r="E276" t="s">
        <v>47</v>
      </c>
      <c r="F276" t="s">
        <v>48</v>
      </c>
      <c r="G276" t="s">
        <v>516</v>
      </c>
      <c r="H276" t="s">
        <v>4428</v>
      </c>
      <c r="I276" t="s">
        <v>4429</v>
      </c>
      <c r="J276">
        <v>2.5</v>
      </c>
      <c r="K276">
        <v>27.7</v>
      </c>
      <c r="L276" t="s">
        <v>4430</v>
      </c>
      <c r="M276" t="s">
        <v>4431</v>
      </c>
      <c r="N276" t="s">
        <v>187</v>
      </c>
      <c r="O276" t="s">
        <v>4432</v>
      </c>
      <c r="P276" t="s">
        <v>4433</v>
      </c>
      <c r="Q276" t="s">
        <v>4433</v>
      </c>
      <c r="R276" t="s">
        <v>4433</v>
      </c>
      <c r="S276" t="s">
        <v>4434</v>
      </c>
      <c r="T276">
        <v>702000</v>
      </c>
      <c r="U276">
        <v>900000</v>
      </c>
      <c r="V276" t="s">
        <v>4435</v>
      </c>
      <c r="W276" t="s">
        <v>288</v>
      </c>
      <c r="X276" t="s">
        <v>4436</v>
      </c>
      <c r="Y276" t="s">
        <v>4437</v>
      </c>
      <c r="Z276" t="s">
        <v>93</v>
      </c>
      <c r="AA276" t="s">
        <v>4438</v>
      </c>
      <c r="AB276" t="s">
        <v>273</v>
      </c>
      <c r="AC276" t="s">
        <v>2425</v>
      </c>
      <c r="AD276" t="s">
        <v>2449</v>
      </c>
      <c r="AE276" t="s">
        <v>177</v>
      </c>
      <c r="AF276" t="s">
        <v>2533</v>
      </c>
      <c r="AG276" t="s">
        <v>4439</v>
      </c>
      <c r="AH276">
        <v>6</v>
      </c>
      <c r="AI276" t="s">
        <v>100</v>
      </c>
      <c r="AJ276" t="s">
        <v>4440</v>
      </c>
      <c r="AK276" t="s">
        <v>176</v>
      </c>
      <c r="AM276" t="s">
        <v>180</v>
      </c>
      <c r="AN276">
        <v>630000</v>
      </c>
      <c r="AO276" s="9">
        <v>15750</v>
      </c>
    </row>
    <row r="277" spans="1:41" hidden="1" x14ac:dyDescent="0.25">
      <c r="A277">
        <v>276</v>
      </c>
      <c r="B277" t="s">
        <v>1305</v>
      </c>
      <c r="C277" t="s">
        <v>4441</v>
      </c>
      <c r="D277" t="s">
        <v>277</v>
      </c>
      <c r="E277" t="s">
        <v>47</v>
      </c>
      <c r="F277" t="s">
        <v>48</v>
      </c>
      <c r="G277" t="s">
        <v>4442</v>
      </c>
      <c r="H277" t="s">
        <v>4443</v>
      </c>
      <c r="I277" t="s">
        <v>4444</v>
      </c>
      <c r="J277">
        <v>2.5</v>
      </c>
      <c r="K277">
        <v>25.2</v>
      </c>
      <c r="L277" t="s">
        <v>4445</v>
      </c>
      <c r="M277" t="s">
        <v>4446</v>
      </c>
      <c r="N277" t="s">
        <v>187</v>
      </c>
      <c r="O277" t="s">
        <v>4447</v>
      </c>
      <c r="P277" t="s">
        <v>1016</v>
      </c>
      <c r="Q277" t="s">
        <v>4448</v>
      </c>
      <c r="R277" t="s">
        <v>4449</v>
      </c>
      <c r="S277" t="s">
        <v>4450</v>
      </c>
      <c r="T277">
        <v>495200</v>
      </c>
      <c r="U277">
        <v>1238000</v>
      </c>
      <c r="V277" t="s">
        <v>4451</v>
      </c>
      <c r="W277" t="s">
        <v>4452</v>
      </c>
      <c r="X277" t="s">
        <v>4453</v>
      </c>
      <c r="Y277" t="s">
        <v>4454</v>
      </c>
      <c r="Z277" t="s">
        <v>64</v>
      </c>
      <c r="AA277" t="s">
        <v>4455</v>
      </c>
      <c r="AB277" t="s">
        <v>809</v>
      </c>
      <c r="AC277" t="s">
        <v>175</v>
      </c>
      <c r="AD277" t="s">
        <v>176</v>
      </c>
      <c r="AE277" t="s">
        <v>177</v>
      </c>
      <c r="AF277" t="s">
        <v>70</v>
      </c>
      <c r="AG277" t="s">
        <v>4456</v>
      </c>
      <c r="AH277">
        <v>5</v>
      </c>
      <c r="AI277" t="s">
        <v>100</v>
      </c>
      <c r="AJ277" t="s">
        <v>4457</v>
      </c>
      <c r="AK277" t="s">
        <v>2335</v>
      </c>
      <c r="AM277" t="s">
        <v>180</v>
      </c>
      <c r="AN277">
        <v>0</v>
      </c>
      <c r="AO277">
        <v>0</v>
      </c>
    </row>
    <row r="278" spans="1:41" x14ac:dyDescent="0.25">
      <c r="A278">
        <v>277</v>
      </c>
      <c r="B278" t="s">
        <v>1305</v>
      </c>
      <c r="C278" t="s">
        <v>4458</v>
      </c>
      <c r="D278" t="s">
        <v>277</v>
      </c>
      <c r="E278" t="s">
        <v>47</v>
      </c>
      <c r="F278" t="s">
        <v>48</v>
      </c>
      <c r="G278" t="s">
        <v>1947</v>
      </c>
      <c r="H278" t="s">
        <v>4459</v>
      </c>
      <c r="I278" t="s">
        <v>4460</v>
      </c>
      <c r="J278">
        <v>1.75</v>
      </c>
      <c r="K278">
        <v>26.7</v>
      </c>
      <c r="L278" t="s">
        <v>4461</v>
      </c>
      <c r="M278" t="s">
        <v>4462</v>
      </c>
      <c r="N278" t="s">
        <v>164</v>
      </c>
      <c r="O278" t="s">
        <v>4463</v>
      </c>
      <c r="P278" t="s">
        <v>4464</v>
      </c>
      <c r="Q278" t="s">
        <v>65</v>
      </c>
      <c r="R278" t="s">
        <v>4465</v>
      </c>
      <c r="S278" t="s">
        <v>4466</v>
      </c>
      <c r="T278">
        <v>2145000</v>
      </c>
      <c r="U278">
        <v>3300000</v>
      </c>
      <c r="V278" t="s">
        <v>4467</v>
      </c>
      <c r="W278" t="s">
        <v>4468</v>
      </c>
      <c r="X278" t="s">
        <v>4469</v>
      </c>
      <c r="Y278" t="s">
        <v>4470</v>
      </c>
      <c r="Z278" t="s">
        <v>93</v>
      </c>
      <c r="AA278" t="s">
        <v>4471</v>
      </c>
      <c r="AB278" t="s">
        <v>4472</v>
      </c>
      <c r="AC278" t="s">
        <v>67</v>
      </c>
      <c r="AD278" s="2">
        <v>45197</v>
      </c>
      <c r="AE278" t="s">
        <v>2516</v>
      </c>
      <c r="AF278" t="s">
        <v>1319</v>
      </c>
      <c r="AG278" t="s">
        <v>4473</v>
      </c>
      <c r="AH278">
        <v>5</v>
      </c>
      <c r="AI278" t="s">
        <v>237</v>
      </c>
      <c r="AJ278" t="s">
        <v>4474</v>
      </c>
      <c r="AK278" t="s">
        <v>3698</v>
      </c>
      <c r="AM278" t="s">
        <v>102</v>
      </c>
      <c r="AN278">
        <v>2970000</v>
      </c>
      <c r="AO278" s="9">
        <v>51975.000000000007</v>
      </c>
    </row>
    <row r="279" spans="1:41" x14ac:dyDescent="0.25">
      <c r="A279">
        <v>278</v>
      </c>
      <c r="B279" t="s">
        <v>1305</v>
      </c>
      <c r="C279" t="s">
        <v>4475</v>
      </c>
      <c r="D279" t="s">
        <v>277</v>
      </c>
      <c r="E279" t="s">
        <v>47</v>
      </c>
      <c r="F279" t="s">
        <v>48</v>
      </c>
      <c r="G279" t="s">
        <v>2658</v>
      </c>
      <c r="H279" t="s">
        <v>4476</v>
      </c>
      <c r="I279" t="s">
        <v>4477</v>
      </c>
      <c r="J279">
        <v>1.75</v>
      </c>
      <c r="K279">
        <v>26.19</v>
      </c>
      <c r="L279" t="s">
        <v>4478</v>
      </c>
      <c r="M279" t="s">
        <v>4479</v>
      </c>
      <c r="N279" t="s">
        <v>187</v>
      </c>
      <c r="O279" t="s">
        <v>4480</v>
      </c>
      <c r="P279" t="s">
        <v>4481</v>
      </c>
      <c r="Q279" t="s">
        <v>4481</v>
      </c>
      <c r="R279" t="s">
        <v>4481</v>
      </c>
      <c r="S279" t="s">
        <v>4482</v>
      </c>
      <c r="T279">
        <v>2862000</v>
      </c>
      <c r="U279">
        <v>5300000</v>
      </c>
      <c r="V279" t="s">
        <v>4483</v>
      </c>
      <c r="W279" t="s">
        <v>4484</v>
      </c>
      <c r="X279" t="s">
        <v>4485</v>
      </c>
      <c r="Y279" t="s">
        <v>4486</v>
      </c>
      <c r="Z279" t="s">
        <v>93</v>
      </c>
      <c r="AA279" t="s">
        <v>4487</v>
      </c>
      <c r="AB279" t="s">
        <v>873</v>
      </c>
      <c r="AC279" t="s">
        <v>96</v>
      </c>
      <c r="AD279" s="2">
        <v>45187</v>
      </c>
      <c r="AE279" t="s">
        <v>3275</v>
      </c>
      <c r="AF279" t="s">
        <v>974</v>
      </c>
      <c r="AG279" t="s">
        <v>4488</v>
      </c>
      <c r="AH279">
        <v>3</v>
      </c>
      <c r="AI279" t="s">
        <v>237</v>
      </c>
      <c r="AJ279" t="s">
        <v>4489</v>
      </c>
      <c r="AK279" t="s">
        <v>4490</v>
      </c>
      <c r="AM279" t="s">
        <v>102</v>
      </c>
      <c r="AN279">
        <v>4770000</v>
      </c>
      <c r="AO279" s="9">
        <v>83475.000000000015</v>
      </c>
    </row>
    <row r="280" spans="1:41" x14ac:dyDescent="0.25">
      <c r="A280">
        <v>279</v>
      </c>
      <c r="B280" t="s">
        <v>1305</v>
      </c>
      <c r="C280" t="s">
        <v>4491</v>
      </c>
      <c r="D280" t="s">
        <v>77</v>
      </c>
      <c r="E280" t="s">
        <v>47</v>
      </c>
      <c r="F280" t="s">
        <v>48</v>
      </c>
      <c r="G280" t="s">
        <v>4492</v>
      </c>
      <c r="H280" t="s">
        <v>4493</v>
      </c>
      <c r="I280" t="s">
        <v>4494</v>
      </c>
      <c r="J280">
        <v>1.5</v>
      </c>
      <c r="K280">
        <v>24.69</v>
      </c>
      <c r="L280" t="s">
        <v>4495</v>
      </c>
      <c r="M280" t="s">
        <v>4496</v>
      </c>
      <c r="N280" t="s">
        <v>54</v>
      </c>
      <c r="O280" t="s">
        <v>4497</v>
      </c>
      <c r="P280" t="s">
        <v>4498</v>
      </c>
      <c r="Q280" t="s">
        <v>4498</v>
      </c>
      <c r="R280" t="s">
        <v>4498</v>
      </c>
      <c r="S280" t="s">
        <v>4499</v>
      </c>
      <c r="T280">
        <v>1467500</v>
      </c>
      <c r="U280">
        <v>2935000</v>
      </c>
      <c r="V280" t="s">
        <v>4500</v>
      </c>
      <c r="W280" t="s">
        <v>4484</v>
      </c>
      <c r="X280" t="s">
        <v>4501</v>
      </c>
      <c r="Y280" t="s">
        <v>4502</v>
      </c>
      <c r="Z280" t="s">
        <v>64</v>
      </c>
      <c r="AA280" t="s">
        <v>65</v>
      </c>
      <c r="AB280" t="s">
        <v>4503</v>
      </c>
      <c r="AC280" t="s">
        <v>436</v>
      </c>
      <c r="AD280" s="2">
        <v>45184</v>
      </c>
      <c r="AE280" t="s">
        <v>3275</v>
      </c>
      <c r="AF280" t="s">
        <v>2638</v>
      </c>
      <c r="AG280" t="s">
        <v>4504</v>
      </c>
      <c r="AH280">
        <v>5</v>
      </c>
      <c r="AI280" t="s">
        <v>72</v>
      </c>
      <c r="AJ280" t="s">
        <v>4505</v>
      </c>
      <c r="AK280" t="s">
        <v>4506</v>
      </c>
      <c r="AM280" t="s">
        <v>157</v>
      </c>
      <c r="AN280">
        <v>2641500</v>
      </c>
      <c r="AO280" s="9">
        <v>39622.5</v>
      </c>
    </row>
    <row r="281" spans="1:41" x14ac:dyDescent="0.25">
      <c r="A281">
        <v>280</v>
      </c>
      <c r="B281" t="s">
        <v>1305</v>
      </c>
      <c r="C281" t="s">
        <v>4507</v>
      </c>
      <c r="D281" t="s">
        <v>77</v>
      </c>
      <c r="E281" t="s">
        <v>47</v>
      </c>
      <c r="F281" t="s">
        <v>48</v>
      </c>
      <c r="G281" t="s">
        <v>1947</v>
      </c>
      <c r="H281" t="s">
        <v>4508</v>
      </c>
      <c r="I281" t="s">
        <v>4509</v>
      </c>
      <c r="J281">
        <v>1.75</v>
      </c>
      <c r="K281">
        <v>25.45</v>
      </c>
      <c r="L281" t="s">
        <v>4510</v>
      </c>
      <c r="M281" t="s">
        <v>4511</v>
      </c>
      <c r="N281" t="s">
        <v>265</v>
      </c>
      <c r="O281" t="s">
        <v>4512</v>
      </c>
      <c r="P281" t="s">
        <v>4513</v>
      </c>
      <c r="Q281" t="s">
        <v>4513</v>
      </c>
      <c r="R281" t="s">
        <v>4514</v>
      </c>
      <c r="S281" t="s">
        <v>4515</v>
      </c>
      <c r="T281">
        <v>1057500</v>
      </c>
      <c r="U281">
        <v>2350000</v>
      </c>
      <c r="V281" t="s">
        <v>4516</v>
      </c>
      <c r="W281" t="s">
        <v>4468</v>
      </c>
      <c r="X281" t="s">
        <v>4517</v>
      </c>
      <c r="Y281" t="s">
        <v>4518</v>
      </c>
      <c r="Z281" t="s">
        <v>93</v>
      </c>
      <c r="AA281" t="s">
        <v>4519</v>
      </c>
      <c r="AB281" t="s">
        <v>2499</v>
      </c>
      <c r="AC281" t="s">
        <v>67</v>
      </c>
      <c r="AD281" s="2">
        <v>45197</v>
      </c>
      <c r="AE281" t="s">
        <v>2516</v>
      </c>
      <c r="AF281" t="s">
        <v>1319</v>
      </c>
      <c r="AG281" t="s">
        <v>4520</v>
      </c>
      <c r="AH281">
        <v>5</v>
      </c>
      <c r="AI281" t="s">
        <v>237</v>
      </c>
      <c r="AJ281" t="s">
        <v>4521</v>
      </c>
      <c r="AK281" t="s">
        <v>3698</v>
      </c>
      <c r="AM281" t="s">
        <v>102</v>
      </c>
      <c r="AN281">
        <v>2115000</v>
      </c>
      <c r="AO281" s="9">
        <v>37012.5</v>
      </c>
    </row>
    <row r="282" spans="1:41" x14ac:dyDescent="0.25">
      <c r="A282">
        <v>281</v>
      </c>
      <c r="B282" t="s">
        <v>1305</v>
      </c>
      <c r="C282" t="s">
        <v>4522</v>
      </c>
      <c r="D282" t="s">
        <v>46</v>
      </c>
      <c r="E282" t="s">
        <v>47</v>
      </c>
      <c r="F282" t="s">
        <v>48</v>
      </c>
      <c r="G282" t="s">
        <v>994</v>
      </c>
      <c r="H282" t="s">
        <v>4523</v>
      </c>
      <c r="I282" t="s">
        <v>4524</v>
      </c>
      <c r="J282">
        <v>2</v>
      </c>
      <c r="K282">
        <v>26.7</v>
      </c>
      <c r="L282" t="s">
        <v>4525</v>
      </c>
      <c r="M282" t="s">
        <v>4526</v>
      </c>
      <c r="N282" t="s">
        <v>187</v>
      </c>
      <c r="O282" t="s">
        <v>4527</v>
      </c>
      <c r="P282" t="s">
        <v>4528</v>
      </c>
      <c r="Q282" t="s">
        <v>4528</v>
      </c>
      <c r="R282" t="s">
        <v>4528</v>
      </c>
      <c r="S282" t="s">
        <v>4529</v>
      </c>
      <c r="T282">
        <v>1109500</v>
      </c>
      <c r="U282">
        <v>2219000</v>
      </c>
      <c r="V282" t="s">
        <v>4530</v>
      </c>
      <c r="W282" t="s">
        <v>4531</v>
      </c>
      <c r="X282" t="s">
        <v>4532</v>
      </c>
      <c r="Y282" t="s">
        <v>4533</v>
      </c>
      <c r="Z282" t="s">
        <v>64</v>
      </c>
      <c r="AA282" t="s">
        <v>65</v>
      </c>
      <c r="AB282" t="s">
        <v>1850</v>
      </c>
      <c r="AC282" t="s">
        <v>531</v>
      </c>
      <c r="AD282" t="s">
        <v>3905</v>
      </c>
      <c r="AE282" t="s">
        <v>98</v>
      </c>
      <c r="AF282" t="s">
        <v>2698</v>
      </c>
      <c r="AG282" t="s">
        <v>4534</v>
      </c>
      <c r="AH282">
        <v>5</v>
      </c>
      <c r="AI282" t="s">
        <v>100</v>
      </c>
      <c r="AJ282" t="s">
        <v>4535</v>
      </c>
      <c r="AK282" t="s">
        <v>307</v>
      </c>
      <c r="AM282" t="s">
        <v>75</v>
      </c>
      <c r="AN282">
        <v>1886150</v>
      </c>
      <c r="AO282" s="9">
        <v>37723</v>
      </c>
    </row>
    <row r="283" spans="1:41" x14ac:dyDescent="0.25">
      <c r="A283">
        <v>282</v>
      </c>
      <c r="B283" t="s">
        <v>1305</v>
      </c>
      <c r="C283" t="s">
        <v>4536</v>
      </c>
      <c r="D283" t="s">
        <v>241</v>
      </c>
      <c r="E283" t="s">
        <v>47</v>
      </c>
      <c r="F283" t="s">
        <v>48</v>
      </c>
      <c r="G283" t="s">
        <v>1401</v>
      </c>
      <c r="H283" t="s">
        <v>4537</v>
      </c>
      <c r="I283" t="s">
        <v>4538</v>
      </c>
      <c r="J283">
        <v>2</v>
      </c>
      <c r="K283">
        <v>26.3</v>
      </c>
      <c r="L283" t="s">
        <v>4539</v>
      </c>
      <c r="M283" t="s">
        <v>4540</v>
      </c>
      <c r="N283" t="s">
        <v>164</v>
      </c>
      <c r="O283" t="s">
        <v>4541</v>
      </c>
      <c r="P283" t="s">
        <v>4542</v>
      </c>
      <c r="Q283" t="s">
        <v>65</v>
      </c>
      <c r="R283" t="s">
        <v>4543</v>
      </c>
      <c r="S283" t="s">
        <v>4544</v>
      </c>
      <c r="T283">
        <v>2053100</v>
      </c>
      <c r="U283">
        <v>2933000</v>
      </c>
      <c r="V283" t="s">
        <v>4545</v>
      </c>
      <c r="W283" t="s">
        <v>307</v>
      </c>
      <c r="X283" t="s">
        <v>4546</v>
      </c>
      <c r="Y283" t="s">
        <v>4547</v>
      </c>
      <c r="Z283" t="s">
        <v>64</v>
      </c>
      <c r="AA283" t="s">
        <v>65</v>
      </c>
      <c r="AB283" t="s">
        <v>4548</v>
      </c>
      <c r="AC283" t="s">
        <v>67</v>
      </c>
      <c r="AD283" t="s">
        <v>697</v>
      </c>
      <c r="AE283" t="s">
        <v>69</v>
      </c>
      <c r="AF283" t="s">
        <v>1007</v>
      </c>
      <c r="AG283" t="s">
        <v>4549</v>
      </c>
      <c r="AH283">
        <v>5</v>
      </c>
      <c r="AI283" t="s">
        <v>237</v>
      </c>
      <c r="AJ283" t="s">
        <v>4550</v>
      </c>
      <c r="AK283" t="s">
        <v>239</v>
      </c>
      <c r="AM283" t="s">
        <v>75</v>
      </c>
      <c r="AN283">
        <v>2346400</v>
      </c>
      <c r="AO283" s="9">
        <v>46928</v>
      </c>
    </row>
    <row r="284" spans="1:41" x14ac:dyDescent="0.25">
      <c r="A284">
        <v>283</v>
      </c>
      <c r="B284" t="s">
        <v>1305</v>
      </c>
      <c r="C284" t="s">
        <v>4551</v>
      </c>
      <c r="D284" t="s">
        <v>46</v>
      </c>
      <c r="E284" t="s">
        <v>47</v>
      </c>
      <c r="F284" t="s">
        <v>48</v>
      </c>
      <c r="G284" t="s">
        <v>1544</v>
      </c>
      <c r="H284" t="s">
        <v>4552</v>
      </c>
      <c r="I284" t="s">
        <v>4553</v>
      </c>
      <c r="J284">
        <v>2</v>
      </c>
      <c r="K284">
        <v>25.85</v>
      </c>
      <c r="L284" t="s">
        <v>4554</v>
      </c>
      <c r="M284" t="s">
        <v>4555</v>
      </c>
      <c r="N284" t="s">
        <v>578</v>
      </c>
      <c r="O284" t="s">
        <v>4556</v>
      </c>
      <c r="P284" t="s">
        <v>4557</v>
      </c>
      <c r="Q284" t="s">
        <v>4557</v>
      </c>
      <c r="R284" t="s">
        <v>4557</v>
      </c>
      <c r="S284" t="s">
        <v>4558</v>
      </c>
      <c r="T284">
        <v>1832250</v>
      </c>
      <c r="U284">
        <v>2443000</v>
      </c>
      <c r="V284" t="s">
        <v>4559</v>
      </c>
      <c r="W284" t="s">
        <v>307</v>
      </c>
      <c r="X284" t="s">
        <v>4560</v>
      </c>
      <c r="Y284" t="s">
        <v>4561</v>
      </c>
      <c r="Z284" t="s">
        <v>64</v>
      </c>
      <c r="AA284" t="s">
        <v>65</v>
      </c>
      <c r="AB284" t="s">
        <v>2259</v>
      </c>
      <c r="AC284" t="s">
        <v>67</v>
      </c>
      <c r="AD284" t="s">
        <v>4562</v>
      </c>
      <c r="AE284" t="s">
        <v>69</v>
      </c>
      <c r="AF284" t="s">
        <v>1007</v>
      </c>
      <c r="AG284" t="s">
        <v>4563</v>
      </c>
      <c r="AH284">
        <v>5</v>
      </c>
      <c r="AI284" t="s">
        <v>198</v>
      </c>
      <c r="AJ284" t="s">
        <v>4564</v>
      </c>
      <c r="AK284" t="s">
        <v>399</v>
      </c>
      <c r="AM284" t="s">
        <v>75</v>
      </c>
      <c r="AN284">
        <v>1954400</v>
      </c>
      <c r="AO284" s="9">
        <v>39088</v>
      </c>
    </row>
    <row r="285" spans="1:41" x14ac:dyDescent="0.25">
      <c r="A285">
        <v>284</v>
      </c>
      <c r="B285" t="s">
        <v>1305</v>
      </c>
      <c r="C285" t="s">
        <v>4565</v>
      </c>
      <c r="D285" t="s">
        <v>1489</v>
      </c>
      <c r="E285" t="s">
        <v>47</v>
      </c>
      <c r="F285" t="s">
        <v>48</v>
      </c>
      <c r="G285" t="s">
        <v>1603</v>
      </c>
      <c r="H285" t="s">
        <v>4566</v>
      </c>
      <c r="I285" t="s">
        <v>4567</v>
      </c>
      <c r="J285">
        <v>1.5</v>
      </c>
      <c r="K285">
        <v>27.18</v>
      </c>
      <c r="L285" t="s">
        <v>4568</v>
      </c>
      <c r="M285" t="s">
        <v>4569</v>
      </c>
      <c r="N285" t="s">
        <v>265</v>
      </c>
      <c r="O285" t="s">
        <v>4570</v>
      </c>
      <c r="P285" t="s">
        <v>4571</v>
      </c>
      <c r="Q285" t="s">
        <v>65</v>
      </c>
      <c r="R285" t="s">
        <v>4572</v>
      </c>
      <c r="S285" t="s">
        <v>4573</v>
      </c>
      <c r="T285">
        <v>2116000</v>
      </c>
      <c r="U285">
        <v>2645000</v>
      </c>
      <c r="V285" t="s">
        <v>4574</v>
      </c>
      <c r="W285" t="s">
        <v>4575</v>
      </c>
      <c r="X285" t="s">
        <v>4576</v>
      </c>
      <c r="Y285" t="s">
        <v>4577</v>
      </c>
      <c r="Z285" t="s">
        <v>64</v>
      </c>
      <c r="AA285" t="s">
        <v>65</v>
      </c>
      <c r="AB285" t="s">
        <v>4578</v>
      </c>
      <c r="AC285" t="s">
        <v>151</v>
      </c>
      <c r="AD285" t="s">
        <v>1504</v>
      </c>
      <c r="AE285" t="s">
        <v>1539</v>
      </c>
      <c r="AF285" t="s">
        <v>1430</v>
      </c>
      <c r="AG285" t="s">
        <v>4579</v>
      </c>
      <c r="AH285">
        <v>5</v>
      </c>
      <c r="AI285" t="s">
        <v>237</v>
      </c>
      <c r="AJ285" t="s">
        <v>4580</v>
      </c>
      <c r="AK285" t="s">
        <v>2229</v>
      </c>
      <c r="AM285" t="s">
        <v>157</v>
      </c>
      <c r="AN285">
        <v>1983750</v>
      </c>
      <c r="AO285" s="9">
        <v>29756.25</v>
      </c>
    </row>
    <row r="286" spans="1:41" x14ac:dyDescent="0.25">
      <c r="A286">
        <v>285</v>
      </c>
      <c r="B286" t="s">
        <v>1305</v>
      </c>
      <c r="C286" t="s">
        <v>4581</v>
      </c>
      <c r="D286" t="s">
        <v>241</v>
      </c>
      <c r="E286" t="s">
        <v>47</v>
      </c>
      <c r="F286" t="s">
        <v>48</v>
      </c>
      <c r="G286" t="s">
        <v>4582</v>
      </c>
      <c r="H286" t="s">
        <v>4583</v>
      </c>
      <c r="I286" t="s">
        <v>4584</v>
      </c>
      <c r="J286">
        <v>2</v>
      </c>
      <c r="K286">
        <v>26.28</v>
      </c>
      <c r="L286" t="s">
        <v>4585</v>
      </c>
      <c r="M286" t="s">
        <v>4586</v>
      </c>
      <c r="N286" t="s">
        <v>901</v>
      </c>
      <c r="O286" t="s">
        <v>4587</v>
      </c>
      <c r="P286" t="s">
        <v>4588</v>
      </c>
      <c r="Q286" t="s">
        <v>4588</v>
      </c>
      <c r="R286" t="s">
        <v>167</v>
      </c>
      <c r="S286" t="s">
        <v>4589</v>
      </c>
      <c r="T286">
        <v>804300</v>
      </c>
      <c r="U286">
        <v>1149000</v>
      </c>
      <c r="V286" t="s">
        <v>4590</v>
      </c>
      <c r="W286" t="s">
        <v>756</v>
      </c>
      <c r="X286" t="s">
        <v>4591</v>
      </c>
      <c r="Y286" t="s">
        <v>4592</v>
      </c>
      <c r="Z286" t="s">
        <v>64</v>
      </c>
      <c r="AA286" t="s">
        <v>65</v>
      </c>
      <c r="AB286" t="s">
        <v>742</v>
      </c>
      <c r="AC286" t="s">
        <v>67</v>
      </c>
      <c r="AD286" t="s">
        <v>1006</v>
      </c>
      <c r="AE286" t="s">
        <v>604</v>
      </c>
      <c r="AF286" t="s">
        <v>974</v>
      </c>
      <c r="AG286" t="s">
        <v>4593</v>
      </c>
      <c r="AH286">
        <v>5</v>
      </c>
      <c r="AI286" t="s">
        <v>511</v>
      </c>
      <c r="AJ286" t="s">
        <v>4594</v>
      </c>
      <c r="AK286" t="s">
        <v>1097</v>
      </c>
      <c r="AM286" t="s">
        <v>75</v>
      </c>
      <c r="AN286">
        <v>919200</v>
      </c>
      <c r="AO286" s="9">
        <v>18384</v>
      </c>
    </row>
    <row r="287" spans="1:41" x14ac:dyDescent="0.25">
      <c r="A287">
        <v>286</v>
      </c>
      <c r="B287" t="s">
        <v>1305</v>
      </c>
      <c r="C287" t="s">
        <v>4595</v>
      </c>
      <c r="D287" t="s">
        <v>241</v>
      </c>
      <c r="E287" t="s">
        <v>47</v>
      </c>
      <c r="F287" t="s">
        <v>48</v>
      </c>
      <c r="G287" t="s">
        <v>182</v>
      </c>
      <c r="H287" t="s">
        <v>4596</v>
      </c>
      <c r="I287" t="s">
        <v>4597</v>
      </c>
      <c r="J287">
        <v>2</v>
      </c>
      <c r="K287">
        <v>25.79</v>
      </c>
      <c r="L287" t="s">
        <v>4598</v>
      </c>
      <c r="M287" t="s">
        <v>4599</v>
      </c>
      <c r="N287" t="s">
        <v>83</v>
      </c>
      <c r="O287" t="s">
        <v>4600</v>
      </c>
      <c r="P287" t="s">
        <v>65</v>
      </c>
      <c r="Q287" t="s">
        <v>4601</v>
      </c>
      <c r="R287" t="s">
        <v>65</v>
      </c>
      <c r="S287" t="s">
        <v>4602</v>
      </c>
      <c r="T287">
        <v>839200</v>
      </c>
      <c r="U287">
        <v>1049000</v>
      </c>
      <c r="V287" t="s">
        <v>4603</v>
      </c>
      <c r="W287" t="s">
        <v>756</v>
      </c>
      <c r="X287" t="s">
        <v>4604</v>
      </c>
      <c r="Y287" t="s">
        <v>4605</v>
      </c>
      <c r="Z287" t="s">
        <v>64</v>
      </c>
      <c r="AA287" t="s">
        <v>65</v>
      </c>
      <c r="AB287" t="s">
        <v>3847</v>
      </c>
      <c r="AC287" t="s">
        <v>67</v>
      </c>
      <c r="AD287" t="s">
        <v>4606</v>
      </c>
      <c r="AE287" t="s">
        <v>604</v>
      </c>
      <c r="AF287" t="s">
        <v>974</v>
      </c>
      <c r="AG287" t="s">
        <v>4607</v>
      </c>
      <c r="AH287">
        <v>5</v>
      </c>
      <c r="AI287" t="s">
        <v>237</v>
      </c>
      <c r="AJ287" t="s">
        <v>4608</v>
      </c>
      <c r="AK287" t="s">
        <v>781</v>
      </c>
      <c r="AM287" t="s">
        <v>75</v>
      </c>
      <c r="AN287">
        <v>839200</v>
      </c>
      <c r="AO287" s="9">
        <v>16784</v>
      </c>
    </row>
    <row r="288" spans="1:41" x14ac:dyDescent="0.25">
      <c r="A288">
        <v>287</v>
      </c>
      <c r="B288" t="s">
        <v>1305</v>
      </c>
      <c r="C288" t="s">
        <v>4609</v>
      </c>
      <c r="D288" t="s">
        <v>912</v>
      </c>
      <c r="E288" t="s">
        <v>47</v>
      </c>
      <c r="F288" t="s">
        <v>48</v>
      </c>
      <c r="G288" t="s">
        <v>4610</v>
      </c>
      <c r="H288" t="s">
        <v>4611</v>
      </c>
      <c r="I288" t="s">
        <v>4612</v>
      </c>
      <c r="J288">
        <v>2</v>
      </c>
      <c r="K288">
        <v>26.68</v>
      </c>
      <c r="L288" t="s">
        <v>4613</v>
      </c>
      <c r="M288" t="s">
        <v>4614</v>
      </c>
      <c r="N288" t="s">
        <v>54</v>
      </c>
      <c r="O288" t="s">
        <v>4615</v>
      </c>
      <c r="P288" t="s">
        <v>4616</v>
      </c>
      <c r="Q288" t="s">
        <v>4617</v>
      </c>
      <c r="R288" t="s">
        <v>4616</v>
      </c>
      <c r="S288" t="s">
        <v>4618</v>
      </c>
      <c r="T288">
        <v>1048500</v>
      </c>
      <c r="U288">
        <v>1398000</v>
      </c>
      <c r="V288" t="s">
        <v>4619</v>
      </c>
      <c r="W288" t="s">
        <v>781</v>
      </c>
      <c r="X288" t="s">
        <v>4620</v>
      </c>
      <c r="Y288" t="s">
        <v>4621</v>
      </c>
      <c r="Z288" t="s">
        <v>64</v>
      </c>
      <c r="AA288" t="s">
        <v>65</v>
      </c>
      <c r="AB288" t="s">
        <v>2212</v>
      </c>
      <c r="AC288" t="s">
        <v>151</v>
      </c>
      <c r="AD288" t="s">
        <v>4622</v>
      </c>
      <c r="AE288" t="s">
        <v>1539</v>
      </c>
      <c r="AF288" t="s">
        <v>1430</v>
      </c>
      <c r="AG288" t="s">
        <v>4623</v>
      </c>
      <c r="AH288">
        <v>5</v>
      </c>
      <c r="AI288" t="s">
        <v>100</v>
      </c>
      <c r="AJ288" t="s">
        <v>4624</v>
      </c>
      <c r="AK288" t="s">
        <v>3199</v>
      </c>
      <c r="AM288" t="s">
        <v>75</v>
      </c>
      <c r="AN288">
        <v>1048500</v>
      </c>
      <c r="AO288" s="9">
        <v>20970</v>
      </c>
    </row>
    <row r="289" spans="1:41" x14ac:dyDescent="0.25">
      <c r="A289">
        <v>288</v>
      </c>
      <c r="B289" t="s">
        <v>1305</v>
      </c>
      <c r="C289" t="s">
        <v>4625</v>
      </c>
      <c r="D289" t="s">
        <v>46</v>
      </c>
      <c r="E289" t="s">
        <v>47</v>
      </c>
      <c r="F289" t="s">
        <v>48</v>
      </c>
      <c r="G289" t="s">
        <v>182</v>
      </c>
      <c r="H289" t="s">
        <v>4626</v>
      </c>
      <c r="I289" t="s">
        <v>4627</v>
      </c>
      <c r="J289">
        <v>2</v>
      </c>
      <c r="K289">
        <v>25.79</v>
      </c>
      <c r="L289" t="s">
        <v>4628</v>
      </c>
      <c r="M289" t="s">
        <v>4629</v>
      </c>
      <c r="N289" t="s">
        <v>187</v>
      </c>
      <c r="O289" t="s">
        <v>4630</v>
      </c>
      <c r="P289" t="s">
        <v>4631</v>
      </c>
      <c r="Q289" t="s">
        <v>4632</v>
      </c>
      <c r="R289" t="s">
        <v>4631</v>
      </c>
      <c r="S289" t="s">
        <v>4633</v>
      </c>
      <c r="T289">
        <v>1143100</v>
      </c>
      <c r="U289">
        <v>1610000</v>
      </c>
      <c r="V289" t="s">
        <v>4634</v>
      </c>
      <c r="W289" t="s">
        <v>307</v>
      </c>
      <c r="X289" t="s">
        <v>4635</v>
      </c>
      <c r="Y289" t="s">
        <v>4636</v>
      </c>
      <c r="Z289" t="s">
        <v>64</v>
      </c>
      <c r="AA289" t="s">
        <v>65</v>
      </c>
      <c r="AB289" t="s">
        <v>2448</v>
      </c>
      <c r="AC289" t="s">
        <v>67</v>
      </c>
      <c r="AD289" t="s">
        <v>4637</v>
      </c>
      <c r="AE289" t="s">
        <v>69</v>
      </c>
      <c r="AF289" t="s">
        <v>1319</v>
      </c>
      <c r="AG289" t="s">
        <v>4638</v>
      </c>
      <c r="AH289">
        <v>7</v>
      </c>
      <c r="AI289" t="s">
        <v>237</v>
      </c>
      <c r="AJ289" t="s">
        <v>4639</v>
      </c>
      <c r="AK289" t="s">
        <v>399</v>
      </c>
      <c r="AM289" t="s">
        <v>75</v>
      </c>
      <c r="AN289">
        <v>1288000</v>
      </c>
      <c r="AO289" s="9">
        <v>25760</v>
      </c>
    </row>
    <row r="290" spans="1:41" x14ac:dyDescent="0.25">
      <c r="A290">
        <v>289</v>
      </c>
      <c r="B290" t="s">
        <v>1305</v>
      </c>
      <c r="C290" t="s">
        <v>4640</v>
      </c>
      <c r="D290" t="s">
        <v>46</v>
      </c>
      <c r="E290" t="s">
        <v>47</v>
      </c>
      <c r="F290" t="s">
        <v>48</v>
      </c>
      <c r="G290" t="s">
        <v>182</v>
      </c>
      <c r="H290" t="s">
        <v>4641</v>
      </c>
      <c r="I290" t="s">
        <v>4642</v>
      </c>
      <c r="J290">
        <v>2</v>
      </c>
      <c r="K290">
        <v>25.85</v>
      </c>
      <c r="L290" t="s">
        <v>4643</v>
      </c>
      <c r="M290" t="s">
        <v>4644</v>
      </c>
      <c r="N290" t="s">
        <v>187</v>
      </c>
      <c r="O290" t="s">
        <v>4645</v>
      </c>
      <c r="P290" t="s">
        <v>4646</v>
      </c>
      <c r="Q290" t="s">
        <v>4646</v>
      </c>
      <c r="R290" t="s">
        <v>4646</v>
      </c>
      <c r="S290" t="s">
        <v>4647</v>
      </c>
      <c r="T290">
        <v>1216800</v>
      </c>
      <c r="U290">
        <v>1521000</v>
      </c>
      <c r="V290" t="s">
        <v>4648</v>
      </c>
      <c r="W290" t="s">
        <v>307</v>
      </c>
      <c r="X290" t="s">
        <v>4649</v>
      </c>
      <c r="Y290" t="s">
        <v>4650</v>
      </c>
      <c r="Z290" t="s">
        <v>64</v>
      </c>
      <c r="AA290" t="s">
        <v>65</v>
      </c>
      <c r="AB290" t="s">
        <v>1696</v>
      </c>
      <c r="AC290" t="s">
        <v>67</v>
      </c>
      <c r="AD290" t="s">
        <v>4651</v>
      </c>
      <c r="AE290" t="s">
        <v>69</v>
      </c>
      <c r="AF290" t="s">
        <v>2533</v>
      </c>
      <c r="AG290" t="s">
        <v>4652</v>
      </c>
      <c r="AH290">
        <v>4</v>
      </c>
      <c r="AI290" t="s">
        <v>237</v>
      </c>
      <c r="AJ290" t="s">
        <v>4653</v>
      </c>
      <c r="AK290" t="s">
        <v>239</v>
      </c>
      <c r="AM290" t="s">
        <v>75</v>
      </c>
      <c r="AN290">
        <v>1216800</v>
      </c>
      <c r="AO290" s="9">
        <v>24336</v>
      </c>
    </row>
    <row r="291" spans="1:41" x14ac:dyDescent="0.25">
      <c r="A291">
        <v>290</v>
      </c>
      <c r="B291" t="s">
        <v>1305</v>
      </c>
      <c r="C291" t="s">
        <v>4654</v>
      </c>
      <c r="D291" t="s">
        <v>241</v>
      </c>
      <c r="E291" t="s">
        <v>47</v>
      </c>
      <c r="F291" t="s">
        <v>48</v>
      </c>
      <c r="G291" t="s">
        <v>182</v>
      </c>
      <c r="H291" t="s">
        <v>4655</v>
      </c>
      <c r="I291" t="s">
        <v>4656</v>
      </c>
      <c r="J291">
        <v>2</v>
      </c>
      <c r="K291">
        <v>26.29</v>
      </c>
      <c r="L291" t="s">
        <v>4657</v>
      </c>
      <c r="M291" t="s">
        <v>4658</v>
      </c>
      <c r="N291" t="s">
        <v>54</v>
      </c>
      <c r="O291" t="s">
        <v>4659</v>
      </c>
      <c r="P291" t="s">
        <v>4660</v>
      </c>
      <c r="Q291" t="s">
        <v>4661</v>
      </c>
      <c r="R291" t="s">
        <v>4660</v>
      </c>
      <c r="S291" t="s">
        <v>4662</v>
      </c>
      <c r="T291">
        <v>1241250</v>
      </c>
      <c r="U291">
        <v>1655000</v>
      </c>
      <c r="V291" t="s">
        <v>4663</v>
      </c>
      <c r="W291" t="s">
        <v>4664</v>
      </c>
      <c r="X291" t="s">
        <v>4665</v>
      </c>
      <c r="Y291" t="s">
        <v>4666</v>
      </c>
      <c r="Z291" t="s">
        <v>64</v>
      </c>
      <c r="AA291" t="s">
        <v>65</v>
      </c>
      <c r="AB291" t="s">
        <v>2870</v>
      </c>
      <c r="AC291" t="s">
        <v>67</v>
      </c>
      <c r="AD291" t="s">
        <v>4667</v>
      </c>
      <c r="AE291" t="s">
        <v>69</v>
      </c>
      <c r="AF291" t="s">
        <v>1007</v>
      </c>
      <c r="AG291" t="s">
        <v>4668</v>
      </c>
      <c r="AH291">
        <v>5</v>
      </c>
      <c r="AI291" t="s">
        <v>2502</v>
      </c>
      <c r="AJ291" t="s">
        <v>4669</v>
      </c>
      <c r="AK291" t="s">
        <v>763</v>
      </c>
      <c r="AM291" t="s">
        <v>75</v>
      </c>
      <c r="AN291">
        <v>1324000</v>
      </c>
      <c r="AO291" s="9">
        <v>26480</v>
      </c>
    </row>
    <row r="292" spans="1:41" x14ac:dyDescent="0.25">
      <c r="A292">
        <v>291</v>
      </c>
      <c r="B292" t="s">
        <v>1305</v>
      </c>
      <c r="C292" t="s">
        <v>4670</v>
      </c>
      <c r="D292" t="s">
        <v>277</v>
      </c>
      <c r="E292" t="s">
        <v>47</v>
      </c>
      <c r="F292" t="s">
        <v>48</v>
      </c>
      <c r="G292" t="s">
        <v>1603</v>
      </c>
      <c r="H292" t="s">
        <v>4671</v>
      </c>
      <c r="I292" t="s">
        <v>4672</v>
      </c>
      <c r="J292">
        <v>1.75</v>
      </c>
      <c r="K292">
        <v>26.19</v>
      </c>
      <c r="L292" t="s">
        <v>4673</v>
      </c>
      <c r="M292" t="s">
        <v>4674</v>
      </c>
      <c r="N292" t="s">
        <v>265</v>
      </c>
      <c r="O292" t="s">
        <v>4675</v>
      </c>
      <c r="P292" t="s">
        <v>65</v>
      </c>
      <c r="Q292" t="s">
        <v>4676</v>
      </c>
      <c r="R292" t="s">
        <v>65</v>
      </c>
      <c r="S292" t="s">
        <v>4677</v>
      </c>
      <c r="T292">
        <v>2883600</v>
      </c>
      <c r="U292">
        <v>6007500</v>
      </c>
      <c r="V292" t="s">
        <v>4678</v>
      </c>
      <c r="W292" t="s">
        <v>4679</v>
      </c>
      <c r="X292" t="s">
        <v>4680</v>
      </c>
      <c r="Y292" t="s">
        <v>4681</v>
      </c>
      <c r="Z292" t="s">
        <v>64</v>
      </c>
      <c r="AA292" t="s">
        <v>65</v>
      </c>
      <c r="AB292" t="s">
        <v>4682</v>
      </c>
      <c r="AC292" t="s">
        <v>436</v>
      </c>
      <c r="AD292" s="2">
        <v>45196</v>
      </c>
      <c r="AE292" t="s">
        <v>437</v>
      </c>
      <c r="AF292" t="s">
        <v>1354</v>
      </c>
      <c r="AG292" t="s">
        <v>4683</v>
      </c>
      <c r="AH292">
        <v>3</v>
      </c>
      <c r="AI292" t="s">
        <v>237</v>
      </c>
      <c r="AJ292" t="s">
        <v>4684</v>
      </c>
      <c r="AK292" t="s">
        <v>437</v>
      </c>
      <c r="AM292" t="s">
        <v>102</v>
      </c>
      <c r="AN292">
        <v>5406750</v>
      </c>
      <c r="AO292" s="9">
        <v>94618.125000000015</v>
      </c>
    </row>
    <row r="293" spans="1:41" x14ac:dyDescent="0.25">
      <c r="A293">
        <v>292</v>
      </c>
      <c r="B293" t="s">
        <v>1305</v>
      </c>
      <c r="C293" t="s">
        <v>4685</v>
      </c>
      <c r="D293" t="s">
        <v>46</v>
      </c>
      <c r="E293" t="s">
        <v>47</v>
      </c>
      <c r="F293" t="s">
        <v>48</v>
      </c>
      <c r="G293" t="s">
        <v>1778</v>
      </c>
      <c r="H293" t="s">
        <v>4686</v>
      </c>
      <c r="I293" t="s">
        <v>4687</v>
      </c>
      <c r="J293">
        <v>2</v>
      </c>
      <c r="K293">
        <v>25.68</v>
      </c>
      <c r="L293" t="s">
        <v>4688</v>
      </c>
      <c r="M293" t="s">
        <v>4689</v>
      </c>
      <c r="N293" t="s">
        <v>83</v>
      </c>
      <c r="O293" t="s">
        <v>4690</v>
      </c>
      <c r="P293" t="s">
        <v>4691</v>
      </c>
      <c r="Q293" t="s">
        <v>4691</v>
      </c>
      <c r="R293" t="s">
        <v>167</v>
      </c>
      <c r="S293" t="s">
        <v>4692</v>
      </c>
      <c r="T293">
        <v>1911750</v>
      </c>
      <c r="U293">
        <v>2549000</v>
      </c>
      <c r="V293" t="s">
        <v>4693</v>
      </c>
      <c r="W293" t="s">
        <v>756</v>
      </c>
      <c r="X293" t="s">
        <v>4694</v>
      </c>
      <c r="Y293" t="s">
        <v>4695</v>
      </c>
      <c r="Z293" t="s">
        <v>64</v>
      </c>
      <c r="AA293" t="s">
        <v>65</v>
      </c>
      <c r="AB293" t="s">
        <v>4381</v>
      </c>
      <c r="AC293" t="s">
        <v>67</v>
      </c>
      <c r="AD293" t="s">
        <v>68</v>
      </c>
      <c r="AE293" t="s">
        <v>604</v>
      </c>
      <c r="AF293" t="s">
        <v>974</v>
      </c>
      <c r="AG293" t="s">
        <v>4696</v>
      </c>
      <c r="AH293">
        <v>5</v>
      </c>
      <c r="AI293" t="s">
        <v>237</v>
      </c>
      <c r="AJ293" t="s">
        <v>4697</v>
      </c>
      <c r="AK293" t="s">
        <v>763</v>
      </c>
      <c r="AM293" t="s">
        <v>75</v>
      </c>
      <c r="AN293">
        <v>2039200</v>
      </c>
      <c r="AO293" s="9">
        <v>40784</v>
      </c>
    </row>
    <row r="294" spans="1:41" x14ac:dyDescent="0.25">
      <c r="A294">
        <v>293</v>
      </c>
      <c r="B294" t="s">
        <v>1305</v>
      </c>
      <c r="C294" t="s">
        <v>4698</v>
      </c>
      <c r="D294" t="s">
        <v>77</v>
      </c>
      <c r="E294" t="s">
        <v>47</v>
      </c>
      <c r="F294" t="s">
        <v>48</v>
      </c>
      <c r="G294" t="s">
        <v>3009</v>
      </c>
      <c r="H294" t="s">
        <v>4699</v>
      </c>
      <c r="I294" t="s">
        <v>4700</v>
      </c>
      <c r="J294">
        <v>1.75</v>
      </c>
      <c r="K294">
        <v>25.69</v>
      </c>
      <c r="L294" t="s">
        <v>4701</v>
      </c>
      <c r="M294" t="s">
        <v>4702</v>
      </c>
      <c r="N294" t="s">
        <v>187</v>
      </c>
      <c r="O294" t="s">
        <v>4703</v>
      </c>
      <c r="P294" t="s">
        <v>4704</v>
      </c>
      <c r="Q294" t="s">
        <v>4705</v>
      </c>
      <c r="R294" t="s">
        <v>4704</v>
      </c>
      <c r="S294" t="s">
        <v>4706</v>
      </c>
      <c r="T294">
        <v>2799860</v>
      </c>
      <c r="U294">
        <v>5714000</v>
      </c>
      <c r="V294" t="s">
        <v>4707</v>
      </c>
      <c r="W294" t="s">
        <v>440</v>
      </c>
      <c r="X294" t="s">
        <v>4708</v>
      </c>
      <c r="Y294" t="s">
        <v>4709</v>
      </c>
      <c r="Z294" t="s">
        <v>64</v>
      </c>
      <c r="AA294" t="s">
        <v>65</v>
      </c>
      <c r="AB294" t="s">
        <v>4710</v>
      </c>
      <c r="AC294" t="s">
        <v>531</v>
      </c>
      <c r="AD294" t="s">
        <v>231</v>
      </c>
      <c r="AE294" t="s">
        <v>231</v>
      </c>
      <c r="AF294" t="s">
        <v>2213</v>
      </c>
      <c r="AG294" t="s">
        <v>4711</v>
      </c>
      <c r="AH294">
        <v>3</v>
      </c>
      <c r="AI294" t="s">
        <v>100</v>
      </c>
      <c r="AJ294" t="s">
        <v>4712</v>
      </c>
      <c r="AK294" t="s">
        <v>307</v>
      </c>
      <c r="AM294" t="s">
        <v>102</v>
      </c>
      <c r="AN294">
        <v>4856900</v>
      </c>
      <c r="AO294" s="9">
        <v>84995.750000000015</v>
      </c>
    </row>
    <row r="295" spans="1:41" x14ac:dyDescent="0.25">
      <c r="A295">
        <v>294</v>
      </c>
      <c r="B295" t="s">
        <v>1305</v>
      </c>
      <c r="C295" t="s">
        <v>4713</v>
      </c>
      <c r="D295" t="s">
        <v>136</v>
      </c>
      <c r="E295" t="s">
        <v>47</v>
      </c>
      <c r="F295" t="s">
        <v>48</v>
      </c>
      <c r="G295" t="s">
        <v>2932</v>
      </c>
      <c r="H295" t="s">
        <v>4714</v>
      </c>
      <c r="I295" t="s">
        <v>4715</v>
      </c>
      <c r="J295">
        <v>1.5</v>
      </c>
      <c r="K295">
        <v>26.93</v>
      </c>
      <c r="L295" t="s">
        <v>4716</v>
      </c>
      <c r="M295" t="s">
        <v>4717</v>
      </c>
      <c r="N295" t="s">
        <v>187</v>
      </c>
      <c r="O295" t="s">
        <v>4718</v>
      </c>
      <c r="P295" t="s">
        <v>4719</v>
      </c>
      <c r="Q295" t="s">
        <v>4720</v>
      </c>
      <c r="R295" t="s">
        <v>4721</v>
      </c>
      <c r="S295" t="s">
        <v>4722</v>
      </c>
      <c r="T295">
        <v>3239400</v>
      </c>
      <c r="U295">
        <v>5399000</v>
      </c>
      <c r="V295" t="s">
        <v>146</v>
      </c>
      <c r="W295" t="s">
        <v>781</v>
      </c>
      <c r="X295" t="s">
        <v>4723</v>
      </c>
      <c r="Y295" t="s">
        <v>4724</v>
      </c>
      <c r="Z295" t="s">
        <v>64</v>
      </c>
      <c r="AA295" t="s">
        <v>65</v>
      </c>
      <c r="AB295" t="s">
        <v>116</v>
      </c>
      <c r="AC295" t="s">
        <v>151</v>
      </c>
      <c r="AD295" t="s">
        <v>4725</v>
      </c>
      <c r="AE295" t="s">
        <v>1539</v>
      </c>
      <c r="AF295" t="s">
        <v>1430</v>
      </c>
      <c r="AG295" t="s">
        <v>4726</v>
      </c>
      <c r="AH295">
        <v>5</v>
      </c>
      <c r="AI295" t="s">
        <v>65</v>
      </c>
      <c r="AJ295" t="s">
        <v>65</v>
      </c>
      <c r="AK295" t="s">
        <v>65</v>
      </c>
      <c r="AM295" t="s">
        <v>157</v>
      </c>
      <c r="AN295">
        <v>4049250</v>
      </c>
      <c r="AO295" s="9">
        <v>60738.75</v>
      </c>
    </row>
    <row r="296" spans="1:41" x14ac:dyDescent="0.25">
      <c r="A296">
        <v>295</v>
      </c>
      <c r="B296" t="s">
        <v>1305</v>
      </c>
      <c r="C296" t="s">
        <v>4727</v>
      </c>
      <c r="D296" t="s">
        <v>77</v>
      </c>
      <c r="E296" t="s">
        <v>47</v>
      </c>
      <c r="F296" t="s">
        <v>48</v>
      </c>
      <c r="G296" t="s">
        <v>2144</v>
      </c>
      <c r="H296" t="s">
        <v>4728</v>
      </c>
      <c r="I296" t="s">
        <v>4729</v>
      </c>
      <c r="J296">
        <v>2.5</v>
      </c>
      <c r="K296">
        <v>25.19</v>
      </c>
      <c r="L296" t="s">
        <v>4730</v>
      </c>
      <c r="M296" t="s">
        <v>4731</v>
      </c>
      <c r="N296" t="s">
        <v>187</v>
      </c>
      <c r="O296" t="s">
        <v>4732</v>
      </c>
      <c r="P296" t="s">
        <v>4733</v>
      </c>
      <c r="Q296" t="s">
        <v>4734</v>
      </c>
      <c r="R296" t="s">
        <v>4735</v>
      </c>
      <c r="S296" t="s">
        <v>4736</v>
      </c>
      <c r="T296">
        <v>1170000</v>
      </c>
      <c r="U296">
        <v>1625000</v>
      </c>
      <c r="V296" t="s">
        <v>4737</v>
      </c>
      <c r="W296" t="s">
        <v>4738</v>
      </c>
      <c r="X296" t="s">
        <v>4739</v>
      </c>
      <c r="Y296" t="s">
        <v>4740</v>
      </c>
      <c r="Z296" t="s">
        <v>64</v>
      </c>
      <c r="AA296" t="s">
        <v>4741</v>
      </c>
      <c r="AB296" t="s">
        <v>1746</v>
      </c>
      <c r="AC296" t="s">
        <v>175</v>
      </c>
      <c r="AD296" t="s">
        <v>2335</v>
      </c>
      <c r="AE296" t="s">
        <v>2335</v>
      </c>
      <c r="AF296" t="s">
        <v>1354</v>
      </c>
      <c r="AG296" t="s">
        <v>4742</v>
      </c>
      <c r="AH296">
        <v>7</v>
      </c>
      <c r="AI296" t="s">
        <v>100</v>
      </c>
      <c r="AJ296" t="s">
        <v>4743</v>
      </c>
      <c r="AK296" t="s">
        <v>4744</v>
      </c>
      <c r="AM296" t="s">
        <v>180</v>
      </c>
      <c r="AN296">
        <v>1137500</v>
      </c>
      <c r="AO296" s="9">
        <v>28437.5</v>
      </c>
    </row>
    <row r="297" spans="1:41" x14ac:dyDescent="0.25">
      <c r="A297">
        <v>296</v>
      </c>
      <c r="B297" t="s">
        <v>1305</v>
      </c>
      <c r="C297" t="s">
        <v>4745</v>
      </c>
      <c r="D297" t="s">
        <v>46</v>
      </c>
      <c r="E297" t="s">
        <v>47</v>
      </c>
      <c r="F297" t="s">
        <v>48</v>
      </c>
      <c r="G297" t="s">
        <v>182</v>
      </c>
      <c r="H297" t="s">
        <v>4746</v>
      </c>
      <c r="I297" t="s">
        <v>4747</v>
      </c>
      <c r="J297">
        <v>2</v>
      </c>
      <c r="K297">
        <v>26.69</v>
      </c>
      <c r="L297" t="s">
        <v>4748</v>
      </c>
      <c r="M297" t="s">
        <v>4749</v>
      </c>
      <c r="N297" t="s">
        <v>265</v>
      </c>
      <c r="O297" t="s">
        <v>4750</v>
      </c>
      <c r="P297" t="s">
        <v>4751</v>
      </c>
      <c r="Q297" t="s">
        <v>65</v>
      </c>
      <c r="R297" t="s">
        <v>167</v>
      </c>
      <c r="S297" t="s">
        <v>4752</v>
      </c>
      <c r="T297">
        <v>1236800</v>
      </c>
      <c r="U297">
        <v>1546000</v>
      </c>
      <c r="V297" t="s">
        <v>4753</v>
      </c>
      <c r="W297" t="s">
        <v>4506</v>
      </c>
      <c r="X297" t="s">
        <v>4754</v>
      </c>
      <c r="Y297" t="s">
        <v>4755</v>
      </c>
      <c r="Z297" t="s">
        <v>64</v>
      </c>
      <c r="AA297" t="s">
        <v>65</v>
      </c>
      <c r="AB297" t="s">
        <v>2369</v>
      </c>
      <c r="AC297" t="s">
        <v>531</v>
      </c>
      <c r="AD297" t="s">
        <v>4756</v>
      </c>
      <c r="AE297" t="s">
        <v>453</v>
      </c>
      <c r="AF297" t="s">
        <v>2370</v>
      </c>
      <c r="AG297" t="s">
        <v>4757</v>
      </c>
      <c r="AH297">
        <v>5</v>
      </c>
      <c r="AI297" t="s">
        <v>198</v>
      </c>
      <c r="AJ297" t="s">
        <v>4758</v>
      </c>
      <c r="AK297" t="s">
        <v>693</v>
      </c>
      <c r="AM297" t="s">
        <v>75</v>
      </c>
      <c r="AN297">
        <v>1314100</v>
      </c>
      <c r="AO297" s="9">
        <v>26282</v>
      </c>
    </row>
    <row r="298" spans="1:41" x14ac:dyDescent="0.25">
      <c r="A298">
        <v>297</v>
      </c>
      <c r="B298" t="s">
        <v>1305</v>
      </c>
      <c r="C298" t="s">
        <v>4759</v>
      </c>
      <c r="D298" t="s">
        <v>77</v>
      </c>
      <c r="E298" t="s">
        <v>47</v>
      </c>
      <c r="F298" t="s">
        <v>48</v>
      </c>
      <c r="G298" t="s">
        <v>2951</v>
      </c>
      <c r="H298" t="s">
        <v>4760</v>
      </c>
      <c r="I298" t="s">
        <v>4761</v>
      </c>
      <c r="J298">
        <v>2.5</v>
      </c>
      <c r="K298">
        <v>25.19</v>
      </c>
      <c r="L298" t="s">
        <v>4762</v>
      </c>
      <c r="M298" t="s">
        <v>4763</v>
      </c>
      <c r="N298" t="s">
        <v>265</v>
      </c>
      <c r="O298" t="s">
        <v>4764</v>
      </c>
      <c r="P298" t="s">
        <v>1016</v>
      </c>
      <c r="Q298" t="s">
        <v>4765</v>
      </c>
      <c r="R298" t="s">
        <v>1016</v>
      </c>
      <c r="S298" t="s">
        <v>4766</v>
      </c>
      <c r="T298">
        <v>787500</v>
      </c>
      <c r="U298">
        <v>1050000</v>
      </c>
      <c r="V298" t="s">
        <v>4767</v>
      </c>
      <c r="W298" t="s">
        <v>4738</v>
      </c>
      <c r="X298" t="s">
        <v>4768</v>
      </c>
      <c r="Y298" t="s">
        <v>4769</v>
      </c>
      <c r="Z298" t="s">
        <v>64</v>
      </c>
      <c r="AA298" t="s">
        <v>4770</v>
      </c>
      <c r="AB298" t="s">
        <v>4771</v>
      </c>
      <c r="AC298" t="s">
        <v>175</v>
      </c>
      <c r="AD298" t="s">
        <v>2335</v>
      </c>
      <c r="AE298" t="s">
        <v>2335</v>
      </c>
      <c r="AF298" t="s">
        <v>2213</v>
      </c>
      <c r="AG298" t="s">
        <v>4772</v>
      </c>
      <c r="AH298">
        <v>6</v>
      </c>
      <c r="AI298" t="s">
        <v>100</v>
      </c>
      <c r="AJ298" t="s">
        <v>4773</v>
      </c>
      <c r="AK298" t="s">
        <v>4744</v>
      </c>
      <c r="AM298" t="s">
        <v>180</v>
      </c>
      <c r="AN298">
        <v>735000</v>
      </c>
      <c r="AO298" s="9">
        <v>18375</v>
      </c>
    </row>
    <row r="299" spans="1:41" x14ac:dyDescent="0.25">
      <c r="A299">
        <v>298</v>
      </c>
      <c r="B299" t="s">
        <v>1305</v>
      </c>
      <c r="C299" t="s">
        <v>4774</v>
      </c>
      <c r="D299" t="s">
        <v>46</v>
      </c>
      <c r="E299" t="s">
        <v>47</v>
      </c>
      <c r="F299" t="s">
        <v>48</v>
      </c>
      <c r="G299" t="s">
        <v>182</v>
      </c>
      <c r="H299" t="s">
        <v>4775</v>
      </c>
      <c r="I299" t="s">
        <v>4776</v>
      </c>
      <c r="J299">
        <v>2</v>
      </c>
      <c r="K299">
        <v>26.18</v>
      </c>
      <c r="L299" t="s">
        <v>4777</v>
      </c>
      <c r="M299" t="s">
        <v>4778</v>
      </c>
      <c r="N299" t="s">
        <v>265</v>
      </c>
      <c r="O299" t="s">
        <v>4779</v>
      </c>
      <c r="P299" t="s">
        <v>4780</v>
      </c>
      <c r="Q299" t="s">
        <v>65</v>
      </c>
      <c r="R299" t="s">
        <v>167</v>
      </c>
      <c r="S299" t="s">
        <v>4781</v>
      </c>
      <c r="T299">
        <v>1281800</v>
      </c>
      <c r="U299">
        <v>1508000</v>
      </c>
      <c r="V299" t="s">
        <v>4782</v>
      </c>
      <c r="W299" t="s">
        <v>4506</v>
      </c>
      <c r="X299" t="s">
        <v>4783</v>
      </c>
      <c r="Y299" t="s">
        <v>4784</v>
      </c>
      <c r="Z299" t="s">
        <v>64</v>
      </c>
      <c r="AA299" t="s">
        <v>65</v>
      </c>
      <c r="AB299" t="s">
        <v>777</v>
      </c>
      <c r="AC299" t="s">
        <v>531</v>
      </c>
      <c r="AD299" t="s">
        <v>4785</v>
      </c>
      <c r="AE299" t="s">
        <v>453</v>
      </c>
      <c r="AF299" t="s">
        <v>2370</v>
      </c>
      <c r="AG299" t="s">
        <v>4786</v>
      </c>
      <c r="AH299">
        <v>5</v>
      </c>
      <c r="AI299" t="s">
        <v>100</v>
      </c>
      <c r="AJ299" t="s">
        <v>4787</v>
      </c>
      <c r="AK299" t="s">
        <v>677</v>
      </c>
      <c r="AM299" t="s">
        <v>75</v>
      </c>
      <c r="AN299">
        <v>1281800</v>
      </c>
      <c r="AO299" s="9">
        <v>25636</v>
      </c>
    </row>
    <row r="300" spans="1:41" hidden="1" x14ac:dyDescent="0.25">
      <c r="A300">
        <v>299</v>
      </c>
      <c r="B300" t="s">
        <v>1305</v>
      </c>
      <c r="C300" t="s">
        <v>4788</v>
      </c>
      <c r="D300" t="s">
        <v>77</v>
      </c>
      <c r="E300" t="s">
        <v>47</v>
      </c>
      <c r="F300" t="s">
        <v>48</v>
      </c>
      <c r="G300" t="s">
        <v>4789</v>
      </c>
      <c r="H300" t="s">
        <v>4790</v>
      </c>
      <c r="I300" t="s">
        <v>4791</v>
      </c>
      <c r="J300">
        <v>3.2</v>
      </c>
      <c r="K300">
        <v>25.53</v>
      </c>
      <c r="L300" t="s">
        <v>4792</v>
      </c>
      <c r="M300" t="s">
        <v>4793</v>
      </c>
      <c r="N300" t="s">
        <v>769</v>
      </c>
      <c r="O300" t="s">
        <v>4794</v>
      </c>
      <c r="P300" t="s">
        <v>4795</v>
      </c>
      <c r="Q300" t="s">
        <v>4795</v>
      </c>
      <c r="R300" t="s">
        <v>4796</v>
      </c>
      <c r="S300" t="s">
        <v>4797</v>
      </c>
      <c r="T300">
        <v>1112800</v>
      </c>
      <c r="U300">
        <v>1391000</v>
      </c>
      <c r="V300" t="s">
        <v>4798</v>
      </c>
      <c r="W300" t="s">
        <v>4799</v>
      </c>
      <c r="X300" t="s">
        <v>4800</v>
      </c>
      <c r="Y300" t="s">
        <v>4801</v>
      </c>
      <c r="Z300" t="s">
        <v>64</v>
      </c>
      <c r="AA300" t="s">
        <v>4802</v>
      </c>
      <c r="AB300" t="s">
        <v>3214</v>
      </c>
      <c r="AC300" t="s">
        <v>662</v>
      </c>
      <c r="AD300" t="s">
        <v>509</v>
      </c>
      <c r="AE300" t="s">
        <v>509</v>
      </c>
      <c r="AF300" t="s">
        <v>400</v>
      </c>
      <c r="AG300" t="s">
        <v>4803</v>
      </c>
      <c r="AH300">
        <v>7</v>
      </c>
      <c r="AI300" t="s">
        <v>4804</v>
      </c>
      <c r="AJ300" t="s">
        <v>4805</v>
      </c>
      <c r="AK300" t="s">
        <v>4806</v>
      </c>
      <c r="AM300" t="s">
        <v>514</v>
      </c>
      <c r="AN300">
        <v>0</v>
      </c>
      <c r="AO300">
        <v>0</v>
      </c>
    </row>
    <row r="301" spans="1:41" x14ac:dyDescent="0.25">
      <c r="A301">
        <v>300</v>
      </c>
      <c r="B301" t="s">
        <v>1305</v>
      </c>
      <c r="C301" t="s">
        <v>4807</v>
      </c>
      <c r="D301" t="s">
        <v>912</v>
      </c>
      <c r="E301" t="s">
        <v>47</v>
      </c>
      <c r="F301" t="s">
        <v>48</v>
      </c>
      <c r="G301" t="s">
        <v>2918</v>
      </c>
      <c r="H301" t="s">
        <v>4808</v>
      </c>
      <c r="I301" t="s">
        <v>4809</v>
      </c>
      <c r="J301">
        <v>1.5</v>
      </c>
      <c r="K301">
        <v>26.93</v>
      </c>
      <c r="L301" t="s">
        <v>4810</v>
      </c>
      <c r="M301" t="s">
        <v>4811</v>
      </c>
      <c r="N301" t="s">
        <v>187</v>
      </c>
      <c r="O301" t="s">
        <v>4812</v>
      </c>
      <c r="P301" t="s">
        <v>65</v>
      </c>
      <c r="Q301" t="s">
        <v>4813</v>
      </c>
      <c r="R301" t="s">
        <v>65</v>
      </c>
      <c r="S301" t="s">
        <v>4814</v>
      </c>
      <c r="T301">
        <v>3801000</v>
      </c>
      <c r="U301">
        <v>5430000</v>
      </c>
      <c r="V301" t="s">
        <v>4815</v>
      </c>
      <c r="W301" t="s">
        <v>258</v>
      </c>
      <c r="X301" t="s">
        <v>4816</v>
      </c>
      <c r="Y301" t="s">
        <v>4817</v>
      </c>
      <c r="Z301" t="s">
        <v>64</v>
      </c>
      <c r="AA301" t="s">
        <v>65</v>
      </c>
      <c r="AB301" t="s">
        <v>116</v>
      </c>
      <c r="AC301" t="s">
        <v>151</v>
      </c>
      <c r="AD301" t="s">
        <v>4323</v>
      </c>
      <c r="AE301" t="s">
        <v>288</v>
      </c>
      <c r="AF301" t="s">
        <v>2213</v>
      </c>
      <c r="AG301" t="s">
        <v>4818</v>
      </c>
      <c r="AH301">
        <v>5</v>
      </c>
      <c r="AI301" t="s">
        <v>65</v>
      </c>
      <c r="AJ301" t="s">
        <v>65</v>
      </c>
      <c r="AK301" t="s">
        <v>65</v>
      </c>
      <c r="AM301" t="s">
        <v>157</v>
      </c>
      <c r="AN301">
        <v>4072500</v>
      </c>
      <c r="AO301" s="9">
        <v>61087.5</v>
      </c>
    </row>
    <row r="302" spans="1:41" x14ac:dyDescent="0.25">
      <c r="A302">
        <v>301</v>
      </c>
      <c r="B302" t="s">
        <v>1305</v>
      </c>
      <c r="C302" t="s">
        <v>4819</v>
      </c>
      <c r="D302" t="s">
        <v>136</v>
      </c>
      <c r="E302" t="s">
        <v>47</v>
      </c>
      <c r="F302" t="s">
        <v>48</v>
      </c>
      <c r="G302" t="s">
        <v>242</v>
      </c>
      <c r="H302" t="s">
        <v>4820</v>
      </c>
      <c r="I302" t="s">
        <v>4821</v>
      </c>
      <c r="J302">
        <v>2.5</v>
      </c>
      <c r="K302">
        <v>26.78</v>
      </c>
      <c r="L302" t="s">
        <v>4822</v>
      </c>
      <c r="M302" t="s">
        <v>688</v>
      </c>
      <c r="N302" t="s">
        <v>83</v>
      </c>
      <c r="O302" t="s">
        <v>4823</v>
      </c>
      <c r="P302" t="s">
        <v>4824</v>
      </c>
      <c r="Q302" t="s">
        <v>4825</v>
      </c>
      <c r="R302" t="s">
        <v>4826</v>
      </c>
      <c r="S302" t="s">
        <v>4827</v>
      </c>
      <c r="T302">
        <v>2652000</v>
      </c>
      <c r="U302">
        <v>3315000</v>
      </c>
      <c r="V302" t="s">
        <v>146</v>
      </c>
      <c r="W302" t="s">
        <v>258</v>
      </c>
      <c r="X302" t="s">
        <v>4828</v>
      </c>
      <c r="Y302" t="s">
        <v>4829</v>
      </c>
      <c r="Z302" t="s">
        <v>64</v>
      </c>
      <c r="AA302" t="s">
        <v>65</v>
      </c>
      <c r="AB302" t="s">
        <v>1110</v>
      </c>
      <c r="AC302" t="s">
        <v>151</v>
      </c>
      <c r="AD302" t="s">
        <v>2946</v>
      </c>
      <c r="AE302" t="s">
        <v>153</v>
      </c>
      <c r="AF302" t="s">
        <v>2533</v>
      </c>
      <c r="AG302" t="s">
        <v>4830</v>
      </c>
      <c r="AH302">
        <v>5</v>
      </c>
      <c r="AI302" t="s">
        <v>100</v>
      </c>
      <c r="AJ302" t="s">
        <v>4831</v>
      </c>
      <c r="AK302" t="s">
        <v>4832</v>
      </c>
      <c r="AM302" t="s">
        <v>180</v>
      </c>
      <c r="AN302">
        <v>2486250</v>
      </c>
      <c r="AO302" s="9">
        <v>62156.25</v>
      </c>
    </row>
    <row r="303" spans="1:41" x14ac:dyDescent="0.25">
      <c r="A303">
        <v>302</v>
      </c>
      <c r="B303" t="s">
        <v>1305</v>
      </c>
      <c r="C303" t="s">
        <v>4833</v>
      </c>
      <c r="D303" t="s">
        <v>1238</v>
      </c>
      <c r="E303" t="s">
        <v>47</v>
      </c>
      <c r="F303" t="s">
        <v>48</v>
      </c>
      <c r="G303" t="s">
        <v>1221</v>
      </c>
      <c r="H303" t="s">
        <v>4834</v>
      </c>
      <c r="I303" t="s">
        <v>4835</v>
      </c>
      <c r="J303">
        <v>2</v>
      </c>
      <c r="K303">
        <v>27.43</v>
      </c>
      <c r="L303" t="s">
        <v>4836</v>
      </c>
      <c r="M303" t="s">
        <v>4837</v>
      </c>
      <c r="N303" t="s">
        <v>83</v>
      </c>
      <c r="O303" t="s">
        <v>4838</v>
      </c>
      <c r="P303" t="s">
        <v>4839</v>
      </c>
      <c r="Q303" t="s">
        <v>4839</v>
      </c>
      <c r="R303" t="s">
        <v>4840</v>
      </c>
      <c r="S303" t="s">
        <v>4841</v>
      </c>
      <c r="T303">
        <v>2204300</v>
      </c>
      <c r="U303">
        <v>3149000</v>
      </c>
      <c r="V303" t="s">
        <v>146</v>
      </c>
      <c r="W303" t="s">
        <v>258</v>
      </c>
      <c r="X303" t="s">
        <v>4842</v>
      </c>
      <c r="Y303" t="s">
        <v>4843</v>
      </c>
      <c r="Z303" t="s">
        <v>93</v>
      </c>
      <c r="AA303" t="s">
        <v>65</v>
      </c>
      <c r="AB303" t="s">
        <v>1110</v>
      </c>
      <c r="AC303" t="s">
        <v>151</v>
      </c>
      <c r="AD303" t="s">
        <v>4323</v>
      </c>
      <c r="AE303" t="s">
        <v>288</v>
      </c>
      <c r="AF303" t="s">
        <v>2213</v>
      </c>
      <c r="AG303" t="s">
        <v>4844</v>
      </c>
      <c r="AH303">
        <v>5</v>
      </c>
      <c r="AI303" t="s">
        <v>237</v>
      </c>
      <c r="AJ303" t="s">
        <v>4845</v>
      </c>
      <c r="AK303" t="s">
        <v>4323</v>
      </c>
      <c r="AM303" t="s">
        <v>75</v>
      </c>
      <c r="AN303">
        <v>2361750</v>
      </c>
      <c r="AO303" s="9">
        <v>47235</v>
      </c>
    </row>
    <row r="304" spans="1:41" x14ac:dyDescent="0.25">
      <c r="A304">
        <v>303</v>
      </c>
      <c r="B304" t="s">
        <v>1305</v>
      </c>
      <c r="C304" t="s">
        <v>4846</v>
      </c>
      <c r="D304" t="s">
        <v>46</v>
      </c>
      <c r="E304" t="s">
        <v>47</v>
      </c>
      <c r="F304" t="s">
        <v>48</v>
      </c>
      <c r="G304" t="s">
        <v>4847</v>
      </c>
      <c r="H304" t="s">
        <v>4848</v>
      </c>
      <c r="I304" t="s">
        <v>4849</v>
      </c>
      <c r="J304">
        <v>2.5</v>
      </c>
      <c r="K304">
        <v>24.69</v>
      </c>
      <c r="L304" t="s">
        <v>4850</v>
      </c>
      <c r="M304" t="s">
        <v>4851</v>
      </c>
      <c r="N304" t="s">
        <v>83</v>
      </c>
      <c r="O304" t="s">
        <v>4852</v>
      </c>
      <c r="P304" t="s">
        <v>65</v>
      </c>
      <c r="Q304" t="s">
        <v>4853</v>
      </c>
      <c r="R304" t="s">
        <v>4854</v>
      </c>
      <c r="S304" t="s">
        <v>4855</v>
      </c>
      <c r="T304">
        <v>718040</v>
      </c>
      <c r="U304">
        <v>1238000</v>
      </c>
      <c r="V304" t="s">
        <v>4856</v>
      </c>
      <c r="W304" t="s">
        <v>358</v>
      </c>
      <c r="X304" t="s">
        <v>4857</v>
      </c>
      <c r="Y304" t="s">
        <v>4858</v>
      </c>
      <c r="Z304" t="s">
        <v>64</v>
      </c>
      <c r="AA304" t="s">
        <v>4859</v>
      </c>
      <c r="AB304" t="s">
        <v>1318</v>
      </c>
      <c r="AC304" t="s">
        <v>175</v>
      </c>
      <c r="AD304" t="s">
        <v>4860</v>
      </c>
      <c r="AE304" t="s">
        <v>2335</v>
      </c>
      <c r="AF304" t="s">
        <v>1354</v>
      </c>
      <c r="AG304" t="s">
        <v>4861</v>
      </c>
      <c r="AH304">
        <v>7</v>
      </c>
      <c r="AI304" t="s">
        <v>4862</v>
      </c>
      <c r="AJ304" t="s">
        <v>65</v>
      </c>
      <c r="AK304" t="s">
        <v>65</v>
      </c>
      <c r="AM304" t="s">
        <v>180</v>
      </c>
      <c r="AN304">
        <v>866600</v>
      </c>
      <c r="AO304" s="9">
        <v>21665</v>
      </c>
    </row>
    <row r="305" spans="1:41" x14ac:dyDescent="0.25">
      <c r="A305">
        <v>304</v>
      </c>
      <c r="B305" t="s">
        <v>1305</v>
      </c>
      <c r="C305" t="s">
        <v>4863</v>
      </c>
      <c r="D305" t="s">
        <v>46</v>
      </c>
      <c r="E305" t="s">
        <v>47</v>
      </c>
      <c r="F305" t="s">
        <v>48</v>
      </c>
      <c r="G305" t="s">
        <v>4864</v>
      </c>
      <c r="H305" t="s">
        <v>4865</v>
      </c>
      <c r="I305" t="s">
        <v>4866</v>
      </c>
      <c r="J305">
        <v>2</v>
      </c>
      <c r="K305">
        <v>25.8</v>
      </c>
      <c r="L305" t="s">
        <v>4867</v>
      </c>
      <c r="M305" t="s">
        <v>4868</v>
      </c>
      <c r="N305" t="s">
        <v>1843</v>
      </c>
      <c r="O305" t="s">
        <v>4869</v>
      </c>
      <c r="P305" t="s">
        <v>65</v>
      </c>
      <c r="Q305" t="s">
        <v>4870</v>
      </c>
      <c r="R305" t="s">
        <v>65</v>
      </c>
      <c r="S305" t="s">
        <v>4871</v>
      </c>
      <c r="T305">
        <v>2622750</v>
      </c>
      <c r="U305">
        <v>3497000</v>
      </c>
      <c r="V305" t="s">
        <v>4872</v>
      </c>
      <c r="W305" t="s">
        <v>375</v>
      </c>
      <c r="X305" t="s">
        <v>4873</v>
      </c>
      <c r="Y305" t="s">
        <v>4874</v>
      </c>
      <c r="Z305" t="s">
        <v>64</v>
      </c>
      <c r="AA305" t="s">
        <v>65</v>
      </c>
      <c r="AB305" t="s">
        <v>4875</v>
      </c>
      <c r="AC305" t="s">
        <v>67</v>
      </c>
      <c r="AD305" t="s">
        <v>1039</v>
      </c>
      <c r="AE305" t="s">
        <v>69</v>
      </c>
      <c r="AF305" t="s">
        <v>1007</v>
      </c>
      <c r="AG305" t="s">
        <v>4876</v>
      </c>
      <c r="AH305">
        <v>5</v>
      </c>
      <c r="AI305" t="s">
        <v>2502</v>
      </c>
      <c r="AJ305" t="s">
        <v>4877</v>
      </c>
      <c r="AK305" t="s">
        <v>4878</v>
      </c>
      <c r="AM305" t="s">
        <v>75</v>
      </c>
      <c r="AN305">
        <v>2797600</v>
      </c>
      <c r="AO305" s="9">
        <v>55952</v>
      </c>
    </row>
    <row r="306" spans="1:41" x14ac:dyDescent="0.25">
      <c r="A306">
        <v>305</v>
      </c>
      <c r="B306" t="s">
        <v>1305</v>
      </c>
      <c r="C306" t="s">
        <v>4879</v>
      </c>
      <c r="D306" t="s">
        <v>77</v>
      </c>
      <c r="E306" t="s">
        <v>47</v>
      </c>
      <c r="F306" t="s">
        <v>48</v>
      </c>
      <c r="G306" t="s">
        <v>1717</v>
      </c>
      <c r="H306" t="s">
        <v>4880</v>
      </c>
      <c r="I306" t="s">
        <v>4881</v>
      </c>
      <c r="J306">
        <v>1.5</v>
      </c>
      <c r="K306">
        <v>25.68</v>
      </c>
      <c r="L306" t="s">
        <v>4882</v>
      </c>
      <c r="M306" t="s">
        <v>4883</v>
      </c>
      <c r="N306" t="s">
        <v>578</v>
      </c>
      <c r="O306" t="s">
        <v>4884</v>
      </c>
      <c r="P306" t="s">
        <v>652</v>
      </c>
      <c r="Q306" t="s">
        <v>4885</v>
      </c>
      <c r="R306" t="s">
        <v>4886</v>
      </c>
      <c r="S306" t="s">
        <v>4887</v>
      </c>
      <c r="T306">
        <v>5340000</v>
      </c>
      <c r="U306">
        <v>8900000</v>
      </c>
      <c r="V306" t="s">
        <v>4888</v>
      </c>
      <c r="W306" t="s">
        <v>375</v>
      </c>
      <c r="X306" t="s">
        <v>4889</v>
      </c>
      <c r="Y306" t="s">
        <v>4890</v>
      </c>
      <c r="Z306" t="s">
        <v>93</v>
      </c>
      <c r="AA306" t="s">
        <v>4891</v>
      </c>
      <c r="AB306" t="s">
        <v>3935</v>
      </c>
      <c r="AC306" t="s">
        <v>67</v>
      </c>
      <c r="AD306" t="s">
        <v>258</v>
      </c>
      <c r="AE306" t="s">
        <v>399</v>
      </c>
      <c r="AF306" t="s">
        <v>1354</v>
      </c>
      <c r="AG306" t="s">
        <v>4892</v>
      </c>
      <c r="AH306">
        <v>5</v>
      </c>
      <c r="AI306" t="s">
        <v>237</v>
      </c>
      <c r="AJ306" t="s">
        <v>4893</v>
      </c>
      <c r="AK306" t="s">
        <v>403</v>
      </c>
      <c r="AM306" t="s">
        <v>157</v>
      </c>
      <c r="AN306">
        <v>7120000</v>
      </c>
      <c r="AO306" s="9">
        <v>106800</v>
      </c>
    </row>
    <row r="307" spans="1:41" hidden="1" x14ac:dyDescent="0.25">
      <c r="A307">
        <v>306</v>
      </c>
      <c r="B307" t="s">
        <v>1305</v>
      </c>
      <c r="C307" t="s">
        <v>4894</v>
      </c>
      <c r="D307" t="s">
        <v>241</v>
      </c>
      <c r="E307" t="s">
        <v>47</v>
      </c>
      <c r="F307" t="s">
        <v>48</v>
      </c>
      <c r="G307" t="s">
        <v>1080</v>
      </c>
      <c r="H307" t="s">
        <v>4895</v>
      </c>
      <c r="I307" t="s">
        <v>4896</v>
      </c>
      <c r="J307">
        <v>1.75</v>
      </c>
      <c r="K307">
        <v>25.95</v>
      </c>
      <c r="L307" t="s">
        <v>4897</v>
      </c>
      <c r="M307" t="s">
        <v>4898</v>
      </c>
      <c r="N307" t="s">
        <v>1085</v>
      </c>
      <c r="O307" t="s">
        <v>4899</v>
      </c>
      <c r="P307" t="s">
        <v>65</v>
      </c>
      <c r="Q307" t="s">
        <v>4900</v>
      </c>
      <c r="R307" t="s">
        <v>4901</v>
      </c>
      <c r="S307" t="s">
        <v>4902</v>
      </c>
      <c r="T307">
        <v>5603400</v>
      </c>
      <c r="U307">
        <v>9339000</v>
      </c>
      <c r="V307" t="s">
        <v>4903</v>
      </c>
      <c r="W307" t="s">
        <v>375</v>
      </c>
      <c r="X307" t="s">
        <v>4904</v>
      </c>
      <c r="Y307" t="s">
        <v>4905</v>
      </c>
      <c r="Z307" t="s">
        <v>64</v>
      </c>
      <c r="AA307" t="s">
        <v>65</v>
      </c>
      <c r="AB307" t="s">
        <v>4906</v>
      </c>
      <c r="AC307" t="s">
        <v>67</v>
      </c>
      <c r="AD307" t="s">
        <v>1094</v>
      </c>
      <c r="AE307" t="s">
        <v>69</v>
      </c>
      <c r="AF307" t="s">
        <v>70</v>
      </c>
      <c r="AG307" t="s">
        <v>4907</v>
      </c>
      <c r="AH307">
        <v>3</v>
      </c>
      <c r="AI307" t="s">
        <v>237</v>
      </c>
      <c r="AJ307" t="s">
        <v>4908</v>
      </c>
      <c r="AK307" t="s">
        <v>258</v>
      </c>
      <c r="AM307" t="s">
        <v>102</v>
      </c>
      <c r="AN307">
        <v>0</v>
      </c>
      <c r="AO307">
        <v>0</v>
      </c>
    </row>
    <row r="308" spans="1:41" hidden="1" x14ac:dyDescent="0.25">
      <c r="A308">
        <v>307</v>
      </c>
      <c r="B308" t="s">
        <v>1305</v>
      </c>
      <c r="C308" t="s">
        <v>4909</v>
      </c>
      <c r="D308" t="s">
        <v>46</v>
      </c>
      <c r="E308" t="s">
        <v>47</v>
      </c>
      <c r="F308" t="s">
        <v>48</v>
      </c>
      <c r="G308" t="s">
        <v>573</v>
      </c>
      <c r="H308" t="s">
        <v>4910</v>
      </c>
      <c r="I308" t="s">
        <v>4911</v>
      </c>
      <c r="J308">
        <v>1.75</v>
      </c>
      <c r="K308">
        <v>25.33</v>
      </c>
      <c r="L308" t="s">
        <v>4912</v>
      </c>
      <c r="M308" t="s">
        <v>4913</v>
      </c>
      <c r="N308" t="s">
        <v>187</v>
      </c>
      <c r="O308" t="s">
        <v>4914</v>
      </c>
      <c r="P308" t="s">
        <v>652</v>
      </c>
      <c r="Q308" t="s">
        <v>4915</v>
      </c>
      <c r="R308" t="s">
        <v>4916</v>
      </c>
      <c r="S308" t="s">
        <v>4917</v>
      </c>
      <c r="T308">
        <v>4086750</v>
      </c>
      <c r="U308">
        <v>5449000</v>
      </c>
      <c r="V308" t="s">
        <v>4918</v>
      </c>
      <c r="W308" t="s">
        <v>375</v>
      </c>
      <c r="X308" t="s">
        <v>4919</v>
      </c>
      <c r="Y308" t="s">
        <v>4920</v>
      </c>
      <c r="Z308" t="s">
        <v>64</v>
      </c>
      <c r="AA308" t="s">
        <v>65</v>
      </c>
      <c r="AB308" t="s">
        <v>586</v>
      </c>
      <c r="AC308" t="s">
        <v>67</v>
      </c>
      <c r="AD308" t="s">
        <v>215</v>
      </c>
      <c r="AE308" t="s">
        <v>4921</v>
      </c>
      <c r="AF308" t="s">
        <v>4922</v>
      </c>
      <c r="AG308" t="s">
        <v>4923</v>
      </c>
      <c r="AH308">
        <v>3</v>
      </c>
      <c r="AI308" t="s">
        <v>237</v>
      </c>
      <c r="AJ308" t="s">
        <v>4924</v>
      </c>
      <c r="AK308" t="s">
        <v>399</v>
      </c>
      <c r="AM308" t="s">
        <v>102</v>
      </c>
      <c r="AN308">
        <v>0</v>
      </c>
      <c r="AO308">
        <v>0</v>
      </c>
    </row>
    <row r="309" spans="1:41" x14ac:dyDescent="0.25">
      <c r="A309">
        <v>308</v>
      </c>
      <c r="B309" t="s">
        <v>1305</v>
      </c>
      <c r="C309" t="s">
        <v>4925</v>
      </c>
      <c r="D309" t="s">
        <v>46</v>
      </c>
      <c r="E309" t="s">
        <v>47</v>
      </c>
      <c r="F309" t="s">
        <v>48</v>
      </c>
      <c r="G309" t="s">
        <v>1080</v>
      </c>
      <c r="H309" t="s">
        <v>4926</v>
      </c>
      <c r="I309" t="s">
        <v>4927</v>
      </c>
      <c r="J309">
        <v>2</v>
      </c>
      <c r="K309">
        <v>25.8</v>
      </c>
      <c r="L309" t="s">
        <v>4928</v>
      </c>
      <c r="M309" t="s">
        <v>4929</v>
      </c>
      <c r="N309" t="s">
        <v>187</v>
      </c>
      <c r="O309" t="s">
        <v>4930</v>
      </c>
      <c r="P309" t="s">
        <v>4931</v>
      </c>
      <c r="Q309" t="s">
        <v>4931</v>
      </c>
      <c r="R309" t="s">
        <v>4932</v>
      </c>
      <c r="S309" t="s">
        <v>4933</v>
      </c>
      <c r="T309">
        <v>2242400</v>
      </c>
      <c r="U309">
        <v>2803000</v>
      </c>
      <c r="V309" t="s">
        <v>4934</v>
      </c>
      <c r="W309" t="s">
        <v>375</v>
      </c>
      <c r="X309" t="s">
        <v>4935</v>
      </c>
      <c r="Y309" t="s">
        <v>4936</v>
      </c>
      <c r="Z309" t="s">
        <v>64</v>
      </c>
      <c r="AA309" t="s">
        <v>65</v>
      </c>
      <c r="AB309" t="s">
        <v>1125</v>
      </c>
      <c r="AC309" t="s">
        <v>67</v>
      </c>
      <c r="AD309" t="s">
        <v>1039</v>
      </c>
      <c r="AE309" t="s">
        <v>216</v>
      </c>
      <c r="AF309" t="s">
        <v>4937</v>
      </c>
      <c r="AG309" t="s">
        <v>4938</v>
      </c>
      <c r="AH309">
        <v>7</v>
      </c>
      <c r="AI309" t="s">
        <v>198</v>
      </c>
      <c r="AJ309" t="s">
        <v>4939</v>
      </c>
      <c r="AK309" t="s">
        <v>258</v>
      </c>
      <c r="AM309" t="s">
        <v>75</v>
      </c>
      <c r="AN309">
        <v>2242400</v>
      </c>
      <c r="AO309" s="9">
        <v>44848</v>
      </c>
    </row>
    <row r="310" spans="1:41" x14ac:dyDescent="0.25">
      <c r="A310">
        <v>309</v>
      </c>
      <c r="B310" t="s">
        <v>1305</v>
      </c>
      <c r="C310" t="s">
        <v>4940</v>
      </c>
      <c r="D310" t="s">
        <v>1489</v>
      </c>
      <c r="E310" t="s">
        <v>47</v>
      </c>
      <c r="F310" t="s">
        <v>48</v>
      </c>
      <c r="G310" t="s">
        <v>2951</v>
      </c>
      <c r="H310" t="s">
        <v>4941</v>
      </c>
      <c r="I310" t="s">
        <v>4942</v>
      </c>
      <c r="J310">
        <v>2.5</v>
      </c>
      <c r="K310">
        <v>27.18</v>
      </c>
      <c r="L310" t="s">
        <v>4943</v>
      </c>
      <c r="M310" t="s">
        <v>4944</v>
      </c>
      <c r="N310" t="s">
        <v>265</v>
      </c>
      <c r="O310" t="s">
        <v>4945</v>
      </c>
      <c r="P310" t="s">
        <v>65</v>
      </c>
      <c r="Q310" t="s">
        <v>4946</v>
      </c>
      <c r="R310" t="s">
        <v>65</v>
      </c>
      <c r="S310" t="s">
        <v>4947</v>
      </c>
      <c r="T310">
        <v>769300</v>
      </c>
      <c r="U310">
        <v>1099000</v>
      </c>
      <c r="V310" t="s">
        <v>4948</v>
      </c>
      <c r="W310" t="s">
        <v>763</v>
      </c>
      <c r="X310" t="s">
        <v>4949</v>
      </c>
      <c r="Y310" t="s">
        <v>4950</v>
      </c>
      <c r="Z310" t="s">
        <v>64</v>
      </c>
      <c r="AA310" t="s">
        <v>65</v>
      </c>
      <c r="AB310" t="s">
        <v>3847</v>
      </c>
      <c r="AC310" t="s">
        <v>151</v>
      </c>
      <c r="AD310" t="s">
        <v>4291</v>
      </c>
      <c r="AE310" t="s">
        <v>1539</v>
      </c>
      <c r="AF310" t="s">
        <v>1430</v>
      </c>
      <c r="AG310" t="s">
        <v>4951</v>
      </c>
      <c r="AH310">
        <v>5</v>
      </c>
      <c r="AI310" t="s">
        <v>511</v>
      </c>
      <c r="AJ310" t="s">
        <v>4952</v>
      </c>
      <c r="AK310" t="s">
        <v>4953</v>
      </c>
      <c r="AM310" t="s">
        <v>180</v>
      </c>
      <c r="AN310">
        <v>824250</v>
      </c>
      <c r="AO310" s="9">
        <v>20606.25</v>
      </c>
    </row>
    <row r="311" spans="1:41" x14ac:dyDescent="0.25">
      <c r="A311">
        <v>310</v>
      </c>
      <c r="B311" t="s">
        <v>1305</v>
      </c>
      <c r="C311" t="s">
        <v>4954</v>
      </c>
      <c r="D311" t="s">
        <v>46</v>
      </c>
      <c r="E311" t="s">
        <v>47</v>
      </c>
      <c r="F311" t="s">
        <v>48</v>
      </c>
      <c r="G311" t="s">
        <v>182</v>
      </c>
      <c r="H311" t="s">
        <v>4955</v>
      </c>
      <c r="I311" t="s">
        <v>4956</v>
      </c>
      <c r="J311">
        <v>2</v>
      </c>
      <c r="K311">
        <v>25.8</v>
      </c>
      <c r="L311" t="s">
        <v>4957</v>
      </c>
      <c r="M311" t="s">
        <v>4958</v>
      </c>
      <c r="N311" t="s">
        <v>187</v>
      </c>
      <c r="O311" t="s">
        <v>4959</v>
      </c>
      <c r="P311" t="s">
        <v>65</v>
      </c>
      <c r="Q311" t="s">
        <v>65</v>
      </c>
      <c r="R311" t="s">
        <v>65</v>
      </c>
      <c r="S311" t="s">
        <v>4960</v>
      </c>
      <c r="T311">
        <v>779100</v>
      </c>
      <c r="U311">
        <v>1113000</v>
      </c>
      <c r="V311" t="s">
        <v>4961</v>
      </c>
      <c r="W311" t="s">
        <v>763</v>
      </c>
      <c r="X311" t="s">
        <v>4962</v>
      </c>
      <c r="Y311" t="s">
        <v>4963</v>
      </c>
      <c r="Z311" t="s">
        <v>64</v>
      </c>
      <c r="AA311" t="s">
        <v>65</v>
      </c>
      <c r="AB311" t="s">
        <v>4964</v>
      </c>
      <c r="AC311" t="s">
        <v>67</v>
      </c>
      <c r="AD311" t="s">
        <v>4637</v>
      </c>
      <c r="AE311" t="s">
        <v>69</v>
      </c>
      <c r="AF311" t="s">
        <v>1007</v>
      </c>
      <c r="AG311" t="s">
        <v>4965</v>
      </c>
      <c r="AH311">
        <v>5</v>
      </c>
      <c r="AI311" t="s">
        <v>237</v>
      </c>
      <c r="AJ311" t="s">
        <v>4966</v>
      </c>
      <c r="AK311" t="s">
        <v>330</v>
      </c>
      <c r="AM311" t="s">
        <v>75</v>
      </c>
      <c r="AN311">
        <v>890400</v>
      </c>
      <c r="AO311" s="9">
        <v>17808</v>
      </c>
    </row>
    <row r="312" spans="1:41" x14ac:dyDescent="0.25">
      <c r="A312">
        <v>311</v>
      </c>
      <c r="B312" t="s">
        <v>1305</v>
      </c>
      <c r="C312" t="s">
        <v>4967</v>
      </c>
      <c r="D312" t="s">
        <v>46</v>
      </c>
      <c r="E312" t="s">
        <v>47</v>
      </c>
      <c r="F312" t="s">
        <v>48</v>
      </c>
      <c r="G312" t="s">
        <v>4968</v>
      </c>
      <c r="H312" t="s">
        <v>4969</v>
      </c>
      <c r="I312" t="s">
        <v>4970</v>
      </c>
      <c r="J312">
        <v>2</v>
      </c>
      <c r="K312">
        <v>25.79</v>
      </c>
      <c r="L312" t="s">
        <v>4971</v>
      </c>
      <c r="M312" t="s">
        <v>4972</v>
      </c>
      <c r="N312" t="s">
        <v>187</v>
      </c>
      <c r="O312" t="s">
        <v>4973</v>
      </c>
      <c r="P312" t="s">
        <v>65</v>
      </c>
      <c r="Q312" t="s">
        <v>4974</v>
      </c>
      <c r="R312" t="s">
        <v>65</v>
      </c>
      <c r="S312" t="s">
        <v>4975</v>
      </c>
      <c r="T312">
        <v>1987500</v>
      </c>
      <c r="U312">
        <v>2650000</v>
      </c>
      <c r="V312" t="s">
        <v>4976</v>
      </c>
      <c r="W312" t="s">
        <v>4977</v>
      </c>
      <c r="X312" t="s">
        <v>4978</v>
      </c>
      <c r="Y312" t="s">
        <v>4979</v>
      </c>
      <c r="Z312" t="s">
        <v>64</v>
      </c>
      <c r="AA312" t="s">
        <v>65</v>
      </c>
      <c r="AB312" t="s">
        <v>1005</v>
      </c>
      <c r="AC312" t="s">
        <v>67</v>
      </c>
      <c r="AD312" t="s">
        <v>4980</v>
      </c>
      <c r="AE312" t="s">
        <v>69</v>
      </c>
      <c r="AF312" t="s">
        <v>1007</v>
      </c>
      <c r="AG312" t="s">
        <v>4981</v>
      </c>
      <c r="AH312">
        <v>5</v>
      </c>
      <c r="AI312" t="s">
        <v>237</v>
      </c>
      <c r="AJ312" t="s">
        <v>4982</v>
      </c>
      <c r="AK312" t="s">
        <v>258</v>
      </c>
      <c r="AM312" t="s">
        <v>75</v>
      </c>
      <c r="AN312">
        <v>2120000</v>
      </c>
      <c r="AO312" s="9">
        <v>42400</v>
      </c>
    </row>
    <row r="313" spans="1:41" x14ac:dyDescent="0.25">
      <c r="A313">
        <v>312</v>
      </c>
      <c r="B313" t="s">
        <v>1305</v>
      </c>
      <c r="C313" t="s">
        <v>4983</v>
      </c>
      <c r="D313" t="s">
        <v>46</v>
      </c>
      <c r="E313" t="s">
        <v>47</v>
      </c>
      <c r="F313" t="s">
        <v>48</v>
      </c>
      <c r="G313" t="s">
        <v>260</v>
      </c>
      <c r="H313" t="s">
        <v>4984</v>
      </c>
      <c r="I313" t="s">
        <v>4985</v>
      </c>
      <c r="J313">
        <v>2</v>
      </c>
      <c r="K313">
        <v>25.79</v>
      </c>
      <c r="L313" t="s">
        <v>4986</v>
      </c>
      <c r="M313" t="s">
        <v>4987</v>
      </c>
      <c r="N313" t="s">
        <v>164</v>
      </c>
      <c r="O313" t="s">
        <v>4988</v>
      </c>
      <c r="P313" t="s">
        <v>4989</v>
      </c>
      <c r="Q313" t="s">
        <v>65</v>
      </c>
      <c r="R313" t="s">
        <v>4990</v>
      </c>
      <c r="S313" t="s">
        <v>4991</v>
      </c>
      <c r="T313">
        <v>890400</v>
      </c>
      <c r="U313">
        <v>1113000</v>
      </c>
      <c r="V313" t="s">
        <v>4992</v>
      </c>
      <c r="W313" t="s">
        <v>693</v>
      </c>
      <c r="X313" t="s">
        <v>4993</v>
      </c>
      <c r="Y313" t="s">
        <v>4994</v>
      </c>
      <c r="Z313" t="s">
        <v>64</v>
      </c>
      <c r="AA313" t="s">
        <v>65</v>
      </c>
      <c r="AB313" t="s">
        <v>4132</v>
      </c>
      <c r="AC313" t="s">
        <v>67</v>
      </c>
      <c r="AD313" t="s">
        <v>196</v>
      </c>
      <c r="AE313" t="s">
        <v>399</v>
      </c>
      <c r="AF313" t="s">
        <v>4995</v>
      </c>
      <c r="AG313" t="s">
        <v>4996</v>
      </c>
      <c r="AH313">
        <v>6</v>
      </c>
      <c r="AI313" t="s">
        <v>198</v>
      </c>
      <c r="AJ313" t="s">
        <v>4997</v>
      </c>
      <c r="AK313" t="s">
        <v>330</v>
      </c>
      <c r="AM313" t="s">
        <v>75</v>
      </c>
      <c r="AN313">
        <v>890400</v>
      </c>
      <c r="AO313" s="9">
        <v>17808</v>
      </c>
    </row>
    <row r="314" spans="1:41" x14ac:dyDescent="0.25">
      <c r="A314">
        <v>313</v>
      </c>
      <c r="B314" t="s">
        <v>1305</v>
      </c>
      <c r="C314" t="s">
        <v>4998</v>
      </c>
      <c r="D314" t="s">
        <v>241</v>
      </c>
      <c r="E314" t="s">
        <v>47</v>
      </c>
      <c r="F314" t="s">
        <v>48</v>
      </c>
      <c r="G314" t="s">
        <v>4999</v>
      </c>
      <c r="H314" t="s">
        <v>5000</v>
      </c>
      <c r="I314" t="s">
        <v>5001</v>
      </c>
      <c r="J314">
        <v>2</v>
      </c>
      <c r="K314">
        <v>26.45</v>
      </c>
      <c r="L314" t="s">
        <v>5002</v>
      </c>
      <c r="M314" t="s">
        <v>5003</v>
      </c>
      <c r="N314" t="s">
        <v>265</v>
      </c>
      <c r="O314" t="s">
        <v>5004</v>
      </c>
      <c r="P314" t="s">
        <v>5005</v>
      </c>
      <c r="Q314" t="s">
        <v>5006</v>
      </c>
      <c r="R314" t="s">
        <v>5007</v>
      </c>
      <c r="S314" t="s">
        <v>5008</v>
      </c>
      <c r="T314">
        <v>1311500</v>
      </c>
      <c r="U314">
        <v>2623000</v>
      </c>
      <c r="V314" t="s">
        <v>5009</v>
      </c>
      <c r="W314" t="s">
        <v>375</v>
      </c>
      <c r="X314" t="s">
        <v>5010</v>
      </c>
      <c r="Y314" t="s">
        <v>5011</v>
      </c>
      <c r="Z314" t="s">
        <v>64</v>
      </c>
      <c r="AA314" t="s">
        <v>65</v>
      </c>
      <c r="AB314" t="s">
        <v>3545</v>
      </c>
      <c r="AC314" t="s">
        <v>67</v>
      </c>
      <c r="AD314" t="s">
        <v>330</v>
      </c>
      <c r="AE314" t="s">
        <v>69</v>
      </c>
      <c r="AF314" t="s">
        <v>1007</v>
      </c>
      <c r="AG314" t="s">
        <v>5012</v>
      </c>
      <c r="AH314">
        <v>5</v>
      </c>
      <c r="AI314" t="s">
        <v>237</v>
      </c>
      <c r="AJ314" t="s">
        <v>5013</v>
      </c>
      <c r="AK314" t="s">
        <v>403</v>
      </c>
      <c r="AM314" t="s">
        <v>75</v>
      </c>
      <c r="AN314">
        <v>2098400</v>
      </c>
      <c r="AO314" s="9">
        <v>41968</v>
      </c>
    </row>
    <row r="315" spans="1:41" x14ac:dyDescent="0.25">
      <c r="A315">
        <v>314</v>
      </c>
      <c r="B315" t="s">
        <v>1305</v>
      </c>
      <c r="C315" t="s">
        <v>5014</v>
      </c>
      <c r="D315" t="s">
        <v>1489</v>
      </c>
      <c r="E315" t="s">
        <v>47</v>
      </c>
      <c r="F315" t="s">
        <v>48</v>
      </c>
      <c r="G315" t="s">
        <v>1258</v>
      </c>
      <c r="H315" t="s">
        <v>5015</v>
      </c>
      <c r="I315" t="s">
        <v>5016</v>
      </c>
      <c r="J315">
        <v>2</v>
      </c>
      <c r="K315">
        <v>27.18</v>
      </c>
      <c r="L315" t="s">
        <v>5017</v>
      </c>
      <c r="M315" t="s">
        <v>5018</v>
      </c>
      <c r="N315" t="s">
        <v>187</v>
      </c>
      <c r="O315" t="s">
        <v>5019</v>
      </c>
      <c r="P315" t="s">
        <v>5020</v>
      </c>
      <c r="Q315" t="s">
        <v>5020</v>
      </c>
      <c r="R315" t="s">
        <v>5021</v>
      </c>
      <c r="S315" t="s">
        <v>5022</v>
      </c>
      <c r="T315">
        <v>1272600</v>
      </c>
      <c r="U315">
        <v>2020000</v>
      </c>
      <c r="V315" t="s">
        <v>146</v>
      </c>
      <c r="W315" t="s">
        <v>403</v>
      </c>
      <c r="X315" t="s">
        <v>5023</v>
      </c>
      <c r="Y315" t="s">
        <v>5024</v>
      </c>
      <c r="Z315" t="s">
        <v>64</v>
      </c>
      <c r="AA315" t="s">
        <v>65</v>
      </c>
      <c r="AB315" t="s">
        <v>5025</v>
      </c>
      <c r="AC315" t="s">
        <v>151</v>
      </c>
      <c r="AD315" t="s">
        <v>2065</v>
      </c>
      <c r="AE315" t="s">
        <v>288</v>
      </c>
      <c r="AF315" t="s">
        <v>2213</v>
      </c>
      <c r="AG315" t="s">
        <v>5026</v>
      </c>
      <c r="AH315">
        <v>5</v>
      </c>
      <c r="AI315" t="s">
        <v>237</v>
      </c>
      <c r="AJ315" t="s">
        <v>5027</v>
      </c>
      <c r="AK315" t="s">
        <v>358</v>
      </c>
      <c r="AM315" t="s">
        <v>75</v>
      </c>
      <c r="AN315">
        <v>1515000</v>
      </c>
      <c r="AO315" s="9">
        <v>30300</v>
      </c>
    </row>
    <row r="316" spans="1:41" x14ac:dyDescent="0.25">
      <c r="A316">
        <v>315</v>
      </c>
      <c r="B316" t="s">
        <v>1305</v>
      </c>
      <c r="C316" t="s">
        <v>5028</v>
      </c>
      <c r="D316" t="s">
        <v>1489</v>
      </c>
      <c r="E316" t="s">
        <v>47</v>
      </c>
      <c r="F316" t="s">
        <v>48</v>
      </c>
      <c r="G316" t="s">
        <v>5029</v>
      </c>
      <c r="H316" t="s">
        <v>5030</v>
      </c>
      <c r="I316" t="s">
        <v>5031</v>
      </c>
      <c r="J316">
        <v>2</v>
      </c>
      <c r="K316">
        <v>27.27</v>
      </c>
      <c r="L316" t="s">
        <v>5032</v>
      </c>
      <c r="M316" t="s">
        <v>5033</v>
      </c>
      <c r="N316" t="s">
        <v>1406</v>
      </c>
      <c r="O316" t="s">
        <v>5034</v>
      </c>
      <c r="P316" t="s">
        <v>5035</v>
      </c>
      <c r="Q316" t="s">
        <v>65</v>
      </c>
      <c r="R316" t="s">
        <v>5036</v>
      </c>
      <c r="S316" t="s">
        <v>5037</v>
      </c>
      <c r="T316">
        <v>978600</v>
      </c>
      <c r="U316">
        <v>1398000</v>
      </c>
      <c r="V316" t="s">
        <v>5038</v>
      </c>
      <c r="W316" t="s">
        <v>403</v>
      </c>
      <c r="X316" t="s">
        <v>5039</v>
      </c>
      <c r="Y316" t="s">
        <v>5040</v>
      </c>
      <c r="Z316" t="s">
        <v>64</v>
      </c>
      <c r="AA316" t="s">
        <v>65</v>
      </c>
      <c r="AB316" t="s">
        <v>809</v>
      </c>
      <c r="AC316" t="s">
        <v>151</v>
      </c>
      <c r="AD316" t="s">
        <v>1253</v>
      </c>
      <c r="AE316" t="s">
        <v>153</v>
      </c>
      <c r="AF316" t="s">
        <v>2533</v>
      </c>
      <c r="AG316" t="s">
        <v>5041</v>
      </c>
      <c r="AH316">
        <v>5</v>
      </c>
      <c r="AI316" t="s">
        <v>237</v>
      </c>
      <c r="AJ316" t="s">
        <v>5042</v>
      </c>
      <c r="AK316" t="s">
        <v>358</v>
      </c>
      <c r="AM316" t="s">
        <v>75</v>
      </c>
      <c r="AN316">
        <v>1048500</v>
      </c>
      <c r="AO316" s="9">
        <v>20970</v>
      </c>
    </row>
    <row r="317" spans="1:41" x14ac:dyDescent="0.25">
      <c r="A317">
        <v>316</v>
      </c>
      <c r="B317" t="s">
        <v>1305</v>
      </c>
      <c r="C317" t="s">
        <v>5043</v>
      </c>
      <c r="D317" t="s">
        <v>277</v>
      </c>
      <c r="E317" t="s">
        <v>47</v>
      </c>
      <c r="F317" t="s">
        <v>48</v>
      </c>
      <c r="G317" t="s">
        <v>1717</v>
      </c>
      <c r="H317" t="s">
        <v>5044</v>
      </c>
      <c r="I317" t="s">
        <v>5045</v>
      </c>
      <c r="J317">
        <v>2</v>
      </c>
      <c r="K317">
        <v>25.94</v>
      </c>
      <c r="L317" t="s">
        <v>5046</v>
      </c>
      <c r="M317" t="s">
        <v>5047</v>
      </c>
      <c r="N317" t="s">
        <v>187</v>
      </c>
      <c r="O317" t="s">
        <v>5048</v>
      </c>
      <c r="P317" t="s">
        <v>5049</v>
      </c>
      <c r="Q317" t="s">
        <v>5049</v>
      </c>
      <c r="R317" t="s">
        <v>5050</v>
      </c>
      <c r="S317" t="s">
        <v>5051</v>
      </c>
      <c r="T317">
        <v>1391000</v>
      </c>
      <c r="U317">
        <v>2140000</v>
      </c>
      <c r="V317" t="s">
        <v>5052</v>
      </c>
      <c r="W317" t="s">
        <v>693</v>
      </c>
      <c r="X317" t="s">
        <v>5053</v>
      </c>
      <c r="Y317" t="s">
        <v>5054</v>
      </c>
      <c r="Z317" t="s">
        <v>93</v>
      </c>
      <c r="AA317" t="s">
        <v>5055</v>
      </c>
      <c r="AB317" t="s">
        <v>5056</v>
      </c>
      <c r="AC317" t="s">
        <v>67</v>
      </c>
      <c r="AD317" t="s">
        <v>683</v>
      </c>
      <c r="AE317" t="s">
        <v>604</v>
      </c>
      <c r="AF317" t="s">
        <v>2370</v>
      </c>
      <c r="AG317" t="s">
        <v>5057</v>
      </c>
      <c r="AH317">
        <v>6</v>
      </c>
      <c r="AI317" t="s">
        <v>237</v>
      </c>
      <c r="AJ317" t="s">
        <v>5058</v>
      </c>
      <c r="AK317" t="s">
        <v>728</v>
      </c>
      <c r="AM317" t="s">
        <v>75</v>
      </c>
      <c r="AN317">
        <v>1712000</v>
      </c>
      <c r="AO317" s="9">
        <v>34240</v>
      </c>
    </row>
    <row r="318" spans="1:41" x14ac:dyDescent="0.25">
      <c r="A318">
        <v>317</v>
      </c>
      <c r="B318" t="s">
        <v>1305</v>
      </c>
      <c r="C318" t="s">
        <v>5059</v>
      </c>
      <c r="D318" t="s">
        <v>277</v>
      </c>
      <c r="E318" t="s">
        <v>47</v>
      </c>
      <c r="F318" t="s">
        <v>48</v>
      </c>
      <c r="G318" t="s">
        <v>78</v>
      </c>
      <c r="H318" t="s">
        <v>5060</v>
      </c>
      <c r="I318" t="s">
        <v>5061</v>
      </c>
      <c r="J318">
        <v>2</v>
      </c>
      <c r="K318">
        <v>25.84</v>
      </c>
      <c r="L318" t="s">
        <v>5062</v>
      </c>
      <c r="M318" t="s">
        <v>5063</v>
      </c>
      <c r="N318" t="s">
        <v>83</v>
      </c>
      <c r="O318" t="s">
        <v>5064</v>
      </c>
      <c r="P318" t="s">
        <v>5065</v>
      </c>
      <c r="Q318" t="s">
        <v>5065</v>
      </c>
      <c r="R318" t="s">
        <v>5066</v>
      </c>
      <c r="S318" t="s">
        <v>5067</v>
      </c>
      <c r="T318">
        <v>1536000</v>
      </c>
      <c r="U318">
        <v>2560000</v>
      </c>
      <c r="V318" t="s">
        <v>5068</v>
      </c>
      <c r="W318" t="s">
        <v>693</v>
      </c>
      <c r="X318" t="s">
        <v>5069</v>
      </c>
      <c r="Y318" t="s">
        <v>5070</v>
      </c>
      <c r="Z318" t="s">
        <v>549</v>
      </c>
      <c r="AA318" t="s">
        <v>65</v>
      </c>
      <c r="AB318" t="s">
        <v>1161</v>
      </c>
      <c r="AC318" t="s">
        <v>96</v>
      </c>
      <c r="AD318" t="s">
        <v>728</v>
      </c>
      <c r="AE318" t="s">
        <v>604</v>
      </c>
      <c r="AF318" t="s">
        <v>974</v>
      </c>
      <c r="AG318" t="s">
        <v>5071</v>
      </c>
      <c r="AH318">
        <v>5</v>
      </c>
      <c r="AI318" t="s">
        <v>237</v>
      </c>
      <c r="AJ318" t="s">
        <v>5072</v>
      </c>
      <c r="AK318" t="s">
        <v>330</v>
      </c>
      <c r="AM318" t="s">
        <v>75</v>
      </c>
      <c r="AN318">
        <v>2048000</v>
      </c>
      <c r="AO318" s="9">
        <v>40960</v>
      </c>
    </row>
    <row r="319" spans="1:41" x14ac:dyDescent="0.25">
      <c r="A319">
        <v>318</v>
      </c>
      <c r="B319" t="s">
        <v>1305</v>
      </c>
      <c r="C319" t="s">
        <v>5073</v>
      </c>
      <c r="D319" t="s">
        <v>136</v>
      </c>
      <c r="E319" t="s">
        <v>47</v>
      </c>
      <c r="F319" t="s">
        <v>48</v>
      </c>
      <c r="G319" t="s">
        <v>4864</v>
      </c>
      <c r="H319" t="s">
        <v>5074</v>
      </c>
      <c r="I319" t="s">
        <v>5075</v>
      </c>
      <c r="J319">
        <v>1.5</v>
      </c>
      <c r="K319">
        <v>26.43</v>
      </c>
      <c r="L319" t="s">
        <v>5076</v>
      </c>
      <c r="M319" t="s">
        <v>5077</v>
      </c>
      <c r="N319" t="s">
        <v>83</v>
      </c>
      <c r="O319" t="s">
        <v>5078</v>
      </c>
      <c r="P319" t="s">
        <v>5079</v>
      </c>
      <c r="Q319" t="s">
        <v>5079</v>
      </c>
      <c r="R319" t="s">
        <v>5079</v>
      </c>
      <c r="S319" t="s">
        <v>5080</v>
      </c>
      <c r="T319">
        <v>2105250</v>
      </c>
      <c r="U319">
        <v>2807000</v>
      </c>
      <c r="V319" t="s">
        <v>5081</v>
      </c>
      <c r="W319" t="s">
        <v>763</v>
      </c>
      <c r="X319" t="s">
        <v>5082</v>
      </c>
      <c r="Y319" t="s">
        <v>5083</v>
      </c>
      <c r="Z319" t="s">
        <v>64</v>
      </c>
      <c r="AA319" t="s">
        <v>65</v>
      </c>
      <c r="AB319" t="s">
        <v>5084</v>
      </c>
      <c r="AC319" t="s">
        <v>151</v>
      </c>
      <c r="AD319" t="s">
        <v>1504</v>
      </c>
      <c r="AE319" t="s">
        <v>1539</v>
      </c>
      <c r="AF319" t="s">
        <v>1430</v>
      </c>
      <c r="AG319" t="s">
        <v>5085</v>
      </c>
      <c r="AH319">
        <v>5</v>
      </c>
      <c r="AI319" t="s">
        <v>237</v>
      </c>
      <c r="AJ319" t="s">
        <v>5086</v>
      </c>
      <c r="AK319" t="s">
        <v>4622</v>
      </c>
      <c r="AM319" t="s">
        <v>157</v>
      </c>
      <c r="AN319">
        <v>2105250</v>
      </c>
      <c r="AO319" s="9">
        <v>31578.75</v>
      </c>
    </row>
    <row r="320" spans="1:41" x14ac:dyDescent="0.25">
      <c r="A320">
        <v>319</v>
      </c>
      <c r="B320" t="s">
        <v>1305</v>
      </c>
      <c r="C320" t="s">
        <v>5087</v>
      </c>
      <c r="D320" t="s">
        <v>136</v>
      </c>
      <c r="E320" t="s">
        <v>47</v>
      </c>
      <c r="F320" t="s">
        <v>48</v>
      </c>
      <c r="G320" t="s">
        <v>5088</v>
      </c>
      <c r="H320" t="s">
        <v>5089</v>
      </c>
      <c r="I320" t="s">
        <v>5090</v>
      </c>
      <c r="J320">
        <v>2</v>
      </c>
      <c r="K320">
        <v>26.93</v>
      </c>
      <c r="L320" t="s">
        <v>5091</v>
      </c>
      <c r="M320" t="s">
        <v>5092</v>
      </c>
      <c r="N320" t="s">
        <v>187</v>
      </c>
      <c r="O320" t="s">
        <v>5093</v>
      </c>
      <c r="P320" t="s">
        <v>65</v>
      </c>
      <c r="Q320" t="s">
        <v>5094</v>
      </c>
      <c r="R320" t="s">
        <v>65</v>
      </c>
      <c r="S320" t="s">
        <v>5095</v>
      </c>
      <c r="T320">
        <v>782400</v>
      </c>
      <c r="U320">
        <v>1304000</v>
      </c>
      <c r="V320" t="s">
        <v>5096</v>
      </c>
      <c r="W320" t="s">
        <v>403</v>
      </c>
      <c r="X320" t="s">
        <v>5097</v>
      </c>
      <c r="Y320" t="s">
        <v>5098</v>
      </c>
      <c r="Z320" t="s">
        <v>64</v>
      </c>
      <c r="AA320" t="s">
        <v>65</v>
      </c>
      <c r="AB320" t="s">
        <v>5099</v>
      </c>
      <c r="AC320" t="s">
        <v>151</v>
      </c>
      <c r="AD320" t="s">
        <v>3202</v>
      </c>
      <c r="AE320" t="s">
        <v>288</v>
      </c>
      <c r="AF320" t="s">
        <v>2213</v>
      </c>
      <c r="AG320" t="s">
        <v>5100</v>
      </c>
      <c r="AH320">
        <v>5</v>
      </c>
      <c r="AI320" t="s">
        <v>100</v>
      </c>
      <c r="AJ320" t="s">
        <v>5101</v>
      </c>
      <c r="AK320" t="s">
        <v>358</v>
      </c>
      <c r="AM320" t="s">
        <v>75</v>
      </c>
      <c r="AN320">
        <v>978000</v>
      </c>
      <c r="AO320" s="9">
        <v>19560</v>
      </c>
    </row>
    <row r="321" spans="1:41" x14ac:dyDescent="0.25">
      <c r="A321">
        <v>320</v>
      </c>
      <c r="B321" t="s">
        <v>1305</v>
      </c>
      <c r="C321" t="s">
        <v>5102</v>
      </c>
      <c r="D321" t="s">
        <v>77</v>
      </c>
      <c r="E321" t="s">
        <v>47</v>
      </c>
      <c r="F321" t="s">
        <v>48</v>
      </c>
      <c r="G321" t="s">
        <v>516</v>
      </c>
      <c r="H321" t="s">
        <v>5103</v>
      </c>
      <c r="I321" t="s">
        <v>5104</v>
      </c>
      <c r="J321">
        <v>1.75</v>
      </c>
      <c r="K321">
        <v>25.43</v>
      </c>
      <c r="L321" t="s">
        <v>5105</v>
      </c>
      <c r="M321" t="s">
        <v>5106</v>
      </c>
      <c r="N321" t="s">
        <v>187</v>
      </c>
      <c r="O321" t="s">
        <v>5107</v>
      </c>
      <c r="P321" t="s">
        <v>5108</v>
      </c>
      <c r="Q321" t="s">
        <v>5108</v>
      </c>
      <c r="R321" t="s">
        <v>5108</v>
      </c>
      <c r="S321" t="s">
        <v>5109</v>
      </c>
      <c r="T321">
        <v>2200000</v>
      </c>
      <c r="U321">
        <v>4400000</v>
      </c>
      <c r="V321" t="s">
        <v>5110</v>
      </c>
      <c r="W321" t="s">
        <v>693</v>
      </c>
      <c r="X321" t="s">
        <v>5111</v>
      </c>
      <c r="Y321" t="s">
        <v>5112</v>
      </c>
      <c r="Z321" t="s">
        <v>93</v>
      </c>
      <c r="AA321" t="s">
        <v>5113</v>
      </c>
      <c r="AB321" t="s">
        <v>4710</v>
      </c>
      <c r="AC321" t="s">
        <v>151</v>
      </c>
      <c r="AD321" t="s">
        <v>728</v>
      </c>
      <c r="AE321" t="s">
        <v>604</v>
      </c>
      <c r="AF321" t="s">
        <v>974</v>
      </c>
      <c r="AG321" t="s">
        <v>5114</v>
      </c>
      <c r="AH321">
        <v>5</v>
      </c>
      <c r="AI321" t="s">
        <v>237</v>
      </c>
      <c r="AJ321" t="s">
        <v>5115</v>
      </c>
      <c r="AK321" t="s">
        <v>330</v>
      </c>
      <c r="AM321" t="s">
        <v>102</v>
      </c>
      <c r="AN321">
        <v>3520000</v>
      </c>
      <c r="AO321" s="9">
        <v>61600.000000000007</v>
      </c>
    </row>
    <row r="322" spans="1:41" x14ac:dyDescent="0.25">
      <c r="A322">
        <v>321</v>
      </c>
      <c r="B322" t="s">
        <v>1305</v>
      </c>
      <c r="C322" t="s">
        <v>5116</v>
      </c>
      <c r="D322" t="s">
        <v>136</v>
      </c>
      <c r="E322" t="s">
        <v>47</v>
      </c>
      <c r="F322" t="s">
        <v>48</v>
      </c>
      <c r="G322" t="s">
        <v>1258</v>
      </c>
      <c r="H322" t="s">
        <v>5117</v>
      </c>
      <c r="I322" t="s">
        <v>5118</v>
      </c>
      <c r="J322">
        <v>1.5</v>
      </c>
      <c r="K322">
        <v>27.18</v>
      </c>
      <c r="L322" t="s">
        <v>5119</v>
      </c>
      <c r="M322" t="s">
        <v>5120</v>
      </c>
      <c r="N322" t="s">
        <v>187</v>
      </c>
      <c r="O322" t="s">
        <v>5121</v>
      </c>
      <c r="P322" t="s">
        <v>5122</v>
      </c>
      <c r="Q322" t="s">
        <v>5122</v>
      </c>
      <c r="R322" t="s">
        <v>5122</v>
      </c>
      <c r="S322" t="s">
        <v>5123</v>
      </c>
      <c r="T322">
        <v>3451000</v>
      </c>
      <c r="U322">
        <v>4930000</v>
      </c>
      <c r="V322" t="s">
        <v>5124</v>
      </c>
      <c r="W322" t="s">
        <v>763</v>
      </c>
      <c r="X322" t="s">
        <v>5125</v>
      </c>
      <c r="Y322" t="s">
        <v>5126</v>
      </c>
      <c r="Z322" t="s">
        <v>64</v>
      </c>
      <c r="AA322" t="s">
        <v>65</v>
      </c>
      <c r="AB322" t="s">
        <v>1584</v>
      </c>
      <c r="AC322" t="s">
        <v>151</v>
      </c>
      <c r="AD322" t="s">
        <v>1504</v>
      </c>
      <c r="AE322" t="s">
        <v>1539</v>
      </c>
      <c r="AF322" t="s">
        <v>1430</v>
      </c>
      <c r="AG322" t="s">
        <v>5127</v>
      </c>
      <c r="AH322">
        <v>5</v>
      </c>
      <c r="AI322" t="s">
        <v>65</v>
      </c>
      <c r="AJ322" t="s">
        <v>65</v>
      </c>
      <c r="AK322" t="s">
        <v>65</v>
      </c>
      <c r="AM322" t="s">
        <v>157</v>
      </c>
      <c r="AN322">
        <v>3697500</v>
      </c>
      <c r="AO322" s="9">
        <v>55462.5</v>
      </c>
    </row>
    <row r="323" spans="1:41" x14ac:dyDescent="0.25">
      <c r="A323">
        <v>322</v>
      </c>
      <c r="B323" t="s">
        <v>1305</v>
      </c>
      <c r="C323" t="s">
        <v>5128</v>
      </c>
      <c r="D323" t="s">
        <v>77</v>
      </c>
      <c r="E323" t="s">
        <v>47</v>
      </c>
      <c r="F323" t="s">
        <v>48</v>
      </c>
      <c r="G323" t="s">
        <v>609</v>
      </c>
      <c r="H323" t="s">
        <v>5129</v>
      </c>
      <c r="I323" t="s">
        <v>5130</v>
      </c>
      <c r="J323">
        <v>2</v>
      </c>
      <c r="K323">
        <v>26.69</v>
      </c>
      <c r="L323" t="s">
        <v>5131</v>
      </c>
      <c r="M323" t="s">
        <v>5132</v>
      </c>
      <c r="N323" t="s">
        <v>83</v>
      </c>
      <c r="O323" t="s">
        <v>5133</v>
      </c>
      <c r="P323" t="s">
        <v>5134</v>
      </c>
      <c r="Q323" t="s">
        <v>5134</v>
      </c>
      <c r="R323" t="s">
        <v>5135</v>
      </c>
      <c r="S323" t="s">
        <v>5136</v>
      </c>
      <c r="T323">
        <v>816000</v>
      </c>
      <c r="U323">
        <v>1200000</v>
      </c>
      <c r="V323" t="s">
        <v>5137</v>
      </c>
      <c r="W323" t="s">
        <v>924</v>
      </c>
      <c r="X323" t="s">
        <v>5138</v>
      </c>
      <c r="Y323" t="s">
        <v>5139</v>
      </c>
      <c r="Z323" t="s">
        <v>93</v>
      </c>
      <c r="AA323" t="s">
        <v>5140</v>
      </c>
      <c r="AB323" t="s">
        <v>5141</v>
      </c>
      <c r="AC323" t="s">
        <v>2425</v>
      </c>
      <c r="AD323" t="s">
        <v>2334</v>
      </c>
      <c r="AE323" t="s">
        <v>2335</v>
      </c>
      <c r="AF323" t="s">
        <v>2213</v>
      </c>
      <c r="AG323" t="s">
        <v>5142</v>
      </c>
      <c r="AH323">
        <v>6</v>
      </c>
      <c r="AI323" t="s">
        <v>511</v>
      </c>
      <c r="AJ323" t="s">
        <v>5143</v>
      </c>
      <c r="AK323" t="s">
        <v>2338</v>
      </c>
      <c r="AM323" t="s">
        <v>75</v>
      </c>
      <c r="AN323">
        <v>840000</v>
      </c>
      <c r="AO323" s="9">
        <v>16800</v>
      </c>
    </row>
    <row r="324" spans="1:41" x14ac:dyDescent="0.25">
      <c r="A324">
        <v>323</v>
      </c>
      <c r="B324" t="s">
        <v>1305</v>
      </c>
      <c r="C324" t="s">
        <v>5144</v>
      </c>
      <c r="D324" t="s">
        <v>46</v>
      </c>
      <c r="E324" t="s">
        <v>47</v>
      </c>
      <c r="F324" t="s">
        <v>48</v>
      </c>
      <c r="G324" t="s">
        <v>104</v>
      </c>
      <c r="H324" t="s">
        <v>5145</v>
      </c>
      <c r="I324" t="s">
        <v>5146</v>
      </c>
      <c r="J324">
        <v>1.75</v>
      </c>
      <c r="K324">
        <v>25.94</v>
      </c>
      <c r="L324" t="s">
        <v>5147</v>
      </c>
      <c r="M324" t="s">
        <v>5148</v>
      </c>
      <c r="N324" t="s">
        <v>83</v>
      </c>
      <c r="O324" t="s">
        <v>5149</v>
      </c>
      <c r="P324" t="s">
        <v>65</v>
      </c>
      <c r="Q324" t="s">
        <v>5150</v>
      </c>
      <c r="R324" t="s">
        <v>5151</v>
      </c>
      <c r="S324" t="s">
        <v>5152</v>
      </c>
      <c r="T324">
        <v>3239400</v>
      </c>
      <c r="U324">
        <v>5399000</v>
      </c>
      <c r="V324" t="s">
        <v>5153</v>
      </c>
      <c r="W324" t="s">
        <v>693</v>
      </c>
      <c r="X324" t="s">
        <v>5154</v>
      </c>
      <c r="Y324" t="s">
        <v>116</v>
      </c>
      <c r="Z324" t="s">
        <v>64</v>
      </c>
      <c r="AA324" t="s">
        <v>65</v>
      </c>
      <c r="AB324" t="s">
        <v>65</v>
      </c>
      <c r="AC324" t="s">
        <v>67</v>
      </c>
      <c r="AD324" t="s">
        <v>1094</v>
      </c>
      <c r="AE324" t="s">
        <v>399</v>
      </c>
      <c r="AF324" t="s">
        <v>1354</v>
      </c>
      <c r="AG324" t="s">
        <v>5155</v>
      </c>
      <c r="AH324">
        <v>5</v>
      </c>
      <c r="AI324" t="s">
        <v>65</v>
      </c>
      <c r="AJ324" t="s">
        <v>65</v>
      </c>
      <c r="AK324" t="s">
        <v>65</v>
      </c>
      <c r="AM324" t="s">
        <v>102</v>
      </c>
      <c r="AN324">
        <v>4319200</v>
      </c>
      <c r="AO324" s="9">
        <v>75586</v>
      </c>
    </row>
    <row r="325" spans="1:41" x14ac:dyDescent="0.25">
      <c r="A325">
        <v>324</v>
      </c>
      <c r="B325" t="s">
        <v>1305</v>
      </c>
      <c r="C325" t="s">
        <v>5156</v>
      </c>
      <c r="D325" t="s">
        <v>77</v>
      </c>
      <c r="E325" t="s">
        <v>47</v>
      </c>
      <c r="F325" t="s">
        <v>48</v>
      </c>
      <c r="G325" t="s">
        <v>2144</v>
      </c>
      <c r="H325" t="s">
        <v>5157</v>
      </c>
      <c r="I325" t="s">
        <v>5158</v>
      </c>
      <c r="J325">
        <v>1.75</v>
      </c>
      <c r="K325">
        <v>25.7</v>
      </c>
      <c r="L325" t="s">
        <v>5159</v>
      </c>
      <c r="M325" t="s">
        <v>5160</v>
      </c>
      <c r="N325" t="s">
        <v>187</v>
      </c>
      <c r="O325" t="s">
        <v>5161</v>
      </c>
      <c r="P325" t="s">
        <v>5162</v>
      </c>
      <c r="Q325" t="s">
        <v>5162</v>
      </c>
      <c r="R325" t="s">
        <v>5162</v>
      </c>
      <c r="S325" t="s">
        <v>5163</v>
      </c>
      <c r="T325">
        <v>1128160</v>
      </c>
      <c r="U325">
        <v>2564000</v>
      </c>
      <c r="V325" t="s">
        <v>5164</v>
      </c>
      <c r="W325" t="s">
        <v>5165</v>
      </c>
      <c r="X325" t="s">
        <v>5166</v>
      </c>
      <c r="Y325" t="s">
        <v>5167</v>
      </c>
      <c r="Z325" t="s">
        <v>64</v>
      </c>
      <c r="AA325" t="s">
        <v>65</v>
      </c>
      <c r="AB325" t="s">
        <v>4147</v>
      </c>
      <c r="AC325" t="s">
        <v>531</v>
      </c>
      <c r="AD325" t="s">
        <v>211</v>
      </c>
      <c r="AE325" t="s">
        <v>98</v>
      </c>
      <c r="AF325" t="s">
        <v>2533</v>
      </c>
      <c r="AG325" t="s">
        <v>5168</v>
      </c>
      <c r="AH325">
        <v>3</v>
      </c>
      <c r="AI325" t="s">
        <v>100</v>
      </c>
      <c r="AJ325" t="s">
        <v>5169</v>
      </c>
      <c r="AK325" t="s">
        <v>375</v>
      </c>
      <c r="AM325" t="s">
        <v>102</v>
      </c>
      <c r="AN325">
        <v>2179400</v>
      </c>
      <c r="AO325" s="9">
        <v>38139.5</v>
      </c>
    </row>
    <row r="326" spans="1:41" x14ac:dyDescent="0.25">
      <c r="A326">
        <v>325</v>
      </c>
      <c r="B326" t="s">
        <v>1305</v>
      </c>
      <c r="C326" t="s">
        <v>5170</v>
      </c>
      <c r="D326" t="s">
        <v>77</v>
      </c>
      <c r="E326" t="s">
        <v>47</v>
      </c>
      <c r="F326" t="s">
        <v>48</v>
      </c>
      <c r="G326" t="s">
        <v>1221</v>
      </c>
      <c r="H326" t="s">
        <v>5171</v>
      </c>
      <c r="I326" t="s">
        <v>5172</v>
      </c>
      <c r="J326">
        <v>1.75</v>
      </c>
      <c r="K326">
        <v>25.19</v>
      </c>
      <c r="L326" t="s">
        <v>5173</v>
      </c>
      <c r="M326" t="s">
        <v>5174</v>
      </c>
      <c r="N326" t="s">
        <v>83</v>
      </c>
      <c r="O326" t="s">
        <v>5175</v>
      </c>
      <c r="P326" t="s">
        <v>652</v>
      </c>
      <c r="Q326" t="s">
        <v>5176</v>
      </c>
      <c r="R326" t="s">
        <v>5177</v>
      </c>
      <c r="S326" t="s">
        <v>5178</v>
      </c>
      <c r="T326">
        <v>1785000</v>
      </c>
      <c r="U326">
        <v>2550000</v>
      </c>
      <c r="V326" t="s">
        <v>5179</v>
      </c>
      <c r="W326" t="s">
        <v>5165</v>
      </c>
      <c r="X326" t="s">
        <v>5180</v>
      </c>
      <c r="Y326" t="s">
        <v>5181</v>
      </c>
      <c r="Z326" t="s">
        <v>93</v>
      </c>
      <c r="AA326" t="s">
        <v>5182</v>
      </c>
      <c r="AB326" t="s">
        <v>530</v>
      </c>
      <c r="AC326" t="s">
        <v>531</v>
      </c>
      <c r="AD326" t="s">
        <v>307</v>
      </c>
      <c r="AE326" t="s">
        <v>231</v>
      </c>
      <c r="AF326" t="s">
        <v>2213</v>
      </c>
      <c r="AG326" t="s">
        <v>5183</v>
      </c>
      <c r="AH326">
        <v>3</v>
      </c>
      <c r="AI326" t="s">
        <v>100</v>
      </c>
      <c r="AJ326" t="s">
        <v>5184</v>
      </c>
      <c r="AK326" t="s">
        <v>375</v>
      </c>
      <c r="AM326" t="s">
        <v>102</v>
      </c>
      <c r="AN326">
        <v>2167500</v>
      </c>
      <c r="AO326" s="9">
        <v>37931.25</v>
      </c>
    </row>
    <row r="327" spans="1:41" x14ac:dyDescent="0.25">
      <c r="A327">
        <v>326</v>
      </c>
      <c r="B327" t="s">
        <v>1305</v>
      </c>
      <c r="C327" t="s">
        <v>5185</v>
      </c>
      <c r="D327" t="s">
        <v>277</v>
      </c>
      <c r="E327" t="s">
        <v>47</v>
      </c>
      <c r="F327" t="s">
        <v>48</v>
      </c>
      <c r="G327" t="s">
        <v>1636</v>
      </c>
      <c r="H327" t="s">
        <v>5186</v>
      </c>
      <c r="I327" t="s">
        <v>5187</v>
      </c>
      <c r="J327">
        <v>1.5</v>
      </c>
      <c r="K327">
        <v>26.19</v>
      </c>
      <c r="L327" t="s">
        <v>5188</v>
      </c>
      <c r="M327" t="s">
        <v>5189</v>
      </c>
      <c r="N327" t="s">
        <v>83</v>
      </c>
      <c r="O327" t="s">
        <v>5190</v>
      </c>
      <c r="P327" t="s">
        <v>1016</v>
      </c>
      <c r="Q327" t="s">
        <v>5191</v>
      </c>
      <c r="R327" t="s">
        <v>5192</v>
      </c>
      <c r="S327" t="s">
        <v>5193</v>
      </c>
      <c r="T327">
        <v>2450000</v>
      </c>
      <c r="U327">
        <v>3500000</v>
      </c>
      <c r="V327" t="s">
        <v>5194</v>
      </c>
      <c r="W327" t="s">
        <v>5165</v>
      </c>
      <c r="X327" t="s">
        <v>5195</v>
      </c>
      <c r="Y327" t="s">
        <v>5196</v>
      </c>
      <c r="Z327" t="s">
        <v>93</v>
      </c>
      <c r="AA327" t="s">
        <v>5197</v>
      </c>
      <c r="AB327" t="s">
        <v>378</v>
      </c>
      <c r="AC327" t="s">
        <v>662</v>
      </c>
      <c r="AD327" t="s">
        <v>307</v>
      </c>
      <c r="AE327" t="s">
        <v>231</v>
      </c>
      <c r="AF327" t="s">
        <v>2213</v>
      </c>
      <c r="AG327" t="s">
        <v>5198</v>
      </c>
      <c r="AH327">
        <v>3</v>
      </c>
      <c r="AI327" t="s">
        <v>100</v>
      </c>
      <c r="AJ327" t="s">
        <v>5199</v>
      </c>
      <c r="AK327" t="s">
        <v>307</v>
      </c>
      <c r="AM327" t="s">
        <v>157</v>
      </c>
      <c r="AN327">
        <v>2975000</v>
      </c>
      <c r="AO327" s="9">
        <v>44625</v>
      </c>
    </row>
    <row r="328" spans="1:41" x14ac:dyDescent="0.25">
      <c r="A328">
        <v>327</v>
      </c>
      <c r="B328" t="s">
        <v>1305</v>
      </c>
      <c r="C328" t="s">
        <v>5200</v>
      </c>
      <c r="D328" t="s">
        <v>77</v>
      </c>
      <c r="E328" t="s">
        <v>47</v>
      </c>
      <c r="F328" t="s">
        <v>48</v>
      </c>
      <c r="G328" t="s">
        <v>609</v>
      </c>
      <c r="H328" t="s">
        <v>5201</v>
      </c>
      <c r="I328" t="s">
        <v>5202</v>
      </c>
      <c r="J328">
        <v>1.5</v>
      </c>
      <c r="K328">
        <v>25.44</v>
      </c>
      <c r="L328" t="s">
        <v>5203</v>
      </c>
      <c r="M328" t="s">
        <v>5204</v>
      </c>
      <c r="N328" t="s">
        <v>83</v>
      </c>
      <c r="O328" t="s">
        <v>5205</v>
      </c>
      <c r="P328" t="s">
        <v>65</v>
      </c>
      <c r="Q328" t="s">
        <v>5206</v>
      </c>
      <c r="R328" t="s">
        <v>65</v>
      </c>
      <c r="S328" t="s">
        <v>5207</v>
      </c>
      <c r="T328">
        <v>2257500</v>
      </c>
      <c r="U328">
        <v>3225000</v>
      </c>
      <c r="V328" t="s">
        <v>5208</v>
      </c>
      <c r="W328" t="s">
        <v>5165</v>
      </c>
      <c r="X328" t="s">
        <v>5209</v>
      </c>
      <c r="Y328" t="s">
        <v>5210</v>
      </c>
      <c r="Z328" t="s">
        <v>93</v>
      </c>
      <c r="AA328" t="s">
        <v>5211</v>
      </c>
      <c r="AB328" t="s">
        <v>2842</v>
      </c>
      <c r="AC328" t="s">
        <v>531</v>
      </c>
      <c r="AD328" t="s">
        <v>307</v>
      </c>
      <c r="AE328" t="s">
        <v>231</v>
      </c>
      <c r="AF328" t="s">
        <v>4995</v>
      </c>
      <c r="AG328" t="s">
        <v>5212</v>
      </c>
      <c r="AH328">
        <v>5</v>
      </c>
      <c r="AI328" t="s">
        <v>72</v>
      </c>
      <c r="AJ328" t="s">
        <v>5213</v>
      </c>
      <c r="AK328" t="s">
        <v>375</v>
      </c>
      <c r="AM328" t="s">
        <v>157</v>
      </c>
      <c r="AN328">
        <v>2741250</v>
      </c>
      <c r="AO328" s="9">
        <v>41118.75</v>
      </c>
    </row>
    <row r="329" spans="1:41" x14ac:dyDescent="0.25">
      <c r="A329">
        <v>328</v>
      </c>
      <c r="B329" t="s">
        <v>1305</v>
      </c>
      <c r="C329" t="s">
        <v>5214</v>
      </c>
      <c r="D329" t="s">
        <v>46</v>
      </c>
      <c r="E329" t="s">
        <v>47</v>
      </c>
      <c r="F329" t="s">
        <v>48</v>
      </c>
      <c r="G329" t="s">
        <v>182</v>
      </c>
      <c r="H329" t="s">
        <v>5215</v>
      </c>
      <c r="I329" t="s">
        <v>5216</v>
      </c>
      <c r="J329">
        <v>2</v>
      </c>
      <c r="K329">
        <v>26.69</v>
      </c>
      <c r="L329" t="s">
        <v>5217</v>
      </c>
      <c r="M329" t="s">
        <v>5218</v>
      </c>
      <c r="N329" t="s">
        <v>83</v>
      </c>
      <c r="O329" t="s">
        <v>5219</v>
      </c>
      <c r="P329" t="s">
        <v>5220</v>
      </c>
      <c r="Q329" t="s">
        <v>5220</v>
      </c>
      <c r="R329" t="s">
        <v>5220</v>
      </c>
      <c r="S329" t="s">
        <v>5221</v>
      </c>
      <c r="T329">
        <v>2029300</v>
      </c>
      <c r="U329">
        <v>2899000</v>
      </c>
      <c r="V329" t="s">
        <v>5222</v>
      </c>
      <c r="W329" t="s">
        <v>5165</v>
      </c>
      <c r="X329" t="s">
        <v>5223</v>
      </c>
      <c r="Y329" t="s">
        <v>5224</v>
      </c>
      <c r="Z329" t="s">
        <v>64</v>
      </c>
      <c r="AA329" t="s">
        <v>65</v>
      </c>
      <c r="AB329" t="s">
        <v>5225</v>
      </c>
      <c r="AC329" t="s">
        <v>531</v>
      </c>
      <c r="AD329" t="s">
        <v>1075</v>
      </c>
      <c r="AE329" t="s">
        <v>231</v>
      </c>
      <c r="AF329" t="s">
        <v>4995</v>
      </c>
      <c r="AG329" t="s">
        <v>5226</v>
      </c>
      <c r="AH329">
        <v>5</v>
      </c>
      <c r="AI329" t="s">
        <v>100</v>
      </c>
      <c r="AJ329" t="s">
        <v>5227</v>
      </c>
      <c r="AK329" t="s">
        <v>5228</v>
      </c>
      <c r="AM329" t="s">
        <v>75</v>
      </c>
      <c r="AN329">
        <v>2464150</v>
      </c>
      <c r="AO329" s="9">
        <v>49283</v>
      </c>
    </row>
    <row r="330" spans="1:41" x14ac:dyDescent="0.25">
      <c r="A330">
        <v>329</v>
      </c>
      <c r="B330" t="s">
        <v>1305</v>
      </c>
      <c r="C330" t="s">
        <v>5229</v>
      </c>
      <c r="D330" t="s">
        <v>46</v>
      </c>
      <c r="E330" t="s">
        <v>47</v>
      </c>
      <c r="F330" t="s">
        <v>48</v>
      </c>
      <c r="G330" t="s">
        <v>182</v>
      </c>
      <c r="H330" t="s">
        <v>5230</v>
      </c>
      <c r="I330" t="s">
        <v>5231</v>
      </c>
      <c r="J330">
        <v>2</v>
      </c>
      <c r="K330">
        <v>26.69</v>
      </c>
      <c r="L330" t="s">
        <v>5232</v>
      </c>
      <c r="M330" t="s">
        <v>5233</v>
      </c>
      <c r="N330" t="s">
        <v>83</v>
      </c>
      <c r="O330" t="s">
        <v>5234</v>
      </c>
      <c r="P330" t="s">
        <v>5235</v>
      </c>
      <c r="Q330" t="s">
        <v>5235</v>
      </c>
      <c r="R330" t="s">
        <v>167</v>
      </c>
      <c r="S330" t="s">
        <v>5236</v>
      </c>
      <c r="T330">
        <v>1397600</v>
      </c>
      <c r="U330">
        <v>1747000</v>
      </c>
      <c r="V330" t="s">
        <v>5237</v>
      </c>
      <c r="W330" t="s">
        <v>5165</v>
      </c>
      <c r="X330" t="s">
        <v>5238</v>
      </c>
      <c r="Y330" t="s">
        <v>5239</v>
      </c>
      <c r="Z330" t="s">
        <v>64</v>
      </c>
      <c r="AA330" t="s">
        <v>65</v>
      </c>
      <c r="AB330" t="s">
        <v>1696</v>
      </c>
      <c r="AC330" t="s">
        <v>531</v>
      </c>
      <c r="AD330" t="s">
        <v>1697</v>
      </c>
      <c r="AE330" t="s">
        <v>231</v>
      </c>
      <c r="AF330" t="s">
        <v>4995</v>
      </c>
      <c r="AG330" t="s">
        <v>5240</v>
      </c>
      <c r="AH330">
        <v>5</v>
      </c>
      <c r="AI330" t="s">
        <v>237</v>
      </c>
      <c r="AJ330" t="s">
        <v>5241</v>
      </c>
      <c r="AK330" t="s">
        <v>774</v>
      </c>
      <c r="AM330" t="s">
        <v>75</v>
      </c>
      <c r="AN330">
        <v>1484950</v>
      </c>
      <c r="AO330" s="9">
        <v>29699</v>
      </c>
    </row>
    <row r="331" spans="1:41" x14ac:dyDescent="0.25">
      <c r="A331">
        <v>330</v>
      </c>
      <c r="B331" t="s">
        <v>1305</v>
      </c>
      <c r="C331" t="s">
        <v>5242</v>
      </c>
      <c r="D331" t="s">
        <v>77</v>
      </c>
      <c r="E331" t="s">
        <v>47</v>
      </c>
      <c r="F331" t="s">
        <v>48</v>
      </c>
      <c r="G331" t="s">
        <v>2521</v>
      </c>
      <c r="H331" t="s">
        <v>5243</v>
      </c>
      <c r="I331" t="s">
        <v>5244</v>
      </c>
      <c r="J331">
        <v>1.75</v>
      </c>
      <c r="K331">
        <v>25.44</v>
      </c>
      <c r="L331" t="s">
        <v>5245</v>
      </c>
      <c r="M331" t="s">
        <v>5246</v>
      </c>
      <c r="N331" t="s">
        <v>187</v>
      </c>
      <c r="O331" t="s">
        <v>5247</v>
      </c>
      <c r="P331" t="s">
        <v>65</v>
      </c>
      <c r="Q331" t="s">
        <v>5248</v>
      </c>
      <c r="R331" t="s">
        <v>65</v>
      </c>
      <c r="S331" t="s">
        <v>5249</v>
      </c>
      <c r="T331">
        <v>1077300</v>
      </c>
      <c r="U331">
        <v>1710000</v>
      </c>
      <c r="V331" t="s">
        <v>5250</v>
      </c>
      <c r="W331" t="s">
        <v>5165</v>
      </c>
      <c r="X331" t="s">
        <v>5251</v>
      </c>
      <c r="Y331" t="s">
        <v>5252</v>
      </c>
      <c r="Z331" t="s">
        <v>93</v>
      </c>
      <c r="AA331" t="s">
        <v>5253</v>
      </c>
      <c r="AB331" t="s">
        <v>4147</v>
      </c>
      <c r="AC331" t="s">
        <v>662</v>
      </c>
      <c r="AD331" t="s">
        <v>307</v>
      </c>
      <c r="AE331" t="s">
        <v>231</v>
      </c>
      <c r="AF331" t="s">
        <v>4995</v>
      </c>
      <c r="AG331" t="s">
        <v>5254</v>
      </c>
      <c r="AH331">
        <v>5</v>
      </c>
      <c r="AI331" t="s">
        <v>100</v>
      </c>
      <c r="AJ331" t="s">
        <v>5255</v>
      </c>
      <c r="AK331" t="s">
        <v>375</v>
      </c>
      <c r="AM331" t="s">
        <v>102</v>
      </c>
      <c r="AN331">
        <v>1453500</v>
      </c>
      <c r="AO331" s="9">
        <v>25436.250000000004</v>
      </c>
    </row>
    <row r="332" spans="1:41" x14ac:dyDescent="0.25">
      <c r="A332">
        <v>331</v>
      </c>
      <c r="B332" t="s">
        <v>1305</v>
      </c>
      <c r="C332" t="s">
        <v>5256</v>
      </c>
      <c r="D332" t="s">
        <v>241</v>
      </c>
      <c r="E332" t="s">
        <v>47</v>
      </c>
      <c r="F332" t="s">
        <v>48</v>
      </c>
      <c r="G332" t="s">
        <v>1668</v>
      </c>
      <c r="H332" t="s">
        <v>5257</v>
      </c>
      <c r="I332" t="s">
        <v>5258</v>
      </c>
      <c r="J332">
        <v>2</v>
      </c>
      <c r="K332">
        <v>26.29</v>
      </c>
      <c r="L332" t="s">
        <v>5259</v>
      </c>
      <c r="M332" t="s">
        <v>5260</v>
      </c>
      <c r="N332" t="s">
        <v>187</v>
      </c>
      <c r="O332" t="s">
        <v>5261</v>
      </c>
      <c r="P332" t="s">
        <v>5262</v>
      </c>
      <c r="Q332" t="s">
        <v>5262</v>
      </c>
      <c r="R332" t="s">
        <v>5262</v>
      </c>
      <c r="S332" t="s">
        <v>5263</v>
      </c>
      <c r="T332">
        <v>2269850</v>
      </c>
      <c r="U332">
        <v>4127000</v>
      </c>
      <c r="V332" t="s">
        <v>5264</v>
      </c>
      <c r="W332" t="s">
        <v>693</v>
      </c>
      <c r="X332" t="s">
        <v>5265</v>
      </c>
      <c r="Y332" t="s">
        <v>5266</v>
      </c>
      <c r="Z332" t="s">
        <v>64</v>
      </c>
      <c r="AA332" t="s">
        <v>65</v>
      </c>
      <c r="AB332" t="s">
        <v>150</v>
      </c>
      <c r="AC332" t="s">
        <v>67</v>
      </c>
      <c r="AD332" t="s">
        <v>5267</v>
      </c>
      <c r="AE332" t="s">
        <v>69</v>
      </c>
      <c r="AF332" t="s">
        <v>1007</v>
      </c>
      <c r="AG332" t="s">
        <v>5268</v>
      </c>
      <c r="AH332">
        <v>5</v>
      </c>
      <c r="AI332" t="s">
        <v>237</v>
      </c>
      <c r="AJ332" t="s">
        <v>5269</v>
      </c>
      <c r="AK332" t="s">
        <v>728</v>
      </c>
      <c r="AM332" t="s">
        <v>75</v>
      </c>
      <c r="AN332">
        <v>3301600</v>
      </c>
      <c r="AO332" s="9">
        <v>66032</v>
      </c>
    </row>
    <row r="333" spans="1:41" x14ac:dyDescent="0.25">
      <c r="A333">
        <v>332</v>
      </c>
      <c r="B333" t="s">
        <v>1305</v>
      </c>
      <c r="C333" t="s">
        <v>5270</v>
      </c>
      <c r="D333" t="s">
        <v>277</v>
      </c>
      <c r="E333" t="s">
        <v>47</v>
      </c>
      <c r="F333" t="s">
        <v>48</v>
      </c>
      <c r="G333" t="s">
        <v>516</v>
      </c>
      <c r="H333" t="s">
        <v>5271</v>
      </c>
      <c r="I333" t="s">
        <v>5272</v>
      </c>
      <c r="J333">
        <v>1.75</v>
      </c>
      <c r="K333">
        <v>26.19</v>
      </c>
      <c r="L333" t="s">
        <v>5273</v>
      </c>
      <c r="M333" t="s">
        <v>5274</v>
      </c>
      <c r="N333" t="s">
        <v>187</v>
      </c>
      <c r="O333" t="s">
        <v>5275</v>
      </c>
      <c r="P333" t="s">
        <v>5276</v>
      </c>
      <c r="Q333" t="s">
        <v>5276</v>
      </c>
      <c r="R333" t="s">
        <v>5276</v>
      </c>
      <c r="S333" t="s">
        <v>5277</v>
      </c>
      <c r="T333">
        <v>1151500</v>
      </c>
      <c r="U333">
        <v>1645000</v>
      </c>
      <c r="V333" t="s">
        <v>5278</v>
      </c>
      <c r="W333" t="s">
        <v>5165</v>
      </c>
      <c r="X333" t="s">
        <v>5279</v>
      </c>
      <c r="Y333" t="s">
        <v>5280</v>
      </c>
      <c r="Z333" t="s">
        <v>93</v>
      </c>
      <c r="AA333" t="s">
        <v>5281</v>
      </c>
      <c r="AB333" t="s">
        <v>5282</v>
      </c>
      <c r="AC333" t="s">
        <v>662</v>
      </c>
      <c r="AD333" t="s">
        <v>307</v>
      </c>
      <c r="AE333" t="s">
        <v>231</v>
      </c>
      <c r="AF333" t="s">
        <v>2213</v>
      </c>
      <c r="AG333" t="s">
        <v>5283</v>
      </c>
      <c r="AH333">
        <v>3</v>
      </c>
      <c r="AI333" t="s">
        <v>100</v>
      </c>
      <c r="AJ333" t="s">
        <v>5284</v>
      </c>
      <c r="AK333" t="s">
        <v>5285</v>
      </c>
      <c r="AM333" t="s">
        <v>102</v>
      </c>
      <c r="AN333">
        <v>1398250</v>
      </c>
      <c r="AO333" s="9">
        <v>24469.375000000004</v>
      </c>
    </row>
    <row r="334" spans="1:41" x14ac:dyDescent="0.25">
      <c r="A334">
        <v>333</v>
      </c>
      <c r="B334" t="s">
        <v>1305</v>
      </c>
      <c r="C334" t="s">
        <v>5286</v>
      </c>
      <c r="D334" t="s">
        <v>277</v>
      </c>
      <c r="E334" t="s">
        <v>47</v>
      </c>
      <c r="F334" t="s">
        <v>48</v>
      </c>
      <c r="G334" t="s">
        <v>2658</v>
      </c>
      <c r="H334" t="s">
        <v>5287</v>
      </c>
      <c r="I334" t="s">
        <v>5288</v>
      </c>
      <c r="J334">
        <v>1.75</v>
      </c>
      <c r="K334">
        <v>26.19</v>
      </c>
      <c r="L334" t="s">
        <v>5289</v>
      </c>
      <c r="M334" t="s">
        <v>5290</v>
      </c>
      <c r="N334" t="s">
        <v>187</v>
      </c>
      <c r="O334" t="s">
        <v>5291</v>
      </c>
      <c r="P334" t="s">
        <v>5292</v>
      </c>
      <c r="Q334" t="s">
        <v>5293</v>
      </c>
      <c r="R334" t="s">
        <v>5294</v>
      </c>
      <c r="S334" t="s">
        <v>5295</v>
      </c>
      <c r="T334">
        <v>2660000</v>
      </c>
      <c r="U334">
        <v>3800000</v>
      </c>
      <c r="V334" t="s">
        <v>5296</v>
      </c>
      <c r="W334" t="s">
        <v>5165</v>
      </c>
      <c r="X334" t="s">
        <v>5297</v>
      </c>
      <c r="Y334" t="s">
        <v>5298</v>
      </c>
      <c r="Z334" t="s">
        <v>93</v>
      </c>
      <c r="AA334" t="s">
        <v>5299</v>
      </c>
      <c r="AB334" t="s">
        <v>5225</v>
      </c>
      <c r="AC334" t="s">
        <v>531</v>
      </c>
      <c r="AD334" t="s">
        <v>307</v>
      </c>
      <c r="AE334" t="s">
        <v>231</v>
      </c>
      <c r="AF334" t="s">
        <v>2213</v>
      </c>
      <c r="AG334" t="s">
        <v>5300</v>
      </c>
      <c r="AH334">
        <v>3</v>
      </c>
      <c r="AI334" t="s">
        <v>72</v>
      </c>
      <c r="AJ334" t="s">
        <v>5301</v>
      </c>
      <c r="AK334" t="s">
        <v>5285</v>
      </c>
      <c r="AM334" t="s">
        <v>102</v>
      </c>
      <c r="AN334">
        <v>3230000</v>
      </c>
      <c r="AO334" s="9">
        <v>56525.000000000007</v>
      </c>
    </row>
    <row r="335" spans="1:41" hidden="1" x14ac:dyDescent="0.25">
      <c r="A335">
        <v>334</v>
      </c>
      <c r="B335" t="s">
        <v>1305</v>
      </c>
      <c r="C335" t="s">
        <v>5302</v>
      </c>
      <c r="D335" t="s">
        <v>46</v>
      </c>
      <c r="E335" t="s">
        <v>47</v>
      </c>
      <c r="F335" t="s">
        <v>48</v>
      </c>
      <c r="G335" t="s">
        <v>573</v>
      </c>
      <c r="H335" t="s">
        <v>5303</v>
      </c>
      <c r="I335" t="s">
        <v>5304</v>
      </c>
      <c r="J335">
        <v>1.75</v>
      </c>
      <c r="K335">
        <v>25.43</v>
      </c>
      <c r="L335" t="s">
        <v>5305</v>
      </c>
      <c r="M335" t="s">
        <v>5306</v>
      </c>
      <c r="N335" t="s">
        <v>83</v>
      </c>
      <c r="O335" t="s">
        <v>5307</v>
      </c>
      <c r="P335" t="s">
        <v>5308</v>
      </c>
      <c r="Q335" t="s">
        <v>5309</v>
      </c>
      <c r="R335" t="s">
        <v>5310</v>
      </c>
      <c r="S335" t="s">
        <v>5311</v>
      </c>
      <c r="T335">
        <v>3849300</v>
      </c>
      <c r="U335">
        <v>5499000</v>
      </c>
      <c r="V335" t="s">
        <v>5312</v>
      </c>
      <c r="W335" t="s">
        <v>394</v>
      </c>
      <c r="X335" t="s">
        <v>5313</v>
      </c>
      <c r="Y335" t="s">
        <v>5314</v>
      </c>
      <c r="Z335" t="s">
        <v>64</v>
      </c>
      <c r="AA335" t="s">
        <v>65</v>
      </c>
      <c r="AB335" t="s">
        <v>5315</v>
      </c>
      <c r="AC335" t="s">
        <v>67</v>
      </c>
      <c r="AD335" t="s">
        <v>5316</v>
      </c>
      <c r="AE335" t="s">
        <v>5317</v>
      </c>
      <c r="AF335" t="s">
        <v>5318</v>
      </c>
      <c r="AG335" t="s">
        <v>5319</v>
      </c>
      <c r="AH335">
        <v>3</v>
      </c>
      <c r="AI335" t="s">
        <v>237</v>
      </c>
      <c r="AJ335" t="s">
        <v>5320</v>
      </c>
      <c r="AK335" t="s">
        <v>5321</v>
      </c>
      <c r="AM335" t="s">
        <v>102</v>
      </c>
      <c r="AN335">
        <v>0</v>
      </c>
      <c r="AO335">
        <v>0</v>
      </c>
    </row>
    <row r="336" spans="1:41" x14ac:dyDescent="0.25">
      <c r="A336">
        <v>335</v>
      </c>
      <c r="B336" t="s">
        <v>1305</v>
      </c>
      <c r="C336" t="s">
        <v>5322</v>
      </c>
      <c r="D336" t="s">
        <v>241</v>
      </c>
      <c r="E336" t="s">
        <v>47</v>
      </c>
      <c r="F336" t="s">
        <v>48</v>
      </c>
      <c r="G336" t="s">
        <v>2874</v>
      </c>
      <c r="H336" t="s">
        <v>5323</v>
      </c>
      <c r="I336" t="s">
        <v>5324</v>
      </c>
      <c r="J336">
        <v>2</v>
      </c>
      <c r="K336">
        <v>26.45</v>
      </c>
      <c r="L336" t="s">
        <v>5325</v>
      </c>
      <c r="M336" t="s">
        <v>5326</v>
      </c>
      <c r="N336" t="s">
        <v>187</v>
      </c>
      <c r="O336" t="s">
        <v>5327</v>
      </c>
      <c r="P336" t="s">
        <v>65</v>
      </c>
      <c r="Q336" t="s">
        <v>65</v>
      </c>
      <c r="R336" t="s">
        <v>5328</v>
      </c>
      <c r="S336" t="s">
        <v>5329</v>
      </c>
      <c r="T336">
        <v>2345280</v>
      </c>
      <c r="U336">
        <v>3908800</v>
      </c>
      <c r="V336" t="s">
        <v>5330</v>
      </c>
      <c r="W336" t="s">
        <v>394</v>
      </c>
      <c r="X336" t="s">
        <v>5331</v>
      </c>
      <c r="Y336" t="s">
        <v>5332</v>
      </c>
      <c r="Z336" t="s">
        <v>64</v>
      </c>
      <c r="AA336" t="s">
        <v>65</v>
      </c>
      <c r="AB336" t="s">
        <v>397</v>
      </c>
      <c r="AC336" t="s">
        <v>67</v>
      </c>
      <c r="AD336" t="s">
        <v>1132</v>
      </c>
      <c r="AE336" t="s">
        <v>69</v>
      </c>
      <c r="AF336" t="s">
        <v>1007</v>
      </c>
      <c r="AG336" t="s">
        <v>5333</v>
      </c>
      <c r="AH336">
        <v>5</v>
      </c>
      <c r="AI336" t="s">
        <v>237</v>
      </c>
      <c r="AJ336" t="s">
        <v>5334</v>
      </c>
      <c r="AK336" t="s">
        <v>258</v>
      </c>
      <c r="AM336" t="s">
        <v>75</v>
      </c>
      <c r="AN336">
        <v>3127040</v>
      </c>
      <c r="AO336" s="9">
        <v>62540.800000000003</v>
      </c>
    </row>
    <row r="337" spans="1:41" x14ac:dyDescent="0.25">
      <c r="A337">
        <v>336</v>
      </c>
      <c r="B337" t="s">
        <v>1305</v>
      </c>
      <c r="C337" t="s">
        <v>5335</v>
      </c>
      <c r="D337" t="s">
        <v>912</v>
      </c>
      <c r="E337" t="s">
        <v>47</v>
      </c>
      <c r="F337" t="s">
        <v>48</v>
      </c>
      <c r="G337" t="s">
        <v>120</v>
      </c>
      <c r="H337" t="s">
        <v>5336</v>
      </c>
      <c r="I337" t="s">
        <v>5337</v>
      </c>
      <c r="J337">
        <v>2</v>
      </c>
      <c r="K337">
        <v>26.68</v>
      </c>
      <c r="L337" t="s">
        <v>5338</v>
      </c>
      <c r="M337" t="s">
        <v>5033</v>
      </c>
      <c r="N337" t="s">
        <v>54</v>
      </c>
      <c r="O337" t="s">
        <v>5339</v>
      </c>
      <c r="P337" t="s">
        <v>5340</v>
      </c>
      <c r="Q337" t="s">
        <v>5341</v>
      </c>
      <c r="R337" t="s">
        <v>5340</v>
      </c>
      <c r="S337" t="s">
        <v>5342</v>
      </c>
      <c r="T337">
        <v>803400</v>
      </c>
      <c r="U337">
        <v>1339000</v>
      </c>
      <c r="V337" t="s">
        <v>5343</v>
      </c>
      <c r="W337" t="s">
        <v>330</v>
      </c>
      <c r="X337" t="s">
        <v>5344</v>
      </c>
      <c r="Y337" t="s">
        <v>5345</v>
      </c>
      <c r="Z337" t="s">
        <v>64</v>
      </c>
      <c r="AA337" t="s">
        <v>65</v>
      </c>
      <c r="AB337" t="s">
        <v>5346</v>
      </c>
      <c r="AC337" t="s">
        <v>151</v>
      </c>
      <c r="AD337" t="s">
        <v>4832</v>
      </c>
      <c r="AE337" t="s">
        <v>1539</v>
      </c>
      <c r="AF337" t="s">
        <v>1430</v>
      </c>
      <c r="AG337" t="s">
        <v>5347</v>
      </c>
      <c r="AH337">
        <v>5</v>
      </c>
      <c r="AI337" t="s">
        <v>100</v>
      </c>
      <c r="AJ337" t="s">
        <v>5348</v>
      </c>
      <c r="AK337" t="s">
        <v>4622</v>
      </c>
      <c r="AM337" t="s">
        <v>75</v>
      </c>
      <c r="AN337">
        <v>1004250</v>
      </c>
      <c r="AO337" s="9">
        <v>20085</v>
      </c>
    </row>
    <row r="338" spans="1:41" x14ac:dyDescent="0.25">
      <c r="A338">
        <v>337</v>
      </c>
      <c r="B338" t="s">
        <v>1305</v>
      </c>
      <c r="C338" t="s">
        <v>5349</v>
      </c>
      <c r="D338" t="s">
        <v>77</v>
      </c>
      <c r="E338" t="s">
        <v>47</v>
      </c>
      <c r="F338" t="s">
        <v>48</v>
      </c>
      <c r="G338" t="s">
        <v>516</v>
      </c>
      <c r="H338" t="s">
        <v>5350</v>
      </c>
      <c r="I338" t="s">
        <v>5351</v>
      </c>
      <c r="J338">
        <v>2</v>
      </c>
      <c r="K338">
        <v>25.68</v>
      </c>
      <c r="L338" t="s">
        <v>5352</v>
      </c>
      <c r="M338" t="s">
        <v>5353</v>
      </c>
      <c r="N338" t="s">
        <v>187</v>
      </c>
      <c r="O338" t="s">
        <v>5354</v>
      </c>
      <c r="P338" t="s">
        <v>65</v>
      </c>
      <c r="Q338" t="s">
        <v>5355</v>
      </c>
      <c r="R338" t="s">
        <v>65</v>
      </c>
      <c r="S338" t="s">
        <v>5356</v>
      </c>
      <c r="T338">
        <v>2096250</v>
      </c>
      <c r="U338">
        <v>3225000</v>
      </c>
      <c r="V338" t="s">
        <v>5357</v>
      </c>
      <c r="W338" t="s">
        <v>394</v>
      </c>
      <c r="X338" t="s">
        <v>5358</v>
      </c>
      <c r="Y338" t="s">
        <v>5359</v>
      </c>
      <c r="Z338" t="s">
        <v>93</v>
      </c>
      <c r="AA338" t="s">
        <v>5360</v>
      </c>
      <c r="AB338" t="s">
        <v>5361</v>
      </c>
      <c r="AC338" t="s">
        <v>552</v>
      </c>
      <c r="AD338" t="s">
        <v>399</v>
      </c>
      <c r="AE338" t="s">
        <v>399</v>
      </c>
      <c r="AF338" t="s">
        <v>1354</v>
      </c>
      <c r="AG338" t="s">
        <v>5362</v>
      </c>
      <c r="AH338">
        <v>5</v>
      </c>
      <c r="AI338" t="s">
        <v>237</v>
      </c>
      <c r="AJ338" t="s">
        <v>5363</v>
      </c>
      <c r="AK338" t="s">
        <v>258</v>
      </c>
      <c r="AM338" t="s">
        <v>75</v>
      </c>
      <c r="AN338">
        <v>2580000</v>
      </c>
      <c r="AO338" s="9">
        <v>51600</v>
      </c>
    </row>
    <row r="339" spans="1:41" x14ac:dyDescent="0.25">
      <c r="A339">
        <v>338</v>
      </c>
      <c r="B339" t="s">
        <v>1305</v>
      </c>
      <c r="C339" t="s">
        <v>5364</v>
      </c>
      <c r="D339" t="s">
        <v>46</v>
      </c>
      <c r="E339" t="s">
        <v>47</v>
      </c>
      <c r="F339" t="s">
        <v>48</v>
      </c>
      <c r="G339" t="s">
        <v>4999</v>
      </c>
      <c r="H339" t="s">
        <v>5365</v>
      </c>
      <c r="I339" t="s">
        <v>5366</v>
      </c>
      <c r="J339">
        <v>2</v>
      </c>
      <c r="K339">
        <v>25.84</v>
      </c>
      <c r="L339" t="s">
        <v>5367</v>
      </c>
      <c r="M339" t="s">
        <v>5368</v>
      </c>
      <c r="N339" t="s">
        <v>164</v>
      </c>
      <c r="O339" t="s">
        <v>5369</v>
      </c>
      <c r="P339" t="s">
        <v>5370</v>
      </c>
      <c r="Q339" t="s">
        <v>65</v>
      </c>
      <c r="R339" t="s">
        <v>5371</v>
      </c>
      <c r="S339" t="s">
        <v>5372</v>
      </c>
      <c r="T339">
        <v>1967250</v>
      </c>
      <c r="U339">
        <v>2623000</v>
      </c>
      <c r="V339" t="s">
        <v>5373</v>
      </c>
      <c r="W339" t="s">
        <v>394</v>
      </c>
      <c r="X339" t="s">
        <v>5374</v>
      </c>
      <c r="Y339" t="s">
        <v>5375</v>
      </c>
      <c r="Z339" t="s">
        <v>64</v>
      </c>
      <c r="AA339" t="s">
        <v>65</v>
      </c>
      <c r="AB339" t="s">
        <v>5376</v>
      </c>
      <c r="AC339" t="s">
        <v>67</v>
      </c>
      <c r="AD339" t="s">
        <v>4189</v>
      </c>
      <c r="AE339" t="s">
        <v>399</v>
      </c>
      <c r="AF339" t="s">
        <v>4995</v>
      </c>
      <c r="AG339" t="s">
        <v>5377</v>
      </c>
      <c r="AH339">
        <v>6</v>
      </c>
      <c r="AI339" t="s">
        <v>237</v>
      </c>
      <c r="AJ339" t="s">
        <v>5378</v>
      </c>
      <c r="AK339" t="s">
        <v>403</v>
      </c>
      <c r="AM339" t="s">
        <v>75</v>
      </c>
      <c r="AN339">
        <v>2098400</v>
      </c>
      <c r="AO339" s="9">
        <v>41968</v>
      </c>
    </row>
    <row r="340" spans="1:41" hidden="1" x14ac:dyDescent="0.25">
      <c r="A340">
        <v>339</v>
      </c>
      <c r="B340" t="s">
        <v>1305</v>
      </c>
      <c r="C340" t="s">
        <v>5379</v>
      </c>
      <c r="D340" t="s">
        <v>77</v>
      </c>
      <c r="E340" t="s">
        <v>47</v>
      </c>
      <c r="F340" t="s">
        <v>48</v>
      </c>
      <c r="G340" t="s">
        <v>516</v>
      </c>
      <c r="H340" t="s">
        <v>5380</v>
      </c>
      <c r="I340" t="s">
        <v>5381</v>
      </c>
      <c r="J340">
        <v>2.5</v>
      </c>
      <c r="K340">
        <v>24.69</v>
      </c>
      <c r="L340" t="s">
        <v>5382</v>
      </c>
      <c r="M340" t="s">
        <v>5383</v>
      </c>
      <c r="N340" t="s">
        <v>187</v>
      </c>
      <c r="O340" t="s">
        <v>5384</v>
      </c>
      <c r="P340" t="s">
        <v>5385</v>
      </c>
      <c r="Q340" t="s">
        <v>5385</v>
      </c>
      <c r="R340" t="s">
        <v>5386</v>
      </c>
      <c r="S340" t="s">
        <v>5387</v>
      </c>
      <c r="T340">
        <v>3191175</v>
      </c>
      <c r="U340">
        <v>4909500</v>
      </c>
      <c r="V340" t="s">
        <v>5388</v>
      </c>
      <c r="W340" t="s">
        <v>4832</v>
      </c>
      <c r="X340" t="s">
        <v>5389</v>
      </c>
      <c r="Y340" t="s">
        <v>5390</v>
      </c>
      <c r="Z340" t="s">
        <v>64</v>
      </c>
      <c r="AA340" t="s">
        <v>5391</v>
      </c>
      <c r="AB340" t="s">
        <v>5392</v>
      </c>
      <c r="AC340" t="s">
        <v>175</v>
      </c>
      <c r="AD340" t="s">
        <v>2338</v>
      </c>
      <c r="AE340" t="s">
        <v>2335</v>
      </c>
      <c r="AF340" t="s">
        <v>400</v>
      </c>
      <c r="AG340" t="s">
        <v>5393</v>
      </c>
      <c r="AH340">
        <v>5</v>
      </c>
      <c r="AI340" t="s">
        <v>237</v>
      </c>
      <c r="AJ340" t="s">
        <v>5394</v>
      </c>
      <c r="AK340" t="s">
        <v>2338</v>
      </c>
      <c r="AM340" t="s">
        <v>180</v>
      </c>
      <c r="AN340">
        <v>0</v>
      </c>
      <c r="AO340">
        <v>0</v>
      </c>
    </row>
    <row r="341" spans="1:41" x14ac:dyDescent="0.25">
      <c r="A341">
        <v>340</v>
      </c>
      <c r="B341" t="s">
        <v>1305</v>
      </c>
      <c r="C341" t="s">
        <v>5395</v>
      </c>
      <c r="D341" t="s">
        <v>912</v>
      </c>
      <c r="E341" t="s">
        <v>47</v>
      </c>
      <c r="F341" t="s">
        <v>48</v>
      </c>
      <c r="G341" t="s">
        <v>4610</v>
      </c>
      <c r="H341" t="s">
        <v>5396</v>
      </c>
      <c r="I341" t="s">
        <v>5397</v>
      </c>
      <c r="J341">
        <v>2</v>
      </c>
      <c r="K341">
        <v>26.68</v>
      </c>
      <c r="L341" t="s">
        <v>5398</v>
      </c>
      <c r="M341" t="s">
        <v>5399</v>
      </c>
      <c r="N341" t="s">
        <v>54</v>
      </c>
      <c r="O341" t="s">
        <v>5400</v>
      </c>
      <c r="P341" t="s">
        <v>5401</v>
      </c>
      <c r="Q341" t="s">
        <v>5402</v>
      </c>
      <c r="R341" t="s">
        <v>5401</v>
      </c>
      <c r="S341" t="s">
        <v>5403</v>
      </c>
      <c r="T341">
        <v>1118600</v>
      </c>
      <c r="U341">
        <v>1598000</v>
      </c>
      <c r="V341" t="s">
        <v>5404</v>
      </c>
      <c r="W341" t="s">
        <v>330</v>
      </c>
      <c r="X341" t="s">
        <v>5405</v>
      </c>
      <c r="Y341" t="s">
        <v>5406</v>
      </c>
      <c r="Z341" t="s">
        <v>64</v>
      </c>
      <c r="AA341" t="s">
        <v>65</v>
      </c>
      <c r="AB341" t="s">
        <v>5407</v>
      </c>
      <c r="AC341" t="s">
        <v>151</v>
      </c>
      <c r="AD341" t="s">
        <v>358</v>
      </c>
      <c r="AE341" t="s">
        <v>288</v>
      </c>
      <c r="AF341" t="s">
        <v>2213</v>
      </c>
      <c r="AG341" t="s">
        <v>5408</v>
      </c>
      <c r="AH341">
        <v>5</v>
      </c>
      <c r="AI341" t="s">
        <v>100</v>
      </c>
      <c r="AJ341" t="s">
        <v>5409</v>
      </c>
      <c r="AK341" t="s">
        <v>4622</v>
      </c>
      <c r="AM341" t="s">
        <v>75</v>
      </c>
      <c r="AN341">
        <v>1198500</v>
      </c>
      <c r="AO341" s="9">
        <v>23970</v>
      </c>
    </row>
    <row r="342" spans="1:41" x14ac:dyDescent="0.25">
      <c r="A342">
        <v>341</v>
      </c>
      <c r="B342" t="s">
        <v>1305</v>
      </c>
      <c r="C342" t="s">
        <v>5410</v>
      </c>
      <c r="D342" t="s">
        <v>77</v>
      </c>
      <c r="E342" t="s">
        <v>47</v>
      </c>
      <c r="F342" t="s">
        <v>48</v>
      </c>
      <c r="G342" t="s">
        <v>516</v>
      </c>
      <c r="H342" t="s">
        <v>5411</v>
      </c>
      <c r="I342" t="s">
        <v>5412</v>
      </c>
      <c r="J342">
        <v>2</v>
      </c>
      <c r="K342">
        <v>25.69</v>
      </c>
      <c r="L342" t="s">
        <v>5413</v>
      </c>
      <c r="M342" t="s">
        <v>5414</v>
      </c>
      <c r="N342" t="s">
        <v>187</v>
      </c>
      <c r="O342" t="s">
        <v>5415</v>
      </c>
      <c r="P342" t="s">
        <v>5416</v>
      </c>
      <c r="Q342" t="s">
        <v>5416</v>
      </c>
      <c r="R342" t="s">
        <v>5417</v>
      </c>
      <c r="S342" t="s">
        <v>5418</v>
      </c>
      <c r="T342">
        <v>1840000</v>
      </c>
      <c r="U342">
        <v>2300000</v>
      </c>
      <c r="V342" t="s">
        <v>5419</v>
      </c>
      <c r="W342" t="s">
        <v>394</v>
      </c>
      <c r="X342" t="s">
        <v>5420</v>
      </c>
      <c r="Y342" t="s">
        <v>5421</v>
      </c>
      <c r="Z342" t="s">
        <v>93</v>
      </c>
      <c r="AA342" t="s">
        <v>5422</v>
      </c>
      <c r="AB342" t="s">
        <v>2532</v>
      </c>
      <c r="AC342" t="s">
        <v>662</v>
      </c>
      <c r="AD342" t="s">
        <v>147</v>
      </c>
      <c r="AE342" t="s">
        <v>69</v>
      </c>
      <c r="AF342" t="s">
        <v>1007</v>
      </c>
      <c r="AG342" t="s">
        <v>5423</v>
      </c>
      <c r="AH342">
        <v>5</v>
      </c>
      <c r="AI342" t="s">
        <v>237</v>
      </c>
      <c r="AJ342" t="s">
        <v>5424</v>
      </c>
      <c r="AK342" t="s">
        <v>403</v>
      </c>
      <c r="AM342" t="s">
        <v>75</v>
      </c>
      <c r="AN342">
        <v>1840000</v>
      </c>
      <c r="AO342" s="9">
        <v>36800</v>
      </c>
    </row>
    <row r="343" spans="1:41" x14ac:dyDescent="0.25">
      <c r="A343">
        <v>342</v>
      </c>
      <c r="B343" t="s">
        <v>1305</v>
      </c>
      <c r="C343" t="s">
        <v>5425</v>
      </c>
      <c r="D343" t="s">
        <v>277</v>
      </c>
      <c r="E343" t="s">
        <v>47</v>
      </c>
      <c r="F343" t="s">
        <v>48</v>
      </c>
      <c r="G343" t="s">
        <v>1717</v>
      </c>
      <c r="H343" t="s">
        <v>5426</v>
      </c>
      <c r="I343" t="s">
        <v>5427</v>
      </c>
      <c r="J343">
        <v>2</v>
      </c>
      <c r="K343">
        <v>25.94</v>
      </c>
      <c r="L343" t="s">
        <v>5428</v>
      </c>
      <c r="M343" t="s">
        <v>5429</v>
      </c>
      <c r="N343" t="s">
        <v>187</v>
      </c>
      <c r="O343" t="s">
        <v>5430</v>
      </c>
      <c r="P343" t="s">
        <v>5431</v>
      </c>
      <c r="Q343" t="s">
        <v>5432</v>
      </c>
      <c r="R343" t="s">
        <v>65</v>
      </c>
      <c r="S343" t="s">
        <v>5433</v>
      </c>
      <c r="T343">
        <v>1792500</v>
      </c>
      <c r="U343">
        <v>3585000</v>
      </c>
      <c r="V343" t="s">
        <v>5434</v>
      </c>
      <c r="W343" t="s">
        <v>394</v>
      </c>
      <c r="X343" t="s">
        <v>5435</v>
      </c>
      <c r="Y343" t="s">
        <v>5436</v>
      </c>
      <c r="Z343" t="s">
        <v>93</v>
      </c>
      <c r="AA343" t="s">
        <v>5437</v>
      </c>
      <c r="AB343" t="s">
        <v>3245</v>
      </c>
      <c r="AC343" t="s">
        <v>96</v>
      </c>
      <c r="AD343" t="s">
        <v>258</v>
      </c>
      <c r="AE343" t="s">
        <v>399</v>
      </c>
      <c r="AF343" t="s">
        <v>2213</v>
      </c>
      <c r="AG343" t="s">
        <v>5438</v>
      </c>
      <c r="AH343">
        <v>4</v>
      </c>
      <c r="AI343" t="s">
        <v>237</v>
      </c>
      <c r="AJ343" t="s">
        <v>5439</v>
      </c>
      <c r="AK343" t="s">
        <v>475</v>
      </c>
      <c r="AM343" t="s">
        <v>75</v>
      </c>
      <c r="AN343">
        <v>2868000</v>
      </c>
      <c r="AO343" s="9">
        <v>57360</v>
      </c>
    </row>
    <row r="344" spans="1:41" x14ac:dyDescent="0.25">
      <c r="A344">
        <v>343</v>
      </c>
      <c r="B344" t="s">
        <v>1305</v>
      </c>
      <c r="C344" t="s">
        <v>5440</v>
      </c>
      <c r="D344" t="s">
        <v>46</v>
      </c>
      <c r="E344" t="s">
        <v>47</v>
      </c>
      <c r="F344" t="s">
        <v>48</v>
      </c>
      <c r="G344" t="s">
        <v>260</v>
      </c>
      <c r="H344" t="s">
        <v>5441</v>
      </c>
      <c r="I344" t="s">
        <v>5442</v>
      </c>
      <c r="J344">
        <v>2</v>
      </c>
      <c r="K344">
        <v>25.85</v>
      </c>
      <c r="L344" t="s">
        <v>5443</v>
      </c>
      <c r="M344" t="s">
        <v>5444</v>
      </c>
      <c r="N344" t="s">
        <v>265</v>
      </c>
      <c r="O344" t="s">
        <v>5445</v>
      </c>
      <c r="P344" t="s">
        <v>5446</v>
      </c>
      <c r="Q344" t="s">
        <v>65</v>
      </c>
      <c r="R344" t="s">
        <v>5447</v>
      </c>
      <c r="S344" t="s">
        <v>5448</v>
      </c>
      <c r="T344">
        <v>1372500</v>
      </c>
      <c r="U344">
        <v>1830000</v>
      </c>
      <c r="V344" t="s">
        <v>5449</v>
      </c>
      <c r="W344" t="s">
        <v>394</v>
      </c>
      <c r="X344" t="s">
        <v>5450</v>
      </c>
      <c r="Y344" t="s">
        <v>5451</v>
      </c>
      <c r="Z344" t="s">
        <v>64</v>
      </c>
      <c r="AA344" t="s">
        <v>65</v>
      </c>
      <c r="AB344" t="s">
        <v>195</v>
      </c>
      <c r="AC344" t="s">
        <v>67</v>
      </c>
      <c r="AD344" t="s">
        <v>196</v>
      </c>
      <c r="AE344" t="s">
        <v>69</v>
      </c>
      <c r="AF344" t="s">
        <v>1007</v>
      </c>
      <c r="AG344" t="s">
        <v>5452</v>
      </c>
      <c r="AH344">
        <v>5</v>
      </c>
      <c r="AI344" t="s">
        <v>198</v>
      </c>
      <c r="AJ344" t="s">
        <v>5453</v>
      </c>
      <c r="AK344" t="s">
        <v>403</v>
      </c>
      <c r="AM344" t="s">
        <v>75</v>
      </c>
      <c r="AN344">
        <v>1464000</v>
      </c>
      <c r="AO344" s="9">
        <v>29280</v>
      </c>
    </row>
    <row r="345" spans="1:41" x14ac:dyDescent="0.25">
      <c r="A345">
        <v>344</v>
      </c>
      <c r="B345" t="s">
        <v>1305</v>
      </c>
      <c r="C345" t="s">
        <v>5454</v>
      </c>
      <c r="D345" t="s">
        <v>136</v>
      </c>
      <c r="E345" t="s">
        <v>47</v>
      </c>
      <c r="F345" t="s">
        <v>48</v>
      </c>
      <c r="G345" t="s">
        <v>347</v>
      </c>
      <c r="H345" t="s">
        <v>5455</v>
      </c>
      <c r="I345" t="s">
        <v>5456</v>
      </c>
      <c r="J345">
        <v>2</v>
      </c>
      <c r="K345">
        <v>26.93</v>
      </c>
      <c r="L345" t="s">
        <v>5457</v>
      </c>
      <c r="M345" t="s">
        <v>5458</v>
      </c>
      <c r="N345" t="s">
        <v>54</v>
      </c>
      <c r="O345" t="s">
        <v>5459</v>
      </c>
      <c r="P345" t="s">
        <v>5460</v>
      </c>
      <c r="Q345" t="s">
        <v>5461</v>
      </c>
      <c r="R345" t="s">
        <v>5461</v>
      </c>
      <c r="S345" t="s">
        <v>5462</v>
      </c>
      <c r="T345">
        <v>1499250</v>
      </c>
      <c r="U345">
        <v>1999000</v>
      </c>
      <c r="V345" t="s">
        <v>5463</v>
      </c>
      <c r="W345" t="s">
        <v>4953</v>
      </c>
      <c r="X345" t="s">
        <v>5464</v>
      </c>
      <c r="Y345" t="s">
        <v>5465</v>
      </c>
      <c r="Z345" t="s">
        <v>64</v>
      </c>
      <c r="AA345" t="s">
        <v>65</v>
      </c>
      <c r="AB345" t="s">
        <v>5466</v>
      </c>
      <c r="AC345" t="s">
        <v>151</v>
      </c>
      <c r="AD345" t="s">
        <v>1504</v>
      </c>
      <c r="AE345" t="s">
        <v>288</v>
      </c>
      <c r="AF345" t="s">
        <v>2213</v>
      </c>
      <c r="AG345" t="s">
        <v>5467</v>
      </c>
      <c r="AH345">
        <v>5</v>
      </c>
      <c r="AI345" t="s">
        <v>72</v>
      </c>
      <c r="AJ345" t="s">
        <v>5468</v>
      </c>
      <c r="AK345" t="s">
        <v>4622</v>
      </c>
      <c r="AM345" t="s">
        <v>75</v>
      </c>
      <c r="AN345">
        <v>1499250</v>
      </c>
      <c r="AO345" s="9">
        <v>29985</v>
      </c>
    </row>
    <row r="346" spans="1:41" x14ac:dyDescent="0.25">
      <c r="A346">
        <v>345</v>
      </c>
      <c r="B346" t="s">
        <v>1305</v>
      </c>
      <c r="C346" t="s">
        <v>5469</v>
      </c>
      <c r="D346" t="s">
        <v>136</v>
      </c>
      <c r="E346" t="s">
        <v>47</v>
      </c>
      <c r="F346" t="s">
        <v>48</v>
      </c>
      <c r="G346" t="s">
        <v>1371</v>
      </c>
      <c r="H346" t="s">
        <v>5470</v>
      </c>
      <c r="I346" t="s">
        <v>5471</v>
      </c>
      <c r="J346">
        <v>2</v>
      </c>
      <c r="K346">
        <v>26.93</v>
      </c>
      <c r="L346" t="s">
        <v>5472</v>
      </c>
      <c r="M346" t="s">
        <v>5473</v>
      </c>
      <c r="N346" t="s">
        <v>164</v>
      </c>
      <c r="O346" t="s">
        <v>5474</v>
      </c>
      <c r="P346" t="s">
        <v>5475</v>
      </c>
      <c r="Q346" t="s">
        <v>65</v>
      </c>
      <c r="R346" t="s">
        <v>5476</v>
      </c>
      <c r="S346" t="s">
        <v>5477</v>
      </c>
      <c r="T346">
        <v>1458000</v>
      </c>
      <c r="U346">
        <v>2025000</v>
      </c>
      <c r="V346" t="s">
        <v>146</v>
      </c>
      <c r="W346" t="s">
        <v>330</v>
      </c>
      <c r="X346" t="s">
        <v>5478</v>
      </c>
      <c r="Y346" t="s">
        <v>5479</v>
      </c>
      <c r="Z346" t="s">
        <v>64</v>
      </c>
      <c r="AA346" t="s">
        <v>65</v>
      </c>
      <c r="AB346" t="s">
        <v>5480</v>
      </c>
      <c r="AC346" t="s">
        <v>151</v>
      </c>
      <c r="AD346" t="s">
        <v>1504</v>
      </c>
      <c r="AE346" t="s">
        <v>1539</v>
      </c>
      <c r="AF346" t="s">
        <v>974</v>
      </c>
      <c r="AG346" t="s">
        <v>5481</v>
      </c>
      <c r="AH346">
        <v>6</v>
      </c>
      <c r="AI346" t="s">
        <v>237</v>
      </c>
      <c r="AJ346" t="s">
        <v>5482</v>
      </c>
      <c r="AK346" t="s">
        <v>4622</v>
      </c>
      <c r="AM346" t="s">
        <v>75</v>
      </c>
      <c r="AN346">
        <v>1518750</v>
      </c>
      <c r="AO346" s="9">
        <v>30375</v>
      </c>
    </row>
    <row r="347" spans="1:41" x14ac:dyDescent="0.25">
      <c r="A347">
        <v>346</v>
      </c>
      <c r="B347" t="s">
        <v>1305</v>
      </c>
      <c r="C347" t="s">
        <v>5483</v>
      </c>
      <c r="D347" t="s">
        <v>1238</v>
      </c>
      <c r="E347" t="s">
        <v>47</v>
      </c>
      <c r="F347" t="s">
        <v>48</v>
      </c>
      <c r="G347" t="s">
        <v>3009</v>
      </c>
      <c r="H347" t="s">
        <v>5484</v>
      </c>
      <c r="I347" t="s">
        <v>5485</v>
      </c>
      <c r="J347">
        <v>2</v>
      </c>
      <c r="K347">
        <v>26.68</v>
      </c>
      <c r="L347" t="s">
        <v>5486</v>
      </c>
      <c r="M347" t="s">
        <v>5487</v>
      </c>
      <c r="N347" t="s">
        <v>187</v>
      </c>
      <c r="O347" t="s">
        <v>5488</v>
      </c>
      <c r="P347" t="s">
        <v>652</v>
      </c>
      <c r="Q347" t="s">
        <v>5489</v>
      </c>
      <c r="R347" t="s">
        <v>5490</v>
      </c>
      <c r="S347" t="s">
        <v>5491</v>
      </c>
      <c r="T347">
        <v>1964000</v>
      </c>
      <c r="U347">
        <v>2455000</v>
      </c>
      <c r="V347" t="s">
        <v>146</v>
      </c>
      <c r="W347" t="s">
        <v>330</v>
      </c>
      <c r="X347" t="s">
        <v>5492</v>
      </c>
      <c r="Y347" t="s">
        <v>5493</v>
      </c>
      <c r="Z347" t="s">
        <v>64</v>
      </c>
      <c r="AA347" t="s">
        <v>65</v>
      </c>
      <c r="AB347" t="s">
        <v>1335</v>
      </c>
      <c r="AC347" t="s">
        <v>151</v>
      </c>
      <c r="AD347" t="s">
        <v>924</v>
      </c>
      <c r="AE347" t="s">
        <v>288</v>
      </c>
      <c r="AF347" t="s">
        <v>2213</v>
      </c>
      <c r="AG347" t="s">
        <v>5494</v>
      </c>
      <c r="AH347">
        <v>5</v>
      </c>
      <c r="AI347" t="s">
        <v>237</v>
      </c>
      <c r="AJ347" t="s">
        <v>5495</v>
      </c>
      <c r="AK347" t="s">
        <v>4622</v>
      </c>
      <c r="AM347" t="s">
        <v>75</v>
      </c>
      <c r="AN347">
        <v>1841250</v>
      </c>
      <c r="AO347" s="9">
        <v>36825</v>
      </c>
    </row>
    <row r="348" spans="1:41" x14ac:dyDescent="0.25">
      <c r="A348">
        <v>347</v>
      </c>
      <c r="B348" t="s">
        <v>1305</v>
      </c>
      <c r="C348" t="s">
        <v>5496</v>
      </c>
      <c r="D348" t="s">
        <v>1238</v>
      </c>
      <c r="E348" t="s">
        <v>47</v>
      </c>
      <c r="F348" t="s">
        <v>48</v>
      </c>
      <c r="G348" t="s">
        <v>3079</v>
      </c>
      <c r="H348" t="s">
        <v>5497</v>
      </c>
      <c r="I348" t="s">
        <v>5498</v>
      </c>
      <c r="J348">
        <v>2</v>
      </c>
      <c r="K348">
        <v>27.43</v>
      </c>
      <c r="L348" t="s">
        <v>5499</v>
      </c>
      <c r="M348" t="s">
        <v>5500</v>
      </c>
      <c r="N348" t="s">
        <v>83</v>
      </c>
      <c r="O348" t="s">
        <v>5501</v>
      </c>
      <c r="P348" t="s">
        <v>65</v>
      </c>
      <c r="Q348" t="s">
        <v>5502</v>
      </c>
      <c r="R348" t="s">
        <v>65</v>
      </c>
      <c r="S348" t="s">
        <v>5503</v>
      </c>
      <c r="T348">
        <v>1557500</v>
      </c>
      <c r="U348">
        <v>2225000</v>
      </c>
      <c r="V348" t="s">
        <v>146</v>
      </c>
      <c r="W348" t="s">
        <v>475</v>
      </c>
      <c r="X348" t="s">
        <v>5504</v>
      </c>
      <c r="Y348" t="s">
        <v>5505</v>
      </c>
      <c r="Z348" t="s">
        <v>93</v>
      </c>
      <c r="AA348" t="s">
        <v>5506</v>
      </c>
      <c r="AB348" t="s">
        <v>150</v>
      </c>
      <c r="AC348" t="s">
        <v>507</v>
      </c>
      <c r="AD348" t="s">
        <v>4738</v>
      </c>
      <c r="AE348" t="s">
        <v>288</v>
      </c>
      <c r="AF348" t="s">
        <v>2213</v>
      </c>
      <c r="AG348" t="s">
        <v>5507</v>
      </c>
      <c r="AH348">
        <v>5</v>
      </c>
      <c r="AI348" t="s">
        <v>237</v>
      </c>
      <c r="AJ348" t="s">
        <v>5508</v>
      </c>
      <c r="AK348" t="s">
        <v>4738</v>
      </c>
      <c r="AM348" t="s">
        <v>75</v>
      </c>
      <c r="AN348">
        <v>1668750</v>
      </c>
      <c r="AO348" s="9">
        <v>33375</v>
      </c>
    </row>
    <row r="349" spans="1:41" x14ac:dyDescent="0.25">
      <c r="A349">
        <v>348</v>
      </c>
      <c r="B349" t="s">
        <v>1305</v>
      </c>
      <c r="C349" t="s">
        <v>5509</v>
      </c>
      <c r="D349" t="s">
        <v>241</v>
      </c>
      <c r="E349" t="s">
        <v>47</v>
      </c>
      <c r="F349" t="s">
        <v>48</v>
      </c>
      <c r="G349" t="s">
        <v>1080</v>
      </c>
      <c r="H349" t="s">
        <v>5510</v>
      </c>
      <c r="I349" t="s">
        <v>5511</v>
      </c>
      <c r="J349">
        <v>2</v>
      </c>
      <c r="K349">
        <v>26.3</v>
      </c>
      <c r="L349" t="s">
        <v>5512</v>
      </c>
      <c r="M349" t="s">
        <v>5513</v>
      </c>
      <c r="N349" t="s">
        <v>596</v>
      </c>
      <c r="O349" t="s">
        <v>5514</v>
      </c>
      <c r="P349" t="s">
        <v>5515</v>
      </c>
      <c r="Q349" t="s">
        <v>5516</v>
      </c>
      <c r="R349" t="s">
        <v>65</v>
      </c>
      <c r="S349" t="s">
        <v>5517</v>
      </c>
      <c r="T349">
        <v>1756950</v>
      </c>
      <c r="U349">
        <v>2703000</v>
      </c>
      <c r="V349" t="s">
        <v>5518</v>
      </c>
      <c r="W349" t="s">
        <v>677</v>
      </c>
      <c r="X349" t="s">
        <v>5519</v>
      </c>
      <c r="Y349" t="s">
        <v>5520</v>
      </c>
      <c r="Z349" t="s">
        <v>64</v>
      </c>
      <c r="AA349" t="s">
        <v>65</v>
      </c>
      <c r="AB349" t="s">
        <v>1125</v>
      </c>
      <c r="AC349" t="s">
        <v>67</v>
      </c>
      <c r="AD349" t="s">
        <v>5521</v>
      </c>
      <c r="AE349" t="s">
        <v>69</v>
      </c>
      <c r="AF349" t="s">
        <v>1319</v>
      </c>
      <c r="AG349" t="s">
        <v>5522</v>
      </c>
      <c r="AH349">
        <v>7</v>
      </c>
      <c r="AI349" t="s">
        <v>198</v>
      </c>
      <c r="AJ349" t="s">
        <v>5523</v>
      </c>
      <c r="AK349" t="s">
        <v>5524</v>
      </c>
      <c r="AM349" t="s">
        <v>75</v>
      </c>
      <c r="AN349">
        <v>2162400</v>
      </c>
      <c r="AO349" s="9">
        <v>43248</v>
      </c>
    </row>
    <row r="350" spans="1:41" x14ac:dyDescent="0.25">
      <c r="A350">
        <v>349</v>
      </c>
      <c r="B350" t="s">
        <v>1305</v>
      </c>
      <c r="C350" t="s">
        <v>5525</v>
      </c>
      <c r="D350" t="s">
        <v>77</v>
      </c>
      <c r="E350" t="s">
        <v>47</v>
      </c>
      <c r="F350" t="s">
        <v>48</v>
      </c>
      <c r="G350" t="s">
        <v>516</v>
      </c>
      <c r="H350" t="s">
        <v>5526</v>
      </c>
      <c r="I350" t="s">
        <v>5527</v>
      </c>
      <c r="J350">
        <v>2</v>
      </c>
      <c r="K350">
        <v>25.68</v>
      </c>
      <c r="L350" t="s">
        <v>5528</v>
      </c>
      <c r="M350" t="s">
        <v>5529</v>
      </c>
      <c r="N350" t="s">
        <v>187</v>
      </c>
      <c r="O350" t="s">
        <v>5530</v>
      </c>
      <c r="P350" t="s">
        <v>5531</v>
      </c>
      <c r="Q350" t="s">
        <v>5531</v>
      </c>
      <c r="R350" t="s">
        <v>5531</v>
      </c>
      <c r="S350" t="s">
        <v>5532</v>
      </c>
      <c r="T350">
        <v>1160000</v>
      </c>
      <c r="U350">
        <v>1450000</v>
      </c>
      <c r="V350" t="s">
        <v>5533</v>
      </c>
      <c r="W350" t="s">
        <v>394</v>
      </c>
      <c r="X350" t="s">
        <v>5534</v>
      </c>
      <c r="Y350" t="s">
        <v>5535</v>
      </c>
      <c r="Z350" t="s">
        <v>93</v>
      </c>
      <c r="AA350" t="s">
        <v>5536</v>
      </c>
      <c r="AB350" t="s">
        <v>5537</v>
      </c>
      <c r="AC350" t="s">
        <v>662</v>
      </c>
      <c r="AD350" t="s">
        <v>258</v>
      </c>
      <c r="AE350" t="s">
        <v>399</v>
      </c>
      <c r="AF350" t="s">
        <v>4995</v>
      </c>
      <c r="AG350" t="s">
        <v>5538</v>
      </c>
      <c r="AH350">
        <v>6</v>
      </c>
      <c r="AI350" t="s">
        <v>237</v>
      </c>
      <c r="AJ350" t="s">
        <v>5539</v>
      </c>
      <c r="AK350" t="s">
        <v>475</v>
      </c>
      <c r="AM350" t="s">
        <v>75</v>
      </c>
      <c r="AN350">
        <v>1160000</v>
      </c>
      <c r="AO350" s="9">
        <v>23200</v>
      </c>
    </row>
    <row r="351" spans="1:41" x14ac:dyDescent="0.25">
      <c r="A351">
        <v>350</v>
      </c>
      <c r="B351" t="s">
        <v>1305</v>
      </c>
      <c r="C351" t="s">
        <v>5540</v>
      </c>
      <c r="D351" t="s">
        <v>77</v>
      </c>
      <c r="E351" t="s">
        <v>47</v>
      </c>
      <c r="F351" t="s">
        <v>48</v>
      </c>
      <c r="G351" t="s">
        <v>3009</v>
      </c>
      <c r="H351" t="s">
        <v>5541</v>
      </c>
      <c r="I351" t="s">
        <v>5542</v>
      </c>
      <c r="J351">
        <v>2</v>
      </c>
      <c r="K351">
        <v>25.68</v>
      </c>
      <c r="L351" t="s">
        <v>5543</v>
      </c>
      <c r="M351" t="s">
        <v>5544</v>
      </c>
      <c r="N351" t="s">
        <v>187</v>
      </c>
      <c r="O351" t="s">
        <v>5545</v>
      </c>
      <c r="P351" t="s">
        <v>5546</v>
      </c>
      <c r="Q351" t="s">
        <v>5546</v>
      </c>
      <c r="R351" t="s">
        <v>5546</v>
      </c>
      <c r="S351" t="s">
        <v>5547</v>
      </c>
      <c r="T351">
        <v>2162400</v>
      </c>
      <c r="U351">
        <v>2703000</v>
      </c>
      <c r="V351" t="s">
        <v>5548</v>
      </c>
      <c r="W351" t="s">
        <v>677</v>
      </c>
      <c r="X351" t="s">
        <v>5549</v>
      </c>
      <c r="Y351" t="s">
        <v>5550</v>
      </c>
      <c r="Z351" t="s">
        <v>64</v>
      </c>
      <c r="AA351" t="s">
        <v>65</v>
      </c>
      <c r="AB351" t="s">
        <v>5551</v>
      </c>
      <c r="AC351" t="s">
        <v>67</v>
      </c>
      <c r="AD351" t="s">
        <v>475</v>
      </c>
      <c r="AE351" t="s">
        <v>604</v>
      </c>
      <c r="AF351" t="s">
        <v>2638</v>
      </c>
      <c r="AG351" t="s">
        <v>5552</v>
      </c>
      <c r="AH351">
        <v>7</v>
      </c>
      <c r="AI351" t="s">
        <v>237</v>
      </c>
      <c r="AJ351" t="s">
        <v>5553</v>
      </c>
      <c r="AK351" t="s">
        <v>683</v>
      </c>
      <c r="AM351" t="s">
        <v>75</v>
      </c>
      <c r="AN351">
        <v>2162400</v>
      </c>
      <c r="AO351" s="9">
        <v>43248</v>
      </c>
    </row>
    <row r="352" spans="1:41" x14ac:dyDescent="0.25">
      <c r="A352">
        <v>351</v>
      </c>
      <c r="B352" t="s">
        <v>1305</v>
      </c>
      <c r="C352" t="s">
        <v>5554</v>
      </c>
      <c r="D352" t="s">
        <v>46</v>
      </c>
      <c r="E352" t="s">
        <v>47</v>
      </c>
      <c r="F352" t="s">
        <v>48</v>
      </c>
      <c r="G352" t="s">
        <v>2874</v>
      </c>
      <c r="H352" t="s">
        <v>5555</v>
      </c>
      <c r="I352" t="s">
        <v>5556</v>
      </c>
      <c r="J352">
        <v>2</v>
      </c>
      <c r="K352">
        <v>25.95</v>
      </c>
      <c r="L352" t="s">
        <v>5557</v>
      </c>
      <c r="M352" t="s">
        <v>5558</v>
      </c>
      <c r="N352" t="s">
        <v>187</v>
      </c>
      <c r="O352" t="s">
        <v>5559</v>
      </c>
      <c r="P352" t="s">
        <v>5560</v>
      </c>
      <c r="Q352" t="s">
        <v>5560</v>
      </c>
      <c r="R352" t="s">
        <v>5560</v>
      </c>
      <c r="S352" t="s">
        <v>5561</v>
      </c>
      <c r="T352">
        <v>2345280</v>
      </c>
      <c r="U352">
        <v>3908800</v>
      </c>
      <c r="V352" t="s">
        <v>5562</v>
      </c>
      <c r="W352" t="s">
        <v>677</v>
      </c>
      <c r="X352" t="s">
        <v>5563</v>
      </c>
      <c r="Y352" t="s">
        <v>5564</v>
      </c>
      <c r="Z352" t="s">
        <v>64</v>
      </c>
      <c r="AA352" t="s">
        <v>65</v>
      </c>
      <c r="AB352" t="s">
        <v>397</v>
      </c>
      <c r="AC352" t="s">
        <v>67</v>
      </c>
      <c r="AD352" t="s">
        <v>607</v>
      </c>
      <c r="AE352" t="s">
        <v>69</v>
      </c>
      <c r="AF352" t="s">
        <v>1007</v>
      </c>
      <c r="AG352" t="s">
        <v>5565</v>
      </c>
      <c r="AH352">
        <v>5</v>
      </c>
      <c r="AI352" t="s">
        <v>237</v>
      </c>
      <c r="AJ352" t="s">
        <v>65</v>
      </c>
      <c r="AK352" t="s">
        <v>65</v>
      </c>
      <c r="AM352" t="s">
        <v>75</v>
      </c>
      <c r="AN352">
        <v>3127040</v>
      </c>
      <c r="AO352" s="9">
        <v>62540.800000000003</v>
      </c>
    </row>
    <row r="353" spans="1:41" x14ac:dyDescent="0.25">
      <c r="A353">
        <v>352</v>
      </c>
      <c r="B353" t="s">
        <v>1305</v>
      </c>
      <c r="C353" t="s">
        <v>5566</v>
      </c>
      <c r="D353" t="s">
        <v>912</v>
      </c>
      <c r="E353" t="s">
        <v>47</v>
      </c>
      <c r="F353" t="s">
        <v>48</v>
      </c>
      <c r="G353" t="s">
        <v>896</v>
      </c>
      <c r="H353" t="s">
        <v>5567</v>
      </c>
      <c r="I353" t="s">
        <v>5568</v>
      </c>
      <c r="J353">
        <v>1.5</v>
      </c>
      <c r="K353">
        <v>26.93</v>
      </c>
      <c r="L353" t="s">
        <v>5569</v>
      </c>
      <c r="M353" t="s">
        <v>5570</v>
      </c>
      <c r="N353" t="s">
        <v>5571</v>
      </c>
      <c r="O353" t="s">
        <v>5572</v>
      </c>
      <c r="P353" t="s">
        <v>5573</v>
      </c>
      <c r="Q353" t="s">
        <v>5574</v>
      </c>
      <c r="R353" t="s">
        <v>5575</v>
      </c>
      <c r="S353" t="s">
        <v>5576</v>
      </c>
      <c r="T353">
        <v>3239400</v>
      </c>
      <c r="U353">
        <v>5399000</v>
      </c>
      <c r="V353" t="s">
        <v>5577</v>
      </c>
      <c r="W353" t="s">
        <v>330</v>
      </c>
      <c r="X353" t="s">
        <v>5578</v>
      </c>
      <c r="Y353" t="s">
        <v>5579</v>
      </c>
      <c r="Z353" t="s">
        <v>64</v>
      </c>
      <c r="AA353" t="s">
        <v>65</v>
      </c>
      <c r="AB353" t="s">
        <v>116</v>
      </c>
      <c r="AC353" t="s">
        <v>151</v>
      </c>
      <c r="AD353" t="s">
        <v>4832</v>
      </c>
      <c r="AE353" t="s">
        <v>1539</v>
      </c>
      <c r="AF353" t="s">
        <v>2370</v>
      </c>
      <c r="AG353" t="s">
        <v>5580</v>
      </c>
      <c r="AH353">
        <v>7</v>
      </c>
      <c r="AI353" t="s">
        <v>65</v>
      </c>
      <c r="AJ353" t="s">
        <v>65</v>
      </c>
      <c r="AK353" t="s">
        <v>65</v>
      </c>
      <c r="AM353" t="s">
        <v>157</v>
      </c>
      <c r="AN353">
        <v>4049250</v>
      </c>
      <c r="AO353" s="9">
        <v>60738.75</v>
      </c>
    </row>
    <row r="354" spans="1:41" x14ac:dyDescent="0.25">
      <c r="A354">
        <v>353</v>
      </c>
      <c r="B354" t="s">
        <v>1305</v>
      </c>
      <c r="C354" t="s">
        <v>5581</v>
      </c>
      <c r="D354" t="s">
        <v>77</v>
      </c>
      <c r="E354" t="s">
        <v>47</v>
      </c>
      <c r="F354" t="s">
        <v>48</v>
      </c>
      <c r="G354" t="s">
        <v>4033</v>
      </c>
      <c r="H354" t="s">
        <v>5582</v>
      </c>
      <c r="I354" t="s">
        <v>5583</v>
      </c>
      <c r="J354">
        <v>1.75</v>
      </c>
      <c r="K354">
        <v>25.94</v>
      </c>
      <c r="L354" t="s">
        <v>5584</v>
      </c>
      <c r="M354" t="s">
        <v>5585</v>
      </c>
      <c r="N354" t="s">
        <v>187</v>
      </c>
      <c r="O354" t="s">
        <v>5586</v>
      </c>
      <c r="P354" t="s">
        <v>5587</v>
      </c>
      <c r="Q354" t="s">
        <v>5587</v>
      </c>
      <c r="R354" t="s">
        <v>5587</v>
      </c>
      <c r="S354" t="s">
        <v>5588</v>
      </c>
      <c r="T354">
        <v>1927800</v>
      </c>
      <c r="U354">
        <v>2754000</v>
      </c>
      <c r="V354" t="s">
        <v>5589</v>
      </c>
      <c r="W354" t="s">
        <v>3275</v>
      </c>
      <c r="X354" t="s">
        <v>5590</v>
      </c>
      <c r="Y354" t="s">
        <v>5591</v>
      </c>
      <c r="Z354" t="s">
        <v>64</v>
      </c>
      <c r="AA354" t="s">
        <v>65</v>
      </c>
      <c r="AB354" t="s">
        <v>416</v>
      </c>
      <c r="AC354" t="s">
        <v>531</v>
      </c>
      <c r="AD354" t="s">
        <v>307</v>
      </c>
      <c r="AE354" t="s">
        <v>231</v>
      </c>
      <c r="AF354" t="s">
        <v>4995</v>
      </c>
      <c r="AG354" t="s">
        <v>5592</v>
      </c>
      <c r="AH354">
        <v>5</v>
      </c>
      <c r="AI354" t="s">
        <v>100</v>
      </c>
      <c r="AJ354" t="s">
        <v>5593</v>
      </c>
      <c r="AK354" t="s">
        <v>394</v>
      </c>
      <c r="AM354" t="s">
        <v>102</v>
      </c>
      <c r="AN354">
        <v>2340900</v>
      </c>
      <c r="AO354" s="9">
        <v>40965.750000000007</v>
      </c>
    </row>
    <row r="355" spans="1:41" x14ac:dyDescent="0.25">
      <c r="A355">
        <v>354</v>
      </c>
      <c r="B355" t="s">
        <v>1305</v>
      </c>
      <c r="C355" t="s">
        <v>5594</v>
      </c>
      <c r="D355" t="s">
        <v>77</v>
      </c>
      <c r="E355" t="s">
        <v>47</v>
      </c>
      <c r="F355" t="s">
        <v>48</v>
      </c>
      <c r="G355" t="s">
        <v>1717</v>
      </c>
      <c r="H355" t="s">
        <v>5595</v>
      </c>
      <c r="I355" t="s">
        <v>5596</v>
      </c>
      <c r="J355">
        <v>1.75</v>
      </c>
      <c r="K355">
        <v>25.44</v>
      </c>
      <c r="L355" t="s">
        <v>5597</v>
      </c>
      <c r="M355" t="s">
        <v>5598</v>
      </c>
      <c r="N355" t="s">
        <v>187</v>
      </c>
      <c r="O355" t="s">
        <v>5599</v>
      </c>
      <c r="P355" t="s">
        <v>5600</v>
      </c>
      <c r="Q355" t="s">
        <v>5601</v>
      </c>
      <c r="R355" t="s">
        <v>5600</v>
      </c>
      <c r="S355" t="s">
        <v>5602</v>
      </c>
      <c r="T355">
        <v>910000</v>
      </c>
      <c r="U355">
        <v>1400000</v>
      </c>
      <c r="V355" t="s">
        <v>5603</v>
      </c>
      <c r="W355" t="s">
        <v>431</v>
      </c>
      <c r="X355" t="s">
        <v>5604</v>
      </c>
      <c r="Y355" t="s">
        <v>5605</v>
      </c>
      <c r="Z355" t="s">
        <v>93</v>
      </c>
      <c r="AA355" t="s">
        <v>5606</v>
      </c>
      <c r="AB355" t="s">
        <v>2406</v>
      </c>
      <c r="AC355" t="s">
        <v>96</v>
      </c>
      <c r="AD355" s="2">
        <v>45196</v>
      </c>
      <c r="AE355" t="s">
        <v>437</v>
      </c>
      <c r="AF355" t="s">
        <v>5607</v>
      </c>
      <c r="AG355" t="s">
        <v>5608</v>
      </c>
      <c r="AH355">
        <v>5</v>
      </c>
      <c r="AI355" t="s">
        <v>237</v>
      </c>
      <c r="AJ355" t="s">
        <v>5609</v>
      </c>
      <c r="AK355" t="s">
        <v>440</v>
      </c>
      <c r="AM355" t="s">
        <v>102</v>
      </c>
      <c r="AN355">
        <v>1260000</v>
      </c>
      <c r="AO355" s="9">
        <v>22050.000000000004</v>
      </c>
    </row>
    <row r="356" spans="1:41" x14ac:dyDescent="0.25">
      <c r="A356">
        <v>355</v>
      </c>
      <c r="B356" t="s">
        <v>1305</v>
      </c>
      <c r="C356" t="s">
        <v>5610</v>
      </c>
      <c r="D356" t="s">
        <v>77</v>
      </c>
      <c r="E356" t="s">
        <v>47</v>
      </c>
      <c r="F356" t="s">
        <v>48</v>
      </c>
      <c r="G356" t="s">
        <v>3955</v>
      </c>
      <c r="H356" t="s">
        <v>5611</v>
      </c>
      <c r="I356" t="s">
        <v>5612</v>
      </c>
      <c r="J356">
        <v>2</v>
      </c>
      <c r="K356">
        <v>25.69</v>
      </c>
      <c r="L356" t="s">
        <v>5613</v>
      </c>
      <c r="M356" t="s">
        <v>5614</v>
      </c>
      <c r="N356" t="s">
        <v>187</v>
      </c>
      <c r="O356" t="s">
        <v>5615</v>
      </c>
      <c r="P356" t="s">
        <v>5616</v>
      </c>
      <c r="Q356" t="s">
        <v>5616</v>
      </c>
      <c r="R356" t="s">
        <v>5616</v>
      </c>
      <c r="S356" t="s">
        <v>5617</v>
      </c>
      <c r="T356">
        <v>2544000</v>
      </c>
      <c r="U356">
        <v>3180000</v>
      </c>
      <c r="V356" t="s">
        <v>5618</v>
      </c>
      <c r="W356" t="s">
        <v>453</v>
      </c>
      <c r="X356" t="s">
        <v>5619</v>
      </c>
      <c r="Y356" t="s">
        <v>5620</v>
      </c>
      <c r="Z356" t="s">
        <v>64</v>
      </c>
      <c r="AA356" t="s">
        <v>65</v>
      </c>
      <c r="AB356" t="s">
        <v>5621</v>
      </c>
      <c r="AC356" t="s">
        <v>67</v>
      </c>
      <c r="AD356" t="s">
        <v>147</v>
      </c>
      <c r="AE356" t="s">
        <v>69</v>
      </c>
      <c r="AF356" t="s">
        <v>1007</v>
      </c>
      <c r="AG356" t="s">
        <v>5622</v>
      </c>
      <c r="AH356">
        <v>5</v>
      </c>
      <c r="AI356" t="s">
        <v>237</v>
      </c>
      <c r="AJ356" t="s">
        <v>5623</v>
      </c>
      <c r="AK356" t="s">
        <v>475</v>
      </c>
      <c r="AM356" t="s">
        <v>75</v>
      </c>
      <c r="AN356">
        <v>2544000</v>
      </c>
      <c r="AO356" s="9">
        <v>50880</v>
      </c>
    </row>
    <row r="357" spans="1:41" x14ac:dyDescent="0.25">
      <c r="A357">
        <v>356</v>
      </c>
      <c r="B357" t="s">
        <v>1305</v>
      </c>
      <c r="C357" t="s">
        <v>5624</v>
      </c>
      <c r="D357" t="s">
        <v>277</v>
      </c>
      <c r="E357" t="s">
        <v>47</v>
      </c>
      <c r="F357" t="s">
        <v>48</v>
      </c>
      <c r="G357" t="s">
        <v>2454</v>
      </c>
      <c r="H357" t="s">
        <v>5625</v>
      </c>
      <c r="I357" t="s">
        <v>5626</v>
      </c>
      <c r="J357">
        <v>1.75</v>
      </c>
      <c r="K357">
        <v>26.7</v>
      </c>
      <c r="L357" t="s">
        <v>5627</v>
      </c>
      <c r="M357" t="s">
        <v>5628</v>
      </c>
      <c r="N357" t="s">
        <v>83</v>
      </c>
      <c r="O357" t="s">
        <v>5629</v>
      </c>
      <c r="P357" t="s">
        <v>5630</v>
      </c>
      <c r="Q357" t="s">
        <v>5631</v>
      </c>
      <c r="R357" t="s">
        <v>5632</v>
      </c>
      <c r="S357" t="s">
        <v>5633</v>
      </c>
      <c r="T357">
        <v>1540000</v>
      </c>
      <c r="U357">
        <v>2200000</v>
      </c>
      <c r="V357" t="s">
        <v>5634</v>
      </c>
      <c r="W357" t="s">
        <v>3275</v>
      </c>
      <c r="X357" t="s">
        <v>5635</v>
      </c>
      <c r="Y357" t="s">
        <v>5636</v>
      </c>
      <c r="Z357" t="s">
        <v>93</v>
      </c>
      <c r="AA357" t="s">
        <v>5637</v>
      </c>
      <c r="AB357" t="s">
        <v>1696</v>
      </c>
      <c r="AC357" t="s">
        <v>175</v>
      </c>
      <c r="AD357" t="s">
        <v>211</v>
      </c>
      <c r="AE357" t="s">
        <v>98</v>
      </c>
      <c r="AF357" t="s">
        <v>2698</v>
      </c>
      <c r="AG357" t="s">
        <v>5638</v>
      </c>
      <c r="AH357">
        <v>5</v>
      </c>
      <c r="AI357" t="s">
        <v>100</v>
      </c>
      <c r="AJ357" t="s">
        <v>5639</v>
      </c>
      <c r="AK357" t="s">
        <v>375</v>
      </c>
      <c r="AM357" t="s">
        <v>102</v>
      </c>
      <c r="AN357">
        <v>1870000</v>
      </c>
      <c r="AO357" s="9">
        <v>32725.000000000004</v>
      </c>
    </row>
    <row r="358" spans="1:41" x14ac:dyDescent="0.25">
      <c r="A358">
        <v>357</v>
      </c>
      <c r="B358" t="s">
        <v>1305</v>
      </c>
      <c r="C358" t="s">
        <v>5640</v>
      </c>
      <c r="D358" t="s">
        <v>77</v>
      </c>
      <c r="E358" t="s">
        <v>47</v>
      </c>
      <c r="F358" t="s">
        <v>48</v>
      </c>
      <c r="G358" t="s">
        <v>1636</v>
      </c>
      <c r="H358" t="s">
        <v>5641</v>
      </c>
      <c r="I358" t="s">
        <v>5642</v>
      </c>
      <c r="J358">
        <v>1.5</v>
      </c>
      <c r="K358">
        <v>25.19</v>
      </c>
      <c r="L358" t="s">
        <v>5643</v>
      </c>
      <c r="M358" t="s">
        <v>5644</v>
      </c>
      <c r="N358" t="s">
        <v>83</v>
      </c>
      <c r="O358" t="s">
        <v>5645</v>
      </c>
      <c r="P358" t="s">
        <v>65</v>
      </c>
      <c r="Q358" t="s">
        <v>5646</v>
      </c>
      <c r="R358" t="s">
        <v>5646</v>
      </c>
      <c r="S358" t="s">
        <v>5647</v>
      </c>
      <c r="T358">
        <v>2940000</v>
      </c>
      <c r="U358">
        <v>4200000</v>
      </c>
      <c r="V358" t="s">
        <v>5648</v>
      </c>
      <c r="W358" t="s">
        <v>3275</v>
      </c>
      <c r="X358" t="s">
        <v>5649</v>
      </c>
      <c r="Y358" t="s">
        <v>5650</v>
      </c>
      <c r="Z358" t="s">
        <v>93</v>
      </c>
      <c r="AA358" t="s">
        <v>5651</v>
      </c>
      <c r="AB358" t="s">
        <v>378</v>
      </c>
      <c r="AC358" t="s">
        <v>67</v>
      </c>
      <c r="AD358" t="s">
        <v>231</v>
      </c>
      <c r="AE358" t="s">
        <v>231</v>
      </c>
      <c r="AF358" t="s">
        <v>2213</v>
      </c>
      <c r="AG358" t="s">
        <v>5652</v>
      </c>
      <c r="AH358">
        <v>3</v>
      </c>
      <c r="AI358" t="s">
        <v>100</v>
      </c>
      <c r="AJ358" t="s">
        <v>5653</v>
      </c>
      <c r="AK358" t="s">
        <v>5654</v>
      </c>
      <c r="AM358" t="s">
        <v>157</v>
      </c>
      <c r="AN358">
        <v>3570000</v>
      </c>
      <c r="AO358" s="9">
        <v>53550</v>
      </c>
    </row>
    <row r="359" spans="1:41" x14ac:dyDescent="0.25">
      <c r="A359">
        <v>358</v>
      </c>
      <c r="B359" t="s">
        <v>1305</v>
      </c>
      <c r="C359" t="s">
        <v>5655</v>
      </c>
      <c r="D359" t="s">
        <v>77</v>
      </c>
      <c r="E359" t="s">
        <v>47</v>
      </c>
      <c r="F359" t="s">
        <v>48</v>
      </c>
      <c r="G359" t="s">
        <v>5656</v>
      </c>
      <c r="H359" t="s">
        <v>5657</v>
      </c>
      <c r="I359" t="s">
        <v>5658</v>
      </c>
      <c r="J359">
        <v>1.5</v>
      </c>
      <c r="K359">
        <v>25.19</v>
      </c>
      <c r="L359" t="s">
        <v>5659</v>
      </c>
      <c r="M359" t="s">
        <v>5660</v>
      </c>
      <c r="N359" t="s">
        <v>901</v>
      </c>
      <c r="O359" t="s">
        <v>5661</v>
      </c>
      <c r="P359" t="s">
        <v>5662</v>
      </c>
      <c r="Q359" t="s">
        <v>5663</v>
      </c>
      <c r="R359" t="s">
        <v>5662</v>
      </c>
      <c r="S359" t="s">
        <v>5664</v>
      </c>
      <c r="T359">
        <v>2160400</v>
      </c>
      <c r="U359">
        <v>4910000</v>
      </c>
      <c r="V359" t="s">
        <v>5665</v>
      </c>
      <c r="W359" t="s">
        <v>3275</v>
      </c>
      <c r="X359" t="s">
        <v>5666</v>
      </c>
      <c r="Y359" t="s">
        <v>5667</v>
      </c>
      <c r="Z359" t="s">
        <v>93</v>
      </c>
      <c r="AA359" t="s">
        <v>5668</v>
      </c>
      <c r="AB359" t="s">
        <v>66</v>
      </c>
      <c r="AC359" t="s">
        <v>67</v>
      </c>
      <c r="AD359" t="s">
        <v>231</v>
      </c>
      <c r="AE359" t="s">
        <v>231</v>
      </c>
      <c r="AF359" t="s">
        <v>2213</v>
      </c>
      <c r="AG359" t="s">
        <v>5669</v>
      </c>
      <c r="AH359">
        <v>3</v>
      </c>
      <c r="AI359" t="s">
        <v>100</v>
      </c>
      <c r="AJ359" t="s">
        <v>5670</v>
      </c>
      <c r="AK359" t="s">
        <v>394</v>
      </c>
      <c r="AM359" t="s">
        <v>157</v>
      </c>
      <c r="AN359">
        <v>4173500</v>
      </c>
      <c r="AO359" s="9">
        <v>62602.5</v>
      </c>
    </row>
    <row r="360" spans="1:41" x14ac:dyDescent="0.25">
      <c r="A360">
        <v>359</v>
      </c>
      <c r="B360" t="s">
        <v>1305</v>
      </c>
      <c r="C360" t="s">
        <v>5671</v>
      </c>
      <c r="D360" t="s">
        <v>77</v>
      </c>
      <c r="E360" t="s">
        <v>47</v>
      </c>
      <c r="F360" t="s">
        <v>48</v>
      </c>
      <c r="G360" t="s">
        <v>5672</v>
      </c>
      <c r="H360" t="s">
        <v>5673</v>
      </c>
      <c r="I360" t="s">
        <v>5674</v>
      </c>
      <c r="J360">
        <v>1.75</v>
      </c>
      <c r="K360">
        <v>25.69</v>
      </c>
      <c r="L360" t="s">
        <v>5675</v>
      </c>
      <c r="M360" t="s">
        <v>5676</v>
      </c>
      <c r="N360" t="s">
        <v>187</v>
      </c>
      <c r="O360" t="s">
        <v>5677</v>
      </c>
      <c r="P360" t="s">
        <v>5678</v>
      </c>
      <c r="Q360" t="s">
        <v>5678</v>
      </c>
      <c r="R360" t="s">
        <v>5678</v>
      </c>
      <c r="S360" t="s">
        <v>5679</v>
      </c>
      <c r="T360">
        <v>2736300</v>
      </c>
      <c r="U360">
        <v>3909000</v>
      </c>
      <c r="V360" t="s">
        <v>5680</v>
      </c>
      <c r="W360" t="s">
        <v>3275</v>
      </c>
      <c r="X360" t="s">
        <v>5681</v>
      </c>
      <c r="Y360" t="s">
        <v>5682</v>
      </c>
      <c r="Z360" t="s">
        <v>64</v>
      </c>
      <c r="AA360" t="s">
        <v>65</v>
      </c>
      <c r="AB360" t="s">
        <v>5683</v>
      </c>
      <c r="AC360" t="s">
        <v>531</v>
      </c>
      <c r="AD360" t="s">
        <v>307</v>
      </c>
      <c r="AE360" t="s">
        <v>231</v>
      </c>
      <c r="AF360" t="s">
        <v>2213</v>
      </c>
      <c r="AG360" t="s">
        <v>5684</v>
      </c>
      <c r="AH360">
        <v>3</v>
      </c>
      <c r="AI360" t="s">
        <v>100</v>
      </c>
      <c r="AJ360" t="s">
        <v>5685</v>
      </c>
      <c r="AK360" t="s">
        <v>394</v>
      </c>
      <c r="AM360" t="s">
        <v>102</v>
      </c>
      <c r="AN360">
        <v>3322650</v>
      </c>
      <c r="AO360" s="9">
        <v>58146.375000000007</v>
      </c>
    </row>
    <row r="361" spans="1:41" x14ac:dyDescent="0.25">
      <c r="A361">
        <v>360</v>
      </c>
      <c r="B361" t="s">
        <v>1305</v>
      </c>
      <c r="C361" t="s">
        <v>5686</v>
      </c>
      <c r="D361" t="s">
        <v>277</v>
      </c>
      <c r="E361" t="s">
        <v>47</v>
      </c>
      <c r="F361" t="s">
        <v>48</v>
      </c>
      <c r="G361" t="s">
        <v>1717</v>
      </c>
      <c r="H361" t="s">
        <v>5687</v>
      </c>
      <c r="I361" t="s">
        <v>5688</v>
      </c>
      <c r="J361">
        <v>1.75</v>
      </c>
      <c r="K361">
        <v>26.69</v>
      </c>
      <c r="L361" t="s">
        <v>5689</v>
      </c>
      <c r="M361" t="s">
        <v>5690</v>
      </c>
      <c r="N361" t="s">
        <v>187</v>
      </c>
      <c r="O361" t="s">
        <v>5691</v>
      </c>
      <c r="P361" t="s">
        <v>5692</v>
      </c>
      <c r="Q361" t="s">
        <v>5692</v>
      </c>
      <c r="R361" t="s">
        <v>5692</v>
      </c>
      <c r="S361" t="s">
        <v>5693</v>
      </c>
      <c r="T361">
        <v>1295000</v>
      </c>
      <c r="U361">
        <v>1850000</v>
      </c>
      <c r="V361" t="s">
        <v>5694</v>
      </c>
      <c r="W361" t="s">
        <v>3275</v>
      </c>
      <c r="X361" t="s">
        <v>5695</v>
      </c>
      <c r="Y361" t="s">
        <v>5696</v>
      </c>
      <c r="Z361" t="s">
        <v>93</v>
      </c>
      <c r="AA361" t="s">
        <v>5697</v>
      </c>
      <c r="AB361" t="s">
        <v>4147</v>
      </c>
      <c r="AC361" t="s">
        <v>662</v>
      </c>
      <c r="AD361" t="s">
        <v>307</v>
      </c>
      <c r="AE361" t="s">
        <v>231</v>
      </c>
      <c r="AF361" t="s">
        <v>4995</v>
      </c>
      <c r="AG361" t="s">
        <v>5698</v>
      </c>
      <c r="AH361">
        <v>5</v>
      </c>
      <c r="AI361" t="s">
        <v>72</v>
      </c>
      <c r="AJ361" t="s">
        <v>5699</v>
      </c>
      <c r="AK361" t="s">
        <v>394</v>
      </c>
      <c r="AM361" t="s">
        <v>102</v>
      </c>
      <c r="AN361">
        <v>1572500</v>
      </c>
      <c r="AO361" s="9">
        <v>27518.750000000004</v>
      </c>
    </row>
    <row r="362" spans="1:41" hidden="1" x14ac:dyDescent="0.25">
      <c r="A362">
        <v>361</v>
      </c>
      <c r="B362" t="s">
        <v>1305</v>
      </c>
      <c r="C362" t="s">
        <v>5700</v>
      </c>
      <c r="D362" t="s">
        <v>241</v>
      </c>
      <c r="E362" t="s">
        <v>47</v>
      </c>
      <c r="F362" t="s">
        <v>48</v>
      </c>
      <c r="G362" t="s">
        <v>5701</v>
      </c>
      <c r="H362" t="s">
        <v>5702</v>
      </c>
      <c r="I362" t="s">
        <v>5703</v>
      </c>
      <c r="J362">
        <v>2</v>
      </c>
      <c r="K362">
        <v>23.7</v>
      </c>
      <c r="L362" t="s">
        <v>5704</v>
      </c>
      <c r="M362" t="s">
        <v>5705</v>
      </c>
      <c r="N362" t="s">
        <v>187</v>
      </c>
      <c r="O362" t="s">
        <v>5706</v>
      </c>
      <c r="P362" t="s">
        <v>5707</v>
      </c>
      <c r="Q362" t="s">
        <v>5707</v>
      </c>
      <c r="R362" t="s">
        <v>5708</v>
      </c>
      <c r="S362" t="s">
        <v>5709</v>
      </c>
      <c r="T362">
        <v>3294000</v>
      </c>
      <c r="U362">
        <v>5490000</v>
      </c>
      <c r="V362" t="s">
        <v>5710</v>
      </c>
      <c r="W362" t="s">
        <v>453</v>
      </c>
      <c r="X362" t="s">
        <v>5711</v>
      </c>
      <c r="Y362" t="s">
        <v>5712</v>
      </c>
      <c r="Z362" t="s">
        <v>64</v>
      </c>
      <c r="AA362" t="s">
        <v>65</v>
      </c>
      <c r="AB362" t="s">
        <v>586</v>
      </c>
      <c r="AC362" t="s">
        <v>67</v>
      </c>
      <c r="AD362" t="s">
        <v>1056</v>
      </c>
      <c r="AE362" t="s">
        <v>69</v>
      </c>
      <c r="AF362" t="s">
        <v>70</v>
      </c>
      <c r="AG362" t="s">
        <v>5713</v>
      </c>
      <c r="AH362">
        <v>3</v>
      </c>
      <c r="AI362" t="s">
        <v>237</v>
      </c>
      <c r="AJ362" t="s">
        <v>5714</v>
      </c>
      <c r="AK362" t="s">
        <v>475</v>
      </c>
      <c r="AM362" t="s">
        <v>75</v>
      </c>
      <c r="AN362">
        <v>0</v>
      </c>
      <c r="AO362">
        <v>0</v>
      </c>
    </row>
    <row r="363" spans="1:41" hidden="1" x14ac:dyDescent="0.25">
      <c r="A363">
        <v>362</v>
      </c>
      <c r="B363" t="s">
        <v>1305</v>
      </c>
      <c r="C363" t="s">
        <v>5715</v>
      </c>
      <c r="D363" t="s">
        <v>46</v>
      </c>
      <c r="E363" t="s">
        <v>47</v>
      </c>
      <c r="F363" t="s">
        <v>48</v>
      </c>
      <c r="G363" t="s">
        <v>104</v>
      </c>
      <c r="H363" t="s">
        <v>5716</v>
      </c>
      <c r="I363" t="s">
        <v>5717</v>
      </c>
      <c r="J363">
        <v>2</v>
      </c>
      <c r="K363">
        <v>25.95</v>
      </c>
      <c r="L363" t="s">
        <v>5718</v>
      </c>
      <c r="M363" t="s">
        <v>5719</v>
      </c>
      <c r="N363" t="s">
        <v>901</v>
      </c>
      <c r="O363" t="s">
        <v>5720</v>
      </c>
      <c r="P363" t="s">
        <v>5721</v>
      </c>
      <c r="Q363" t="s">
        <v>5721</v>
      </c>
      <c r="R363" t="s">
        <v>5722</v>
      </c>
      <c r="S363" t="s">
        <v>5723</v>
      </c>
      <c r="T363">
        <v>3239400</v>
      </c>
      <c r="U363">
        <v>5399000</v>
      </c>
      <c r="V363" t="s">
        <v>5724</v>
      </c>
      <c r="W363" t="s">
        <v>453</v>
      </c>
      <c r="X363" t="s">
        <v>5725</v>
      </c>
      <c r="Y363" t="s">
        <v>5726</v>
      </c>
      <c r="Z363" t="s">
        <v>64</v>
      </c>
      <c r="AA363" t="s">
        <v>65</v>
      </c>
      <c r="AB363" t="s">
        <v>456</v>
      </c>
      <c r="AC363" t="s">
        <v>67</v>
      </c>
      <c r="AD363" t="s">
        <v>1039</v>
      </c>
      <c r="AE363" t="s">
        <v>69</v>
      </c>
      <c r="AF363" t="s">
        <v>70</v>
      </c>
      <c r="AG363" t="s">
        <v>5727</v>
      </c>
      <c r="AH363">
        <v>3</v>
      </c>
      <c r="AI363" t="s">
        <v>65</v>
      </c>
      <c r="AJ363" t="s">
        <v>65</v>
      </c>
      <c r="AK363" t="s">
        <v>65</v>
      </c>
      <c r="AM363" t="s">
        <v>75</v>
      </c>
      <c r="AN363">
        <v>0</v>
      </c>
      <c r="AO363">
        <v>0</v>
      </c>
    </row>
    <row r="364" spans="1:41" x14ac:dyDescent="0.25">
      <c r="A364">
        <v>363</v>
      </c>
      <c r="B364" t="s">
        <v>1305</v>
      </c>
      <c r="C364" t="s">
        <v>5728</v>
      </c>
      <c r="D364" t="s">
        <v>77</v>
      </c>
      <c r="E364" t="s">
        <v>47</v>
      </c>
      <c r="F364" t="s">
        <v>48</v>
      </c>
      <c r="G364" t="s">
        <v>516</v>
      </c>
      <c r="H364" t="s">
        <v>5729</v>
      </c>
      <c r="I364" t="s">
        <v>5730</v>
      </c>
      <c r="J364">
        <v>2</v>
      </c>
      <c r="K364">
        <v>25.69</v>
      </c>
      <c r="L364" t="s">
        <v>5731</v>
      </c>
      <c r="M364" t="s">
        <v>5732</v>
      </c>
      <c r="N364" t="s">
        <v>187</v>
      </c>
      <c r="O364" t="s">
        <v>5733</v>
      </c>
      <c r="P364" t="s">
        <v>5734</v>
      </c>
      <c r="Q364" t="s">
        <v>5735</v>
      </c>
      <c r="R364" t="s">
        <v>5736</v>
      </c>
      <c r="S364" t="s">
        <v>5737</v>
      </c>
      <c r="T364">
        <v>2765000</v>
      </c>
      <c r="U364">
        <v>3950000</v>
      </c>
      <c r="V364" t="s">
        <v>5738</v>
      </c>
      <c r="W364" t="s">
        <v>453</v>
      </c>
      <c r="X364" t="s">
        <v>5739</v>
      </c>
      <c r="Y364" t="s">
        <v>5740</v>
      </c>
      <c r="Z364" t="s">
        <v>93</v>
      </c>
      <c r="AA364" t="s">
        <v>5741</v>
      </c>
      <c r="AB364" t="s">
        <v>5742</v>
      </c>
      <c r="AC364" t="s">
        <v>151</v>
      </c>
      <c r="AD364" t="s">
        <v>133</v>
      </c>
      <c r="AE364" t="s">
        <v>69</v>
      </c>
      <c r="AF364" t="s">
        <v>1007</v>
      </c>
      <c r="AG364" t="s">
        <v>5743</v>
      </c>
      <c r="AH364">
        <v>5</v>
      </c>
      <c r="AI364" t="s">
        <v>237</v>
      </c>
      <c r="AJ364" t="s">
        <v>5744</v>
      </c>
      <c r="AK364" t="s">
        <v>74</v>
      </c>
      <c r="AM364" t="s">
        <v>75</v>
      </c>
      <c r="AN364">
        <v>3160000</v>
      </c>
      <c r="AO364" s="9">
        <v>63200</v>
      </c>
    </row>
    <row r="365" spans="1:41" x14ac:dyDescent="0.25">
      <c r="A365">
        <v>364</v>
      </c>
      <c r="B365" t="s">
        <v>1305</v>
      </c>
      <c r="C365" t="s">
        <v>5745</v>
      </c>
      <c r="D365" t="s">
        <v>77</v>
      </c>
      <c r="E365" t="s">
        <v>47</v>
      </c>
      <c r="F365" t="s">
        <v>48</v>
      </c>
      <c r="G365" t="s">
        <v>3351</v>
      </c>
      <c r="H365" t="s">
        <v>5746</v>
      </c>
      <c r="I365" t="s">
        <v>5747</v>
      </c>
      <c r="J365">
        <v>2</v>
      </c>
      <c r="K365">
        <v>26.05</v>
      </c>
      <c r="L365" t="s">
        <v>5748</v>
      </c>
      <c r="M365" t="s">
        <v>5749</v>
      </c>
      <c r="N365" t="s">
        <v>54</v>
      </c>
      <c r="O365" t="s">
        <v>5750</v>
      </c>
      <c r="P365" t="s">
        <v>5751</v>
      </c>
      <c r="Q365" t="s">
        <v>5752</v>
      </c>
      <c r="R365" t="s">
        <v>5751</v>
      </c>
      <c r="S365" t="s">
        <v>5753</v>
      </c>
      <c r="T365">
        <v>2593200</v>
      </c>
      <c r="U365">
        <v>4322000</v>
      </c>
      <c r="V365" t="s">
        <v>5754</v>
      </c>
      <c r="W365" t="s">
        <v>453</v>
      </c>
      <c r="X365" t="s">
        <v>5755</v>
      </c>
      <c r="Y365" t="s">
        <v>5756</v>
      </c>
      <c r="Z365" t="s">
        <v>64</v>
      </c>
      <c r="AA365" t="s">
        <v>65</v>
      </c>
      <c r="AB365" t="s">
        <v>1368</v>
      </c>
      <c r="AC365" t="s">
        <v>67</v>
      </c>
      <c r="AD365" t="s">
        <v>74</v>
      </c>
      <c r="AE365" t="s">
        <v>69</v>
      </c>
      <c r="AF365" t="s">
        <v>1007</v>
      </c>
      <c r="AG365" t="s">
        <v>5757</v>
      </c>
      <c r="AH365">
        <v>5</v>
      </c>
      <c r="AI365" t="s">
        <v>65</v>
      </c>
      <c r="AJ365" t="s">
        <v>65</v>
      </c>
      <c r="AK365" t="s">
        <v>65</v>
      </c>
      <c r="AM365" t="s">
        <v>75</v>
      </c>
      <c r="AN365">
        <v>3457600</v>
      </c>
      <c r="AO365" s="9">
        <v>69152</v>
      </c>
    </row>
    <row r="366" spans="1:41" x14ac:dyDescent="0.25">
      <c r="A366">
        <v>365</v>
      </c>
      <c r="B366" t="s">
        <v>1305</v>
      </c>
      <c r="C366" t="s">
        <v>5758</v>
      </c>
      <c r="D366" t="s">
        <v>136</v>
      </c>
      <c r="E366" t="s">
        <v>47</v>
      </c>
      <c r="F366" t="s">
        <v>48</v>
      </c>
      <c r="G366" t="s">
        <v>2951</v>
      </c>
      <c r="H366" t="s">
        <v>5759</v>
      </c>
      <c r="I366" t="s">
        <v>5760</v>
      </c>
      <c r="J366">
        <v>2</v>
      </c>
      <c r="K366">
        <v>26.93</v>
      </c>
      <c r="L366" t="s">
        <v>5761</v>
      </c>
      <c r="M366" t="s">
        <v>5762</v>
      </c>
      <c r="N366" t="s">
        <v>164</v>
      </c>
      <c r="O366" t="s">
        <v>5763</v>
      </c>
      <c r="P366" t="s">
        <v>5764</v>
      </c>
      <c r="Q366" t="s">
        <v>65</v>
      </c>
      <c r="R366" t="s">
        <v>5765</v>
      </c>
      <c r="S366" t="s">
        <v>5766</v>
      </c>
      <c r="T366">
        <v>1084800</v>
      </c>
      <c r="U366">
        <v>1695000</v>
      </c>
      <c r="V366" t="s">
        <v>146</v>
      </c>
      <c r="W366" t="s">
        <v>728</v>
      </c>
      <c r="X366" t="s">
        <v>5767</v>
      </c>
      <c r="Y366" t="s">
        <v>5768</v>
      </c>
      <c r="Z366" t="s">
        <v>64</v>
      </c>
      <c r="AA366" t="s">
        <v>65</v>
      </c>
      <c r="AB366" t="s">
        <v>1746</v>
      </c>
      <c r="AC366" t="s">
        <v>151</v>
      </c>
      <c r="AD366" t="s">
        <v>5769</v>
      </c>
      <c r="AE366" t="s">
        <v>288</v>
      </c>
      <c r="AF366" t="s">
        <v>4995</v>
      </c>
      <c r="AG366" t="s">
        <v>5770</v>
      </c>
      <c r="AH366">
        <v>7</v>
      </c>
      <c r="AI366" t="s">
        <v>100</v>
      </c>
      <c r="AJ366" t="s">
        <v>5771</v>
      </c>
      <c r="AK366" t="s">
        <v>619</v>
      </c>
      <c r="AM366" t="s">
        <v>75</v>
      </c>
      <c r="AN366">
        <v>1271250</v>
      </c>
      <c r="AO366" s="9">
        <v>25425</v>
      </c>
    </row>
    <row r="367" spans="1:41" x14ac:dyDescent="0.25">
      <c r="A367">
        <v>366</v>
      </c>
      <c r="B367" t="s">
        <v>1305</v>
      </c>
      <c r="C367" t="s">
        <v>5772</v>
      </c>
      <c r="D367" t="s">
        <v>136</v>
      </c>
      <c r="E367" t="s">
        <v>47</v>
      </c>
      <c r="F367" t="s">
        <v>48</v>
      </c>
      <c r="G367" t="s">
        <v>1166</v>
      </c>
      <c r="H367" t="s">
        <v>5773</v>
      </c>
      <c r="I367" t="s">
        <v>5774</v>
      </c>
      <c r="J367">
        <v>2</v>
      </c>
      <c r="K367">
        <v>26.93</v>
      </c>
      <c r="L367" t="s">
        <v>5775</v>
      </c>
      <c r="M367" t="s">
        <v>5776</v>
      </c>
      <c r="N367" t="s">
        <v>187</v>
      </c>
      <c r="O367" t="s">
        <v>5777</v>
      </c>
      <c r="P367" t="s">
        <v>5778</v>
      </c>
      <c r="Q367" t="s">
        <v>5778</v>
      </c>
      <c r="R367" t="s">
        <v>5778</v>
      </c>
      <c r="S367" t="s">
        <v>5779</v>
      </c>
      <c r="T367">
        <v>2476200</v>
      </c>
      <c r="U367">
        <v>4127000</v>
      </c>
      <c r="V367" t="s">
        <v>5780</v>
      </c>
      <c r="W367" t="s">
        <v>604</v>
      </c>
      <c r="X367" t="s">
        <v>5781</v>
      </c>
      <c r="Y367" t="s">
        <v>5782</v>
      </c>
      <c r="Z367" t="s">
        <v>64</v>
      </c>
      <c r="AA367" t="s">
        <v>65</v>
      </c>
      <c r="AB367" t="s">
        <v>5783</v>
      </c>
      <c r="AC367" t="s">
        <v>151</v>
      </c>
      <c r="AD367" t="s">
        <v>2229</v>
      </c>
      <c r="AE367" t="s">
        <v>288</v>
      </c>
      <c r="AF367" t="s">
        <v>2213</v>
      </c>
      <c r="AG367" t="s">
        <v>5784</v>
      </c>
      <c r="AH367">
        <v>5</v>
      </c>
      <c r="AI367" t="s">
        <v>237</v>
      </c>
      <c r="AJ367" t="s">
        <v>5785</v>
      </c>
      <c r="AK367" t="s">
        <v>4832</v>
      </c>
      <c r="AM367" t="s">
        <v>75</v>
      </c>
      <c r="AN367">
        <v>3095250</v>
      </c>
      <c r="AO367" s="9">
        <v>61905</v>
      </c>
    </row>
    <row r="368" spans="1:41" x14ac:dyDescent="0.25">
      <c r="A368">
        <v>367</v>
      </c>
      <c r="B368" t="s">
        <v>1305</v>
      </c>
      <c r="C368" t="s">
        <v>5786</v>
      </c>
      <c r="D368" t="s">
        <v>46</v>
      </c>
      <c r="E368" t="s">
        <v>47</v>
      </c>
      <c r="F368" t="s">
        <v>48</v>
      </c>
      <c r="G368" t="s">
        <v>49</v>
      </c>
      <c r="H368" t="s">
        <v>5787</v>
      </c>
      <c r="I368" t="s">
        <v>5788</v>
      </c>
      <c r="J368">
        <v>2</v>
      </c>
      <c r="K368">
        <v>25.95</v>
      </c>
      <c r="L368" t="s">
        <v>5789</v>
      </c>
      <c r="M368" t="s">
        <v>5790</v>
      </c>
      <c r="N368" t="s">
        <v>54</v>
      </c>
      <c r="O368" t="s">
        <v>5791</v>
      </c>
      <c r="P368" t="s">
        <v>5792</v>
      </c>
      <c r="Q368" t="s">
        <v>5793</v>
      </c>
      <c r="R368" t="s">
        <v>5792</v>
      </c>
      <c r="S368" t="s">
        <v>5794</v>
      </c>
      <c r="T368">
        <v>1836100</v>
      </c>
      <c r="U368">
        <v>2623000</v>
      </c>
      <c r="V368" t="s">
        <v>5795</v>
      </c>
      <c r="W368" t="s">
        <v>453</v>
      </c>
      <c r="X368" t="s">
        <v>5796</v>
      </c>
      <c r="Y368" t="s">
        <v>5797</v>
      </c>
      <c r="Z368" t="s">
        <v>64</v>
      </c>
      <c r="AA368" t="s">
        <v>65</v>
      </c>
      <c r="AB368" t="s">
        <v>5798</v>
      </c>
      <c r="AC368" t="s">
        <v>67</v>
      </c>
      <c r="AD368" t="s">
        <v>2323</v>
      </c>
      <c r="AE368" t="s">
        <v>69</v>
      </c>
      <c r="AF368" t="s">
        <v>1007</v>
      </c>
      <c r="AG368" t="s">
        <v>5799</v>
      </c>
      <c r="AH368">
        <v>5</v>
      </c>
      <c r="AI368" t="s">
        <v>237</v>
      </c>
      <c r="AJ368" t="s">
        <v>5800</v>
      </c>
      <c r="AK368" t="s">
        <v>604</v>
      </c>
      <c r="AM368" t="s">
        <v>75</v>
      </c>
      <c r="AN368">
        <v>2098400</v>
      </c>
      <c r="AO368" s="9">
        <v>41968</v>
      </c>
    </row>
    <row r="369" spans="1:41" x14ac:dyDescent="0.25">
      <c r="A369">
        <v>368</v>
      </c>
      <c r="B369" t="s">
        <v>1305</v>
      </c>
      <c r="C369" t="s">
        <v>5801</v>
      </c>
      <c r="D369" t="s">
        <v>46</v>
      </c>
      <c r="E369" t="s">
        <v>47</v>
      </c>
      <c r="F369" t="s">
        <v>48</v>
      </c>
      <c r="G369" t="s">
        <v>1080</v>
      </c>
      <c r="H369" t="s">
        <v>5802</v>
      </c>
      <c r="I369" t="s">
        <v>5803</v>
      </c>
      <c r="J369">
        <v>1.75</v>
      </c>
      <c r="K369">
        <v>25.79</v>
      </c>
      <c r="L369" t="s">
        <v>5804</v>
      </c>
      <c r="M369" t="s">
        <v>5805</v>
      </c>
      <c r="N369" t="s">
        <v>578</v>
      </c>
      <c r="O369" t="s">
        <v>5806</v>
      </c>
      <c r="P369" t="s">
        <v>5807</v>
      </c>
      <c r="Q369" t="s">
        <v>5808</v>
      </c>
      <c r="R369" t="s">
        <v>65</v>
      </c>
      <c r="S369" t="s">
        <v>5809</v>
      </c>
      <c r="T369">
        <v>1759800</v>
      </c>
      <c r="U369">
        <v>2933000</v>
      </c>
      <c r="V369" t="s">
        <v>5810</v>
      </c>
      <c r="W369" t="s">
        <v>453</v>
      </c>
      <c r="X369" t="s">
        <v>5811</v>
      </c>
      <c r="Y369" t="s">
        <v>5812</v>
      </c>
      <c r="Z369" t="s">
        <v>64</v>
      </c>
      <c r="AA369" t="s">
        <v>65</v>
      </c>
      <c r="AB369" t="s">
        <v>3561</v>
      </c>
      <c r="AC369" t="s">
        <v>67</v>
      </c>
      <c r="AD369" t="s">
        <v>196</v>
      </c>
      <c r="AE369" t="s">
        <v>399</v>
      </c>
      <c r="AF369" t="s">
        <v>1354</v>
      </c>
      <c r="AG369" t="s">
        <v>5813</v>
      </c>
      <c r="AH369">
        <v>5</v>
      </c>
      <c r="AI369" t="s">
        <v>198</v>
      </c>
      <c r="AJ369" t="s">
        <v>5814</v>
      </c>
      <c r="AK369" t="s">
        <v>475</v>
      </c>
      <c r="AM369" t="s">
        <v>102</v>
      </c>
      <c r="AN369">
        <v>2346400</v>
      </c>
      <c r="AO369" s="9">
        <v>41062.000000000007</v>
      </c>
    </row>
    <row r="370" spans="1:41" x14ac:dyDescent="0.25">
      <c r="A370">
        <v>369</v>
      </c>
      <c r="B370" t="s">
        <v>1305</v>
      </c>
      <c r="C370" t="s">
        <v>5815</v>
      </c>
      <c r="D370" t="s">
        <v>912</v>
      </c>
      <c r="E370" t="s">
        <v>47</v>
      </c>
      <c r="F370" t="s">
        <v>48</v>
      </c>
      <c r="G370" t="s">
        <v>2100</v>
      </c>
      <c r="H370" t="s">
        <v>5816</v>
      </c>
      <c r="I370" t="s">
        <v>5817</v>
      </c>
      <c r="J370">
        <v>1.5</v>
      </c>
      <c r="K370">
        <v>26.68</v>
      </c>
      <c r="L370" t="s">
        <v>5818</v>
      </c>
      <c r="M370" t="s">
        <v>5819</v>
      </c>
      <c r="N370" t="s">
        <v>578</v>
      </c>
      <c r="O370" t="s">
        <v>5820</v>
      </c>
      <c r="P370" t="s">
        <v>1016</v>
      </c>
      <c r="Q370" t="s">
        <v>5821</v>
      </c>
      <c r="R370" t="s">
        <v>5822</v>
      </c>
      <c r="S370" t="s">
        <v>5823</v>
      </c>
      <c r="T370">
        <v>2888900</v>
      </c>
      <c r="U370">
        <v>4127000</v>
      </c>
      <c r="V370" t="s">
        <v>146</v>
      </c>
      <c r="W370" t="s">
        <v>728</v>
      </c>
      <c r="X370" t="s">
        <v>5824</v>
      </c>
      <c r="Y370" t="s">
        <v>5825</v>
      </c>
      <c r="Z370" t="s">
        <v>64</v>
      </c>
      <c r="AA370" t="s">
        <v>65</v>
      </c>
      <c r="AB370" t="s">
        <v>150</v>
      </c>
      <c r="AC370" t="s">
        <v>151</v>
      </c>
      <c r="AD370" t="s">
        <v>358</v>
      </c>
      <c r="AE370" t="s">
        <v>288</v>
      </c>
      <c r="AF370" t="s">
        <v>2213</v>
      </c>
      <c r="AG370" t="s">
        <v>5826</v>
      </c>
      <c r="AH370">
        <v>5</v>
      </c>
      <c r="AI370" t="s">
        <v>100</v>
      </c>
      <c r="AJ370" t="s">
        <v>5827</v>
      </c>
      <c r="AK370" t="s">
        <v>619</v>
      </c>
      <c r="AM370" t="s">
        <v>157</v>
      </c>
      <c r="AN370">
        <v>3095250</v>
      </c>
      <c r="AO370" s="9">
        <v>46428.75</v>
      </c>
    </row>
    <row r="371" spans="1:41" x14ac:dyDescent="0.25">
      <c r="A371">
        <v>370</v>
      </c>
      <c r="B371" t="s">
        <v>1305</v>
      </c>
      <c r="C371" t="s">
        <v>5828</v>
      </c>
      <c r="D371" t="s">
        <v>46</v>
      </c>
      <c r="E371" t="s">
        <v>47</v>
      </c>
      <c r="F371" t="s">
        <v>48</v>
      </c>
      <c r="G371" t="s">
        <v>5829</v>
      </c>
      <c r="H371" t="s">
        <v>5830</v>
      </c>
      <c r="I371" t="s">
        <v>5831</v>
      </c>
      <c r="J371">
        <v>2</v>
      </c>
      <c r="K371">
        <v>25.79</v>
      </c>
      <c r="L371" t="s">
        <v>5832</v>
      </c>
      <c r="M371" t="s">
        <v>5833</v>
      </c>
      <c r="N371" t="s">
        <v>578</v>
      </c>
      <c r="O371" t="s">
        <v>5834</v>
      </c>
      <c r="P371" t="s">
        <v>65</v>
      </c>
      <c r="Q371" t="s">
        <v>5835</v>
      </c>
      <c r="R371" t="s">
        <v>65</v>
      </c>
      <c r="S371" t="s">
        <v>5836</v>
      </c>
      <c r="T371">
        <v>1379000</v>
      </c>
      <c r="U371">
        <v>1970000</v>
      </c>
      <c r="V371" t="s">
        <v>5837</v>
      </c>
      <c r="W371" t="s">
        <v>453</v>
      </c>
      <c r="X371" t="s">
        <v>5838</v>
      </c>
      <c r="Y371" t="s">
        <v>5839</v>
      </c>
      <c r="Z371" t="s">
        <v>64</v>
      </c>
      <c r="AA371" t="s">
        <v>65</v>
      </c>
      <c r="AB371" t="s">
        <v>489</v>
      </c>
      <c r="AC371" t="s">
        <v>67</v>
      </c>
      <c r="AD371" t="s">
        <v>1039</v>
      </c>
      <c r="AE371" t="s">
        <v>399</v>
      </c>
      <c r="AF371" t="s">
        <v>1354</v>
      </c>
      <c r="AG371" t="s">
        <v>5840</v>
      </c>
      <c r="AH371">
        <v>5</v>
      </c>
      <c r="AI371" t="s">
        <v>237</v>
      </c>
      <c r="AJ371" t="s">
        <v>5841</v>
      </c>
      <c r="AK371" t="s">
        <v>475</v>
      </c>
      <c r="AM371" t="s">
        <v>75</v>
      </c>
      <c r="AN371">
        <v>1576000</v>
      </c>
      <c r="AO371" s="9">
        <v>31520</v>
      </c>
    </row>
    <row r="372" spans="1:41" x14ac:dyDescent="0.25">
      <c r="A372">
        <v>371</v>
      </c>
      <c r="B372" t="s">
        <v>1305</v>
      </c>
      <c r="C372" t="s">
        <v>5842</v>
      </c>
      <c r="D372" t="s">
        <v>136</v>
      </c>
      <c r="E372" t="s">
        <v>47</v>
      </c>
      <c r="F372" t="s">
        <v>48</v>
      </c>
      <c r="G372" t="s">
        <v>629</v>
      </c>
      <c r="H372" t="s">
        <v>5843</v>
      </c>
      <c r="I372" t="s">
        <v>5844</v>
      </c>
      <c r="J372">
        <v>2</v>
      </c>
      <c r="K372">
        <v>26.93</v>
      </c>
      <c r="L372" t="s">
        <v>5845</v>
      </c>
      <c r="M372" t="s">
        <v>5846</v>
      </c>
      <c r="N372" t="s">
        <v>187</v>
      </c>
      <c r="O372" t="s">
        <v>5847</v>
      </c>
      <c r="P372" t="s">
        <v>5848</v>
      </c>
      <c r="Q372" t="s">
        <v>5848</v>
      </c>
      <c r="R372" t="s">
        <v>5848</v>
      </c>
      <c r="S372" t="s">
        <v>5849</v>
      </c>
      <c r="T372">
        <v>1605000</v>
      </c>
      <c r="U372">
        <v>2140000</v>
      </c>
      <c r="V372" t="s">
        <v>146</v>
      </c>
      <c r="W372" t="s">
        <v>604</v>
      </c>
      <c r="X372" t="s">
        <v>5850</v>
      </c>
      <c r="Y372" t="s">
        <v>5851</v>
      </c>
      <c r="Z372" t="s">
        <v>64</v>
      </c>
      <c r="AA372" t="s">
        <v>65</v>
      </c>
      <c r="AB372" t="s">
        <v>5852</v>
      </c>
      <c r="AC372" t="s">
        <v>151</v>
      </c>
      <c r="AD372" t="s">
        <v>2065</v>
      </c>
      <c r="AE372" t="s">
        <v>288</v>
      </c>
      <c r="AF372" t="s">
        <v>2213</v>
      </c>
      <c r="AG372" t="s">
        <v>5853</v>
      </c>
      <c r="AH372">
        <v>5</v>
      </c>
      <c r="AI372" t="s">
        <v>237</v>
      </c>
      <c r="AJ372" t="s">
        <v>5854</v>
      </c>
      <c r="AK372" t="s">
        <v>924</v>
      </c>
      <c r="AM372" t="s">
        <v>75</v>
      </c>
      <c r="AN372">
        <v>1605000</v>
      </c>
      <c r="AO372" s="9">
        <v>32100</v>
      </c>
    </row>
    <row r="373" spans="1:41" hidden="1" x14ac:dyDescent="0.25">
      <c r="A373">
        <v>372</v>
      </c>
      <c r="B373" t="s">
        <v>1305</v>
      </c>
      <c r="C373" t="s">
        <v>5855</v>
      </c>
      <c r="D373" t="s">
        <v>77</v>
      </c>
      <c r="E373" t="s">
        <v>47</v>
      </c>
      <c r="F373" t="s">
        <v>48</v>
      </c>
      <c r="G373" t="s">
        <v>1947</v>
      </c>
      <c r="H373" t="s">
        <v>5856</v>
      </c>
      <c r="I373" t="s">
        <v>5857</v>
      </c>
      <c r="J373">
        <v>1.75</v>
      </c>
      <c r="K373">
        <v>25.19</v>
      </c>
      <c r="L373" t="s">
        <v>5858</v>
      </c>
      <c r="M373" t="s">
        <v>5859</v>
      </c>
      <c r="N373" t="s">
        <v>164</v>
      </c>
      <c r="O373" t="s">
        <v>5860</v>
      </c>
      <c r="P373" t="s">
        <v>5861</v>
      </c>
      <c r="Q373" t="s">
        <v>5862</v>
      </c>
      <c r="R373" t="s">
        <v>5863</v>
      </c>
      <c r="S373" t="s">
        <v>5864</v>
      </c>
      <c r="T373">
        <v>1020000</v>
      </c>
      <c r="U373">
        <v>3400000</v>
      </c>
      <c r="V373" t="s">
        <v>5865</v>
      </c>
      <c r="W373" t="s">
        <v>5866</v>
      </c>
      <c r="X373" t="s">
        <v>5867</v>
      </c>
      <c r="Y373" t="s">
        <v>5868</v>
      </c>
      <c r="Z373" t="s">
        <v>93</v>
      </c>
      <c r="AA373" t="s">
        <v>5869</v>
      </c>
      <c r="AB373" t="s">
        <v>3904</v>
      </c>
      <c r="AC373" t="s">
        <v>531</v>
      </c>
      <c r="AD373" s="2">
        <v>45188</v>
      </c>
      <c r="AE373" t="s">
        <v>3275</v>
      </c>
      <c r="AF373" t="s">
        <v>532</v>
      </c>
      <c r="AG373" t="s">
        <v>5870</v>
      </c>
      <c r="AH373">
        <v>1</v>
      </c>
      <c r="AI373" t="s">
        <v>237</v>
      </c>
      <c r="AJ373" t="s">
        <v>5871</v>
      </c>
      <c r="AK373" t="s">
        <v>566</v>
      </c>
      <c r="AM373" t="s">
        <v>102</v>
      </c>
      <c r="AN373">
        <v>0</v>
      </c>
      <c r="AO373">
        <v>0</v>
      </c>
    </row>
    <row r="374" spans="1:41" x14ac:dyDescent="0.25">
      <c r="A374">
        <v>373</v>
      </c>
      <c r="B374" t="s">
        <v>1305</v>
      </c>
      <c r="C374" t="s">
        <v>5872</v>
      </c>
      <c r="D374" t="s">
        <v>46</v>
      </c>
      <c r="E374" t="s">
        <v>47</v>
      </c>
      <c r="F374" t="s">
        <v>48</v>
      </c>
      <c r="G374" t="s">
        <v>1668</v>
      </c>
      <c r="H374" t="s">
        <v>5873</v>
      </c>
      <c r="I374" t="s">
        <v>5874</v>
      </c>
      <c r="J374">
        <v>2</v>
      </c>
      <c r="K374">
        <v>25.74</v>
      </c>
      <c r="L374" t="s">
        <v>5875</v>
      </c>
      <c r="M374" t="s">
        <v>5876</v>
      </c>
      <c r="N374" t="s">
        <v>187</v>
      </c>
      <c r="O374" t="s">
        <v>5877</v>
      </c>
      <c r="P374" t="s">
        <v>5878</v>
      </c>
      <c r="Q374" t="s">
        <v>5878</v>
      </c>
      <c r="R374" t="s">
        <v>5878</v>
      </c>
      <c r="S374" t="s">
        <v>5879</v>
      </c>
      <c r="T374">
        <v>2996760</v>
      </c>
      <c r="U374">
        <v>4407000</v>
      </c>
      <c r="V374" t="s">
        <v>5880</v>
      </c>
      <c r="W374" t="s">
        <v>5866</v>
      </c>
      <c r="X374" t="s">
        <v>5881</v>
      </c>
      <c r="Y374" t="s">
        <v>5882</v>
      </c>
      <c r="Z374" t="s">
        <v>64</v>
      </c>
      <c r="AA374" t="s">
        <v>65</v>
      </c>
      <c r="AB374" t="s">
        <v>1959</v>
      </c>
      <c r="AC374" t="s">
        <v>531</v>
      </c>
      <c r="AD374" s="2">
        <v>44593</v>
      </c>
      <c r="AE374" t="s">
        <v>3275</v>
      </c>
      <c r="AF374" t="s">
        <v>1430</v>
      </c>
      <c r="AG374" t="s">
        <v>5883</v>
      </c>
      <c r="AH374">
        <v>2</v>
      </c>
      <c r="AI374" t="s">
        <v>198</v>
      </c>
      <c r="AJ374" t="s">
        <v>5884</v>
      </c>
      <c r="AK374" t="s">
        <v>4490</v>
      </c>
      <c r="AM374" t="s">
        <v>75</v>
      </c>
      <c r="AN374">
        <v>3966300</v>
      </c>
      <c r="AO374" s="9">
        <v>79326</v>
      </c>
    </row>
    <row r="375" spans="1:41" x14ac:dyDescent="0.25">
      <c r="A375">
        <v>374</v>
      </c>
      <c r="B375" t="s">
        <v>1305</v>
      </c>
      <c r="C375" t="s">
        <v>5885</v>
      </c>
      <c r="D375" t="s">
        <v>277</v>
      </c>
      <c r="E375" t="s">
        <v>47</v>
      </c>
      <c r="F375" t="s">
        <v>48</v>
      </c>
      <c r="G375" t="s">
        <v>3427</v>
      </c>
      <c r="H375" t="s">
        <v>5886</v>
      </c>
      <c r="I375" t="s">
        <v>5887</v>
      </c>
      <c r="J375">
        <v>2</v>
      </c>
      <c r="K375">
        <v>25.85</v>
      </c>
      <c r="L375" t="s">
        <v>5888</v>
      </c>
      <c r="M375" t="s">
        <v>5889</v>
      </c>
      <c r="N375" t="s">
        <v>83</v>
      </c>
      <c r="O375" t="s">
        <v>5890</v>
      </c>
      <c r="P375" t="s">
        <v>5891</v>
      </c>
      <c r="Q375" t="s">
        <v>5892</v>
      </c>
      <c r="R375" t="s">
        <v>5893</v>
      </c>
      <c r="S375" t="s">
        <v>5894</v>
      </c>
      <c r="T375">
        <v>1320000</v>
      </c>
      <c r="U375">
        <v>1650000</v>
      </c>
      <c r="V375" t="s">
        <v>5895</v>
      </c>
      <c r="W375" t="s">
        <v>453</v>
      </c>
      <c r="X375" t="s">
        <v>5896</v>
      </c>
      <c r="Y375" t="s">
        <v>5897</v>
      </c>
      <c r="Z375" t="s">
        <v>93</v>
      </c>
      <c r="AA375" t="s">
        <v>5898</v>
      </c>
      <c r="AB375" t="s">
        <v>1696</v>
      </c>
      <c r="AC375" t="s">
        <v>151</v>
      </c>
      <c r="AD375" t="s">
        <v>133</v>
      </c>
      <c r="AE375" t="s">
        <v>69</v>
      </c>
      <c r="AF375" t="s">
        <v>1007</v>
      </c>
      <c r="AG375" t="s">
        <v>5899</v>
      </c>
      <c r="AH375">
        <v>5</v>
      </c>
      <c r="AI375" t="s">
        <v>237</v>
      </c>
      <c r="AJ375" t="s">
        <v>5900</v>
      </c>
      <c r="AK375" t="s">
        <v>74</v>
      </c>
      <c r="AM375" t="s">
        <v>75</v>
      </c>
      <c r="AN375">
        <v>1320000</v>
      </c>
      <c r="AO375" s="9">
        <v>26400</v>
      </c>
    </row>
    <row r="376" spans="1:41" x14ac:dyDescent="0.25">
      <c r="A376">
        <v>375</v>
      </c>
      <c r="B376" t="s">
        <v>1305</v>
      </c>
      <c r="C376" t="s">
        <v>5901</v>
      </c>
      <c r="D376" t="s">
        <v>46</v>
      </c>
      <c r="E376" t="s">
        <v>47</v>
      </c>
      <c r="F376" t="s">
        <v>48</v>
      </c>
      <c r="G376" t="s">
        <v>5902</v>
      </c>
      <c r="H376" t="s">
        <v>5903</v>
      </c>
      <c r="I376" t="s">
        <v>5904</v>
      </c>
      <c r="J376">
        <v>2</v>
      </c>
      <c r="K376">
        <v>25.85</v>
      </c>
      <c r="L376" t="s">
        <v>5905</v>
      </c>
      <c r="M376" t="s">
        <v>5906</v>
      </c>
      <c r="N376" t="s">
        <v>578</v>
      </c>
      <c r="O376" t="s">
        <v>5907</v>
      </c>
      <c r="P376" t="s">
        <v>65</v>
      </c>
      <c r="Q376" t="s">
        <v>5908</v>
      </c>
      <c r="R376" t="s">
        <v>5909</v>
      </c>
      <c r="S376" t="s">
        <v>5910</v>
      </c>
      <c r="T376">
        <v>1232000</v>
      </c>
      <c r="U376">
        <v>1760000</v>
      </c>
      <c r="V376" t="s">
        <v>5911</v>
      </c>
      <c r="W376" t="s">
        <v>453</v>
      </c>
      <c r="X376" t="s">
        <v>5912</v>
      </c>
      <c r="Y376" t="s">
        <v>5913</v>
      </c>
      <c r="Z376" t="s">
        <v>64</v>
      </c>
      <c r="AA376" t="s">
        <v>65</v>
      </c>
      <c r="AB376" t="s">
        <v>5914</v>
      </c>
      <c r="AC376" t="s">
        <v>67</v>
      </c>
      <c r="AD376" t="s">
        <v>196</v>
      </c>
      <c r="AE376" t="s">
        <v>69</v>
      </c>
      <c r="AF376" t="s">
        <v>1319</v>
      </c>
      <c r="AG376" t="s">
        <v>5915</v>
      </c>
      <c r="AH376">
        <v>7</v>
      </c>
      <c r="AI376" t="s">
        <v>198</v>
      </c>
      <c r="AJ376" t="s">
        <v>5916</v>
      </c>
      <c r="AK376" t="s">
        <v>475</v>
      </c>
      <c r="AM376" t="s">
        <v>75</v>
      </c>
      <c r="AN376">
        <v>1408000</v>
      </c>
      <c r="AO376" s="9">
        <v>28160</v>
      </c>
    </row>
    <row r="377" spans="1:41" x14ac:dyDescent="0.25">
      <c r="A377">
        <v>376</v>
      </c>
      <c r="B377" t="s">
        <v>1305</v>
      </c>
      <c r="C377" t="s">
        <v>5917</v>
      </c>
      <c r="D377" t="s">
        <v>77</v>
      </c>
      <c r="E377" t="s">
        <v>47</v>
      </c>
      <c r="F377" t="s">
        <v>48</v>
      </c>
      <c r="G377" t="s">
        <v>1717</v>
      </c>
      <c r="H377" t="s">
        <v>5918</v>
      </c>
      <c r="I377" t="s">
        <v>5919</v>
      </c>
      <c r="J377">
        <v>2</v>
      </c>
      <c r="K377">
        <v>25.69</v>
      </c>
      <c r="L377" t="s">
        <v>5920</v>
      </c>
      <c r="M377" t="s">
        <v>5921</v>
      </c>
      <c r="N377" t="s">
        <v>187</v>
      </c>
      <c r="O377" t="s">
        <v>5922</v>
      </c>
      <c r="P377" t="s">
        <v>65</v>
      </c>
      <c r="Q377" t="s">
        <v>5923</v>
      </c>
      <c r="R377" t="s">
        <v>65</v>
      </c>
      <c r="S377" t="s">
        <v>5924</v>
      </c>
      <c r="T377">
        <v>1080000</v>
      </c>
      <c r="U377">
        <v>1350000</v>
      </c>
      <c r="V377" t="s">
        <v>5925</v>
      </c>
      <c r="W377" t="s">
        <v>453</v>
      </c>
      <c r="X377" t="s">
        <v>5926</v>
      </c>
      <c r="Y377" t="s">
        <v>5927</v>
      </c>
      <c r="Z377" t="s">
        <v>93</v>
      </c>
      <c r="AA377" t="s">
        <v>5928</v>
      </c>
      <c r="AB377" t="s">
        <v>642</v>
      </c>
      <c r="AC377" t="s">
        <v>624</v>
      </c>
      <c r="AD377" t="s">
        <v>133</v>
      </c>
      <c r="AE377" t="s">
        <v>69</v>
      </c>
      <c r="AF377" t="s">
        <v>1007</v>
      </c>
      <c r="AG377" t="s">
        <v>5929</v>
      </c>
      <c r="AH377">
        <v>5</v>
      </c>
      <c r="AI377" t="s">
        <v>237</v>
      </c>
      <c r="AJ377" t="s">
        <v>5930</v>
      </c>
      <c r="AK377" t="s">
        <v>475</v>
      </c>
      <c r="AM377" t="s">
        <v>75</v>
      </c>
      <c r="AN377">
        <v>1080000</v>
      </c>
      <c r="AO377" s="9">
        <v>21600</v>
      </c>
    </row>
    <row r="378" spans="1:41" x14ac:dyDescent="0.25">
      <c r="A378">
        <v>377</v>
      </c>
      <c r="B378" t="s">
        <v>1305</v>
      </c>
      <c r="C378" t="s">
        <v>5931</v>
      </c>
      <c r="D378" t="s">
        <v>1489</v>
      </c>
      <c r="E378" t="s">
        <v>47</v>
      </c>
      <c r="F378" t="s">
        <v>48</v>
      </c>
      <c r="G378" t="s">
        <v>182</v>
      </c>
      <c r="H378" t="s">
        <v>5932</v>
      </c>
      <c r="I378" t="s">
        <v>5933</v>
      </c>
      <c r="J378">
        <v>2.5</v>
      </c>
      <c r="K378">
        <v>27.18</v>
      </c>
      <c r="L378" t="s">
        <v>5934</v>
      </c>
      <c r="M378" t="s">
        <v>370</v>
      </c>
      <c r="N378" t="s">
        <v>187</v>
      </c>
      <c r="O378" t="s">
        <v>5935</v>
      </c>
      <c r="P378" t="s">
        <v>5936</v>
      </c>
      <c r="Q378" t="s">
        <v>5936</v>
      </c>
      <c r="R378" t="s">
        <v>5936</v>
      </c>
      <c r="S378" t="s">
        <v>5937</v>
      </c>
      <c r="T378">
        <v>1067850</v>
      </c>
      <c r="U378">
        <v>1695000</v>
      </c>
      <c r="V378" t="s">
        <v>5938</v>
      </c>
      <c r="W378" t="s">
        <v>604</v>
      </c>
      <c r="X378" t="s">
        <v>5939</v>
      </c>
      <c r="Y378" t="s">
        <v>5940</v>
      </c>
      <c r="Z378" t="s">
        <v>64</v>
      </c>
      <c r="AA378" t="s">
        <v>65</v>
      </c>
      <c r="AB378" t="s">
        <v>642</v>
      </c>
      <c r="AC378" t="s">
        <v>151</v>
      </c>
      <c r="AD378" t="s">
        <v>5941</v>
      </c>
      <c r="AE378" t="s">
        <v>288</v>
      </c>
      <c r="AF378" t="s">
        <v>2213</v>
      </c>
      <c r="AG378" t="s">
        <v>5942</v>
      </c>
      <c r="AH378">
        <v>5</v>
      </c>
      <c r="AI378" t="s">
        <v>237</v>
      </c>
      <c r="AJ378" t="s">
        <v>5943</v>
      </c>
      <c r="AK378" t="s">
        <v>4832</v>
      </c>
      <c r="AM378" t="s">
        <v>180</v>
      </c>
      <c r="AN378">
        <v>1271250</v>
      </c>
      <c r="AO378" s="9">
        <v>31781.25</v>
      </c>
    </row>
    <row r="379" spans="1:41" x14ac:dyDescent="0.25">
      <c r="A379">
        <v>378</v>
      </c>
      <c r="B379" t="s">
        <v>1305</v>
      </c>
      <c r="C379" t="s">
        <v>5944</v>
      </c>
      <c r="D379" t="s">
        <v>277</v>
      </c>
      <c r="E379" t="s">
        <v>47</v>
      </c>
      <c r="F379" t="s">
        <v>48</v>
      </c>
      <c r="G379" t="s">
        <v>1947</v>
      </c>
      <c r="H379" t="s">
        <v>5945</v>
      </c>
      <c r="I379" t="s">
        <v>5946</v>
      </c>
      <c r="J379">
        <v>1.75</v>
      </c>
      <c r="K379">
        <v>26.19</v>
      </c>
      <c r="L379" t="s">
        <v>5947</v>
      </c>
      <c r="M379" t="s">
        <v>5948</v>
      </c>
      <c r="N379" t="s">
        <v>164</v>
      </c>
      <c r="O379" t="s">
        <v>5949</v>
      </c>
      <c r="P379" t="s">
        <v>5950</v>
      </c>
      <c r="Q379" t="s">
        <v>5950</v>
      </c>
      <c r="R379" t="s">
        <v>5951</v>
      </c>
      <c r="S379" t="s">
        <v>5952</v>
      </c>
      <c r="T379">
        <v>1625000</v>
      </c>
      <c r="U379">
        <v>2500000</v>
      </c>
      <c r="V379" t="s">
        <v>5953</v>
      </c>
      <c r="W379" t="s">
        <v>5954</v>
      </c>
      <c r="X379" t="s">
        <v>5955</v>
      </c>
      <c r="Y379" t="s">
        <v>5956</v>
      </c>
      <c r="Z379" t="s">
        <v>93</v>
      </c>
      <c r="AA379" t="s">
        <v>5957</v>
      </c>
      <c r="AB379" t="s">
        <v>214</v>
      </c>
      <c r="AC379" t="s">
        <v>67</v>
      </c>
      <c r="AD379" s="2">
        <v>45194</v>
      </c>
      <c r="AE379" t="s">
        <v>437</v>
      </c>
      <c r="AF379" t="s">
        <v>1354</v>
      </c>
      <c r="AG379" t="s">
        <v>5958</v>
      </c>
      <c r="AH379">
        <v>3</v>
      </c>
      <c r="AI379" t="s">
        <v>237</v>
      </c>
      <c r="AJ379" t="s">
        <v>5959</v>
      </c>
      <c r="AK379" t="s">
        <v>440</v>
      </c>
      <c r="AM379" t="s">
        <v>102</v>
      </c>
      <c r="AN379">
        <v>2250000</v>
      </c>
      <c r="AO379" s="9">
        <v>39375.000000000007</v>
      </c>
    </row>
    <row r="380" spans="1:41" x14ac:dyDescent="0.25">
      <c r="A380">
        <v>379</v>
      </c>
      <c r="B380" t="s">
        <v>1305</v>
      </c>
      <c r="C380" t="s">
        <v>5960</v>
      </c>
      <c r="D380" t="s">
        <v>77</v>
      </c>
      <c r="E380" t="s">
        <v>47</v>
      </c>
      <c r="F380" t="s">
        <v>48</v>
      </c>
      <c r="G380" t="s">
        <v>4492</v>
      </c>
      <c r="H380" t="s">
        <v>5961</v>
      </c>
      <c r="I380" t="s">
        <v>5962</v>
      </c>
      <c r="J380">
        <v>1.75</v>
      </c>
      <c r="K380">
        <v>25.94</v>
      </c>
      <c r="L380" t="s">
        <v>5963</v>
      </c>
      <c r="M380" t="s">
        <v>5964</v>
      </c>
      <c r="N380" t="s">
        <v>187</v>
      </c>
      <c r="O380" t="s">
        <v>5965</v>
      </c>
      <c r="P380" t="s">
        <v>5966</v>
      </c>
      <c r="Q380" t="s">
        <v>5966</v>
      </c>
      <c r="R380" t="s">
        <v>5966</v>
      </c>
      <c r="S380" t="s">
        <v>5967</v>
      </c>
      <c r="T380">
        <v>2777120</v>
      </c>
      <c r="U380">
        <v>4084000</v>
      </c>
      <c r="V380" t="s">
        <v>5968</v>
      </c>
      <c r="W380" t="s">
        <v>5954</v>
      </c>
      <c r="X380" t="s">
        <v>5969</v>
      </c>
      <c r="Y380" t="s">
        <v>5970</v>
      </c>
      <c r="Z380" t="s">
        <v>64</v>
      </c>
      <c r="AA380" t="s">
        <v>65</v>
      </c>
      <c r="AB380" t="s">
        <v>195</v>
      </c>
      <c r="AC380" t="s">
        <v>436</v>
      </c>
      <c r="AD380" s="2">
        <v>45194</v>
      </c>
      <c r="AE380" t="s">
        <v>437</v>
      </c>
      <c r="AF380" t="s">
        <v>5607</v>
      </c>
      <c r="AG380" t="s">
        <v>5971</v>
      </c>
      <c r="AH380">
        <v>5</v>
      </c>
      <c r="AI380" t="s">
        <v>237</v>
      </c>
      <c r="AJ380" t="s">
        <v>5972</v>
      </c>
      <c r="AK380" t="s">
        <v>5165</v>
      </c>
      <c r="AM380" t="s">
        <v>102</v>
      </c>
      <c r="AN380">
        <v>3675600</v>
      </c>
      <c r="AO380" s="9">
        <v>64323.000000000007</v>
      </c>
    </row>
    <row r="381" spans="1:41" x14ac:dyDescent="0.25">
      <c r="A381">
        <v>380</v>
      </c>
      <c r="B381" t="s">
        <v>1305</v>
      </c>
      <c r="C381" t="s">
        <v>5973</v>
      </c>
      <c r="D381" t="s">
        <v>46</v>
      </c>
      <c r="E381" t="s">
        <v>47</v>
      </c>
      <c r="F381" t="s">
        <v>48</v>
      </c>
      <c r="G381" t="s">
        <v>5974</v>
      </c>
      <c r="H381" t="s">
        <v>5975</v>
      </c>
      <c r="I381" t="s">
        <v>5976</v>
      </c>
      <c r="J381">
        <v>2</v>
      </c>
      <c r="K381">
        <v>26.19</v>
      </c>
      <c r="L381" t="s">
        <v>5977</v>
      </c>
      <c r="M381" t="s">
        <v>3013</v>
      </c>
      <c r="N381" t="s">
        <v>164</v>
      </c>
      <c r="O381" t="s">
        <v>5978</v>
      </c>
      <c r="P381" t="s">
        <v>5979</v>
      </c>
      <c r="Q381" t="s">
        <v>65</v>
      </c>
      <c r="R381" t="s">
        <v>5980</v>
      </c>
      <c r="S381" t="s">
        <v>5981</v>
      </c>
      <c r="T381">
        <v>2949500</v>
      </c>
      <c r="U381">
        <v>5899000</v>
      </c>
      <c r="V381" t="s">
        <v>5982</v>
      </c>
      <c r="W381" t="s">
        <v>526</v>
      </c>
      <c r="X381" t="s">
        <v>5983</v>
      </c>
      <c r="Y381" t="s">
        <v>5984</v>
      </c>
      <c r="Z381" t="s">
        <v>64</v>
      </c>
      <c r="AA381" t="s">
        <v>65</v>
      </c>
      <c r="AB381" t="s">
        <v>2654</v>
      </c>
      <c r="AC381" t="s">
        <v>531</v>
      </c>
      <c r="AD381" t="s">
        <v>5985</v>
      </c>
      <c r="AE381" t="s">
        <v>231</v>
      </c>
      <c r="AF381" t="s">
        <v>2213</v>
      </c>
      <c r="AG381" t="s">
        <v>5986</v>
      </c>
      <c r="AH381">
        <v>3</v>
      </c>
      <c r="AI381" t="s">
        <v>100</v>
      </c>
      <c r="AJ381" t="s">
        <v>5987</v>
      </c>
      <c r="AK381" t="s">
        <v>453</v>
      </c>
      <c r="AM381" t="s">
        <v>75</v>
      </c>
      <c r="AN381">
        <v>5014150</v>
      </c>
      <c r="AO381" s="9">
        <v>100283</v>
      </c>
    </row>
    <row r="382" spans="1:41" x14ac:dyDescent="0.25">
      <c r="A382">
        <v>381</v>
      </c>
      <c r="B382" t="s">
        <v>1305</v>
      </c>
      <c r="C382" t="s">
        <v>5988</v>
      </c>
      <c r="D382" t="s">
        <v>46</v>
      </c>
      <c r="E382" t="s">
        <v>47</v>
      </c>
      <c r="F382" t="s">
        <v>48</v>
      </c>
      <c r="G382" t="s">
        <v>5989</v>
      </c>
      <c r="H382" t="s">
        <v>5990</v>
      </c>
      <c r="I382" t="s">
        <v>5991</v>
      </c>
      <c r="J382">
        <v>2</v>
      </c>
      <c r="K382">
        <v>26.29</v>
      </c>
      <c r="L382" t="s">
        <v>5992</v>
      </c>
      <c r="M382" t="s">
        <v>5993</v>
      </c>
      <c r="N382" t="s">
        <v>83</v>
      </c>
      <c r="O382" t="s">
        <v>5994</v>
      </c>
      <c r="P382" t="s">
        <v>65</v>
      </c>
      <c r="Q382" t="s">
        <v>5995</v>
      </c>
      <c r="R382" t="s">
        <v>65</v>
      </c>
      <c r="S382" t="s">
        <v>5996</v>
      </c>
      <c r="T382">
        <v>2576400</v>
      </c>
      <c r="U382">
        <v>4294000</v>
      </c>
      <c r="V382" t="s">
        <v>5997</v>
      </c>
      <c r="W382" t="s">
        <v>5228</v>
      </c>
      <c r="X382" t="s">
        <v>5998</v>
      </c>
      <c r="Y382" t="s">
        <v>5999</v>
      </c>
      <c r="Z382" t="s">
        <v>64</v>
      </c>
      <c r="AA382" t="s">
        <v>65</v>
      </c>
      <c r="AB382" t="s">
        <v>2989</v>
      </c>
      <c r="AC382" t="s">
        <v>67</v>
      </c>
      <c r="AD382" t="s">
        <v>2260</v>
      </c>
      <c r="AE382" t="s">
        <v>399</v>
      </c>
      <c r="AF382" t="s">
        <v>1354</v>
      </c>
      <c r="AG382" t="s">
        <v>6000</v>
      </c>
      <c r="AH382">
        <v>5</v>
      </c>
      <c r="AI382" t="s">
        <v>65</v>
      </c>
      <c r="AJ382" t="s">
        <v>65</v>
      </c>
      <c r="AK382" t="s">
        <v>65</v>
      </c>
      <c r="AM382" t="s">
        <v>75</v>
      </c>
      <c r="AN382">
        <v>3435200</v>
      </c>
      <c r="AO382" s="9">
        <v>68704</v>
      </c>
    </row>
    <row r="383" spans="1:41" x14ac:dyDescent="0.25">
      <c r="A383">
        <v>382</v>
      </c>
      <c r="B383" t="s">
        <v>1305</v>
      </c>
      <c r="C383" t="s">
        <v>6001</v>
      </c>
      <c r="D383" t="s">
        <v>277</v>
      </c>
      <c r="E383" t="s">
        <v>47</v>
      </c>
      <c r="F383" t="s">
        <v>48</v>
      </c>
      <c r="G383" t="s">
        <v>516</v>
      </c>
      <c r="H383" t="s">
        <v>6002</v>
      </c>
      <c r="I383" t="s">
        <v>6003</v>
      </c>
      <c r="J383">
        <v>2</v>
      </c>
      <c r="K383">
        <v>25.94</v>
      </c>
      <c r="L383" t="s">
        <v>6004</v>
      </c>
      <c r="M383" t="s">
        <v>6005</v>
      </c>
      <c r="N383" t="s">
        <v>187</v>
      </c>
      <c r="O383" t="s">
        <v>6006</v>
      </c>
      <c r="P383" t="s">
        <v>652</v>
      </c>
      <c r="Q383" t="s">
        <v>6007</v>
      </c>
      <c r="R383" t="s">
        <v>6008</v>
      </c>
      <c r="S383" t="s">
        <v>6009</v>
      </c>
      <c r="T383">
        <v>2450000</v>
      </c>
      <c r="U383">
        <v>3500000</v>
      </c>
      <c r="V383" t="s">
        <v>6010</v>
      </c>
      <c r="W383" t="s">
        <v>5228</v>
      </c>
      <c r="X383" t="s">
        <v>6011</v>
      </c>
      <c r="Y383" t="s">
        <v>6012</v>
      </c>
      <c r="Z383" t="s">
        <v>549</v>
      </c>
      <c r="AA383" t="s">
        <v>65</v>
      </c>
      <c r="AB383" t="s">
        <v>6013</v>
      </c>
      <c r="AC383" t="s">
        <v>552</v>
      </c>
      <c r="AD383" t="s">
        <v>403</v>
      </c>
      <c r="AE383" t="s">
        <v>399</v>
      </c>
      <c r="AF383" t="s">
        <v>1354</v>
      </c>
      <c r="AG383" t="s">
        <v>6014</v>
      </c>
      <c r="AH383">
        <v>5</v>
      </c>
      <c r="AI383" t="s">
        <v>237</v>
      </c>
      <c r="AJ383" t="s">
        <v>6015</v>
      </c>
      <c r="AK383" t="s">
        <v>475</v>
      </c>
      <c r="AM383" t="s">
        <v>75</v>
      </c>
      <c r="AN383">
        <v>2800000</v>
      </c>
      <c r="AO383" s="9">
        <v>56000</v>
      </c>
    </row>
    <row r="384" spans="1:41" x14ac:dyDescent="0.25">
      <c r="A384">
        <v>383</v>
      </c>
      <c r="B384" t="s">
        <v>1305</v>
      </c>
      <c r="C384" t="s">
        <v>6016</v>
      </c>
      <c r="D384" t="s">
        <v>46</v>
      </c>
      <c r="E384" t="s">
        <v>47</v>
      </c>
      <c r="F384" t="s">
        <v>48</v>
      </c>
      <c r="G384" t="s">
        <v>366</v>
      </c>
      <c r="H384" t="s">
        <v>6017</v>
      </c>
      <c r="I384" t="s">
        <v>6018</v>
      </c>
      <c r="J384">
        <v>1.75</v>
      </c>
      <c r="K384">
        <v>25.69</v>
      </c>
      <c r="L384" t="s">
        <v>6019</v>
      </c>
      <c r="M384" t="s">
        <v>6020</v>
      </c>
      <c r="N384" t="s">
        <v>187</v>
      </c>
      <c r="O384" t="s">
        <v>6021</v>
      </c>
      <c r="P384" t="s">
        <v>6022</v>
      </c>
      <c r="Q384" t="s">
        <v>6022</v>
      </c>
      <c r="R384" t="s">
        <v>6023</v>
      </c>
      <c r="S384" t="s">
        <v>6024</v>
      </c>
      <c r="T384">
        <v>2382100</v>
      </c>
      <c r="U384">
        <v>3403000</v>
      </c>
      <c r="V384" t="s">
        <v>6025</v>
      </c>
      <c r="W384" t="s">
        <v>5228</v>
      </c>
      <c r="X384" t="s">
        <v>6026</v>
      </c>
      <c r="Y384" t="s">
        <v>6027</v>
      </c>
      <c r="Z384" t="s">
        <v>64</v>
      </c>
      <c r="AA384" t="s">
        <v>65</v>
      </c>
      <c r="AB384" t="s">
        <v>1110</v>
      </c>
      <c r="AC384" t="s">
        <v>67</v>
      </c>
      <c r="AD384" t="s">
        <v>1569</v>
      </c>
      <c r="AE384" t="s">
        <v>69</v>
      </c>
      <c r="AF384" t="s">
        <v>1007</v>
      </c>
      <c r="AG384" t="s">
        <v>6028</v>
      </c>
      <c r="AH384">
        <v>5</v>
      </c>
      <c r="AI384" t="s">
        <v>237</v>
      </c>
      <c r="AJ384" t="s">
        <v>6029</v>
      </c>
      <c r="AK384" t="s">
        <v>604</v>
      </c>
      <c r="AM384" t="s">
        <v>102</v>
      </c>
      <c r="AN384">
        <v>2722400</v>
      </c>
      <c r="AO384" s="9">
        <v>47642.000000000007</v>
      </c>
    </row>
    <row r="385" spans="1:41" x14ac:dyDescent="0.25">
      <c r="A385">
        <v>384</v>
      </c>
      <c r="B385" t="s">
        <v>1305</v>
      </c>
      <c r="C385" t="s">
        <v>6030</v>
      </c>
      <c r="D385" t="s">
        <v>77</v>
      </c>
      <c r="E385" t="s">
        <v>47</v>
      </c>
      <c r="F385" t="s">
        <v>48</v>
      </c>
      <c r="G385" t="s">
        <v>78</v>
      </c>
      <c r="H385" t="s">
        <v>6031</v>
      </c>
      <c r="I385" t="s">
        <v>6032</v>
      </c>
      <c r="J385">
        <v>1.75</v>
      </c>
      <c r="K385">
        <v>25.19</v>
      </c>
      <c r="L385" t="s">
        <v>6033</v>
      </c>
      <c r="M385" t="s">
        <v>6034</v>
      </c>
      <c r="N385" t="s">
        <v>83</v>
      </c>
      <c r="O385" t="s">
        <v>6035</v>
      </c>
      <c r="P385" t="s">
        <v>6036</v>
      </c>
      <c r="Q385" t="s">
        <v>6036</v>
      </c>
      <c r="R385" t="s">
        <v>167</v>
      </c>
      <c r="S385" t="s">
        <v>6037</v>
      </c>
      <c r="T385">
        <v>2976000</v>
      </c>
      <c r="U385">
        <v>9600000</v>
      </c>
      <c r="V385" t="s">
        <v>6038</v>
      </c>
      <c r="W385" t="s">
        <v>6039</v>
      </c>
      <c r="X385" t="s">
        <v>6040</v>
      </c>
      <c r="Y385" t="s">
        <v>6041</v>
      </c>
      <c r="Z385" t="s">
        <v>93</v>
      </c>
      <c r="AA385" t="s">
        <v>6042</v>
      </c>
      <c r="AB385" t="s">
        <v>254</v>
      </c>
      <c r="AC385" t="s">
        <v>96</v>
      </c>
      <c r="AD385" s="2">
        <v>45189</v>
      </c>
      <c r="AE385" t="s">
        <v>3275</v>
      </c>
      <c r="AF385" t="s">
        <v>974</v>
      </c>
      <c r="AG385" t="s">
        <v>6043</v>
      </c>
      <c r="AH385">
        <v>3</v>
      </c>
      <c r="AI385" t="s">
        <v>237</v>
      </c>
      <c r="AJ385" t="s">
        <v>6044</v>
      </c>
      <c r="AK385" t="s">
        <v>526</v>
      </c>
      <c r="AM385" t="s">
        <v>102</v>
      </c>
      <c r="AN385">
        <v>8640000</v>
      </c>
      <c r="AO385" s="9">
        <v>151200</v>
      </c>
    </row>
    <row r="386" spans="1:41" x14ac:dyDescent="0.25">
      <c r="A386">
        <v>385</v>
      </c>
      <c r="B386" t="s">
        <v>1305</v>
      </c>
      <c r="C386" t="s">
        <v>6045</v>
      </c>
      <c r="D386" t="s">
        <v>277</v>
      </c>
      <c r="E386" t="s">
        <v>47</v>
      </c>
      <c r="F386" t="s">
        <v>48</v>
      </c>
      <c r="G386" t="s">
        <v>78</v>
      </c>
      <c r="H386" t="s">
        <v>6046</v>
      </c>
      <c r="I386" t="s">
        <v>6047</v>
      </c>
      <c r="J386">
        <v>1.75</v>
      </c>
      <c r="K386">
        <v>26.19</v>
      </c>
      <c r="L386" t="s">
        <v>6048</v>
      </c>
      <c r="M386" t="s">
        <v>6049</v>
      </c>
      <c r="N386" t="s">
        <v>83</v>
      </c>
      <c r="O386" t="s">
        <v>6050</v>
      </c>
      <c r="P386" t="s">
        <v>65</v>
      </c>
      <c r="Q386" t="s">
        <v>6051</v>
      </c>
      <c r="R386" t="s">
        <v>65</v>
      </c>
      <c r="S386" t="s">
        <v>6052</v>
      </c>
      <c r="T386">
        <v>2065000</v>
      </c>
      <c r="U386">
        <v>2950000</v>
      </c>
      <c r="V386" t="s">
        <v>6053</v>
      </c>
      <c r="W386" t="s">
        <v>4490</v>
      </c>
      <c r="X386" t="s">
        <v>6054</v>
      </c>
      <c r="Y386" t="s">
        <v>6055</v>
      </c>
      <c r="Z386" t="s">
        <v>93</v>
      </c>
      <c r="AA386" t="s">
        <v>6056</v>
      </c>
      <c r="AB386" t="s">
        <v>3406</v>
      </c>
      <c r="AC386" t="s">
        <v>552</v>
      </c>
      <c r="AD386" t="s">
        <v>453</v>
      </c>
      <c r="AE386" t="s">
        <v>453</v>
      </c>
      <c r="AF386" t="s">
        <v>1430</v>
      </c>
      <c r="AG386" t="s">
        <v>6057</v>
      </c>
      <c r="AH386">
        <v>3</v>
      </c>
      <c r="AI386" t="s">
        <v>72</v>
      </c>
      <c r="AJ386" t="s">
        <v>6058</v>
      </c>
      <c r="AK386" t="s">
        <v>6059</v>
      </c>
      <c r="AM386" t="s">
        <v>102</v>
      </c>
      <c r="AN386">
        <v>2507500</v>
      </c>
      <c r="AO386" s="9">
        <v>43881.250000000007</v>
      </c>
    </row>
    <row r="387" spans="1:41" x14ac:dyDescent="0.25">
      <c r="A387">
        <v>386</v>
      </c>
      <c r="B387" t="s">
        <v>1305</v>
      </c>
      <c r="C387" t="s">
        <v>6060</v>
      </c>
      <c r="D387" t="s">
        <v>277</v>
      </c>
      <c r="E387" t="s">
        <v>47</v>
      </c>
      <c r="F387" t="s">
        <v>48</v>
      </c>
      <c r="G387" t="s">
        <v>4033</v>
      </c>
      <c r="H387" t="s">
        <v>6061</v>
      </c>
      <c r="I387" t="s">
        <v>6062</v>
      </c>
      <c r="J387">
        <v>2</v>
      </c>
      <c r="K387">
        <v>25.94</v>
      </c>
      <c r="L387" t="s">
        <v>6063</v>
      </c>
      <c r="M387" t="s">
        <v>6064</v>
      </c>
      <c r="N387" t="s">
        <v>187</v>
      </c>
      <c r="O387" t="s">
        <v>6065</v>
      </c>
      <c r="P387" t="s">
        <v>6066</v>
      </c>
      <c r="Q387" t="s">
        <v>6066</v>
      </c>
      <c r="R387" t="s">
        <v>6066</v>
      </c>
      <c r="S387" t="s">
        <v>6067</v>
      </c>
      <c r="T387">
        <v>1503600</v>
      </c>
      <c r="U387">
        <v>2148000</v>
      </c>
      <c r="V387" t="s">
        <v>6068</v>
      </c>
      <c r="W387" t="s">
        <v>5228</v>
      </c>
      <c r="X387" t="s">
        <v>6069</v>
      </c>
      <c r="Y387" t="s">
        <v>6070</v>
      </c>
      <c r="Z387" t="s">
        <v>64</v>
      </c>
      <c r="AA387" t="s">
        <v>65</v>
      </c>
      <c r="AB387" t="s">
        <v>6071</v>
      </c>
      <c r="AC387" t="s">
        <v>67</v>
      </c>
      <c r="AD387" t="s">
        <v>399</v>
      </c>
      <c r="AE387" t="s">
        <v>399</v>
      </c>
      <c r="AF387" t="s">
        <v>5607</v>
      </c>
      <c r="AG387" t="s">
        <v>6072</v>
      </c>
      <c r="AH387">
        <v>7</v>
      </c>
      <c r="AI387" t="s">
        <v>237</v>
      </c>
      <c r="AJ387" t="s">
        <v>6073</v>
      </c>
      <c r="AK387" t="s">
        <v>475</v>
      </c>
      <c r="AM387" t="s">
        <v>75</v>
      </c>
      <c r="AN387">
        <v>1718400</v>
      </c>
      <c r="AO387" s="9">
        <v>34368</v>
      </c>
    </row>
    <row r="388" spans="1:41" x14ac:dyDescent="0.25">
      <c r="A388">
        <v>387</v>
      </c>
      <c r="B388" t="s">
        <v>1305</v>
      </c>
      <c r="C388" t="s">
        <v>6074</v>
      </c>
      <c r="D388" t="s">
        <v>277</v>
      </c>
      <c r="E388" t="s">
        <v>47</v>
      </c>
      <c r="F388" t="s">
        <v>48</v>
      </c>
      <c r="G388" t="s">
        <v>1717</v>
      </c>
      <c r="H388" t="s">
        <v>6075</v>
      </c>
      <c r="I388" t="s">
        <v>6076</v>
      </c>
      <c r="J388">
        <v>2</v>
      </c>
      <c r="K388">
        <v>25.94</v>
      </c>
      <c r="L388" t="s">
        <v>6077</v>
      </c>
      <c r="M388" t="s">
        <v>6078</v>
      </c>
      <c r="N388" t="s">
        <v>187</v>
      </c>
      <c r="O388" t="s">
        <v>6079</v>
      </c>
      <c r="P388" t="s">
        <v>65</v>
      </c>
      <c r="Q388" t="s">
        <v>6080</v>
      </c>
      <c r="R388" t="s">
        <v>65</v>
      </c>
      <c r="S388" t="s">
        <v>6081</v>
      </c>
      <c r="T388">
        <v>1362900</v>
      </c>
      <c r="U388">
        <v>1947000</v>
      </c>
      <c r="V388" t="s">
        <v>6082</v>
      </c>
      <c r="W388" t="s">
        <v>5228</v>
      </c>
      <c r="X388" t="s">
        <v>6083</v>
      </c>
      <c r="Y388" t="s">
        <v>6084</v>
      </c>
      <c r="Z388" t="s">
        <v>64</v>
      </c>
      <c r="AA388" t="s">
        <v>65</v>
      </c>
      <c r="AB388" t="s">
        <v>5480</v>
      </c>
      <c r="AC388" t="s">
        <v>67</v>
      </c>
      <c r="AD388" t="s">
        <v>258</v>
      </c>
      <c r="AE388" t="s">
        <v>399</v>
      </c>
      <c r="AF388" t="s">
        <v>1354</v>
      </c>
      <c r="AG388" t="s">
        <v>6085</v>
      </c>
      <c r="AH388">
        <v>5</v>
      </c>
      <c r="AI388" t="s">
        <v>237</v>
      </c>
      <c r="AJ388" t="s">
        <v>6086</v>
      </c>
      <c r="AK388" t="s">
        <v>475</v>
      </c>
      <c r="AM388" t="s">
        <v>75</v>
      </c>
      <c r="AN388">
        <v>1557600</v>
      </c>
      <c r="AO388" s="9">
        <v>31152</v>
      </c>
    </row>
    <row r="389" spans="1:41" x14ac:dyDescent="0.25">
      <c r="A389">
        <v>388</v>
      </c>
      <c r="B389" t="s">
        <v>1305</v>
      </c>
      <c r="C389" t="s">
        <v>6087</v>
      </c>
      <c r="D389" t="s">
        <v>912</v>
      </c>
      <c r="E389" t="s">
        <v>47</v>
      </c>
      <c r="F389" t="s">
        <v>48</v>
      </c>
      <c r="G389" t="s">
        <v>516</v>
      </c>
      <c r="H389" t="s">
        <v>6088</v>
      </c>
      <c r="I389" t="s">
        <v>6089</v>
      </c>
      <c r="J389">
        <v>2</v>
      </c>
      <c r="K389">
        <v>26.43</v>
      </c>
      <c r="L389" t="s">
        <v>6090</v>
      </c>
      <c r="M389" t="s">
        <v>6091</v>
      </c>
      <c r="N389" t="s">
        <v>187</v>
      </c>
      <c r="O389" t="s">
        <v>6092</v>
      </c>
      <c r="P389" t="s">
        <v>6093</v>
      </c>
      <c r="Q389" t="s">
        <v>6094</v>
      </c>
      <c r="R389" t="s">
        <v>6093</v>
      </c>
      <c r="S389" t="s">
        <v>6095</v>
      </c>
      <c r="T389">
        <v>1470000</v>
      </c>
      <c r="U389">
        <v>1960000</v>
      </c>
      <c r="V389" t="s">
        <v>146</v>
      </c>
      <c r="W389" t="s">
        <v>683</v>
      </c>
      <c r="X389" t="s">
        <v>6096</v>
      </c>
      <c r="Y389" t="s">
        <v>6097</v>
      </c>
      <c r="Z389" t="s">
        <v>93</v>
      </c>
      <c r="AA389" t="s">
        <v>6098</v>
      </c>
      <c r="AB389" t="s">
        <v>6099</v>
      </c>
      <c r="AC389" t="s">
        <v>662</v>
      </c>
      <c r="AD389" t="s">
        <v>4832</v>
      </c>
      <c r="AE389" t="s">
        <v>1539</v>
      </c>
      <c r="AF389" t="s">
        <v>1430</v>
      </c>
      <c r="AG389" t="s">
        <v>6100</v>
      </c>
      <c r="AH389">
        <v>5</v>
      </c>
      <c r="AI389" t="s">
        <v>237</v>
      </c>
      <c r="AJ389" t="s">
        <v>6101</v>
      </c>
      <c r="AK389" t="s">
        <v>1539</v>
      </c>
      <c r="AM389" t="s">
        <v>75</v>
      </c>
      <c r="AN389">
        <v>1470000</v>
      </c>
      <c r="AO389" s="9">
        <v>29400</v>
      </c>
    </row>
    <row r="390" spans="1:41" x14ac:dyDescent="0.25">
      <c r="A390">
        <v>389</v>
      </c>
      <c r="B390" t="s">
        <v>1305</v>
      </c>
      <c r="C390" t="s">
        <v>6102</v>
      </c>
      <c r="D390" t="s">
        <v>912</v>
      </c>
      <c r="E390" t="s">
        <v>47</v>
      </c>
      <c r="F390" t="s">
        <v>48</v>
      </c>
      <c r="G390" t="s">
        <v>3519</v>
      </c>
      <c r="H390" t="s">
        <v>6103</v>
      </c>
      <c r="I390" t="s">
        <v>6104</v>
      </c>
      <c r="J390">
        <v>2</v>
      </c>
      <c r="K390">
        <v>26.68</v>
      </c>
      <c r="L390" t="s">
        <v>6105</v>
      </c>
      <c r="M390" t="s">
        <v>6106</v>
      </c>
      <c r="N390" t="s">
        <v>54</v>
      </c>
      <c r="O390" t="s">
        <v>6107</v>
      </c>
      <c r="P390" t="s">
        <v>6108</v>
      </c>
      <c r="Q390" t="s">
        <v>6109</v>
      </c>
      <c r="R390" t="s">
        <v>6110</v>
      </c>
      <c r="S390" t="s">
        <v>6111</v>
      </c>
      <c r="T390">
        <v>1186500</v>
      </c>
      <c r="U390">
        <v>1695000</v>
      </c>
      <c r="V390" t="s">
        <v>6112</v>
      </c>
      <c r="W390" t="s">
        <v>683</v>
      </c>
      <c r="X390" t="s">
        <v>6113</v>
      </c>
      <c r="Y390" t="s">
        <v>6114</v>
      </c>
      <c r="Z390" t="s">
        <v>64</v>
      </c>
      <c r="AA390" t="s">
        <v>65</v>
      </c>
      <c r="AB390" t="s">
        <v>2448</v>
      </c>
      <c r="AC390" t="s">
        <v>151</v>
      </c>
      <c r="AD390" t="s">
        <v>924</v>
      </c>
      <c r="AE390" t="s">
        <v>288</v>
      </c>
      <c r="AF390" t="s">
        <v>4995</v>
      </c>
      <c r="AG390" t="s">
        <v>6115</v>
      </c>
      <c r="AH390">
        <v>7</v>
      </c>
      <c r="AI390" t="s">
        <v>100</v>
      </c>
      <c r="AJ390" t="s">
        <v>6116</v>
      </c>
      <c r="AK390" t="s">
        <v>1539</v>
      </c>
      <c r="AM390" t="s">
        <v>75</v>
      </c>
      <c r="AN390">
        <v>1271250</v>
      </c>
      <c r="AO390" s="9">
        <v>25425</v>
      </c>
    </row>
    <row r="391" spans="1:41" hidden="1" x14ac:dyDescent="0.25">
      <c r="A391">
        <v>390</v>
      </c>
      <c r="B391" t="s">
        <v>1305</v>
      </c>
      <c r="C391" t="s">
        <v>6117</v>
      </c>
      <c r="D391" t="s">
        <v>46</v>
      </c>
      <c r="E391" t="s">
        <v>47</v>
      </c>
      <c r="F391" t="s">
        <v>48</v>
      </c>
      <c r="G391" t="s">
        <v>1435</v>
      </c>
      <c r="H391" t="s">
        <v>6118</v>
      </c>
      <c r="I391" t="s">
        <v>6119</v>
      </c>
      <c r="J391">
        <v>3.1</v>
      </c>
      <c r="K391">
        <v>28.19</v>
      </c>
      <c r="L391" t="s">
        <v>6120</v>
      </c>
      <c r="M391" t="s">
        <v>6121</v>
      </c>
      <c r="N391" t="s">
        <v>187</v>
      </c>
      <c r="O391" t="s">
        <v>6122</v>
      </c>
      <c r="P391" t="s">
        <v>6123</v>
      </c>
      <c r="Q391" t="s">
        <v>6123</v>
      </c>
      <c r="R391" t="s">
        <v>6123</v>
      </c>
      <c r="S391" t="s">
        <v>6124</v>
      </c>
      <c r="T391">
        <v>1045160</v>
      </c>
      <c r="U391">
        <v>1537000</v>
      </c>
      <c r="V391" t="s">
        <v>6125</v>
      </c>
      <c r="W391" t="s">
        <v>6126</v>
      </c>
      <c r="X391" t="s">
        <v>6127</v>
      </c>
      <c r="Y391" t="s">
        <v>6128</v>
      </c>
      <c r="Z391" t="s">
        <v>64</v>
      </c>
      <c r="AA391" t="s">
        <v>6129</v>
      </c>
      <c r="AB391" t="s">
        <v>1181</v>
      </c>
      <c r="AC391" t="s">
        <v>662</v>
      </c>
      <c r="AD391" t="s">
        <v>6130</v>
      </c>
      <c r="AE391" t="s">
        <v>509</v>
      </c>
      <c r="AF391" t="s">
        <v>400</v>
      </c>
      <c r="AG391" t="s">
        <v>6131</v>
      </c>
      <c r="AH391">
        <v>7</v>
      </c>
      <c r="AI391" t="s">
        <v>511</v>
      </c>
      <c r="AJ391" t="s">
        <v>6132</v>
      </c>
      <c r="AK391" t="s">
        <v>1748</v>
      </c>
      <c r="AM391" t="s">
        <v>667</v>
      </c>
      <c r="AN391">
        <v>0</v>
      </c>
      <c r="AO391">
        <v>0</v>
      </c>
    </row>
    <row r="392" spans="1:41" x14ac:dyDescent="0.25">
      <c r="A392">
        <v>391</v>
      </c>
      <c r="B392" t="s">
        <v>1305</v>
      </c>
      <c r="C392" t="s">
        <v>6133</v>
      </c>
      <c r="D392" t="s">
        <v>46</v>
      </c>
      <c r="E392" t="s">
        <v>47</v>
      </c>
      <c r="F392" t="s">
        <v>48</v>
      </c>
      <c r="G392" t="s">
        <v>182</v>
      </c>
      <c r="H392" t="s">
        <v>6134</v>
      </c>
      <c r="I392" t="s">
        <v>6135</v>
      </c>
      <c r="J392">
        <v>2</v>
      </c>
      <c r="K392">
        <v>25.85</v>
      </c>
      <c r="L392" t="s">
        <v>6136</v>
      </c>
      <c r="M392" t="s">
        <v>6137</v>
      </c>
      <c r="N392" t="s">
        <v>4373</v>
      </c>
      <c r="O392" t="s">
        <v>6138</v>
      </c>
      <c r="P392" t="s">
        <v>652</v>
      </c>
      <c r="Q392" t="s">
        <v>6139</v>
      </c>
      <c r="R392" t="s">
        <v>6140</v>
      </c>
      <c r="S392" t="s">
        <v>6141</v>
      </c>
      <c r="T392">
        <v>998200</v>
      </c>
      <c r="U392">
        <v>1610000</v>
      </c>
      <c r="V392" t="s">
        <v>6142</v>
      </c>
      <c r="W392" t="s">
        <v>5228</v>
      </c>
      <c r="X392" t="s">
        <v>6143</v>
      </c>
      <c r="Y392" t="s">
        <v>6144</v>
      </c>
      <c r="Z392" t="s">
        <v>64</v>
      </c>
      <c r="AA392" t="s">
        <v>65</v>
      </c>
      <c r="AB392" t="s">
        <v>1746</v>
      </c>
      <c r="AC392" t="s">
        <v>65</v>
      </c>
      <c r="AD392" t="s">
        <v>5521</v>
      </c>
      <c r="AE392" t="s">
        <v>69</v>
      </c>
      <c r="AF392" t="s">
        <v>1319</v>
      </c>
      <c r="AG392" t="s">
        <v>6145</v>
      </c>
      <c r="AH392">
        <v>7</v>
      </c>
      <c r="AI392" t="s">
        <v>198</v>
      </c>
      <c r="AJ392" t="s">
        <v>6146</v>
      </c>
      <c r="AK392" t="s">
        <v>604</v>
      </c>
      <c r="AM392" t="s">
        <v>75</v>
      </c>
      <c r="AN392">
        <v>1288000</v>
      </c>
      <c r="AO392" s="9">
        <v>25760</v>
      </c>
    </row>
    <row r="393" spans="1:41" x14ac:dyDescent="0.25">
      <c r="A393">
        <v>392</v>
      </c>
      <c r="B393" t="s">
        <v>1305</v>
      </c>
      <c r="C393" t="s">
        <v>6147</v>
      </c>
      <c r="D393" t="s">
        <v>77</v>
      </c>
      <c r="E393" t="s">
        <v>47</v>
      </c>
      <c r="F393" t="s">
        <v>48</v>
      </c>
      <c r="G393" t="s">
        <v>2144</v>
      </c>
      <c r="H393" t="s">
        <v>6148</v>
      </c>
      <c r="I393" t="s">
        <v>6149</v>
      </c>
      <c r="J393">
        <v>2</v>
      </c>
      <c r="K393">
        <v>25.68</v>
      </c>
      <c r="L393" t="s">
        <v>6150</v>
      </c>
      <c r="M393" t="s">
        <v>6151</v>
      </c>
      <c r="N393" t="s">
        <v>187</v>
      </c>
      <c r="O393" t="s">
        <v>6152</v>
      </c>
      <c r="P393" t="s">
        <v>65</v>
      </c>
      <c r="Q393" t="s">
        <v>6153</v>
      </c>
      <c r="R393" t="s">
        <v>65</v>
      </c>
      <c r="S393" t="s">
        <v>6154</v>
      </c>
      <c r="T393">
        <v>801000</v>
      </c>
      <c r="U393">
        <v>1335000</v>
      </c>
      <c r="V393" t="s">
        <v>6155</v>
      </c>
      <c r="W393" t="s">
        <v>583</v>
      </c>
      <c r="X393" t="s">
        <v>6156</v>
      </c>
      <c r="Y393" t="s">
        <v>6157</v>
      </c>
      <c r="Z393" t="s">
        <v>64</v>
      </c>
      <c r="AA393" t="s">
        <v>65</v>
      </c>
      <c r="AB393" t="s">
        <v>777</v>
      </c>
      <c r="AC393" t="s">
        <v>67</v>
      </c>
      <c r="AD393" t="s">
        <v>258</v>
      </c>
      <c r="AE393" t="s">
        <v>399</v>
      </c>
      <c r="AF393" t="s">
        <v>1354</v>
      </c>
      <c r="AG393" t="s">
        <v>6158</v>
      </c>
      <c r="AH393">
        <v>5</v>
      </c>
      <c r="AI393" t="s">
        <v>237</v>
      </c>
      <c r="AJ393" t="s">
        <v>6159</v>
      </c>
      <c r="AK393" t="s">
        <v>683</v>
      </c>
      <c r="AM393" t="s">
        <v>75</v>
      </c>
      <c r="AN393">
        <v>1068000</v>
      </c>
      <c r="AO393" s="9">
        <v>21360</v>
      </c>
    </row>
    <row r="394" spans="1:41" x14ac:dyDescent="0.25">
      <c r="A394">
        <v>393</v>
      </c>
      <c r="B394" t="s">
        <v>1305</v>
      </c>
      <c r="C394" t="s">
        <v>6160</v>
      </c>
      <c r="D394" t="s">
        <v>46</v>
      </c>
      <c r="E394" t="s">
        <v>47</v>
      </c>
      <c r="F394" t="s">
        <v>48</v>
      </c>
      <c r="G394" t="s">
        <v>2951</v>
      </c>
      <c r="H394" t="s">
        <v>6161</v>
      </c>
      <c r="I394" t="s">
        <v>6162</v>
      </c>
      <c r="J394">
        <v>2</v>
      </c>
      <c r="K394">
        <v>25.8</v>
      </c>
      <c r="L394" t="s">
        <v>6163</v>
      </c>
      <c r="M394" t="s">
        <v>6164</v>
      </c>
      <c r="N394" t="s">
        <v>265</v>
      </c>
      <c r="O394" t="s">
        <v>6165</v>
      </c>
      <c r="P394" t="s">
        <v>6166</v>
      </c>
      <c r="Q394" t="s">
        <v>65</v>
      </c>
      <c r="R394" t="s">
        <v>6167</v>
      </c>
      <c r="S394" t="s">
        <v>6168</v>
      </c>
      <c r="T394">
        <v>988650</v>
      </c>
      <c r="U394">
        <v>1521000</v>
      </c>
      <c r="V394" t="s">
        <v>6169</v>
      </c>
      <c r="W394" t="s">
        <v>583</v>
      </c>
      <c r="X394" t="s">
        <v>6170</v>
      </c>
      <c r="Y394" t="s">
        <v>6171</v>
      </c>
      <c r="Z394" t="s">
        <v>64</v>
      </c>
      <c r="AA394" t="s">
        <v>65</v>
      </c>
      <c r="AB394" t="s">
        <v>1696</v>
      </c>
      <c r="AC394" t="s">
        <v>67</v>
      </c>
      <c r="AD394" t="s">
        <v>6172</v>
      </c>
      <c r="AE394" t="s">
        <v>69</v>
      </c>
      <c r="AF394" t="s">
        <v>1007</v>
      </c>
      <c r="AG394" t="s">
        <v>6173</v>
      </c>
      <c r="AH394">
        <v>5</v>
      </c>
      <c r="AI394" t="s">
        <v>198</v>
      </c>
      <c r="AJ394" t="s">
        <v>6174</v>
      </c>
      <c r="AK394" t="s">
        <v>604</v>
      </c>
      <c r="AM394" t="s">
        <v>75</v>
      </c>
      <c r="AN394">
        <v>1216800</v>
      </c>
      <c r="AO394" s="9">
        <v>24336</v>
      </c>
    </row>
    <row r="395" spans="1:41" x14ac:dyDescent="0.25">
      <c r="A395">
        <v>394</v>
      </c>
      <c r="B395" t="s">
        <v>1305</v>
      </c>
      <c r="C395" t="s">
        <v>6175</v>
      </c>
      <c r="D395" t="s">
        <v>46</v>
      </c>
      <c r="E395" t="s">
        <v>47</v>
      </c>
      <c r="F395" t="s">
        <v>48</v>
      </c>
      <c r="G395" t="s">
        <v>182</v>
      </c>
      <c r="H395" t="s">
        <v>6176</v>
      </c>
      <c r="I395" t="s">
        <v>6177</v>
      </c>
      <c r="J395">
        <v>2</v>
      </c>
      <c r="K395">
        <v>26.19</v>
      </c>
      <c r="L395" t="s">
        <v>6178</v>
      </c>
      <c r="M395" t="s">
        <v>6179</v>
      </c>
      <c r="N395" t="s">
        <v>83</v>
      </c>
      <c r="O395" t="s">
        <v>6180</v>
      </c>
      <c r="P395" t="s">
        <v>6181</v>
      </c>
      <c r="Q395" t="s">
        <v>6181</v>
      </c>
      <c r="R395" t="s">
        <v>167</v>
      </c>
      <c r="S395" t="s">
        <v>6182</v>
      </c>
      <c r="T395">
        <v>1438150</v>
      </c>
      <c r="U395">
        <v>2935000</v>
      </c>
      <c r="V395" t="s">
        <v>6183</v>
      </c>
      <c r="W395" t="s">
        <v>6184</v>
      </c>
      <c r="X395" t="s">
        <v>6185</v>
      </c>
      <c r="Y395" t="s">
        <v>6186</v>
      </c>
      <c r="Z395" t="s">
        <v>64</v>
      </c>
      <c r="AA395" t="s">
        <v>65</v>
      </c>
      <c r="AB395" t="s">
        <v>1696</v>
      </c>
      <c r="AC395" t="s">
        <v>436</v>
      </c>
      <c r="AD395" s="2">
        <v>45146</v>
      </c>
      <c r="AE395" t="s">
        <v>437</v>
      </c>
      <c r="AF395" t="s">
        <v>2213</v>
      </c>
      <c r="AG395" t="s">
        <v>6187</v>
      </c>
      <c r="AH395">
        <v>2</v>
      </c>
      <c r="AI395" t="s">
        <v>72</v>
      </c>
      <c r="AJ395" t="s">
        <v>6188</v>
      </c>
      <c r="AK395" t="s">
        <v>6189</v>
      </c>
      <c r="AM395" t="s">
        <v>75</v>
      </c>
      <c r="AN395">
        <v>2641500</v>
      </c>
      <c r="AO395" s="9">
        <v>52830</v>
      </c>
    </row>
    <row r="396" spans="1:41" x14ac:dyDescent="0.25">
      <c r="A396">
        <v>395</v>
      </c>
      <c r="B396" t="s">
        <v>1305</v>
      </c>
      <c r="C396" t="s">
        <v>6190</v>
      </c>
      <c r="D396" t="s">
        <v>77</v>
      </c>
      <c r="E396" t="s">
        <v>47</v>
      </c>
      <c r="F396" t="s">
        <v>48</v>
      </c>
      <c r="G396" t="s">
        <v>6191</v>
      </c>
      <c r="H396" t="s">
        <v>6192</v>
      </c>
      <c r="I396" t="s">
        <v>6193</v>
      </c>
      <c r="J396">
        <v>1.75</v>
      </c>
      <c r="K396">
        <v>25.44</v>
      </c>
      <c r="L396" t="s">
        <v>6194</v>
      </c>
      <c r="M396" t="s">
        <v>6195</v>
      </c>
      <c r="N396" t="s">
        <v>901</v>
      </c>
      <c r="O396" t="s">
        <v>6196</v>
      </c>
      <c r="P396" t="s">
        <v>6197</v>
      </c>
      <c r="Q396" t="s">
        <v>6197</v>
      </c>
      <c r="R396" t="s">
        <v>6197</v>
      </c>
      <c r="S396" t="s">
        <v>6198</v>
      </c>
      <c r="T396">
        <v>1120000</v>
      </c>
      <c r="U396">
        <v>1600000</v>
      </c>
      <c r="V396" t="s">
        <v>6199</v>
      </c>
      <c r="W396" t="s">
        <v>566</v>
      </c>
      <c r="X396" t="s">
        <v>6200</v>
      </c>
      <c r="Y396" t="s">
        <v>6201</v>
      </c>
      <c r="Z396" t="s">
        <v>93</v>
      </c>
      <c r="AA396" t="s">
        <v>6202</v>
      </c>
      <c r="AB396" t="s">
        <v>642</v>
      </c>
      <c r="AC396" t="s">
        <v>662</v>
      </c>
      <c r="AD396" t="s">
        <v>375</v>
      </c>
      <c r="AE396" t="s">
        <v>231</v>
      </c>
      <c r="AF396" t="s">
        <v>4995</v>
      </c>
      <c r="AG396" t="s">
        <v>6203</v>
      </c>
      <c r="AH396">
        <v>5</v>
      </c>
      <c r="AI396" t="s">
        <v>100</v>
      </c>
      <c r="AJ396" t="s">
        <v>6204</v>
      </c>
      <c r="AK396" t="s">
        <v>453</v>
      </c>
      <c r="AM396" t="s">
        <v>102</v>
      </c>
      <c r="AN396">
        <v>1360000</v>
      </c>
      <c r="AO396" s="9">
        <v>23800.000000000004</v>
      </c>
    </row>
    <row r="397" spans="1:41" x14ac:dyDescent="0.25">
      <c r="A397">
        <v>396</v>
      </c>
      <c r="B397" t="s">
        <v>1305</v>
      </c>
      <c r="C397" t="s">
        <v>6205</v>
      </c>
      <c r="D397" t="s">
        <v>241</v>
      </c>
      <c r="E397" t="s">
        <v>47</v>
      </c>
      <c r="F397" t="s">
        <v>48</v>
      </c>
      <c r="G397" t="s">
        <v>2951</v>
      </c>
      <c r="H397" t="s">
        <v>6206</v>
      </c>
      <c r="I397" t="s">
        <v>6207</v>
      </c>
      <c r="J397">
        <v>2</v>
      </c>
      <c r="K397">
        <v>26.29</v>
      </c>
      <c r="L397" t="s">
        <v>6208</v>
      </c>
      <c r="M397" t="s">
        <v>6209</v>
      </c>
      <c r="N397" t="s">
        <v>265</v>
      </c>
      <c r="O397" t="s">
        <v>6210</v>
      </c>
      <c r="P397" t="s">
        <v>6211</v>
      </c>
      <c r="Q397" t="s">
        <v>65</v>
      </c>
      <c r="R397" t="s">
        <v>167</v>
      </c>
      <c r="S397" t="s">
        <v>6212</v>
      </c>
      <c r="T397">
        <v>1370600</v>
      </c>
      <c r="U397">
        <v>1780000</v>
      </c>
      <c r="V397" t="s">
        <v>6213</v>
      </c>
      <c r="W397" t="s">
        <v>583</v>
      </c>
      <c r="X397" t="s">
        <v>6214</v>
      </c>
      <c r="Y397" t="s">
        <v>6215</v>
      </c>
      <c r="Z397" t="s">
        <v>64</v>
      </c>
      <c r="AA397" t="s">
        <v>65</v>
      </c>
      <c r="AB397" t="s">
        <v>416</v>
      </c>
      <c r="AC397" t="s">
        <v>67</v>
      </c>
      <c r="AD397" t="s">
        <v>417</v>
      </c>
      <c r="AE397" t="s">
        <v>399</v>
      </c>
      <c r="AF397" t="s">
        <v>5607</v>
      </c>
      <c r="AG397" t="s">
        <v>6216</v>
      </c>
      <c r="AH397">
        <v>7</v>
      </c>
      <c r="AI397" t="s">
        <v>198</v>
      </c>
      <c r="AJ397" t="s">
        <v>6217</v>
      </c>
      <c r="AK397" t="s">
        <v>604</v>
      </c>
      <c r="AM397" t="s">
        <v>75</v>
      </c>
      <c r="AN397">
        <v>1424000</v>
      </c>
      <c r="AO397" s="9">
        <v>28480</v>
      </c>
    </row>
    <row r="398" spans="1:41" x14ac:dyDescent="0.25">
      <c r="A398">
        <v>397</v>
      </c>
      <c r="B398" t="s">
        <v>1305</v>
      </c>
      <c r="C398" t="s">
        <v>6218</v>
      </c>
      <c r="D398" t="s">
        <v>46</v>
      </c>
      <c r="E398" t="s">
        <v>47</v>
      </c>
      <c r="F398" t="s">
        <v>48</v>
      </c>
      <c r="G398" t="s">
        <v>313</v>
      </c>
      <c r="H398" t="s">
        <v>6219</v>
      </c>
      <c r="I398" t="s">
        <v>6220</v>
      </c>
      <c r="J398">
        <v>2</v>
      </c>
      <c r="K398">
        <v>25.8</v>
      </c>
      <c r="L398" t="s">
        <v>6221</v>
      </c>
      <c r="M398" t="s">
        <v>6222</v>
      </c>
      <c r="N398" t="s">
        <v>83</v>
      </c>
      <c r="O398" t="s">
        <v>6223</v>
      </c>
      <c r="P398" t="s">
        <v>6224</v>
      </c>
      <c r="Q398" t="s">
        <v>6224</v>
      </c>
      <c r="R398" t="s">
        <v>6224</v>
      </c>
      <c r="S398" t="s">
        <v>6225</v>
      </c>
      <c r="T398">
        <v>1655000</v>
      </c>
      <c r="U398">
        <v>2765000</v>
      </c>
      <c r="V398" t="s">
        <v>6226</v>
      </c>
      <c r="W398" t="s">
        <v>583</v>
      </c>
      <c r="X398" t="s">
        <v>6227</v>
      </c>
      <c r="Y398" t="s">
        <v>6228</v>
      </c>
      <c r="Z398" t="s">
        <v>64</v>
      </c>
      <c r="AA398" t="s">
        <v>65</v>
      </c>
      <c r="AB398" t="s">
        <v>3561</v>
      </c>
      <c r="AC398" t="s">
        <v>67</v>
      </c>
      <c r="AD398" t="s">
        <v>1039</v>
      </c>
      <c r="AE398" t="s">
        <v>69</v>
      </c>
      <c r="AF398" t="s">
        <v>1007</v>
      </c>
      <c r="AG398" t="s">
        <v>6229</v>
      </c>
      <c r="AH398">
        <v>5</v>
      </c>
      <c r="AI398" t="s">
        <v>198</v>
      </c>
      <c r="AJ398" t="s">
        <v>6230</v>
      </c>
      <c r="AK398" t="s">
        <v>5524</v>
      </c>
      <c r="AM398" t="s">
        <v>75</v>
      </c>
      <c r="AN398">
        <v>2212000</v>
      </c>
      <c r="AO398" s="9">
        <v>44240</v>
      </c>
    </row>
    <row r="399" spans="1:41" x14ac:dyDescent="0.25">
      <c r="A399">
        <v>398</v>
      </c>
      <c r="B399" t="s">
        <v>1305</v>
      </c>
      <c r="C399" t="s">
        <v>6231</v>
      </c>
      <c r="D399" t="s">
        <v>46</v>
      </c>
      <c r="E399" t="s">
        <v>47</v>
      </c>
      <c r="F399" t="s">
        <v>48</v>
      </c>
      <c r="G399" t="s">
        <v>104</v>
      </c>
      <c r="H399" t="s">
        <v>6232</v>
      </c>
      <c r="I399" t="s">
        <v>6233</v>
      </c>
      <c r="J399">
        <v>2</v>
      </c>
      <c r="K399">
        <v>26.19</v>
      </c>
      <c r="L399" t="s">
        <v>6234</v>
      </c>
      <c r="M399" t="s">
        <v>6235</v>
      </c>
      <c r="N399" t="s">
        <v>83</v>
      </c>
      <c r="O399" t="s">
        <v>6236</v>
      </c>
      <c r="P399" t="s">
        <v>6237</v>
      </c>
      <c r="Q399" t="s">
        <v>6238</v>
      </c>
      <c r="R399" t="s">
        <v>6237</v>
      </c>
      <c r="S399" t="s">
        <v>6239</v>
      </c>
      <c r="T399">
        <v>2897000</v>
      </c>
      <c r="U399">
        <v>5794000</v>
      </c>
      <c r="V399" t="s">
        <v>6240</v>
      </c>
      <c r="W399" t="s">
        <v>566</v>
      </c>
      <c r="X399" t="s">
        <v>6241</v>
      </c>
      <c r="Y399" t="s">
        <v>6242</v>
      </c>
      <c r="Z399" t="s">
        <v>64</v>
      </c>
      <c r="AA399" t="s">
        <v>65</v>
      </c>
      <c r="AB399" t="s">
        <v>116</v>
      </c>
      <c r="AC399" t="s">
        <v>531</v>
      </c>
      <c r="AD399" t="s">
        <v>6243</v>
      </c>
      <c r="AE399" t="s">
        <v>231</v>
      </c>
      <c r="AF399" t="s">
        <v>2213</v>
      </c>
      <c r="AG399" t="s">
        <v>6244</v>
      </c>
      <c r="AH399">
        <v>3</v>
      </c>
      <c r="AI399" t="s">
        <v>65</v>
      </c>
      <c r="AJ399" t="s">
        <v>65</v>
      </c>
      <c r="AK399" t="s">
        <v>65</v>
      </c>
      <c r="AM399" t="s">
        <v>75</v>
      </c>
      <c r="AN399">
        <v>4924900</v>
      </c>
      <c r="AO399" s="9">
        <v>98498</v>
      </c>
    </row>
    <row r="400" spans="1:41" x14ac:dyDescent="0.25">
      <c r="A400">
        <v>399</v>
      </c>
      <c r="B400" t="s">
        <v>1305</v>
      </c>
      <c r="C400" t="s">
        <v>6245</v>
      </c>
      <c r="D400" t="s">
        <v>277</v>
      </c>
      <c r="E400" t="s">
        <v>47</v>
      </c>
      <c r="F400" t="s">
        <v>48</v>
      </c>
      <c r="G400" t="s">
        <v>2356</v>
      </c>
      <c r="H400" t="s">
        <v>6246</v>
      </c>
      <c r="I400" t="s">
        <v>6247</v>
      </c>
      <c r="J400">
        <v>1.75</v>
      </c>
      <c r="K400">
        <v>26.19</v>
      </c>
      <c r="L400" t="s">
        <v>6248</v>
      </c>
      <c r="M400" t="s">
        <v>6249</v>
      </c>
      <c r="N400" t="s">
        <v>83</v>
      </c>
      <c r="O400" t="s">
        <v>6250</v>
      </c>
      <c r="P400" t="s">
        <v>6251</v>
      </c>
      <c r="Q400" t="s">
        <v>6251</v>
      </c>
      <c r="R400" t="s">
        <v>167</v>
      </c>
      <c r="S400" t="s">
        <v>6252</v>
      </c>
      <c r="T400">
        <v>2293600</v>
      </c>
      <c r="U400">
        <v>3760000</v>
      </c>
      <c r="V400" t="s">
        <v>6253</v>
      </c>
      <c r="W400" t="s">
        <v>566</v>
      </c>
      <c r="X400" t="s">
        <v>6254</v>
      </c>
      <c r="Y400" t="s">
        <v>6255</v>
      </c>
      <c r="Z400" t="s">
        <v>64</v>
      </c>
      <c r="AA400" t="s">
        <v>65</v>
      </c>
      <c r="AB400" t="s">
        <v>5225</v>
      </c>
      <c r="AC400" t="s">
        <v>531</v>
      </c>
      <c r="AD400" t="s">
        <v>453</v>
      </c>
      <c r="AE400" t="s">
        <v>453</v>
      </c>
      <c r="AF400" t="s">
        <v>1430</v>
      </c>
      <c r="AG400" t="s">
        <v>6256</v>
      </c>
      <c r="AH400">
        <v>3</v>
      </c>
      <c r="AI400" t="s">
        <v>100</v>
      </c>
      <c r="AJ400" t="s">
        <v>6257</v>
      </c>
      <c r="AK400" t="s">
        <v>5228</v>
      </c>
      <c r="AM400" t="s">
        <v>102</v>
      </c>
      <c r="AN400">
        <v>3196000</v>
      </c>
      <c r="AO400" s="9">
        <v>55930.000000000007</v>
      </c>
    </row>
    <row r="401" spans="1:43" x14ac:dyDescent="0.25">
      <c r="A401">
        <v>400</v>
      </c>
      <c r="B401" t="s">
        <v>1305</v>
      </c>
      <c r="C401" t="s">
        <v>6258</v>
      </c>
      <c r="D401" t="s">
        <v>46</v>
      </c>
      <c r="E401" t="s">
        <v>47</v>
      </c>
      <c r="F401" t="s">
        <v>48</v>
      </c>
      <c r="G401" t="s">
        <v>242</v>
      </c>
      <c r="H401" t="s">
        <v>6259</v>
      </c>
      <c r="I401" t="s">
        <v>6260</v>
      </c>
      <c r="J401">
        <v>2</v>
      </c>
      <c r="K401">
        <v>25.79</v>
      </c>
      <c r="L401" t="s">
        <v>6261</v>
      </c>
      <c r="M401" t="s">
        <v>6262</v>
      </c>
      <c r="N401" t="s">
        <v>83</v>
      </c>
      <c r="O401" t="s">
        <v>6263</v>
      </c>
      <c r="P401" t="s">
        <v>6264</v>
      </c>
      <c r="Q401" t="s">
        <v>6265</v>
      </c>
      <c r="R401" t="s">
        <v>6266</v>
      </c>
      <c r="S401" t="s">
        <v>6267</v>
      </c>
      <c r="T401">
        <v>2025000</v>
      </c>
      <c r="U401">
        <v>3375000</v>
      </c>
      <c r="V401" t="s">
        <v>6268</v>
      </c>
      <c r="W401" t="s">
        <v>583</v>
      </c>
      <c r="X401" t="s">
        <v>6269</v>
      </c>
      <c r="Y401" t="s">
        <v>6270</v>
      </c>
      <c r="Z401" t="s">
        <v>64</v>
      </c>
      <c r="AA401" t="s">
        <v>65</v>
      </c>
      <c r="AB401" t="s">
        <v>378</v>
      </c>
      <c r="AC401" t="s">
        <v>67</v>
      </c>
      <c r="AD401" t="s">
        <v>6271</v>
      </c>
      <c r="AE401" t="s">
        <v>399</v>
      </c>
      <c r="AF401" t="s">
        <v>2213</v>
      </c>
      <c r="AG401" t="s">
        <v>6272</v>
      </c>
      <c r="AH401">
        <v>4</v>
      </c>
      <c r="AI401" t="s">
        <v>237</v>
      </c>
      <c r="AJ401" t="s">
        <v>6273</v>
      </c>
      <c r="AK401" t="s">
        <v>683</v>
      </c>
      <c r="AM401" t="s">
        <v>75</v>
      </c>
      <c r="AN401">
        <v>2700000</v>
      </c>
      <c r="AO401" s="9">
        <v>54000</v>
      </c>
    </row>
    <row r="402" spans="1:43" x14ac:dyDescent="0.25">
      <c r="A402">
        <v>401</v>
      </c>
      <c r="B402" t="s">
        <v>1305</v>
      </c>
      <c r="C402" t="s">
        <v>6274</v>
      </c>
      <c r="D402" t="s">
        <v>241</v>
      </c>
      <c r="E402" t="s">
        <v>47</v>
      </c>
      <c r="F402" t="s">
        <v>48</v>
      </c>
      <c r="G402" t="s">
        <v>104</v>
      </c>
      <c r="H402" t="s">
        <v>6275</v>
      </c>
      <c r="I402" t="s">
        <v>6276</v>
      </c>
      <c r="J402">
        <v>1.75</v>
      </c>
      <c r="K402">
        <v>25.95</v>
      </c>
      <c r="L402" t="s">
        <v>6277</v>
      </c>
      <c r="M402" t="s">
        <v>6278</v>
      </c>
      <c r="N402" t="s">
        <v>54</v>
      </c>
      <c r="O402" t="s">
        <v>6279</v>
      </c>
      <c r="P402" t="s">
        <v>65</v>
      </c>
      <c r="Q402" t="s">
        <v>6280</v>
      </c>
      <c r="R402" t="s">
        <v>65</v>
      </c>
      <c r="S402" t="s">
        <v>6281</v>
      </c>
      <c r="T402">
        <v>2869200</v>
      </c>
      <c r="U402">
        <v>4782000</v>
      </c>
      <c r="V402" t="s">
        <v>6282</v>
      </c>
      <c r="W402" t="s">
        <v>583</v>
      </c>
      <c r="X402" t="s">
        <v>6283</v>
      </c>
      <c r="Y402" t="s">
        <v>6284</v>
      </c>
      <c r="Z402" t="s">
        <v>64</v>
      </c>
      <c r="AA402" t="s">
        <v>65</v>
      </c>
      <c r="AB402" t="s">
        <v>6285</v>
      </c>
      <c r="AC402" t="s">
        <v>67</v>
      </c>
      <c r="AD402" t="s">
        <v>117</v>
      </c>
      <c r="AE402" t="s">
        <v>69</v>
      </c>
      <c r="AF402" t="s">
        <v>1007</v>
      </c>
      <c r="AG402" t="s">
        <v>6286</v>
      </c>
      <c r="AH402">
        <v>5</v>
      </c>
      <c r="AI402" t="s">
        <v>65</v>
      </c>
      <c r="AJ402" t="s">
        <v>65</v>
      </c>
      <c r="AK402" t="s">
        <v>65</v>
      </c>
      <c r="AM402" t="s">
        <v>102</v>
      </c>
      <c r="AN402">
        <v>3825600</v>
      </c>
      <c r="AO402" s="9">
        <v>66948</v>
      </c>
    </row>
    <row r="403" spans="1:43" hidden="1" x14ac:dyDescent="0.25">
      <c r="A403">
        <v>402</v>
      </c>
      <c r="B403" t="s">
        <v>6287</v>
      </c>
      <c r="C403" t="s">
        <v>6288</v>
      </c>
      <c r="D403" t="s">
        <v>277</v>
      </c>
      <c r="E403" t="s">
        <v>47</v>
      </c>
      <c r="F403" t="s">
        <v>48</v>
      </c>
      <c r="G403" t="s">
        <v>1947</v>
      </c>
      <c r="H403" t="s">
        <v>6289</v>
      </c>
      <c r="I403" t="s">
        <v>6290</v>
      </c>
      <c r="J403">
        <v>2.5</v>
      </c>
      <c r="K403">
        <v>29.44</v>
      </c>
      <c r="L403" t="s">
        <v>6291</v>
      </c>
      <c r="M403" t="s">
        <v>6292</v>
      </c>
      <c r="N403" t="s">
        <v>265</v>
      </c>
      <c r="O403" t="s">
        <v>6293</v>
      </c>
      <c r="P403" t="s">
        <v>6294</v>
      </c>
      <c r="Q403" t="s">
        <v>6295</v>
      </c>
      <c r="R403" t="s">
        <v>65</v>
      </c>
      <c r="S403" t="s">
        <v>6296</v>
      </c>
      <c r="T403">
        <v>1687500</v>
      </c>
      <c r="U403">
        <v>2250000</v>
      </c>
      <c r="V403" t="s">
        <v>6297</v>
      </c>
      <c r="W403" t="s">
        <v>824</v>
      </c>
      <c r="X403" t="s">
        <v>6298</v>
      </c>
      <c r="Y403" t="s">
        <v>6299</v>
      </c>
      <c r="Z403" t="s">
        <v>549</v>
      </c>
      <c r="AA403" t="s">
        <v>6300</v>
      </c>
      <c r="AB403" t="s">
        <v>6301</v>
      </c>
      <c r="AC403" t="s">
        <v>624</v>
      </c>
      <c r="AD403" t="s">
        <v>6302</v>
      </c>
      <c r="AE403" t="s">
        <v>554</v>
      </c>
      <c r="AF403" t="s">
        <v>532</v>
      </c>
      <c r="AG403" t="s">
        <v>6303</v>
      </c>
      <c r="AH403">
        <v>5</v>
      </c>
      <c r="AI403" t="s">
        <v>100</v>
      </c>
      <c r="AJ403" t="s">
        <v>6304</v>
      </c>
      <c r="AK403" t="s">
        <v>831</v>
      </c>
      <c r="AM403" t="s">
        <v>180</v>
      </c>
      <c r="AN403">
        <v>0</v>
      </c>
      <c r="AO403">
        <v>0</v>
      </c>
    </row>
    <row r="404" spans="1:43" hidden="1" x14ac:dyDescent="0.25">
      <c r="A404">
        <v>403</v>
      </c>
      <c r="B404" t="s">
        <v>6305</v>
      </c>
      <c r="C404" t="s">
        <v>6306</v>
      </c>
      <c r="D404" t="s">
        <v>277</v>
      </c>
      <c r="E404" t="s">
        <v>47</v>
      </c>
      <c r="F404" t="s">
        <v>48</v>
      </c>
      <c r="G404" t="s">
        <v>2393</v>
      </c>
      <c r="H404" t="s">
        <v>65</v>
      </c>
      <c r="I404" t="s">
        <v>6307</v>
      </c>
      <c r="J404">
        <v>2.5</v>
      </c>
      <c r="K404">
        <v>28.69</v>
      </c>
      <c r="L404" t="s">
        <v>6308</v>
      </c>
      <c r="M404" t="s">
        <v>6309</v>
      </c>
      <c r="N404" t="s">
        <v>65</v>
      </c>
      <c r="O404" t="s">
        <v>6310</v>
      </c>
      <c r="P404" t="s">
        <v>6311</v>
      </c>
      <c r="Q404" t="s">
        <v>65</v>
      </c>
      <c r="R404" t="s">
        <v>167</v>
      </c>
      <c r="S404" t="s">
        <v>6312</v>
      </c>
      <c r="T404">
        <v>672750</v>
      </c>
      <c r="U404">
        <v>1100000</v>
      </c>
      <c r="V404" t="s">
        <v>65</v>
      </c>
      <c r="W404" t="s">
        <v>65</v>
      </c>
      <c r="X404" t="s">
        <v>65</v>
      </c>
      <c r="Y404" t="s">
        <v>65</v>
      </c>
      <c r="Z404" t="s">
        <v>65</v>
      </c>
      <c r="AA404" t="s">
        <v>6313</v>
      </c>
      <c r="AB404" t="s">
        <v>6314</v>
      </c>
      <c r="AC404" t="s">
        <v>507</v>
      </c>
      <c r="AD404" t="s">
        <v>6315</v>
      </c>
      <c r="AE404" t="s">
        <v>6316</v>
      </c>
      <c r="AF404" t="s">
        <v>6317</v>
      </c>
      <c r="AG404" t="s">
        <v>6318</v>
      </c>
      <c r="AH404">
        <v>5</v>
      </c>
      <c r="AI404" t="s">
        <v>237</v>
      </c>
      <c r="AJ404" t="s">
        <v>6319</v>
      </c>
      <c r="AK404" t="s">
        <v>6320</v>
      </c>
      <c r="AM404" t="s">
        <v>180</v>
      </c>
      <c r="AN404">
        <v>0</v>
      </c>
      <c r="AO404">
        <v>0</v>
      </c>
      <c r="AP404" t="s">
        <v>6321</v>
      </c>
      <c r="AQ404" t="s">
        <v>2340</v>
      </c>
    </row>
    <row r="405" spans="1:43" x14ac:dyDescent="0.25">
      <c r="A405">
        <v>404</v>
      </c>
      <c r="B405" t="s">
        <v>6305</v>
      </c>
      <c r="C405" t="s">
        <v>6322</v>
      </c>
      <c r="D405" t="s">
        <v>46</v>
      </c>
      <c r="E405" t="s">
        <v>47</v>
      </c>
      <c r="F405" t="s">
        <v>48</v>
      </c>
      <c r="G405" t="s">
        <v>1371</v>
      </c>
      <c r="H405" t="s">
        <v>6323</v>
      </c>
      <c r="I405" t="s">
        <v>6324</v>
      </c>
      <c r="J405">
        <v>2</v>
      </c>
      <c r="K405">
        <v>25.8</v>
      </c>
      <c r="L405" t="s">
        <v>6325</v>
      </c>
      <c r="M405" t="s">
        <v>6326</v>
      </c>
      <c r="N405" t="s">
        <v>265</v>
      </c>
      <c r="O405" t="s">
        <v>6327</v>
      </c>
      <c r="P405" t="s">
        <v>6328</v>
      </c>
      <c r="Q405" t="s">
        <v>65</v>
      </c>
      <c r="R405" t="s">
        <v>6329</v>
      </c>
      <c r="S405" t="s">
        <v>6330</v>
      </c>
      <c r="T405">
        <v>2814500</v>
      </c>
      <c r="U405">
        <v>4330000</v>
      </c>
      <c r="V405" t="s">
        <v>6331</v>
      </c>
      <c r="W405" t="s">
        <v>97</v>
      </c>
      <c r="X405" t="s">
        <v>6332</v>
      </c>
      <c r="Y405" t="s">
        <v>6333</v>
      </c>
      <c r="Z405" t="s">
        <v>64</v>
      </c>
      <c r="AA405" t="s">
        <v>65</v>
      </c>
      <c r="AB405" t="s">
        <v>1368</v>
      </c>
      <c r="AC405" t="s">
        <v>67</v>
      </c>
      <c r="AD405" t="s">
        <v>6334</v>
      </c>
      <c r="AE405" t="s">
        <v>216</v>
      </c>
      <c r="AF405" t="s">
        <v>4937</v>
      </c>
      <c r="AG405" t="s">
        <v>65</v>
      </c>
      <c r="AH405">
        <v>7</v>
      </c>
      <c r="AI405" t="s">
        <v>65</v>
      </c>
      <c r="AJ405" t="s">
        <v>65</v>
      </c>
      <c r="AK405" t="s">
        <v>65</v>
      </c>
      <c r="AM405" t="s">
        <v>75</v>
      </c>
      <c r="AN405">
        <v>3464000</v>
      </c>
      <c r="AO405" s="9">
        <v>69280</v>
      </c>
    </row>
    <row r="406" spans="1:43" x14ac:dyDescent="0.25">
      <c r="A406">
        <v>405</v>
      </c>
      <c r="B406" t="s">
        <v>6305</v>
      </c>
      <c r="C406" t="s">
        <v>6335</v>
      </c>
      <c r="D406" t="s">
        <v>241</v>
      </c>
      <c r="E406" t="s">
        <v>47</v>
      </c>
      <c r="F406" t="s">
        <v>48</v>
      </c>
      <c r="G406" t="s">
        <v>6336</v>
      </c>
      <c r="H406" t="s">
        <v>6337</v>
      </c>
      <c r="I406" t="s">
        <v>6338</v>
      </c>
      <c r="J406">
        <v>2</v>
      </c>
      <c r="K406">
        <v>26.19</v>
      </c>
      <c r="L406" t="s">
        <v>6339</v>
      </c>
      <c r="M406" t="s">
        <v>6340</v>
      </c>
      <c r="N406" t="s">
        <v>6341</v>
      </c>
      <c r="O406" t="s">
        <v>6342</v>
      </c>
      <c r="P406" t="s">
        <v>65</v>
      </c>
      <c r="Q406" t="s">
        <v>6343</v>
      </c>
      <c r="R406" t="s">
        <v>65</v>
      </c>
      <c r="S406" t="s">
        <v>6344</v>
      </c>
      <c r="T406">
        <v>1591850</v>
      </c>
      <c r="U406">
        <v>2449000</v>
      </c>
      <c r="V406" t="s">
        <v>6345</v>
      </c>
      <c r="W406" t="s">
        <v>97</v>
      </c>
      <c r="X406" t="s">
        <v>6346</v>
      </c>
      <c r="Y406" t="s">
        <v>6347</v>
      </c>
      <c r="Z406" t="s">
        <v>64</v>
      </c>
      <c r="AA406" t="s">
        <v>65</v>
      </c>
      <c r="AB406" t="s">
        <v>1005</v>
      </c>
      <c r="AC406" t="s">
        <v>67</v>
      </c>
      <c r="AD406" t="s">
        <v>6348</v>
      </c>
      <c r="AE406" t="s">
        <v>4383</v>
      </c>
      <c r="AF406" t="s">
        <v>4384</v>
      </c>
      <c r="AG406" t="s">
        <v>6349</v>
      </c>
      <c r="AH406">
        <v>5</v>
      </c>
      <c r="AI406" t="s">
        <v>237</v>
      </c>
      <c r="AJ406" t="s">
        <v>6350</v>
      </c>
      <c r="AK406" t="s">
        <v>6351</v>
      </c>
      <c r="AM406" t="s">
        <v>75</v>
      </c>
      <c r="AN406">
        <v>1959200</v>
      </c>
      <c r="AO406" s="9">
        <v>39184</v>
      </c>
    </row>
    <row r="407" spans="1:43" x14ac:dyDescent="0.25">
      <c r="A407">
        <v>406</v>
      </c>
      <c r="B407" t="s">
        <v>6305</v>
      </c>
      <c r="C407" t="s">
        <v>6352</v>
      </c>
      <c r="D407" t="s">
        <v>1238</v>
      </c>
      <c r="E407" t="s">
        <v>47</v>
      </c>
      <c r="F407" t="s">
        <v>48</v>
      </c>
      <c r="G407" t="s">
        <v>1807</v>
      </c>
      <c r="H407" t="s">
        <v>6353</v>
      </c>
      <c r="I407" t="s">
        <v>6354</v>
      </c>
      <c r="J407">
        <v>2</v>
      </c>
      <c r="K407">
        <v>26.53</v>
      </c>
      <c r="L407" t="s">
        <v>6355</v>
      </c>
      <c r="M407" t="s">
        <v>6356</v>
      </c>
      <c r="N407" t="s">
        <v>901</v>
      </c>
      <c r="O407" t="s">
        <v>6357</v>
      </c>
      <c r="P407" t="s">
        <v>6358</v>
      </c>
      <c r="Q407" t="s">
        <v>6358</v>
      </c>
      <c r="R407" t="s">
        <v>6358</v>
      </c>
      <c r="S407" t="s">
        <v>6359</v>
      </c>
      <c r="T407">
        <v>1123500</v>
      </c>
      <c r="U407">
        <v>1605000</v>
      </c>
      <c r="V407" t="s">
        <v>6360</v>
      </c>
      <c r="W407" t="s">
        <v>147</v>
      </c>
      <c r="X407" t="s">
        <v>6361</v>
      </c>
      <c r="Y407" t="s">
        <v>6362</v>
      </c>
      <c r="Z407" t="s">
        <v>64</v>
      </c>
      <c r="AA407" t="s">
        <v>65</v>
      </c>
      <c r="AB407" t="s">
        <v>6363</v>
      </c>
      <c r="AC407" t="s">
        <v>151</v>
      </c>
      <c r="AD407" t="s">
        <v>156</v>
      </c>
      <c r="AE407" t="s">
        <v>153</v>
      </c>
      <c r="AF407" t="s">
        <v>2698</v>
      </c>
      <c r="AG407" t="s">
        <v>6364</v>
      </c>
      <c r="AH407">
        <v>7</v>
      </c>
      <c r="AI407" t="s">
        <v>237</v>
      </c>
      <c r="AJ407" t="s">
        <v>6365</v>
      </c>
      <c r="AK407" t="s">
        <v>156</v>
      </c>
      <c r="AM407" t="s">
        <v>75</v>
      </c>
      <c r="AN407">
        <v>1203750</v>
      </c>
      <c r="AO407" s="9">
        <v>24075</v>
      </c>
    </row>
    <row r="408" spans="1:43" hidden="1" x14ac:dyDescent="0.25">
      <c r="A408">
        <v>407</v>
      </c>
      <c r="B408" t="s">
        <v>6305</v>
      </c>
      <c r="C408" t="s">
        <v>6366</v>
      </c>
      <c r="D408" t="s">
        <v>277</v>
      </c>
      <c r="E408" t="s">
        <v>47</v>
      </c>
      <c r="F408" t="s">
        <v>48</v>
      </c>
      <c r="G408" t="s">
        <v>1525</v>
      </c>
      <c r="H408" t="s">
        <v>6367</v>
      </c>
      <c r="I408" t="s">
        <v>6368</v>
      </c>
      <c r="J408">
        <v>2.5</v>
      </c>
      <c r="K408">
        <v>27.7</v>
      </c>
      <c r="L408" t="s">
        <v>6369</v>
      </c>
      <c r="M408" t="s">
        <v>6370</v>
      </c>
      <c r="N408" t="s">
        <v>265</v>
      </c>
      <c r="O408" t="s">
        <v>6371</v>
      </c>
      <c r="P408" t="s">
        <v>6372</v>
      </c>
      <c r="Q408" t="s">
        <v>6373</v>
      </c>
      <c r="R408" t="s">
        <v>6374</v>
      </c>
      <c r="S408" t="s">
        <v>6375</v>
      </c>
      <c r="T408">
        <v>1533000</v>
      </c>
      <c r="U408">
        <v>2555000</v>
      </c>
      <c r="V408" t="s">
        <v>6376</v>
      </c>
      <c r="W408" t="s">
        <v>170</v>
      </c>
      <c r="X408" t="s">
        <v>6377</v>
      </c>
      <c r="Y408" t="s">
        <v>6378</v>
      </c>
      <c r="Z408" t="s">
        <v>64</v>
      </c>
      <c r="AA408" t="s">
        <v>6379</v>
      </c>
      <c r="AB408" t="s">
        <v>1335</v>
      </c>
      <c r="AC408" t="s">
        <v>175</v>
      </c>
      <c r="AD408" t="s">
        <v>176</v>
      </c>
      <c r="AE408" t="s">
        <v>177</v>
      </c>
      <c r="AF408" t="s">
        <v>70</v>
      </c>
      <c r="AG408" t="s">
        <v>6380</v>
      </c>
      <c r="AH408">
        <v>5</v>
      </c>
      <c r="AI408" t="s">
        <v>100</v>
      </c>
      <c r="AJ408" t="s">
        <v>6381</v>
      </c>
      <c r="AK408" t="s">
        <v>176</v>
      </c>
      <c r="AM408" t="s">
        <v>180</v>
      </c>
      <c r="AN408">
        <v>0</v>
      </c>
      <c r="AO408">
        <v>0</v>
      </c>
    </row>
    <row r="409" spans="1:43" x14ac:dyDescent="0.25">
      <c r="A409">
        <v>408</v>
      </c>
      <c r="B409" t="s">
        <v>6305</v>
      </c>
      <c r="C409" t="s">
        <v>6382</v>
      </c>
      <c r="D409" t="s">
        <v>46</v>
      </c>
      <c r="E409" t="s">
        <v>47</v>
      </c>
      <c r="F409" t="s">
        <v>48</v>
      </c>
      <c r="G409" t="s">
        <v>2951</v>
      </c>
      <c r="H409" t="s">
        <v>6383</v>
      </c>
      <c r="I409" t="s">
        <v>6384</v>
      </c>
      <c r="J409">
        <v>2</v>
      </c>
      <c r="K409">
        <v>22.02</v>
      </c>
      <c r="L409" t="s">
        <v>6385</v>
      </c>
      <c r="M409" t="s">
        <v>6386</v>
      </c>
      <c r="N409" t="s">
        <v>6387</v>
      </c>
      <c r="O409" t="s">
        <v>6388</v>
      </c>
      <c r="P409" t="s">
        <v>65</v>
      </c>
      <c r="Q409" t="s">
        <v>6389</v>
      </c>
      <c r="R409" t="s">
        <v>6390</v>
      </c>
      <c r="S409" t="s">
        <v>6391</v>
      </c>
      <c r="T409">
        <v>734300</v>
      </c>
      <c r="U409">
        <v>1049000</v>
      </c>
      <c r="V409" t="s">
        <v>6392</v>
      </c>
      <c r="W409" t="s">
        <v>1020</v>
      </c>
      <c r="X409" t="s">
        <v>6393</v>
      </c>
      <c r="Y409" t="s">
        <v>6394</v>
      </c>
      <c r="Z409" t="s">
        <v>64</v>
      </c>
      <c r="AA409" t="s">
        <v>65</v>
      </c>
      <c r="AB409" t="s">
        <v>1942</v>
      </c>
      <c r="AC409" t="s">
        <v>67</v>
      </c>
      <c r="AD409" t="s">
        <v>6172</v>
      </c>
      <c r="AE409" t="s">
        <v>1127</v>
      </c>
      <c r="AF409" t="s">
        <v>1162</v>
      </c>
      <c r="AG409" t="s">
        <v>6395</v>
      </c>
      <c r="AH409">
        <v>5</v>
      </c>
      <c r="AI409" t="s">
        <v>198</v>
      </c>
      <c r="AJ409" t="s">
        <v>6396</v>
      </c>
      <c r="AK409" t="s">
        <v>2049</v>
      </c>
      <c r="AM409" t="s">
        <v>75</v>
      </c>
      <c r="AN409">
        <v>839200</v>
      </c>
      <c r="AO409" s="9">
        <v>16784</v>
      </c>
    </row>
    <row r="410" spans="1:43" x14ac:dyDescent="0.25">
      <c r="A410">
        <v>409</v>
      </c>
      <c r="B410" t="s">
        <v>6305</v>
      </c>
      <c r="C410" t="s">
        <v>6397</v>
      </c>
      <c r="D410" t="s">
        <v>277</v>
      </c>
      <c r="E410" t="s">
        <v>47</v>
      </c>
      <c r="F410" t="s">
        <v>48</v>
      </c>
      <c r="G410" t="s">
        <v>1717</v>
      </c>
      <c r="H410" t="s">
        <v>6398</v>
      </c>
      <c r="I410" t="s">
        <v>6399</v>
      </c>
      <c r="J410">
        <v>2</v>
      </c>
      <c r="K410">
        <v>25.94</v>
      </c>
      <c r="L410" t="s">
        <v>6400</v>
      </c>
      <c r="M410" t="s">
        <v>6401</v>
      </c>
      <c r="N410" t="s">
        <v>187</v>
      </c>
      <c r="O410" t="s">
        <v>6402</v>
      </c>
      <c r="P410" t="s">
        <v>6403</v>
      </c>
      <c r="Q410" t="s">
        <v>6403</v>
      </c>
      <c r="R410" t="s">
        <v>6403</v>
      </c>
      <c r="S410" t="s">
        <v>6404</v>
      </c>
      <c r="T410">
        <v>2996000</v>
      </c>
      <c r="U410">
        <v>4280000</v>
      </c>
      <c r="V410" t="s">
        <v>6405</v>
      </c>
      <c r="W410" t="s">
        <v>971</v>
      </c>
      <c r="X410" t="s">
        <v>6406</v>
      </c>
      <c r="Y410" t="s">
        <v>6407</v>
      </c>
      <c r="Z410" t="s">
        <v>549</v>
      </c>
      <c r="AA410" t="s">
        <v>65</v>
      </c>
      <c r="AB410" t="s">
        <v>6408</v>
      </c>
      <c r="AC410" t="s">
        <v>175</v>
      </c>
      <c r="AD410" t="s">
        <v>781</v>
      </c>
      <c r="AE410" t="s">
        <v>604</v>
      </c>
      <c r="AF410" t="s">
        <v>974</v>
      </c>
      <c r="AG410" t="s">
        <v>6409</v>
      </c>
      <c r="AH410">
        <v>5</v>
      </c>
      <c r="AI410" t="s">
        <v>237</v>
      </c>
      <c r="AJ410" t="s">
        <v>6410</v>
      </c>
      <c r="AK410" t="s">
        <v>876</v>
      </c>
      <c r="AM410" t="s">
        <v>75</v>
      </c>
      <c r="AN410">
        <v>3424000</v>
      </c>
      <c r="AO410" s="9">
        <v>68480</v>
      </c>
    </row>
    <row r="411" spans="1:43" x14ac:dyDescent="0.25">
      <c r="A411">
        <v>410</v>
      </c>
      <c r="B411" t="s">
        <v>6305</v>
      </c>
      <c r="C411" t="s">
        <v>6411</v>
      </c>
      <c r="D411" t="s">
        <v>46</v>
      </c>
      <c r="E411" t="s">
        <v>47</v>
      </c>
      <c r="F411" t="s">
        <v>48</v>
      </c>
      <c r="G411" t="s">
        <v>3923</v>
      </c>
      <c r="H411" t="s">
        <v>6412</v>
      </c>
      <c r="I411" t="s">
        <v>6413</v>
      </c>
      <c r="J411">
        <v>2</v>
      </c>
      <c r="K411">
        <v>26.2</v>
      </c>
      <c r="L411" t="s">
        <v>6414</v>
      </c>
      <c r="M411" t="s">
        <v>6415</v>
      </c>
      <c r="N411" t="s">
        <v>54</v>
      </c>
      <c r="O411" t="s">
        <v>6416</v>
      </c>
      <c r="P411" t="s">
        <v>6417</v>
      </c>
      <c r="Q411" t="s">
        <v>6418</v>
      </c>
      <c r="R411" t="s">
        <v>6417</v>
      </c>
      <c r="S411" t="s">
        <v>6419</v>
      </c>
      <c r="T411">
        <v>2287600</v>
      </c>
      <c r="U411">
        <v>3268000</v>
      </c>
      <c r="V411" t="s">
        <v>6420</v>
      </c>
      <c r="W411" t="s">
        <v>3698</v>
      </c>
      <c r="X411" t="s">
        <v>6421</v>
      </c>
      <c r="Y411" t="s">
        <v>6422</v>
      </c>
      <c r="Z411" t="s">
        <v>64</v>
      </c>
      <c r="AA411" t="s">
        <v>65</v>
      </c>
      <c r="AB411" t="s">
        <v>326</v>
      </c>
      <c r="AC411" t="s">
        <v>531</v>
      </c>
      <c r="AD411" t="s">
        <v>6423</v>
      </c>
      <c r="AE411" t="s">
        <v>98</v>
      </c>
      <c r="AF411" t="s">
        <v>2533</v>
      </c>
      <c r="AG411" t="s">
        <v>6424</v>
      </c>
      <c r="AH411">
        <v>3</v>
      </c>
      <c r="AI411" t="s">
        <v>100</v>
      </c>
      <c r="AJ411" t="s">
        <v>6425</v>
      </c>
      <c r="AK411" t="s">
        <v>61</v>
      </c>
      <c r="AM411" t="s">
        <v>75</v>
      </c>
      <c r="AN411">
        <v>2777800</v>
      </c>
      <c r="AO411" s="9">
        <v>55556</v>
      </c>
    </row>
    <row r="412" spans="1:43" x14ac:dyDescent="0.25">
      <c r="A412">
        <v>411</v>
      </c>
      <c r="B412" t="s">
        <v>6305</v>
      </c>
      <c r="C412" t="s">
        <v>6426</v>
      </c>
      <c r="D412" t="s">
        <v>241</v>
      </c>
      <c r="E412" t="s">
        <v>47</v>
      </c>
      <c r="F412" t="s">
        <v>48</v>
      </c>
      <c r="G412" t="s">
        <v>278</v>
      </c>
      <c r="H412" t="s">
        <v>6427</v>
      </c>
      <c r="I412" t="s">
        <v>6428</v>
      </c>
      <c r="J412">
        <v>2</v>
      </c>
      <c r="K412">
        <v>26.35</v>
      </c>
      <c r="L412" t="s">
        <v>6429</v>
      </c>
      <c r="M412" t="s">
        <v>5003</v>
      </c>
      <c r="N412" t="s">
        <v>1048</v>
      </c>
      <c r="O412" t="s">
        <v>6430</v>
      </c>
      <c r="P412" t="s">
        <v>65</v>
      </c>
      <c r="Q412" t="s">
        <v>6431</v>
      </c>
      <c r="R412" t="s">
        <v>65</v>
      </c>
      <c r="S412" t="s">
        <v>6432</v>
      </c>
      <c r="T412">
        <v>915000</v>
      </c>
      <c r="U412">
        <v>1830000</v>
      </c>
      <c r="V412" t="s">
        <v>6433</v>
      </c>
      <c r="W412" t="s">
        <v>307</v>
      </c>
      <c r="X412" t="s">
        <v>6434</v>
      </c>
      <c r="Y412" t="s">
        <v>6435</v>
      </c>
      <c r="Z412" t="s">
        <v>64</v>
      </c>
      <c r="AA412" t="s">
        <v>65</v>
      </c>
      <c r="AB412" t="s">
        <v>489</v>
      </c>
      <c r="AC412" t="s">
        <v>67</v>
      </c>
      <c r="AD412" t="s">
        <v>990</v>
      </c>
      <c r="AE412" t="s">
        <v>69</v>
      </c>
      <c r="AF412" t="s">
        <v>1007</v>
      </c>
      <c r="AG412" t="s">
        <v>6436</v>
      </c>
      <c r="AH412">
        <v>5</v>
      </c>
      <c r="AI412" t="s">
        <v>198</v>
      </c>
      <c r="AJ412" t="s">
        <v>6437</v>
      </c>
      <c r="AK412" t="s">
        <v>239</v>
      </c>
      <c r="AM412" t="s">
        <v>75</v>
      </c>
      <c r="AN412">
        <v>1464000</v>
      </c>
      <c r="AO412" s="9">
        <v>29280</v>
      </c>
    </row>
    <row r="413" spans="1:43" x14ac:dyDescent="0.25">
      <c r="A413">
        <v>412</v>
      </c>
      <c r="B413" t="s">
        <v>6305</v>
      </c>
      <c r="C413" t="s">
        <v>6438</v>
      </c>
      <c r="D413" t="s">
        <v>77</v>
      </c>
      <c r="E413" t="s">
        <v>47</v>
      </c>
      <c r="F413" t="s">
        <v>48</v>
      </c>
      <c r="G413" t="s">
        <v>6191</v>
      </c>
      <c r="H413" t="s">
        <v>6439</v>
      </c>
      <c r="I413" t="s">
        <v>6440</v>
      </c>
      <c r="J413">
        <v>1.75</v>
      </c>
      <c r="K413">
        <v>25.44</v>
      </c>
      <c r="L413" t="s">
        <v>6441</v>
      </c>
      <c r="M413" t="s">
        <v>6442</v>
      </c>
      <c r="N413" t="s">
        <v>1843</v>
      </c>
      <c r="O413" t="s">
        <v>6443</v>
      </c>
      <c r="P413" t="s">
        <v>6444</v>
      </c>
      <c r="Q413" t="s">
        <v>6445</v>
      </c>
      <c r="R413" t="s">
        <v>6444</v>
      </c>
      <c r="S413" t="s">
        <v>6446</v>
      </c>
      <c r="T413">
        <v>455000</v>
      </c>
      <c r="U413">
        <v>700000</v>
      </c>
      <c r="V413" t="s">
        <v>6447</v>
      </c>
      <c r="W413" t="s">
        <v>3626</v>
      </c>
      <c r="X413" t="s">
        <v>6448</v>
      </c>
      <c r="Y413" t="s">
        <v>6449</v>
      </c>
      <c r="Z413" t="s">
        <v>93</v>
      </c>
      <c r="AA413" t="s">
        <v>6450</v>
      </c>
      <c r="AB413" t="s">
        <v>6451</v>
      </c>
      <c r="AC413" t="s">
        <v>96</v>
      </c>
      <c r="AD413" t="s">
        <v>394</v>
      </c>
      <c r="AE413" t="s">
        <v>231</v>
      </c>
      <c r="AF413" t="s">
        <v>4995</v>
      </c>
      <c r="AG413" t="s">
        <v>6452</v>
      </c>
      <c r="AH413">
        <v>5</v>
      </c>
      <c r="AI413" t="s">
        <v>100</v>
      </c>
      <c r="AJ413" t="s">
        <v>6453</v>
      </c>
      <c r="AK413" t="s">
        <v>677</v>
      </c>
      <c r="AM413" t="s">
        <v>102</v>
      </c>
      <c r="AN413">
        <v>595000</v>
      </c>
      <c r="AO413" s="9">
        <v>10412.500000000002</v>
      </c>
    </row>
    <row r="414" spans="1:43" x14ac:dyDescent="0.25">
      <c r="A414">
        <v>413</v>
      </c>
      <c r="B414" t="s">
        <v>6305</v>
      </c>
      <c r="C414" t="s">
        <v>6454</v>
      </c>
      <c r="D414" t="s">
        <v>277</v>
      </c>
      <c r="E414" t="s">
        <v>47</v>
      </c>
      <c r="F414" t="s">
        <v>48</v>
      </c>
      <c r="G414" t="s">
        <v>516</v>
      </c>
      <c r="H414" t="s">
        <v>6455</v>
      </c>
      <c r="I414" t="s">
        <v>6456</v>
      </c>
      <c r="J414">
        <v>1.75</v>
      </c>
      <c r="K414">
        <v>26.19</v>
      </c>
      <c r="L414" t="s">
        <v>6457</v>
      </c>
      <c r="M414" t="s">
        <v>6458</v>
      </c>
      <c r="N414" t="s">
        <v>187</v>
      </c>
      <c r="O414" t="s">
        <v>6459</v>
      </c>
      <c r="P414" t="s">
        <v>65</v>
      </c>
      <c r="Q414" t="s">
        <v>6460</v>
      </c>
      <c r="R414" t="s">
        <v>65</v>
      </c>
      <c r="S414" t="s">
        <v>6461</v>
      </c>
      <c r="T414">
        <v>2992850</v>
      </c>
      <c r="U414">
        <v>4275500</v>
      </c>
      <c r="V414" t="s">
        <v>6462</v>
      </c>
      <c r="W414" t="s">
        <v>3626</v>
      </c>
      <c r="X414" t="s">
        <v>6463</v>
      </c>
      <c r="Y414" t="s">
        <v>6464</v>
      </c>
      <c r="Z414" t="s">
        <v>64</v>
      </c>
      <c r="AA414" t="s">
        <v>65</v>
      </c>
      <c r="AB414" t="s">
        <v>1959</v>
      </c>
      <c r="AC414" t="s">
        <v>531</v>
      </c>
      <c r="AD414" t="s">
        <v>375</v>
      </c>
      <c r="AE414" t="s">
        <v>231</v>
      </c>
      <c r="AF414" t="s">
        <v>2213</v>
      </c>
      <c r="AG414" t="s">
        <v>6465</v>
      </c>
      <c r="AH414">
        <v>3</v>
      </c>
      <c r="AI414" t="s">
        <v>100</v>
      </c>
      <c r="AJ414" t="s">
        <v>6466</v>
      </c>
      <c r="AK414" t="s">
        <v>693</v>
      </c>
      <c r="AM414" t="s">
        <v>102</v>
      </c>
      <c r="AN414">
        <v>3634175</v>
      </c>
      <c r="AO414" s="9">
        <v>63598.062500000007</v>
      </c>
    </row>
    <row r="415" spans="1:43" hidden="1" x14ac:dyDescent="0.25">
      <c r="A415">
        <v>414</v>
      </c>
      <c r="B415" t="s">
        <v>6305</v>
      </c>
      <c r="C415" t="s">
        <v>6467</v>
      </c>
      <c r="D415" t="s">
        <v>77</v>
      </c>
      <c r="E415" t="s">
        <v>47</v>
      </c>
      <c r="F415" t="s">
        <v>48</v>
      </c>
      <c r="G415" t="s">
        <v>1525</v>
      </c>
      <c r="H415" t="s">
        <v>6468</v>
      </c>
      <c r="I415" t="s">
        <v>6368</v>
      </c>
      <c r="J415">
        <v>2.5</v>
      </c>
      <c r="K415">
        <v>26.69</v>
      </c>
      <c r="L415" t="s">
        <v>6469</v>
      </c>
      <c r="M415" t="s">
        <v>6370</v>
      </c>
      <c r="N415" t="s">
        <v>265</v>
      </c>
      <c r="O415" t="s">
        <v>6371</v>
      </c>
      <c r="P415" t="s">
        <v>6372</v>
      </c>
      <c r="Q415" t="s">
        <v>6373</v>
      </c>
      <c r="R415" t="s">
        <v>6374</v>
      </c>
      <c r="S415" t="s">
        <v>6375</v>
      </c>
      <c r="T415">
        <v>1916250</v>
      </c>
      <c r="U415">
        <v>2555000</v>
      </c>
      <c r="V415" t="s">
        <v>6470</v>
      </c>
      <c r="W415" t="s">
        <v>358</v>
      </c>
      <c r="X415" t="s">
        <v>6471</v>
      </c>
      <c r="Y415" t="s">
        <v>6472</v>
      </c>
      <c r="Z415" t="s">
        <v>64</v>
      </c>
      <c r="AA415" t="s">
        <v>6473</v>
      </c>
      <c r="AB415" t="s">
        <v>6099</v>
      </c>
      <c r="AC415" t="s">
        <v>175</v>
      </c>
      <c r="AD415" t="s">
        <v>2334</v>
      </c>
      <c r="AE415" t="s">
        <v>2335</v>
      </c>
      <c r="AF415" t="s">
        <v>400</v>
      </c>
      <c r="AG415" t="s">
        <v>6474</v>
      </c>
      <c r="AH415">
        <v>5</v>
      </c>
      <c r="AI415" t="s">
        <v>100</v>
      </c>
      <c r="AJ415" t="s">
        <v>6475</v>
      </c>
      <c r="AK415" t="s">
        <v>2334</v>
      </c>
      <c r="AM415" t="s">
        <v>180</v>
      </c>
      <c r="AN415">
        <v>0</v>
      </c>
      <c r="AO415">
        <v>0</v>
      </c>
    </row>
    <row r="416" spans="1:43" x14ac:dyDescent="0.25">
      <c r="A416">
        <v>415</v>
      </c>
      <c r="B416" t="s">
        <v>6305</v>
      </c>
      <c r="C416" t="s">
        <v>6476</v>
      </c>
      <c r="D416" t="s">
        <v>277</v>
      </c>
      <c r="E416" t="s">
        <v>47</v>
      </c>
      <c r="F416" t="s">
        <v>48</v>
      </c>
      <c r="G416" t="s">
        <v>516</v>
      </c>
      <c r="H416" t="s">
        <v>6477</v>
      </c>
      <c r="I416" t="s">
        <v>6478</v>
      </c>
      <c r="J416">
        <v>2</v>
      </c>
      <c r="K416">
        <v>25.95</v>
      </c>
      <c r="L416" t="s">
        <v>6479</v>
      </c>
      <c r="M416" t="s">
        <v>6480</v>
      </c>
      <c r="N416" t="s">
        <v>187</v>
      </c>
      <c r="O416" t="s">
        <v>6481</v>
      </c>
      <c r="P416" t="s">
        <v>6482</v>
      </c>
      <c r="Q416" t="s">
        <v>6483</v>
      </c>
      <c r="R416" t="s">
        <v>6484</v>
      </c>
      <c r="S416" t="s">
        <v>6485</v>
      </c>
      <c r="T416">
        <v>1682850</v>
      </c>
      <c r="U416">
        <v>2589000</v>
      </c>
      <c r="V416" t="s">
        <v>6486</v>
      </c>
      <c r="W416" t="s">
        <v>375</v>
      </c>
      <c r="X416" t="s">
        <v>6487</v>
      </c>
      <c r="Y416" t="s">
        <v>6488</v>
      </c>
      <c r="Z416" t="s">
        <v>64</v>
      </c>
      <c r="AA416" t="s">
        <v>65</v>
      </c>
      <c r="AB416" t="s">
        <v>6489</v>
      </c>
      <c r="AC416" t="s">
        <v>67</v>
      </c>
      <c r="AD416" t="s">
        <v>74</v>
      </c>
      <c r="AE416" t="s">
        <v>69</v>
      </c>
      <c r="AF416" t="s">
        <v>1007</v>
      </c>
      <c r="AG416" t="s">
        <v>6490</v>
      </c>
      <c r="AH416">
        <v>5</v>
      </c>
      <c r="AI416" t="s">
        <v>237</v>
      </c>
      <c r="AJ416" t="s">
        <v>6491</v>
      </c>
      <c r="AK416" t="s">
        <v>399</v>
      </c>
      <c r="AM416" t="s">
        <v>75</v>
      </c>
      <c r="AN416">
        <v>2071200</v>
      </c>
      <c r="AO416" s="9">
        <v>41424</v>
      </c>
    </row>
    <row r="417" spans="1:41" x14ac:dyDescent="0.25">
      <c r="A417">
        <v>416</v>
      </c>
      <c r="B417" t="s">
        <v>6305</v>
      </c>
      <c r="C417" t="s">
        <v>6492</v>
      </c>
      <c r="D417" t="s">
        <v>77</v>
      </c>
      <c r="E417" t="s">
        <v>47</v>
      </c>
      <c r="F417" t="s">
        <v>48</v>
      </c>
      <c r="G417" t="s">
        <v>2454</v>
      </c>
      <c r="H417" t="s">
        <v>6493</v>
      </c>
      <c r="I417" t="s">
        <v>6494</v>
      </c>
      <c r="J417">
        <v>2</v>
      </c>
      <c r="K417">
        <v>25.6</v>
      </c>
      <c r="L417" t="s">
        <v>6495</v>
      </c>
      <c r="M417" t="s">
        <v>6496</v>
      </c>
      <c r="N417" t="s">
        <v>83</v>
      </c>
      <c r="O417" t="s">
        <v>6497</v>
      </c>
      <c r="P417" t="s">
        <v>6498</v>
      </c>
      <c r="Q417" t="s">
        <v>6498</v>
      </c>
      <c r="R417" t="s">
        <v>6499</v>
      </c>
      <c r="S417" t="s">
        <v>6500</v>
      </c>
      <c r="T417">
        <v>1020000</v>
      </c>
      <c r="U417">
        <v>1275000</v>
      </c>
      <c r="V417" t="s">
        <v>6501</v>
      </c>
      <c r="W417" t="s">
        <v>453</v>
      </c>
      <c r="X417" t="s">
        <v>6502</v>
      </c>
      <c r="Y417" t="s">
        <v>6503</v>
      </c>
      <c r="Z417" t="s">
        <v>93</v>
      </c>
      <c r="AA417" t="s">
        <v>6504</v>
      </c>
      <c r="AB417" t="s">
        <v>939</v>
      </c>
      <c r="AC417" t="s">
        <v>552</v>
      </c>
      <c r="AD417" t="s">
        <v>258</v>
      </c>
      <c r="AE417" t="s">
        <v>399</v>
      </c>
      <c r="AF417" t="s">
        <v>1354</v>
      </c>
      <c r="AG417" t="s">
        <v>6505</v>
      </c>
      <c r="AH417">
        <v>5</v>
      </c>
      <c r="AI417" t="s">
        <v>237</v>
      </c>
      <c r="AJ417" t="s">
        <v>6506</v>
      </c>
      <c r="AK417" t="s">
        <v>258</v>
      </c>
      <c r="AM417" t="s">
        <v>75</v>
      </c>
      <c r="AN417">
        <v>1020000</v>
      </c>
      <c r="AO417" s="9">
        <v>20400</v>
      </c>
    </row>
    <row r="418" spans="1:41" x14ac:dyDescent="0.25">
      <c r="A418">
        <v>417</v>
      </c>
      <c r="B418" t="s">
        <v>6305</v>
      </c>
      <c r="C418" t="s">
        <v>6507</v>
      </c>
      <c r="D418" t="s">
        <v>77</v>
      </c>
      <c r="E418" t="s">
        <v>47</v>
      </c>
      <c r="F418" t="s">
        <v>48</v>
      </c>
      <c r="G418" t="s">
        <v>2393</v>
      </c>
      <c r="H418" t="s">
        <v>6508</v>
      </c>
      <c r="I418" t="s">
        <v>6509</v>
      </c>
      <c r="J418">
        <v>1.75</v>
      </c>
      <c r="K418">
        <v>25.19</v>
      </c>
      <c r="L418" t="s">
        <v>6510</v>
      </c>
      <c r="M418" t="s">
        <v>6511</v>
      </c>
      <c r="N418" t="s">
        <v>164</v>
      </c>
      <c r="O418" t="s">
        <v>6512</v>
      </c>
      <c r="P418" t="s">
        <v>65</v>
      </c>
      <c r="Q418" t="s">
        <v>6513</v>
      </c>
      <c r="R418" t="s">
        <v>65</v>
      </c>
      <c r="S418" t="s">
        <v>6514</v>
      </c>
      <c r="T418">
        <v>2938000</v>
      </c>
      <c r="U418">
        <v>4520000</v>
      </c>
      <c r="V418" t="s">
        <v>6515</v>
      </c>
      <c r="W418" t="s">
        <v>431</v>
      </c>
      <c r="X418" t="s">
        <v>6516</v>
      </c>
      <c r="Y418" t="s">
        <v>6517</v>
      </c>
      <c r="Z418" t="s">
        <v>93</v>
      </c>
      <c r="AA418" t="s">
        <v>6518</v>
      </c>
      <c r="AB418" t="s">
        <v>6519</v>
      </c>
      <c r="AC418" t="s">
        <v>175</v>
      </c>
      <c r="AD418" s="2">
        <v>45194</v>
      </c>
      <c r="AE418" t="s">
        <v>437</v>
      </c>
      <c r="AF418" t="s">
        <v>1354</v>
      </c>
      <c r="AG418" t="s">
        <v>6520</v>
      </c>
      <c r="AH418">
        <v>3</v>
      </c>
      <c r="AI418" t="s">
        <v>237</v>
      </c>
      <c r="AJ418" t="s">
        <v>6521</v>
      </c>
      <c r="AK418" t="s">
        <v>440</v>
      </c>
      <c r="AM418" t="s">
        <v>102</v>
      </c>
      <c r="AN418">
        <v>4068000</v>
      </c>
      <c r="AO418" s="9">
        <v>71190</v>
      </c>
    </row>
    <row r="419" spans="1:41" x14ac:dyDescent="0.25">
      <c r="A419">
        <v>418</v>
      </c>
      <c r="B419" t="s">
        <v>6305</v>
      </c>
      <c r="C419" t="s">
        <v>6522</v>
      </c>
      <c r="D419" t="s">
        <v>77</v>
      </c>
      <c r="E419" t="s">
        <v>47</v>
      </c>
      <c r="F419" t="s">
        <v>48</v>
      </c>
      <c r="G419" t="s">
        <v>3582</v>
      </c>
      <c r="H419" t="s">
        <v>6523</v>
      </c>
      <c r="I419" t="s">
        <v>6524</v>
      </c>
      <c r="J419">
        <v>2</v>
      </c>
      <c r="K419">
        <v>25.68</v>
      </c>
      <c r="L419" t="s">
        <v>6525</v>
      </c>
      <c r="M419" t="s">
        <v>6526</v>
      </c>
      <c r="N419" t="s">
        <v>187</v>
      </c>
      <c r="O419" t="s">
        <v>6527</v>
      </c>
      <c r="P419" t="s">
        <v>6528</v>
      </c>
      <c r="Q419" t="s">
        <v>6528</v>
      </c>
      <c r="R419" t="s">
        <v>6529</v>
      </c>
      <c r="S419" t="s">
        <v>6530</v>
      </c>
      <c r="T419">
        <v>1207500</v>
      </c>
      <c r="U419">
        <v>1610000</v>
      </c>
      <c r="V419" t="s">
        <v>6531</v>
      </c>
      <c r="W419" t="s">
        <v>453</v>
      </c>
      <c r="X419" t="s">
        <v>6532</v>
      </c>
      <c r="Y419" t="s">
        <v>6533</v>
      </c>
      <c r="Z419" t="s">
        <v>64</v>
      </c>
      <c r="AA419" t="s">
        <v>65</v>
      </c>
      <c r="AB419" t="s">
        <v>5537</v>
      </c>
      <c r="AC419" t="s">
        <v>67</v>
      </c>
      <c r="AD419" t="s">
        <v>258</v>
      </c>
      <c r="AE419" t="s">
        <v>399</v>
      </c>
      <c r="AF419" t="s">
        <v>1354</v>
      </c>
      <c r="AG419" t="s">
        <v>6534</v>
      </c>
      <c r="AH419">
        <v>5</v>
      </c>
      <c r="AI419" t="s">
        <v>237</v>
      </c>
      <c r="AJ419" t="s">
        <v>6535</v>
      </c>
      <c r="AK419" t="s">
        <v>403</v>
      </c>
      <c r="AM419" t="s">
        <v>75</v>
      </c>
      <c r="AN419">
        <v>1288000</v>
      </c>
      <c r="AO419" s="9">
        <v>25760</v>
      </c>
    </row>
    <row r="420" spans="1:41" x14ac:dyDescent="0.25">
      <c r="A420">
        <v>419</v>
      </c>
      <c r="B420" t="s">
        <v>6305</v>
      </c>
      <c r="C420" t="s">
        <v>6536</v>
      </c>
      <c r="D420" t="s">
        <v>277</v>
      </c>
      <c r="E420" t="s">
        <v>47</v>
      </c>
      <c r="F420" t="s">
        <v>48</v>
      </c>
      <c r="G420" t="s">
        <v>1221</v>
      </c>
      <c r="H420" t="s">
        <v>6537</v>
      </c>
      <c r="I420" t="s">
        <v>6538</v>
      </c>
      <c r="J420">
        <v>2</v>
      </c>
      <c r="K420">
        <v>25.84</v>
      </c>
      <c r="L420" t="s">
        <v>6539</v>
      </c>
      <c r="M420" t="s">
        <v>6540</v>
      </c>
      <c r="N420" t="s">
        <v>83</v>
      </c>
      <c r="O420" t="s">
        <v>6541</v>
      </c>
      <c r="P420" t="s">
        <v>6542</v>
      </c>
      <c r="Q420" t="s">
        <v>6542</v>
      </c>
      <c r="R420" t="s">
        <v>167</v>
      </c>
      <c r="S420" t="s">
        <v>6543</v>
      </c>
      <c r="T420">
        <v>2240000</v>
      </c>
      <c r="U420">
        <v>3200000</v>
      </c>
      <c r="V420" t="s">
        <v>6544</v>
      </c>
      <c r="W420" t="s">
        <v>6059</v>
      </c>
      <c r="X420" t="s">
        <v>6545</v>
      </c>
      <c r="Y420" t="s">
        <v>6546</v>
      </c>
      <c r="Z420" t="s">
        <v>93</v>
      </c>
      <c r="AA420" t="s">
        <v>6547</v>
      </c>
      <c r="AB420" t="s">
        <v>3545</v>
      </c>
      <c r="AC420" t="s">
        <v>175</v>
      </c>
      <c r="AD420" t="s">
        <v>604</v>
      </c>
      <c r="AE420" t="s">
        <v>604</v>
      </c>
      <c r="AF420" t="s">
        <v>974</v>
      </c>
      <c r="AG420" t="s">
        <v>6548</v>
      </c>
      <c r="AH420">
        <v>5</v>
      </c>
      <c r="AI420" t="s">
        <v>237</v>
      </c>
      <c r="AJ420" t="s">
        <v>6549</v>
      </c>
      <c r="AK420" t="s">
        <v>604</v>
      </c>
      <c r="AM420" t="s">
        <v>75</v>
      </c>
      <c r="AN420">
        <v>2560000</v>
      </c>
      <c r="AO420" s="9">
        <v>51200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470"/>
  <sheetViews>
    <sheetView topLeftCell="AS448" workbookViewId="0">
      <selection activeCell="AU3" sqref="AU3:AU468"/>
    </sheetView>
  </sheetViews>
  <sheetFormatPr defaultRowHeight="15" x14ac:dyDescent="0.25"/>
  <cols>
    <col min="1" max="40" width="0" hidden="1" customWidth="1"/>
    <col min="41" max="41" width="13.85546875" hidden="1" customWidth="1"/>
    <col min="42" max="44" width="0" hidden="1" customWidth="1"/>
    <col min="45" max="45" width="41.140625" style="16" bestFit="1" customWidth="1"/>
    <col min="46" max="46" width="43.140625" style="16" bestFit="1" customWidth="1"/>
    <col min="47" max="47" width="18.28515625" style="16" customWidth="1"/>
    <col min="48" max="48" width="18.5703125" style="16" customWidth="1"/>
    <col min="49" max="49" width="11.5703125" style="16" bestFit="1" customWidth="1"/>
    <col min="50" max="50" width="10.28515625" style="16" bestFit="1" customWidth="1"/>
    <col min="51" max="51" width="9.140625" style="16"/>
  </cols>
  <sheetData>
    <row r="1" spans="1:53" x14ac:dyDescent="0.25">
      <c r="AO1" s="15">
        <f>SUBTOTAL(9,AO3:AO325)</f>
        <v>14988194.062500002</v>
      </c>
    </row>
    <row r="2" spans="1:53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14" t="s">
        <v>40</v>
      </c>
      <c r="AP2" s="4" t="s">
        <v>41</v>
      </c>
      <c r="AQ2" s="4" t="s">
        <v>42</v>
      </c>
      <c r="AR2" s="4" t="s">
        <v>43</v>
      </c>
      <c r="AS2" s="17" t="s">
        <v>6550</v>
      </c>
      <c r="AT2" s="17" t="s">
        <v>6551</v>
      </c>
      <c r="AU2" s="17" t="s">
        <v>6552</v>
      </c>
      <c r="AV2" s="17" t="s">
        <v>6553</v>
      </c>
      <c r="AW2" s="17" t="s">
        <v>6554</v>
      </c>
      <c r="AX2" s="17" t="s">
        <v>6875</v>
      </c>
      <c r="AY2" s="17" t="s">
        <v>7020</v>
      </c>
    </row>
    <row r="3" spans="1:53" x14ac:dyDescent="0.25">
      <c r="A3" s="5">
        <v>1</v>
      </c>
      <c r="B3" s="6" t="s">
        <v>1305</v>
      </c>
      <c r="C3" s="6" t="s">
        <v>1306</v>
      </c>
      <c r="D3" s="6" t="s">
        <v>46</v>
      </c>
      <c r="E3" s="6" t="s">
        <v>47</v>
      </c>
      <c r="F3" s="6" t="s">
        <v>48</v>
      </c>
      <c r="G3" s="6" t="s">
        <v>182</v>
      </c>
      <c r="H3" s="6" t="s">
        <v>1307</v>
      </c>
      <c r="I3" s="6" t="s">
        <v>1308</v>
      </c>
      <c r="J3" s="6">
        <v>2</v>
      </c>
      <c r="K3" s="6">
        <v>25.79</v>
      </c>
      <c r="L3" s="6" t="s">
        <v>1309</v>
      </c>
      <c r="M3" s="6" t="s">
        <v>1310</v>
      </c>
      <c r="N3" s="6" t="s">
        <v>1311</v>
      </c>
      <c r="O3" s="6" t="s">
        <v>1312</v>
      </c>
      <c r="P3" s="6" t="s">
        <v>1313</v>
      </c>
      <c r="Q3" s="6" t="s">
        <v>1313</v>
      </c>
      <c r="R3" s="6" t="s">
        <v>1313</v>
      </c>
      <c r="S3" s="6" t="s">
        <v>1314</v>
      </c>
      <c r="T3" s="6">
        <v>801000</v>
      </c>
      <c r="U3" s="6">
        <v>1335000</v>
      </c>
      <c r="V3" s="6" t="s">
        <v>1315</v>
      </c>
      <c r="W3" s="6" t="s">
        <v>1285</v>
      </c>
      <c r="X3" s="6" t="s">
        <v>1316</v>
      </c>
      <c r="Y3" s="6" t="s">
        <v>1317</v>
      </c>
      <c r="Z3" s="6" t="s">
        <v>64</v>
      </c>
      <c r="AA3" s="6" t="s">
        <v>65</v>
      </c>
      <c r="AB3" s="6" t="s">
        <v>1318</v>
      </c>
      <c r="AC3" s="6" t="s">
        <v>67</v>
      </c>
      <c r="AD3" s="6" t="s">
        <v>1094</v>
      </c>
      <c r="AE3" s="6" t="s">
        <v>69</v>
      </c>
      <c r="AF3" s="6" t="s">
        <v>1319</v>
      </c>
      <c r="AG3" s="6" t="s">
        <v>1320</v>
      </c>
      <c r="AH3" s="6">
        <v>7</v>
      </c>
      <c r="AI3" s="6" t="s">
        <v>511</v>
      </c>
      <c r="AJ3" s="6" t="s">
        <v>1321</v>
      </c>
      <c r="AK3" s="6" t="s">
        <v>1132</v>
      </c>
      <c r="AL3" s="6"/>
      <c r="AM3" s="6" t="s">
        <v>75</v>
      </c>
      <c r="AN3" s="6">
        <v>1068000</v>
      </c>
      <c r="AO3" s="10">
        <v>21360</v>
      </c>
      <c r="AP3" s="6"/>
      <c r="AQ3" s="6"/>
      <c r="AR3" s="6"/>
      <c r="AS3" s="18" t="s">
        <v>6556</v>
      </c>
      <c r="AT3" s="18"/>
      <c r="AU3" s="19">
        <v>21360</v>
      </c>
      <c r="AV3" s="20">
        <v>0</v>
      </c>
      <c r="AW3" s="18" t="s">
        <v>6555</v>
      </c>
      <c r="AX3" s="18"/>
      <c r="AY3" s="18"/>
    </row>
    <row r="4" spans="1:53" x14ac:dyDescent="0.25">
      <c r="A4" s="7">
        <v>2</v>
      </c>
      <c r="B4" s="8" t="s">
        <v>1305</v>
      </c>
      <c r="C4" s="8" t="s">
        <v>1322</v>
      </c>
      <c r="D4" s="8" t="s">
        <v>136</v>
      </c>
      <c r="E4" s="8" t="s">
        <v>47</v>
      </c>
      <c r="F4" s="8" t="s">
        <v>48</v>
      </c>
      <c r="G4" s="8" t="s">
        <v>1323</v>
      </c>
      <c r="H4" s="8" t="s">
        <v>1324</v>
      </c>
      <c r="I4" s="8" t="s">
        <v>1325</v>
      </c>
      <c r="J4" s="8">
        <v>2</v>
      </c>
      <c r="K4" s="8">
        <v>20.8</v>
      </c>
      <c r="L4" s="8" t="s">
        <v>1326</v>
      </c>
      <c r="M4" s="8" t="s">
        <v>1327</v>
      </c>
      <c r="N4" s="8" t="s">
        <v>931</v>
      </c>
      <c r="O4" s="8" t="s">
        <v>1328</v>
      </c>
      <c r="P4" s="8" t="s">
        <v>1329</v>
      </c>
      <c r="Q4" s="8" t="s">
        <v>1330</v>
      </c>
      <c r="R4" s="8" t="s">
        <v>1329</v>
      </c>
      <c r="S4" s="8" t="s">
        <v>1331</v>
      </c>
      <c r="T4" s="8">
        <v>1916000</v>
      </c>
      <c r="U4" s="8">
        <v>2395000</v>
      </c>
      <c r="V4" s="8" t="s">
        <v>1332</v>
      </c>
      <c r="W4" s="8" t="s">
        <v>1268</v>
      </c>
      <c r="X4" s="8" t="s">
        <v>1333</v>
      </c>
      <c r="Y4" s="8" t="s">
        <v>1334</v>
      </c>
      <c r="Z4" s="8" t="s">
        <v>64</v>
      </c>
      <c r="AA4" s="8" t="s">
        <v>65</v>
      </c>
      <c r="AB4" s="8" t="s">
        <v>1335</v>
      </c>
      <c r="AC4" s="8" t="s">
        <v>151</v>
      </c>
      <c r="AD4" s="8" t="s">
        <v>1336</v>
      </c>
      <c r="AE4" s="8" t="s">
        <v>1253</v>
      </c>
      <c r="AF4" s="8" t="s">
        <v>1254</v>
      </c>
      <c r="AG4" s="8" t="s">
        <v>1337</v>
      </c>
      <c r="AH4" s="8">
        <v>5</v>
      </c>
      <c r="AI4" s="8" t="s">
        <v>100</v>
      </c>
      <c r="AJ4" s="8" t="s">
        <v>1338</v>
      </c>
      <c r="AK4" s="8" t="s">
        <v>1339</v>
      </c>
      <c r="AL4" s="8"/>
      <c r="AM4" s="8" t="s">
        <v>75</v>
      </c>
      <c r="AN4" s="8">
        <v>1796250</v>
      </c>
      <c r="AO4" s="11">
        <v>35925</v>
      </c>
      <c r="AP4" s="8"/>
      <c r="AQ4" s="8"/>
      <c r="AR4" s="8"/>
      <c r="AS4" s="18" t="s">
        <v>6557</v>
      </c>
      <c r="AT4" s="18" t="s">
        <v>6878</v>
      </c>
      <c r="AU4" s="19">
        <v>40715</v>
      </c>
      <c r="AV4" s="20">
        <v>-4790</v>
      </c>
      <c r="AW4" s="18" t="s">
        <v>6555</v>
      </c>
      <c r="AX4" s="19">
        <v>-4790</v>
      </c>
      <c r="AY4" s="20">
        <v>0</v>
      </c>
    </row>
    <row r="5" spans="1:53" x14ac:dyDescent="0.25">
      <c r="A5" s="5">
        <v>3</v>
      </c>
      <c r="B5" s="6" t="s">
        <v>1305</v>
      </c>
      <c r="C5" s="6" t="s">
        <v>1340</v>
      </c>
      <c r="D5" s="6" t="s">
        <v>46</v>
      </c>
      <c r="E5" s="6" t="s">
        <v>47</v>
      </c>
      <c r="F5" s="6" t="s">
        <v>48</v>
      </c>
      <c r="G5" s="6" t="s">
        <v>1341</v>
      </c>
      <c r="H5" s="6" t="s">
        <v>1342</v>
      </c>
      <c r="I5" s="6" t="s">
        <v>1343</v>
      </c>
      <c r="J5" s="6">
        <v>2</v>
      </c>
      <c r="K5" s="6">
        <v>25.79</v>
      </c>
      <c r="L5" s="6" t="s">
        <v>1344</v>
      </c>
      <c r="M5" s="6" t="s">
        <v>1345</v>
      </c>
      <c r="N5" s="6" t="s">
        <v>1085</v>
      </c>
      <c r="O5" s="6" t="s">
        <v>1346</v>
      </c>
      <c r="P5" s="6" t="s">
        <v>1347</v>
      </c>
      <c r="Q5" s="6" t="s">
        <v>1347</v>
      </c>
      <c r="R5" s="6" t="s">
        <v>1348</v>
      </c>
      <c r="S5" s="6" t="s">
        <v>1349</v>
      </c>
      <c r="T5" s="6">
        <v>2880800</v>
      </c>
      <c r="U5" s="6">
        <v>4432000</v>
      </c>
      <c r="V5" s="6" t="s">
        <v>1350</v>
      </c>
      <c r="W5" s="6" t="s">
        <v>1285</v>
      </c>
      <c r="X5" s="6" t="s">
        <v>1351</v>
      </c>
      <c r="Y5" s="6" t="s">
        <v>1352</v>
      </c>
      <c r="Z5" s="6" t="s">
        <v>64</v>
      </c>
      <c r="AA5" s="6" t="s">
        <v>65</v>
      </c>
      <c r="AB5" s="6" t="s">
        <v>1353</v>
      </c>
      <c r="AC5" s="6" t="s">
        <v>67</v>
      </c>
      <c r="AD5" s="6" t="s">
        <v>1218</v>
      </c>
      <c r="AE5" s="6" t="s">
        <v>399</v>
      </c>
      <c r="AF5" s="6" t="s">
        <v>1354</v>
      </c>
      <c r="AG5" s="6" t="s">
        <v>1355</v>
      </c>
      <c r="AH5" s="6">
        <v>5</v>
      </c>
      <c r="AI5" s="6" t="s">
        <v>65</v>
      </c>
      <c r="AJ5" s="6" t="s">
        <v>65</v>
      </c>
      <c r="AK5" s="6" t="s">
        <v>65</v>
      </c>
      <c r="AL5" s="6"/>
      <c r="AM5" s="6" t="s">
        <v>75</v>
      </c>
      <c r="AN5" s="6">
        <v>3545600</v>
      </c>
      <c r="AO5" s="10">
        <v>70912</v>
      </c>
      <c r="AP5" s="6"/>
      <c r="AQ5" s="6"/>
      <c r="AR5" s="6"/>
      <c r="AS5" s="18" t="s">
        <v>6558</v>
      </c>
      <c r="AT5" s="18"/>
      <c r="AU5" s="19">
        <v>70912</v>
      </c>
      <c r="AV5" s="20">
        <v>0</v>
      </c>
      <c r="AW5" s="18" t="s">
        <v>6555</v>
      </c>
      <c r="AX5" s="18"/>
      <c r="AY5" s="18"/>
    </row>
    <row r="6" spans="1:53" x14ac:dyDescent="0.25">
      <c r="A6" s="7">
        <v>4</v>
      </c>
      <c r="B6" s="8" t="s">
        <v>1305</v>
      </c>
      <c r="C6" s="8" t="s">
        <v>1356</v>
      </c>
      <c r="D6" s="8" t="s">
        <v>46</v>
      </c>
      <c r="E6" s="8" t="s">
        <v>47</v>
      </c>
      <c r="F6" s="8" t="s">
        <v>48</v>
      </c>
      <c r="G6" s="8" t="s">
        <v>1341</v>
      </c>
      <c r="H6" s="8" t="s">
        <v>1357</v>
      </c>
      <c r="I6" s="8" t="s">
        <v>1358</v>
      </c>
      <c r="J6" s="8">
        <v>2</v>
      </c>
      <c r="K6" s="8">
        <v>26.29</v>
      </c>
      <c r="L6" s="8" t="s">
        <v>1359</v>
      </c>
      <c r="M6" s="8" t="s">
        <v>1360</v>
      </c>
      <c r="N6" s="8" t="s">
        <v>1085</v>
      </c>
      <c r="O6" s="8" t="s">
        <v>1361</v>
      </c>
      <c r="P6" s="8" t="s">
        <v>1362</v>
      </c>
      <c r="Q6" s="8" t="s">
        <v>1362</v>
      </c>
      <c r="R6" s="8" t="s">
        <v>1363</v>
      </c>
      <c r="S6" s="8" t="s">
        <v>1364</v>
      </c>
      <c r="T6" s="8">
        <v>3102400</v>
      </c>
      <c r="U6" s="8">
        <v>4432000</v>
      </c>
      <c r="V6" s="8" t="s">
        <v>1365</v>
      </c>
      <c r="W6" s="8" t="s">
        <v>1285</v>
      </c>
      <c r="X6" s="8" t="s">
        <v>1366</v>
      </c>
      <c r="Y6" s="8" t="s">
        <v>1367</v>
      </c>
      <c r="Z6" s="8" t="s">
        <v>64</v>
      </c>
      <c r="AA6" s="8" t="s">
        <v>65</v>
      </c>
      <c r="AB6" s="8" t="s">
        <v>1368</v>
      </c>
      <c r="AC6" s="8" t="s">
        <v>67</v>
      </c>
      <c r="AD6" s="8" t="s">
        <v>235</v>
      </c>
      <c r="AE6" s="8" t="s">
        <v>604</v>
      </c>
      <c r="AF6" s="8" t="s">
        <v>974</v>
      </c>
      <c r="AG6" s="8" t="s">
        <v>1369</v>
      </c>
      <c r="AH6" s="8">
        <v>5</v>
      </c>
      <c r="AI6" s="8" t="s">
        <v>65</v>
      </c>
      <c r="AJ6" s="8" t="s">
        <v>65</v>
      </c>
      <c r="AK6" s="8" t="s">
        <v>65</v>
      </c>
      <c r="AL6" s="8"/>
      <c r="AM6" s="8" t="s">
        <v>75</v>
      </c>
      <c r="AN6" s="8">
        <v>3545600</v>
      </c>
      <c r="AO6" s="11">
        <v>70912</v>
      </c>
      <c r="AP6" s="8"/>
      <c r="AQ6" s="8"/>
      <c r="AR6" s="8"/>
      <c r="AS6" s="18" t="s">
        <v>6559</v>
      </c>
      <c r="AT6" s="18"/>
      <c r="AU6" s="19">
        <v>70912</v>
      </c>
      <c r="AV6" s="20">
        <v>0</v>
      </c>
      <c r="AW6" s="18" t="s">
        <v>6555</v>
      </c>
      <c r="AX6" s="18"/>
      <c r="AY6" s="18"/>
    </row>
    <row r="7" spans="1:53" x14ac:dyDescent="0.25">
      <c r="A7" s="5">
        <v>5</v>
      </c>
      <c r="B7" s="6" t="s">
        <v>1305</v>
      </c>
      <c r="C7" s="6" t="s">
        <v>1370</v>
      </c>
      <c r="D7" s="6" t="s">
        <v>136</v>
      </c>
      <c r="E7" s="6" t="s">
        <v>47</v>
      </c>
      <c r="F7" s="6" t="s">
        <v>48</v>
      </c>
      <c r="G7" s="6" t="s">
        <v>1371</v>
      </c>
      <c r="H7" s="6" t="s">
        <v>1372</v>
      </c>
      <c r="I7" s="6" t="s">
        <v>1373</v>
      </c>
      <c r="J7" s="6">
        <v>1.5</v>
      </c>
      <c r="K7" s="6">
        <v>20.8</v>
      </c>
      <c r="L7" s="6" t="s">
        <v>1374</v>
      </c>
      <c r="M7" s="6" t="s">
        <v>1375</v>
      </c>
      <c r="N7" s="6" t="s">
        <v>265</v>
      </c>
      <c r="O7" s="6" t="s">
        <v>1376</v>
      </c>
      <c r="P7" s="6" t="s">
        <v>1377</v>
      </c>
      <c r="Q7" s="6" t="s">
        <v>1377</v>
      </c>
      <c r="R7" s="6" t="s">
        <v>1378</v>
      </c>
      <c r="S7" s="6" t="s">
        <v>1379</v>
      </c>
      <c r="T7" s="6">
        <v>3995260</v>
      </c>
      <c r="U7" s="6">
        <v>5399000</v>
      </c>
      <c r="V7" s="6" t="s">
        <v>1380</v>
      </c>
      <c r="W7" s="6" t="s">
        <v>1268</v>
      </c>
      <c r="X7" s="6" t="s">
        <v>1381</v>
      </c>
      <c r="Y7" s="6" t="s">
        <v>1382</v>
      </c>
      <c r="Z7" s="6" t="s">
        <v>64</v>
      </c>
      <c r="AA7" s="6" t="s">
        <v>65</v>
      </c>
      <c r="AB7" s="6" t="s">
        <v>116</v>
      </c>
      <c r="AC7" s="6" t="s">
        <v>151</v>
      </c>
      <c r="AD7" s="6" t="s">
        <v>1383</v>
      </c>
      <c r="AE7" s="6" t="s">
        <v>1253</v>
      </c>
      <c r="AF7" s="6" t="s">
        <v>1254</v>
      </c>
      <c r="AG7" s="6" t="s">
        <v>1384</v>
      </c>
      <c r="AH7" s="6">
        <v>5</v>
      </c>
      <c r="AI7" s="6" t="s">
        <v>65</v>
      </c>
      <c r="AJ7" s="6" t="s">
        <v>65</v>
      </c>
      <c r="AK7" s="6" t="s">
        <v>65</v>
      </c>
      <c r="AL7" s="6"/>
      <c r="AM7" s="6" t="s">
        <v>157</v>
      </c>
      <c r="AN7" s="6">
        <v>4049250</v>
      </c>
      <c r="AO7" s="10">
        <v>60738.75</v>
      </c>
      <c r="AP7" s="6"/>
      <c r="AQ7" s="6"/>
      <c r="AR7" s="6"/>
      <c r="AS7" s="18" t="s">
        <v>6560</v>
      </c>
      <c r="AT7" s="18" t="s">
        <v>6879</v>
      </c>
      <c r="AU7" s="19">
        <v>68837</v>
      </c>
      <c r="AV7" s="20">
        <v>-8098.25</v>
      </c>
      <c r="AW7" s="18" t="s">
        <v>6555</v>
      </c>
      <c r="AX7" s="19">
        <v>-8099</v>
      </c>
      <c r="AY7" s="20">
        <v>0.75</v>
      </c>
    </row>
    <row r="8" spans="1:53" x14ac:dyDescent="0.25">
      <c r="A8" s="7">
        <v>6</v>
      </c>
      <c r="B8" s="8" t="s">
        <v>1305</v>
      </c>
      <c r="C8" s="8" t="s">
        <v>1385</v>
      </c>
      <c r="D8" s="8" t="s">
        <v>241</v>
      </c>
      <c r="E8" s="8" t="s">
        <v>47</v>
      </c>
      <c r="F8" s="8" t="s">
        <v>48</v>
      </c>
      <c r="G8" s="8" t="s">
        <v>366</v>
      </c>
      <c r="H8" s="8" t="s">
        <v>1386</v>
      </c>
      <c r="I8" s="8" t="s">
        <v>1387</v>
      </c>
      <c r="J8" s="8">
        <v>1.75</v>
      </c>
      <c r="K8" s="8">
        <v>26.18</v>
      </c>
      <c r="L8" s="8" t="s">
        <v>1388</v>
      </c>
      <c r="M8" s="8" t="s">
        <v>1389</v>
      </c>
      <c r="N8" s="8" t="s">
        <v>187</v>
      </c>
      <c r="O8" s="8" t="s">
        <v>1390</v>
      </c>
      <c r="P8" s="8" t="s">
        <v>65</v>
      </c>
      <c r="Q8" s="8" t="s">
        <v>1391</v>
      </c>
      <c r="R8" s="8" t="s">
        <v>1392</v>
      </c>
      <c r="S8" s="8" t="s">
        <v>1393</v>
      </c>
      <c r="T8" s="8">
        <v>4953200</v>
      </c>
      <c r="U8" s="8">
        <v>7076000</v>
      </c>
      <c r="V8" s="8" t="s">
        <v>1394</v>
      </c>
      <c r="W8" s="8" t="s">
        <v>1285</v>
      </c>
      <c r="X8" s="8" t="s">
        <v>1395</v>
      </c>
      <c r="Y8" s="8" t="s">
        <v>1396</v>
      </c>
      <c r="Z8" s="8" t="s">
        <v>64</v>
      </c>
      <c r="AA8" s="8" t="s">
        <v>65</v>
      </c>
      <c r="AB8" s="8" t="s">
        <v>1038</v>
      </c>
      <c r="AC8" s="8" t="s">
        <v>67</v>
      </c>
      <c r="AD8" s="8" t="s">
        <v>1397</v>
      </c>
      <c r="AE8" s="8" t="s">
        <v>604</v>
      </c>
      <c r="AF8" s="8" t="s">
        <v>974</v>
      </c>
      <c r="AG8" s="8" t="s">
        <v>1398</v>
      </c>
      <c r="AH8" s="8">
        <v>5</v>
      </c>
      <c r="AI8" s="8" t="s">
        <v>237</v>
      </c>
      <c r="AJ8" s="8" t="s">
        <v>1399</v>
      </c>
      <c r="AK8" s="8" t="s">
        <v>1132</v>
      </c>
      <c r="AL8" s="8"/>
      <c r="AM8" s="8" t="s">
        <v>102</v>
      </c>
      <c r="AN8" s="8">
        <v>5660800</v>
      </c>
      <c r="AO8" s="11">
        <v>99064.000000000015</v>
      </c>
      <c r="AP8" s="8"/>
      <c r="AQ8" s="8"/>
      <c r="AR8" s="8"/>
      <c r="AS8" s="18" t="s">
        <v>6561</v>
      </c>
      <c r="AT8" s="18"/>
      <c r="AU8" s="19">
        <v>99064</v>
      </c>
      <c r="AV8" s="20">
        <v>0</v>
      </c>
      <c r="AW8" s="18" t="s">
        <v>6555</v>
      </c>
      <c r="AX8" s="18"/>
      <c r="AY8" s="18"/>
    </row>
    <row r="9" spans="1:53" x14ac:dyDescent="0.25">
      <c r="A9" s="5">
        <v>7</v>
      </c>
      <c r="B9" s="6" t="s">
        <v>1305</v>
      </c>
      <c r="C9" s="6" t="s">
        <v>1400</v>
      </c>
      <c r="D9" s="6" t="s">
        <v>241</v>
      </c>
      <c r="E9" s="6" t="s">
        <v>47</v>
      </c>
      <c r="F9" s="6" t="s">
        <v>48</v>
      </c>
      <c r="G9" s="6" t="s">
        <v>1401</v>
      </c>
      <c r="H9" s="6" t="s">
        <v>1402</v>
      </c>
      <c r="I9" s="6" t="s">
        <v>1403</v>
      </c>
      <c r="J9" s="6">
        <v>2</v>
      </c>
      <c r="K9" s="6">
        <v>22.47</v>
      </c>
      <c r="L9" s="6" t="s">
        <v>1404</v>
      </c>
      <c r="M9" s="6" t="s">
        <v>1405</v>
      </c>
      <c r="N9" s="6" t="s">
        <v>1406</v>
      </c>
      <c r="O9" s="6" t="s">
        <v>1407</v>
      </c>
      <c r="P9" s="6" t="s">
        <v>65</v>
      </c>
      <c r="Q9" s="6" t="s">
        <v>1408</v>
      </c>
      <c r="R9" s="6" t="s">
        <v>65</v>
      </c>
      <c r="S9" s="6" t="s">
        <v>1409</v>
      </c>
      <c r="T9" s="6">
        <v>2102250</v>
      </c>
      <c r="U9" s="6">
        <v>2803000</v>
      </c>
      <c r="V9" s="6" t="s">
        <v>1410</v>
      </c>
      <c r="W9" s="6" t="s">
        <v>1285</v>
      </c>
      <c r="X9" s="6" t="s">
        <v>1411</v>
      </c>
      <c r="Y9" s="6" t="s">
        <v>1412</v>
      </c>
      <c r="Z9" s="6" t="s">
        <v>64</v>
      </c>
      <c r="AA9" s="6" t="s">
        <v>65</v>
      </c>
      <c r="AB9" s="6" t="s">
        <v>1125</v>
      </c>
      <c r="AC9" s="6" t="s">
        <v>67</v>
      </c>
      <c r="AD9" s="6" t="s">
        <v>1039</v>
      </c>
      <c r="AE9" s="6" t="s">
        <v>1127</v>
      </c>
      <c r="AF9" s="6" t="s">
        <v>1162</v>
      </c>
      <c r="AG9" s="6" t="s">
        <v>1413</v>
      </c>
      <c r="AH9" s="6">
        <v>5</v>
      </c>
      <c r="AI9" s="6" t="s">
        <v>198</v>
      </c>
      <c r="AJ9" s="6" t="s">
        <v>1414</v>
      </c>
      <c r="AK9" s="6" t="s">
        <v>1132</v>
      </c>
      <c r="AL9" s="6"/>
      <c r="AM9" s="6" t="s">
        <v>75</v>
      </c>
      <c r="AN9" s="6">
        <v>2242400</v>
      </c>
      <c r="AO9" s="10">
        <v>44848</v>
      </c>
      <c r="AP9" s="6"/>
      <c r="AQ9" s="6"/>
      <c r="AR9" s="6"/>
      <c r="AS9" s="18" t="s">
        <v>6562</v>
      </c>
      <c r="AT9" s="18"/>
      <c r="AU9" s="19">
        <v>44848</v>
      </c>
      <c r="AV9" s="20">
        <v>0</v>
      </c>
      <c r="AW9" s="18" t="s">
        <v>6555</v>
      </c>
      <c r="AX9" s="18"/>
      <c r="AY9" s="18"/>
    </row>
    <row r="10" spans="1:53" x14ac:dyDescent="0.25">
      <c r="A10" s="7">
        <v>8</v>
      </c>
      <c r="B10" s="8" t="s">
        <v>1305</v>
      </c>
      <c r="C10" s="8" t="s">
        <v>1415</v>
      </c>
      <c r="D10" s="8" t="s">
        <v>46</v>
      </c>
      <c r="E10" s="8" t="s">
        <v>47</v>
      </c>
      <c r="F10" s="8" t="s">
        <v>48</v>
      </c>
      <c r="G10" s="8" t="s">
        <v>1416</v>
      </c>
      <c r="H10" s="8" t="s">
        <v>1417</v>
      </c>
      <c r="I10" s="8" t="s">
        <v>1418</v>
      </c>
      <c r="J10" s="8">
        <v>2</v>
      </c>
      <c r="K10" s="8">
        <v>26.69</v>
      </c>
      <c r="L10" s="8" t="s">
        <v>1419</v>
      </c>
      <c r="M10" s="8" t="s">
        <v>1420</v>
      </c>
      <c r="N10" s="8" t="s">
        <v>83</v>
      </c>
      <c r="O10" s="8" t="s">
        <v>1421</v>
      </c>
      <c r="P10" s="8" t="s">
        <v>65</v>
      </c>
      <c r="Q10" s="8" t="s">
        <v>1422</v>
      </c>
      <c r="R10" s="8" t="s">
        <v>65</v>
      </c>
      <c r="S10" s="8" t="s">
        <v>1423</v>
      </c>
      <c r="T10" s="8">
        <v>1820000</v>
      </c>
      <c r="U10" s="8">
        <v>2600000</v>
      </c>
      <c r="V10" s="8" t="s">
        <v>1424</v>
      </c>
      <c r="W10" s="8" t="s">
        <v>1425</v>
      </c>
      <c r="X10" s="8" t="s">
        <v>1426</v>
      </c>
      <c r="Y10" s="8" t="s">
        <v>1427</v>
      </c>
      <c r="Z10" s="8" t="s">
        <v>64</v>
      </c>
      <c r="AA10" s="8" t="s">
        <v>65</v>
      </c>
      <c r="AB10" s="8" t="s">
        <v>1428</v>
      </c>
      <c r="AC10" s="8" t="s">
        <v>531</v>
      </c>
      <c r="AD10" s="8" t="s">
        <v>1429</v>
      </c>
      <c r="AE10" s="8" t="s">
        <v>453</v>
      </c>
      <c r="AF10" s="8" t="s">
        <v>1430</v>
      </c>
      <c r="AG10" s="8" t="s">
        <v>1431</v>
      </c>
      <c r="AH10" s="8">
        <v>3</v>
      </c>
      <c r="AI10" s="8" t="s">
        <v>100</v>
      </c>
      <c r="AJ10" s="8" t="s">
        <v>1432</v>
      </c>
      <c r="AK10" s="8" t="s">
        <v>1433</v>
      </c>
      <c r="AL10" s="8"/>
      <c r="AM10" s="8" t="s">
        <v>75</v>
      </c>
      <c r="AN10" s="8">
        <v>2210000</v>
      </c>
      <c r="AO10" s="11">
        <v>44200</v>
      </c>
      <c r="AP10" s="8"/>
      <c r="AQ10" s="8"/>
      <c r="AR10" s="8"/>
      <c r="AS10" s="18" t="s">
        <v>6563</v>
      </c>
      <c r="AT10" s="18"/>
      <c r="AU10" s="19">
        <v>44200</v>
      </c>
      <c r="AV10" s="20">
        <v>0</v>
      </c>
      <c r="AW10" s="18" t="s">
        <v>6555</v>
      </c>
      <c r="AX10" s="18"/>
      <c r="AY10" s="18"/>
    </row>
    <row r="11" spans="1:53" x14ac:dyDescent="0.25">
      <c r="A11" s="5">
        <v>9</v>
      </c>
      <c r="B11" s="6" t="s">
        <v>1305</v>
      </c>
      <c r="C11" s="6" t="s">
        <v>1456</v>
      </c>
      <c r="D11" s="6" t="s">
        <v>46</v>
      </c>
      <c r="E11" s="6" t="s">
        <v>47</v>
      </c>
      <c r="F11" s="6" t="s">
        <v>48</v>
      </c>
      <c r="G11" s="6" t="s">
        <v>1457</v>
      </c>
      <c r="H11" s="6" t="s">
        <v>1458</v>
      </c>
      <c r="I11" s="6" t="s">
        <v>1459</v>
      </c>
      <c r="J11" s="6">
        <v>2</v>
      </c>
      <c r="K11" s="6">
        <v>25.79</v>
      </c>
      <c r="L11" s="6" t="s">
        <v>1460</v>
      </c>
      <c r="M11" s="6" t="s">
        <v>1461</v>
      </c>
      <c r="N11" s="6" t="s">
        <v>187</v>
      </c>
      <c r="O11" s="6" t="s">
        <v>1462</v>
      </c>
      <c r="P11" s="6" t="s">
        <v>1463</v>
      </c>
      <c r="Q11" s="6" t="s">
        <v>1463</v>
      </c>
      <c r="R11" s="6" t="s">
        <v>1463</v>
      </c>
      <c r="S11" s="6" t="s">
        <v>1464</v>
      </c>
      <c r="T11" s="6">
        <v>1146400</v>
      </c>
      <c r="U11" s="6">
        <v>1433000</v>
      </c>
      <c r="V11" s="6" t="s">
        <v>1465</v>
      </c>
      <c r="W11" s="6" t="s">
        <v>1078</v>
      </c>
      <c r="X11" s="6" t="s">
        <v>1466</v>
      </c>
      <c r="Y11" s="6" t="s">
        <v>1467</v>
      </c>
      <c r="Z11" s="6" t="s">
        <v>64</v>
      </c>
      <c r="AA11" s="6" t="s">
        <v>65</v>
      </c>
      <c r="AB11" s="6" t="s">
        <v>1468</v>
      </c>
      <c r="AC11" s="6" t="s">
        <v>67</v>
      </c>
      <c r="AD11" s="6" t="s">
        <v>1469</v>
      </c>
      <c r="AE11" s="6" t="s">
        <v>604</v>
      </c>
      <c r="AF11" s="6" t="s">
        <v>974</v>
      </c>
      <c r="AG11" s="6" t="s">
        <v>1470</v>
      </c>
      <c r="AH11" s="6">
        <v>5</v>
      </c>
      <c r="AI11" s="6" t="s">
        <v>198</v>
      </c>
      <c r="AJ11" s="6" t="s">
        <v>1471</v>
      </c>
      <c r="AK11" s="6" t="s">
        <v>1042</v>
      </c>
      <c r="AL11" s="6"/>
      <c r="AM11" s="6" t="s">
        <v>75</v>
      </c>
      <c r="AN11" s="6">
        <v>1146400</v>
      </c>
      <c r="AO11" s="10">
        <v>22928</v>
      </c>
      <c r="AP11" s="6"/>
      <c r="AQ11" s="6"/>
      <c r="AR11" s="6"/>
      <c r="AS11" s="18" t="s">
        <v>6564</v>
      </c>
      <c r="AT11" s="18"/>
      <c r="AU11" s="19">
        <v>22928</v>
      </c>
      <c r="AV11" s="20">
        <v>0</v>
      </c>
      <c r="AW11" s="18" t="s">
        <v>6555</v>
      </c>
      <c r="AX11" s="18"/>
      <c r="AY11" s="18"/>
    </row>
    <row r="12" spans="1:53" x14ac:dyDescent="0.25">
      <c r="A12" s="7">
        <v>10</v>
      </c>
      <c r="B12" s="8" t="s">
        <v>1305</v>
      </c>
      <c r="C12" s="8" t="s">
        <v>1472</v>
      </c>
      <c r="D12" s="8" t="s">
        <v>277</v>
      </c>
      <c r="E12" s="8" t="s">
        <v>47</v>
      </c>
      <c r="F12" s="8" t="s">
        <v>48</v>
      </c>
      <c r="G12" s="8" t="s">
        <v>1473</v>
      </c>
      <c r="H12" s="8" t="s">
        <v>1474</v>
      </c>
      <c r="I12" s="8" t="s">
        <v>1475</v>
      </c>
      <c r="J12" s="8">
        <v>2</v>
      </c>
      <c r="K12" s="8">
        <v>22.02</v>
      </c>
      <c r="L12" s="8" t="s">
        <v>1476</v>
      </c>
      <c r="M12" s="8" t="s">
        <v>1477</v>
      </c>
      <c r="N12" s="8" t="s">
        <v>83</v>
      </c>
      <c r="O12" s="8" t="s">
        <v>1478</v>
      </c>
      <c r="P12" s="8" t="s">
        <v>65</v>
      </c>
      <c r="Q12" s="8" t="s">
        <v>1479</v>
      </c>
      <c r="R12" s="8" t="s">
        <v>65</v>
      </c>
      <c r="S12" s="8" t="s">
        <v>1480</v>
      </c>
      <c r="T12" s="8">
        <v>1408000</v>
      </c>
      <c r="U12" s="8">
        <v>1760000</v>
      </c>
      <c r="V12" s="8" t="s">
        <v>1481</v>
      </c>
      <c r="W12" s="8" t="s">
        <v>1078</v>
      </c>
      <c r="X12" s="8" t="s">
        <v>1482</v>
      </c>
      <c r="Y12" s="8" t="s">
        <v>1483</v>
      </c>
      <c r="Z12" s="8" t="s">
        <v>64</v>
      </c>
      <c r="AA12" s="8" t="s">
        <v>65</v>
      </c>
      <c r="AB12" s="8" t="s">
        <v>1484</v>
      </c>
      <c r="AC12" s="8" t="s">
        <v>67</v>
      </c>
      <c r="AD12" s="8" t="s">
        <v>1097</v>
      </c>
      <c r="AE12" s="8" t="s">
        <v>1127</v>
      </c>
      <c r="AF12" s="8" t="s">
        <v>1485</v>
      </c>
      <c r="AG12" s="8" t="s">
        <v>1486</v>
      </c>
      <c r="AH12" s="8">
        <v>7</v>
      </c>
      <c r="AI12" s="8" t="s">
        <v>237</v>
      </c>
      <c r="AJ12" s="8" t="s">
        <v>1487</v>
      </c>
      <c r="AK12" s="8" t="s">
        <v>1097</v>
      </c>
      <c r="AL12" s="8"/>
      <c r="AM12" s="8" t="s">
        <v>75</v>
      </c>
      <c r="AN12" s="8">
        <v>1408000</v>
      </c>
      <c r="AO12" s="11">
        <v>28160</v>
      </c>
      <c r="AP12" s="8"/>
      <c r="AQ12" s="8"/>
      <c r="AR12" s="8"/>
      <c r="AS12" s="18" t="s">
        <v>6565</v>
      </c>
      <c r="AT12" s="18"/>
      <c r="AU12" s="19">
        <v>28160</v>
      </c>
      <c r="AV12" s="20">
        <v>0</v>
      </c>
      <c r="AW12" s="18" t="s">
        <v>6555</v>
      </c>
      <c r="AX12" s="18"/>
      <c r="AY12" s="18"/>
    </row>
    <row r="13" spans="1:53" x14ac:dyDescent="0.25">
      <c r="A13" s="5">
        <v>11</v>
      </c>
      <c r="B13" s="6" t="s">
        <v>1305</v>
      </c>
      <c r="C13" s="6" t="s">
        <v>1488</v>
      </c>
      <c r="D13" s="6" t="s">
        <v>1489</v>
      </c>
      <c r="E13" s="6" t="s">
        <v>47</v>
      </c>
      <c r="F13" s="6" t="s">
        <v>48</v>
      </c>
      <c r="G13" s="6" t="s">
        <v>1323</v>
      </c>
      <c r="H13" s="6" t="s">
        <v>1490</v>
      </c>
      <c r="I13" s="6" t="s">
        <v>1491</v>
      </c>
      <c r="J13" s="6">
        <v>2</v>
      </c>
      <c r="K13" s="6">
        <v>21.05</v>
      </c>
      <c r="L13" s="6" t="s">
        <v>1492</v>
      </c>
      <c r="M13" s="6" t="s">
        <v>1493</v>
      </c>
      <c r="N13" s="6" t="s">
        <v>54</v>
      </c>
      <c r="O13" s="6" t="s">
        <v>1494</v>
      </c>
      <c r="P13" s="6" t="s">
        <v>1495</v>
      </c>
      <c r="Q13" s="6" t="s">
        <v>1496</v>
      </c>
      <c r="R13" s="6" t="s">
        <v>1497</v>
      </c>
      <c r="S13" s="6" t="s">
        <v>1498</v>
      </c>
      <c r="T13" s="6">
        <v>1921200</v>
      </c>
      <c r="U13" s="6">
        <v>2401500</v>
      </c>
      <c r="V13" s="6" t="s">
        <v>1499</v>
      </c>
      <c r="W13" s="6" t="s">
        <v>1132</v>
      </c>
      <c r="X13" s="6" t="s">
        <v>1500</v>
      </c>
      <c r="Y13" s="6" t="s">
        <v>1501</v>
      </c>
      <c r="Z13" s="6" t="s">
        <v>64</v>
      </c>
      <c r="AA13" s="6" t="s">
        <v>1502</v>
      </c>
      <c r="AB13" s="6" t="s">
        <v>1503</v>
      </c>
      <c r="AC13" s="6" t="s">
        <v>151</v>
      </c>
      <c r="AD13" s="6" t="s">
        <v>1504</v>
      </c>
      <c r="AE13" s="6" t="s">
        <v>1253</v>
      </c>
      <c r="AF13" s="6" t="s">
        <v>1254</v>
      </c>
      <c r="AG13" s="6" t="s">
        <v>1505</v>
      </c>
      <c r="AH13" s="6">
        <v>5</v>
      </c>
      <c r="AI13" s="6" t="s">
        <v>100</v>
      </c>
      <c r="AJ13" s="6" t="s">
        <v>1506</v>
      </c>
      <c r="AK13" s="6" t="s">
        <v>1507</v>
      </c>
      <c r="AL13" s="6"/>
      <c r="AM13" s="6" t="s">
        <v>75</v>
      </c>
      <c r="AN13" s="6">
        <v>1801125</v>
      </c>
      <c r="AO13" s="10">
        <v>36022.5</v>
      </c>
      <c r="AP13" s="6"/>
      <c r="AQ13" s="6"/>
      <c r="AR13" s="6"/>
      <c r="AS13" s="18" t="s">
        <v>6566</v>
      </c>
      <c r="AT13" s="18" t="s">
        <v>6880</v>
      </c>
      <c r="AU13" s="19">
        <v>40826</v>
      </c>
      <c r="AV13" s="20">
        <v>-4803.5</v>
      </c>
      <c r="AW13" s="18" t="s">
        <v>6555</v>
      </c>
      <c r="AX13" s="19">
        <v>-4803</v>
      </c>
      <c r="AY13" s="20">
        <v>-0.5</v>
      </c>
    </row>
    <row r="14" spans="1:53" x14ac:dyDescent="0.25">
      <c r="A14" s="7">
        <v>12</v>
      </c>
      <c r="B14" s="8" t="s">
        <v>1305</v>
      </c>
      <c r="C14" s="8" t="s">
        <v>1508</v>
      </c>
      <c r="D14" s="8" t="s">
        <v>46</v>
      </c>
      <c r="E14" s="8" t="s">
        <v>47</v>
      </c>
      <c r="F14" s="8" t="s">
        <v>48</v>
      </c>
      <c r="G14" s="8" t="s">
        <v>182</v>
      </c>
      <c r="H14" s="8" t="s">
        <v>1509</v>
      </c>
      <c r="I14" s="8" t="s">
        <v>1510</v>
      </c>
      <c r="J14" s="8">
        <v>2</v>
      </c>
      <c r="K14" s="8">
        <v>25.79</v>
      </c>
      <c r="L14" s="8" t="s">
        <v>1511</v>
      </c>
      <c r="M14" s="8" t="s">
        <v>1512</v>
      </c>
      <c r="N14" s="8" t="s">
        <v>187</v>
      </c>
      <c r="O14" s="8" t="s">
        <v>1513</v>
      </c>
      <c r="P14" s="8" t="s">
        <v>65</v>
      </c>
      <c r="Q14" s="8" t="s">
        <v>1514</v>
      </c>
      <c r="R14" s="8" t="s">
        <v>1515</v>
      </c>
      <c r="S14" s="8" t="s">
        <v>1516</v>
      </c>
      <c r="T14" s="8">
        <v>1704000</v>
      </c>
      <c r="U14" s="8">
        <v>2130000</v>
      </c>
      <c r="V14" s="8" t="s">
        <v>1517</v>
      </c>
      <c r="W14" s="8" t="s">
        <v>1078</v>
      </c>
      <c r="X14" s="8" t="s">
        <v>1518</v>
      </c>
      <c r="Y14" s="8" t="s">
        <v>1519</v>
      </c>
      <c r="Z14" s="8" t="s">
        <v>64</v>
      </c>
      <c r="AA14" s="8" t="s">
        <v>65</v>
      </c>
      <c r="AB14" s="8" t="s">
        <v>1520</v>
      </c>
      <c r="AC14" s="8" t="s">
        <v>67</v>
      </c>
      <c r="AD14" s="8" t="s">
        <v>1094</v>
      </c>
      <c r="AE14" s="8" t="s">
        <v>69</v>
      </c>
      <c r="AF14" s="8" t="s">
        <v>1007</v>
      </c>
      <c r="AG14" s="8" t="s">
        <v>1521</v>
      </c>
      <c r="AH14" s="8">
        <v>5</v>
      </c>
      <c r="AI14" s="8" t="s">
        <v>237</v>
      </c>
      <c r="AJ14" s="8" t="s">
        <v>1522</v>
      </c>
      <c r="AK14" s="8" t="s">
        <v>1523</v>
      </c>
      <c r="AL14" s="8"/>
      <c r="AM14" s="8" t="s">
        <v>75</v>
      </c>
      <c r="AN14" s="8">
        <v>1704000</v>
      </c>
      <c r="AO14" s="11">
        <v>34080</v>
      </c>
      <c r="AP14" s="8"/>
      <c r="AQ14" s="8"/>
      <c r="AR14" s="8"/>
      <c r="AS14" s="18" t="s">
        <v>6567</v>
      </c>
      <c r="AT14" s="18"/>
      <c r="AU14" s="19">
        <v>34080</v>
      </c>
      <c r="AV14" s="20">
        <v>0</v>
      </c>
      <c r="AW14" s="18" t="s">
        <v>6555</v>
      </c>
      <c r="AX14" s="18"/>
      <c r="AY14" s="18"/>
    </row>
    <row r="15" spans="1:53" x14ac:dyDescent="0.25">
      <c r="A15" s="5">
        <v>13</v>
      </c>
      <c r="B15" s="6" t="s">
        <v>1305</v>
      </c>
      <c r="C15" s="6" t="s">
        <v>1524</v>
      </c>
      <c r="D15" s="6" t="s">
        <v>136</v>
      </c>
      <c r="E15" s="6" t="s">
        <v>47</v>
      </c>
      <c r="F15" s="6" t="s">
        <v>48</v>
      </c>
      <c r="G15" s="6" t="s">
        <v>1525</v>
      </c>
      <c r="H15" s="6" t="s">
        <v>1526</v>
      </c>
      <c r="I15" s="6" t="s">
        <v>1527</v>
      </c>
      <c r="J15" s="6">
        <v>2</v>
      </c>
      <c r="K15" s="6">
        <v>27.93</v>
      </c>
      <c r="L15" s="6" t="s">
        <v>1528</v>
      </c>
      <c r="M15" s="6" t="s">
        <v>1529</v>
      </c>
      <c r="N15" s="6" t="s">
        <v>164</v>
      </c>
      <c r="O15" s="6" t="s">
        <v>1530</v>
      </c>
      <c r="P15" s="6" t="s">
        <v>1531</v>
      </c>
      <c r="Q15" s="6" t="s">
        <v>65</v>
      </c>
      <c r="R15" s="6" t="s">
        <v>1532</v>
      </c>
      <c r="S15" s="6" t="s">
        <v>1533</v>
      </c>
      <c r="T15" s="6">
        <v>2187900</v>
      </c>
      <c r="U15" s="6">
        <v>2574000</v>
      </c>
      <c r="V15" s="6" t="s">
        <v>1534</v>
      </c>
      <c r="W15" s="6" t="s">
        <v>1132</v>
      </c>
      <c r="X15" s="6" t="s">
        <v>1535</v>
      </c>
      <c r="Y15" s="6" t="s">
        <v>1536</v>
      </c>
      <c r="Z15" s="6" t="s">
        <v>64</v>
      </c>
      <c r="AA15" s="6" t="s">
        <v>65</v>
      </c>
      <c r="AB15" s="6" t="s">
        <v>1537</v>
      </c>
      <c r="AC15" s="6" t="s">
        <v>151</v>
      </c>
      <c r="AD15" s="6" t="s">
        <v>1538</v>
      </c>
      <c r="AE15" s="6" t="s">
        <v>1539</v>
      </c>
      <c r="AF15" s="6" t="s">
        <v>1430</v>
      </c>
      <c r="AG15" s="6" t="s">
        <v>1540</v>
      </c>
      <c r="AH15" s="6">
        <v>5</v>
      </c>
      <c r="AI15" s="6" t="s">
        <v>237</v>
      </c>
      <c r="AJ15" s="6" t="s">
        <v>1541</v>
      </c>
      <c r="AK15" s="6" t="s">
        <v>1542</v>
      </c>
      <c r="AL15" s="6"/>
      <c r="AM15" s="6" t="s">
        <v>75</v>
      </c>
      <c r="AN15" s="6">
        <v>1930500</v>
      </c>
      <c r="AO15" s="10">
        <v>38610</v>
      </c>
      <c r="AP15" s="6"/>
      <c r="AQ15" s="6"/>
      <c r="AR15" s="6"/>
      <c r="AS15" s="18" t="s">
        <v>6568</v>
      </c>
      <c r="AT15" s="18" t="s">
        <v>6881</v>
      </c>
      <c r="AU15" s="19">
        <v>43758</v>
      </c>
      <c r="AV15" s="20">
        <v>-5148</v>
      </c>
      <c r="AW15" s="18" t="s">
        <v>6555</v>
      </c>
      <c r="AX15" s="19">
        <v>-5148</v>
      </c>
      <c r="AY15" s="20">
        <v>0</v>
      </c>
    </row>
    <row r="16" spans="1:53" x14ac:dyDescent="0.25">
      <c r="A16" s="7">
        <v>14</v>
      </c>
      <c r="B16" s="8" t="s">
        <v>1305</v>
      </c>
      <c r="C16" s="8" t="s">
        <v>1543</v>
      </c>
      <c r="D16" s="8" t="s">
        <v>241</v>
      </c>
      <c r="E16" s="8" t="s">
        <v>47</v>
      </c>
      <c r="F16" s="8" t="s">
        <v>48</v>
      </c>
      <c r="G16" s="8" t="s">
        <v>1544</v>
      </c>
      <c r="H16" s="8" t="s">
        <v>1545</v>
      </c>
      <c r="I16" s="8" t="s">
        <v>1546</v>
      </c>
      <c r="J16" s="8">
        <v>2</v>
      </c>
      <c r="K16" s="8">
        <v>26.29</v>
      </c>
      <c r="L16" s="8" t="s">
        <v>1547</v>
      </c>
      <c r="M16" s="8" t="s">
        <v>1493</v>
      </c>
      <c r="N16" s="8" t="s">
        <v>187</v>
      </c>
      <c r="O16" s="8" t="s">
        <v>1548</v>
      </c>
      <c r="P16" s="8" t="s">
        <v>1549</v>
      </c>
      <c r="Q16" s="8" t="s">
        <v>1549</v>
      </c>
      <c r="R16" s="8" t="s">
        <v>1550</v>
      </c>
      <c r="S16" s="8" t="s">
        <v>1551</v>
      </c>
      <c r="T16" s="8">
        <v>2102250</v>
      </c>
      <c r="U16" s="8">
        <v>2803000</v>
      </c>
      <c r="V16" s="8" t="s">
        <v>1552</v>
      </c>
      <c r="W16" s="8" t="s">
        <v>1078</v>
      </c>
      <c r="X16" s="8" t="s">
        <v>1553</v>
      </c>
      <c r="Y16" s="8" t="s">
        <v>1554</v>
      </c>
      <c r="Z16" s="8" t="s">
        <v>64</v>
      </c>
      <c r="AA16" s="8" t="s">
        <v>65</v>
      </c>
      <c r="AB16" s="8" t="s">
        <v>1125</v>
      </c>
      <c r="AC16" s="8" t="s">
        <v>67</v>
      </c>
      <c r="AD16" s="8" t="s">
        <v>117</v>
      </c>
      <c r="AE16" s="8" t="s">
        <v>604</v>
      </c>
      <c r="AF16" s="8" t="s">
        <v>974</v>
      </c>
      <c r="AG16" s="8" t="s">
        <v>1555</v>
      </c>
      <c r="AH16" s="8">
        <v>5</v>
      </c>
      <c r="AI16" s="8" t="s">
        <v>198</v>
      </c>
      <c r="AJ16" s="8" t="s">
        <v>1556</v>
      </c>
      <c r="AK16" s="8" t="s">
        <v>1042</v>
      </c>
      <c r="AL16" s="8"/>
      <c r="AM16" s="8" t="s">
        <v>75</v>
      </c>
      <c r="AN16" s="8">
        <v>2242400</v>
      </c>
      <c r="AO16" s="11">
        <v>44848</v>
      </c>
      <c r="AP16" s="8"/>
      <c r="AQ16" s="8"/>
      <c r="AR16" s="8"/>
      <c r="AS16" s="18" t="s">
        <v>6569</v>
      </c>
      <c r="AT16" s="18"/>
      <c r="AU16" s="19">
        <v>44848</v>
      </c>
      <c r="AV16" s="20">
        <v>0</v>
      </c>
      <c r="AW16" s="18" t="s">
        <v>6555</v>
      </c>
      <c r="AX16" s="18"/>
      <c r="AY16" s="18"/>
      <c r="BA16">
        <v>323</v>
      </c>
    </row>
    <row r="17" spans="1:53" x14ac:dyDescent="0.25">
      <c r="A17" s="5">
        <v>15</v>
      </c>
      <c r="B17" s="6" t="s">
        <v>1305</v>
      </c>
      <c r="C17" s="6" t="s">
        <v>1557</v>
      </c>
      <c r="D17" s="6" t="s">
        <v>46</v>
      </c>
      <c r="E17" s="6" t="s">
        <v>47</v>
      </c>
      <c r="F17" s="6" t="s">
        <v>48</v>
      </c>
      <c r="G17" s="6" t="s">
        <v>878</v>
      </c>
      <c r="H17" s="6" t="s">
        <v>1558</v>
      </c>
      <c r="I17" s="6" t="s">
        <v>1559</v>
      </c>
      <c r="J17" s="6">
        <v>2</v>
      </c>
      <c r="K17" s="6">
        <v>21.86</v>
      </c>
      <c r="L17" s="6" t="s">
        <v>1560</v>
      </c>
      <c r="M17" s="6" t="s">
        <v>1561</v>
      </c>
      <c r="N17" s="6" t="s">
        <v>265</v>
      </c>
      <c r="O17" s="6" t="s">
        <v>1562</v>
      </c>
      <c r="P17" s="6" t="s">
        <v>1563</v>
      </c>
      <c r="Q17" s="6" t="s">
        <v>1563</v>
      </c>
      <c r="R17" s="6" t="s">
        <v>1564</v>
      </c>
      <c r="S17" s="6" t="s">
        <v>1565</v>
      </c>
      <c r="T17" s="6">
        <v>2956850</v>
      </c>
      <c r="U17" s="6">
        <v>4549000</v>
      </c>
      <c r="V17" s="6" t="s">
        <v>1566</v>
      </c>
      <c r="W17" s="6" t="s">
        <v>1078</v>
      </c>
      <c r="X17" s="6" t="s">
        <v>1567</v>
      </c>
      <c r="Y17" s="6" t="s">
        <v>1568</v>
      </c>
      <c r="Z17" s="6" t="s">
        <v>64</v>
      </c>
      <c r="AA17" s="6" t="s">
        <v>65</v>
      </c>
      <c r="AB17" s="6" t="s">
        <v>234</v>
      </c>
      <c r="AC17" s="6" t="s">
        <v>67</v>
      </c>
      <c r="AD17" s="6" t="s">
        <v>1569</v>
      </c>
      <c r="AE17" s="6" t="s">
        <v>1127</v>
      </c>
      <c r="AF17" s="6" t="s">
        <v>1162</v>
      </c>
      <c r="AG17" s="6" t="s">
        <v>1570</v>
      </c>
      <c r="AH17" s="6">
        <v>5</v>
      </c>
      <c r="AI17" s="6" t="s">
        <v>237</v>
      </c>
      <c r="AJ17" s="6" t="s">
        <v>1571</v>
      </c>
      <c r="AK17" s="6" t="s">
        <v>1523</v>
      </c>
      <c r="AL17" s="6"/>
      <c r="AM17" s="6" t="s">
        <v>75</v>
      </c>
      <c r="AN17" s="6">
        <v>3639200</v>
      </c>
      <c r="AO17" s="10">
        <v>72784</v>
      </c>
      <c r="AP17" s="6"/>
      <c r="AQ17" s="6"/>
      <c r="AR17" s="6"/>
      <c r="AS17" s="18" t="s">
        <v>6570</v>
      </c>
      <c r="AT17" s="18"/>
      <c r="AU17" s="19">
        <v>72784</v>
      </c>
      <c r="AV17" s="20">
        <v>0</v>
      </c>
      <c r="AW17" s="18" t="s">
        <v>6555</v>
      </c>
      <c r="AX17" s="18"/>
      <c r="AY17" s="18"/>
      <c r="BA17">
        <v>145</v>
      </c>
    </row>
    <row r="18" spans="1:53" x14ac:dyDescent="0.25">
      <c r="A18" s="7">
        <v>16</v>
      </c>
      <c r="B18" s="8" t="s">
        <v>1305</v>
      </c>
      <c r="C18" s="8" t="s">
        <v>1572</v>
      </c>
      <c r="D18" s="8" t="s">
        <v>46</v>
      </c>
      <c r="E18" s="8" t="s">
        <v>47</v>
      </c>
      <c r="F18" s="8" t="s">
        <v>48</v>
      </c>
      <c r="G18" s="8" t="s">
        <v>1416</v>
      </c>
      <c r="H18" s="8" t="s">
        <v>1573</v>
      </c>
      <c r="I18" s="8" t="s">
        <v>1574</v>
      </c>
      <c r="J18" s="8">
        <v>1.75</v>
      </c>
      <c r="K18" s="8">
        <v>25.95</v>
      </c>
      <c r="L18" s="8" t="s">
        <v>1575</v>
      </c>
      <c r="M18" s="8" t="s">
        <v>1576</v>
      </c>
      <c r="N18" s="8" t="s">
        <v>54</v>
      </c>
      <c r="O18" s="8" t="s">
        <v>1577</v>
      </c>
      <c r="P18" s="8" t="s">
        <v>1578</v>
      </c>
      <c r="Q18" s="8" t="s">
        <v>1579</v>
      </c>
      <c r="R18" s="8" t="s">
        <v>1578</v>
      </c>
      <c r="S18" s="8" t="s">
        <v>1580</v>
      </c>
      <c r="T18" s="8">
        <v>2917020</v>
      </c>
      <c r="U18" s="8">
        <v>4782000</v>
      </c>
      <c r="V18" s="8" t="s">
        <v>1581</v>
      </c>
      <c r="W18" s="8" t="s">
        <v>1078</v>
      </c>
      <c r="X18" s="8" t="s">
        <v>1582</v>
      </c>
      <c r="Y18" s="8" t="s">
        <v>1583</v>
      </c>
      <c r="Z18" s="8" t="s">
        <v>64</v>
      </c>
      <c r="AA18" s="8" t="s">
        <v>65</v>
      </c>
      <c r="AB18" s="8" t="s">
        <v>1584</v>
      </c>
      <c r="AC18" s="8" t="s">
        <v>67</v>
      </c>
      <c r="AD18" s="8" t="s">
        <v>1039</v>
      </c>
      <c r="AE18" s="8" t="s">
        <v>69</v>
      </c>
      <c r="AF18" s="8" t="s">
        <v>1007</v>
      </c>
      <c r="AG18" s="8" t="s">
        <v>1585</v>
      </c>
      <c r="AH18" s="8">
        <v>5</v>
      </c>
      <c r="AI18" s="8" t="s">
        <v>65</v>
      </c>
      <c r="AJ18" s="8" t="s">
        <v>65</v>
      </c>
      <c r="AK18" s="8" t="s">
        <v>65</v>
      </c>
      <c r="AL18" s="8"/>
      <c r="AM18" s="8" t="s">
        <v>102</v>
      </c>
      <c r="AN18" s="8">
        <v>3825600</v>
      </c>
      <c r="AO18" s="11">
        <v>66948</v>
      </c>
      <c r="AP18" s="8"/>
      <c r="AQ18" s="8"/>
      <c r="AR18" s="8"/>
      <c r="AS18" s="18" t="s">
        <v>6571</v>
      </c>
      <c r="AT18" s="18"/>
      <c r="AU18" s="19">
        <v>66948</v>
      </c>
      <c r="AV18" s="20">
        <v>0</v>
      </c>
      <c r="AW18" s="18" t="s">
        <v>6555</v>
      </c>
      <c r="AX18" s="18"/>
      <c r="AY18" s="18"/>
      <c r="BA18">
        <f>SUM(BA16:BA17)</f>
        <v>468</v>
      </c>
    </row>
    <row r="19" spans="1:53" x14ac:dyDescent="0.25">
      <c r="A19" s="5">
        <v>17</v>
      </c>
      <c r="B19" s="6" t="s">
        <v>1305</v>
      </c>
      <c r="C19" s="6" t="s">
        <v>1586</v>
      </c>
      <c r="D19" s="6" t="s">
        <v>241</v>
      </c>
      <c r="E19" s="6" t="s">
        <v>47</v>
      </c>
      <c r="F19" s="6" t="s">
        <v>48</v>
      </c>
      <c r="G19" s="6" t="s">
        <v>1587</v>
      </c>
      <c r="H19" s="6" t="s">
        <v>1588</v>
      </c>
      <c r="I19" s="6" t="s">
        <v>1589</v>
      </c>
      <c r="J19" s="6">
        <v>1.75</v>
      </c>
      <c r="K19" s="6">
        <v>19.87</v>
      </c>
      <c r="L19" s="6" t="s">
        <v>1590</v>
      </c>
      <c r="M19" s="6" t="s">
        <v>1591</v>
      </c>
      <c r="N19" s="6" t="s">
        <v>54</v>
      </c>
      <c r="O19" s="6" t="s">
        <v>1592</v>
      </c>
      <c r="P19" s="6" t="s">
        <v>1593</v>
      </c>
      <c r="Q19" s="6" t="s">
        <v>1594</v>
      </c>
      <c r="R19" s="6" t="s">
        <v>1595</v>
      </c>
      <c r="S19" s="6" t="s">
        <v>1596</v>
      </c>
      <c r="T19" s="6">
        <v>3541850</v>
      </c>
      <c r="U19" s="6">
        <v>5449000</v>
      </c>
      <c r="V19" s="6" t="s">
        <v>1597</v>
      </c>
      <c r="W19" s="6" t="s">
        <v>1078</v>
      </c>
      <c r="X19" s="6" t="s">
        <v>1598</v>
      </c>
      <c r="Y19" s="6" t="s">
        <v>1599</v>
      </c>
      <c r="Z19" s="6" t="s">
        <v>64</v>
      </c>
      <c r="AA19" s="6" t="s">
        <v>65</v>
      </c>
      <c r="AB19" s="6" t="s">
        <v>586</v>
      </c>
      <c r="AC19" s="6" t="s">
        <v>67</v>
      </c>
      <c r="AD19" s="6" t="s">
        <v>1569</v>
      </c>
      <c r="AE19" s="6" t="s">
        <v>1127</v>
      </c>
      <c r="AF19" s="6" t="s">
        <v>1162</v>
      </c>
      <c r="AG19" s="6" t="s">
        <v>1600</v>
      </c>
      <c r="AH19" s="6">
        <v>5</v>
      </c>
      <c r="AI19" s="6" t="s">
        <v>237</v>
      </c>
      <c r="AJ19" s="6" t="s">
        <v>1601</v>
      </c>
      <c r="AK19" s="6" t="s">
        <v>1042</v>
      </c>
      <c r="AL19" s="6"/>
      <c r="AM19" s="6" t="s">
        <v>102</v>
      </c>
      <c r="AN19" s="6">
        <v>4359200</v>
      </c>
      <c r="AO19" s="10">
        <v>76286</v>
      </c>
      <c r="AP19" s="6"/>
      <c r="AQ19" s="6"/>
      <c r="AR19" s="6"/>
      <c r="AS19" s="18" t="s">
        <v>6572</v>
      </c>
      <c r="AT19" s="18"/>
      <c r="AU19" s="19">
        <v>76286</v>
      </c>
      <c r="AV19" s="20">
        <v>0</v>
      </c>
      <c r="AW19" s="18" t="s">
        <v>6555</v>
      </c>
      <c r="AX19" s="18"/>
      <c r="AY19" s="18"/>
    </row>
    <row r="20" spans="1:53" x14ac:dyDescent="0.25">
      <c r="A20" s="7">
        <v>18</v>
      </c>
      <c r="B20" s="8" t="s">
        <v>1305</v>
      </c>
      <c r="C20" s="8" t="s">
        <v>1602</v>
      </c>
      <c r="D20" s="8" t="s">
        <v>912</v>
      </c>
      <c r="E20" s="8" t="s">
        <v>47</v>
      </c>
      <c r="F20" s="8" t="s">
        <v>48</v>
      </c>
      <c r="G20" s="8" t="s">
        <v>1603</v>
      </c>
      <c r="H20" s="8" t="s">
        <v>1604</v>
      </c>
      <c r="I20" s="8" t="s">
        <v>1605</v>
      </c>
      <c r="J20" s="8">
        <v>1.5</v>
      </c>
      <c r="K20" s="8">
        <v>20.3</v>
      </c>
      <c r="L20" s="8" t="s">
        <v>1606</v>
      </c>
      <c r="M20" s="8" t="s">
        <v>1607</v>
      </c>
      <c r="N20" s="8" t="s">
        <v>265</v>
      </c>
      <c r="O20" s="8" t="s">
        <v>1608</v>
      </c>
      <c r="P20" s="8" t="s">
        <v>652</v>
      </c>
      <c r="Q20" s="8" t="s">
        <v>1609</v>
      </c>
      <c r="R20" s="8" t="s">
        <v>1610</v>
      </c>
      <c r="S20" s="8" t="s">
        <v>1611</v>
      </c>
      <c r="T20" s="8">
        <v>2300000</v>
      </c>
      <c r="U20" s="8">
        <v>2875000</v>
      </c>
      <c r="V20" s="8" t="s">
        <v>1612</v>
      </c>
      <c r="W20" s="8" t="s">
        <v>1132</v>
      </c>
      <c r="X20" s="8" t="s">
        <v>1613</v>
      </c>
      <c r="Y20" s="8" t="s">
        <v>1614</v>
      </c>
      <c r="Z20" s="8" t="s">
        <v>64</v>
      </c>
      <c r="AA20" s="8" t="s">
        <v>65</v>
      </c>
      <c r="AB20" s="8" t="s">
        <v>1615</v>
      </c>
      <c r="AC20" s="8" t="s">
        <v>151</v>
      </c>
      <c r="AD20" s="8" t="s">
        <v>358</v>
      </c>
      <c r="AE20" s="8" t="s">
        <v>1507</v>
      </c>
      <c r="AF20" s="8" t="s">
        <v>1616</v>
      </c>
      <c r="AG20" s="8" t="s">
        <v>1617</v>
      </c>
      <c r="AH20" s="8">
        <v>7</v>
      </c>
      <c r="AI20" s="8" t="s">
        <v>65</v>
      </c>
      <c r="AJ20" s="8" t="s">
        <v>65</v>
      </c>
      <c r="AK20" s="8" t="s">
        <v>65</v>
      </c>
      <c r="AL20" s="8"/>
      <c r="AM20" s="8" t="s">
        <v>157</v>
      </c>
      <c r="AN20" s="8">
        <v>2156250</v>
      </c>
      <c r="AO20" s="11">
        <v>32343.75</v>
      </c>
      <c r="AP20" s="8"/>
      <c r="AQ20" s="8"/>
      <c r="AR20" s="8"/>
      <c r="AS20" s="18" t="s">
        <v>6573</v>
      </c>
      <c r="AT20" s="18"/>
      <c r="AU20" s="19">
        <v>32344</v>
      </c>
      <c r="AV20" s="20">
        <v>-0.25</v>
      </c>
      <c r="AW20" s="18" t="s">
        <v>6555</v>
      </c>
      <c r="AX20" s="18"/>
      <c r="AY20" s="18"/>
    </row>
    <row r="21" spans="1:53" x14ac:dyDescent="0.25">
      <c r="A21" s="5">
        <v>19</v>
      </c>
      <c r="B21" s="6" t="s">
        <v>1305</v>
      </c>
      <c r="C21" s="6" t="s">
        <v>1618</v>
      </c>
      <c r="D21" s="6" t="s">
        <v>241</v>
      </c>
      <c r="E21" s="6" t="s">
        <v>47</v>
      </c>
      <c r="F21" s="6" t="s">
        <v>48</v>
      </c>
      <c r="G21" s="6" t="s">
        <v>833</v>
      </c>
      <c r="H21" s="6" t="s">
        <v>1619</v>
      </c>
      <c r="I21" s="6" t="s">
        <v>1620</v>
      </c>
      <c r="J21" s="6">
        <v>2.5</v>
      </c>
      <c r="K21" s="6">
        <v>25.19</v>
      </c>
      <c r="L21" s="6" t="s">
        <v>1621</v>
      </c>
      <c r="M21" s="6" t="s">
        <v>1622</v>
      </c>
      <c r="N21" s="6" t="s">
        <v>83</v>
      </c>
      <c r="O21" s="6" t="s">
        <v>1623</v>
      </c>
      <c r="P21" s="6" t="s">
        <v>1624</v>
      </c>
      <c r="Q21" s="6" t="s">
        <v>1625</v>
      </c>
      <c r="R21" s="6" t="s">
        <v>1624</v>
      </c>
      <c r="S21" s="6" t="s">
        <v>1626</v>
      </c>
      <c r="T21" s="6">
        <v>841750</v>
      </c>
      <c r="U21" s="6">
        <v>1295000</v>
      </c>
      <c r="V21" s="6" t="s">
        <v>1627</v>
      </c>
      <c r="W21" s="6" t="s">
        <v>1507</v>
      </c>
      <c r="X21" s="6" t="s">
        <v>1628</v>
      </c>
      <c r="Y21" s="6" t="s">
        <v>1629</v>
      </c>
      <c r="Z21" s="6" t="s">
        <v>64</v>
      </c>
      <c r="AA21" s="6" t="s">
        <v>1630</v>
      </c>
      <c r="AB21" s="6" t="s">
        <v>1631</v>
      </c>
      <c r="AC21" s="6" t="s">
        <v>175</v>
      </c>
      <c r="AD21" s="6" t="s">
        <v>1632</v>
      </c>
      <c r="AE21" s="6" t="s">
        <v>554</v>
      </c>
      <c r="AF21" s="6" t="s">
        <v>974</v>
      </c>
      <c r="AG21" s="6" t="s">
        <v>1633</v>
      </c>
      <c r="AH21" s="6">
        <v>7</v>
      </c>
      <c r="AI21" s="6" t="s">
        <v>100</v>
      </c>
      <c r="AJ21" s="6" t="s">
        <v>1634</v>
      </c>
      <c r="AK21" s="6" t="s">
        <v>553</v>
      </c>
      <c r="AL21" s="6"/>
      <c r="AM21" s="6" t="s">
        <v>180</v>
      </c>
      <c r="AN21" s="6">
        <v>906500</v>
      </c>
      <c r="AO21" s="10">
        <v>22662.5</v>
      </c>
      <c r="AP21" s="6"/>
      <c r="AQ21" s="6"/>
      <c r="AR21" s="6"/>
      <c r="AS21" s="18" t="s">
        <v>6574</v>
      </c>
      <c r="AT21" s="18" t="s">
        <v>6882</v>
      </c>
      <c r="AU21" s="19">
        <v>25900</v>
      </c>
      <c r="AV21" s="20">
        <v>-3237.5</v>
      </c>
      <c r="AW21" s="18" t="s">
        <v>6555</v>
      </c>
      <c r="AX21" s="19">
        <v>-3238</v>
      </c>
      <c r="AY21" s="20">
        <v>0.5</v>
      </c>
    </row>
    <row r="22" spans="1:53" x14ac:dyDescent="0.25">
      <c r="A22" s="7">
        <v>20</v>
      </c>
      <c r="B22" s="8" t="s">
        <v>1305</v>
      </c>
      <c r="C22" s="8" t="s">
        <v>1635</v>
      </c>
      <c r="D22" s="8" t="s">
        <v>77</v>
      </c>
      <c r="E22" s="8" t="s">
        <v>47</v>
      </c>
      <c r="F22" s="8" t="s">
        <v>48</v>
      </c>
      <c r="G22" s="8" t="s">
        <v>1636</v>
      </c>
      <c r="H22" s="8" t="s">
        <v>1637</v>
      </c>
      <c r="I22" s="8" t="s">
        <v>1638</v>
      </c>
      <c r="J22" s="8">
        <v>1.5</v>
      </c>
      <c r="K22" s="8">
        <v>20.87</v>
      </c>
      <c r="L22" s="8" t="s">
        <v>1639</v>
      </c>
      <c r="M22" s="8" t="s">
        <v>1640</v>
      </c>
      <c r="N22" s="8" t="s">
        <v>83</v>
      </c>
      <c r="O22" s="8" t="s">
        <v>1641</v>
      </c>
      <c r="P22" s="8" t="s">
        <v>65</v>
      </c>
      <c r="Q22" s="8" t="s">
        <v>65</v>
      </c>
      <c r="R22" s="8" t="s">
        <v>65</v>
      </c>
      <c r="S22" s="8" t="s">
        <v>1642</v>
      </c>
      <c r="T22" s="8">
        <v>3000000</v>
      </c>
      <c r="U22" s="8">
        <v>6000000</v>
      </c>
      <c r="V22" s="8" t="s">
        <v>1643</v>
      </c>
      <c r="W22" s="8" t="s">
        <v>1644</v>
      </c>
      <c r="X22" s="8" t="s">
        <v>1645</v>
      </c>
      <c r="Y22" s="8" t="s">
        <v>1646</v>
      </c>
      <c r="Z22" s="8" t="s">
        <v>93</v>
      </c>
      <c r="AA22" s="8" t="s">
        <v>1647</v>
      </c>
      <c r="AB22" s="8" t="s">
        <v>66</v>
      </c>
      <c r="AC22" s="8" t="s">
        <v>67</v>
      </c>
      <c r="AD22" s="12">
        <v>45175</v>
      </c>
      <c r="AE22" s="8" t="s">
        <v>1648</v>
      </c>
      <c r="AF22" s="8" t="s">
        <v>1162</v>
      </c>
      <c r="AG22" s="8" t="s">
        <v>1649</v>
      </c>
      <c r="AH22" s="8">
        <v>3</v>
      </c>
      <c r="AI22" s="8" t="s">
        <v>100</v>
      </c>
      <c r="AJ22" s="8" t="s">
        <v>1650</v>
      </c>
      <c r="AK22" s="8" t="s">
        <v>1231</v>
      </c>
      <c r="AL22" s="8"/>
      <c r="AM22" s="8" t="s">
        <v>157</v>
      </c>
      <c r="AN22" s="8">
        <v>5400000</v>
      </c>
      <c r="AO22" s="11">
        <v>81000</v>
      </c>
      <c r="AP22" s="8"/>
      <c r="AQ22" s="8"/>
      <c r="AR22" s="8"/>
      <c r="AS22" s="18" t="s">
        <v>6575</v>
      </c>
      <c r="AT22" s="18" t="s">
        <v>6883</v>
      </c>
      <c r="AU22" s="19">
        <v>76500</v>
      </c>
      <c r="AV22" s="20">
        <v>4500</v>
      </c>
      <c r="AW22" s="18" t="s">
        <v>6555</v>
      </c>
      <c r="AX22" s="19">
        <v>4500</v>
      </c>
      <c r="AY22" s="20">
        <v>0</v>
      </c>
    </row>
    <row r="23" spans="1:53" x14ac:dyDescent="0.25">
      <c r="A23" s="5">
        <v>21</v>
      </c>
      <c r="B23" s="6" t="s">
        <v>1305</v>
      </c>
      <c r="C23" s="6" t="s">
        <v>1651</v>
      </c>
      <c r="D23" s="6" t="s">
        <v>46</v>
      </c>
      <c r="E23" s="6" t="s">
        <v>47</v>
      </c>
      <c r="F23" s="6" t="s">
        <v>48</v>
      </c>
      <c r="G23" s="6" t="s">
        <v>629</v>
      </c>
      <c r="H23" s="6" t="s">
        <v>1652</v>
      </c>
      <c r="I23" s="6" t="s">
        <v>1653</v>
      </c>
      <c r="J23" s="6">
        <v>2.5</v>
      </c>
      <c r="K23" s="6">
        <v>20.87</v>
      </c>
      <c r="L23" s="6" t="s">
        <v>1654</v>
      </c>
      <c r="M23" s="6" t="s">
        <v>1655</v>
      </c>
      <c r="N23" s="6" t="s">
        <v>187</v>
      </c>
      <c r="O23" s="6" t="s">
        <v>1656</v>
      </c>
      <c r="P23" s="6" t="s">
        <v>1657</v>
      </c>
      <c r="Q23" s="6" t="s">
        <v>1657</v>
      </c>
      <c r="R23" s="6" t="s">
        <v>1658</v>
      </c>
      <c r="S23" s="6" t="s">
        <v>1659</v>
      </c>
      <c r="T23" s="6">
        <v>1036000</v>
      </c>
      <c r="U23" s="6">
        <v>1295000</v>
      </c>
      <c r="V23" s="6" t="s">
        <v>1660</v>
      </c>
      <c r="W23" s="6" t="s">
        <v>1252</v>
      </c>
      <c r="X23" s="6" t="s">
        <v>1661</v>
      </c>
      <c r="Y23" s="6" t="s">
        <v>1662</v>
      </c>
      <c r="Z23" s="6" t="s">
        <v>64</v>
      </c>
      <c r="AA23" s="6" t="s">
        <v>1663</v>
      </c>
      <c r="AB23" s="6" t="s">
        <v>1664</v>
      </c>
      <c r="AC23" s="6" t="s">
        <v>175</v>
      </c>
      <c r="AD23" s="6" t="s">
        <v>363</v>
      </c>
      <c r="AE23" s="6" t="s">
        <v>960</v>
      </c>
      <c r="AF23" s="6" t="s">
        <v>1162</v>
      </c>
      <c r="AG23" s="6" t="s">
        <v>1665</v>
      </c>
      <c r="AH23" s="6">
        <v>7</v>
      </c>
      <c r="AI23" s="6" t="s">
        <v>237</v>
      </c>
      <c r="AJ23" s="6" t="s">
        <v>1666</v>
      </c>
      <c r="AK23" s="6" t="s">
        <v>1185</v>
      </c>
      <c r="AL23" s="6"/>
      <c r="AM23" s="6" t="s">
        <v>180</v>
      </c>
      <c r="AN23" s="6">
        <v>906500</v>
      </c>
      <c r="AO23" s="10">
        <v>22662.5</v>
      </c>
      <c r="AP23" s="6"/>
      <c r="AQ23" s="6"/>
      <c r="AR23" s="6"/>
      <c r="AS23" s="18" t="s">
        <v>6576</v>
      </c>
      <c r="AT23" s="18" t="s">
        <v>6884</v>
      </c>
      <c r="AU23" s="19">
        <v>25900</v>
      </c>
      <c r="AV23" s="20">
        <v>-3237.5</v>
      </c>
      <c r="AW23" s="18" t="s">
        <v>6555</v>
      </c>
      <c r="AX23" s="19">
        <v>-3238</v>
      </c>
      <c r="AY23" s="20">
        <v>0.5</v>
      </c>
    </row>
    <row r="24" spans="1:53" x14ac:dyDescent="0.25">
      <c r="A24" s="7">
        <v>22</v>
      </c>
      <c r="B24" s="8" t="s">
        <v>1305</v>
      </c>
      <c r="C24" s="8" t="s">
        <v>1667</v>
      </c>
      <c r="D24" s="8" t="s">
        <v>46</v>
      </c>
      <c r="E24" s="8" t="s">
        <v>47</v>
      </c>
      <c r="F24" s="8" t="s">
        <v>48</v>
      </c>
      <c r="G24" s="8" t="s">
        <v>1668</v>
      </c>
      <c r="H24" s="8" t="s">
        <v>1669</v>
      </c>
      <c r="I24" s="8" t="s">
        <v>1670</v>
      </c>
      <c r="J24" s="8">
        <v>1.4</v>
      </c>
      <c r="K24" s="8">
        <v>18.87</v>
      </c>
      <c r="L24" s="8" t="s">
        <v>1671</v>
      </c>
      <c r="M24" s="8" t="s">
        <v>1672</v>
      </c>
      <c r="N24" s="8" t="s">
        <v>187</v>
      </c>
      <c r="O24" s="8" t="s">
        <v>1673</v>
      </c>
      <c r="P24" s="8" t="s">
        <v>65</v>
      </c>
      <c r="Q24" s="8" t="s">
        <v>1674</v>
      </c>
      <c r="R24" s="8" t="s">
        <v>65</v>
      </c>
      <c r="S24" s="8" t="s">
        <v>1675</v>
      </c>
      <c r="T24" s="8">
        <v>2377200</v>
      </c>
      <c r="U24" s="8">
        <v>3396000</v>
      </c>
      <c r="V24" s="8" t="s">
        <v>1676</v>
      </c>
      <c r="W24" s="8" t="s">
        <v>1231</v>
      </c>
      <c r="X24" s="8" t="s">
        <v>1677</v>
      </c>
      <c r="Y24" s="8" t="s">
        <v>1678</v>
      </c>
      <c r="Z24" s="8" t="s">
        <v>434</v>
      </c>
      <c r="AA24" s="8" t="s">
        <v>65</v>
      </c>
      <c r="AB24" s="8" t="s">
        <v>1679</v>
      </c>
      <c r="AC24" s="8" t="s">
        <v>531</v>
      </c>
      <c r="AD24" s="8" t="s">
        <v>1680</v>
      </c>
      <c r="AE24" s="8" t="s">
        <v>1200</v>
      </c>
      <c r="AF24" s="8" t="s">
        <v>1201</v>
      </c>
      <c r="AG24" s="8" t="s">
        <v>1681</v>
      </c>
      <c r="AH24" s="8">
        <v>5</v>
      </c>
      <c r="AI24" s="8" t="s">
        <v>100</v>
      </c>
      <c r="AJ24" s="8" t="s">
        <v>1682</v>
      </c>
      <c r="AK24" s="8" t="s">
        <v>1683</v>
      </c>
      <c r="AL24" s="8"/>
      <c r="AM24" s="8" t="s">
        <v>441</v>
      </c>
      <c r="AN24" s="8">
        <v>2886600</v>
      </c>
      <c r="AO24" s="11">
        <v>40412.400000000001</v>
      </c>
      <c r="AP24" s="8"/>
      <c r="AQ24" s="8"/>
      <c r="AR24" s="8"/>
      <c r="AS24" s="18" t="s">
        <v>6577</v>
      </c>
      <c r="AT24" s="18" t="s">
        <v>6885</v>
      </c>
      <c r="AU24" s="19">
        <v>35658</v>
      </c>
      <c r="AV24" s="20">
        <v>4754.4000000000015</v>
      </c>
      <c r="AW24" s="18" t="s">
        <v>6555</v>
      </c>
      <c r="AX24" s="19">
        <v>4754</v>
      </c>
      <c r="AY24" s="20">
        <v>0.40000000000145519</v>
      </c>
    </row>
    <row r="25" spans="1:53" x14ac:dyDescent="0.25">
      <c r="A25" s="5">
        <v>23</v>
      </c>
      <c r="B25" s="6" t="s">
        <v>1305</v>
      </c>
      <c r="C25" s="6" t="s">
        <v>1684</v>
      </c>
      <c r="D25" s="6" t="s">
        <v>46</v>
      </c>
      <c r="E25" s="6" t="s">
        <v>47</v>
      </c>
      <c r="F25" s="6" t="s">
        <v>48</v>
      </c>
      <c r="G25" s="6" t="s">
        <v>182</v>
      </c>
      <c r="H25" s="6" t="s">
        <v>1685</v>
      </c>
      <c r="I25" s="6" t="s">
        <v>1686</v>
      </c>
      <c r="J25" s="6">
        <v>2</v>
      </c>
      <c r="K25" s="6">
        <v>22.37</v>
      </c>
      <c r="L25" s="6" t="s">
        <v>1687</v>
      </c>
      <c r="M25" s="6" t="s">
        <v>1688</v>
      </c>
      <c r="N25" s="6" t="s">
        <v>265</v>
      </c>
      <c r="O25" s="6" t="s">
        <v>1689</v>
      </c>
      <c r="P25" s="6" t="s">
        <v>1690</v>
      </c>
      <c r="Q25" s="6" t="s">
        <v>65</v>
      </c>
      <c r="R25" s="6" t="s">
        <v>1691</v>
      </c>
      <c r="S25" s="6" t="s">
        <v>1692</v>
      </c>
      <c r="T25" s="6">
        <v>1310250</v>
      </c>
      <c r="U25" s="6">
        <v>1747000</v>
      </c>
      <c r="V25" s="6" t="s">
        <v>1693</v>
      </c>
      <c r="W25" s="6" t="s">
        <v>1231</v>
      </c>
      <c r="X25" s="6" t="s">
        <v>1694</v>
      </c>
      <c r="Y25" s="6" t="s">
        <v>1695</v>
      </c>
      <c r="Z25" s="6" t="s">
        <v>64</v>
      </c>
      <c r="AA25" s="6" t="s">
        <v>65</v>
      </c>
      <c r="AB25" s="6" t="s">
        <v>1696</v>
      </c>
      <c r="AC25" s="6" t="s">
        <v>531</v>
      </c>
      <c r="AD25" s="6" t="s">
        <v>1697</v>
      </c>
      <c r="AE25" s="6" t="s">
        <v>1200</v>
      </c>
      <c r="AF25" s="6" t="s">
        <v>1254</v>
      </c>
      <c r="AG25" s="6" t="s">
        <v>1698</v>
      </c>
      <c r="AH25" s="6">
        <v>3</v>
      </c>
      <c r="AI25" s="6" t="s">
        <v>237</v>
      </c>
      <c r="AJ25" s="6" t="s">
        <v>1699</v>
      </c>
      <c r="AK25" s="6" t="s">
        <v>1215</v>
      </c>
      <c r="AL25" s="6"/>
      <c r="AM25" s="6" t="s">
        <v>75</v>
      </c>
      <c r="AN25" s="6">
        <v>1484950</v>
      </c>
      <c r="AO25" s="10">
        <v>29699</v>
      </c>
      <c r="AP25" s="6"/>
      <c r="AQ25" s="6"/>
      <c r="AR25" s="6"/>
      <c r="AS25" s="18" t="s">
        <v>6578</v>
      </c>
      <c r="AT25" s="18"/>
      <c r="AU25" s="19">
        <v>29699</v>
      </c>
      <c r="AV25" s="20">
        <v>0</v>
      </c>
      <c r="AW25" s="18" t="s">
        <v>6555</v>
      </c>
      <c r="AX25" s="18"/>
      <c r="AY25" s="18"/>
    </row>
    <row r="26" spans="1:53" x14ac:dyDescent="0.25">
      <c r="A26" s="7">
        <v>24</v>
      </c>
      <c r="B26" s="8" t="s">
        <v>1305</v>
      </c>
      <c r="C26" s="8" t="s">
        <v>1700</v>
      </c>
      <c r="D26" s="8" t="s">
        <v>241</v>
      </c>
      <c r="E26" s="8" t="s">
        <v>47</v>
      </c>
      <c r="F26" s="8" t="s">
        <v>48</v>
      </c>
      <c r="G26" s="8" t="s">
        <v>1371</v>
      </c>
      <c r="H26" s="8" t="s">
        <v>1701</v>
      </c>
      <c r="I26" s="8" t="s">
        <v>1702</v>
      </c>
      <c r="J26" s="8">
        <v>2</v>
      </c>
      <c r="K26" s="8">
        <v>27.44</v>
      </c>
      <c r="L26" s="8" t="s">
        <v>1703</v>
      </c>
      <c r="M26" s="8" t="s">
        <v>1704</v>
      </c>
      <c r="N26" s="8" t="s">
        <v>164</v>
      </c>
      <c r="O26" s="8" t="s">
        <v>1705</v>
      </c>
      <c r="P26" s="8" t="s">
        <v>1706</v>
      </c>
      <c r="Q26" s="8" t="s">
        <v>65</v>
      </c>
      <c r="R26" s="8" t="s">
        <v>1707</v>
      </c>
      <c r="S26" s="8" t="s">
        <v>1708</v>
      </c>
      <c r="T26" s="8">
        <v>2927400</v>
      </c>
      <c r="U26" s="8">
        <v>4879000</v>
      </c>
      <c r="V26" s="8" t="s">
        <v>1709</v>
      </c>
      <c r="W26" s="8" t="s">
        <v>1231</v>
      </c>
      <c r="X26" s="8" t="s">
        <v>1710</v>
      </c>
      <c r="Y26" s="8" t="s">
        <v>1711</v>
      </c>
      <c r="Z26" s="8" t="s">
        <v>64</v>
      </c>
      <c r="AA26" s="8" t="s">
        <v>65</v>
      </c>
      <c r="AB26" s="8" t="s">
        <v>1712</v>
      </c>
      <c r="AC26" s="8" t="s">
        <v>531</v>
      </c>
      <c r="AD26" s="8" t="s">
        <v>1713</v>
      </c>
      <c r="AE26" s="8" t="s">
        <v>453</v>
      </c>
      <c r="AF26" s="8" t="s">
        <v>1430</v>
      </c>
      <c r="AG26" s="8" t="s">
        <v>1714</v>
      </c>
      <c r="AH26" s="8">
        <v>3</v>
      </c>
      <c r="AI26" s="8" t="s">
        <v>72</v>
      </c>
      <c r="AJ26" s="8" t="s">
        <v>1715</v>
      </c>
      <c r="AK26" s="8" t="s">
        <v>1035</v>
      </c>
      <c r="AL26" s="8"/>
      <c r="AM26" s="8" t="s">
        <v>75</v>
      </c>
      <c r="AN26" s="8">
        <v>4147150</v>
      </c>
      <c r="AO26" s="11">
        <v>82943</v>
      </c>
      <c r="AP26" s="8"/>
      <c r="AQ26" s="8"/>
      <c r="AR26" s="8"/>
      <c r="AS26" s="18" t="s">
        <v>6579</v>
      </c>
      <c r="AT26" s="18"/>
      <c r="AU26" s="19">
        <v>82943</v>
      </c>
      <c r="AV26" s="20">
        <v>0</v>
      </c>
      <c r="AW26" s="18" t="s">
        <v>6555</v>
      </c>
      <c r="AX26" s="18"/>
      <c r="AY26" s="18"/>
    </row>
    <row r="27" spans="1:53" x14ac:dyDescent="0.25">
      <c r="A27" s="5">
        <v>25</v>
      </c>
      <c r="B27" s="6" t="s">
        <v>1305</v>
      </c>
      <c r="C27" s="6" t="s">
        <v>1716</v>
      </c>
      <c r="D27" s="6" t="s">
        <v>277</v>
      </c>
      <c r="E27" s="6" t="s">
        <v>47</v>
      </c>
      <c r="F27" s="6" t="s">
        <v>48</v>
      </c>
      <c r="G27" s="6" t="s">
        <v>1717</v>
      </c>
      <c r="H27" s="6" t="s">
        <v>1718</v>
      </c>
      <c r="I27" s="6" t="s">
        <v>1719</v>
      </c>
      <c r="J27" s="6">
        <v>1.75</v>
      </c>
      <c r="K27" s="6">
        <v>22.37</v>
      </c>
      <c r="L27" s="6" t="s">
        <v>1720</v>
      </c>
      <c r="M27" s="6" t="s">
        <v>1721</v>
      </c>
      <c r="N27" s="6" t="s">
        <v>187</v>
      </c>
      <c r="O27" s="6" t="s">
        <v>1722</v>
      </c>
      <c r="P27" s="6" t="s">
        <v>1723</v>
      </c>
      <c r="Q27" s="6" t="s">
        <v>1723</v>
      </c>
      <c r="R27" s="6" t="s">
        <v>1723</v>
      </c>
      <c r="S27" s="6" t="s">
        <v>1724</v>
      </c>
      <c r="T27" s="6">
        <v>2355000</v>
      </c>
      <c r="U27" s="6">
        <v>7850000</v>
      </c>
      <c r="V27" s="6" t="s">
        <v>1725</v>
      </c>
      <c r="W27" s="6" t="s">
        <v>1726</v>
      </c>
      <c r="X27" s="6" t="s">
        <v>1727</v>
      </c>
      <c r="Y27" s="6" t="s">
        <v>1728</v>
      </c>
      <c r="Z27" s="6" t="s">
        <v>93</v>
      </c>
      <c r="AA27" s="6" t="s">
        <v>1729</v>
      </c>
      <c r="AB27" s="6" t="s">
        <v>1730</v>
      </c>
      <c r="AC27" s="6" t="s">
        <v>531</v>
      </c>
      <c r="AD27" s="13">
        <v>45175</v>
      </c>
      <c r="AE27" s="6" t="s">
        <v>1648</v>
      </c>
      <c r="AF27" s="6" t="s">
        <v>1254</v>
      </c>
      <c r="AG27" s="6" t="s">
        <v>1731</v>
      </c>
      <c r="AH27" s="6">
        <v>2</v>
      </c>
      <c r="AI27" s="6" t="s">
        <v>237</v>
      </c>
      <c r="AJ27" s="6" t="s">
        <v>1732</v>
      </c>
      <c r="AK27" s="6" t="s">
        <v>1071</v>
      </c>
      <c r="AL27" s="6"/>
      <c r="AM27" s="6" t="s">
        <v>102</v>
      </c>
      <c r="AN27" s="6">
        <v>7065000</v>
      </c>
      <c r="AO27" s="10">
        <v>123637.50000000001</v>
      </c>
      <c r="AP27" s="6"/>
      <c r="AQ27" s="6"/>
      <c r="AR27" s="6"/>
      <c r="AS27" s="18" t="s">
        <v>6580</v>
      </c>
      <c r="AT27" s="18"/>
      <c r="AU27" s="19">
        <v>123638</v>
      </c>
      <c r="AV27" s="20">
        <v>-0.49999999998544808</v>
      </c>
      <c r="AW27" s="18" t="s">
        <v>6555</v>
      </c>
      <c r="AX27" s="18"/>
      <c r="AY27" s="18"/>
    </row>
    <row r="28" spans="1:53" x14ac:dyDescent="0.25">
      <c r="A28" s="7">
        <v>26</v>
      </c>
      <c r="B28" s="8" t="s">
        <v>1305</v>
      </c>
      <c r="C28" s="8" t="s">
        <v>1752</v>
      </c>
      <c r="D28" s="8" t="s">
        <v>46</v>
      </c>
      <c r="E28" s="8" t="s">
        <v>47</v>
      </c>
      <c r="F28" s="8" t="s">
        <v>48</v>
      </c>
      <c r="G28" s="8" t="s">
        <v>182</v>
      </c>
      <c r="H28" s="8" t="s">
        <v>1753</v>
      </c>
      <c r="I28" s="8" t="s">
        <v>1754</v>
      </c>
      <c r="J28" s="8">
        <v>2</v>
      </c>
      <c r="K28" s="8">
        <v>25.79</v>
      </c>
      <c r="L28" s="8" t="s">
        <v>1755</v>
      </c>
      <c r="M28" s="8" t="s">
        <v>1756</v>
      </c>
      <c r="N28" s="8" t="s">
        <v>187</v>
      </c>
      <c r="O28" s="8" t="s">
        <v>1757</v>
      </c>
      <c r="P28" s="8" t="s">
        <v>1758</v>
      </c>
      <c r="Q28" s="8" t="s">
        <v>1758</v>
      </c>
      <c r="R28" s="8" t="s">
        <v>1759</v>
      </c>
      <c r="S28" s="8" t="s">
        <v>1760</v>
      </c>
      <c r="T28" s="8">
        <v>838600</v>
      </c>
      <c r="U28" s="8">
        <v>1198000</v>
      </c>
      <c r="V28" s="8" t="s">
        <v>1761</v>
      </c>
      <c r="W28" s="8" t="s">
        <v>1762</v>
      </c>
      <c r="X28" s="8" t="s">
        <v>1763</v>
      </c>
      <c r="Y28" s="8" t="s">
        <v>1764</v>
      </c>
      <c r="Z28" s="8" t="s">
        <v>64</v>
      </c>
      <c r="AA28" s="8" t="s">
        <v>65</v>
      </c>
      <c r="AB28" s="8" t="s">
        <v>1765</v>
      </c>
      <c r="AC28" s="8" t="s">
        <v>67</v>
      </c>
      <c r="AD28" s="8" t="s">
        <v>343</v>
      </c>
      <c r="AE28" s="8" t="s">
        <v>604</v>
      </c>
      <c r="AF28" s="8" t="s">
        <v>974</v>
      </c>
      <c r="AG28" s="8" t="s">
        <v>1766</v>
      </c>
      <c r="AH28" s="8">
        <v>5</v>
      </c>
      <c r="AI28" s="8" t="s">
        <v>237</v>
      </c>
      <c r="AJ28" s="8" t="s">
        <v>1767</v>
      </c>
      <c r="AK28" s="8" t="s">
        <v>1523</v>
      </c>
      <c r="AL28" s="8"/>
      <c r="AM28" s="8" t="s">
        <v>75</v>
      </c>
      <c r="AN28" s="8">
        <v>958400</v>
      </c>
      <c r="AO28" s="11">
        <v>19168</v>
      </c>
      <c r="AP28" s="8"/>
      <c r="AQ28" s="8"/>
      <c r="AR28" s="8"/>
      <c r="AS28" s="18" t="s">
        <v>6581</v>
      </c>
      <c r="AT28" s="18"/>
      <c r="AU28" s="19">
        <v>19168</v>
      </c>
      <c r="AV28" s="20">
        <v>0</v>
      </c>
      <c r="AW28" s="18" t="s">
        <v>6555</v>
      </c>
      <c r="AX28" s="18"/>
      <c r="AY28" s="18"/>
    </row>
    <row r="29" spans="1:53" x14ac:dyDescent="0.25">
      <c r="A29" s="5">
        <v>27</v>
      </c>
      <c r="B29" s="6" t="s">
        <v>1305</v>
      </c>
      <c r="C29" s="6" t="s">
        <v>1768</v>
      </c>
      <c r="D29" s="6" t="s">
        <v>46</v>
      </c>
      <c r="E29" s="6" t="s">
        <v>47</v>
      </c>
      <c r="F29" s="6" t="s">
        <v>48</v>
      </c>
      <c r="G29" s="6" t="s">
        <v>182</v>
      </c>
      <c r="H29" s="6" t="s">
        <v>1769</v>
      </c>
      <c r="I29" s="6" t="s">
        <v>1754</v>
      </c>
      <c r="J29" s="6">
        <v>2</v>
      </c>
      <c r="K29" s="6">
        <v>25.79</v>
      </c>
      <c r="L29" s="6" t="s">
        <v>1770</v>
      </c>
      <c r="M29" s="6" t="s">
        <v>1756</v>
      </c>
      <c r="N29" s="6" t="s">
        <v>187</v>
      </c>
      <c r="O29" s="6" t="s">
        <v>1757</v>
      </c>
      <c r="P29" s="6" t="s">
        <v>1758</v>
      </c>
      <c r="Q29" s="6" t="s">
        <v>1758</v>
      </c>
      <c r="R29" s="6" t="s">
        <v>1759</v>
      </c>
      <c r="S29" s="6" t="s">
        <v>1760</v>
      </c>
      <c r="T29" s="6">
        <v>958400</v>
      </c>
      <c r="U29" s="6">
        <v>1198000</v>
      </c>
      <c r="V29" s="6" t="s">
        <v>1771</v>
      </c>
      <c r="W29" s="6" t="s">
        <v>1215</v>
      </c>
      <c r="X29" s="6" t="s">
        <v>1772</v>
      </c>
      <c r="Y29" s="6" t="s">
        <v>1773</v>
      </c>
      <c r="Z29" s="6" t="s">
        <v>64</v>
      </c>
      <c r="AA29" s="6" t="s">
        <v>65</v>
      </c>
      <c r="AB29" s="6" t="s">
        <v>1774</v>
      </c>
      <c r="AC29" s="6" t="s">
        <v>67</v>
      </c>
      <c r="AD29" s="6" t="s">
        <v>343</v>
      </c>
      <c r="AE29" s="6" t="s">
        <v>399</v>
      </c>
      <c r="AF29" s="6" t="s">
        <v>1354</v>
      </c>
      <c r="AG29" s="6" t="s">
        <v>1775</v>
      </c>
      <c r="AH29" s="6">
        <v>5</v>
      </c>
      <c r="AI29" s="6" t="s">
        <v>237</v>
      </c>
      <c r="AJ29" s="6" t="s">
        <v>1776</v>
      </c>
      <c r="AK29" s="6" t="s">
        <v>1523</v>
      </c>
      <c r="AL29" s="6"/>
      <c r="AM29" s="6" t="s">
        <v>75</v>
      </c>
      <c r="AN29" s="6">
        <v>958400</v>
      </c>
      <c r="AO29" s="10">
        <v>19168</v>
      </c>
      <c r="AP29" s="6"/>
      <c r="AQ29" s="6"/>
      <c r="AR29" s="6"/>
      <c r="AS29" s="18" t="s">
        <v>6582</v>
      </c>
      <c r="AT29" s="18"/>
      <c r="AU29" s="19">
        <v>19168</v>
      </c>
      <c r="AV29" s="20">
        <v>0</v>
      </c>
      <c r="AW29" s="18" t="s">
        <v>6555</v>
      </c>
      <c r="AX29" s="18"/>
      <c r="AY29" s="18"/>
    </row>
    <row r="30" spans="1:53" x14ac:dyDescent="0.25">
      <c r="A30" s="7">
        <v>28</v>
      </c>
      <c r="B30" s="8" t="s">
        <v>1305</v>
      </c>
      <c r="C30" s="8" t="s">
        <v>1793</v>
      </c>
      <c r="D30" s="8" t="s">
        <v>46</v>
      </c>
      <c r="E30" s="8" t="s">
        <v>47</v>
      </c>
      <c r="F30" s="8" t="s">
        <v>48</v>
      </c>
      <c r="G30" s="8" t="s">
        <v>994</v>
      </c>
      <c r="H30" s="8" t="s">
        <v>1794</v>
      </c>
      <c r="I30" s="8" t="s">
        <v>1795</v>
      </c>
      <c r="J30" s="8">
        <v>2</v>
      </c>
      <c r="K30" s="8">
        <v>25.68</v>
      </c>
      <c r="L30" s="8" t="s">
        <v>1796</v>
      </c>
      <c r="M30" s="8" t="s">
        <v>1797</v>
      </c>
      <c r="N30" s="8" t="s">
        <v>187</v>
      </c>
      <c r="O30" s="8" t="s">
        <v>1798</v>
      </c>
      <c r="P30" s="8" t="s">
        <v>65</v>
      </c>
      <c r="Q30" s="8" t="s">
        <v>1799</v>
      </c>
      <c r="R30" s="8" t="s">
        <v>65</v>
      </c>
      <c r="S30" s="8" t="s">
        <v>1800</v>
      </c>
      <c r="T30" s="8">
        <v>1148000</v>
      </c>
      <c r="U30" s="8">
        <v>1640000</v>
      </c>
      <c r="V30" s="8" t="s">
        <v>1801</v>
      </c>
      <c r="W30" s="8" t="s">
        <v>1215</v>
      </c>
      <c r="X30" s="8" t="s">
        <v>1802</v>
      </c>
      <c r="Y30" s="8" t="s">
        <v>1803</v>
      </c>
      <c r="Z30" s="8" t="s">
        <v>64</v>
      </c>
      <c r="AA30" s="8" t="s">
        <v>65</v>
      </c>
      <c r="AB30" s="8" t="s">
        <v>214</v>
      </c>
      <c r="AC30" s="8" t="s">
        <v>67</v>
      </c>
      <c r="AD30" s="8" t="s">
        <v>379</v>
      </c>
      <c r="AE30" s="8" t="s">
        <v>604</v>
      </c>
      <c r="AF30" s="8" t="s">
        <v>974</v>
      </c>
      <c r="AG30" s="8" t="s">
        <v>1804</v>
      </c>
      <c r="AH30" s="8">
        <v>5</v>
      </c>
      <c r="AI30" s="8" t="s">
        <v>237</v>
      </c>
      <c r="AJ30" s="8" t="s">
        <v>1805</v>
      </c>
      <c r="AK30" s="8" t="s">
        <v>398</v>
      </c>
      <c r="AL30" s="8"/>
      <c r="AM30" s="8" t="s">
        <v>75</v>
      </c>
      <c r="AN30" s="8">
        <v>1312000</v>
      </c>
      <c r="AO30" s="11">
        <v>26240</v>
      </c>
      <c r="AP30" s="8"/>
      <c r="AQ30" s="8"/>
      <c r="AR30" s="8"/>
      <c r="AS30" s="18" t="s">
        <v>6583</v>
      </c>
      <c r="AT30" s="18"/>
      <c r="AU30" s="19">
        <v>26240</v>
      </c>
      <c r="AV30" s="20">
        <v>0</v>
      </c>
      <c r="AW30" s="18" t="s">
        <v>6555</v>
      </c>
      <c r="AX30" s="18"/>
      <c r="AY30" s="18"/>
    </row>
    <row r="31" spans="1:53" x14ac:dyDescent="0.25">
      <c r="A31" s="5">
        <v>29</v>
      </c>
      <c r="B31" s="6" t="s">
        <v>1305</v>
      </c>
      <c r="C31" s="6" t="s">
        <v>1806</v>
      </c>
      <c r="D31" s="6" t="s">
        <v>46</v>
      </c>
      <c r="E31" s="6" t="s">
        <v>47</v>
      </c>
      <c r="F31" s="6" t="s">
        <v>48</v>
      </c>
      <c r="G31" s="6" t="s">
        <v>1807</v>
      </c>
      <c r="H31" s="6" t="s">
        <v>1808</v>
      </c>
      <c r="I31" s="6" t="s">
        <v>1809</v>
      </c>
      <c r="J31" s="6">
        <v>2</v>
      </c>
      <c r="K31" s="6">
        <v>21.96</v>
      </c>
      <c r="L31" s="6" t="s">
        <v>1810</v>
      </c>
      <c r="M31" s="6" t="s">
        <v>1811</v>
      </c>
      <c r="N31" s="6" t="s">
        <v>901</v>
      </c>
      <c r="O31" s="6" t="s">
        <v>1812</v>
      </c>
      <c r="P31" s="6" t="s">
        <v>1813</v>
      </c>
      <c r="Q31" s="6" t="s">
        <v>1813</v>
      </c>
      <c r="R31" s="6" t="s">
        <v>1814</v>
      </c>
      <c r="S31" s="6" t="s">
        <v>1815</v>
      </c>
      <c r="T31" s="6">
        <v>1379000</v>
      </c>
      <c r="U31" s="6">
        <v>1970000</v>
      </c>
      <c r="V31" s="6" t="s">
        <v>1816</v>
      </c>
      <c r="W31" s="6" t="s">
        <v>1215</v>
      </c>
      <c r="X31" s="6" t="s">
        <v>1817</v>
      </c>
      <c r="Y31" s="6" t="s">
        <v>1818</v>
      </c>
      <c r="Z31" s="6" t="s">
        <v>64</v>
      </c>
      <c r="AA31" s="6" t="s">
        <v>65</v>
      </c>
      <c r="AB31" s="6" t="s">
        <v>342</v>
      </c>
      <c r="AC31" s="6" t="s">
        <v>67</v>
      </c>
      <c r="AD31" s="6" t="s">
        <v>1819</v>
      </c>
      <c r="AE31" s="6" t="s">
        <v>1127</v>
      </c>
      <c r="AF31" s="6" t="s">
        <v>1162</v>
      </c>
      <c r="AG31" s="6" t="s">
        <v>1820</v>
      </c>
      <c r="AH31" s="6">
        <v>5</v>
      </c>
      <c r="AI31" s="6" t="s">
        <v>511</v>
      </c>
      <c r="AJ31" s="6" t="s">
        <v>1821</v>
      </c>
      <c r="AK31" s="6" t="s">
        <v>1132</v>
      </c>
      <c r="AL31" s="6"/>
      <c r="AM31" s="6" t="s">
        <v>75</v>
      </c>
      <c r="AN31" s="6">
        <v>1576000</v>
      </c>
      <c r="AO31" s="10">
        <v>31520</v>
      </c>
      <c r="AP31" s="6"/>
      <c r="AQ31" s="6"/>
      <c r="AR31" s="6"/>
      <c r="AS31" s="18" t="s">
        <v>6584</v>
      </c>
      <c r="AT31" s="18"/>
      <c r="AU31" s="19">
        <v>31520</v>
      </c>
      <c r="AV31" s="20">
        <v>0</v>
      </c>
      <c r="AW31" s="18" t="s">
        <v>6555</v>
      </c>
      <c r="AX31" s="18"/>
      <c r="AY31" s="18"/>
    </row>
    <row r="32" spans="1:53" x14ac:dyDescent="0.25">
      <c r="A32" s="7">
        <v>30</v>
      </c>
      <c r="B32" s="8" t="s">
        <v>1305</v>
      </c>
      <c r="C32" s="8" t="s">
        <v>1822</v>
      </c>
      <c r="D32" s="8" t="s">
        <v>46</v>
      </c>
      <c r="E32" s="8" t="s">
        <v>47</v>
      </c>
      <c r="F32" s="8" t="s">
        <v>48</v>
      </c>
      <c r="G32" s="8" t="s">
        <v>1823</v>
      </c>
      <c r="H32" s="8" t="s">
        <v>1824</v>
      </c>
      <c r="I32" s="8" t="s">
        <v>1825</v>
      </c>
      <c r="J32" s="8">
        <v>1.75</v>
      </c>
      <c r="K32" s="8">
        <v>22.02</v>
      </c>
      <c r="L32" s="8" t="s">
        <v>1826</v>
      </c>
      <c r="M32" s="8" t="s">
        <v>1827</v>
      </c>
      <c r="N32" s="8" t="s">
        <v>83</v>
      </c>
      <c r="O32" s="8" t="s">
        <v>1828</v>
      </c>
      <c r="P32" s="8" t="s">
        <v>65</v>
      </c>
      <c r="Q32" s="8" t="s">
        <v>1829</v>
      </c>
      <c r="R32" s="8" t="s">
        <v>1830</v>
      </c>
      <c r="S32" s="8" t="s">
        <v>1831</v>
      </c>
      <c r="T32" s="8">
        <v>10118500</v>
      </c>
      <c r="U32" s="8">
        <v>14455000</v>
      </c>
      <c r="V32" s="8" t="s">
        <v>1832</v>
      </c>
      <c r="W32" s="8" t="s">
        <v>1215</v>
      </c>
      <c r="X32" s="8" t="s">
        <v>1833</v>
      </c>
      <c r="Y32" s="8" t="s">
        <v>1834</v>
      </c>
      <c r="Z32" s="8" t="s">
        <v>64</v>
      </c>
      <c r="AA32" s="8" t="s">
        <v>65</v>
      </c>
      <c r="AB32" s="8" t="s">
        <v>1835</v>
      </c>
      <c r="AC32" s="8" t="s">
        <v>67</v>
      </c>
      <c r="AD32" s="8" t="s">
        <v>1132</v>
      </c>
      <c r="AE32" s="8" t="s">
        <v>1127</v>
      </c>
      <c r="AF32" s="8" t="s">
        <v>1162</v>
      </c>
      <c r="AG32" s="8" t="s">
        <v>1836</v>
      </c>
      <c r="AH32" s="8">
        <v>5</v>
      </c>
      <c r="AI32" s="8" t="s">
        <v>65</v>
      </c>
      <c r="AJ32" s="8" t="s">
        <v>65</v>
      </c>
      <c r="AK32" s="8" t="s">
        <v>65</v>
      </c>
      <c r="AL32" s="8"/>
      <c r="AM32" s="8" t="s">
        <v>102</v>
      </c>
      <c r="AN32" s="8">
        <v>11564000</v>
      </c>
      <c r="AO32" s="11">
        <v>202370.00000000003</v>
      </c>
      <c r="AP32" s="8"/>
      <c r="AQ32" s="8"/>
      <c r="AR32" s="8"/>
      <c r="AS32" s="18" t="s">
        <v>6585</v>
      </c>
      <c r="AT32" s="18"/>
      <c r="AU32" s="19">
        <v>202370</v>
      </c>
      <c r="AV32" s="20">
        <v>0</v>
      </c>
      <c r="AW32" s="18" t="s">
        <v>6555</v>
      </c>
      <c r="AX32" s="18"/>
      <c r="AY32" s="18"/>
    </row>
    <row r="33" spans="1:51" x14ac:dyDescent="0.25">
      <c r="A33" s="5">
        <v>31</v>
      </c>
      <c r="B33" s="6" t="s">
        <v>1305</v>
      </c>
      <c r="C33" s="6" t="s">
        <v>1837</v>
      </c>
      <c r="D33" s="6" t="s">
        <v>46</v>
      </c>
      <c r="E33" s="6" t="s">
        <v>47</v>
      </c>
      <c r="F33" s="6" t="s">
        <v>48</v>
      </c>
      <c r="G33" s="6" t="s">
        <v>1838</v>
      </c>
      <c r="H33" s="6" t="s">
        <v>1839</v>
      </c>
      <c r="I33" s="6" t="s">
        <v>1840</v>
      </c>
      <c r="J33" s="6">
        <v>2</v>
      </c>
      <c r="K33" s="6">
        <v>22.36</v>
      </c>
      <c r="L33" s="6" t="s">
        <v>1841</v>
      </c>
      <c r="M33" s="6" t="s">
        <v>1842</v>
      </c>
      <c r="N33" s="6" t="s">
        <v>1843</v>
      </c>
      <c r="O33" s="6" t="s">
        <v>1844</v>
      </c>
      <c r="P33" s="6" t="s">
        <v>1845</v>
      </c>
      <c r="Q33" s="6" t="s">
        <v>1845</v>
      </c>
      <c r="R33" s="6" t="s">
        <v>1845</v>
      </c>
      <c r="S33" s="6" t="s">
        <v>1846</v>
      </c>
      <c r="T33" s="6">
        <v>1269800</v>
      </c>
      <c r="U33" s="6">
        <v>1814000</v>
      </c>
      <c r="V33" s="6" t="s">
        <v>1847</v>
      </c>
      <c r="W33" s="6" t="s">
        <v>1195</v>
      </c>
      <c r="X33" s="6" t="s">
        <v>1848</v>
      </c>
      <c r="Y33" s="6" t="s">
        <v>1849</v>
      </c>
      <c r="Z33" s="6" t="s">
        <v>64</v>
      </c>
      <c r="AA33" s="6" t="s">
        <v>65</v>
      </c>
      <c r="AB33" s="6" t="s">
        <v>1850</v>
      </c>
      <c r="AC33" s="6" t="s">
        <v>531</v>
      </c>
      <c r="AD33" s="6" t="s">
        <v>1851</v>
      </c>
      <c r="AE33" s="6" t="s">
        <v>1200</v>
      </c>
      <c r="AF33" s="6" t="s">
        <v>1201</v>
      </c>
      <c r="AG33" s="6" t="s">
        <v>1852</v>
      </c>
      <c r="AH33" s="6">
        <v>5</v>
      </c>
      <c r="AI33" s="6" t="s">
        <v>198</v>
      </c>
      <c r="AJ33" s="6" t="s">
        <v>1853</v>
      </c>
      <c r="AK33" s="6" t="s">
        <v>1854</v>
      </c>
      <c r="AL33" s="6"/>
      <c r="AM33" s="6" t="s">
        <v>75</v>
      </c>
      <c r="AN33" s="6">
        <v>1541900</v>
      </c>
      <c r="AO33" s="10">
        <v>30838</v>
      </c>
      <c r="AP33" s="6"/>
      <c r="AQ33" s="6"/>
      <c r="AR33" s="6"/>
      <c r="AS33" s="18" t="s">
        <v>6586</v>
      </c>
      <c r="AT33" s="18" t="s">
        <v>6886</v>
      </c>
      <c r="AU33" s="19">
        <v>27210</v>
      </c>
      <c r="AV33" s="20">
        <v>3628</v>
      </c>
      <c r="AW33" s="18" t="s">
        <v>6555</v>
      </c>
      <c r="AX33" s="19">
        <v>3628</v>
      </c>
      <c r="AY33" s="20">
        <v>0</v>
      </c>
    </row>
    <row r="34" spans="1:51" x14ac:dyDescent="0.25">
      <c r="A34" s="7">
        <v>32</v>
      </c>
      <c r="B34" s="8" t="s">
        <v>1305</v>
      </c>
      <c r="C34" s="8" t="s">
        <v>1855</v>
      </c>
      <c r="D34" s="8" t="s">
        <v>241</v>
      </c>
      <c r="E34" s="8" t="s">
        <v>47</v>
      </c>
      <c r="F34" s="8" t="s">
        <v>48</v>
      </c>
      <c r="G34" s="8" t="s">
        <v>182</v>
      </c>
      <c r="H34" s="8" t="s">
        <v>1856</v>
      </c>
      <c r="I34" s="8" t="s">
        <v>1857</v>
      </c>
      <c r="J34" s="8">
        <v>2</v>
      </c>
      <c r="K34" s="8">
        <v>22.86</v>
      </c>
      <c r="L34" s="8" t="s">
        <v>1858</v>
      </c>
      <c r="M34" s="8" t="s">
        <v>1859</v>
      </c>
      <c r="N34" s="8" t="s">
        <v>164</v>
      </c>
      <c r="O34" s="8" t="s">
        <v>1860</v>
      </c>
      <c r="P34" s="8" t="s">
        <v>65</v>
      </c>
      <c r="Q34" s="8" t="s">
        <v>1861</v>
      </c>
      <c r="R34" s="8" t="s">
        <v>65</v>
      </c>
      <c r="S34" s="8" t="s">
        <v>1862</v>
      </c>
      <c r="T34" s="8">
        <v>1131000</v>
      </c>
      <c r="U34" s="8">
        <v>1508000</v>
      </c>
      <c r="V34" s="8" t="s">
        <v>1863</v>
      </c>
      <c r="W34" s="8" t="s">
        <v>1195</v>
      </c>
      <c r="X34" s="8" t="s">
        <v>1864</v>
      </c>
      <c r="Y34" s="8" t="s">
        <v>1865</v>
      </c>
      <c r="Z34" s="8" t="s">
        <v>64</v>
      </c>
      <c r="AA34" s="8" t="s">
        <v>65</v>
      </c>
      <c r="AB34" s="8" t="s">
        <v>777</v>
      </c>
      <c r="AC34" s="8" t="s">
        <v>531</v>
      </c>
      <c r="AD34" s="8" t="s">
        <v>1866</v>
      </c>
      <c r="AE34" s="8" t="s">
        <v>1200</v>
      </c>
      <c r="AF34" s="8" t="s">
        <v>1867</v>
      </c>
      <c r="AG34" s="8" t="s">
        <v>1868</v>
      </c>
      <c r="AH34" s="8">
        <v>7</v>
      </c>
      <c r="AI34" s="8" t="s">
        <v>198</v>
      </c>
      <c r="AJ34" s="8" t="s">
        <v>1869</v>
      </c>
      <c r="AK34" s="8" t="s">
        <v>1090</v>
      </c>
      <c r="AL34" s="8"/>
      <c r="AM34" s="8" t="s">
        <v>75</v>
      </c>
      <c r="AN34" s="8">
        <v>1281800</v>
      </c>
      <c r="AO34" s="11">
        <v>25636</v>
      </c>
      <c r="AP34" s="8"/>
      <c r="AQ34" s="8"/>
      <c r="AR34" s="8"/>
      <c r="AS34" s="18" t="s">
        <v>6587</v>
      </c>
      <c r="AT34" s="18"/>
      <c r="AU34" s="19">
        <v>25636</v>
      </c>
      <c r="AV34" s="20">
        <v>0</v>
      </c>
      <c r="AW34" s="18" t="s">
        <v>6555</v>
      </c>
      <c r="AX34" s="18"/>
      <c r="AY34" s="18"/>
    </row>
    <row r="35" spans="1:51" x14ac:dyDescent="0.25">
      <c r="A35" s="5">
        <v>33</v>
      </c>
      <c r="B35" s="6" t="s">
        <v>1305</v>
      </c>
      <c r="C35" s="6" t="s">
        <v>1870</v>
      </c>
      <c r="D35" s="6" t="s">
        <v>77</v>
      </c>
      <c r="E35" s="6" t="s">
        <v>47</v>
      </c>
      <c r="F35" s="6" t="s">
        <v>48</v>
      </c>
      <c r="G35" s="6" t="s">
        <v>78</v>
      </c>
      <c r="H35" s="6" t="s">
        <v>1871</v>
      </c>
      <c r="I35" s="6" t="s">
        <v>1872</v>
      </c>
      <c r="J35" s="6">
        <v>1.5</v>
      </c>
      <c r="K35" s="6">
        <v>21.37</v>
      </c>
      <c r="L35" s="6" t="s">
        <v>1873</v>
      </c>
      <c r="M35" s="6" t="s">
        <v>1874</v>
      </c>
      <c r="N35" s="6" t="s">
        <v>83</v>
      </c>
      <c r="O35" s="6" t="s">
        <v>1875</v>
      </c>
      <c r="P35" s="6" t="s">
        <v>1876</v>
      </c>
      <c r="Q35" s="6" t="s">
        <v>1876</v>
      </c>
      <c r="R35" s="6" t="s">
        <v>167</v>
      </c>
      <c r="S35" s="6" t="s">
        <v>1877</v>
      </c>
      <c r="T35" s="6">
        <v>2415000</v>
      </c>
      <c r="U35" s="6">
        <v>3450000</v>
      </c>
      <c r="V35" s="6" t="s">
        <v>1878</v>
      </c>
      <c r="W35" s="6" t="s">
        <v>1195</v>
      </c>
      <c r="X35" s="6" t="s">
        <v>1879</v>
      </c>
      <c r="Y35" s="6" t="s">
        <v>1880</v>
      </c>
      <c r="Z35" s="6" t="s">
        <v>93</v>
      </c>
      <c r="AA35" s="6" t="s">
        <v>1881</v>
      </c>
      <c r="AB35" s="6" t="s">
        <v>378</v>
      </c>
      <c r="AC35" s="6" t="s">
        <v>552</v>
      </c>
      <c r="AD35" s="6" t="s">
        <v>1020</v>
      </c>
      <c r="AE35" s="6" t="s">
        <v>1200</v>
      </c>
      <c r="AF35" s="6" t="s">
        <v>1254</v>
      </c>
      <c r="AG35" s="6" t="s">
        <v>1882</v>
      </c>
      <c r="AH35" s="6">
        <v>3</v>
      </c>
      <c r="AI35" s="6" t="s">
        <v>100</v>
      </c>
      <c r="AJ35" s="6" t="s">
        <v>1883</v>
      </c>
      <c r="AK35" s="6" t="s">
        <v>1035</v>
      </c>
      <c r="AL35" s="6"/>
      <c r="AM35" s="6" t="s">
        <v>157</v>
      </c>
      <c r="AN35" s="6">
        <v>2932500</v>
      </c>
      <c r="AO35" s="10">
        <v>43987.5</v>
      </c>
      <c r="AP35" s="6"/>
      <c r="AQ35" s="6"/>
      <c r="AR35" s="6"/>
      <c r="AS35" s="18" t="s">
        <v>6588</v>
      </c>
      <c r="AT35" s="18"/>
      <c r="AU35" s="19">
        <v>43988</v>
      </c>
      <c r="AV35" s="20">
        <v>-0.5</v>
      </c>
      <c r="AW35" s="18" t="s">
        <v>6555</v>
      </c>
      <c r="AX35" s="18"/>
      <c r="AY35" s="18"/>
    </row>
    <row r="36" spans="1:51" x14ac:dyDescent="0.25">
      <c r="A36" s="7">
        <v>34</v>
      </c>
      <c r="B36" s="8" t="s">
        <v>1305</v>
      </c>
      <c r="C36" s="8" t="s">
        <v>1884</v>
      </c>
      <c r="D36" s="8" t="s">
        <v>46</v>
      </c>
      <c r="E36" s="8" t="s">
        <v>47</v>
      </c>
      <c r="F36" s="8" t="s">
        <v>48</v>
      </c>
      <c r="G36" s="8" t="s">
        <v>182</v>
      </c>
      <c r="H36" s="8" t="s">
        <v>1885</v>
      </c>
      <c r="I36" s="8" t="s">
        <v>1886</v>
      </c>
      <c r="J36" s="8">
        <v>1.5</v>
      </c>
      <c r="K36" s="8">
        <v>25.19</v>
      </c>
      <c r="L36" s="8" t="s">
        <v>1887</v>
      </c>
      <c r="M36" s="8" t="s">
        <v>1888</v>
      </c>
      <c r="N36" s="8" t="s">
        <v>187</v>
      </c>
      <c r="O36" s="8" t="s">
        <v>1889</v>
      </c>
      <c r="P36" s="8" t="s">
        <v>65</v>
      </c>
      <c r="Q36" s="8" t="s">
        <v>1890</v>
      </c>
      <c r="R36" s="8" t="s">
        <v>65</v>
      </c>
      <c r="S36" s="8" t="s">
        <v>1891</v>
      </c>
      <c r="T36" s="8">
        <v>1519100</v>
      </c>
      <c r="U36" s="8">
        <v>2762000</v>
      </c>
      <c r="V36" s="8" t="s">
        <v>1892</v>
      </c>
      <c r="W36" s="8" t="s">
        <v>1195</v>
      </c>
      <c r="X36" s="8" t="s">
        <v>1893</v>
      </c>
      <c r="Y36" s="8" t="s">
        <v>1894</v>
      </c>
      <c r="Z36" s="8" t="s">
        <v>64</v>
      </c>
      <c r="AA36" s="8" t="s">
        <v>65</v>
      </c>
      <c r="AB36" s="8" t="s">
        <v>1520</v>
      </c>
      <c r="AC36" s="8" t="s">
        <v>531</v>
      </c>
      <c r="AD36" s="8" t="s">
        <v>1895</v>
      </c>
      <c r="AE36" s="8" t="s">
        <v>453</v>
      </c>
      <c r="AF36" s="8" t="s">
        <v>1430</v>
      </c>
      <c r="AG36" s="8" t="s">
        <v>1896</v>
      </c>
      <c r="AH36" s="8">
        <v>3</v>
      </c>
      <c r="AI36" s="8" t="s">
        <v>100</v>
      </c>
      <c r="AJ36" s="8" t="s">
        <v>1897</v>
      </c>
      <c r="AK36" s="8" t="s">
        <v>1090</v>
      </c>
      <c r="AL36" s="8"/>
      <c r="AM36" s="8" t="s">
        <v>157</v>
      </c>
      <c r="AN36" s="8">
        <v>2347700</v>
      </c>
      <c r="AO36" s="11">
        <v>35215.5</v>
      </c>
      <c r="AP36" s="8"/>
      <c r="AQ36" s="8"/>
      <c r="AR36" s="8"/>
      <c r="AS36" s="18" t="s">
        <v>6589</v>
      </c>
      <c r="AT36" s="18"/>
      <c r="AU36" s="19">
        <v>35216</v>
      </c>
      <c r="AV36" s="20">
        <v>-0.5</v>
      </c>
      <c r="AW36" s="18" t="s">
        <v>6555</v>
      </c>
      <c r="AX36" s="18"/>
      <c r="AY36" s="18"/>
    </row>
    <row r="37" spans="1:51" x14ac:dyDescent="0.25">
      <c r="A37" s="5">
        <v>35</v>
      </c>
      <c r="B37" s="6" t="s">
        <v>1305</v>
      </c>
      <c r="C37" s="6" t="s">
        <v>1898</v>
      </c>
      <c r="D37" s="6" t="s">
        <v>277</v>
      </c>
      <c r="E37" s="6" t="s">
        <v>47</v>
      </c>
      <c r="F37" s="6" t="s">
        <v>48</v>
      </c>
      <c r="G37" s="6" t="s">
        <v>78</v>
      </c>
      <c r="H37" s="6" t="s">
        <v>1899</v>
      </c>
      <c r="I37" s="6" t="s">
        <v>1900</v>
      </c>
      <c r="J37" s="6">
        <v>1.5</v>
      </c>
      <c r="K37" s="6">
        <v>26.19</v>
      </c>
      <c r="L37" s="6" t="s">
        <v>1901</v>
      </c>
      <c r="M37" s="6" t="s">
        <v>1902</v>
      </c>
      <c r="N37" s="6" t="s">
        <v>83</v>
      </c>
      <c r="O37" s="6" t="s">
        <v>1903</v>
      </c>
      <c r="P37" s="6" t="s">
        <v>65</v>
      </c>
      <c r="Q37" s="6" t="s">
        <v>1904</v>
      </c>
      <c r="R37" s="6" t="s">
        <v>65</v>
      </c>
      <c r="S37" s="6" t="s">
        <v>1905</v>
      </c>
      <c r="T37" s="6">
        <v>1082200</v>
      </c>
      <c r="U37" s="6">
        <v>1546000</v>
      </c>
      <c r="V37" s="6" t="s">
        <v>1906</v>
      </c>
      <c r="W37" s="6" t="s">
        <v>1195</v>
      </c>
      <c r="X37" s="6" t="s">
        <v>1907</v>
      </c>
      <c r="Y37" s="6" t="s">
        <v>1908</v>
      </c>
      <c r="Z37" s="6" t="s">
        <v>93</v>
      </c>
      <c r="AA37" s="6" t="s">
        <v>1909</v>
      </c>
      <c r="AB37" s="6" t="s">
        <v>777</v>
      </c>
      <c r="AC37" s="6" t="s">
        <v>531</v>
      </c>
      <c r="AD37" s="6" t="s">
        <v>774</v>
      </c>
      <c r="AE37" s="6" t="s">
        <v>453</v>
      </c>
      <c r="AF37" s="6" t="s">
        <v>1430</v>
      </c>
      <c r="AG37" s="6" t="s">
        <v>1910</v>
      </c>
      <c r="AH37" s="6">
        <v>3</v>
      </c>
      <c r="AI37" s="6" t="s">
        <v>72</v>
      </c>
      <c r="AJ37" s="6" t="s">
        <v>1911</v>
      </c>
      <c r="AK37" s="6" t="s">
        <v>1090</v>
      </c>
      <c r="AL37" s="6"/>
      <c r="AM37" s="6" t="s">
        <v>157</v>
      </c>
      <c r="AN37" s="6">
        <v>1314100</v>
      </c>
      <c r="AO37" s="10">
        <v>19711.5</v>
      </c>
      <c r="AP37" s="6"/>
      <c r="AQ37" s="6"/>
      <c r="AR37" s="6"/>
      <c r="AS37" s="18" t="s">
        <v>6590</v>
      </c>
      <c r="AT37" s="18"/>
      <c r="AU37" s="19">
        <v>19712</v>
      </c>
      <c r="AV37" s="20">
        <v>-0.5</v>
      </c>
      <c r="AW37" s="18" t="s">
        <v>6555</v>
      </c>
      <c r="AX37" s="18"/>
      <c r="AY37" s="18"/>
    </row>
    <row r="38" spans="1:51" x14ac:dyDescent="0.25">
      <c r="A38" s="7">
        <v>36</v>
      </c>
      <c r="B38" s="8" t="s">
        <v>1305</v>
      </c>
      <c r="C38" s="8" t="s">
        <v>1912</v>
      </c>
      <c r="D38" s="8" t="s">
        <v>46</v>
      </c>
      <c r="E38" s="8" t="s">
        <v>47</v>
      </c>
      <c r="F38" s="8" t="s">
        <v>48</v>
      </c>
      <c r="G38" s="8" t="s">
        <v>1913</v>
      </c>
      <c r="H38" s="8" t="s">
        <v>1914</v>
      </c>
      <c r="I38" s="8" t="s">
        <v>1915</v>
      </c>
      <c r="J38" s="8">
        <v>2</v>
      </c>
      <c r="K38" s="8">
        <v>26.69</v>
      </c>
      <c r="L38" s="8" t="s">
        <v>1916</v>
      </c>
      <c r="M38" s="8" t="s">
        <v>1917</v>
      </c>
      <c r="N38" s="8" t="s">
        <v>265</v>
      </c>
      <c r="O38" s="8" t="s">
        <v>1918</v>
      </c>
      <c r="P38" s="8" t="s">
        <v>1919</v>
      </c>
      <c r="Q38" s="8" t="s">
        <v>65</v>
      </c>
      <c r="R38" s="8" t="s">
        <v>1920</v>
      </c>
      <c r="S38" s="8" t="s">
        <v>1921</v>
      </c>
      <c r="T38" s="8">
        <v>1820000</v>
      </c>
      <c r="U38" s="8">
        <v>2600000</v>
      </c>
      <c r="V38" s="8" t="s">
        <v>1922</v>
      </c>
      <c r="W38" s="8" t="s">
        <v>1195</v>
      </c>
      <c r="X38" s="8" t="s">
        <v>1923</v>
      </c>
      <c r="Y38" s="8" t="s">
        <v>1924</v>
      </c>
      <c r="Z38" s="8" t="s">
        <v>64</v>
      </c>
      <c r="AA38" s="8" t="s">
        <v>65</v>
      </c>
      <c r="AB38" s="8" t="s">
        <v>1925</v>
      </c>
      <c r="AC38" s="8" t="s">
        <v>531</v>
      </c>
      <c r="AD38" s="8" t="s">
        <v>1926</v>
      </c>
      <c r="AE38" s="8" t="s">
        <v>453</v>
      </c>
      <c r="AF38" s="8" t="s">
        <v>1430</v>
      </c>
      <c r="AG38" s="8" t="s">
        <v>1927</v>
      </c>
      <c r="AH38" s="8">
        <v>3</v>
      </c>
      <c r="AI38" s="8" t="s">
        <v>100</v>
      </c>
      <c r="AJ38" s="8" t="s">
        <v>1928</v>
      </c>
      <c r="AK38" s="8" t="s">
        <v>1090</v>
      </c>
      <c r="AL38" s="8"/>
      <c r="AM38" s="8" t="s">
        <v>75</v>
      </c>
      <c r="AN38" s="8">
        <v>2210000</v>
      </c>
      <c r="AO38" s="11">
        <v>44200</v>
      </c>
      <c r="AP38" s="8"/>
      <c r="AQ38" s="8"/>
      <c r="AR38" s="8"/>
      <c r="AS38" s="18" t="s">
        <v>6591</v>
      </c>
      <c r="AT38" s="18"/>
      <c r="AU38" s="19">
        <v>44200</v>
      </c>
      <c r="AV38" s="20">
        <v>0</v>
      </c>
      <c r="AW38" s="18" t="s">
        <v>6555</v>
      </c>
      <c r="AX38" s="18"/>
      <c r="AY38" s="18"/>
    </row>
    <row r="39" spans="1:51" x14ac:dyDescent="0.25">
      <c r="A39" s="5">
        <v>37</v>
      </c>
      <c r="B39" s="6" t="s">
        <v>1305</v>
      </c>
      <c r="C39" s="6" t="s">
        <v>1929</v>
      </c>
      <c r="D39" s="6" t="s">
        <v>77</v>
      </c>
      <c r="E39" s="6" t="s">
        <v>47</v>
      </c>
      <c r="F39" s="6" t="s">
        <v>48</v>
      </c>
      <c r="G39" s="6" t="s">
        <v>1930</v>
      </c>
      <c r="H39" s="6" t="s">
        <v>1931</v>
      </c>
      <c r="I39" s="6" t="s">
        <v>1932</v>
      </c>
      <c r="J39" s="6">
        <v>1.75</v>
      </c>
      <c r="K39" s="6">
        <v>22.12</v>
      </c>
      <c r="L39" s="6" t="s">
        <v>1933</v>
      </c>
      <c r="M39" s="6" t="s">
        <v>1934</v>
      </c>
      <c r="N39" s="6" t="s">
        <v>187</v>
      </c>
      <c r="O39" s="6" t="s">
        <v>1935</v>
      </c>
      <c r="P39" s="6" t="s">
        <v>1936</v>
      </c>
      <c r="Q39" s="6" t="s">
        <v>1936</v>
      </c>
      <c r="R39" s="6" t="s">
        <v>1936</v>
      </c>
      <c r="S39" s="6" t="s">
        <v>1937</v>
      </c>
      <c r="T39" s="6">
        <v>1261000</v>
      </c>
      <c r="U39" s="6">
        <v>1940000</v>
      </c>
      <c r="V39" s="6" t="s">
        <v>1938</v>
      </c>
      <c r="W39" s="6" t="s">
        <v>1939</v>
      </c>
      <c r="X39" s="6" t="s">
        <v>1940</v>
      </c>
      <c r="Y39" s="6" t="s">
        <v>1941</v>
      </c>
      <c r="Z39" s="6" t="s">
        <v>64</v>
      </c>
      <c r="AA39" s="6" t="s">
        <v>65</v>
      </c>
      <c r="AB39" s="6" t="s">
        <v>1942</v>
      </c>
      <c r="AC39" s="6" t="s">
        <v>436</v>
      </c>
      <c r="AD39" s="13">
        <v>45177</v>
      </c>
      <c r="AE39" s="6" t="s">
        <v>1648</v>
      </c>
      <c r="AF39" s="6" t="s">
        <v>1485</v>
      </c>
      <c r="AG39" s="6" t="s">
        <v>1943</v>
      </c>
      <c r="AH39" s="6">
        <v>5</v>
      </c>
      <c r="AI39" s="6" t="s">
        <v>237</v>
      </c>
      <c r="AJ39" s="6" t="s">
        <v>1944</v>
      </c>
      <c r="AK39" s="6" t="s">
        <v>1945</v>
      </c>
      <c r="AL39" s="6"/>
      <c r="AM39" s="6" t="s">
        <v>102</v>
      </c>
      <c r="AN39" s="6">
        <v>1746000</v>
      </c>
      <c r="AO39" s="10">
        <v>30555.000000000004</v>
      </c>
      <c r="AP39" s="6"/>
      <c r="AQ39" s="6"/>
      <c r="AR39" s="6"/>
      <c r="AS39" s="18" t="s">
        <v>6592</v>
      </c>
      <c r="AT39" s="18" t="s">
        <v>6887</v>
      </c>
      <c r="AU39" s="19">
        <v>27160</v>
      </c>
      <c r="AV39" s="20">
        <v>3395.0000000000036</v>
      </c>
      <c r="AW39" s="18" t="s">
        <v>6555</v>
      </c>
      <c r="AX39" s="19">
        <v>3395</v>
      </c>
      <c r="AY39" s="20">
        <v>3.637978807091713E-12</v>
      </c>
    </row>
    <row r="40" spans="1:51" x14ac:dyDescent="0.25">
      <c r="A40" s="7">
        <v>38</v>
      </c>
      <c r="B40" s="8" t="s">
        <v>1305</v>
      </c>
      <c r="C40" s="8" t="s">
        <v>1962</v>
      </c>
      <c r="D40" s="8" t="s">
        <v>277</v>
      </c>
      <c r="E40" s="8" t="s">
        <v>47</v>
      </c>
      <c r="F40" s="8" t="s">
        <v>48</v>
      </c>
      <c r="G40" s="8" t="s">
        <v>1947</v>
      </c>
      <c r="H40" s="8" t="s">
        <v>1963</v>
      </c>
      <c r="I40" s="8" t="s">
        <v>1964</v>
      </c>
      <c r="J40" s="8">
        <v>1.75</v>
      </c>
      <c r="K40" s="8">
        <v>22.37</v>
      </c>
      <c r="L40" s="8" t="s">
        <v>1965</v>
      </c>
      <c r="M40" s="8" t="s">
        <v>1966</v>
      </c>
      <c r="N40" s="8" t="s">
        <v>164</v>
      </c>
      <c r="O40" s="8" t="s">
        <v>1967</v>
      </c>
      <c r="P40" s="8" t="s">
        <v>1016</v>
      </c>
      <c r="Q40" s="8" t="s">
        <v>1968</v>
      </c>
      <c r="R40" s="8" t="s">
        <v>1969</v>
      </c>
      <c r="S40" s="8" t="s">
        <v>1970</v>
      </c>
      <c r="T40" s="8">
        <v>1980000</v>
      </c>
      <c r="U40" s="8">
        <v>3300000</v>
      </c>
      <c r="V40" s="8" t="s">
        <v>1971</v>
      </c>
      <c r="W40" s="8" t="s">
        <v>1939</v>
      </c>
      <c r="X40" s="8" t="s">
        <v>1972</v>
      </c>
      <c r="Y40" s="8" t="s">
        <v>1973</v>
      </c>
      <c r="Z40" s="8" t="s">
        <v>93</v>
      </c>
      <c r="AA40" s="8" t="s">
        <v>1974</v>
      </c>
      <c r="AB40" s="8" t="s">
        <v>1975</v>
      </c>
      <c r="AC40" s="8" t="s">
        <v>67</v>
      </c>
      <c r="AD40" s="12">
        <v>45176</v>
      </c>
      <c r="AE40" s="8" t="s">
        <v>1648</v>
      </c>
      <c r="AF40" s="8" t="s">
        <v>1162</v>
      </c>
      <c r="AG40" s="8" t="s">
        <v>1976</v>
      </c>
      <c r="AH40" s="8">
        <v>3</v>
      </c>
      <c r="AI40" s="8" t="s">
        <v>237</v>
      </c>
      <c r="AJ40" s="8" t="s">
        <v>1977</v>
      </c>
      <c r="AK40" s="8" t="s">
        <v>1978</v>
      </c>
      <c r="AL40" s="8"/>
      <c r="AM40" s="8" t="s">
        <v>102</v>
      </c>
      <c r="AN40" s="8">
        <v>2970000</v>
      </c>
      <c r="AO40" s="11">
        <v>51975.000000000007</v>
      </c>
      <c r="AP40" s="8"/>
      <c r="AQ40" s="8"/>
      <c r="AR40" s="8"/>
      <c r="AS40" s="18" t="s">
        <v>6593</v>
      </c>
      <c r="AT40" s="18" t="s">
        <v>6888</v>
      </c>
      <c r="AU40" s="19">
        <v>49088</v>
      </c>
      <c r="AV40" s="20">
        <v>2887.0000000000073</v>
      </c>
      <c r="AW40" s="18" t="s">
        <v>6555</v>
      </c>
      <c r="AX40" s="19">
        <v>2888</v>
      </c>
      <c r="AY40" s="20">
        <v>-0.99999999999272404</v>
      </c>
    </row>
    <row r="41" spans="1:51" x14ac:dyDescent="0.25">
      <c r="A41" s="5">
        <v>39</v>
      </c>
      <c r="B41" s="6" t="s">
        <v>1305</v>
      </c>
      <c r="C41" s="6" t="s">
        <v>1979</v>
      </c>
      <c r="D41" s="6" t="s">
        <v>136</v>
      </c>
      <c r="E41" s="6" t="s">
        <v>47</v>
      </c>
      <c r="F41" s="6" t="s">
        <v>48</v>
      </c>
      <c r="G41" s="6" t="s">
        <v>1980</v>
      </c>
      <c r="H41" s="6" t="s">
        <v>1981</v>
      </c>
      <c r="I41" s="6" t="s">
        <v>1982</v>
      </c>
      <c r="J41" s="6">
        <v>2</v>
      </c>
      <c r="K41" s="6">
        <v>20.8</v>
      </c>
      <c r="L41" s="6" t="s">
        <v>1983</v>
      </c>
      <c r="M41" s="6" t="s">
        <v>1984</v>
      </c>
      <c r="N41" s="6" t="s">
        <v>164</v>
      </c>
      <c r="O41" s="6" t="s">
        <v>1985</v>
      </c>
      <c r="P41" s="6" t="s">
        <v>1986</v>
      </c>
      <c r="Q41" s="6" t="s">
        <v>65</v>
      </c>
      <c r="R41" s="6" t="s">
        <v>167</v>
      </c>
      <c r="S41" s="6" t="s">
        <v>1987</v>
      </c>
      <c r="T41" s="6">
        <v>879200</v>
      </c>
      <c r="U41" s="6">
        <v>1099000</v>
      </c>
      <c r="V41" s="6" t="s">
        <v>1988</v>
      </c>
      <c r="W41" s="6" t="s">
        <v>1523</v>
      </c>
      <c r="X41" s="6" t="s">
        <v>1989</v>
      </c>
      <c r="Y41" s="6" t="s">
        <v>1990</v>
      </c>
      <c r="Z41" s="6" t="s">
        <v>64</v>
      </c>
      <c r="AA41" s="6" t="s">
        <v>65</v>
      </c>
      <c r="AB41" s="6" t="s">
        <v>1991</v>
      </c>
      <c r="AC41" s="6" t="s">
        <v>151</v>
      </c>
      <c r="AD41" s="6" t="s">
        <v>1504</v>
      </c>
      <c r="AE41" s="6" t="s">
        <v>1253</v>
      </c>
      <c r="AF41" s="6" t="s">
        <v>1254</v>
      </c>
      <c r="AG41" s="6" t="s">
        <v>1992</v>
      </c>
      <c r="AH41" s="6">
        <v>5</v>
      </c>
      <c r="AI41" s="6" t="s">
        <v>237</v>
      </c>
      <c r="AJ41" s="6" t="s">
        <v>1993</v>
      </c>
      <c r="AK41" s="6" t="s">
        <v>1542</v>
      </c>
      <c r="AL41" s="6"/>
      <c r="AM41" s="6" t="s">
        <v>75</v>
      </c>
      <c r="AN41" s="6">
        <v>824250</v>
      </c>
      <c r="AO41" s="10">
        <v>16485</v>
      </c>
      <c r="AP41" s="6"/>
      <c r="AQ41" s="6"/>
      <c r="AR41" s="6"/>
      <c r="AS41" s="18" t="s">
        <v>6594</v>
      </c>
      <c r="AT41" s="18" t="s">
        <v>6889</v>
      </c>
      <c r="AU41" s="19">
        <v>18683</v>
      </c>
      <c r="AV41" s="20">
        <v>-2198</v>
      </c>
      <c r="AW41" s="18" t="s">
        <v>6555</v>
      </c>
      <c r="AX41" s="19">
        <v>-2198</v>
      </c>
      <c r="AY41" s="20">
        <v>0</v>
      </c>
    </row>
    <row r="42" spans="1:51" x14ac:dyDescent="0.25">
      <c r="A42" s="7">
        <v>40</v>
      </c>
      <c r="B42" s="8" t="s">
        <v>1305</v>
      </c>
      <c r="C42" s="8" t="s">
        <v>1994</v>
      </c>
      <c r="D42" s="8" t="s">
        <v>46</v>
      </c>
      <c r="E42" s="8" t="s">
        <v>47</v>
      </c>
      <c r="F42" s="8" t="s">
        <v>48</v>
      </c>
      <c r="G42" s="8" t="s">
        <v>182</v>
      </c>
      <c r="H42" s="8" t="s">
        <v>1995</v>
      </c>
      <c r="I42" s="8" t="s">
        <v>1996</v>
      </c>
      <c r="J42" s="8">
        <v>2</v>
      </c>
      <c r="K42" s="8">
        <v>25.8</v>
      </c>
      <c r="L42" s="8" t="s">
        <v>1997</v>
      </c>
      <c r="M42" s="8" t="s">
        <v>1998</v>
      </c>
      <c r="N42" s="8" t="s">
        <v>187</v>
      </c>
      <c r="O42" s="8" t="s">
        <v>1999</v>
      </c>
      <c r="P42" s="8" t="s">
        <v>2000</v>
      </c>
      <c r="Q42" s="8" t="s">
        <v>2000</v>
      </c>
      <c r="R42" s="8" t="s">
        <v>2001</v>
      </c>
      <c r="S42" s="8" t="s">
        <v>2002</v>
      </c>
      <c r="T42" s="8">
        <v>946050</v>
      </c>
      <c r="U42" s="8">
        <v>1113000</v>
      </c>
      <c r="V42" s="8" t="s">
        <v>2003</v>
      </c>
      <c r="W42" s="8" t="s">
        <v>1090</v>
      </c>
      <c r="X42" s="8" t="s">
        <v>2004</v>
      </c>
      <c r="Y42" s="8" t="s">
        <v>2005</v>
      </c>
      <c r="Z42" s="8" t="s">
        <v>64</v>
      </c>
      <c r="AA42" s="8" t="s">
        <v>65</v>
      </c>
      <c r="AB42" s="8" t="s">
        <v>2006</v>
      </c>
      <c r="AC42" s="8" t="s">
        <v>67</v>
      </c>
      <c r="AD42" s="8" t="s">
        <v>490</v>
      </c>
      <c r="AE42" s="8" t="s">
        <v>69</v>
      </c>
      <c r="AF42" s="8" t="s">
        <v>1007</v>
      </c>
      <c r="AG42" s="8" t="s">
        <v>2007</v>
      </c>
      <c r="AH42" s="8">
        <v>5</v>
      </c>
      <c r="AI42" s="8" t="s">
        <v>237</v>
      </c>
      <c r="AJ42" s="8" t="s">
        <v>2008</v>
      </c>
      <c r="AK42" s="8" t="s">
        <v>398</v>
      </c>
      <c r="AL42" s="8"/>
      <c r="AM42" s="8" t="s">
        <v>75</v>
      </c>
      <c r="AN42" s="8">
        <v>890400</v>
      </c>
      <c r="AO42" s="11">
        <v>17808</v>
      </c>
      <c r="AP42" s="8"/>
      <c r="AQ42" s="8"/>
      <c r="AR42" s="8"/>
      <c r="AS42" s="18" t="s">
        <v>6595</v>
      </c>
      <c r="AT42" s="18"/>
      <c r="AU42" s="19">
        <v>17808</v>
      </c>
      <c r="AV42" s="20">
        <v>0</v>
      </c>
      <c r="AW42" s="18" t="s">
        <v>6555</v>
      </c>
      <c r="AX42" s="18"/>
      <c r="AY42" s="18"/>
    </row>
    <row r="43" spans="1:51" x14ac:dyDescent="0.25">
      <c r="A43" s="5">
        <v>41</v>
      </c>
      <c r="B43" s="6" t="s">
        <v>1305</v>
      </c>
      <c r="C43" s="6" t="s">
        <v>2009</v>
      </c>
      <c r="D43" s="6" t="s">
        <v>46</v>
      </c>
      <c r="E43" s="6" t="s">
        <v>47</v>
      </c>
      <c r="F43" s="6" t="s">
        <v>48</v>
      </c>
      <c r="G43" s="6" t="s">
        <v>182</v>
      </c>
      <c r="H43" s="6" t="s">
        <v>2010</v>
      </c>
      <c r="I43" s="6" t="s">
        <v>2011</v>
      </c>
      <c r="J43" s="6">
        <v>2</v>
      </c>
      <c r="K43" s="6">
        <v>21.97</v>
      </c>
      <c r="L43" s="6" t="s">
        <v>2012</v>
      </c>
      <c r="M43" s="6" t="s">
        <v>2013</v>
      </c>
      <c r="N43" s="6" t="s">
        <v>265</v>
      </c>
      <c r="O43" s="6" t="s">
        <v>2014</v>
      </c>
      <c r="P43" s="6" t="s">
        <v>2015</v>
      </c>
      <c r="Q43" s="6" t="s">
        <v>2016</v>
      </c>
      <c r="R43" s="6" t="s">
        <v>65</v>
      </c>
      <c r="S43" s="6" t="s">
        <v>2017</v>
      </c>
      <c r="T43" s="6">
        <v>1211000</v>
      </c>
      <c r="U43" s="6">
        <v>1730000</v>
      </c>
      <c r="V43" s="6" t="s">
        <v>2018</v>
      </c>
      <c r="W43" s="6" t="s">
        <v>1090</v>
      </c>
      <c r="X43" s="6" t="s">
        <v>2019</v>
      </c>
      <c r="Y43" s="6" t="s">
        <v>2020</v>
      </c>
      <c r="Z43" s="6" t="s">
        <v>64</v>
      </c>
      <c r="AA43" s="6" t="s">
        <v>65</v>
      </c>
      <c r="AB43" s="6" t="s">
        <v>642</v>
      </c>
      <c r="AC43" s="6" t="s">
        <v>67</v>
      </c>
      <c r="AD43" s="6" t="s">
        <v>1094</v>
      </c>
      <c r="AE43" s="6" t="s">
        <v>1127</v>
      </c>
      <c r="AF43" s="6" t="s">
        <v>1485</v>
      </c>
      <c r="AG43" s="6" t="s">
        <v>2021</v>
      </c>
      <c r="AH43" s="6">
        <v>7</v>
      </c>
      <c r="AI43" s="6" t="s">
        <v>237</v>
      </c>
      <c r="AJ43" s="6" t="s">
        <v>2022</v>
      </c>
      <c r="AK43" s="6" t="s">
        <v>1097</v>
      </c>
      <c r="AL43" s="6"/>
      <c r="AM43" s="6" t="s">
        <v>75</v>
      </c>
      <c r="AN43" s="6">
        <v>1384000</v>
      </c>
      <c r="AO43" s="10">
        <v>27680</v>
      </c>
      <c r="AP43" s="6"/>
      <c r="AQ43" s="6"/>
      <c r="AR43" s="6"/>
      <c r="AS43" s="18" t="s">
        <v>6596</v>
      </c>
      <c r="AT43" s="18"/>
      <c r="AU43" s="19">
        <v>27680</v>
      </c>
      <c r="AV43" s="20">
        <v>0</v>
      </c>
      <c r="AW43" s="18" t="s">
        <v>6555</v>
      </c>
      <c r="AX43" s="18"/>
      <c r="AY43" s="18"/>
    </row>
    <row r="44" spans="1:51" x14ac:dyDescent="0.25">
      <c r="A44" s="7">
        <v>42</v>
      </c>
      <c r="B44" s="8" t="s">
        <v>1305</v>
      </c>
      <c r="C44" s="8" t="s">
        <v>2023</v>
      </c>
      <c r="D44" s="8" t="s">
        <v>46</v>
      </c>
      <c r="E44" s="8" t="s">
        <v>47</v>
      </c>
      <c r="F44" s="8" t="s">
        <v>48</v>
      </c>
      <c r="G44" s="8" t="s">
        <v>182</v>
      </c>
      <c r="H44" s="8" t="s">
        <v>2024</v>
      </c>
      <c r="I44" s="8" t="s">
        <v>2025</v>
      </c>
      <c r="J44" s="8">
        <v>2</v>
      </c>
      <c r="K44" s="8">
        <v>25.8</v>
      </c>
      <c r="L44" s="8" t="s">
        <v>2026</v>
      </c>
      <c r="M44" s="8" t="s">
        <v>2027</v>
      </c>
      <c r="N44" s="8" t="s">
        <v>187</v>
      </c>
      <c r="O44" s="8" t="s">
        <v>2028</v>
      </c>
      <c r="P44" s="8" t="s">
        <v>65</v>
      </c>
      <c r="Q44" s="8" t="s">
        <v>2029</v>
      </c>
      <c r="R44" s="8" t="s">
        <v>2030</v>
      </c>
      <c r="S44" s="8" t="s">
        <v>2031</v>
      </c>
      <c r="T44" s="8">
        <v>1281000</v>
      </c>
      <c r="U44" s="8">
        <v>1830000</v>
      </c>
      <c r="V44" s="8" t="s">
        <v>2032</v>
      </c>
      <c r="W44" s="8" t="s">
        <v>1090</v>
      </c>
      <c r="X44" s="8" t="s">
        <v>2033</v>
      </c>
      <c r="Y44" s="8" t="s">
        <v>2034</v>
      </c>
      <c r="Z44" s="8" t="s">
        <v>64</v>
      </c>
      <c r="AA44" s="8" t="s">
        <v>65</v>
      </c>
      <c r="AB44" s="8" t="s">
        <v>195</v>
      </c>
      <c r="AC44" s="8" t="s">
        <v>67</v>
      </c>
      <c r="AD44" s="8" t="s">
        <v>697</v>
      </c>
      <c r="AE44" s="8" t="s">
        <v>69</v>
      </c>
      <c r="AF44" s="8" t="s">
        <v>1007</v>
      </c>
      <c r="AG44" s="8" t="s">
        <v>2035</v>
      </c>
      <c r="AH44" s="8">
        <v>5</v>
      </c>
      <c r="AI44" s="8" t="s">
        <v>198</v>
      </c>
      <c r="AJ44" s="8" t="s">
        <v>2036</v>
      </c>
      <c r="AK44" s="8" t="s">
        <v>398</v>
      </c>
      <c r="AL44" s="8"/>
      <c r="AM44" s="8" t="s">
        <v>75</v>
      </c>
      <c r="AN44" s="8">
        <v>1464000</v>
      </c>
      <c r="AO44" s="11">
        <v>29280</v>
      </c>
      <c r="AP44" s="8"/>
      <c r="AQ44" s="8"/>
      <c r="AR44" s="8"/>
      <c r="AS44" s="18" t="s">
        <v>6597</v>
      </c>
      <c r="AT44" s="18"/>
      <c r="AU44" s="19">
        <v>29280</v>
      </c>
      <c r="AV44" s="20">
        <v>0</v>
      </c>
      <c r="AW44" s="18" t="s">
        <v>6555</v>
      </c>
      <c r="AX44" s="18"/>
      <c r="AY44" s="18"/>
    </row>
    <row r="45" spans="1:51" x14ac:dyDescent="0.25">
      <c r="A45" s="5">
        <v>43</v>
      </c>
      <c r="B45" s="6" t="s">
        <v>1305</v>
      </c>
      <c r="C45" s="6" t="s">
        <v>2037</v>
      </c>
      <c r="D45" s="6" t="s">
        <v>77</v>
      </c>
      <c r="E45" s="6" t="s">
        <v>47</v>
      </c>
      <c r="F45" s="6" t="s">
        <v>48</v>
      </c>
      <c r="G45" s="6" t="s">
        <v>2038</v>
      </c>
      <c r="H45" s="6" t="s">
        <v>2039</v>
      </c>
      <c r="I45" s="6" t="s">
        <v>2040</v>
      </c>
      <c r="J45" s="6">
        <v>2</v>
      </c>
      <c r="K45" s="6">
        <v>21.86</v>
      </c>
      <c r="L45" s="6" t="s">
        <v>2041</v>
      </c>
      <c r="M45" s="6" t="s">
        <v>2042</v>
      </c>
      <c r="N45" s="6" t="s">
        <v>187</v>
      </c>
      <c r="O45" s="6" t="s">
        <v>2043</v>
      </c>
      <c r="P45" s="6" t="s">
        <v>2044</v>
      </c>
      <c r="Q45" s="6" t="s">
        <v>2044</v>
      </c>
      <c r="R45" s="6" t="s">
        <v>2044</v>
      </c>
      <c r="S45" s="6" t="s">
        <v>2045</v>
      </c>
      <c r="T45" s="6">
        <v>1320000</v>
      </c>
      <c r="U45" s="6">
        <v>1760000</v>
      </c>
      <c r="V45" s="6" t="s">
        <v>2046</v>
      </c>
      <c r="W45" s="6" t="s">
        <v>1090</v>
      </c>
      <c r="X45" s="6" t="s">
        <v>2047</v>
      </c>
      <c r="Y45" s="6" t="s">
        <v>2048</v>
      </c>
      <c r="Z45" s="6" t="s">
        <v>64</v>
      </c>
      <c r="AA45" s="6" t="s">
        <v>65</v>
      </c>
      <c r="AB45" s="6" t="s">
        <v>1484</v>
      </c>
      <c r="AC45" s="6" t="s">
        <v>67</v>
      </c>
      <c r="AD45" s="6" t="s">
        <v>2049</v>
      </c>
      <c r="AE45" s="6" t="s">
        <v>1127</v>
      </c>
      <c r="AF45" s="6" t="s">
        <v>1162</v>
      </c>
      <c r="AG45" s="6" t="s">
        <v>2050</v>
      </c>
      <c r="AH45" s="6">
        <v>5</v>
      </c>
      <c r="AI45" s="6" t="s">
        <v>237</v>
      </c>
      <c r="AJ45" s="6" t="s">
        <v>2051</v>
      </c>
      <c r="AK45" s="6" t="s">
        <v>398</v>
      </c>
      <c r="AL45" s="6"/>
      <c r="AM45" s="6" t="s">
        <v>75</v>
      </c>
      <c r="AN45" s="6">
        <v>1408000</v>
      </c>
      <c r="AO45" s="10">
        <v>28160</v>
      </c>
      <c r="AP45" s="6"/>
      <c r="AQ45" s="6"/>
      <c r="AR45" s="6"/>
      <c r="AS45" s="18" t="s">
        <v>6598</v>
      </c>
      <c r="AT45" s="18"/>
      <c r="AU45" s="19">
        <v>28160</v>
      </c>
      <c r="AV45" s="20">
        <v>0</v>
      </c>
      <c r="AW45" s="18" t="s">
        <v>6555</v>
      </c>
      <c r="AX45" s="18"/>
      <c r="AY45" s="18"/>
    </row>
    <row r="46" spans="1:51" x14ac:dyDescent="0.25">
      <c r="A46" s="7">
        <v>44</v>
      </c>
      <c r="B46" s="8" t="s">
        <v>1305</v>
      </c>
      <c r="C46" s="8" t="s">
        <v>2052</v>
      </c>
      <c r="D46" s="8" t="s">
        <v>1489</v>
      </c>
      <c r="E46" s="8" t="s">
        <v>47</v>
      </c>
      <c r="F46" s="8" t="s">
        <v>48</v>
      </c>
      <c r="G46" s="8" t="s">
        <v>1323</v>
      </c>
      <c r="H46" s="8" t="s">
        <v>2053</v>
      </c>
      <c r="I46" s="8" t="s">
        <v>2054</v>
      </c>
      <c r="J46" s="8">
        <v>2</v>
      </c>
      <c r="K46" s="8">
        <v>21.8</v>
      </c>
      <c r="L46" s="8" t="s">
        <v>2055</v>
      </c>
      <c r="M46" s="8" t="s">
        <v>2056</v>
      </c>
      <c r="N46" s="8" t="s">
        <v>54</v>
      </c>
      <c r="O46" s="8" t="s">
        <v>2057</v>
      </c>
      <c r="P46" s="8" t="s">
        <v>2058</v>
      </c>
      <c r="Q46" s="8" t="s">
        <v>2059</v>
      </c>
      <c r="R46" s="8" t="s">
        <v>2058</v>
      </c>
      <c r="S46" s="8" t="s">
        <v>2060</v>
      </c>
      <c r="T46" s="8">
        <v>1801800</v>
      </c>
      <c r="U46" s="8">
        <v>2574000</v>
      </c>
      <c r="V46" s="8" t="s">
        <v>2061</v>
      </c>
      <c r="W46" s="8" t="s">
        <v>1523</v>
      </c>
      <c r="X46" s="8" t="s">
        <v>2062</v>
      </c>
      <c r="Y46" s="8" t="s">
        <v>2063</v>
      </c>
      <c r="Z46" s="8" t="s">
        <v>64</v>
      </c>
      <c r="AA46" s="8" t="s">
        <v>65</v>
      </c>
      <c r="AB46" s="8" t="s">
        <v>2064</v>
      </c>
      <c r="AC46" s="8" t="s">
        <v>151</v>
      </c>
      <c r="AD46" s="8" t="s">
        <v>2065</v>
      </c>
      <c r="AE46" s="8" t="s">
        <v>1253</v>
      </c>
      <c r="AF46" s="8" t="s">
        <v>1254</v>
      </c>
      <c r="AG46" s="8" t="s">
        <v>2066</v>
      </c>
      <c r="AH46" s="8">
        <v>5</v>
      </c>
      <c r="AI46" s="8" t="s">
        <v>198</v>
      </c>
      <c r="AJ46" s="8" t="s">
        <v>2067</v>
      </c>
      <c r="AK46" s="8" t="s">
        <v>2068</v>
      </c>
      <c r="AL46" s="8"/>
      <c r="AM46" s="8" t="s">
        <v>75</v>
      </c>
      <c r="AN46" s="8">
        <v>1930500</v>
      </c>
      <c r="AO46" s="11">
        <v>38610</v>
      </c>
      <c r="AP46" s="8"/>
      <c r="AQ46" s="8"/>
      <c r="AR46" s="8"/>
      <c r="AS46" s="18" t="s">
        <v>6599</v>
      </c>
      <c r="AT46" s="18" t="s">
        <v>6890</v>
      </c>
      <c r="AU46" s="19">
        <v>43758</v>
      </c>
      <c r="AV46" s="20">
        <v>-5148</v>
      </c>
      <c r="AW46" s="18" t="s">
        <v>6555</v>
      </c>
      <c r="AX46" s="19">
        <v>-5148</v>
      </c>
      <c r="AY46" s="20">
        <v>0</v>
      </c>
    </row>
    <row r="47" spans="1:51" x14ac:dyDescent="0.25">
      <c r="A47" s="5">
        <v>45</v>
      </c>
      <c r="B47" s="6" t="s">
        <v>1305</v>
      </c>
      <c r="C47" s="6" t="s">
        <v>2069</v>
      </c>
      <c r="D47" s="6" t="s">
        <v>77</v>
      </c>
      <c r="E47" s="6" t="s">
        <v>47</v>
      </c>
      <c r="F47" s="6" t="s">
        <v>48</v>
      </c>
      <c r="G47" s="6" t="s">
        <v>2070</v>
      </c>
      <c r="H47" s="6" t="s">
        <v>2071</v>
      </c>
      <c r="I47" s="6" t="s">
        <v>2072</v>
      </c>
      <c r="J47" s="6">
        <v>2</v>
      </c>
      <c r="K47" s="6">
        <v>21.86</v>
      </c>
      <c r="L47" s="6" t="s">
        <v>2073</v>
      </c>
      <c r="M47" s="6" t="s">
        <v>2074</v>
      </c>
      <c r="N47" s="6" t="s">
        <v>187</v>
      </c>
      <c r="O47" s="6" t="s">
        <v>2075</v>
      </c>
      <c r="P47" s="6" t="s">
        <v>2076</v>
      </c>
      <c r="Q47" s="6" t="s">
        <v>2076</v>
      </c>
      <c r="R47" s="6" t="s">
        <v>2076</v>
      </c>
      <c r="S47" s="6" t="s">
        <v>2077</v>
      </c>
      <c r="T47" s="6">
        <v>2462250</v>
      </c>
      <c r="U47" s="6">
        <v>3283000</v>
      </c>
      <c r="V47" s="6" t="s">
        <v>2078</v>
      </c>
      <c r="W47" s="6" t="s">
        <v>1090</v>
      </c>
      <c r="X47" s="6" t="s">
        <v>2079</v>
      </c>
      <c r="Y47" s="6" t="s">
        <v>2080</v>
      </c>
      <c r="Z47" s="6" t="s">
        <v>64</v>
      </c>
      <c r="AA47" s="6" t="s">
        <v>65</v>
      </c>
      <c r="AB47" s="6" t="s">
        <v>378</v>
      </c>
      <c r="AC47" s="6" t="s">
        <v>67</v>
      </c>
      <c r="AD47" s="6" t="s">
        <v>1097</v>
      </c>
      <c r="AE47" s="6" t="s">
        <v>1127</v>
      </c>
      <c r="AF47" s="6" t="s">
        <v>1485</v>
      </c>
      <c r="AG47" s="6" t="s">
        <v>2081</v>
      </c>
      <c r="AH47" s="6">
        <v>7</v>
      </c>
      <c r="AI47" s="6" t="s">
        <v>237</v>
      </c>
      <c r="AJ47" s="6" t="s">
        <v>2082</v>
      </c>
      <c r="AK47" s="6" t="s">
        <v>398</v>
      </c>
      <c r="AL47" s="6"/>
      <c r="AM47" s="6" t="s">
        <v>75</v>
      </c>
      <c r="AN47" s="6">
        <v>2626400</v>
      </c>
      <c r="AO47" s="10">
        <v>52528</v>
      </c>
      <c r="AP47" s="6"/>
      <c r="AQ47" s="6"/>
      <c r="AR47" s="6"/>
      <c r="AS47" s="18" t="s">
        <v>6600</v>
      </c>
      <c r="AT47" s="18"/>
      <c r="AU47" s="19">
        <v>52528</v>
      </c>
      <c r="AV47" s="20">
        <v>0</v>
      </c>
      <c r="AW47" s="18" t="s">
        <v>6555</v>
      </c>
      <c r="AX47" s="18"/>
      <c r="AY47" s="18"/>
    </row>
    <row r="48" spans="1:51" x14ac:dyDescent="0.25">
      <c r="A48" s="7">
        <v>46</v>
      </c>
      <c r="B48" s="8" t="s">
        <v>1305</v>
      </c>
      <c r="C48" s="8" t="s">
        <v>2083</v>
      </c>
      <c r="D48" s="8" t="s">
        <v>241</v>
      </c>
      <c r="E48" s="8" t="s">
        <v>47</v>
      </c>
      <c r="F48" s="8" t="s">
        <v>48</v>
      </c>
      <c r="G48" s="8" t="s">
        <v>2084</v>
      </c>
      <c r="H48" s="8" t="s">
        <v>2085</v>
      </c>
      <c r="I48" s="8" t="s">
        <v>2086</v>
      </c>
      <c r="J48" s="8">
        <v>2</v>
      </c>
      <c r="K48" s="8">
        <v>19.87</v>
      </c>
      <c r="L48" s="8" t="s">
        <v>2087</v>
      </c>
      <c r="M48" s="8" t="s">
        <v>2088</v>
      </c>
      <c r="N48" s="8" t="s">
        <v>83</v>
      </c>
      <c r="O48" s="8" t="s">
        <v>2089</v>
      </c>
      <c r="P48" s="8" t="s">
        <v>2090</v>
      </c>
      <c r="Q48" s="8" t="s">
        <v>2091</v>
      </c>
      <c r="R48" s="8" t="s">
        <v>2090</v>
      </c>
      <c r="S48" s="8" t="s">
        <v>2092</v>
      </c>
      <c r="T48" s="8">
        <v>2615600</v>
      </c>
      <c r="U48" s="8">
        <v>4024000</v>
      </c>
      <c r="V48" s="8" t="s">
        <v>2093</v>
      </c>
      <c r="W48" s="8" t="s">
        <v>1090</v>
      </c>
      <c r="X48" s="8" t="s">
        <v>2094</v>
      </c>
      <c r="Y48" s="8" t="s">
        <v>2095</v>
      </c>
      <c r="Z48" s="8" t="s">
        <v>64</v>
      </c>
      <c r="AA48" s="8" t="s">
        <v>65</v>
      </c>
      <c r="AB48" s="8" t="s">
        <v>2096</v>
      </c>
      <c r="AC48" s="8" t="s">
        <v>67</v>
      </c>
      <c r="AD48" s="8" t="s">
        <v>255</v>
      </c>
      <c r="AE48" s="8" t="s">
        <v>1127</v>
      </c>
      <c r="AF48" s="8" t="s">
        <v>1162</v>
      </c>
      <c r="AG48" s="8" t="s">
        <v>2097</v>
      </c>
      <c r="AH48" s="8">
        <v>5</v>
      </c>
      <c r="AI48" s="8" t="s">
        <v>237</v>
      </c>
      <c r="AJ48" s="8" t="s">
        <v>2098</v>
      </c>
      <c r="AK48" s="8" t="s">
        <v>398</v>
      </c>
      <c r="AL48" s="8"/>
      <c r="AM48" s="8" t="s">
        <v>75</v>
      </c>
      <c r="AN48" s="8">
        <v>3219200</v>
      </c>
      <c r="AO48" s="11">
        <v>64384</v>
      </c>
      <c r="AP48" s="8"/>
      <c r="AQ48" s="8"/>
      <c r="AR48" s="8"/>
      <c r="AS48" s="18" t="s">
        <v>6601</v>
      </c>
      <c r="AT48" s="18"/>
      <c r="AU48" s="19">
        <v>64384</v>
      </c>
      <c r="AV48" s="20">
        <v>0</v>
      </c>
      <c r="AW48" s="18" t="s">
        <v>6555</v>
      </c>
      <c r="AX48" s="18"/>
      <c r="AY48" s="18"/>
    </row>
    <row r="49" spans="1:51" x14ac:dyDescent="0.25">
      <c r="A49" s="5">
        <v>47</v>
      </c>
      <c r="B49" s="6" t="s">
        <v>1305</v>
      </c>
      <c r="C49" s="6" t="s">
        <v>2099</v>
      </c>
      <c r="D49" s="6" t="s">
        <v>77</v>
      </c>
      <c r="E49" s="6" t="s">
        <v>47</v>
      </c>
      <c r="F49" s="6" t="s">
        <v>48</v>
      </c>
      <c r="G49" s="6" t="s">
        <v>2100</v>
      </c>
      <c r="H49" s="6" t="s">
        <v>2101</v>
      </c>
      <c r="I49" s="6" t="s">
        <v>2102</v>
      </c>
      <c r="J49" s="6">
        <v>2</v>
      </c>
      <c r="K49" s="6">
        <v>21.86</v>
      </c>
      <c r="L49" s="6" t="s">
        <v>2103</v>
      </c>
      <c r="M49" s="6" t="s">
        <v>2104</v>
      </c>
      <c r="N49" s="6" t="s">
        <v>187</v>
      </c>
      <c r="O49" s="6" t="s">
        <v>2105</v>
      </c>
      <c r="P49" s="6" t="s">
        <v>2106</v>
      </c>
      <c r="Q49" s="6" t="s">
        <v>2106</v>
      </c>
      <c r="R49" s="6" t="s">
        <v>2106</v>
      </c>
      <c r="S49" s="6" t="s">
        <v>2107</v>
      </c>
      <c r="T49" s="6">
        <v>2808400</v>
      </c>
      <c r="U49" s="6">
        <v>4012000</v>
      </c>
      <c r="V49" s="6" t="s">
        <v>2108</v>
      </c>
      <c r="W49" s="6" t="s">
        <v>1090</v>
      </c>
      <c r="X49" s="6" t="s">
        <v>2109</v>
      </c>
      <c r="Y49" s="6" t="s">
        <v>2110</v>
      </c>
      <c r="Z49" s="6" t="s">
        <v>64</v>
      </c>
      <c r="AA49" s="6" t="s">
        <v>65</v>
      </c>
      <c r="AB49" s="6" t="s">
        <v>1959</v>
      </c>
      <c r="AC49" s="6" t="s">
        <v>67</v>
      </c>
      <c r="AD49" s="6" t="s">
        <v>1097</v>
      </c>
      <c r="AE49" s="6" t="s">
        <v>1127</v>
      </c>
      <c r="AF49" s="6" t="s">
        <v>1162</v>
      </c>
      <c r="AG49" s="6" t="s">
        <v>2111</v>
      </c>
      <c r="AH49" s="6">
        <v>5</v>
      </c>
      <c r="AI49" s="6" t="s">
        <v>237</v>
      </c>
      <c r="AJ49" s="6" t="s">
        <v>2112</v>
      </c>
      <c r="AK49" s="6" t="s">
        <v>398</v>
      </c>
      <c r="AL49" s="6"/>
      <c r="AM49" s="6" t="s">
        <v>75</v>
      </c>
      <c r="AN49" s="6">
        <v>3209600</v>
      </c>
      <c r="AO49" s="10">
        <v>64192</v>
      </c>
      <c r="AP49" s="6"/>
      <c r="AQ49" s="6"/>
      <c r="AR49" s="6"/>
      <c r="AS49" s="18" t="s">
        <v>6602</v>
      </c>
      <c r="AT49" s="18"/>
      <c r="AU49" s="19">
        <v>64192</v>
      </c>
      <c r="AV49" s="20">
        <v>0</v>
      </c>
      <c r="AW49" s="18" t="s">
        <v>6555</v>
      </c>
      <c r="AX49" s="18"/>
      <c r="AY49" s="18"/>
    </row>
    <row r="50" spans="1:51" x14ac:dyDescent="0.25">
      <c r="A50" s="7">
        <v>48</v>
      </c>
      <c r="B50" s="8" t="s">
        <v>1305</v>
      </c>
      <c r="C50" s="8" t="s">
        <v>2113</v>
      </c>
      <c r="D50" s="8" t="s">
        <v>77</v>
      </c>
      <c r="E50" s="8" t="s">
        <v>47</v>
      </c>
      <c r="F50" s="8" t="s">
        <v>48</v>
      </c>
      <c r="G50" s="8" t="s">
        <v>1717</v>
      </c>
      <c r="H50" s="8" t="s">
        <v>2114</v>
      </c>
      <c r="I50" s="8" t="s">
        <v>2115</v>
      </c>
      <c r="J50" s="8">
        <v>1.75</v>
      </c>
      <c r="K50" s="8">
        <v>21.62</v>
      </c>
      <c r="L50" s="8" t="s">
        <v>2116</v>
      </c>
      <c r="M50" s="8" t="s">
        <v>2117</v>
      </c>
      <c r="N50" s="8" t="s">
        <v>187</v>
      </c>
      <c r="O50" s="8" t="s">
        <v>2118</v>
      </c>
      <c r="P50" s="8" t="s">
        <v>65</v>
      </c>
      <c r="Q50" s="8" t="s">
        <v>2119</v>
      </c>
      <c r="R50" s="8" t="s">
        <v>2120</v>
      </c>
      <c r="S50" s="8" t="s">
        <v>2121</v>
      </c>
      <c r="T50" s="8">
        <v>1365000</v>
      </c>
      <c r="U50" s="8">
        <v>2100000</v>
      </c>
      <c r="V50" s="8" t="s">
        <v>2122</v>
      </c>
      <c r="W50" s="8" t="s">
        <v>1071</v>
      </c>
      <c r="X50" s="8" t="s">
        <v>2123</v>
      </c>
      <c r="Y50" s="8" t="s">
        <v>2124</v>
      </c>
      <c r="Z50" s="8" t="s">
        <v>93</v>
      </c>
      <c r="AA50" s="8" t="s">
        <v>2125</v>
      </c>
      <c r="AB50" s="8" t="s">
        <v>1696</v>
      </c>
      <c r="AC50" s="8" t="s">
        <v>175</v>
      </c>
      <c r="AD50" s="8" t="s">
        <v>971</v>
      </c>
      <c r="AE50" s="8" t="s">
        <v>1200</v>
      </c>
      <c r="AF50" s="8" t="s">
        <v>1201</v>
      </c>
      <c r="AG50" s="8" t="s">
        <v>2126</v>
      </c>
      <c r="AH50" s="8">
        <v>5</v>
      </c>
      <c r="AI50" s="8" t="s">
        <v>100</v>
      </c>
      <c r="AJ50" s="8" t="s">
        <v>2127</v>
      </c>
      <c r="AK50" s="8" t="s">
        <v>1035</v>
      </c>
      <c r="AL50" s="8"/>
      <c r="AM50" s="8" t="s">
        <v>102</v>
      </c>
      <c r="AN50" s="8">
        <v>1785000</v>
      </c>
      <c r="AO50" s="11">
        <v>31237.500000000004</v>
      </c>
      <c r="AP50" s="8"/>
      <c r="AQ50" s="8"/>
      <c r="AR50" s="8"/>
      <c r="AS50" s="18" t="s">
        <v>6603</v>
      </c>
      <c r="AT50" s="18" t="s">
        <v>6891</v>
      </c>
      <c r="AU50" s="19">
        <v>27563</v>
      </c>
      <c r="AV50" s="20">
        <v>3674.5000000000036</v>
      </c>
      <c r="AW50" s="18" t="s">
        <v>6555</v>
      </c>
      <c r="AX50" s="19">
        <v>3675</v>
      </c>
      <c r="AY50" s="20">
        <v>-0.49999999999636202</v>
      </c>
    </row>
    <row r="51" spans="1:51" x14ac:dyDescent="0.25">
      <c r="A51" s="5">
        <v>49</v>
      </c>
      <c r="B51" s="6" t="s">
        <v>1305</v>
      </c>
      <c r="C51" s="6" t="s">
        <v>2128</v>
      </c>
      <c r="D51" s="6" t="s">
        <v>241</v>
      </c>
      <c r="E51" s="6" t="s">
        <v>47</v>
      </c>
      <c r="F51" s="6" t="s">
        <v>48</v>
      </c>
      <c r="G51" s="6" t="s">
        <v>1205</v>
      </c>
      <c r="H51" s="6" t="s">
        <v>2129</v>
      </c>
      <c r="I51" s="6" t="s">
        <v>2130</v>
      </c>
      <c r="J51" s="6">
        <v>2</v>
      </c>
      <c r="K51" s="6">
        <v>26.44</v>
      </c>
      <c r="L51" s="6" t="s">
        <v>2131</v>
      </c>
      <c r="M51" s="6" t="s">
        <v>2132</v>
      </c>
      <c r="N51" s="6" t="s">
        <v>187</v>
      </c>
      <c r="O51" s="6" t="s">
        <v>2133</v>
      </c>
      <c r="P51" s="6" t="s">
        <v>65</v>
      </c>
      <c r="Q51" s="6" t="s">
        <v>2134</v>
      </c>
      <c r="R51" s="6" t="s">
        <v>2135</v>
      </c>
      <c r="S51" s="6" t="s">
        <v>2136</v>
      </c>
      <c r="T51" s="6">
        <v>2330000</v>
      </c>
      <c r="U51" s="6">
        <v>5825000</v>
      </c>
      <c r="V51" s="6" t="s">
        <v>2137</v>
      </c>
      <c r="W51" s="6" t="s">
        <v>1071</v>
      </c>
      <c r="X51" s="6" t="s">
        <v>2138</v>
      </c>
      <c r="Y51" s="6" t="s">
        <v>2139</v>
      </c>
      <c r="Z51" s="6" t="s">
        <v>64</v>
      </c>
      <c r="AA51" s="6" t="s">
        <v>65</v>
      </c>
      <c r="AB51" s="6" t="s">
        <v>116</v>
      </c>
      <c r="AC51" s="6" t="s">
        <v>531</v>
      </c>
      <c r="AD51" s="6" t="s">
        <v>2140</v>
      </c>
      <c r="AE51" s="6" t="s">
        <v>453</v>
      </c>
      <c r="AF51" s="6" t="s">
        <v>1430</v>
      </c>
      <c r="AG51" s="6" t="s">
        <v>2141</v>
      </c>
      <c r="AH51" s="6">
        <v>3</v>
      </c>
      <c r="AI51" s="6" t="s">
        <v>198</v>
      </c>
      <c r="AJ51" s="6" t="s">
        <v>2142</v>
      </c>
      <c r="AK51" s="6" t="s">
        <v>1035</v>
      </c>
      <c r="AL51" s="6"/>
      <c r="AM51" s="6" t="s">
        <v>75</v>
      </c>
      <c r="AN51" s="6">
        <v>4951250</v>
      </c>
      <c r="AO51" s="10">
        <v>99025</v>
      </c>
      <c r="AP51" s="6"/>
      <c r="AQ51" s="6"/>
      <c r="AR51" s="6"/>
      <c r="AS51" s="18" t="s">
        <v>6604</v>
      </c>
      <c r="AT51" s="18"/>
      <c r="AU51" s="19">
        <v>99025</v>
      </c>
      <c r="AV51" s="20">
        <v>0</v>
      </c>
      <c r="AW51" s="18" t="s">
        <v>6555</v>
      </c>
      <c r="AX51" s="18"/>
      <c r="AY51" s="18"/>
    </row>
    <row r="52" spans="1:51" x14ac:dyDescent="0.25">
      <c r="A52" s="7">
        <v>50</v>
      </c>
      <c r="B52" s="8" t="s">
        <v>1305</v>
      </c>
      <c r="C52" s="8" t="s">
        <v>2143</v>
      </c>
      <c r="D52" s="8" t="s">
        <v>277</v>
      </c>
      <c r="E52" s="8" t="s">
        <v>47</v>
      </c>
      <c r="F52" s="8" t="s">
        <v>48</v>
      </c>
      <c r="G52" s="8" t="s">
        <v>2144</v>
      </c>
      <c r="H52" s="8" t="s">
        <v>2145</v>
      </c>
      <c r="I52" s="8" t="s">
        <v>2146</v>
      </c>
      <c r="J52" s="8">
        <v>1.75</v>
      </c>
      <c r="K52" s="8">
        <v>22.37</v>
      </c>
      <c r="L52" s="8" t="s">
        <v>2147</v>
      </c>
      <c r="M52" s="8" t="s">
        <v>2148</v>
      </c>
      <c r="N52" s="8" t="s">
        <v>187</v>
      </c>
      <c r="O52" s="8" t="s">
        <v>2149</v>
      </c>
      <c r="P52" s="8" t="s">
        <v>2150</v>
      </c>
      <c r="Q52" s="8" t="s">
        <v>2150</v>
      </c>
      <c r="R52" s="8" t="s">
        <v>2150</v>
      </c>
      <c r="S52" s="8" t="s">
        <v>2151</v>
      </c>
      <c r="T52" s="8">
        <v>2654600</v>
      </c>
      <c r="U52" s="8">
        <v>4084000</v>
      </c>
      <c r="V52" s="8" t="s">
        <v>2152</v>
      </c>
      <c r="W52" s="8" t="s">
        <v>2153</v>
      </c>
      <c r="X52" s="8" t="s">
        <v>2154</v>
      </c>
      <c r="Y52" s="8" t="s">
        <v>2155</v>
      </c>
      <c r="Z52" s="8" t="s">
        <v>64</v>
      </c>
      <c r="AA52" s="8" t="s">
        <v>65</v>
      </c>
      <c r="AB52" s="8" t="s">
        <v>195</v>
      </c>
      <c r="AC52" s="8" t="s">
        <v>436</v>
      </c>
      <c r="AD52" s="12">
        <v>45177</v>
      </c>
      <c r="AE52" s="8" t="s">
        <v>1648</v>
      </c>
      <c r="AF52" s="8" t="s">
        <v>1254</v>
      </c>
      <c r="AG52" s="8" t="s">
        <v>2156</v>
      </c>
      <c r="AH52" s="8">
        <v>2</v>
      </c>
      <c r="AI52" s="8" t="s">
        <v>237</v>
      </c>
      <c r="AJ52" s="8" t="s">
        <v>2157</v>
      </c>
      <c r="AK52" s="8" t="s">
        <v>1945</v>
      </c>
      <c r="AL52" s="8"/>
      <c r="AM52" s="8" t="s">
        <v>102</v>
      </c>
      <c r="AN52" s="8">
        <v>3675600</v>
      </c>
      <c r="AO52" s="11">
        <v>64323.000000000007</v>
      </c>
      <c r="AP52" s="8"/>
      <c r="AQ52" s="8"/>
      <c r="AR52" s="8"/>
      <c r="AS52" s="18" t="s">
        <v>6605</v>
      </c>
      <c r="AT52" s="18"/>
      <c r="AU52" s="19">
        <v>64323</v>
      </c>
      <c r="AV52" s="20">
        <v>0</v>
      </c>
      <c r="AW52" s="18" t="s">
        <v>6555</v>
      </c>
      <c r="AX52" s="18"/>
      <c r="AY52" s="18"/>
    </row>
    <row r="53" spans="1:51" x14ac:dyDescent="0.25">
      <c r="A53" s="5">
        <v>51</v>
      </c>
      <c r="B53" s="6" t="s">
        <v>1305</v>
      </c>
      <c r="C53" s="6" t="s">
        <v>2158</v>
      </c>
      <c r="D53" s="6" t="s">
        <v>277</v>
      </c>
      <c r="E53" s="6" t="s">
        <v>47</v>
      </c>
      <c r="F53" s="6" t="s">
        <v>48</v>
      </c>
      <c r="G53" s="6" t="s">
        <v>1717</v>
      </c>
      <c r="H53" s="6" t="s">
        <v>2159</v>
      </c>
      <c r="I53" s="6" t="s">
        <v>2160</v>
      </c>
      <c r="J53" s="6">
        <v>1.75</v>
      </c>
      <c r="K53" s="6">
        <v>22.87</v>
      </c>
      <c r="L53" s="6" t="s">
        <v>2161</v>
      </c>
      <c r="M53" s="6" t="s">
        <v>2162</v>
      </c>
      <c r="N53" s="6" t="s">
        <v>187</v>
      </c>
      <c r="O53" s="6" t="s">
        <v>2163</v>
      </c>
      <c r="P53" s="6" t="s">
        <v>65</v>
      </c>
      <c r="Q53" s="6" t="s">
        <v>2164</v>
      </c>
      <c r="R53" s="6" t="s">
        <v>65</v>
      </c>
      <c r="S53" s="6" t="s">
        <v>2165</v>
      </c>
      <c r="T53" s="6">
        <v>1300000</v>
      </c>
      <c r="U53" s="6">
        <v>2000000</v>
      </c>
      <c r="V53" s="6" t="s">
        <v>2166</v>
      </c>
      <c r="W53" s="6" t="s">
        <v>2153</v>
      </c>
      <c r="X53" s="6" t="s">
        <v>2167</v>
      </c>
      <c r="Y53" s="6" t="s">
        <v>2168</v>
      </c>
      <c r="Z53" s="6" t="s">
        <v>93</v>
      </c>
      <c r="AA53" s="6" t="s">
        <v>2169</v>
      </c>
      <c r="AB53" s="6" t="s">
        <v>416</v>
      </c>
      <c r="AC53" s="6" t="s">
        <v>96</v>
      </c>
      <c r="AD53" s="13">
        <v>45177</v>
      </c>
      <c r="AE53" s="6" t="s">
        <v>1648</v>
      </c>
      <c r="AF53" s="6" t="s">
        <v>1485</v>
      </c>
      <c r="AG53" s="6" t="s">
        <v>2170</v>
      </c>
      <c r="AH53" s="6">
        <v>5</v>
      </c>
      <c r="AI53" s="6" t="s">
        <v>237</v>
      </c>
      <c r="AJ53" s="6" t="s">
        <v>2171</v>
      </c>
      <c r="AK53" s="6" t="s">
        <v>1945</v>
      </c>
      <c r="AL53" s="6"/>
      <c r="AM53" s="6" t="s">
        <v>102</v>
      </c>
      <c r="AN53" s="6">
        <v>1800000</v>
      </c>
      <c r="AO53" s="10">
        <v>31500.000000000004</v>
      </c>
      <c r="AP53" s="6"/>
      <c r="AQ53" s="6"/>
      <c r="AR53" s="6"/>
      <c r="AS53" s="18" t="s">
        <v>6606</v>
      </c>
      <c r="AT53" s="18" t="s">
        <v>6892</v>
      </c>
      <c r="AU53" s="19">
        <v>28000</v>
      </c>
      <c r="AV53" s="20">
        <v>3500.0000000000036</v>
      </c>
      <c r="AW53" s="18" t="s">
        <v>6555</v>
      </c>
      <c r="AX53" s="19">
        <v>3500</v>
      </c>
      <c r="AY53" s="20">
        <v>3.637978807091713E-12</v>
      </c>
    </row>
    <row r="54" spans="1:51" x14ac:dyDescent="0.25">
      <c r="A54" s="7">
        <v>52</v>
      </c>
      <c r="B54" s="8" t="s">
        <v>1305</v>
      </c>
      <c r="C54" s="8" t="s">
        <v>2172</v>
      </c>
      <c r="D54" s="8" t="s">
        <v>77</v>
      </c>
      <c r="E54" s="8" t="s">
        <v>47</v>
      </c>
      <c r="F54" s="8" t="s">
        <v>48</v>
      </c>
      <c r="G54" s="8" t="s">
        <v>1080</v>
      </c>
      <c r="H54" s="8" t="s">
        <v>2173</v>
      </c>
      <c r="I54" s="8" t="s">
        <v>2174</v>
      </c>
      <c r="J54" s="8">
        <v>1.75</v>
      </c>
      <c r="K54" s="8">
        <v>21.87</v>
      </c>
      <c r="L54" s="8" t="s">
        <v>2175</v>
      </c>
      <c r="M54" s="8" t="s">
        <v>2176</v>
      </c>
      <c r="N54" s="8" t="s">
        <v>187</v>
      </c>
      <c r="O54" s="8" t="s">
        <v>2177</v>
      </c>
      <c r="P54" s="8" t="s">
        <v>2178</v>
      </c>
      <c r="Q54" s="8" t="s">
        <v>2178</v>
      </c>
      <c r="R54" s="8" t="s">
        <v>2178</v>
      </c>
      <c r="S54" s="8" t="s">
        <v>2179</v>
      </c>
      <c r="T54" s="8">
        <v>2965620</v>
      </c>
      <c r="U54" s="8">
        <v>21183000</v>
      </c>
      <c r="V54" s="8" t="s">
        <v>2180</v>
      </c>
      <c r="W54" s="8" t="s">
        <v>2153</v>
      </c>
      <c r="X54" s="8" t="s">
        <v>2181</v>
      </c>
      <c r="Y54" s="8" t="s">
        <v>2182</v>
      </c>
      <c r="Z54" s="8" t="s">
        <v>64</v>
      </c>
      <c r="AA54" s="8" t="s">
        <v>65</v>
      </c>
      <c r="AB54" s="8" t="s">
        <v>2183</v>
      </c>
      <c r="AC54" s="8" t="s">
        <v>436</v>
      </c>
      <c r="AD54" s="12">
        <v>45176</v>
      </c>
      <c r="AE54" s="8" t="s">
        <v>1648</v>
      </c>
      <c r="AF54" s="8" t="s">
        <v>1162</v>
      </c>
      <c r="AG54" s="8" t="s">
        <v>2184</v>
      </c>
      <c r="AH54" s="8">
        <v>3</v>
      </c>
      <c r="AI54" s="8" t="s">
        <v>237</v>
      </c>
      <c r="AJ54" s="8" t="s">
        <v>2185</v>
      </c>
      <c r="AK54" s="8" t="s">
        <v>1978</v>
      </c>
      <c r="AL54" s="8"/>
      <c r="AM54" s="8" t="s">
        <v>102</v>
      </c>
      <c r="AN54" s="8">
        <v>19064700</v>
      </c>
      <c r="AO54" s="11">
        <v>333632.25000000006</v>
      </c>
      <c r="AP54" s="8"/>
      <c r="AQ54" s="8"/>
      <c r="AR54" s="8"/>
      <c r="AS54" s="18" t="s">
        <v>6607</v>
      </c>
      <c r="AT54" s="18" t="s">
        <v>6893</v>
      </c>
      <c r="AU54" s="19">
        <v>315097</v>
      </c>
      <c r="AV54" s="20">
        <v>18535.250000000058</v>
      </c>
      <c r="AW54" s="18" t="s">
        <v>6555</v>
      </c>
      <c r="AX54" s="19">
        <v>18535</v>
      </c>
      <c r="AY54" s="20">
        <v>0.25000000005820766</v>
      </c>
    </row>
    <row r="55" spans="1:51" x14ac:dyDescent="0.25">
      <c r="A55" s="5">
        <v>53</v>
      </c>
      <c r="B55" s="6" t="s">
        <v>1305</v>
      </c>
      <c r="C55" s="6" t="s">
        <v>2186</v>
      </c>
      <c r="D55" s="6" t="s">
        <v>46</v>
      </c>
      <c r="E55" s="6" t="s">
        <v>47</v>
      </c>
      <c r="F55" s="6" t="s">
        <v>48</v>
      </c>
      <c r="G55" s="6" t="s">
        <v>182</v>
      </c>
      <c r="H55" s="6" t="s">
        <v>2187</v>
      </c>
      <c r="I55" s="6" t="s">
        <v>2188</v>
      </c>
      <c r="J55" s="6">
        <v>2</v>
      </c>
      <c r="K55" s="6">
        <v>22.37</v>
      </c>
      <c r="L55" s="6" t="s">
        <v>2189</v>
      </c>
      <c r="M55" s="6" t="s">
        <v>2190</v>
      </c>
      <c r="N55" s="6" t="s">
        <v>83</v>
      </c>
      <c r="O55" s="6" t="s">
        <v>2191</v>
      </c>
      <c r="P55" s="6" t="s">
        <v>65</v>
      </c>
      <c r="Q55" s="6" t="s">
        <v>2192</v>
      </c>
      <c r="R55" s="6" t="s">
        <v>65</v>
      </c>
      <c r="S55" s="6" t="s">
        <v>2193</v>
      </c>
      <c r="T55" s="6">
        <v>2054500</v>
      </c>
      <c r="U55" s="6">
        <v>2935000</v>
      </c>
      <c r="V55" s="6" t="s">
        <v>2194</v>
      </c>
      <c r="W55" s="6" t="s">
        <v>2153</v>
      </c>
      <c r="X55" s="6" t="s">
        <v>2195</v>
      </c>
      <c r="Y55" s="6" t="s">
        <v>2196</v>
      </c>
      <c r="Z55" s="6" t="s">
        <v>64</v>
      </c>
      <c r="AA55" s="6" t="s">
        <v>65</v>
      </c>
      <c r="AB55" s="6" t="s">
        <v>1696</v>
      </c>
      <c r="AC55" s="6" t="s">
        <v>436</v>
      </c>
      <c r="AD55" s="13">
        <v>45145</v>
      </c>
      <c r="AE55" s="6" t="s">
        <v>1648</v>
      </c>
      <c r="AF55" s="6" t="s">
        <v>1254</v>
      </c>
      <c r="AG55" s="6" t="s">
        <v>2197</v>
      </c>
      <c r="AH55" s="6">
        <v>2</v>
      </c>
      <c r="AI55" s="6" t="s">
        <v>100</v>
      </c>
      <c r="AJ55" s="6" t="s">
        <v>2198</v>
      </c>
      <c r="AK55" s="6" t="s">
        <v>1071</v>
      </c>
      <c r="AL55" s="6"/>
      <c r="AM55" s="6" t="s">
        <v>75</v>
      </c>
      <c r="AN55" s="6">
        <v>2641500</v>
      </c>
      <c r="AO55" s="10">
        <v>52830</v>
      </c>
      <c r="AP55" s="6"/>
      <c r="AQ55" s="6"/>
      <c r="AR55" s="6"/>
      <c r="AS55" s="18" t="s">
        <v>6608</v>
      </c>
      <c r="AT55" s="18"/>
      <c r="AU55" s="19">
        <v>52830</v>
      </c>
      <c r="AV55" s="20">
        <v>0</v>
      </c>
      <c r="AW55" s="18" t="s">
        <v>6555</v>
      </c>
      <c r="AX55" s="18"/>
      <c r="AY55" s="18"/>
    </row>
    <row r="56" spans="1:51" x14ac:dyDescent="0.25">
      <c r="A56" s="7">
        <v>54</v>
      </c>
      <c r="B56" s="8" t="s">
        <v>1305</v>
      </c>
      <c r="C56" s="8" t="s">
        <v>2199</v>
      </c>
      <c r="D56" s="8" t="s">
        <v>136</v>
      </c>
      <c r="E56" s="8" t="s">
        <v>47</v>
      </c>
      <c r="F56" s="8" t="s">
        <v>48</v>
      </c>
      <c r="G56" s="8" t="s">
        <v>2200</v>
      </c>
      <c r="H56" s="8" t="s">
        <v>2201</v>
      </c>
      <c r="I56" s="8" t="s">
        <v>2202</v>
      </c>
      <c r="J56" s="8">
        <v>2</v>
      </c>
      <c r="K56" s="8">
        <v>26.93</v>
      </c>
      <c r="L56" s="8" t="s">
        <v>2203</v>
      </c>
      <c r="M56" s="8" t="s">
        <v>2204</v>
      </c>
      <c r="N56" s="8" t="s">
        <v>2205</v>
      </c>
      <c r="O56" s="8" t="s">
        <v>2206</v>
      </c>
      <c r="P56" s="8" t="s">
        <v>2207</v>
      </c>
      <c r="Q56" s="8" t="s">
        <v>2207</v>
      </c>
      <c r="R56" s="8" t="s">
        <v>2207</v>
      </c>
      <c r="S56" s="8" t="s">
        <v>2208</v>
      </c>
      <c r="T56" s="8">
        <v>1118400</v>
      </c>
      <c r="U56" s="8">
        <v>1398000</v>
      </c>
      <c r="V56" s="8" t="s">
        <v>2209</v>
      </c>
      <c r="W56" s="8" t="s">
        <v>398</v>
      </c>
      <c r="X56" s="8" t="s">
        <v>2210</v>
      </c>
      <c r="Y56" s="8" t="s">
        <v>2211</v>
      </c>
      <c r="Z56" s="8" t="s">
        <v>64</v>
      </c>
      <c r="AA56" s="8" t="s">
        <v>65</v>
      </c>
      <c r="AB56" s="8" t="s">
        <v>2212</v>
      </c>
      <c r="AC56" s="8" t="s">
        <v>151</v>
      </c>
      <c r="AD56" s="8" t="s">
        <v>2065</v>
      </c>
      <c r="AE56" s="8" t="s">
        <v>288</v>
      </c>
      <c r="AF56" s="8" t="s">
        <v>2213</v>
      </c>
      <c r="AG56" s="8" t="s">
        <v>2214</v>
      </c>
      <c r="AH56" s="8">
        <v>5</v>
      </c>
      <c r="AI56" s="8" t="s">
        <v>237</v>
      </c>
      <c r="AJ56" s="8" t="s">
        <v>2215</v>
      </c>
      <c r="AK56" s="8" t="s">
        <v>1542</v>
      </c>
      <c r="AL56" s="8"/>
      <c r="AM56" s="8" t="s">
        <v>75</v>
      </c>
      <c r="AN56" s="8">
        <v>1048500</v>
      </c>
      <c r="AO56" s="11">
        <v>20970</v>
      </c>
      <c r="AP56" s="8"/>
      <c r="AQ56" s="8"/>
      <c r="AR56" s="8"/>
      <c r="AS56" s="18" t="s">
        <v>6609</v>
      </c>
      <c r="AT56" s="18" t="s">
        <v>6894</v>
      </c>
      <c r="AU56" s="19">
        <v>23766</v>
      </c>
      <c r="AV56" s="20">
        <v>-2796</v>
      </c>
      <c r="AW56" s="18" t="s">
        <v>6555</v>
      </c>
      <c r="AX56" s="19">
        <v>-2796</v>
      </c>
      <c r="AY56" s="20">
        <v>0</v>
      </c>
    </row>
    <row r="57" spans="1:51" x14ac:dyDescent="0.25">
      <c r="A57" s="5">
        <v>55</v>
      </c>
      <c r="B57" s="6" t="s">
        <v>1305</v>
      </c>
      <c r="C57" s="6" t="s">
        <v>2216</v>
      </c>
      <c r="D57" s="6" t="s">
        <v>136</v>
      </c>
      <c r="E57" s="6" t="s">
        <v>47</v>
      </c>
      <c r="F57" s="6" t="s">
        <v>48</v>
      </c>
      <c r="G57" s="6" t="s">
        <v>1323</v>
      </c>
      <c r="H57" s="6" t="s">
        <v>2217</v>
      </c>
      <c r="I57" s="6" t="s">
        <v>2218</v>
      </c>
      <c r="J57" s="6">
        <v>2</v>
      </c>
      <c r="K57" s="6">
        <v>21.8</v>
      </c>
      <c r="L57" s="6" t="s">
        <v>2219</v>
      </c>
      <c r="M57" s="6" t="s">
        <v>2220</v>
      </c>
      <c r="N57" s="6" t="s">
        <v>54</v>
      </c>
      <c r="O57" s="6" t="s">
        <v>2221</v>
      </c>
      <c r="P57" s="6" t="s">
        <v>2222</v>
      </c>
      <c r="Q57" s="6" t="s">
        <v>2223</v>
      </c>
      <c r="R57" s="6" t="s">
        <v>2222</v>
      </c>
      <c r="S57" s="6" t="s">
        <v>2224</v>
      </c>
      <c r="T57" s="6">
        <v>1853280</v>
      </c>
      <c r="U57" s="6">
        <v>2574000</v>
      </c>
      <c r="V57" s="6" t="s">
        <v>2225</v>
      </c>
      <c r="W57" s="6" t="s">
        <v>398</v>
      </c>
      <c r="X57" s="6" t="s">
        <v>2226</v>
      </c>
      <c r="Y57" s="6" t="s">
        <v>2227</v>
      </c>
      <c r="Z57" s="6" t="s">
        <v>64</v>
      </c>
      <c r="AA57" s="6" t="s">
        <v>65</v>
      </c>
      <c r="AB57" s="6" t="s">
        <v>2228</v>
      </c>
      <c r="AC57" s="6" t="s">
        <v>151</v>
      </c>
      <c r="AD57" s="6" t="s">
        <v>2229</v>
      </c>
      <c r="AE57" s="6" t="s">
        <v>1253</v>
      </c>
      <c r="AF57" s="6" t="s">
        <v>1254</v>
      </c>
      <c r="AG57" s="6" t="s">
        <v>2230</v>
      </c>
      <c r="AH57" s="6">
        <v>5</v>
      </c>
      <c r="AI57" s="6" t="s">
        <v>237</v>
      </c>
      <c r="AJ57" s="6" t="s">
        <v>2231</v>
      </c>
      <c r="AK57" s="6" t="s">
        <v>1542</v>
      </c>
      <c r="AL57" s="6"/>
      <c r="AM57" s="6" t="s">
        <v>75</v>
      </c>
      <c r="AN57" s="6">
        <v>1930500</v>
      </c>
      <c r="AO57" s="10">
        <v>38610</v>
      </c>
      <c r="AP57" s="6"/>
      <c r="AQ57" s="6"/>
      <c r="AR57" s="6"/>
      <c r="AS57" s="18" t="s">
        <v>6610</v>
      </c>
      <c r="AT57" s="18" t="s">
        <v>6895</v>
      </c>
      <c r="AU57" s="19">
        <v>43758</v>
      </c>
      <c r="AV57" s="20">
        <v>-5148</v>
      </c>
      <c r="AW57" s="18" t="s">
        <v>6555</v>
      </c>
      <c r="AX57" s="19">
        <v>-5148</v>
      </c>
      <c r="AY57" s="20">
        <v>0</v>
      </c>
    </row>
    <row r="58" spans="1:51" x14ac:dyDescent="0.25">
      <c r="A58" s="7">
        <v>56</v>
      </c>
      <c r="B58" s="8" t="s">
        <v>1305</v>
      </c>
      <c r="C58" s="8" t="s">
        <v>2232</v>
      </c>
      <c r="D58" s="8" t="s">
        <v>77</v>
      </c>
      <c r="E58" s="8" t="s">
        <v>47</v>
      </c>
      <c r="F58" s="8" t="s">
        <v>48</v>
      </c>
      <c r="G58" s="8" t="s">
        <v>78</v>
      </c>
      <c r="H58" s="8" t="s">
        <v>2233</v>
      </c>
      <c r="I58" s="8" t="s">
        <v>2234</v>
      </c>
      <c r="J58" s="8">
        <v>2</v>
      </c>
      <c r="K58" s="8">
        <v>21.78</v>
      </c>
      <c r="L58" s="8" t="s">
        <v>2235</v>
      </c>
      <c r="M58" s="8" t="s">
        <v>2236</v>
      </c>
      <c r="N58" s="8" t="s">
        <v>83</v>
      </c>
      <c r="O58" s="8" t="s">
        <v>2237</v>
      </c>
      <c r="P58" s="8" t="s">
        <v>2238</v>
      </c>
      <c r="Q58" s="8" t="s">
        <v>2238</v>
      </c>
      <c r="R58" s="8" t="s">
        <v>2238</v>
      </c>
      <c r="S58" s="8" t="s">
        <v>2239</v>
      </c>
      <c r="T58" s="8">
        <v>1662500</v>
      </c>
      <c r="U58" s="8">
        <v>2375000</v>
      </c>
      <c r="V58" s="8" t="s">
        <v>2240</v>
      </c>
      <c r="W58" s="8" t="s">
        <v>2241</v>
      </c>
      <c r="X58" s="8" t="s">
        <v>2242</v>
      </c>
      <c r="Y58" s="8" t="s">
        <v>2243</v>
      </c>
      <c r="Z58" s="8" t="s">
        <v>93</v>
      </c>
      <c r="AA58" s="8" t="s">
        <v>2244</v>
      </c>
      <c r="AB58" s="8" t="s">
        <v>2245</v>
      </c>
      <c r="AC58" s="8" t="s">
        <v>552</v>
      </c>
      <c r="AD58" s="8" t="s">
        <v>876</v>
      </c>
      <c r="AE58" s="8" t="s">
        <v>1127</v>
      </c>
      <c r="AF58" s="8" t="s">
        <v>1162</v>
      </c>
      <c r="AG58" s="8" t="s">
        <v>2246</v>
      </c>
      <c r="AH58" s="8">
        <v>5</v>
      </c>
      <c r="AI58" s="8" t="s">
        <v>237</v>
      </c>
      <c r="AJ58" s="8" t="s">
        <v>2247</v>
      </c>
      <c r="AK58" s="8" t="s">
        <v>2049</v>
      </c>
      <c r="AL58" s="8"/>
      <c r="AM58" s="8" t="s">
        <v>75</v>
      </c>
      <c r="AN58" s="8">
        <v>1900000</v>
      </c>
      <c r="AO58" s="11">
        <v>38000</v>
      </c>
      <c r="AP58" s="8"/>
      <c r="AQ58" s="8"/>
      <c r="AR58" s="8"/>
      <c r="AS58" s="18" t="s">
        <v>6611</v>
      </c>
      <c r="AT58" s="18"/>
      <c r="AU58" s="19">
        <v>38000</v>
      </c>
      <c r="AV58" s="20">
        <v>0</v>
      </c>
      <c r="AW58" s="18" t="s">
        <v>6555</v>
      </c>
      <c r="AX58" s="18"/>
      <c r="AY58" s="18"/>
    </row>
    <row r="59" spans="1:51" x14ac:dyDescent="0.25">
      <c r="A59" s="5">
        <v>57</v>
      </c>
      <c r="B59" s="6" t="s">
        <v>1305</v>
      </c>
      <c r="C59" s="6" t="s">
        <v>2248</v>
      </c>
      <c r="D59" s="6" t="s">
        <v>241</v>
      </c>
      <c r="E59" s="6" t="s">
        <v>47</v>
      </c>
      <c r="F59" s="6" t="s">
        <v>48</v>
      </c>
      <c r="G59" s="6" t="s">
        <v>313</v>
      </c>
      <c r="H59" s="6" t="s">
        <v>2249</v>
      </c>
      <c r="I59" s="6" t="s">
        <v>2250</v>
      </c>
      <c r="J59" s="6">
        <v>2</v>
      </c>
      <c r="K59" s="6">
        <v>22.47</v>
      </c>
      <c r="L59" s="6" t="s">
        <v>2251</v>
      </c>
      <c r="M59" s="6" t="s">
        <v>2252</v>
      </c>
      <c r="N59" s="6" t="s">
        <v>83</v>
      </c>
      <c r="O59" s="6" t="s">
        <v>2253</v>
      </c>
      <c r="P59" s="6" t="s">
        <v>2254</v>
      </c>
      <c r="Q59" s="6" t="s">
        <v>2254</v>
      </c>
      <c r="R59" s="6" t="s">
        <v>2254</v>
      </c>
      <c r="S59" s="6" t="s">
        <v>2255</v>
      </c>
      <c r="T59" s="6">
        <v>1690500</v>
      </c>
      <c r="U59" s="6">
        <v>2415000</v>
      </c>
      <c r="V59" s="6" t="s">
        <v>2256</v>
      </c>
      <c r="W59" s="6" t="s">
        <v>1035</v>
      </c>
      <c r="X59" s="6" t="s">
        <v>2257</v>
      </c>
      <c r="Y59" s="6" t="s">
        <v>2258</v>
      </c>
      <c r="Z59" s="6" t="s">
        <v>64</v>
      </c>
      <c r="AA59" s="6" t="s">
        <v>65</v>
      </c>
      <c r="AB59" s="6" t="s">
        <v>2259</v>
      </c>
      <c r="AC59" s="6" t="s">
        <v>67</v>
      </c>
      <c r="AD59" s="6" t="s">
        <v>2260</v>
      </c>
      <c r="AE59" s="6" t="s">
        <v>1127</v>
      </c>
      <c r="AF59" s="6" t="s">
        <v>1162</v>
      </c>
      <c r="AG59" s="6" t="s">
        <v>2261</v>
      </c>
      <c r="AH59" s="6">
        <v>5</v>
      </c>
      <c r="AI59" s="6" t="s">
        <v>237</v>
      </c>
      <c r="AJ59" s="6" t="s">
        <v>2262</v>
      </c>
      <c r="AK59" s="6" t="s">
        <v>1523</v>
      </c>
      <c r="AL59" s="6"/>
      <c r="AM59" s="6" t="s">
        <v>75</v>
      </c>
      <c r="AN59" s="6">
        <v>1932000</v>
      </c>
      <c r="AO59" s="10">
        <v>38640</v>
      </c>
      <c r="AP59" s="6"/>
      <c r="AQ59" s="6"/>
      <c r="AR59" s="6"/>
      <c r="AS59" s="18" t="s">
        <v>6612</v>
      </c>
      <c r="AT59" s="18"/>
      <c r="AU59" s="19">
        <v>38640</v>
      </c>
      <c r="AV59" s="20">
        <v>0</v>
      </c>
      <c r="AW59" s="18" t="s">
        <v>6555</v>
      </c>
      <c r="AX59" s="18"/>
      <c r="AY59" s="18"/>
    </row>
    <row r="60" spans="1:51" x14ac:dyDescent="0.25">
      <c r="A60" s="7">
        <v>58</v>
      </c>
      <c r="B60" s="8" t="s">
        <v>1305</v>
      </c>
      <c r="C60" s="8" t="s">
        <v>2263</v>
      </c>
      <c r="D60" s="8" t="s">
        <v>46</v>
      </c>
      <c r="E60" s="8" t="s">
        <v>47</v>
      </c>
      <c r="F60" s="8" t="s">
        <v>48</v>
      </c>
      <c r="G60" s="8" t="s">
        <v>1080</v>
      </c>
      <c r="H60" s="8" t="s">
        <v>2264</v>
      </c>
      <c r="I60" s="8" t="s">
        <v>2265</v>
      </c>
      <c r="J60" s="8">
        <v>1.75</v>
      </c>
      <c r="K60" s="8">
        <v>25.85</v>
      </c>
      <c r="L60" s="8" t="s">
        <v>2266</v>
      </c>
      <c r="M60" s="8" t="s">
        <v>2267</v>
      </c>
      <c r="N60" s="8" t="s">
        <v>187</v>
      </c>
      <c r="O60" s="8" t="s">
        <v>2268</v>
      </c>
      <c r="P60" s="8" t="s">
        <v>2269</v>
      </c>
      <c r="Q60" s="8" t="s">
        <v>2269</v>
      </c>
      <c r="R60" s="8" t="s">
        <v>2269</v>
      </c>
      <c r="S60" s="8" t="s">
        <v>2270</v>
      </c>
      <c r="T60" s="8">
        <v>1678720</v>
      </c>
      <c r="U60" s="8">
        <v>2623000</v>
      </c>
      <c r="V60" s="8" t="s">
        <v>2271</v>
      </c>
      <c r="W60" s="8" t="s">
        <v>1035</v>
      </c>
      <c r="X60" s="8" t="s">
        <v>2272</v>
      </c>
      <c r="Y60" s="8" t="s">
        <v>2273</v>
      </c>
      <c r="Z60" s="8" t="s">
        <v>64</v>
      </c>
      <c r="AA60" s="8" t="s">
        <v>65</v>
      </c>
      <c r="AB60" s="8" t="s">
        <v>2274</v>
      </c>
      <c r="AC60" s="8" t="s">
        <v>67</v>
      </c>
      <c r="AD60" s="8" t="s">
        <v>2275</v>
      </c>
      <c r="AE60" s="8" t="s">
        <v>69</v>
      </c>
      <c r="AF60" s="8" t="s">
        <v>1319</v>
      </c>
      <c r="AG60" s="8" t="s">
        <v>2276</v>
      </c>
      <c r="AH60" s="8">
        <v>7</v>
      </c>
      <c r="AI60" s="8" t="s">
        <v>237</v>
      </c>
      <c r="AJ60" s="8" t="s">
        <v>2277</v>
      </c>
      <c r="AK60" s="8" t="s">
        <v>2049</v>
      </c>
      <c r="AL60" s="8"/>
      <c r="AM60" s="8" t="s">
        <v>102</v>
      </c>
      <c r="AN60" s="8">
        <v>2098400</v>
      </c>
      <c r="AO60" s="11">
        <v>36722</v>
      </c>
      <c r="AP60" s="8"/>
      <c r="AQ60" s="8"/>
      <c r="AR60" s="8"/>
      <c r="AS60" s="18" t="s">
        <v>6613</v>
      </c>
      <c r="AT60" s="18"/>
      <c r="AU60" s="19">
        <v>36722</v>
      </c>
      <c r="AV60" s="20">
        <v>0</v>
      </c>
      <c r="AW60" s="18" t="s">
        <v>6555</v>
      </c>
      <c r="AX60" s="18"/>
      <c r="AY60" s="18"/>
    </row>
    <row r="61" spans="1:51" x14ac:dyDescent="0.25">
      <c r="A61" s="5">
        <v>59</v>
      </c>
      <c r="B61" s="6" t="s">
        <v>1305</v>
      </c>
      <c r="C61" s="6" t="s">
        <v>2278</v>
      </c>
      <c r="D61" s="6" t="s">
        <v>136</v>
      </c>
      <c r="E61" s="6" t="s">
        <v>47</v>
      </c>
      <c r="F61" s="6" t="s">
        <v>48</v>
      </c>
      <c r="G61" s="6" t="s">
        <v>182</v>
      </c>
      <c r="H61" s="6" t="s">
        <v>2279</v>
      </c>
      <c r="I61" s="6" t="s">
        <v>2280</v>
      </c>
      <c r="J61" s="6">
        <v>1.5</v>
      </c>
      <c r="K61" s="6">
        <v>20.8</v>
      </c>
      <c r="L61" s="6" t="s">
        <v>2281</v>
      </c>
      <c r="M61" s="6" t="s">
        <v>2282</v>
      </c>
      <c r="N61" s="6" t="s">
        <v>54</v>
      </c>
      <c r="O61" s="6" t="s">
        <v>2283</v>
      </c>
      <c r="P61" s="6" t="s">
        <v>2284</v>
      </c>
      <c r="Q61" s="6" t="s">
        <v>2285</v>
      </c>
      <c r="R61" s="6" t="s">
        <v>2286</v>
      </c>
      <c r="S61" s="6" t="s">
        <v>2287</v>
      </c>
      <c r="T61" s="6">
        <v>3674250</v>
      </c>
      <c r="U61" s="6">
        <v>4899000</v>
      </c>
      <c r="V61" s="6" t="s">
        <v>2288</v>
      </c>
      <c r="W61" s="6" t="s">
        <v>398</v>
      </c>
      <c r="X61" s="6" t="s">
        <v>2289</v>
      </c>
      <c r="Y61" s="6" t="s">
        <v>2290</v>
      </c>
      <c r="Z61" s="6" t="s">
        <v>64</v>
      </c>
      <c r="AA61" s="6" t="s">
        <v>65</v>
      </c>
      <c r="AB61" s="6" t="s">
        <v>132</v>
      </c>
      <c r="AC61" s="6" t="s">
        <v>151</v>
      </c>
      <c r="AD61" s="6" t="s">
        <v>2291</v>
      </c>
      <c r="AE61" s="6" t="s">
        <v>1253</v>
      </c>
      <c r="AF61" s="6" t="s">
        <v>1254</v>
      </c>
      <c r="AG61" s="6" t="s">
        <v>2292</v>
      </c>
      <c r="AH61" s="6">
        <v>5</v>
      </c>
      <c r="AI61" s="6" t="s">
        <v>65</v>
      </c>
      <c r="AJ61" s="6" t="s">
        <v>65</v>
      </c>
      <c r="AK61" s="6" t="s">
        <v>65</v>
      </c>
      <c r="AL61" s="6"/>
      <c r="AM61" s="6" t="s">
        <v>157</v>
      </c>
      <c r="AN61" s="6">
        <v>3674250</v>
      </c>
      <c r="AO61" s="10">
        <v>55113.75</v>
      </c>
      <c r="AP61" s="6"/>
      <c r="AQ61" s="6"/>
      <c r="AR61" s="6"/>
      <c r="AS61" s="18" t="s">
        <v>6614</v>
      </c>
      <c r="AT61" s="18" t="s">
        <v>6896</v>
      </c>
      <c r="AU61" s="19">
        <v>62462</v>
      </c>
      <c r="AV61" s="20">
        <v>-7348.25</v>
      </c>
      <c r="AW61" s="18" t="s">
        <v>6555</v>
      </c>
      <c r="AX61" s="19">
        <v>-7349</v>
      </c>
      <c r="AY61" s="20">
        <v>0.75</v>
      </c>
    </row>
    <row r="62" spans="1:51" x14ac:dyDescent="0.25">
      <c r="A62" s="7">
        <v>60</v>
      </c>
      <c r="B62" s="8" t="s">
        <v>1305</v>
      </c>
      <c r="C62" s="8" t="s">
        <v>2293</v>
      </c>
      <c r="D62" s="8" t="s">
        <v>46</v>
      </c>
      <c r="E62" s="8" t="s">
        <v>47</v>
      </c>
      <c r="F62" s="8" t="s">
        <v>48</v>
      </c>
      <c r="G62" s="8" t="s">
        <v>2294</v>
      </c>
      <c r="H62" s="8" t="s">
        <v>2295</v>
      </c>
      <c r="I62" s="8" t="s">
        <v>2296</v>
      </c>
      <c r="J62" s="8">
        <v>2</v>
      </c>
      <c r="K62" s="8">
        <v>21.96</v>
      </c>
      <c r="L62" s="8" t="s">
        <v>2297</v>
      </c>
      <c r="M62" s="8" t="s">
        <v>2298</v>
      </c>
      <c r="N62" s="8" t="s">
        <v>83</v>
      </c>
      <c r="O62" s="8" t="s">
        <v>2299</v>
      </c>
      <c r="P62" s="8" t="s">
        <v>65</v>
      </c>
      <c r="Q62" s="8" t="s">
        <v>2300</v>
      </c>
      <c r="R62" s="8" t="s">
        <v>65</v>
      </c>
      <c r="S62" s="8" t="s">
        <v>2301</v>
      </c>
      <c r="T62" s="8">
        <v>3311200</v>
      </c>
      <c r="U62" s="8">
        <v>4139000</v>
      </c>
      <c r="V62" s="8" t="s">
        <v>2302</v>
      </c>
      <c r="W62" s="8" t="s">
        <v>1035</v>
      </c>
      <c r="X62" s="8" t="s">
        <v>2303</v>
      </c>
      <c r="Y62" s="8" t="s">
        <v>2304</v>
      </c>
      <c r="Z62" s="8" t="s">
        <v>64</v>
      </c>
      <c r="AA62" s="8" t="s">
        <v>65</v>
      </c>
      <c r="AB62" s="8" t="s">
        <v>873</v>
      </c>
      <c r="AC62" s="8" t="s">
        <v>67</v>
      </c>
      <c r="AD62" s="8" t="s">
        <v>1056</v>
      </c>
      <c r="AE62" s="8" t="s">
        <v>1127</v>
      </c>
      <c r="AF62" s="8" t="s">
        <v>1162</v>
      </c>
      <c r="AG62" s="8" t="s">
        <v>2305</v>
      </c>
      <c r="AH62" s="8">
        <v>5</v>
      </c>
      <c r="AI62" s="8" t="s">
        <v>198</v>
      </c>
      <c r="AJ62" s="8" t="s">
        <v>2306</v>
      </c>
      <c r="AK62" s="8" t="s">
        <v>2307</v>
      </c>
      <c r="AL62" s="8"/>
      <c r="AM62" s="8" t="s">
        <v>75</v>
      </c>
      <c r="AN62" s="8">
        <v>3311200</v>
      </c>
      <c r="AO62" s="11">
        <v>66224</v>
      </c>
      <c r="AP62" s="8"/>
      <c r="AQ62" s="8"/>
      <c r="AR62" s="8"/>
      <c r="AS62" s="18" t="s">
        <v>6615</v>
      </c>
      <c r="AT62" s="18"/>
      <c r="AU62" s="19">
        <v>66224</v>
      </c>
      <c r="AV62" s="20">
        <v>0</v>
      </c>
      <c r="AW62" s="18" t="s">
        <v>6555</v>
      </c>
      <c r="AX62" s="18"/>
      <c r="AY62" s="18"/>
    </row>
    <row r="63" spans="1:51" x14ac:dyDescent="0.25">
      <c r="A63" s="5">
        <v>61</v>
      </c>
      <c r="B63" s="6" t="s">
        <v>1305</v>
      </c>
      <c r="C63" s="6" t="s">
        <v>2308</v>
      </c>
      <c r="D63" s="6" t="s">
        <v>46</v>
      </c>
      <c r="E63" s="6" t="s">
        <v>47</v>
      </c>
      <c r="F63" s="6" t="s">
        <v>48</v>
      </c>
      <c r="G63" s="6" t="s">
        <v>2309</v>
      </c>
      <c r="H63" s="6" t="s">
        <v>2310</v>
      </c>
      <c r="I63" s="6" t="s">
        <v>2311</v>
      </c>
      <c r="J63" s="6">
        <v>1.75</v>
      </c>
      <c r="K63" s="6">
        <v>21.97</v>
      </c>
      <c r="L63" s="6" t="s">
        <v>2312</v>
      </c>
      <c r="M63" s="6" t="s">
        <v>2313</v>
      </c>
      <c r="N63" s="6" t="s">
        <v>83</v>
      </c>
      <c r="O63" s="6" t="s">
        <v>2314</v>
      </c>
      <c r="P63" s="6" t="s">
        <v>65</v>
      </c>
      <c r="Q63" s="6" t="s">
        <v>2315</v>
      </c>
      <c r="R63" s="6" t="s">
        <v>65</v>
      </c>
      <c r="S63" s="6" t="s">
        <v>2316</v>
      </c>
      <c r="T63" s="6">
        <v>5794800</v>
      </c>
      <c r="U63" s="6">
        <v>9658000</v>
      </c>
      <c r="V63" s="6" t="s">
        <v>2317</v>
      </c>
      <c r="W63" s="6" t="s">
        <v>1035</v>
      </c>
      <c r="X63" s="6" t="s">
        <v>2318</v>
      </c>
      <c r="Y63" s="6" t="s">
        <v>2319</v>
      </c>
      <c r="Z63" s="6" t="s">
        <v>64</v>
      </c>
      <c r="AA63" s="6" t="s">
        <v>65</v>
      </c>
      <c r="AB63" s="6" t="s">
        <v>2320</v>
      </c>
      <c r="AC63" s="6" t="s">
        <v>67</v>
      </c>
      <c r="AD63" s="6" t="s">
        <v>1146</v>
      </c>
      <c r="AE63" s="6" t="s">
        <v>1127</v>
      </c>
      <c r="AF63" s="6" t="s">
        <v>1254</v>
      </c>
      <c r="AG63" s="6" t="s">
        <v>2321</v>
      </c>
      <c r="AH63" s="6">
        <v>4</v>
      </c>
      <c r="AI63" s="6" t="s">
        <v>237</v>
      </c>
      <c r="AJ63" s="6" t="s">
        <v>2322</v>
      </c>
      <c r="AK63" s="6" t="s">
        <v>2323</v>
      </c>
      <c r="AL63" s="6"/>
      <c r="AM63" s="6" t="s">
        <v>102</v>
      </c>
      <c r="AN63" s="6">
        <v>7726400</v>
      </c>
      <c r="AO63" s="10">
        <v>135212</v>
      </c>
      <c r="AP63" s="6"/>
      <c r="AQ63" s="6"/>
      <c r="AR63" s="6"/>
      <c r="AS63" s="18" t="s">
        <v>6616</v>
      </c>
      <c r="AT63" s="18" t="s">
        <v>6897</v>
      </c>
      <c r="AU63" s="19">
        <v>143663</v>
      </c>
      <c r="AV63" s="20">
        <v>-8451</v>
      </c>
      <c r="AW63" s="18" t="s">
        <v>6555</v>
      </c>
      <c r="AX63" s="19">
        <v>-8451</v>
      </c>
      <c r="AY63" s="20">
        <v>0</v>
      </c>
    </row>
    <row r="64" spans="1:51" x14ac:dyDescent="0.25">
      <c r="A64" s="7">
        <v>62</v>
      </c>
      <c r="B64" s="8" t="s">
        <v>1305</v>
      </c>
      <c r="C64" s="8" t="s">
        <v>2341</v>
      </c>
      <c r="D64" s="8" t="s">
        <v>241</v>
      </c>
      <c r="E64" s="8" t="s">
        <v>47</v>
      </c>
      <c r="F64" s="8" t="s">
        <v>48</v>
      </c>
      <c r="G64" s="8" t="s">
        <v>1416</v>
      </c>
      <c r="H64" s="8" t="s">
        <v>2342</v>
      </c>
      <c r="I64" s="8" t="s">
        <v>2343</v>
      </c>
      <c r="J64" s="8">
        <v>1.5</v>
      </c>
      <c r="K64" s="8">
        <v>26.69</v>
      </c>
      <c r="L64" s="8" t="s">
        <v>2344</v>
      </c>
      <c r="M64" s="8" t="s">
        <v>2345</v>
      </c>
      <c r="N64" s="8" t="s">
        <v>83</v>
      </c>
      <c r="O64" s="8" t="s">
        <v>2346</v>
      </c>
      <c r="P64" s="8" t="s">
        <v>2347</v>
      </c>
      <c r="Q64" s="8" t="s">
        <v>2347</v>
      </c>
      <c r="R64" s="8" t="s">
        <v>167</v>
      </c>
      <c r="S64" s="8" t="s">
        <v>2348</v>
      </c>
      <c r="T64" s="8">
        <v>2999400</v>
      </c>
      <c r="U64" s="8">
        <v>4999000</v>
      </c>
      <c r="V64" s="8" t="s">
        <v>2349</v>
      </c>
      <c r="W64" s="8" t="s">
        <v>1978</v>
      </c>
      <c r="X64" s="8" t="s">
        <v>2350</v>
      </c>
      <c r="Y64" s="8" t="s">
        <v>2351</v>
      </c>
      <c r="Z64" s="8" t="s">
        <v>64</v>
      </c>
      <c r="AA64" s="8" t="s">
        <v>65</v>
      </c>
      <c r="AB64" s="8" t="s">
        <v>2352</v>
      </c>
      <c r="AC64" s="8" t="s">
        <v>531</v>
      </c>
      <c r="AD64" s="8" t="s">
        <v>1078</v>
      </c>
      <c r="AE64" s="8" t="s">
        <v>453</v>
      </c>
      <c r="AF64" s="8" t="s">
        <v>1430</v>
      </c>
      <c r="AG64" s="8" t="s">
        <v>2353</v>
      </c>
      <c r="AH64" s="8">
        <v>3</v>
      </c>
      <c r="AI64" s="8" t="s">
        <v>72</v>
      </c>
      <c r="AJ64" s="8" t="s">
        <v>2354</v>
      </c>
      <c r="AK64" s="8" t="s">
        <v>1215</v>
      </c>
      <c r="AL64" s="8"/>
      <c r="AM64" s="8" t="s">
        <v>157</v>
      </c>
      <c r="AN64" s="8">
        <v>4249150</v>
      </c>
      <c r="AO64" s="11">
        <v>63737.25</v>
      </c>
      <c r="AP64" s="8"/>
      <c r="AQ64" s="8"/>
      <c r="AR64" s="8"/>
      <c r="AS64" s="18" t="s">
        <v>6617</v>
      </c>
      <c r="AT64" s="18"/>
      <c r="AU64" s="19">
        <v>63737</v>
      </c>
      <c r="AV64" s="20">
        <v>0.25</v>
      </c>
      <c r="AW64" s="18" t="s">
        <v>6555</v>
      </c>
      <c r="AX64" s="18"/>
      <c r="AY64" s="18"/>
    </row>
    <row r="65" spans="1:51" x14ac:dyDescent="0.25">
      <c r="A65" s="5">
        <v>63</v>
      </c>
      <c r="B65" s="6" t="s">
        <v>1305</v>
      </c>
      <c r="C65" s="6" t="s">
        <v>2355</v>
      </c>
      <c r="D65" s="6" t="s">
        <v>77</v>
      </c>
      <c r="E65" s="6" t="s">
        <v>47</v>
      </c>
      <c r="F65" s="6" t="s">
        <v>48</v>
      </c>
      <c r="G65" s="6" t="s">
        <v>2356</v>
      </c>
      <c r="H65" s="6" t="s">
        <v>2357</v>
      </c>
      <c r="I65" s="6" t="s">
        <v>2358</v>
      </c>
      <c r="J65" s="6">
        <v>1.5</v>
      </c>
      <c r="K65" s="6">
        <v>25.44</v>
      </c>
      <c r="L65" s="6" t="s">
        <v>2359</v>
      </c>
      <c r="M65" s="6" t="s">
        <v>2360</v>
      </c>
      <c r="N65" s="6" t="s">
        <v>83</v>
      </c>
      <c r="O65" s="6" t="s">
        <v>2361</v>
      </c>
      <c r="P65" s="6" t="s">
        <v>2362</v>
      </c>
      <c r="Q65" s="6" t="s">
        <v>2363</v>
      </c>
      <c r="R65" s="6" t="s">
        <v>65</v>
      </c>
      <c r="S65" s="6" t="s">
        <v>2364</v>
      </c>
      <c r="T65" s="6">
        <v>1435000</v>
      </c>
      <c r="U65" s="6">
        <v>2050000</v>
      </c>
      <c r="V65" s="6" t="s">
        <v>2365</v>
      </c>
      <c r="W65" s="6" t="s">
        <v>1978</v>
      </c>
      <c r="X65" s="6" t="s">
        <v>2366</v>
      </c>
      <c r="Y65" s="6" t="s">
        <v>2367</v>
      </c>
      <c r="Z65" s="6" t="s">
        <v>93</v>
      </c>
      <c r="AA65" s="6" t="s">
        <v>2368</v>
      </c>
      <c r="AB65" s="6" t="s">
        <v>2369</v>
      </c>
      <c r="AC65" s="6" t="s">
        <v>67</v>
      </c>
      <c r="AD65" s="6" t="s">
        <v>677</v>
      </c>
      <c r="AE65" s="6" t="s">
        <v>453</v>
      </c>
      <c r="AF65" s="6" t="s">
        <v>2370</v>
      </c>
      <c r="AG65" s="6" t="s">
        <v>2371</v>
      </c>
      <c r="AH65" s="6">
        <v>5</v>
      </c>
      <c r="AI65" s="6" t="s">
        <v>100</v>
      </c>
      <c r="AJ65" s="6" t="s">
        <v>2372</v>
      </c>
      <c r="AK65" s="6" t="s">
        <v>971</v>
      </c>
      <c r="AL65" s="6"/>
      <c r="AM65" s="6" t="s">
        <v>157</v>
      </c>
      <c r="AN65" s="6">
        <v>1742500</v>
      </c>
      <c r="AO65" s="10">
        <v>26137.5</v>
      </c>
      <c r="AP65" s="6"/>
      <c r="AQ65" s="6"/>
      <c r="AR65" s="6"/>
      <c r="AS65" s="18" t="s">
        <v>6618</v>
      </c>
      <c r="AT65" s="18" t="s">
        <v>6898</v>
      </c>
      <c r="AU65" s="19">
        <v>23063</v>
      </c>
      <c r="AV65" s="20">
        <v>3074.5</v>
      </c>
      <c r="AW65" s="18" t="s">
        <v>6555</v>
      </c>
      <c r="AX65" s="19">
        <v>3075</v>
      </c>
      <c r="AY65" s="20">
        <v>-0.5</v>
      </c>
    </row>
    <row r="66" spans="1:51" x14ac:dyDescent="0.25">
      <c r="A66" s="7">
        <v>64</v>
      </c>
      <c r="B66" s="8" t="s">
        <v>1305</v>
      </c>
      <c r="C66" s="8" t="s">
        <v>2392</v>
      </c>
      <c r="D66" s="8" t="s">
        <v>277</v>
      </c>
      <c r="E66" s="8" t="s">
        <v>47</v>
      </c>
      <c r="F66" s="8" t="s">
        <v>48</v>
      </c>
      <c r="G66" s="8" t="s">
        <v>2393</v>
      </c>
      <c r="H66" s="8" t="s">
        <v>2394</v>
      </c>
      <c r="I66" s="8" t="s">
        <v>2395</v>
      </c>
      <c r="J66" s="8">
        <v>1.75</v>
      </c>
      <c r="K66" s="8">
        <v>22.87</v>
      </c>
      <c r="L66" s="8" t="s">
        <v>2396</v>
      </c>
      <c r="M66" s="8" t="s">
        <v>2397</v>
      </c>
      <c r="N66" s="8" t="s">
        <v>265</v>
      </c>
      <c r="O66" s="8" t="s">
        <v>2398</v>
      </c>
      <c r="P66" s="8" t="s">
        <v>65</v>
      </c>
      <c r="Q66" s="8" t="s">
        <v>2399</v>
      </c>
      <c r="R66" s="8" t="s">
        <v>65</v>
      </c>
      <c r="S66" s="8" t="s">
        <v>2400</v>
      </c>
      <c r="T66" s="8">
        <v>877500</v>
      </c>
      <c r="U66" s="8">
        <v>1350000</v>
      </c>
      <c r="V66" s="8" t="s">
        <v>2401</v>
      </c>
      <c r="W66" s="8" t="s">
        <v>2402</v>
      </c>
      <c r="X66" s="8" t="s">
        <v>2403</v>
      </c>
      <c r="Y66" s="8" t="s">
        <v>2404</v>
      </c>
      <c r="Z66" s="8" t="s">
        <v>93</v>
      </c>
      <c r="AA66" s="8" t="s">
        <v>2405</v>
      </c>
      <c r="AB66" s="8" t="s">
        <v>2406</v>
      </c>
      <c r="AC66" s="8" t="s">
        <v>175</v>
      </c>
      <c r="AD66" s="12">
        <v>45180</v>
      </c>
      <c r="AE66" s="8" t="s">
        <v>1648</v>
      </c>
      <c r="AF66" s="8" t="s">
        <v>1485</v>
      </c>
      <c r="AG66" s="8" t="s">
        <v>2407</v>
      </c>
      <c r="AH66" s="8">
        <v>5</v>
      </c>
      <c r="AI66" s="8" t="s">
        <v>237</v>
      </c>
      <c r="AJ66" s="8" t="s">
        <v>2408</v>
      </c>
      <c r="AK66" s="8" t="s">
        <v>1945</v>
      </c>
      <c r="AL66" s="8"/>
      <c r="AM66" s="8" t="s">
        <v>102</v>
      </c>
      <c r="AN66" s="8">
        <v>1215000</v>
      </c>
      <c r="AO66" s="11">
        <v>21262.500000000004</v>
      </c>
      <c r="AP66" s="8"/>
      <c r="AQ66" s="8"/>
      <c r="AR66" s="8"/>
      <c r="AS66" s="18" t="s">
        <v>6619</v>
      </c>
      <c r="AT66" s="18" t="s">
        <v>6899</v>
      </c>
      <c r="AU66" s="19">
        <v>18900</v>
      </c>
      <c r="AV66" s="20">
        <v>2362.5000000000036</v>
      </c>
      <c r="AW66" s="18" t="s">
        <v>6555</v>
      </c>
      <c r="AX66" s="19">
        <v>2363</v>
      </c>
      <c r="AY66" s="20">
        <v>-0.49999999999636202</v>
      </c>
    </row>
    <row r="67" spans="1:51" x14ac:dyDescent="0.25">
      <c r="A67" s="5">
        <v>65</v>
      </c>
      <c r="B67" s="6" t="s">
        <v>1305</v>
      </c>
      <c r="C67" s="6" t="s">
        <v>2433</v>
      </c>
      <c r="D67" s="6" t="s">
        <v>77</v>
      </c>
      <c r="E67" s="6" t="s">
        <v>47</v>
      </c>
      <c r="F67" s="6" t="s">
        <v>48</v>
      </c>
      <c r="G67" s="6" t="s">
        <v>2434</v>
      </c>
      <c r="H67" s="6" t="s">
        <v>2435</v>
      </c>
      <c r="I67" s="6" t="s">
        <v>2436</v>
      </c>
      <c r="J67" s="6">
        <v>2.5</v>
      </c>
      <c r="K67" s="6">
        <v>27.7</v>
      </c>
      <c r="L67" s="6" t="s">
        <v>2437</v>
      </c>
      <c r="M67" s="6" t="s">
        <v>2438</v>
      </c>
      <c r="N67" s="6" t="s">
        <v>54</v>
      </c>
      <c r="O67" s="6" t="s">
        <v>2439</v>
      </c>
      <c r="P67" s="6" t="s">
        <v>2440</v>
      </c>
      <c r="Q67" s="6" t="s">
        <v>2441</v>
      </c>
      <c r="R67" s="6" t="s">
        <v>2442</v>
      </c>
      <c r="S67" s="6" t="s">
        <v>2443</v>
      </c>
      <c r="T67" s="6">
        <v>805000</v>
      </c>
      <c r="U67" s="6">
        <v>1150000</v>
      </c>
      <c r="V67" s="6" t="s">
        <v>2444</v>
      </c>
      <c r="W67" s="6" t="s">
        <v>156</v>
      </c>
      <c r="X67" s="6" t="s">
        <v>2445</v>
      </c>
      <c r="Y67" s="6" t="s">
        <v>2446</v>
      </c>
      <c r="Z67" s="6" t="s">
        <v>93</v>
      </c>
      <c r="AA67" s="6" t="s">
        <v>2447</v>
      </c>
      <c r="AB67" s="6" t="s">
        <v>2448</v>
      </c>
      <c r="AC67" s="6" t="s">
        <v>624</v>
      </c>
      <c r="AD67" s="6" t="s">
        <v>2449</v>
      </c>
      <c r="AE67" s="6" t="s">
        <v>177</v>
      </c>
      <c r="AF67" s="6" t="s">
        <v>1007</v>
      </c>
      <c r="AG67" s="6" t="s">
        <v>2450</v>
      </c>
      <c r="AH67" s="6">
        <v>7</v>
      </c>
      <c r="AI67" s="6" t="s">
        <v>237</v>
      </c>
      <c r="AJ67" s="6" t="s">
        <v>2451</v>
      </c>
      <c r="AK67" s="6" t="s">
        <v>2452</v>
      </c>
      <c r="AL67" s="6"/>
      <c r="AM67" s="6" t="s">
        <v>180</v>
      </c>
      <c r="AN67" s="6">
        <v>805000</v>
      </c>
      <c r="AO67" s="10">
        <v>20125</v>
      </c>
      <c r="AP67" s="6"/>
      <c r="AQ67" s="6"/>
      <c r="AR67" s="6"/>
      <c r="AS67" s="18" t="s">
        <v>6620</v>
      </c>
      <c r="AT67" s="18" t="s">
        <v>6900</v>
      </c>
      <c r="AU67" s="19">
        <v>23000</v>
      </c>
      <c r="AV67" s="20">
        <v>-2875</v>
      </c>
      <c r="AW67" s="18" t="s">
        <v>6555</v>
      </c>
      <c r="AX67" s="19">
        <v>-2875</v>
      </c>
      <c r="AY67" s="20">
        <v>0</v>
      </c>
    </row>
    <row r="68" spans="1:51" x14ac:dyDescent="0.25">
      <c r="A68" s="7">
        <v>66</v>
      </c>
      <c r="B68" s="8" t="s">
        <v>1305</v>
      </c>
      <c r="C68" s="8" t="s">
        <v>2453</v>
      </c>
      <c r="D68" s="8" t="s">
        <v>912</v>
      </c>
      <c r="E68" s="8" t="s">
        <v>47</v>
      </c>
      <c r="F68" s="8" t="s">
        <v>48</v>
      </c>
      <c r="G68" s="8" t="s">
        <v>2454</v>
      </c>
      <c r="H68" s="8" t="s">
        <v>2455</v>
      </c>
      <c r="I68" s="8" t="s">
        <v>2456</v>
      </c>
      <c r="J68" s="8">
        <v>2</v>
      </c>
      <c r="K68" s="8">
        <v>25.84</v>
      </c>
      <c r="L68" s="8" t="s">
        <v>2457</v>
      </c>
      <c r="M68" s="8" t="s">
        <v>2458</v>
      </c>
      <c r="N68" s="8" t="s">
        <v>83</v>
      </c>
      <c r="O68" s="8" t="s">
        <v>2459</v>
      </c>
      <c r="P68" s="8" t="s">
        <v>2460</v>
      </c>
      <c r="Q68" s="8" t="s">
        <v>2460</v>
      </c>
      <c r="R68" s="8" t="s">
        <v>167</v>
      </c>
      <c r="S68" s="8" t="s">
        <v>2461</v>
      </c>
      <c r="T68" s="8">
        <v>1440000</v>
      </c>
      <c r="U68" s="8">
        <v>1800000</v>
      </c>
      <c r="V68" s="8" t="s">
        <v>2462</v>
      </c>
      <c r="W68" s="8" t="s">
        <v>74</v>
      </c>
      <c r="X68" s="8" t="s">
        <v>2463</v>
      </c>
      <c r="Y68" s="8" t="s">
        <v>2464</v>
      </c>
      <c r="Z68" s="8" t="s">
        <v>93</v>
      </c>
      <c r="AA68" s="8" t="s">
        <v>2465</v>
      </c>
      <c r="AB68" s="8" t="s">
        <v>2466</v>
      </c>
      <c r="AC68" s="8" t="s">
        <v>2425</v>
      </c>
      <c r="AD68" s="8" t="s">
        <v>2467</v>
      </c>
      <c r="AE68" s="8" t="s">
        <v>2468</v>
      </c>
      <c r="AF68" s="8" t="s">
        <v>2469</v>
      </c>
      <c r="AG68" s="8" t="s">
        <v>2470</v>
      </c>
      <c r="AH68" s="8">
        <v>5</v>
      </c>
      <c r="AI68" s="8" t="s">
        <v>237</v>
      </c>
      <c r="AJ68" s="8" t="s">
        <v>2471</v>
      </c>
      <c r="AK68" s="8" t="s">
        <v>2472</v>
      </c>
      <c r="AL68" s="8"/>
      <c r="AM68" s="8" t="s">
        <v>75</v>
      </c>
      <c r="AN68" s="8">
        <v>1350000</v>
      </c>
      <c r="AO68" s="11">
        <v>27000</v>
      </c>
      <c r="AP68" s="8"/>
      <c r="AQ68" s="8"/>
      <c r="AR68" s="8"/>
      <c r="AS68" s="18" t="s">
        <v>6621</v>
      </c>
      <c r="AT68" s="18" t="s">
        <v>6901</v>
      </c>
      <c r="AU68" s="19">
        <v>30600</v>
      </c>
      <c r="AV68" s="20">
        <v>-3600</v>
      </c>
      <c r="AW68" s="18" t="s">
        <v>6555</v>
      </c>
      <c r="AX68" s="19">
        <v>-3600</v>
      </c>
      <c r="AY68" s="20">
        <v>0</v>
      </c>
    </row>
    <row r="69" spans="1:51" x14ac:dyDescent="0.25">
      <c r="A69" s="5">
        <v>67</v>
      </c>
      <c r="B69" s="6" t="s">
        <v>1305</v>
      </c>
      <c r="C69" s="6" t="s">
        <v>2473</v>
      </c>
      <c r="D69" s="6" t="s">
        <v>77</v>
      </c>
      <c r="E69" s="6" t="s">
        <v>47</v>
      </c>
      <c r="F69" s="6" t="s">
        <v>48</v>
      </c>
      <c r="G69" s="6" t="s">
        <v>629</v>
      </c>
      <c r="H69" s="6" t="s">
        <v>2474</v>
      </c>
      <c r="I69" s="6" t="s">
        <v>2475</v>
      </c>
      <c r="J69" s="6">
        <v>2</v>
      </c>
      <c r="K69" s="6">
        <v>24.69</v>
      </c>
      <c r="L69" s="6" t="s">
        <v>2476</v>
      </c>
      <c r="M69" s="6" t="s">
        <v>2477</v>
      </c>
      <c r="N69" s="6" t="s">
        <v>187</v>
      </c>
      <c r="O69" s="6" t="s">
        <v>2478</v>
      </c>
      <c r="P69" s="6" t="s">
        <v>2479</v>
      </c>
      <c r="Q69" s="6" t="s">
        <v>2479</v>
      </c>
      <c r="R69" s="6" t="s">
        <v>2479</v>
      </c>
      <c r="S69" s="6" t="s">
        <v>2480</v>
      </c>
      <c r="T69" s="6">
        <v>534000</v>
      </c>
      <c r="U69" s="6">
        <v>1335000</v>
      </c>
      <c r="V69" s="6" t="s">
        <v>2481</v>
      </c>
      <c r="W69" s="6" t="s">
        <v>1020</v>
      </c>
      <c r="X69" s="6" t="s">
        <v>2482</v>
      </c>
      <c r="Y69" s="6" t="s">
        <v>2483</v>
      </c>
      <c r="Z69" s="6" t="s">
        <v>64</v>
      </c>
      <c r="AA69" s="6" t="s">
        <v>65</v>
      </c>
      <c r="AB69" s="6" t="s">
        <v>1318</v>
      </c>
      <c r="AC69" s="6" t="s">
        <v>67</v>
      </c>
      <c r="AD69" s="6" t="s">
        <v>728</v>
      </c>
      <c r="AE69" s="6" t="s">
        <v>604</v>
      </c>
      <c r="AF69" s="6" t="s">
        <v>974</v>
      </c>
      <c r="AG69" s="6" t="s">
        <v>2484</v>
      </c>
      <c r="AH69" s="6">
        <v>5</v>
      </c>
      <c r="AI69" s="6" t="s">
        <v>237</v>
      </c>
      <c r="AJ69" s="6" t="s">
        <v>2485</v>
      </c>
      <c r="AK69" s="6" t="s">
        <v>2049</v>
      </c>
      <c r="AL69" s="6"/>
      <c r="AM69" s="6" t="s">
        <v>75</v>
      </c>
      <c r="AN69" s="6">
        <v>1068000</v>
      </c>
      <c r="AO69" s="10">
        <v>21360</v>
      </c>
      <c r="AP69" s="6"/>
      <c r="AQ69" s="6"/>
      <c r="AR69" s="6"/>
      <c r="AS69" s="18" t="s">
        <v>6622</v>
      </c>
      <c r="AT69" s="18"/>
      <c r="AU69" s="19">
        <v>21360</v>
      </c>
      <c r="AV69" s="20">
        <v>0</v>
      </c>
      <c r="AW69" s="18" t="s">
        <v>6555</v>
      </c>
      <c r="AX69" s="18"/>
      <c r="AY69" s="18"/>
    </row>
    <row r="70" spans="1:51" x14ac:dyDescent="0.25">
      <c r="A70" s="7">
        <v>68</v>
      </c>
      <c r="B70" s="8" t="s">
        <v>1305</v>
      </c>
      <c r="C70" s="8" t="s">
        <v>2486</v>
      </c>
      <c r="D70" s="8" t="s">
        <v>912</v>
      </c>
      <c r="E70" s="8" t="s">
        <v>47</v>
      </c>
      <c r="F70" s="8" t="s">
        <v>48</v>
      </c>
      <c r="G70" s="8" t="s">
        <v>2487</v>
      </c>
      <c r="H70" s="8" t="s">
        <v>2488</v>
      </c>
      <c r="I70" s="8" t="s">
        <v>2489</v>
      </c>
      <c r="J70" s="8">
        <v>2</v>
      </c>
      <c r="K70" s="8">
        <v>26.28</v>
      </c>
      <c r="L70" s="8" t="s">
        <v>2490</v>
      </c>
      <c r="M70" s="8" t="s">
        <v>2491</v>
      </c>
      <c r="N70" s="8" t="s">
        <v>1843</v>
      </c>
      <c r="O70" s="8" t="s">
        <v>2492</v>
      </c>
      <c r="P70" s="8" t="s">
        <v>2493</v>
      </c>
      <c r="Q70" s="8" t="s">
        <v>2494</v>
      </c>
      <c r="R70" s="8" t="s">
        <v>167</v>
      </c>
      <c r="S70" s="8" t="s">
        <v>2495</v>
      </c>
      <c r="T70" s="8">
        <v>1118400</v>
      </c>
      <c r="U70" s="8">
        <v>1398000</v>
      </c>
      <c r="V70" s="8" t="s">
        <v>2496</v>
      </c>
      <c r="W70" s="8" t="s">
        <v>147</v>
      </c>
      <c r="X70" s="8" t="s">
        <v>2497</v>
      </c>
      <c r="Y70" s="8" t="s">
        <v>2498</v>
      </c>
      <c r="Z70" s="8" t="s">
        <v>64</v>
      </c>
      <c r="AA70" s="8" t="s">
        <v>65</v>
      </c>
      <c r="AB70" s="8" t="s">
        <v>2499</v>
      </c>
      <c r="AC70" s="8" t="s">
        <v>151</v>
      </c>
      <c r="AD70" s="8" t="s">
        <v>2500</v>
      </c>
      <c r="AE70" s="8" t="s">
        <v>153</v>
      </c>
      <c r="AF70" s="8" t="s">
        <v>1007</v>
      </c>
      <c r="AG70" s="8" t="s">
        <v>2501</v>
      </c>
      <c r="AH70" s="8">
        <v>6</v>
      </c>
      <c r="AI70" s="8" t="s">
        <v>2502</v>
      </c>
      <c r="AJ70" s="8" t="s">
        <v>2503</v>
      </c>
      <c r="AK70" s="8" t="s">
        <v>156</v>
      </c>
      <c r="AL70" s="8"/>
      <c r="AM70" s="8" t="s">
        <v>75</v>
      </c>
      <c r="AN70" s="8">
        <v>1048500</v>
      </c>
      <c r="AO70" s="11">
        <v>20970</v>
      </c>
      <c r="AP70" s="8"/>
      <c r="AQ70" s="8"/>
      <c r="AR70" s="8"/>
      <c r="AS70" s="18" t="s">
        <v>6623</v>
      </c>
      <c r="AT70" s="18" t="s">
        <v>6902</v>
      </c>
      <c r="AU70" s="19">
        <v>22368</v>
      </c>
      <c r="AV70" s="20">
        <v>-1398</v>
      </c>
      <c r="AW70" s="18" t="s">
        <v>6555</v>
      </c>
      <c r="AX70" s="19">
        <v>-1398</v>
      </c>
      <c r="AY70" s="20">
        <v>0</v>
      </c>
    </row>
    <row r="71" spans="1:51" x14ac:dyDescent="0.25">
      <c r="A71" s="5">
        <v>69</v>
      </c>
      <c r="B71" s="6" t="s">
        <v>1305</v>
      </c>
      <c r="C71" s="6" t="s">
        <v>2504</v>
      </c>
      <c r="D71" s="6" t="s">
        <v>77</v>
      </c>
      <c r="E71" s="6" t="s">
        <v>47</v>
      </c>
      <c r="F71" s="6" t="s">
        <v>48</v>
      </c>
      <c r="G71" s="6" t="s">
        <v>421</v>
      </c>
      <c r="H71" s="6" t="s">
        <v>2505</v>
      </c>
      <c r="I71" s="6" t="s">
        <v>2506</v>
      </c>
      <c r="J71" s="6">
        <v>1.75</v>
      </c>
      <c r="K71" s="6">
        <v>25.7</v>
      </c>
      <c r="L71" s="6" t="s">
        <v>2507</v>
      </c>
      <c r="M71" s="6" t="s">
        <v>2508</v>
      </c>
      <c r="N71" s="6" t="s">
        <v>187</v>
      </c>
      <c r="O71" s="6" t="s">
        <v>2509</v>
      </c>
      <c r="P71" s="6" t="s">
        <v>2510</v>
      </c>
      <c r="Q71" s="6" t="s">
        <v>2510</v>
      </c>
      <c r="R71" s="6" t="s">
        <v>65</v>
      </c>
      <c r="S71" s="6" t="s">
        <v>2511</v>
      </c>
      <c r="T71" s="6">
        <v>2054500</v>
      </c>
      <c r="U71" s="6">
        <v>2935000</v>
      </c>
      <c r="V71" s="6" t="s">
        <v>2512</v>
      </c>
      <c r="W71" s="6" t="s">
        <v>2513</v>
      </c>
      <c r="X71" s="6" t="s">
        <v>2514</v>
      </c>
      <c r="Y71" s="6" t="s">
        <v>2515</v>
      </c>
      <c r="Z71" s="6" t="s">
        <v>64</v>
      </c>
      <c r="AA71" s="6" t="s">
        <v>65</v>
      </c>
      <c r="AB71" s="6" t="s">
        <v>1696</v>
      </c>
      <c r="AC71" s="6" t="s">
        <v>436</v>
      </c>
      <c r="AD71" s="13">
        <v>45199</v>
      </c>
      <c r="AE71" s="6" t="s">
        <v>2516</v>
      </c>
      <c r="AF71" s="6" t="s">
        <v>1007</v>
      </c>
      <c r="AG71" s="6" t="s">
        <v>2517</v>
      </c>
      <c r="AH71" s="6">
        <v>3</v>
      </c>
      <c r="AI71" s="6" t="s">
        <v>511</v>
      </c>
      <c r="AJ71" s="6" t="s">
        <v>2518</v>
      </c>
      <c r="AK71" s="6" t="s">
        <v>2519</v>
      </c>
      <c r="AL71" s="6"/>
      <c r="AM71" s="6" t="s">
        <v>102</v>
      </c>
      <c r="AN71" s="6">
        <v>2641500</v>
      </c>
      <c r="AO71" s="10">
        <v>46226.250000000007</v>
      </c>
      <c r="AP71" s="6"/>
      <c r="AQ71" s="6"/>
      <c r="AR71" s="6"/>
      <c r="AS71" s="18" t="s">
        <v>6624</v>
      </c>
      <c r="AT71" s="18" t="s">
        <v>6903</v>
      </c>
      <c r="AU71" s="19">
        <v>43658</v>
      </c>
      <c r="AV71" s="20">
        <v>2568.2500000000073</v>
      </c>
      <c r="AW71" s="18" t="s">
        <v>6555</v>
      </c>
      <c r="AX71" s="19">
        <v>2568</v>
      </c>
      <c r="AY71" s="20">
        <v>0.25000000000727596</v>
      </c>
    </row>
    <row r="72" spans="1:51" x14ac:dyDescent="0.25">
      <c r="A72" s="7">
        <v>70</v>
      </c>
      <c r="B72" s="8" t="s">
        <v>1305</v>
      </c>
      <c r="C72" s="8" t="s">
        <v>2520</v>
      </c>
      <c r="D72" s="8" t="s">
        <v>77</v>
      </c>
      <c r="E72" s="8" t="s">
        <v>47</v>
      </c>
      <c r="F72" s="8" t="s">
        <v>48</v>
      </c>
      <c r="G72" s="8" t="s">
        <v>2521</v>
      </c>
      <c r="H72" s="8" t="s">
        <v>2522</v>
      </c>
      <c r="I72" s="8" t="s">
        <v>2523</v>
      </c>
      <c r="J72" s="8">
        <v>1.75</v>
      </c>
      <c r="K72" s="8">
        <v>25.2</v>
      </c>
      <c r="L72" s="8" t="s">
        <v>2524</v>
      </c>
      <c r="M72" s="8" t="s">
        <v>1209</v>
      </c>
      <c r="N72" s="8" t="s">
        <v>187</v>
      </c>
      <c r="O72" s="8" t="s">
        <v>2525</v>
      </c>
      <c r="P72" s="8" t="s">
        <v>2526</v>
      </c>
      <c r="Q72" s="8" t="s">
        <v>2526</v>
      </c>
      <c r="R72" s="8" t="s">
        <v>2526</v>
      </c>
      <c r="S72" s="8" t="s">
        <v>2527</v>
      </c>
      <c r="T72" s="8">
        <v>2176000</v>
      </c>
      <c r="U72" s="8">
        <v>3200000</v>
      </c>
      <c r="V72" s="8" t="s">
        <v>2528</v>
      </c>
      <c r="W72" s="8" t="s">
        <v>90</v>
      </c>
      <c r="X72" s="8" t="s">
        <v>2529</v>
      </c>
      <c r="Y72" s="8" t="s">
        <v>2530</v>
      </c>
      <c r="Z72" s="8" t="s">
        <v>93</v>
      </c>
      <c r="AA72" s="8" t="s">
        <v>2531</v>
      </c>
      <c r="AB72" s="8" t="s">
        <v>2532</v>
      </c>
      <c r="AC72" s="8" t="s">
        <v>175</v>
      </c>
      <c r="AD72" s="8" t="s">
        <v>97</v>
      </c>
      <c r="AE72" s="8" t="s">
        <v>98</v>
      </c>
      <c r="AF72" s="8" t="s">
        <v>2533</v>
      </c>
      <c r="AG72" s="8" t="s">
        <v>2534</v>
      </c>
      <c r="AH72" s="8">
        <v>3</v>
      </c>
      <c r="AI72" s="8" t="s">
        <v>100</v>
      </c>
      <c r="AJ72" s="8" t="s">
        <v>2535</v>
      </c>
      <c r="AK72" s="8" t="s">
        <v>97</v>
      </c>
      <c r="AL72" s="8"/>
      <c r="AM72" s="8" t="s">
        <v>102</v>
      </c>
      <c r="AN72" s="8">
        <v>2720000</v>
      </c>
      <c r="AO72" s="11">
        <v>47600.000000000007</v>
      </c>
      <c r="AP72" s="8"/>
      <c r="AQ72" s="8"/>
      <c r="AR72" s="8"/>
      <c r="AS72" s="18" t="s">
        <v>6625</v>
      </c>
      <c r="AT72" s="18"/>
      <c r="AU72" s="19">
        <v>47600</v>
      </c>
      <c r="AV72" s="20">
        <v>0</v>
      </c>
      <c r="AW72" s="18" t="s">
        <v>6555</v>
      </c>
      <c r="AX72" s="18"/>
      <c r="AY72" s="18"/>
    </row>
    <row r="73" spans="1:51" x14ac:dyDescent="0.25">
      <c r="A73" s="5">
        <v>71</v>
      </c>
      <c r="B73" s="6" t="s">
        <v>1305</v>
      </c>
      <c r="C73" s="6" t="s">
        <v>2536</v>
      </c>
      <c r="D73" s="6" t="s">
        <v>46</v>
      </c>
      <c r="E73" s="6" t="s">
        <v>47</v>
      </c>
      <c r="F73" s="6" t="s">
        <v>48</v>
      </c>
      <c r="G73" s="6" t="s">
        <v>182</v>
      </c>
      <c r="H73" s="6" t="s">
        <v>2537</v>
      </c>
      <c r="I73" s="6" t="s">
        <v>2538</v>
      </c>
      <c r="J73" s="6">
        <v>2</v>
      </c>
      <c r="K73" s="6">
        <v>25.8</v>
      </c>
      <c r="L73" s="6" t="s">
        <v>2539</v>
      </c>
      <c r="M73" s="6" t="s">
        <v>2540</v>
      </c>
      <c r="N73" s="6" t="s">
        <v>187</v>
      </c>
      <c r="O73" s="6" t="s">
        <v>2541</v>
      </c>
      <c r="P73" s="6" t="s">
        <v>2542</v>
      </c>
      <c r="Q73" s="6" t="s">
        <v>2542</v>
      </c>
      <c r="R73" s="6" t="s">
        <v>2542</v>
      </c>
      <c r="S73" s="6" t="s">
        <v>2543</v>
      </c>
      <c r="T73" s="6">
        <v>1324000</v>
      </c>
      <c r="U73" s="6">
        <v>1655000</v>
      </c>
      <c r="V73" s="6" t="s">
        <v>2544</v>
      </c>
      <c r="W73" s="6" t="s">
        <v>147</v>
      </c>
      <c r="X73" s="6" t="s">
        <v>2545</v>
      </c>
      <c r="Y73" s="6" t="s">
        <v>2546</v>
      </c>
      <c r="Z73" s="6" t="s">
        <v>64</v>
      </c>
      <c r="AA73" s="6" t="s">
        <v>65</v>
      </c>
      <c r="AB73" s="6" t="s">
        <v>273</v>
      </c>
      <c r="AC73" s="6" t="s">
        <v>67</v>
      </c>
      <c r="AD73" s="6" t="s">
        <v>2275</v>
      </c>
      <c r="AE73" s="6" t="s">
        <v>69</v>
      </c>
      <c r="AF73" s="6" t="s">
        <v>1319</v>
      </c>
      <c r="AG73" s="6" t="s">
        <v>2547</v>
      </c>
      <c r="AH73" s="6">
        <v>7</v>
      </c>
      <c r="AI73" s="6" t="s">
        <v>237</v>
      </c>
      <c r="AJ73" s="6" t="s">
        <v>2548</v>
      </c>
      <c r="AK73" s="6" t="s">
        <v>74</v>
      </c>
      <c r="AL73" s="6"/>
      <c r="AM73" s="6" t="s">
        <v>75</v>
      </c>
      <c r="AN73" s="6">
        <v>1324000</v>
      </c>
      <c r="AO73" s="10">
        <v>26480</v>
      </c>
      <c r="AP73" s="6"/>
      <c r="AQ73" s="6"/>
      <c r="AR73" s="6"/>
      <c r="AS73" s="18" t="s">
        <v>6626</v>
      </c>
      <c r="AT73" s="18"/>
      <c r="AU73" s="19">
        <v>26480</v>
      </c>
      <c r="AV73" s="20">
        <v>0</v>
      </c>
      <c r="AW73" s="18" t="s">
        <v>6555</v>
      </c>
      <c r="AX73" s="18"/>
      <c r="AY73" s="18"/>
    </row>
    <row r="74" spans="1:51" x14ac:dyDescent="0.25">
      <c r="A74" s="7">
        <v>72</v>
      </c>
      <c r="B74" s="8" t="s">
        <v>1305</v>
      </c>
      <c r="C74" s="8" t="s">
        <v>2549</v>
      </c>
      <c r="D74" s="8" t="s">
        <v>1238</v>
      </c>
      <c r="E74" s="8" t="s">
        <v>47</v>
      </c>
      <c r="F74" s="8" t="s">
        <v>48</v>
      </c>
      <c r="G74" s="8" t="s">
        <v>2550</v>
      </c>
      <c r="H74" s="8" t="s">
        <v>2551</v>
      </c>
      <c r="I74" s="8" t="s">
        <v>2552</v>
      </c>
      <c r="J74" s="8">
        <v>2</v>
      </c>
      <c r="K74" s="8">
        <v>27.28</v>
      </c>
      <c r="L74" s="8" t="s">
        <v>2553</v>
      </c>
      <c r="M74" s="8" t="s">
        <v>2554</v>
      </c>
      <c r="N74" s="8" t="s">
        <v>83</v>
      </c>
      <c r="O74" s="8" t="s">
        <v>2555</v>
      </c>
      <c r="P74" s="8" t="s">
        <v>2556</v>
      </c>
      <c r="Q74" s="8" t="s">
        <v>2556</v>
      </c>
      <c r="R74" s="8" t="s">
        <v>2557</v>
      </c>
      <c r="S74" s="8" t="s">
        <v>2558</v>
      </c>
      <c r="T74" s="8">
        <v>907200</v>
      </c>
      <c r="U74" s="8">
        <v>1134000</v>
      </c>
      <c r="V74" s="8" t="s">
        <v>2559</v>
      </c>
      <c r="W74" s="8" t="s">
        <v>147</v>
      </c>
      <c r="X74" s="8" t="s">
        <v>2560</v>
      </c>
      <c r="Y74" s="8" t="s">
        <v>2561</v>
      </c>
      <c r="Z74" s="8" t="s">
        <v>64</v>
      </c>
      <c r="AA74" s="8" t="s">
        <v>65</v>
      </c>
      <c r="AB74" s="8" t="s">
        <v>1991</v>
      </c>
      <c r="AC74" s="8" t="s">
        <v>151</v>
      </c>
      <c r="AD74" s="8" t="s">
        <v>2500</v>
      </c>
      <c r="AE74" s="8" t="s">
        <v>153</v>
      </c>
      <c r="AF74" s="8" t="s">
        <v>2533</v>
      </c>
      <c r="AG74" s="8" t="s">
        <v>2562</v>
      </c>
      <c r="AH74" s="8">
        <v>5</v>
      </c>
      <c r="AI74" s="8" t="s">
        <v>198</v>
      </c>
      <c r="AJ74" s="8" t="s">
        <v>2563</v>
      </c>
      <c r="AK74" s="8" t="s">
        <v>156</v>
      </c>
      <c r="AL74" s="8"/>
      <c r="AM74" s="8" t="s">
        <v>75</v>
      </c>
      <c r="AN74" s="8">
        <v>850500</v>
      </c>
      <c r="AO74" s="11">
        <v>17010</v>
      </c>
      <c r="AP74" s="8"/>
      <c r="AQ74" s="8"/>
      <c r="AR74" s="8"/>
      <c r="AS74" s="18" t="s">
        <v>6627</v>
      </c>
      <c r="AT74" s="18" t="s">
        <v>6904</v>
      </c>
      <c r="AU74" s="19">
        <v>19278</v>
      </c>
      <c r="AV74" s="20">
        <v>-2268</v>
      </c>
      <c r="AW74" s="18" t="s">
        <v>6555</v>
      </c>
      <c r="AX74" s="19">
        <v>-2268</v>
      </c>
      <c r="AY74" s="20">
        <v>0</v>
      </c>
    </row>
    <row r="75" spans="1:51" x14ac:dyDescent="0.25">
      <c r="A75" s="5">
        <v>73</v>
      </c>
      <c r="B75" s="6" t="s">
        <v>1305</v>
      </c>
      <c r="C75" s="6" t="s">
        <v>2564</v>
      </c>
      <c r="D75" s="6" t="s">
        <v>77</v>
      </c>
      <c r="E75" s="6" t="s">
        <v>47</v>
      </c>
      <c r="F75" s="6" t="s">
        <v>48</v>
      </c>
      <c r="G75" s="6" t="s">
        <v>1717</v>
      </c>
      <c r="H75" s="6" t="s">
        <v>2565</v>
      </c>
      <c r="I75" s="6" t="s">
        <v>2566</v>
      </c>
      <c r="J75" s="6">
        <v>2</v>
      </c>
      <c r="K75" s="6">
        <v>25.68</v>
      </c>
      <c r="L75" s="6" t="s">
        <v>2567</v>
      </c>
      <c r="M75" s="6" t="s">
        <v>2568</v>
      </c>
      <c r="N75" s="6" t="s">
        <v>187</v>
      </c>
      <c r="O75" s="6" t="s">
        <v>2569</v>
      </c>
      <c r="P75" s="6" t="s">
        <v>2570</v>
      </c>
      <c r="Q75" s="6" t="s">
        <v>2570</v>
      </c>
      <c r="R75" s="6" t="s">
        <v>2570</v>
      </c>
      <c r="S75" s="6" t="s">
        <v>2571</v>
      </c>
      <c r="T75" s="6">
        <v>1560000</v>
      </c>
      <c r="U75" s="6">
        <v>2400000</v>
      </c>
      <c r="V75" s="6" t="s">
        <v>2572</v>
      </c>
      <c r="W75" s="6" t="s">
        <v>1020</v>
      </c>
      <c r="X75" s="6" t="s">
        <v>2573</v>
      </c>
      <c r="Y75" s="6" t="s">
        <v>2574</v>
      </c>
      <c r="Z75" s="6" t="s">
        <v>93</v>
      </c>
      <c r="AA75" s="6" t="s">
        <v>2575</v>
      </c>
      <c r="AB75" s="6" t="s">
        <v>2532</v>
      </c>
      <c r="AC75" s="6" t="s">
        <v>96</v>
      </c>
      <c r="AD75" s="6" t="s">
        <v>781</v>
      </c>
      <c r="AE75" s="6" t="s">
        <v>604</v>
      </c>
      <c r="AF75" s="6" t="s">
        <v>974</v>
      </c>
      <c r="AG75" s="6" t="s">
        <v>2576</v>
      </c>
      <c r="AH75" s="6">
        <v>5</v>
      </c>
      <c r="AI75" s="6" t="s">
        <v>237</v>
      </c>
      <c r="AJ75" s="6" t="s">
        <v>2577</v>
      </c>
      <c r="AK75" s="6" t="s">
        <v>2049</v>
      </c>
      <c r="AL75" s="6"/>
      <c r="AM75" s="6" t="s">
        <v>75</v>
      </c>
      <c r="AN75" s="6">
        <v>1920000</v>
      </c>
      <c r="AO75" s="10">
        <v>38400</v>
      </c>
      <c r="AP75" s="6"/>
      <c r="AQ75" s="6"/>
      <c r="AR75" s="6"/>
      <c r="AS75" s="18" t="s">
        <v>6628</v>
      </c>
      <c r="AT75" s="18"/>
      <c r="AU75" s="19">
        <v>38400</v>
      </c>
      <c r="AV75" s="20">
        <v>0</v>
      </c>
      <c r="AW75" s="18" t="s">
        <v>6555</v>
      </c>
      <c r="AX75" s="18"/>
      <c r="AY75" s="18"/>
    </row>
    <row r="76" spans="1:51" x14ac:dyDescent="0.25">
      <c r="A76" s="7">
        <v>74</v>
      </c>
      <c r="B76" s="8" t="s">
        <v>1305</v>
      </c>
      <c r="C76" s="8" t="s">
        <v>2578</v>
      </c>
      <c r="D76" s="8" t="s">
        <v>277</v>
      </c>
      <c r="E76" s="8" t="s">
        <v>47</v>
      </c>
      <c r="F76" s="8" t="s">
        <v>48</v>
      </c>
      <c r="G76" s="8" t="s">
        <v>78</v>
      </c>
      <c r="H76" s="8" t="s">
        <v>2579</v>
      </c>
      <c r="I76" s="8" t="s">
        <v>2580</v>
      </c>
      <c r="J76" s="8">
        <v>1.5</v>
      </c>
      <c r="K76" s="8">
        <v>26.2</v>
      </c>
      <c r="L76" s="8" t="s">
        <v>2581</v>
      </c>
      <c r="M76" s="8" t="s">
        <v>2582</v>
      </c>
      <c r="N76" s="8" t="s">
        <v>83</v>
      </c>
      <c r="O76" s="8" t="s">
        <v>2583</v>
      </c>
      <c r="P76" s="8" t="s">
        <v>65</v>
      </c>
      <c r="Q76" s="8" t="s">
        <v>2584</v>
      </c>
      <c r="R76" s="8" t="s">
        <v>65</v>
      </c>
      <c r="S76" s="8" t="s">
        <v>2585</v>
      </c>
      <c r="T76" s="8">
        <v>2970000</v>
      </c>
      <c r="U76" s="8">
        <v>4950000</v>
      </c>
      <c r="V76" s="8" t="s">
        <v>2586</v>
      </c>
      <c r="W76" s="8" t="s">
        <v>90</v>
      </c>
      <c r="X76" s="8" t="s">
        <v>2587</v>
      </c>
      <c r="Y76" s="8" t="s">
        <v>2588</v>
      </c>
      <c r="Z76" s="8" t="s">
        <v>93</v>
      </c>
      <c r="AA76" s="8" t="s">
        <v>2589</v>
      </c>
      <c r="AB76" s="8" t="s">
        <v>2590</v>
      </c>
      <c r="AC76" s="8" t="s">
        <v>151</v>
      </c>
      <c r="AD76" s="8" t="s">
        <v>98</v>
      </c>
      <c r="AE76" s="8" t="s">
        <v>98</v>
      </c>
      <c r="AF76" s="8" t="s">
        <v>2533</v>
      </c>
      <c r="AG76" s="8" t="s">
        <v>2591</v>
      </c>
      <c r="AH76" s="8">
        <v>3</v>
      </c>
      <c r="AI76" s="8" t="s">
        <v>100</v>
      </c>
      <c r="AJ76" s="8" t="s">
        <v>2592</v>
      </c>
      <c r="AK76" s="8" t="s">
        <v>97</v>
      </c>
      <c r="AL76" s="8"/>
      <c r="AM76" s="8" t="s">
        <v>157</v>
      </c>
      <c r="AN76" s="8">
        <v>4207500</v>
      </c>
      <c r="AO76" s="11">
        <v>63112.5</v>
      </c>
      <c r="AP76" s="8"/>
      <c r="AQ76" s="8"/>
      <c r="AR76" s="8"/>
      <c r="AS76" s="18" t="s">
        <v>6629</v>
      </c>
      <c r="AT76" s="18"/>
      <c r="AU76" s="19">
        <v>63113</v>
      </c>
      <c r="AV76" s="20">
        <v>-0.5</v>
      </c>
      <c r="AW76" s="18" t="s">
        <v>6555</v>
      </c>
      <c r="AX76" s="18"/>
      <c r="AY76" s="18"/>
    </row>
    <row r="77" spans="1:51" x14ac:dyDescent="0.25">
      <c r="A77" s="5">
        <v>75</v>
      </c>
      <c r="B77" s="6" t="s">
        <v>1305</v>
      </c>
      <c r="C77" s="6" t="s">
        <v>2593</v>
      </c>
      <c r="D77" s="6" t="s">
        <v>46</v>
      </c>
      <c r="E77" s="6" t="s">
        <v>47</v>
      </c>
      <c r="F77" s="6" t="s">
        <v>48</v>
      </c>
      <c r="G77" s="6" t="s">
        <v>182</v>
      </c>
      <c r="H77" s="6" t="s">
        <v>2594</v>
      </c>
      <c r="I77" s="6" t="s">
        <v>2595</v>
      </c>
      <c r="J77" s="6">
        <v>2</v>
      </c>
      <c r="K77" s="6">
        <v>25.79</v>
      </c>
      <c r="L77" s="6" t="s">
        <v>2596</v>
      </c>
      <c r="M77" s="6" t="s">
        <v>2597</v>
      </c>
      <c r="N77" s="6" t="s">
        <v>187</v>
      </c>
      <c r="O77" s="6" t="s">
        <v>2598</v>
      </c>
      <c r="P77" s="6" t="s">
        <v>2599</v>
      </c>
      <c r="Q77" s="6" t="s">
        <v>2599</v>
      </c>
      <c r="R77" s="6" t="s">
        <v>2600</v>
      </c>
      <c r="S77" s="6" t="s">
        <v>2601</v>
      </c>
      <c r="T77" s="6">
        <v>1810500</v>
      </c>
      <c r="U77" s="6">
        <v>2130000</v>
      </c>
      <c r="V77" s="6" t="s">
        <v>2602</v>
      </c>
      <c r="W77" s="6" t="s">
        <v>1097</v>
      </c>
      <c r="X77" s="6" t="s">
        <v>2603</v>
      </c>
      <c r="Y77" s="6" t="s">
        <v>2604</v>
      </c>
      <c r="Z77" s="6" t="s">
        <v>64</v>
      </c>
      <c r="AA77" s="6" t="s">
        <v>65</v>
      </c>
      <c r="AB77" s="6" t="s">
        <v>2605</v>
      </c>
      <c r="AC77" s="6" t="s">
        <v>67</v>
      </c>
      <c r="AD77" s="6" t="s">
        <v>2606</v>
      </c>
      <c r="AE77" s="6" t="s">
        <v>69</v>
      </c>
      <c r="AF77" s="6" t="s">
        <v>1319</v>
      </c>
      <c r="AG77" s="6" t="s">
        <v>2607</v>
      </c>
      <c r="AH77" s="6">
        <v>7</v>
      </c>
      <c r="AI77" s="6" t="s">
        <v>237</v>
      </c>
      <c r="AJ77" s="6" t="s">
        <v>2608</v>
      </c>
      <c r="AK77" s="6" t="s">
        <v>2049</v>
      </c>
      <c r="AL77" s="6"/>
      <c r="AM77" s="6" t="s">
        <v>75</v>
      </c>
      <c r="AN77" s="6">
        <v>1704000</v>
      </c>
      <c r="AO77" s="10">
        <v>34080</v>
      </c>
      <c r="AP77" s="6"/>
      <c r="AQ77" s="6"/>
      <c r="AR77" s="6"/>
      <c r="AS77" s="18" t="s">
        <v>6630</v>
      </c>
      <c r="AT77" s="18"/>
      <c r="AU77" s="19">
        <v>34080</v>
      </c>
      <c r="AV77" s="20">
        <v>0</v>
      </c>
      <c r="AW77" s="18" t="s">
        <v>6555</v>
      </c>
      <c r="AX77" s="18"/>
      <c r="AY77" s="18"/>
    </row>
    <row r="78" spans="1:51" x14ac:dyDescent="0.25">
      <c r="A78" s="7">
        <v>76</v>
      </c>
      <c r="B78" s="8" t="s">
        <v>1305</v>
      </c>
      <c r="C78" s="8" t="s">
        <v>2609</v>
      </c>
      <c r="D78" s="8" t="s">
        <v>46</v>
      </c>
      <c r="E78" s="8" t="s">
        <v>47</v>
      </c>
      <c r="F78" s="8" t="s">
        <v>48</v>
      </c>
      <c r="G78" s="8" t="s">
        <v>1544</v>
      </c>
      <c r="H78" s="8" t="s">
        <v>2610</v>
      </c>
      <c r="I78" s="8" t="s">
        <v>2611</v>
      </c>
      <c r="J78" s="8">
        <v>2</v>
      </c>
      <c r="K78" s="8">
        <v>25.8</v>
      </c>
      <c r="L78" s="8" t="s">
        <v>2612</v>
      </c>
      <c r="M78" s="8" t="s">
        <v>2613</v>
      </c>
      <c r="N78" s="8" t="s">
        <v>187</v>
      </c>
      <c r="O78" s="8" t="s">
        <v>2614</v>
      </c>
      <c r="P78" s="8" t="s">
        <v>2615</v>
      </c>
      <c r="Q78" s="8" t="s">
        <v>2616</v>
      </c>
      <c r="R78" s="8" t="s">
        <v>2615</v>
      </c>
      <c r="S78" s="8" t="s">
        <v>2617</v>
      </c>
      <c r="T78" s="8">
        <v>2199750</v>
      </c>
      <c r="U78" s="8">
        <v>2933000</v>
      </c>
      <c r="V78" s="8" t="s">
        <v>2618</v>
      </c>
      <c r="W78" s="8" t="s">
        <v>1020</v>
      </c>
      <c r="X78" s="8" t="s">
        <v>2619</v>
      </c>
      <c r="Y78" s="8" t="s">
        <v>2620</v>
      </c>
      <c r="Z78" s="8" t="s">
        <v>64</v>
      </c>
      <c r="AA78" s="8" t="s">
        <v>65</v>
      </c>
      <c r="AB78" s="8" t="s">
        <v>680</v>
      </c>
      <c r="AC78" s="8" t="s">
        <v>67</v>
      </c>
      <c r="AD78" s="8" t="s">
        <v>760</v>
      </c>
      <c r="AE78" s="8" t="s">
        <v>69</v>
      </c>
      <c r="AF78" s="8" t="s">
        <v>2533</v>
      </c>
      <c r="AG78" s="8" t="s">
        <v>2621</v>
      </c>
      <c r="AH78" s="8">
        <v>4</v>
      </c>
      <c r="AI78" s="8" t="s">
        <v>237</v>
      </c>
      <c r="AJ78" s="8" t="s">
        <v>2622</v>
      </c>
      <c r="AK78" s="8" t="s">
        <v>1097</v>
      </c>
      <c r="AL78" s="8"/>
      <c r="AM78" s="8" t="s">
        <v>75</v>
      </c>
      <c r="AN78" s="8">
        <v>2346400</v>
      </c>
      <c r="AO78" s="11">
        <v>46928</v>
      </c>
      <c r="AP78" s="8"/>
      <c r="AQ78" s="8"/>
      <c r="AR78" s="8"/>
      <c r="AS78" s="18" t="s">
        <v>6631</v>
      </c>
      <c r="AT78" s="18" t="s">
        <v>6905</v>
      </c>
      <c r="AU78" s="19">
        <v>49861</v>
      </c>
      <c r="AV78" s="20">
        <v>-2933</v>
      </c>
      <c r="AW78" s="18" t="s">
        <v>6555</v>
      </c>
      <c r="AX78" s="19">
        <v>-2933</v>
      </c>
      <c r="AY78" s="20">
        <v>0</v>
      </c>
    </row>
    <row r="79" spans="1:51" x14ac:dyDescent="0.25">
      <c r="A79" s="5">
        <v>77</v>
      </c>
      <c r="B79" s="6" t="s">
        <v>1305</v>
      </c>
      <c r="C79" s="6" t="s">
        <v>2623</v>
      </c>
      <c r="D79" s="6" t="s">
        <v>46</v>
      </c>
      <c r="E79" s="6" t="s">
        <v>47</v>
      </c>
      <c r="F79" s="6" t="s">
        <v>48</v>
      </c>
      <c r="G79" s="6" t="s">
        <v>2070</v>
      </c>
      <c r="H79" s="6" t="s">
        <v>2624</v>
      </c>
      <c r="I79" s="6" t="s">
        <v>2625</v>
      </c>
      <c r="J79" s="6">
        <v>2</v>
      </c>
      <c r="K79" s="6">
        <v>25.84</v>
      </c>
      <c r="L79" s="6" t="s">
        <v>2626</v>
      </c>
      <c r="M79" s="6" t="s">
        <v>2627</v>
      </c>
      <c r="N79" s="6" t="s">
        <v>187</v>
      </c>
      <c r="O79" s="6" t="s">
        <v>2628</v>
      </c>
      <c r="P79" s="6" t="s">
        <v>2629</v>
      </c>
      <c r="Q79" s="6" t="s">
        <v>2630</v>
      </c>
      <c r="R79" s="6" t="s">
        <v>2631</v>
      </c>
      <c r="S79" s="6" t="s">
        <v>2632</v>
      </c>
      <c r="T79" s="6">
        <v>2042400</v>
      </c>
      <c r="U79" s="6">
        <v>2553000</v>
      </c>
      <c r="V79" s="6" t="s">
        <v>2633</v>
      </c>
      <c r="W79" s="6" t="s">
        <v>1020</v>
      </c>
      <c r="X79" s="6" t="s">
        <v>2634</v>
      </c>
      <c r="Y79" s="6" t="s">
        <v>2635</v>
      </c>
      <c r="Z79" s="6" t="s">
        <v>64</v>
      </c>
      <c r="AA79" s="6" t="s">
        <v>65</v>
      </c>
      <c r="AB79" s="6" t="s">
        <v>2636</v>
      </c>
      <c r="AC79" s="6" t="s">
        <v>67</v>
      </c>
      <c r="AD79" s="6" t="s">
        <v>2637</v>
      </c>
      <c r="AE79" s="6" t="s">
        <v>604</v>
      </c>
      <c r="AF79" s="6" t="s">
        <v>2638</v>
      </c>
      <c r="AG79" s="6" t="s">
        <v>2639</v>
      </c>
      <c r="AH79" s="6">
        <v>7</v>
      </c>
      <c r="AI79" s="6" t="s">
        <v>237</v>
      </c>
      <c r="AJ79" s="6" t="s">
        <v>2640</v>
      </c>
      <c r="AK79" s="6" t="s">
        <v>2049</v>
      </c>
      <c r="AL79" s="6"/>
      <c r="AM79" s="6" t="s">
        <v>75</v>
      </c>
      <c r="AN79" s="6">
        <v>2042400</v>
      </c>
      <c r="AO79" s="10">
        <v>40848</v>
      </c>
      <c r="AP79" s="6"/>
      <c r="AQ79" s="6"/>
      <c r="AR79" s="6"/>
      <c r="AS79" s="18" t="s">
        <v>6632</v>
      </c>
      <c r="AT79" s="18"/>
      <c r="AU79" s="19">
        <v>40848</v>
      </c>
      <c r="AV79" s="20">
        <v>0</v>
      </c>
      <c r="AW79" s="18" t="s">
        <v>6555</v>
      </c>
      <c r="AX79" s="18"/>
      <c r="AY79" s="18"/>
    </row>
    <row r="80" spans="1:51" x14ac:dyDescent="0.25">
      <c r="A80" s="7">
        <v>78</v>
      </c>
      <c r="B80" s="8" t="s">
        <v>1305</v>
      </c>
      <c r="C80" s="8" t="s">
        <v>2641</v>
      </c>
      <c r="D80" s="8" t="s">
        <v>46</v>
      </c>
      <c r="E80" s="8" t="s">
        <v>47</v>
      </c>
      <c r="F80" s="8" t="s">
        <v>48</v>
      </c>
      <c r="G80" s="8" t="s">
        <v>1416</v>
      </c>
      <c r="H80" s="8" t="s">
        <v>2642</v>
      </c>
      <c r="I80" s="8" t="s">
        <v>2643</v>
      </c>
      <c r="J80" s="8">
        <v>2</v>
      </c>
      <c r="K80" s="8">
        <v>26.7</v>
      </c>
      <c r="L80" s="8" t="s">
        <v>2644</v>
      </c>
      <c r="M80" s="8" t="s">
        <v>2645</v>
      </c>
      <c r="N80" s="8" t="s">
        <v>83</v>
      </c>
      <c r="O80" s="8" t="s">
        <v>2646</v>
      </c>
      <c r="P80" s="8" t="s">
        <v>2647</v>
      </c>
      <c r="Q80" s="8" t="s">
        <v>2648</v>
      </c>
      <c r="R80" s="8" t="s">
        <v>2649</v>
      </c>
      <c r="S80" s="8" t="s">
        <v>2650</v>
      </c>
      <c r="T80" s="8">
        <v>2925000</v>
      </c>
      <c r="U80" s="8">
        <v>5850000</v>
      </c>
      <c r="V80" s="8" t="s">
        <v>2651</v>
      </c>
      <c r="W80" s="8" t="s">
        <v>90</v>
      </c>
      <c r="X80" s="8" t="s">
        <v>2652</v>
      </c>
      <c r="Y80" s="8" t="s">
        <v>2653</v>
      </c>
      <c r="Z80" s="8" t="s">
        <v>64</v>
      </c>
      <c r="AA80" s="8" t="s">
        <v>65</v>
      </c>
      <c r="AB80" s="8" t="s">
        <v>2654</v>
      </c>
      <c r="AC80" s="8" t="s">
        <v>531</v>
      </c>
      <c r="AD80" s="8" t="s">
        <v>61</v>
      </c>
      <c r="AE80" s="8" t="s">
        <v>98</v>
      </c>
      <c r="AF80" s="8" t="s">
        <v>2533</v>
      </c>
      <c r="AG80" s="8" t="s">
        <v>2655</v>
      </c>
      <c r="AH80" s="8">
        <v>3</v>
      </c>
      <c r="AI80" s="8" t="s">
        <v>100</v>
      </c>
      <c r="AJ80" s="8" t="s">
        <v>2656</v>
      </c>
      <c r="AK80" s="8" t="s">
        <v>97</v>
      </c>
      <c r="AL80" s="8"/>
      <c r="AM80" s="8" t="s">
        <v>75</v>
      </c>
      <c r="AN80" s="8">
        <v>4972500</v>
      </c>
      <c r="AO80" s="11">
        <v>99450</v>
      </c>
      <c r="AP80" s="8"/>
      <c r="AQ80" s="8"/>
      <c r="AR80" s="8"/>
      <c r="AS80" s="18" t="s">
        <v>6633</v>
      </c>
      <c r="AT80" s="18"/>
      <c r="AU80" s="19">
        <v>99450</v>
      </c>
      <c r="AV80" s="20">
        <v>0</v>
      </c>
      <c r="AW80" s="18" t="s">
        <v>6555</v>
      </c>
      <c r="AX80" s="18"/>
      <c r="AY80" s="18"/>
    </row>
    <row r="81" spans="1:51" x14ac:dyDescent="0.25">
      <c r="A81" s="5">
        <v>79</v>
      </c>
      <c r="B81" s="6" t="s">
        <v>1305</v>
      </c>
      <c r="C81" s="6" t="s">
        <v>2657</v>
      </c>
      <c r="D81" s="6" t="s">
        <v>77</v>
      </c>
      <c r="E81" s="6" t="s">
        <v>47</v>
      </c>
      <c r="F81" s="6" t="s">
        <v>48</v>
      </c>
      <c r="G81" s="6" t="s">
        <v>2658</v>
      </c>
      <c r="H81" s="6" t="s">
        <v>2659</v>
      </c>
      <c r="I81" s="6" t="s">
        <v>2660</v>
      </c>
      <c r="J81" s="6">
        <v>1.75</v>
      </c>
      <c r="K81" s="6">
        <v>25.2</v>
      </c>
      <c r="L81" s="6" t="s">
        <v>2661</v>
      </c>
      <c r="M81" s="6" t="s">
        <v>2662</v>
      </c>
      <c r="N81" s="6" t="s">
        <v>187</v>
      </c>
      <c r="O81" s="6" t="s">
        <v>2663</v>
      </c>
      <c r="P81" s="6" t="s">
        <v>65</v>
      </c>
      <c r="Q81" s="6" t="s">
        <v>2664</v>
      </c>
      <c r="R81" s="6" t="s">
        <v>65</v>
      </c>
      <c r="S81" s="6" t="s">
        <v>2665</v>
      </c>
      <c r="T81" s="6">
        <v>2052000</v>
      </c>
      <c r="U81" s="6">
        <v>3600000</v>
      </c>
      <c r="V81" s="6" t="s">
        <v>2666</v>
      </c>
      <c r="W81" s="6" t="s">
        <v>90</v>
      </c>
      <c r="X81" s="6" t="s">
        <v>2667</v>
      </c>
      <c r="Y81" s="6" t="s">
        <v>2668</v>
      </c>
      <c r="Z81" s="6" t="s">
        <v>93</v>
      </c>
      <c r="AA81" s="6" t="s">
        <v>2669</v>
      </c>
      <c r="AB81" s="6" t="s">
        <v>1959</v>
      </c>
      <c r="AC81" s="6" t="s">
        <v>96</v>
      </c>
      <c r="AD81" s="6" t="s">
        <v>97</v>
      </c>
      <c r="AE81" s="6" t="s">
        <v>98</v>
      </c>
      <c r="AF81" s="6" t="s">
        <v>2533</v>
      </c>
      <c r="AG81" s="6" t="s">
        <v>2670</v>
      </c>
      <c r="AH81" s="6">
        <v>3</v>
      </c>
      <c r="AI81" s="6" t="s">
        <v>100</v>
      </c>
      <c r="AJ81" s="6" t="s">
        <v>97</v>
      </c>
      <c r="AK81" s="6" t="s">
        <v>90</v>
      </c>
      <c r="AL81" s="6"/>
      <c r="AM81" s="6" t="s">
        <v>102</v>
      </c>
      <c r="AN81" s="6">
        <v>3060000</v>
      </c>
      <c r="AO81" s="10">
        <v>53550.000000000007</v>
      </c>
      <c r="AP81" s="6"/>
      <c r="AQ81" s="6"/>
      <c r="AR81" s="6"/>
      <c r="AS81" s="18" t="s">
        <v>6634</v>
      </c>
      <c r="AT81" s="18"/>
      <c r="AU81" s="19">
        <v>53550</v>
      </c>
      <c r="AV81" s="20">
        <v>0</v>
      </c>
      <c r="AW81" s="18" t="s">
        <v>6555</v>
      </c>
      <c r="AX81" s="18"/>
      <c r="AY81" s="18"/>
    </row>
    <row r="82" spans="1:51" x14ac:dyDescent="0.25">
      <c r="A82" s="7">
        <v>80</v>
      </c>
      <c r="B82" s="8" t="s">
        <v>1305</v>
      </c>
      <c r="C82" s="8" t="s">
        <v>2671</v>
      </c>
      <c r="D82" s="8" t="s">
        <v>46</v>
      </c>
      <c r="E82" s="8" t="s">
        <v>47</v>
      </c>
      <c r="F82" s="8" t="s">
        <v>48</v>
      </c>
      <c r="G82" s="8" t="s">
        <v>313</v>
      </c>
      <c r="H82" s="8" t="s">
        <v>2672</v>
      </c>
      <c r="I82" s="8" t="s">
        <v>2673</v>
      </c>
      <c r="J82" s="8">
        <v>2</v>
      </c>
      <c r="K82" s="8">
        <v>25.68</v>
      </c>
      <c r="L82" s="8" t="s">
        <v>2674</v>
      </c>
      <c r="M82" s="8" t="s">
        <v>2675</v>
      </c>
      <c r="N82" s="8" t="s">
        <v>83</v>
      </c>
      <c r="O82" s="8" t="s">
        <v>2676</v>
      </c>
      <c r="P82" s="8" t="s">
        <v>2677</v>
      </c>
      <c r="Q82" s="8" t="s">
        <v>2677</v>
      </c>
      <c r="R82" s="8" t="s">
        <v>167</v>
      </c>
      <c r="S82" s="8" t="s">
        <v>2678</v>
      </c>
      <c r="T82" s="8">
        <v>2700000</v>
      </c>
      <c r="U82" s="8">
        <v>3375000</v>
      </c>
      <c r="V82" s="8" t="s">
        <v>2679</v>
      </c>
      <c r="W82" s="8" t="s">
        <v>1020</v>
      </c>
      <c r="X82" s="8" t="s">
        <v>2680</v>
      </c>
      <c r="Y82" s="8" t="s">
        <v>2681</v>
      </c>
      <c r="Z82" s="8" t="s">
        <v>64</v>
      </c>
      <c r="AA82" s="8" t="s">
        <v>65</v>
      </c>
      <c r="AB82" s="8" t="s">
        <v>378</v>
      </c>
      <c r="AC82" s="8" t="s">
        <v>67</v>
      </c>
      <c r="AD82" s="8" t="s">
        <v>2682</v>
      </c>
      <c r="AE82" s="8" t="s">
        <v>604</v>
      </c>
      <c r="AF82" s="8" t="s">
        <v>974</v>
      </c>
      <c r="AG82" s="8" t="s">
        <v>2683</v>
      </c>
      <c r="AH82" s="8">
        <v>5</v>
      </c>
      <c r="AI82" s="8" t="s">
        <v>237</v>
      </c>
      <c r="AJ82" s="8" t="s">
        <v>2684</v>
      </c>
      <c r="AK82" s="8" t="s">
        <v>1523</v>
      </c>
      <c r="AL82" s="8"/>
      <c r="AM82" s="8" t="s">
        <v>75</v>
      </c>
      <c r="AN82" s="8">
        <v>2700000</v>
      </c>
      <c r="AO82" s="11">
        <v>54000</v>
      </c>
      <c r="AP82" s="8"/>
      <c r="AQ82" s="8"/>
      <c r="AR82" s="8"/>
      <c r="AS82" s="18" t="s">
        <v>6635</v>
      </c>
      <c r="AT82" s="18"/>
      <c r="AU82" s="19">
        <v>54000</v>
      </c>
      <c r="AV82" s="20">
        <v>0</v>
      </c>
      <c r="AW82" s="18" t="s">
        <v>6555</v>
      </c>
      <c r="AX82" s="18"/>
      <c r="AY82" s="18"/>
    </row>
    <row r="83" spans="1:51" x14ac:dyDescent="0.25">
      <c r="A83" s="5">
        <v>81</v>
      </c>
      <c r="B83" s="6" t="s">
        <v>1305</v>
      </c>
      <c r="C83" s="6" t="s">
        <v>2685</v>
      </c>
      <c r="D83" s="6" t="s">
        <v>277</v>
      </c>
      <c r="E83" s="6" t="s">
        <v>47</v>
      </c>
      <c r="F83" s="6" t="s">
        <v>48</v>
      </c>
      <c r="G83" s="6" t="s">
        <v>2521</v>
      </c>
      <c r="H83" s="6" t="s">
        <v>2686</v>
      </c>
      <c r="I83" s="6" t="s">
        <v>2687</v>
      </c>
      <c r="J83" s="6">
        <v>1.75</v>
      </c>
      <c r="K83" s="6">
        <v>26.7</v>
      </c>
      <c r="L83" s="6" t="s">
        <v>2688</v>
      </c>
      <c r="M83" s="6" t="s">
        <v>2689</v>
      </c>
      <c r="N83" s="6" t="s">
        <v>187</v>
      </c>
      <c r="O83" s="6" t="s">
        <v>2690</v>
      </c>
      <c r="P83" s="6" t="s">
        <v>652</v>
      </c>
      <c r="Q83" s="6" t="s">
        <v>2691</v>
      </c>
      <c r="R83" s="6" t="s">
        <v>2692</v>
      </c>
      <c r="S83" s="6" t="s">
        <v>2693</v>
      </c>
      <c r="T83" s="6">
        <v>1382500</v>
      </c>
      <c r="U83" s="6">
        <v>1975000</v>
      </c>
      <c r="V83" s="6" t="s">
        <v>2694</v>
      </c>
      <c r="W83" s="6" t="s">
        <v>90</v>
      </c>
      <c r="X83" s="6" t="s">
        <v>2695</v>
      </c>
      <c r="Y83" s="6" t="s">
        <v>2696</v>
      </c>
      <c r="Z83" s="6" t="s">
        <v>93</v>
      </c>
      <c r="AA83" s="6" t="s">
        <v>2697</v>
      </c>
      <c r="AB83" s="6" t="s">
        <v>642</v>
      </c>
      <c r="AC83" s="6" t="s">
        <v>96</v>
      </c>
      <c r="AD83" s="6" t="s">
        <v>97</v>
      </c>
      <c r="AE83" s="6" t="s">
        <v>98</v>
      </c>
      <c r="AF83" s="6" t="s">
        <v>2698</v>
      </c>
      <c r="AG83" s="6" t="s">
        <v>2699</v>
      </c>
      <c r="AH83" s="6">
        <v>5</v>
      </c>
      <c r="AI83" s="6" t="s">
        <v>100</v>
      </c>
      <c r="AJ83" s="6" t="s">
        <v>2700</v>
      </c>
      <c r="AK83" s="6" t="s">
        <v>97</v>
      </c>
      <c r="AL83" s="6"/>
      <c r="AM83" s="6" t="s">
        <v>102</v>
      </c>
      <c r="AN83" s="6">
        <v>1678750</v>
      </c>
      <c r="AO83" s="10">
        <v>29378.125000000004</v>
      </c>
      <c r="AP83" s="6"/>
      <c r="AQ83" s="6"/>
      <c r="AR83" s="6"/>
      <c r="AS83" s="18" t="s">
        <v>6636</v>
      </c>
      <c r="AT83" s="18" t="s">
        <v>6906</v>
      </c>
      <c r="AU83" s="19">
        <v>25922</v>
      </c>
      <c r="AV83" s="20">
        <v>3456.1250000000036</v>
      </c>
      <c r="AW83" s="18" t="s">
        <v>6555</v>
      </c>
      <c r="AX83" s="19">
        <v>3456</v>
      </c>
      <c r="AY83" s="20">
        <v>0.12500000000363798</v>
      </c>
    </row>
    <row r="84" spans="1:51" x14ac:dyDescent="0.25">
      <c r="A84" s="7">
        <v>82</v>
      </c>
      <c r="B84" s="8" t="s">
        <v>1305</v>
      </c>
      <c r="C84" s="8" t="s">
        <v>2716</v>
      </c>
      <c r="D84" s="8" t="s">
        <v>46</v>
      </c>
      <c r="E84" s="8" t="s">
        <v>47</v>
      </c>
      <c r="F84" s="8" t="s">
        <v>48</v>
      </c>
      <c r="G84" s="8" t="s">
        <v>2717</v>
      </c>
      <c r="H84" s="8" t="s">
        <v>2718</v>
      </c>
      <c r="I84" s="8" t="s">
        <v>2719</v>
      </c>
      <c r="J84" s="8">
        <v>2</v>
      </c>
      <c r="K84" s="8">
        <v>25.78</v>
      </c>
      <c r="L84" s="8" t="s">
        <v>2720</v>
      </c>
      <c r="M84" s="8" t="s">
        <v>2721</v>
      </c>
      <c r="N84" s="8" t="s">
        <v>1085</v>
      </c>
      <c r="O84" s="8" t="s">
        <v>2722</v>
      </c>
      <c r="P84" s="8" t="s">
        <v>2723</v>
      </c>
      <c r="Q84" s="8" t="s">
        <v>2723</v>
      </c>
      <c r="R84" s="8" t="s">
        <v>2723</v>
      </c>
      <c r="S84" s="8" t="s">
        <v>2724</v>
      </c>
      <c r="T84" s="8">
        <v>2956850</v>
      </c>
      <c r="U84" s="8">
        <v>4549000</v>
      </c>
      <c r="V84" s="8" t="s">
        <v>2725</v>
      </c>
      <c r="W84" s="8" t="s">
        <v>1020</v>
      </c>
      <c r="X84" s="8" t="s">
        <v>2726</v>
      </c>
      <c r="Y84" s="8" t="s">
        <v>2727</v>
      </c>
      <c r="Z84" s="8" t="s">
        <v>64</v>
      </c>
      <c r="AA84" s="8" t="s">
        <v>65</v>
      </c>
      <c r="AB84" s="8" t="s">
        <v>234</v>
      </c>
      <c r="AC84" s="8" t="s">
        <v>67</v>
      </c>
      <c r="AD84" s="8" t="s">
        <v>2728</v>
      </c>
      <c r="AE84" s="8" t="s">
        <v>604</v>
      </c>
      <c r="AF84" s="8" t="s">
        <v>974</v>
      </c>
      <c r="AG84" s="8" t="s">
        <v>2729</v>
      </c>
      <c r="AH84" s="8">
        <v>5</v>
      </c>
      <c r="AI84" s="8" t="s">
        <v>511</v>
      </c>
      <c r="AJ84" s="8" t="s">
        <v>2730</v>
      </c>
      <c r="AK84" s="8" t="s">
        <v>1097</v>
      </c>
      <c r="AL84" s="8"/>
      <c r="AM84" s="8" t="s">
        <v>75</v>
      </c>
      <c r="AN84" s="8">
        <v>3639200</v>
      </c>
      <c r="AO84" s="11">
        <v>72784</v>
      </c>
      <c r="AP84" s="8"/>
      <c r="AQ84" s="8"/>
      <c r="AR84" s="8"/>
      <c r="AS84" s="18" t="s">
        <v>6637</v>
      </c>
      <c r="AT84" s="18"/>
      <c r="AU84" s="19">
        <v>72784</v>
      </c>
      <c r="AV84" s="20">
        <v>0</v>
      </c>
      <c r="AW84" s="18" t="s">
        <v>6555</v>
      </c>
      <c r="AX84" s="18"/>
      <c r="AY84" s="18"/>
    </row>
    <row r="85" spans="1:51" x14ac:dyDescent="0.25">
      <c r="A85" s="5">
        <v>83</v>
      </c>
      <c r="B85" s="6" t="s">
        <v>1305</v>
      </c>
      <c r="C85" s="6" t="s">
        <v>2731</v>
      </c>
      <c r="D85" s="6" t="s">
        <v>77</v>
      </c>
      <c r="E85" s="6" t="s">
        <v>47</v>
      </c>
      <c r="F85" s="6" t="s">
        <v>48</v>
      </c>
      <c r="G85" s="6" t="s">
        <v>609</v>
      </c>
      <c r="H85" s="6" t="s">
        <v>2732</v>
      </c>
      <c r="I85" s="6" t="s">
        <v>2733</v>
      </c>
      <c r="J85" s="6">
        <v>1.75</v>
      </c>
      <c r="K85" s="6">
        <v>25.2</v>
      </c>
      <c r="L85" s="6" t="s">
        <v>2734</v>
      </c>
      <c r="M85" s="6" t="s">
        <v>2735</v>
      </c>
      <c r="N85" s="6" t="s">
        <v>83</v>
      </c>
      <c r="O85" s="6" t="s">
        <v>2736</v>
      </c>
      <c r="P85" s="6" t="s">
        <v>2737</v>
      </c>
      <c r="Q85" s="6" t="s">
        <v>2738</v>
      </c>
      <c r="R85" s="6" t="s">
        <v>167</v>
      </c>
      <c r="S85" s="6" t="s">
        <v>2739</v>
      </c>
      <c r="T85" s="6">
        <v>1798000</v>
      </c>
      <c r="U85" s="6">
        <v>2900000</v>
      </c>
      <c r="V85" s="6" t="s">
        <v>2740</v>
      </c>
      <c r="W85" s="6" t="s">
        <v>90</v>
      </c>
      <c r="X85" s="6" t="s">
        <v>2741</v>
      </c>
      <c r="Y85" s="6" t="s">
        <v>2742</v>
      </c>
      <c r="Z85" s="6" t="s">
        <v>93</v>
      </c>
      <c r="AA85" s="6" t="s">
        <v>2743</v>
      </c>
      <c r="AB85" s="6" t="s">
        <v>95</v>
      </c>
      <c r="AC85" s="6" t="s">
        <v>67</v>
      </c>
      <c r="AD85" s="6" t="s">
        <v>97</v>
      </c>
      <c r="AE85" s="6" t="s">
        <v>98</v>
      </c>
      <c r="AF85" s="6" t="s">
        <v>2533</v>
      </c>
      <c r="AG85" s="6" t="s">
        <v>2744</v>
      </c>
      <c r="AH85" s="6">
        <v>3</v>
      </c>
      <c r="AI85" s="6" t="s">
        <v>100</v>
      </c>
      <c r="AJ85" s="6" t="s">
        <v>2745</v>
      </c>
      <c r="AK85" s="6" t="s">
        <v>97</v>
      </c>
      <c r="AL85" s="6"/>
      <c r="AM85" s="6" t="s">
        <v>102</v>
      </c>
      <c r="AN85" s="6">
        <v>2465000</v>
      </c>
      <c r="AO85" s="10">
        <v>43137.500000000007</v>
      </c>
      <c r="AP85" s="6"/>
      <c r="AQ85" s="6"/>
      <c r="AR85" s="6"/>
      <c r="AS85" s="18" t="s">
        <v>6638</v>
      </c>
      <c r="AT85" s="18"/>
      <c r="AU85" s="19">
        <v>43138</v>
      </c>
      <c r="AV85" s="20">
        <v>-0.49999999999272404</v>
      </c>
      <c r="AW85" s="18" t="s">
        <v>6555</v>
      </c>
      <c r="AX85" s="18"/>
      <c r="AY85" s="18"/>
    </row>
    <row r="86" spans="1:51" x14ac:dyDescent="0.25">
      <c r="A86" s="7">
        <v>84</v>
      </c>
      <c r="B86" s="8" t="s">
        <v>1305</v>
      </c>
      <c r="C86" s="8" t="s">
        <v>2746</v>
      </c>
      <c r="D86" s="8" t="s">
        <v>136</v>
      </c>
      <c r="E86" s="8" t="s">
        <v>47</v>
      </c>
      <c r="F86" s="8" t="s">
        <v>48</v>
      </c>
      <c r="G86" s="8" t="s">
        <v>366</v>
      </c>
      <c r="H86" s="8" t="s">
        <v>2747</v>
      </c>
      <c r="I86" s="8" t="s">
        <v>2748</v>
      </c>
      <c r="J86" s="8">
        <v>1.5</v>
      </c>
      <c r="K86" s="8">
        <v>26.93</v>
      </c>
      <c r="L86" s="8" t="s">
        <v>2749</v>
      </c>
      <c r="M86" s="8" t="s">
        <v>2750</v>
      </c>
      <c r="N86" s="8" t="s">
        <v>187</v>
      </c>
      <c r="O86" s="8" t="s">
        <v>2751</v>
      </c>
      <c r="P86" s="8" t="s">
        <v>65</v>
      </c>
      <c r="Q86" s="8" t="s">
        <v>2752</v>
      </c>
      <c r="R86" s="8" t="s">
        <v>65</v>
      </c>
      <c r="S86" s="8" t="s">
        <v>2753</v>
      </c>
      <c r="T86" s="8">
        <v>7347200</v>
      </c>
      <c r="U86" s="8">
        <v>9184000</v>
      </c>
      <c r="V86" s="8" t="s">
        <v>146</v>
      </c>
      <c r="W86" s="8" t="s">
        <v>1097</v>
      </c>
      <c r="X86" s="8" t="s">
        <v>2754</v>
      </c>
      <c r="Y86" s="8" t="s">
        <v>2755</v>
      </c>
      <c r="Z86" s="8" t="s">
        <v>64</v>
      </c>
      <c r="AA86" s="8" t="s">
        <v>65</v>
      </c>
      <c r="AB86" s="8" t="s">
        <v>2756</v>
      </c>
      <c r="AC86" s="8" t="s">
        <v>151</v>
      </c>
      <c r="AD86" s="8" t="s">
        <v>1504</v>
      </c>
      <c r="AE86" s="8" t="s">
        <v>1539</v>
      </c>
      <c r="AF86" s="8" t="s">
        <v>2370</v>
      </c>
      <c r="AG86" s="8" t="s">
        <v>2757</v>
      </c>
      <c r="AH86" s="8">
        <v>7</v>
      </c>
      <c r="AI86" s="8" t="s">
        <v>100</v>
      </c>
      <c r="AJ86" s="8" t="s">
        <v>2758</v>
      </c>
      <c r="AK86" s="8" t="s">
        <v>953</v>
      </c>
      <c r="AL86" s="8"/>
      <c r="AM86" s="8" t="s">
        <v>157</v>
      </c>
      <c r="AN86" s="8">
        <v>6888000</v>
      </c>
      <c r="AO86" s="11">
        <v>103320</v>
      </c>
      <c r="AP86" s="8"/>
      <c r="AQ86" s="8"/>
      <c r="AR86" s="8"/>
      <c r="AS86" s="18" t="s">
        <v>6639</v>
      </c>
      <c r="AT86" s="18"/>
      <c r="AU86" s="19">
        <v>103320</v>
      </c>
      <c r="AV86" s="20">
        <v>0</v>
      </c>
      <c r="AW86" s="18" t="s">
        <v>6555</v>
      </c>
      <c r="AX86" s="18"/>
      <c r="AY86" s="18"/>
    </row>
    <row r="87" spans="1:51" x14ac:dyDescent="0.25">
      <c r="A87" s="5">
        <v>85</v>
      </c>
      <c r="B87" s="6" t="s">
        <v>1305</v>
      </c>
      <c r="C87" s="6" t="s">
        <v>2759</v>
      </c>
      <c r="D87" s="6" t="s">
        <v>77</v>
      </c>
      <c r="E87" s="6" t="s">
        <v>47</v>
      </c>
      <c r="F87" s="6" t="s">
        <v>48</v>
      </c>
      <c r="G87" s="6" t="s">
        <v>78</v>
      </c>
      <c r="H87" s="6" t="s">
        <v>2760</v>
      </c>
      <c r="I87" s="6" t="s">
        <v>2761</v>
      </c>
      <c r="J87" s="6">
        <v>1.75</v>
      </c>
      <c r="K87" s="6">
        <v>25.45</v>
      </c>
      <c r="L87" s="6" t="s">
        <v>2762</v>
      </c>
      <c r="M87" s="6" t="s">
        <v>2763</v>
      </c>
      <c r="N87" s="6" t="s">
        <v>83</v>
      </c>
      <c r="O87" s="6" t="s">
        <v>2764</v>
      </c>
      <c r="P87" s="6" t="s">
        <v>2765</v>
      </c>
      <c r="Q87" s="6" t="s">
        <v>2765</v>
      </c>
      <c r="R87" s="6" t="s">
        <v>2766</v>
      </c>
      <c r="S87" s="6" t="s">
        <v>2767</v>
      </c>
      <c r="T87" s="6">
        <v>1655500</v>
      </c>
      <c r="U87" s="6">
        <v>2365000</v>
      </c>
      <c r="V87" s="6" t="s">
        <v>2768</v>
      </c>
      <c r="W87" s="6" t="s">
        <v>90</v>
      </c>
      <c r="X87" s="6" t="s">
        <v>2769</v>
      </c>
      <c r="Y87" s="6" t="s">
        <v>2770</v>
      </c>
      <c r="Z87" s="6" t="s">
        <v>93</v>
      </c>
      <c r="AA87" s="6" t="s">
        <v>2771</v>
      </c>
      <c r="AB87" s="6" t="s">
        <v>530</v>
      </c>
      <c r="AC87" s="6" t="s">
        <v>67</v>
      </c>
      <c r="AD87" s="6" t="s">
        <v>97</v>
      </c>
      <c r="AE87" s="6" t="s">
        <v>98</v>
      </c>
      <c r="AF87" s="6" t="s">
        <v>2698</v>
      </c>
      <c r="AG87" s="6" t="s">
        <v>2772</v>
      </c>
      <c r="AH87" s="6">
        <v>5</v>
      </c>
      <c r="AI87" s="6" t="s">
        <v>100</v>
      </c>
      <c r="AJ87" s="6" t="s">
        <v>2773</v>
      </c>
      <c r="AK87" s="6" t="s">
        <v>97</v>
      </c>
      <c r="AL87" s="6"/>
      <c r="AM87" s="6" t="s">
        <v>102</v>
      </c>
      <c r="AN87" s="6">
        <v>2010250</v>
      </c>
      <c r="AO87" s="10">
        <v>35179.375</v>
      </c>
      <c r="AP87" s="6"/>
      <c r="AQ87" s="6"/>
      <c r="AR87" s="6"/>
      <c r="AS87" s="18" t="s">
        <v>6640</v>
      </c>
      <c r="AT87" s="18" t="s">
        <v>6907</v>
      </c>
      <c r="AU87" s="19">
        <v>31041</v>
      </c>
      <c r="AV87" s="20">
        <v>4138.375</v>
      </c>
      <c r="AW87" s="18" t="s">
        <v>6555</v>
      </c>
      <c r="AX87" s="19">
        <v>4139</v>
      </c>
      <c r="AY87" s="20">
        <v>-0.625</v>
      </c>
    </row>
    <row r="88" spans="1:51" x14ac:dyDescent="0.25">
      <c r="A88" s="7">
        <v>86</v>
      </c>
      <c r="B88" s="8" t="s">
        <v>1305</v>
      </c>
      <c r="C88" s="8" t="s">
        <v>2774</v>
      </c>
      <c r="D88" s="8" t="s">
        <v>277</v>
      </c>
      <c r="E88" s="8" t="s">
        <v>47</v>
      </c>
      <c r="F88" s="8" t="s">
        <v>48</v>
      </c>
      <c r="G88" s="8" t="s">
        <v>609</v>
      </c>
      <c r="H88" s="8" t="s">
        <v>2775</v>
      </c>
      <c r="I88" s="8" t="s">
        <v>2776</v>
      </c>
      <c r="J88" s="8">
        <v>1.75</v>
      </c>
      <c r="K88" s="8">
        <v>26.19</v>
      </c>
      <c r="L88" s="8" t="s">
        <v>2777</v>
      </c>
      <c r="M88" s="8" t="s">
        <v>2104</v>
      </c>
      <c r="N88" s="8" t="s">
        <v>83</v>
      </c>
      <c r="O88" s="8" t="s">
        <v>2778</v>
      </c>
      <c r="P88" s="8" t="s">
        <v>65</v>
      </c>
      <c r="Q88" s="8" t="s">
        <v>2779</v>
      </c>
      <c r="R88" s="8" t="s">
        <v>65</v>
      </c>
      <c r="S88" s="8" t="s">
        <v>2780</v>
      </c>
      <c r="T88" s="8">
        <v>1026000</v>
      </c>
      <c r="U88" s="8">
        <v>1900000</v>
      </c>
      <c r="V88" s="8" t="s">
        <v>2781</v>
      </c>
      <c r="W88" s="8" t="s">
        <v>1945</v>
      </c>
      <c r="X88" s="8" t="s">
        <v>2782</v>
      </c>
      <c r="Y88" s="8" t="s">
        <v>2783</v>
      </c>
      <c r="Z88" s="8" t="s">
        <v>93</v>
      </c>
      <c r="AA88" s="8" t="s">
        <v>2784</v>
      </c>
      <c r="AB88" s="8" t="s">
        <v>2785</v>
      </c>
      <c r="AC88" s="8" t="s">
        <v>662</v>
      </c>
      <c r="AD88" s="8" t="s">
        <v>774</v>
      </c>
      <c r="AE88" s="8" t="s">
        <v>453</v>
      </c>
      <c r="AF88" s="8" t="s">
        <v>1430</v>
      </c>
      <c r="AG88" s="8" t="s">
        <v>2786</v>
      </c>
      <c r="AH88" s="8">
        <v>3</v>
      </c>
      <c r="AI88" s="8" t="s">
        <v>100</v>
      </c>
      <c r="AJ88" s="8" t="s">
        <v>2787</v>
      </c>
      <c r="AK88" s="8" t="s">
        <v>857</v>
      </c>
      <c r="AL88" s="8"/>
      <c r="AM88" s="8" t="s">
        <v>102</v>
      </c>
      <c r="AN88" s="8">
        <v>1615000</v>
      </c>
      <c r="AO88" s="11">
        <v>28262.500000000004</v>
      </c>
      <c r="AP88" s="8"/>
      <c r="AQ88" s="8"/>
      <c r="AR88" s="8"/>
      <c r="AS88" s="18" t="s">
        <v>6641</v>
      </c>
      <c r="AT88" s="18"/>
      <c r="AU88" s="19">
        <v>28263</v>
      </c>
      <c r="AV88" s="20">
        <v>-0.49999999999636202</v>
      </c>
      <c r="AW88" s="18" t="s">
        <v>6555</v>
      </c>
      <c r="AX88" s="18"/>
      <c r="AY88" s="18"/>
    </row>
    <row r="89" spans="1:51" x14ac:dyDescent="0.25">
      <c r="A89" s="5">
        <v>87</v>
      </c>
      <c r="B89" s="6" t="s">
        <v>1305</v>
      </c>
      <c r="C89" s="6" t="s">
        <v>2788</v>
      </c>
      <c r="D89" s="6" t="s">
        <v>77</v>
      </c>
      <c r="E89" s="6" t="s">
        <v>47</v>
      </c>
      <c r="F89" s="6" t="s">
        <v>48</v>
      </c>
      <c r="G89" s="6" t="s">
        <v>1636</v>
      </c>
      <c r="H89" s="6" t="s">
        <v>2789</v>
      </c>
      <c r="I89" s="6" t="s">
        <v>2790</v>
      </c>
      <c r="J89" s="6">
        <v>1.75</v>
      </c>
      <c r="K89" s="6">
        <v>25.44</v>
      </c>
      <c r="L89" s="6" t="s">
        <v>2791</v>
      </c>
      <c r="M89" s="6" t="s">
        <v>2792</v>
      </c>
      <c r="N89" s="6" t="s">
        <v>83</v>
      </c>
      <c r="O89" s="6" t="s">
        <v>2793</v>
      </c>
      <c r="P89" s="6" t="s">
        <v>65</v>
      </c>
      <c r="Q89" s="6" t="s">
        <v>2794</v>
      </c>
      <c r="R89" s="6" t="s">
        <v>65</v>
      </c>
      <c r="S89" s="6" t="s">
        <v>2795</v>
      </c>
      <c r="T89" s="6">
        <v>1652000</v>
      </c>
      <c r="U89" s="6">
        <v>2360000</v>
      </c>
      <c r="V89" s="6" t="s">
        <v>2796</v>
      </c>
      <c r="W89" s="6" t="s">
        <v>1945</v>
      </c>
      <c r="X89" s="6" t="s">
        <v>2797</v>
      </c>
      <c r="Y89" s="6" t="s">
        <v>2798</v>
      </c>
      <c r="Z89" s="6" t="s">
        <v>93</v>
      </c>
      <c r="AA89" s="6" t="s">
        <v>2799</v>
      </c>
      <c r="AB89" s="6" t="s">
        <v>1696</v>
      </c>
      <c r="AC89" s="6" t="s">
        <v>531</v>
      </c>
      <c r="AD89" s="6" t="s">
        <v>774</v>
      </c>
      <c r="AE89" s="6" t="s">
        <v>453</v>
      </c>
      <c r="AF89" s="6" t="s">
        <v>2370</v>
      </c>
      <c r="AG89" s="6" t="s">
        <v>2800</v>
      </c>
      <c r="AH89" s="6">
        <v>5</v>
      </c>
      <c r="AI89" s="6" t="s">
        <v>100</v>
      </c>
      <c r="AJ89" s="6" t="s">
        <v>2801</v>
      </c>
      <c r="AK89" s="6" t="s">
        <v>906</v>
      </c>
      <c r="AL89" s="6"/>
      <c r="AM89" s="6" t="s">
        <v>102</v>
      </c>
      <c r="AN89" s="6">
        <v>2006000</v>
      </c>
      <c r="AO89" s="10">
        <v>35105</v>
      </c>
      <c r="AP89" s="6"/>
      <c r="AQ89" s="6"/>
      <c r="AR89" s="6"/>
      <c r="AS89" s="18" t="s">
        <v>6642</v>
      </c>
      <c r="AT89" s="18" t="s">
        <v>6908</v>
      </c>
      <c r="AU89" s="19">
        <v>30975</v>
      </c>
      <c r="AV89" s="20">
        <v>4130</v>
      </c>
      <c r="AW89" s="18" t="s">
        <v>6555</v>
      </c>
      <c r="AX89" s="19">
        <v>4130</v>
      </c>
      <c r="AY89" s="20">
        <v>0</v>
      </c>
    </row>
    <row r="90" spans="1:51" x14ac:dyDescent="0.25">
      <c r="A90" s="7">
        <v>88</v>
      </c>
      <c r="B90" s="8" t="s">
        <v>1305</v>
      </c>
      <c r="C90" s="8" t="s">
        <v>2802</v>
      </c>
      <c r="D90" s="8" t="s">
        <v>277</v>
      </c>
      <c r="E90" s="8" t="s">
        <v>47</v>
      </c>
      <c r="F90" s="8" t="s">
        <v>48</v>
      </c>
      <c r="G90" s="8" t="s">
        <v>421</v>
      </c>
      <c r="H90" s="8" t="s">
        <v>2803</v>
      </c>
      <c r="I90" s="8" t="s">
        <v>2804</v>
      </c>
      <c r="J90" s="8">
        <v>1.75</v>
      </c>
      <c r="K90" s="8">
        <v>26.7</v>
      </c>
      <c r="L90" s="8" t="s">
        <v>2805</v>
      </c>
      <c r="M90" s="8" t="s">
        <v>2806</v>
      </c>
      <c r="N90" s="8" t="s">
        <v>187</v>
      </c>
      <c r="O90" s="8" t="s">
        <v>2807</v>
      </c>
      <c r="P90" s="8" t="s">
        <v>2808</v>
      </c>
      <c r="Q90" s="8" t="s">
        <v>2808</v>
      </c>
      <c r="R90" s="8" t="s">
        <v>2808</v>
      </c>
      <c r="S90" s="8" t="s">
        <v>2809</v>
      </c>
      <c r="T90" s="8">
        <v>1282000</v>
      </c>
      <c r="U90" s="8">
        <v>2564000</v>
      </c>
      <c r="V90" s="8" t="s">
        <v>2810</v>
      </c>
      <c r="W90" s="8" t="s">
        <v>90</v>
      </c>
      <c r="X90" s="8" t="s">
        <v>2811</v>
      </c>
      <c r="Y90" s="8" t="s">
        <v>2812</v>
      </c>
      <c r="Z90" s="8" t="s">
        <v>64</v>
      </c>
      <c r="AA90" s="8" t="s">
        <v>65</v>
      </c>
      <c r="AB90" s="8" t="s">
        <v>642</v>
      </c>
      <c r="AC90" s="8" t="s">
        <v>531</v>
      </c>
      <c r="AD90" s="8" t="s">
        <v>97</v>
      </c>
      <c r="AE90" s="8" t="s">
        <v>98</v>
      </c>
      <c r="AF90" s="8" t="s">
        <v>2698</v>
      </c>
      <c r="AG90" s="8" t="s">
        <v>2813</v>
      </c>
      <c r="AH90" s="8">
        <v>5</v>
      </c>
      <c r="AI90" s="8" t="s">
        <v>100</v>
      </c>
      <c r="AJ90" s="8" t="s">
        <v>2814</v>
      </c>
      <c r="AK90" s="8" t="s">
        <v>97</v>
      </c>
      <c r="AL90" s="8"/>
      <c r="AM90" s="8" t="s">
        <v>102</v>
      </c>
      <c r="AN90" s="8">
        <v>2179400</v>
      </c>
      <c r="AO90" s="11">
        <v>38139.5</v>
      </c>
      <c r="AP90" s="8"/>
      <c r="AQ90" s="8"/>
      <c r="AR90" s="8"/>
      <c r="AS90" s="18" t="s">
        <v>6643</v>
      </c>
      <c r="AT90" s="18" t="s">
        <v>6909</v>
      </c>
      <c r="AU90" s="19">
        <v>33653</v>
      </c>
      <c r="AV90" s="20">
        <v>4486.5</v>
      </c>
      <c r="AW90" s="18" t="s">
        <v>6555</v>
      </c>
      <c r="AX90" s="19">
        <v>4487</v>
      </c>
      <c r="AY90" s="20">
        <v>-0.5</v>
      </c>
    </row>
    <row r="91" spans="1:51" x14ac:dyDescent="0.25">
      <c r="A91" s="5">
        <v>89</v>
      </c>
      <c r="B91" s="6" t="s">
        <v>1305</v>
      </c>
      <c r="C91" s="6" t="s">
        <v>2815</v>
      </c>
      <c r="D91" s="6" t="s">
        <v>77</v>
      </c>
      <c r="E91" s="6" t="s">
        <v>47</v>
      </c>
      <c r="F91" s="6" t="s">
        <v>48</v>
      </c>
      <c r="G91" s="6" t="s">
        <v>2144</v>
      </c>
      <c r="H91" s="6" t="s">
        <v>2816</v>
      </c>
      <c r="I91" s="6" t="s">
        <v>2817</v>
      </c>
      <c r="J91" s="6">
        <v>1.75</v>
      </c>
      <c r="K91" s="6">
        <v>25.7</v>
      </c>
      <c r="L91" s="6" t="s">
        <v>2818</v>
      </c>
      <c r="M91" s="6" t="s">
        <v>2819</v>
      </c>
      <c r="N91" s="6" t="s">
        <v>187</v>
      </c>
      <c r="O91" s="6" t="s">
        <v>2820</v>
      </c>
      <c r="P91" s="6" t="s">
        <v>2821</v>
      </c>
      <c r="Q91" s="6" t="s">
        <v>2821</v>
      </c>
      <c r="R91" s="6" t="s">
        <v>2821</v>
      </c>
      <c r="S91" s="6" t="s">
        <v>2822</v>
      </c>
      <c r="T91" s="6">
        <v>2394000</v>
      </c>
      <c r="U91" s="6">
        <v>3420000</v>
      </c>
      <c r="V91" s="6" t="s">
        <v>2823</v>
      </c>
      <c r="W91" s="6" t="s">
        <v>90</v>
      </c>
      <c r="X91" s="6" t="s">
        <v>2824</v>
      </c>
      <c r="Y91" s="6" t="s">
        <v>2825</v>
      </c>
      <c r="Z91" s="6" t="s">
        <v>64</v>
      </c>
      <c r="AA91" s="6" t="s">
        <v>65</v>
      </c>
      <c r="AB91" s="6" t="s">
        <v>2826</v>
      </c>
      <c r="AC91" s="6" t="s">
        <v>531</v>
      </c>
      <c r="AD91" s="6" t="s">
        <v>97</v>
      </c>
      <c r="AE91" s="6" t="s">
        <v>98</v>
      </c>
      <c r="AF91" s="6" t="s">
        <v>2533</v>
      </c>
      <c r="AG91" s="6" t="s">
        <v>2827</v>
      </c>
      <c r="AH91" s="6">
        <v>3</v>
      </c>
      <c r="AI91" s="6" t="s">
        <v>100</v>
      </c>
      <c r="AJ91" s="6" t="s">
        <v>2828</v>
      </c>
      <c r="AK91" s="6" t="s">
        <v>97</v>
      </c>
      <c r="AL91" s="6"/>
      <c r="AM91" s="6" t="s">
        <v>102</v>
      </c>
      <c r="AN91" s="6">
        <v>2907000</v>
      </c>
      <c r="AO91" s="10">
        <v>50872.500000000007</v>
      </c>
      <c r="AP91" s="6"/>
      <c r="AQ91" s="6"/>
      <c r="AR91" s="6"/>
      <c r="AS91" s="18" t="s">
        <v>6644</v>
      </c>
      <c r="AT91" s="18"/>
      <c r="AU91" s="19">
        <v>50873</v>
      </c>
      <c r="AV91" s="20">
        <v>-0.49999999999272404</v>
      </c>
      <c r="AW91" s="18" t="s">
        <v>6555</v>
      </c>
      <c r="AX91" s="18"/>
      <c r="AY91" s="18"/>
    </row>
    <row r="92" spans="1:51" x14ac:dyDescent="0.25">
      <c r="A92" s="7">
        <v>90</v>
      </c>
      <c r="B92" s="8" t="s">
        <v>1305</v>
      </c>
      <c r="C92" s="8" t="s">
        <v>2829</v>
      </c>
      <c r="D92" s="8" t="s">
        <v>77</v>
      </c>
      <c r="E92" s="8" t="s">
        <v>47</v>
      </c>
      <c r="F92" s="8" t="s">
        <v>48</v>
      </c>
      <c r="G92" s="8" t="s">
        <v>2658</v>
      </c>
      <c r="H92" s="8" t="s">
        <v>2830</v>
      </c>
      <c r="I92" s="8" t="s">
        <v>2831</v>
      </c>
      <c r="J92" s="8">
        <v>1.75</v>
      </c>
      <c r="K92" s="8">
        <v>25.45</v>
      </c>
      <c r="L92" s="8" t="s">
        <v>2832</v>
      </c>
      <c r="M92" s="8" t="s">
        <v>2833</v>
      </c>
      <c r="N92" s="8" t="s">
        <v>187</v>
      </c>
      <c r="O92" s="8" t="s">
        <v>2834</v>
      </c>
      <c r="P92" s="8" t="s">
        <v>2835</v>
      </c>
      <c r="Q92" s="8" t="s">
        <v>2835</v>
      </c>
      <c r="R92" s="8" t="s">
        <v>2836</v>
      </c>
      <c r="S92" s="8" t="s">
        <v>2837</v>
      </c>
      <c r="T92" s="8">
        <v>1618500</v>
      </c>
      <c r="U92" s="8">
        <v>2490000</v>
      </c>
      <c r="V92" s="8" t="s">
        <v>2838</v>
      </c>
      <c r="W92" s="8" t="s">
        <v>90</v>
      </c>
      <c r="X92" s="8" t="s">
        <v>2839</v>
      </c>
      <c r="Y92" s="8" t="s">
        <v>2840</v>
      </c>
      <c r="Z92" s="8" t="s">
        <v>93</v>
      </c>
      <c r="AA92" s="8" t="s">
        <v>2841</v>
      </c>
      <c r="AB92" s="8" t="s">
        <v>2842</v>
      </c>
      <c r="AC92" s="8" t="s">
        <v>175</v>
      </c>
      <c r="AD92" s="8" t="s">
        <v>97</v>
      </c>
      <c r="AE92" s="8" t="s">
        <v>98</v>
      </c>
      <c r="AF92" s="8" t="s">
        <v>2698</v>
      </c>
      <c r="AG92" s="8" t="s">
        <v>2843</v>
      </c>
      <c r="AH92" s="8">
        <v>5</v>
      </c>
      <c r="AI92" s="8" t="s">
        <v>100</v>
      </c>
      <c r="AJ92" s="8" t="s">
        <v>2844</v>
      </c>
      <c r="AK92" s="8" t="s">
        <v>97</v>
      </c>
      <c r="AL92" s="8"/>
      <c r="AM92" s="8" t="s">
        <v>102</v>
      </c>
      <c r="AN92" s="8">
        <v>2116500</v>
      </c>
      <c r="AO92" s="11">
        <v>37038.75</v>
      </c>
      <c r="AP92" s="8"/>
      <c r="AQ92" s="8"/>
      <c r="AR92" s="8"/>
      <c r="AS92" s="18" t="s">
        <v>6645</v>
      </c>
      <c r="AT92" s="18" t="s">
        <v>6910</v>
      </c>
      <c r="AU92" s="19">
        <v>32681</v>
      </c>
      <c r="AV92" s="20">
        <v>4357.75</v>
      </c>
      <c r="AW92" s="18" t="s">
        <v>6555</v>
      </c>
      <c r="AX92" s="19">
        <v>4358</v>
      </c>
      <c r="AY92" s="20">
        <v>-0.25</v>
      </c>
    </row>
    <row r="93" spans="1:51" x14ac:dyDescent="0.25">
      <c r="A93" s="5">
        <v>91</v>
      </c>
      <c r="B93" s="6" t="s">
        <v>1305</v>
      </c>
      <c r="C93" s="6" t="s">
        <v>2845</v>
      </c>
      <c r="D93" s="6" t="s">
        <v>77</v>
      </c>
      <c r="E93" s="6" t="s">
        <v>47</v>
      </c>
      <c r="F93" s="6" t="s">
        <v>48</v>
      </c>
      <c r="G93" s="6" t="s">
        <v>629</v>
      </c>
      <c r="H93" s="6" t="s">
        <v>2846</v>
      </c>
      <c r="I93" s="6" t="s">
        <v>2847</v>
      </c>
      <c r="J93" s="6">
        <v>1.75</v>
      </c>
      <c r="K93" s="6">
        <v>25.7</v>
      </c>
      <c r="L93" s="6" t="s">
        <v>2848</v>
      </c>
      <c r="M93" s="6" t="s">
        <v>2849</v>
      </c>
      <c r="N93" s="6" t="s">
        <v>187</v>
      </c>
      <c r="O93" s="6" t="s">
        <v>2850</v>
      </c>
      <c r="P93" s="6" t="s">
        <v>2851</v>
      </c>
      <c r="Q93" s="6" t="s">
        <v>2851</v>
      </c>
      <c r="R93" s="6" t="s">
        <v>65</v>
      </c>
      <c r="S93" s="6" t="s">
        <v>2852</v>
      </c>
      <c r="T93" s="6">
        <v>717920</v>
      </c>
      <c r="U93" s="6">
        <v>2564000</v>
      </c>
      <c r="V93" s="6" t="s">
        <v>2853</v>
      </c>
      <c r="W93" s="6" t="s">
        <v>90</v>
      </c>
      <c r="X93" s="6" t="s">
        <v>2854</v>
      </c>
      <c r="Y93" s="6" t="s">
        <v>2855</v>
      </c>
      <c r="Z93" s="6" t="s">
        <v>64</v>
      </c>
      <c r="AA93" s="6" t="s">
        <v>65</v>
      </c>
      <c r="AB93" s="6" t="s">
        <v>642</v>
      </c>
      <c r="AC93" s="6" t="s">
        <v>531</v>
      </c>
      <c r="AD93" s="6" t="s">
        <v>97</v>
      </c>
      <c r="AE93" s="6" t="s">
        <v>98</v>
      </c>
      <c r="AF93" s="6" t="s">
        <v>2533</v>
      </c>
      <c r="AG93" s="6" t="s">
        <v>2856</v>
      </c>
      <c r="AH93" s="6">
        <v>3</v>
      </c>
      <c r="AI93" s="6" t="s">
        <v>100</v>
      </c>
      <c r="AJ93" s="6" t="s">
        <v>2857</v>
      </c>
      <c r="AK93" s="6" t="s">
        <v>97</v>
      </c>
      <c r="AL93" s="6"/>
      <c r="AM93" s="6" t="s">
        <v>102</v>
      </c>
      <c r="AN93" s="6">
        <v>2179400</v>
      </c>
      <c r="AO93" s="10">
        <v>38139.5</v>
      </c>
      <c r="AP93" s="6"/>
      <c r="AQ93" s="6"/>
      <c r="AR93" s="6"/>
      <c r="AS93" s="18" t="s">
        <v>6646</v>
      </c>
      <c r="AT93" s="18"/>
      <c r="AU93" s="19">
        <v>38140</v>
      </c>
      <c r="AV93" s="20">
        <v>-0.5</v>
      </c>
      <c r="AW93" s="18" t="s">
        <v>6555</v>
      </c>
      <c r="AX93" s="18"/>
      <c r="AY93" s="18"/>
    </row>
    <row r="94" spans="1:51" x14ac:dyDescent="0.25">
      <c r="A94" s="7">
        <v>92</v>
      </c>
      <c r="B94" s="8" t="s">
        <v>1305</v>
      </c>
      <c r="C94" s="8" t="s">
        <v>2858</v>
      </c>
      <c r="D94" s="8" t="s">
        <v>77</v>
      </c>
      <c r="E94" s="8" t="s">
        <v>47</v>
      </c>
      <c r="F94" s="8" t="s">
        <v>48</v>
      </c>
      <c r="G94" s="8" t="s">
        <v>2521</v>
      </c>
      <c r="H94" s="8" t="s">
        <v>2859</v>
      </c>
      <c r="I94" s="8" t="s">
        <v>2860</v>
      </c>
      <c r="J94" s="8">
        <v>1.75</v>
      </c>
      <c r="K94" s="8">
        <v>25.45</v>
      </c>
      <c r="L94" s="8" t="s">
        <v>2861</v>
      </c>
      <c r="M94" s="8" t="s">
        <v>2862</v>
      </c>
      <c r="N94" s="8" t="s">
        <v>187</v>
      </c>
      <c r="O94" s="8" t="s">
        <v>2863</v>
      </c>
      <c r="P94" s="8" t="s">
        <v>2864</v>
      </c>
      <c r="Q94" s="8" t="s">
        <v>2864</v>
      </c>
      <c r="R94" s="8" t="s">
        <v>2864</v>
      </c>
      <c r="S94" s="8" t="s">
        <v>2865</v>
      </c>
      <c r="T94" s="8">
        <v>1216000</v>
      </c>
      <c r="U94" s="8">
        <v>1900000</v>
      </c>
      <c r="V94" s="8" t="s">
        <v>2866</v>
      </c>
      <c r="W94" s="8" t="s">
        <v>90</v>
      </c>
      <c r="X94" s="8" t="s">
        <v>2867</v>
      </c>
      <c r="Y94" s="8" t="s">
        <v>2868</v>
      </c>
      <c r="Z94" s="8" t="s">
        <v>93</v>
      </c>
      <c r="AA94" s="8" t="s">
        <v>2869</v>
      </c>
      <c r="AB94" s="8" t="s">
        <v>2870</v>
      </c>
      <c r="AC94" s="8" t="s">
        <v>96</v>
      </c>
      <c r="AD94" s="8" t="s">
        <v>97</v>
      </c>
      <c r="AE94" s="8" t="s">
        <v>98</v>
      </c>
      <c r="AF94" s="8" t="s">
        <v>2698</v>
      </c>
      <c r="AG94" s="8" t="s">
        <v>2871</v>
      </c>
      <c r="AH94" s="8">
        <v>5</v>
      </c>
      <c r="AI94" s="8" t="s">
        <v>72</v>
      </c>
      <c r="AJ94" s="8" t="s">
        <v>2872</v>
      </c>
      <c r="AK94" s="8" t="s">
        <v>97</v>
      </c>
      <c r="AL94" s="8"/>
      <c r="AM94" s="8" t="s">
        <v>102</v>
      </c>
      <c r="AN94" s="8">
        <v>1615000</v>
      </c>
      <c r="AO94" s="11">
        <v>28262.500000000004</v>
      </c>
      <c r="AP94" s="8"/>
      <c r="AQ94" s="8"/>
      <c r="AR94" s="8"/>
      <c r="AS94" s="18" t="s">
        <v>6647</v>
      </c>
      <c r="AT94" s="18" t="s">
        <v>6911</v>
      </c>
      <c r="AU94" s="19">
        <v>24938</v>
      </c>
      <c r="AV94" s="20">
        <v>3324.5000000000036</v>
      </c>
      <c r="AW94" s="18" t="s">
        <v>6555</v>
      </c>
      <c r="AX94" s="19">
        <v>3325</v>
      </c>
      <c r="AY94" s="20">
        <v>-0.49999999999636202</v>
      </c>
    </row>
    <row r="95" spans="1:51" x14ac:dyDescent="0.25">
      <c r="A95" s="5">
        <v>93</v>
      </c>
      <c r="B95" s="6" t="s">
        <v>1305</v>
      </c>
      <c r="C95" s="6" t="s">
        <v>2873</v>
      </c>
      <c r="D95" s="6" t="s">
        <v>46</v>
      </c>
      <c r="E95" s="6" t="s">
        <v>47</v>
      </c>
      <c r="F95" s="6" t="s">
        <v>48</v>
      </c>
      <c r="G95" s="6" t="s">
        <v>2874</v>
      </c>
      <c r="H95" s="6" t="s">
        <v>2875</v>
      </c>
      <c r="I95" s="6" t="s">
        <v>2876</v>
      </c>
      <c r="J95" s="6">
        <v>2</v>
      </c>
      <c r="K95" s="6">
        <v>25.79</v>
      </c>
      <c r="L95" s="6" t="s">
        <v>2877</v>
      </c>
      <c r="M95" s="6" t="s">
        <v>2878</v>
      </c>
      <c r="N95" s="6" t="s">
        <v>187</v>
      </c>
      <c r="O95" s="6" t="s">
        <v>2879</v>
      </c>
      <c r="P95" s="6" t="s">
        <v>2880</v>
      </c>
      <c r="Q95" s="6" t="s">
        <v>2880</v>
      </c>
      <c r="R95" s="6" t="s">
        <v>2880</v>
      </c>
      <c r="S95" s="6" t="s">
        <v>2881</v>
      </c>
      <c r="T95" s="6">
        <v>3314350</v>
      </c>
      <c r="U95" s="6">
        <v>5099000</v>
      </c>
      <c r="V95" s="6" t="s">
        <v>2882</v>
      </c>
      <c r="W95" s="6" t="s">
        <v>147</v>
      </c>
      <c r="X95" s="6" t="s">
        <v>2883</v>
      </c>
      <c r="Y95" s="6" t="s">
        <v>2884</v>
      </c>
      <c r="Z95" s="6" t="s">
        <v>64</v>
      </c>
      <c r="AA95" s="6" t="s">
        <v>65</v>
      </c>
      <c r="AB95" s="6" t="s">
        <v>2885</v>
      </c>
      <c r="AC95" s="6" t="s">
        <v>67</v>
      </c>
      <c r="AD95" s="6" t="s">
        <v>2886</v>
      </c>
      <c r="AE95" s="6" t="s">
        <v>69</v>
      </c>
      <c r="AF95" s="6" t="s">
        <v>1007</v>
      </c>
      <c r="AG95" s="6" t="s">
        <v>2887</v>
      </c>
      <c r="AH95" s="6">
        <v>5</v>
      </c>
      <c r="AI95" s="6" t="s">
        <v>237</v>
      </c>
      <c r="AJ95" s="6" t="s">
        <v>2888</v>
      </c>
      <c r="AK95" s="6" t="s">
        <v>74</v>
      </c>
      <c r="AL95" s="6"/>
      <c r="AM95" s="6" t="s">
        <v>75</v>
      </c>
      <c r="AN95" s="6">
        <v>4079200</v>
      </c>
      <c r="AO95" s="10">
        <v>81584</v>
      </c>
      <c r="AP95" s="6"/>
      <c r="AQ95" s="6"/>
      <c r="AR95" s="6"/>
      <c r="AS95" s="18" t="s">
        <v>6648</v>
      </c>
      <c r="AT95" s="18"/>
      <c r="AU95" s="19">
        <v>81584</v>
      </c>
      <c r="AV95" s="20">
        <v>0</v>
      </c>
      <c r="AW95" s="18" t="s">
        <v>6555</v>
      </c>
      <c r="AX95" s="18"/>
      <c r="AY95" s="18"/>
    </row>
    <row r="96" spans="1:51" x14ac:dyDescent="0.25">
      <c r="A96" s="7">
        <v>94</v>
      </c>
      <c r="B96" s="8" t="s">
        <v>1305</v>
      </c>
      <c r="C96" s="8" t="s">
        <v>2889</v>
      </c>
      <c r="D96" s="8" t="s">
        <v>46</v>
      </c>
      <c r="E96" s="8" t="s">
        <v>47</v>
      </c>
      <c r="F96" s="8" t="s">
        <v>48</v>
      </c>
      <c r="G96" s="8" t="s">
        <v>182</v>
      </c>
      <c r="H96" s="8" t="s">
        <v>2890</v>
      </c>
      <c r="I96" s="8" t="s">
        <v>2891</v>
      </c>
      <c r="J96" s="8">
        <v>2</v>
      </c>
      <c r="K96" s="8">
        <v>25.8</v>
      </c>
      <c r="L96" s="8" t="s">
        <v>2892</v>
      </c>
      <c r="M96" s="8" t="s">
        <v>2893</v>
      </c>
      <c r="N96" s="8" t="s">
        <v>2894</v>
      </c>
      <c r="O96" s="8" t="s">
        <v>2895</v>
      </c>
      <c r="P96" s="8" t="s">
        <v>65</v>
      </c>
      <c r="Q96" s="8" t="s">
        <v>2896</v>
      </c>
      <c r="R96" s="8" t="s">
        <v>2897</v>
      </c>
      <c r="S96" s="8" t="s">
        <v>2898</v>
      </c>
      <c r="T96" s="8">
        <v>1064700</v>
      </c>
      <c r="U96" s="8">
        <v>1521000</v>
      </c>
      <c r="V96" s="8" t="s">
        <v>2899</v>
      </c>
      <c r="W96" s="8" t="s">
        <v>971</v>
      </c>
      <c r="X96" s="8" t="s">
        <v>2900</v>
      </c>
      <c r="Y96" s="8" t="s">
        <v>2901</v>
      </c>
      <c r="Z96" s="8" t="s">
        <v>64</v>
      </c>
      <c r="AA96" s="8" t="s">
        <v>65</v>
      </c>
      <c r="AB96" s="8" t="s">
        <v>1664</v>
      </c>
      <c r="AC96" s="8" t="s">
        <v>67</v>
      </c>
      <c r="AD96" s="8" t="s">
        <v>1094</v>
      </c>
      <c r="AE96" s="8" t="s">
        <v>69</v>
      </c>
      <c r="AF96" s="8" t="s">
        <v>1007</v>
      </c>
      <c r="AG96" s="8" t="s">
        <v>2902</v>
      </c>
      <c r="AH96" s="8">
        <v>5</v>
      </c>
      <c r="AI96" s="8" t="s">
        <v>511</v>
      </c>
      <c r="AJ96" s="8" t="s">
        <v>2903</v>
      </c>
      <c r="AK96" s="8" t="s">
        <v>876</v>
      </c>
      <c r="AL96" s="8"/>
      <c r="AM96" s="8" t="s">
        <v>75</v>
      </c>
      <c r="AN96" s="8">
        <v>1216800</v>
      </c>
      <c r="AO96" s="11">
        <v>24336</v>
      </c>
      <c r="AP96" s="8"/>
      <c r="AQ96" s="8"/>
      <c r="AR96" s="8"/>
      <c r="AS96" s="18" t="s">
        <v>6876</v>
      </c>
      <c r="AT96" s="18">
        <v>0</v>
      </c>
      <c r="AU96" s="21">
        <v>24336</v>
      </c>
      <c r="AV96" s="20">
        <v>0</v>
      </c>
      <c r="AW96" s="18" t="s">
        <v>6555</v>
      </c>
      <c r="AX96" s="18"/>
      <c r="AY96" s="18"/>
    </row>
    <row r="97" spans="1:51" x14ac:dyDescent="0.25">
      <c r="A97" s="5">
        <v>95</v>
      </c>
      <c r="B97" s="6" t="s">
        <v>1305</v>
      </c>
      <c r="C97" s="6" t="s">
        <v>2904</v>
      </c>
      <c r="D97" s="6" t="s">
        <v>241</v>
      </c>
      <c r="E97" s="6" t="s">
        <v>47</v>
      </c>
      <c r="F97" s="6" t="s">
        <v>48</v>
      </c>
      <c r="G97" s="6" t="s">
        <v>994</v>
      </c>
      <c r="H97" s="6" t="s">
        <v>2905</v>
      </c>
      <c r="I97" s="6" t="s">
        <v>2906</v>
      </c>
      <c r="J97" s="6">
        <v>2</v>
      </c>
      <c r="K97" s="6">
        <v>26.18</v>
      </c>
      <c r="L97" s="6" t="s">
        <v>2907</v>
      </c>
      <c r="M97" s="6" t="s">
        <v>2908</v>
      </c>
      <c r="N97" s="6" t="s">
        <v>1085</v>
      </c>
      <c r="O97" s="6" t="s">
        <v>2909</v>
      </c>
      <c r="P97" s="6" t="s">
        <v>2910</v>
      </c>
      <c r="Q97" s="6" t="s">
        <v>2910</v>
      </c>
      <c r="R97" s="6" t="s">
        <v>2910</v>
      </c>
      <c r="S97" s="6" t="s">
        <v>2911</v>
      </c>
      <c r="T97" s="6">
        <v>1148000</v>
      </c>
      <c r="U97" s="6">
        <v>1640000</v>
      </c>
      <c r="V97" s="6" t="s">
        <v>2912</v>
      </c>
      <c r="W97" s="6" t="s">
        <v>971</v>
      </c>
      <c r="X97" s="6" t="s">
        <v>2913</v>
      </c>
      <c r="Y97" s="6" t="s">
        <v>2914</v>
      </c>
      <c r="Z97" s="6" t="s">
        <v>64</v>
      </c>
      <c r="AA97" s="6" t="s">
        <v>65</v>
      </c>
      <c r="AB97" s="6" t="s">
        <v>1790</v>
      </c>
      <c r="AC97" s="6" t="s">
        <v>67</v>
      </c>
      <c r="AD97" s="6" t="s">
        <v>1397</v>
      </c>
      <c r="AE97" s="6" t="s">
        <v>399</v>
      </c>
      <c r="AF97" s="6" t="s">
        <v>1354</v>
      </c>
      <c r="AG97" s="6" t="s">
        <v>2915</v>
      </c>
      <c r="AH97" s="6">
        <v>5</v>
      </c>
      <c r="AI97" s="6" t="s">
        <v>511</v>
      </c>
      <c r="AJ97" s="6" t="s">
        <v>2916</v>
      </c>
      <c r="AK97" s="6" t="s">
        <v>876</v>
      </c>
      <c r="AL97" s="6"/>
      <c r="AM97" s="6" t="s">
        <v>75</v>
      </c>
      <c r="AN97" s="6">
        <v>1312000</v>
      </c>
      <c r="AO97" s="10">
        <v>26240</v>
      </c>
      <c r="AP97" s="6"/>
      <c r="AQ97" s="6"/>
      <c r="AR97" s="6"/>
      <c r="AS97" s="18" t="s">
        <v>6649</v>
      </c>
      <c r="AT97" s="18"/>
      <c r="AU97" s="19">
        <v>26240</v>
      </c>
      <c r="AV97" s="20">
        <v>0</v>
      </c>
      <c r="AW97" s="18" t="s">
        <v>6555</v>
      </c>
      <c r="AX97" s="18"/>
      <c r="AY97" s="18"/>
    </row>
    <row r="98" spans="1:51" x14ac:dyDescent="0.25">
      <c r="A98" s="7">
        <v>96</v>
      </c>
      <c r="B98" s="8" t="s">
        <v>1305</v>
      </c>
      <c r="C98" s="8" t="s">
        <v>2917</v>
      </c>
      <c r="D98" s="8" t="s">
        <v>912</v>
      </c>
      <c r="E98" s="8" t="s">
        <v>47</v>
      </c>
      <c r="F98" s="8" t="s">
        <v>48</v>
      </c>
      <c r="G98" s="8" t="s">
        <v>2918</v>
      </c>
      <c r="H98" s="8" t="s">
        <v>2919</v>
      </c>
      <c r="I98" s="8" t="s">
        <v>2920</v>
      </c>
      <c r="J98" s="8">
        <v>1.5</v>
      </c>
      <c r="K98" s="8">
        <v>26.78</v>
      </c>
      <c r="L98" s="8" t="s">
        <v>2921</v>
      </c>
      <c r="M98" s="8" t="s">
        <v>2922</v>
      </c>
      <c r="N98" s="8" t="s">
        <v>187</v>
      </c>
      <c r="O98" s="8" t="s">
        <v>2923</v>
      </c>
      <c r="P98" s="8" t="s">
        <v>2924</v>
      </c>
      <c r="Q98" s="8" t="s">
        <v>2924</v>
      </c>
      <c r="R98" s="8" t="s">
        <v>2925</v>
      </c>
      <c r="S98" s="8" t="s">
        <v>2926</v>
      </c>
      <c r="T98" s="8">
        <v>4072500</v>
      </c>
      <c r="U98" s="8">
        <v>5430000</v>
      </c>
      <c r="V98" s="8" t="s">
        <v>2927</v>
      </c>
      <c r="W98" s="8" t="s">
        <v>147</v>
      </c>
      <c r="X98" s="8" t="s">
        <v>2928</v>
      </c>
      <c r="Y98" s="8" t="s">
        <v>2929</v>
      </c>
      <c r="Z98" s="8" t="s">
        <v>64</v>
      </c>
      <c r="AA98" s="8" t="s">
        <v>65</v>
      </c>
      <c r="AB98" s="8" t="s">
        <v>116</v>
      </c>
      <c r="AC98" s="8" t="s">
        <v>151</v>
      </c>
      <c r="AD98" s="8" t="s">
        <v>2500</v>
      </c>
      <c r="AE98" s="8" t="s">
        <v>153</v>
      </c>
      <c r="AF98" s="8" t="s">
        <v>2533</v>
      </c>
      <c r="AG98" s="8" t="s">
        <v>2930</v>
      </c>
      <c r="AH98" s="8">
        <v>5</v>
      </c>
      <c r="AI98" s="8" t="s">
        <v>65</v>
      </c>
      <c r="AJ98" s="8" t="s">
        <v>65</v>
      </c>
      <c r="AK98" s="8" t="s">
        <v>65</v>
      </c>
      <c r="AL98" s="8"/>
      <c r="AM98" s="8" t="s">
        <v>157</v>
      </c>
      <c r="AN98" s="8">
        <v>4072500</v>
      </c>
      <c r="AO98" s="11">
        <v>61087.5</v>
      </c>
      <c r="AP98" s="8"/>
      <c r="AQ98" s="8"/>
      <c r="AR98" s="8"/>
      <c r="AS98" s="18" t="s">
        <v>6650</v>
      </c>
      <c r="AT98" s="18" t="s">
        <v>6912</v>
      </c>
      <c r="AU98" s="19">
        <v>69233</v>
      </c>
      <c r="AV98" s="20">
        <v>-8145.5</v>
      </c>
      <c r="AW98" s="18" t="s">
        <v>6555</v>
      </c>
      <c r="AX98" s="19">
        <v>-8145</v>
      </c>
      <c r="AY98" s="20">
        <v>-0.5</v>
      </c>
    </row>
    <row r="99" spans="1:51" x14ac:dyDescent="0.25">
      <c r="A99" s="5">
        <v>97</v>
      </c>
      <c r="B99" s="6" t="s">
        <v>1305</v>
      </c>
      <c r="C99" s="6" t="s">
        <v>2931</v>
      </c>
      <c r="D99" s="6" t="s">
        <v>136</v>
      </c>
      <c r="E99" s="6" t="s">
        <v>47</v>
      </c>
      <c r="F99" s="6" t="s">
        <v>48</v>
      </c>
      <c r="G99" s="6" t="s">
        <v>2932</v>
      </c>
      <c r="H99" s="6" t="s">
        <v>2933</v>
      </c>
      <c r="I99" s="6" t="s">
        <v>2934</v>
      </c>
      <c r="J99" s="6">
        <v>1.5</v>
      </c>
      <c r="K99" s="6">
        <v>26.78</v>
      </c>
      <c r="L99" s="6" t="s">
        <v>2935</v>
      </c>
      <c r="M99" s="6" t="s">
        <v>2936</v>
      </c>
      <c r="N99" s="6" t="s">
        <v>187</v>
      </c>
      <c r="O99" s="6" t="s">
        <v>2937</v>
      </c>
      <c r="P99" s="6" t="s">
        <v>2938</v>
      </c>
      <c r="Q99" s="6" t="s">
        <v>2939</v>
      </c>
      <c r="R99" s="6" t="s">
        <v>2940</v>
      </c>
      <c r="S99" s="6" t="s">
        <v>2941</v>
      </c>
      <c r="T99" s="6">
        <v>3961710</v>
      </c>
      <c r="U99" s="6">
        <v>5427000</v>
      </c>
      <c r="V99" s="6" t="s">
        <v>2942</v>
      </c>
      <c r="W99" s="6" t="s">
        <v>147</v>
      </c>
      <c r="X99" s="6" t="s">
        <v>2943</v>
      </c>
      <c r="Y99" s="6" t="s">
        <v>2944</v>
      </c>
      <c r="Z99" s="6" t="s">
        <v>64</v>
      </c>
      <c r="AA99" s="6" t="s">
        <v>65</v>
      </c>
      <c r="AB99" s="6" t="s">
        <v>2945</v>
      </c>
      <c r="AC99" s="6" t="s">
        <v>151</v>
      </c>
      <c r="AD99" s="6" t="s">
        <v>2946</v>
      </c>
      <c r="AE99" s="6" t="s">
        <v>2947</v>
      </c>
      <c r="AF99" s="6" t="s">
        <v>2948</v>
      </c>
      <c r="AG99" s="6" t="s">
        <v>2949</v>
      </c>
      <c r="AH99" s="6">
        <v>5</v>
      </c>
      <c r="AI99" s="6" t="s">
        <v>65</v>
      </c>
      <c r="AJ99" s="6" t="s">
        <v>65</v>
      </c>
      <c r="AK99" s="6" t="s">
        <v>65</v>
      </c>
      <c r="AL99" s="6"/>
      <c r="AM99" s="6" t="s">
        <v>157</v>
      </c>
      <c r="AN99" s="6">
        <v>4070250</v>
      </c>
      <c r="AO99" s="10">
        <v>61053.75</v>
      </c>
      <c r="AP99" s="6"/>
      <c r="AQ99" s="6"/>
      <c r="AR99" s="6"/>
      <c r="AS99" s="18" t="s">
        <v>6651</v>
      </c>
      <c r="AT99" s="18" t="s">
        <v>6913</v>
      </c>
      <c r="AU99" s="19">
        <v>69194</v>
      </c>
      <c r="AV99" s="20">
        <v>-8140.25</v>
      </c>
      <c r="AW99" s="18" t="s">
        <v>6555</v>
      </c>
      <c r="AX99" s="19">
        <v>-8141</v>
      </c>
      <c r="AY99" s="20">
        <v>0.75</v>
      </c>
    </row>
    <row r="100" spans="1:51" x14ac:dyDescent="0.25">
      <c r="A100" s="7">
        <v>98</v>
      </c>
      <c r="B100" s="8" t="s">
        <v>1305</v>
      </c>
      <c r="C100" s="8" t="s">
        <v>2950</v>
      </c>
      <c r="D100" s="8" t="s">
        <v>241</v>
      </c>
      <c r="E100" s="8" t="s">
        <v>47</v>
      </c>
      <c r="F100" s="8" t="s">
        <v>48</v>
      </c>
      <c r="G100" s="8" t="s">
        <v>2951</v>
      </c>
      <c r="H100" s="8" t="s">
        <v>2952</v>
      </c>
      <c r="I100" s="8" t="s">
        <v>2953</v>
      </c>
      <c r="J100" s="8">
        <v>2</v>
      </c>
      <c r="K100" s="8">
        <v>26.34</v>
      </c>
      <c r="L100" s="8" t="s">
        <v>2954</v>
      </c>
      <c r="M100" s="8" t="s">
        <v>2955</v>
      </c>
      <c r="N100" s="8" t="s">
        <v>164</v>
      </c>
      <c r="O100" s="8" t="s">
        <v>2956</v>
      </c>
      <c r="P100" s="8" t="s">
        <v>2957</v>
      </c>
      <c r="Q100" s="8" t="s">
        <v>65</v>
      </c>
      <c r="R100" s="8" t="s">
        <v>167</v>
      </c>
      <c r="S100" s="8" t="s">
        <v>2958</v>
      </c>
      <c r="T100" s="8">
        <v>1281000</v>
      </c>
      <c r="U100" s="8">
        <v>1830000</v>
      </c>
      <c r="V100" s="8" t="s">
        <v>2959</v>
      </c>
      <c r="W100" s="8" t="s">
        <v>971</v>
      </c>
      <c r="X100" s="8" t="s">
        <v>2960</v>
      </c>
      <c r="Y100" s="8" t="s">
        <v>2961</v>
      </c>
      <c r="Z100" s="8" t="s">
        <v>64</v>
      </c>
      <c r="AA100" s="8" t="s">
        <v>65</v>
      </c>
      <c r="AB100" s="8" t="s">
        <v>195</v>
      </c>
      <c r="AC100" s="8" t="s">
        <v>67</v>
      </c>
      <c r="AD100" s="8" t="s">
        <v>196</v>
      </c>
      <c r="AE100" s="8" t="s">
        <v>399</v>
      </c>
      <c r="AF100" s="8" t="s">
        <v>1354</v>
      </c>
      <c r="AG100" s="8" t="s">
        <v>2962</v>
      </c>
      <c r="AH100" s="8">
        <v>5</v>
      </c>
      <c r="AI100" s="8" t="s">
        <v>198</v>
      </c>
      <c r="AJ100" s="8" t="s">
        <v>2963</v>
      </c>
      <c r="AK100" s="8" t="s">
        <v>876</v>
      </c>
      <c r="AL100" s="8"/>
      <c r="AM100" s="8" t="s">
        <v>75</v>
      </c>
      <c r="AN100" s="8">
        <v>1464000</v>
      </c>
      <c r="AO100" s="11">
        <v>29280</v>
      </c>
      <c r="AP100" s="8"/>
      <c r="AQ100" s="8"/>
      <c r="AR100" s="8"/>
      <c r="AS100" s="18" t="s">
        <v>6652</v>
      </c>
      <c r="AT100" s="18"/>
      <c r="AU100" s="19">
        <v>29280</v>
      </c>
      <c r="AV100" s="20">
        <v>0</v>
      </c>
      <c r="AW100" s="18" t="s">
        <v>6555</v>
      </c>
      <c r="AX100" s="18"/>
      <c r="AY100" s="18"/>
    </row>
    <row r="101" spans="1:51" x14ac:dyDescent="0.25">
      <c r="A101" s="5">
        <v>99</v>
      </c>
      <c r="B101" s="6" t="s">
        <v>1305</v>
      </c>
      <c r="C101" s="6" t="s">
        <v>2964</v>
      </c>
      <c r="D101" s="6" t="s">
        <v>46</v>
      </c>
      <c r="E101" s="6" t="s">
        <v>47</v>
      </c>
      <c r="F101" s="6" t="s">
        <v>48</v>
      </c>
      <c r="G101" s="6" t="s">
        <v>182</v>
      </c>
      <c r="H101" s="6" t="s">
        <v>2965</v>
      </c>
      <c r="I101" s="6" t="s">
        <v>2966</v>
      </c>
      <c r="J101" s="6">
        <v>2</v>
      </c>
      <c r="K101" s="6">
        <v>25.79</v>
      </c>
      <c r="L101" s="6" t="s">
        <v>2967</v>
      </c>
      <c r="M101" s="6" t="s">
        <v>2968</v>
      </c>
      <c r="N101" s="6" t="s">
        <v>83</v>
      </c>
      <c r="O101" s="6" t="s">
        <v>2969</v>
      </c>
      <c r="P101" s="6" t="s">
        <v>2970</v>
      </c>
      <c r="Q101" s="6" t="s">
        <v>2970</v>
      </c>
      <c r="R101" s="6" t="s">
        <v>167</v>
      </c>
      <c r="S101" s="6" t="s">
        <v>2971</v>
      </c>
      <c r="T101" s="6">
        <v>1290070</v>
      </c>
      <c r="U101" s="6">
        <v>1633000</v>
      </c>
      <c r="V101" s="6" t="s">
        <v>2972</v>
      </c>
      <c r="W101" s="6" t="s">
        <v>971</v>
      </c>
      <c r="X101" s="6" t="s">
        <v>2973</v>
      </c>
      <c r="Y101" s="6" t="s">
        <v>2974</v>
      </c>
      <c r="Z101" s="6" t="s">
        <v>64</v>
      </c>
      <c r="AA101" s="6" t="s">
        <v>65</v>
      </c>
      <c r="AB101" s="6" t="s">
        <v>1696</v>
      </c>
      <c r="AC101" s="6" t="s">
        <v>67</v>
      </c>
      <c r="AD101" s="6" t="s">
        <v>1094</v>
      </c>
      <c r="AE101" s="6" t="s">
        <v>604</v>
      </c>
      <c r="AF101" s="6" t="s">
        <v>2638</v>
      </c>
      <c r="AG101" s="6" t="s">
        <v>2975</v>
      </c>
      <c r="AH101" s="6">
        <v>7</v>
      </c>
      <c r="AI101" s="6" t="s">
        <v>237</v>
      </c>
      <c r="AJ101" s="6" t="s">
        <v>2976</v>
      </c>
      <c r="AK101" s="6" t="s">
        <v>1042</v>
      </c>
      <c r="AL101" s="6"/>
      <c r="AM101" s="6" t="s">
        <v>75</v>
      </c>
      <c r="AN101" s="6">
        <v>1306400</v>
      </c>
      <c r="AO101" s="10">
        <v>26128</v>
      </c>
      <c r="AP101" s="6"/>
      <c r="AQ101" s="6"/>
      <c r="AR101" s="6"/>
      <c r="AS101" s="18" t="s">
        <v>6653</v>
      </c>
      <c r="AT101" s="18"/>
      <c r="AU101" s="19">
        <v>26128</v>
      </c>
      <c r="AV101" s="20">
        <v>0</v>
      </c>
      <c r="AW101" s="18" t="s">
        <v>6555</v>
      </c>
      <c r="AX101" s="18"/>
      <c r="AY101" s="18"/>
    </row>
    <row r="102" spans="1:51" x14ac:dyDescent="0.25">
      <c r="A102" s="7">
        <v>100</v>
      </c>
      <c r="B102" s="8" t="s">
        <v>1305</v>
      </c>
      <c r="C102" s="8" t="s">
        <v>2977</v>
      </c>
      <c r="D102" s="8" t="s">
        <v>46</v>
      </c>
      <c r="E102" s="8" t="s">
        <v>47</v>
      </c>
      <c r="F102" s="8" t="s">
        <v>48</v>
      </c>
      <c r="G102" s="8" t="s">
        <v>2932</v>
      </c>
      <c r="H102" s="8" t="s">
        <v>2978</v>
      </c>
      <c r="I102" s="8" t="s">
        <v>2979</v>
      </c>
      <c r="J102" s="8">
        <v>1.5</v>
      </c>
      <c r="K102" s="8">
        <v>25.8</v>
      </c>
      <c r="L102" s="8" t="s">
        <v>2980</v>
      </c>
      <c r="M102" s="8" t="s">
        <v>2981</v>
      </c>
      <c r="N102" s="8" t="s">
        <v>187</v>
      </c>
      <c r="O102" s="8" t="s">
        <v>2982</v>
      </c>
      <c r="P102" s="8" t="s">
        <v>2983</v>
      </c>
      <c r="Q102" s="8" t="s">
        <v>2983</v>
      </c>
      <c r="R102" s="8" t="s">
        <v>2984</v>
      </c>
      <c r="S102" s="8" t="s">
        <v>2985</v>
      </c>
      <c r="T102" s="8">
        <v>3324000</v>
      </c>
      <c r="U102" s="8">
        <v>4432000</v>
      </c>
      <c r="V102" s="8" t="s">
        <v>2986</v>
      </c>
      <c r="W102" s="8" t="s">
        <v>61</v>
      </c>
      <c r="X102" s="8" t="s">
        <v>2987</v>
      </c>
      <c r="Y102" s="8" t="s">
        <v>2988</v>
      </c>
      <c r="Z102" s="8" t="s">
        <v>64</v>
      </c>
      <c r="AA102" s="8" t="s">
        <v>65</v>
      </c>
      <c r="AB102" s="8" t="s">
        <v>2989</v>
      </c>
      <c r="AC102" s="8" t="s">
        <v>67</v>
      </c>
      <c r="AD102" s="8" t="s">
        <v>1469</v>
      </c>
      <c r="AE102" s="8" t="s">
        <v>69</v>
      </c>
      <c r="AF102" s="8" t="s">
        <v>2533</v>
      </c>
      <c r="AG102" s="8" t="s">
        <v>2990</v>
      </c>
      <c r="AH102" s="8">
        <v>4</v>
      </c>
      <c r="AI102" s="8" t="s">
        <v>65</v>
      </c>
      <c r="AJ102" s="8" t="s">
        <v>65</v>
      </c>
      <c r="AK102" s="8" t="s">
        <v>65</v>
      </c>
      <c r="AL102" s="8"/>
      <c r="AM102" s="8" t="s">
        <v>157</v>
      </c>
      <c r="AN102" s="8">
        <v>3545600</v>
      </c>
      <c r="AO102" s="11">
        <v>53184</v>
      </c>
      <c r="AP102" s="8"/>
      <c r="AQ102" s="8"/>
      <c r="AR102" s="8"/>
      <c r="AS102" s="18" t="s">
        <v>6654</v>
      </c>
      <c r="AT102" s="18" t="s">
        <v>6914</v>
      </c>
      <c r="AU102" s="19">
        <v>56508</v>
      </c>
      <c r="AV102" s="20">
        <v>-3324</v>
      </c>
      <c r="AW102" s="18" t="s">
        <v>6555</v>
      </c>
      <c r="AX102" s="19">
        <v>-3324</v>
      </c>
      <c r="AY102" s="20">
        <v>0</v>
      </c>
    </row>
    <row r="103" spans="1:51" x14ac:dyDescent="0.25">
      <c r="A103" s="5">
        <v>101</v>
      </c>
      <c r="B103" s="6" t="s">
        <v>1305</v>
      </c>
      <c r="C103" s="6" t="s">
        <v>2991</v>
      </c>
      <c r="D103" s="6" t="s">
        <v>136</v>
      </c>
      <c r="E103" s="6" t="s">
        <v>47</v>
      </c>
      <c r="F103" s="6" t="s">
        <v>48</v>
      </c>
      <c r="G103" s="6" t="s">
        <v>2992</v>
      </c>
      <c r="H103" s="6" t="s">
        <v>2993</v>
      </c>
      <c r="I103" s="6" t="s">
        <v>2994</v>
      </c>
      <c r="J103" s="6">
        <v>2</v>
      </c>
      <c r="K103" s="6">
        <v>26.93</v>
      </c>
      <c r="L103" s="6" t="s">
        <v>2995</v>
      </c>
      <c r="M103" s="6" t="s">
        <v>2996</v>
      </c>
      <c r="N103" s="6" t="s">
        <v>578</v>
      </c>
      <c r="O103" s="6" t="s">
        <v>2997</v>
      </c>
      <c r="P103" s="6" t="s">
        <v>2998</v>
      </c>
      <c r="Q103" s="6" t="s">
        <v>2999</v>
      </c>
      <c r="R103" s="6" t="s">
        <v>3000</v>
      </c>
      <c r="S103" s="6" t="s">
        <v>3001</v>
      </c>
      <c r="T103" s="6">
        <v>1796250</v>
      </c>
      <c r="U103" s="6">
        <v>2395000</v>
      </c>
      <c r="V103" s="6" t="s">
        <v>3002</v>
      </c>
      <c r="W103" s="6" t="s">
        <v>2049</v>
      </c>
      <c r="X103" s="6" t="s">
        <v>3003</v>
      </c>
      <c r="Y103" s="6" t="s">
        <v>3004</v>
      </c>
      <c r="Z103" s="6" t="s">
        <v>64</v>
      </c>
      <c r="AA103" s="6" t="s">
        <v>65</v>
      </c>
      <c r="AB103" s="6" t="s">
        <v>1335</v>
      </c>
      <c r="AC103" s="6" t="s">
        <v>151</v>
      </c>
      <c r="AD103" s="6" t="s">
        <v>3005</v>
      </c>
      <c r="AE103" s="6" t="s">
        <v>1539</v>
      </c>
      <c r="AF103" s="6" t="s">
        <v>1430</v>
      </c>
      <c r="AG103" s="6" t="s">
        <v>3006</v>
      </c>
      <c r="AH103" s="6">
        <v>5</v>
      </c>
      <c r="AI103" s="6" t="s">
        <v>237</v>
      </c>
      <c r="AJ103" s="6" t="s">
        <v>3007</v>
      </c>
      <c r="AK103" s="6" t="s">
        <v>1253</v>
      </c>
      <c r="AL103" s="6"/>
      <c r="AM103" s="6" t="s">
        <v>75</v>
      </c>
      <c r="AN103" s="6">
        <v>1796250</v>
      </c>
      <c r="AO103" s="10">
        <v>35925</v>
      </c>
      <c r="AP103" s="6"/>
      <c r="AQ103" s="6"/>
      <c r="AR103" s="6"/>
      <c r="AS103" s="18" t="s">
        <v>6655</v>
      </c>
      <c r="AT103" s="18" t="s">
        <v>6915</v>
      </c>
      <c r="AU103" s="19">
        <v>40715</v>
      </c>
      <c r="AV103" s="20">
        <v>-4790</v>
      </c>
      <c r="AW103" s="18" t="s">
        <v>6555</v>
      </c>
      <c r="AX103" s="19">
        <v>-4790</v>
      </c>
      <c r="AY103" s="20">
        <v>0</v>
      </c>
    </row>
    <row r="104" spans="1:51" x14ac:dyDescent="0.25">
      <c r="A104" s="7">
        <v>102</v>
      </c>
      <c r="B104" s="8" t="s">
        <v>1305</v>
      </c>
      <c r="C104" s="8" t="s">
        <v>3008</v>
      </c>
      <c r="D104" s="8" t="s">
        <v>912</v>
      </c>
      <c r="E104" s="8" t="s">
        <v>47</v>
      </c>
      <c r="F104" s="8" t="s">
        <v>48</v>
      </c>
      <c r="G104" s="8" t="s">
        <v>3009</v>
      </c>
      <c r="H104" s="8" t="s">
        <v>3010</v>
      </c>
      <c r="I104" s="8" t="s">
        <v>3011</v>
      </c>
      <c r="J104" s="8">
        <v>1.5</v>
      </c>
      <c r="K104" s="8">
        <v>26.78</v>
      </c>
      <c r="L104" s="8" t="s">
        <v>3012</v>
      </c>
      <c r="M104" s="8" t="s">
        <v>3013</v>
      </c>
      <c r="N104" s="8" t="s">
        <v>187</v>
      </c>
      <c r="O104" s="8" t="s">
        <v>3014</v>
      </c>
      <c r="P104" s="8" t="s">
        <v>3015</v>
      </c>
      <c r="Q104" s="8" t="s">
        <v>3016</v>
      </c>
      <c r="R104" s="8" t="s">
        <v>3017</v>
      </c>
      <c r="S104" s="8" t="s">
        <v>3018</v>
      </c>
      <c r="T104" s="8">
        <v>3301600</v>
      </c>
      <c r="U104" s="8">
        <v>4127000</v>
      </c>
      <c r="V104" s="8" t="s">
        <v>146</v>
      </c>
      <c r="W104" s="8" t="s">
        <v>147</v>
      </c>
      <c r="X104" s="8" t="s">
        <v>3019</v>
      </c>
      <c r="Y104" s="8" t="s">
        <v>3020</v>
      </c>
      <c r="Z104" s="8" t="s">
        <v>64</v>
      </c>
      <c r="AA104" s="8" t="s">
        <v>65</v>
      </c>
      <c r="AB104" s="8" t="s">
        <v>150</v>
      </c>
      <c r="AC104" s="8" t="s">
        <v>151</v>
      </c>
      <c r="AD104" s="8" t="s">
        <v>156</v>
      </c>
      <c r="AE104" s="8" t="s">
        <v>153</v>
      </c>
      <c r="AF104" s="8" t="s">
        <v>2533</v>
      </c>
      <c r="AG104" s="8" t="s">
        <v>3021</v>
      </c>
      <c r="AH104" s="8">
        <v>5</v>
      </c>
      <c r="AI104" s="8" t="s">
        <v>2502</v>
      </c>
      <c r="AJ104" s="8" t="s">
        <v>3022</v>
      </c>
      <c r="AK104" s="8" t="s">
        <v>156</v>
      </c>
      <c r="AL104" s="8"/>
      <c r="AM104" s="8" t="s">
        <v>157</v>
      </c>
      <c r="AN104" s="8">
        <v>3095250</v>
      </c>
      <c r="AO104" s="11">
        <v>46428.75</v>
      </c>
      <c r="AP104" s="8"/>
      <c r="AQ104" s="8"/>
      <c r="AR104" s="8"/>
      <c r="AS104" s="18" t="s">
        <v>6656</v>
      </c>
      <c r="AT104" s="18" t="s">
        <v>6916</v>
      </c>
      <c r="AU104" s="19">
        <v>52619</v>
      </c>
      <c r="AV104" s="20">
        <v>-6190.25</v>
      </c>
      <c r="AW104" s="18" t="s">
        <v>6555</v>
      </c>
      <c r="AX104" s="19">
        <v>-6191</v>
      </c>
      <c r="AY104" s="20">
        <v>0.75</v>
      </c>
    </row>
    <row r="105" spans="1:51" x14ac:dyDescent="0.25">
      <c r="A105" s="5">
        <v>103</v>
      </c>
      <c r="B105" s="6" t="s">
        <v>1305</v>
      </c>
      <c r="C105" s="6" t="s">
        <v>3023</v>
      </c>
      <c r="D105" s="6" t="s">
        <v>136</v>
      </c>
      <c r="E105" s="6" t="s">
        <v>47</v>
      </c>
      <c r="F105" s="6" t="s">
        <v>48</v>
      </c>
      <c r="G105" s="6" t="s">
        <v>1668</v>
      </c>
      <c r="H105" s="6" t="s">
        <v>3024</v>
      </c>
      <c r="I105" s="6" t="s">
        <v>3025</v>
      </c>
      <c r="J105" s="6">
        <v>2</v>
      </c>
      <c r="K105" s="6">
        <v>26.78</v>
      </c>
      <c r="L105" s="6" t="s">
        <v>3026</v>
      </c>
      <c r="M105" s="6" t="s">
        <v>3027</v>
      </c>
      <c r="N105" s="6" t="s">
        <v>187</v>
      </c>
      <c r="O105" s="6" t="s">
        <v>3028</v>
      </c>
      <c r="P105" s="6" t="s">
        <v>3029</v>
      </c>
      <c r="Q105" s="6" t="s">
        <v>3029</v>
      </c>
      <c r="R105" s="6" t="s">
        <v>3030</v>
      </c>
      <c r="S105" s="6" t="s">
        <v>3031</v>
      </c>
      <c r="T105" s="6">
        <v>2928750</v>
      </c>
      <c r="U105" s="6">
        <v>3905000</v>
      </c>
      <c r="V105" s="6" t="s">
        <v>146</v>
      </c>
      <c r="W105" s="6" t="s">
        <v>147</v>
      </c>
      <c r="X105" s="6" t="s">
        <v>3032</v>
      </c>
      <c r="Y105" s="6" t="s">
        <v>3033</v>
      </c>
      <c r="Z105" s="6" t="s">
        <v>64</v>
      </c>
      <c r="AA105" s="6" t="s">
        <v>65</v>
      </c>
      <c r="AB105" s="6" t="s">
        <v>150</v>
      </c>
      <c r="AC105" s="6" t="s">
        <v>151</v>
      </c>
      <c r="AD105" s="6" t="s">
        <v>152</v>
      </c>
      <c r="AE105" s="6" t="s">
        <v>153</v>
      </c>
      <c r="AF105" s="6" t="s">
        <v>2533</v>
      </c>
      <c r="AG105" s="6" t="s">
        <v>3034</v>
      </c>
      <c r="AH105" s="6">
        <v>5</v>
      </c>
      <c r="AI105" s="6" t="s">
        <v>100</v>
      </c>
      <c r="AJ105" s="6" t="s">
        <v>3035</v>
      </c>
      <c r="AK105" s="6" t="s">
        <v>170</v>
      </c>
      <c r="AL105" s="6"/>
      <c r="AM105" s="6" t="s">
        <v>75</v>
      </c>
      <c r="AN105" s="6">
        <v>2928750</v>
      </c>
      <c r="AO105" s="10">
        <v>58575</v>
      </c>
      <c r="AP105" s="6"/>
      <c r="AQ105" s="6"/>
      <c r="AR105" s="6"/>
      <c r="AS105" s="18" t="s">
        <v>6657</v>
      </c>
      <c r="AT105" s="18" t="s">
        <v>6917</v>
      </c>
      <c r="AU105" s="19">
        <v>66385</v>
      </c>
      <c r="AV105" s="20">
        <v>-7810</v>
      </c>
      <c r="AW105" s="18" t="s">
        <v>6555</v>
      </c>
      <c r="AX105" s="19">
        <v>-7810</v>
      </c>
      <c r="AY105" s="20">
        <v>0</v>
      </c>
    </row>
    <row r="106" spans="1:51" x14ac:dyDescent="0.25">
      <c r="A106" s="7">
        <v>104</v>
      </c>
      <c r="B106" s="8" t="s">
        <v>1305</v>
      </c>
      <c r="C106" s="8" t="s">
        <v>3036</v>
      </c>
      <c r="D106" s="8" t="s">
        <v>241</v>
      </c>
      <c r="E106" s="8" t="s">
        <v>47</v>
      </c>
      <c r="F106" s="8" t="s">
        <v>48</v>
      </c>
      <c r="G106" s="8" t="s">
        <v>242</v>
      </c>
      <c r="H106" s="8" t="s">
        <v>3037</v>
      </c>
      <c r="I106" s="8" t="s">
        <v>3038</v>
      </c>
      <c r="J106" s="8">
        <v>2</v>
      </c>
      <c r="K106" s="8">
        <v>26.18</v>
      </c>
      <c r="L106" s="8" t="s">
        <v>3039</v>
      </c>
      <c r="M106" s="8" t="s">
        <v>3040</v>
      </c>
      <c r="N106" s="8" t="s">
        <v>83</v>
      </c>
      <c r="O106" s="8" t="s">
        <v>3041</v>
      </c>
      <c r="P106" s="8" t="s">
        <v>65</v>
      </c>
      <c r="Q106" s="8" t="s">
        <v>3042</v>
      </c>
      <c r="R106" s="8" t="s">
        <v>65</v>
      </c>
      <c r="S106" s="8" t="s">
        <v>3043</v>
      </c>
      <c r="T106" s="8">
        <v>2193750</v>
      </c>
      <c r="U106" s="8">
        <v>3375000</v>
      </c>
      <c r="V106" s="8" t="s">
        <v>3044</v>
      </c>
      <c r="W106" s="8" t="s">
        <v>971</v>
      </c>
      <c r="X106" s="8" t="s">
        <v>3045</v>
      </c>
      <c r="Y106" s="8" t="s">
        <v>3046</v>
      </c>
      <c r="Z106" s="8" t="s">
        <v>64</v>
      </c>
      <c r="AA106" s="8" t="s">
        <v>65</v>
      </c>
      <c r="AB106" s="8" t="s">
        <v>1110</v>
      </c>
      <c r="AC106" s="8" t="s">
        <v>67</v>
      </c>
      <c r="AD106" s="8" t="s">
        <v>3047</v>
      </c>
      <c r="AE106" s="8" t="s">
        <v>604</v>
      </c>
      <c r="AF106" s="8" t="s">
        <v>974</v>
      </c>
      <c r="AG106" s="8" t="s">
        <v>3048</v>
      </c>
      <c r="AH106" s="8">
        <v>5</v>
      </c>
      <c r="AI106" s="8" t="s">
        <v>237</v>
      </c>
      <c r="AJ106" s="8" t="s">
        <v>3049</v>
      </c>
      <c r="AK106" s="8" t="s">
        <v>876</v>
      </c>
      <c r="AL106" s="8"/>
      <c r="AM106" s="8" t="s">
        <v>75</v>
      </c>
      <c r="AN106" s="8">
        <v>2700000</v>
      </c>
      <c r="AO106" s="11">
        <v>54000</v>
      </c>
      <c r="AP106" s="8"/>
      <c r="AQ106" s="8"/>
      <c r="AR106" s="8"/>
      <c r="AS106" s="18" t="s">
        <v>6658</v>
      </c>
      <c r="AT106" s="18"/>
      <c r="AU106" s="19">
        <v>54000</v>
      </c>
      <c r="AV106" s="20">
        <v>0</v>
      </c>
      <c r="AW106" s="18" t="s">
        <v>6555</v>
      </c>
      <c r="AX106" s="18"/>
      <c r="AY106" s="18"/>
    </row>
    <row r="107" spans="1:51" x14ac:dyDescent="0.25">
      <c r="A107" s="5">
        <v>105</v>
      </c>
      <c r="B107" s="6" t="s">
        <v>1305</v>
      </c>
      <c r="C107" s="6" t="s">
        <v>3050</v>
      </c>
      <c r="D107" s="6" t="s">
        <v>77</v>
      </c>
      <c r="E107" s="6" t="s">
        <v>47</v>
      </c>
      <c r="F107" s="6" t="s">
        <v>48</v>
      </c>
      <c r="G107" s="6" t="s">
        <v>516</v>
      </c>
      <c r="H107" s="6" t="s">
        <v>3051</v>
      </c>
      <c r="I107" s="6" t="s">
        <v>3052</v>
      </c>
      <c r="J107" s="6">
        <v>2</v>
      </c>
      <c r="K107" s="6">
        <v>25.69</v>
      </c>
      <c r="L107" s="6" t="s">
        <v>3053</v>
      </c>
      <c r="M107" s="6" t="s">
        <v>3054</v>
      </c>
      <c r="N107" s="6" t="s">
        <v>187</v>
      </c>
      <c r="O107" s="6" t="s">
        <v>3055</v>
      </c>
      <c r="P107" s="6" t="s">
        <v>3056</v>
      </c>
      <c r="Q107" s="6" t="s">
        <v>3056</v>
      </c>
      <c r="R107" s="6" t="s">
        <v>3057</v>
      </c>
      <c r="S107" s="6" t="s">
        <v>3058</v>
      </c>
      <c r="T107" s="6">
        <v>2050000</v>
      </c>
      <c r="U107" s="6">
        <v>4100000</v>
      </c>
      <c r="V107" s="6" t="s">
        <v>3059</v>
      </c>
      <c r="W107" s="6" t="s">
        <v>61</v>
      </c>
      <c r="X107" s="6" t="s">
        <v>3060</v>
      </c>
      <c r="Y107" s="6" t="s">
        <v>3061</v>
      </c>
      <c r="Z107" s="6" t="s">
        <v>93</v>
      </c>
      <c r="AA107" s="6" t="s">
        <v>3062</v>
      </c>
      <c r="AB107" s="6" t="s">
        <v>873</v>
      </c>
      <c r="AC107" s="6" t="s">
        <v>151</v>
      </c>
      <c r="AD107" s="6" t="s">
        <v>133</v>
      </c>
      <c r="AE107" s="6" t="s">
        <v>69</v>
      </c>
      <c r="AF107" s="6" t="s">
        <v>1007</v>
      </c>
      <c r="AG107" s="6" t="s">
        <v>3063</v>
      </c>
      <c r="AH107" s="6">
        <v>5</v>
      </c>
      <c r="AI107" s="6" t="s">
        <v>237</v>
      </c>
      <c r="AJ107" s="6" t="s">
        <v>3064</v>
      </c>
      <c r="AK107" s="6" t="s">
        <v>74</v>
      </c>
      <c r="AL107" s="6"/>
      <c r="AM107" s="6" t="s">
        <v>75</v>
      </c>
      <c r="AN107" s="6">
        <v>3280000</v>
      </c>
      <c r="AO107" s="10">
        <v>65600</v>
      </c>
      <c r="AP107" s="6"/>
      <c r="AQ107" s="6"/>
      <c r="AR107" s="6"/>
      <c r="AS107" s="18" t="s">
        <v>6659</v>
      </c>
      <c r="AT107" s="18"/>
      <c r="AU107" s="19">
        <v>65600</v>
      </c>
      <c r="AV107" s="20">
        <v>0</v>
      </c>
      <c r="AW107" s="18" t="s">
        <v>6555</v>
      </c>
      <c r="AX107" s="18"/>
      <c r="AY107" s="18"/>
    </row>
    <row r="108" spans="1:51" x14ac:dyDescent="0.25">
      <c r="A108" s="7">
        <v>106</v>
      </c>
      <c r="B108" s="8" t="s">
        <v>1305</v>
      </c>
      <c r="C108" s="8" t="s">
        <v>3065</v>
      </c>
      <c r="D108" s="8" t="s">
        <v>241</v>
      </c>
      <c r="E108" s="8" t="s">
        <v>47</v>
      </c>
      <c r="F108" s="8" t="s">
        <v>48</v>
      </c>
      <c r="G108" s="8" t="s">
        <v>104</v>
      </c>
      <c r="H108" s="8" t="s">
        <v>3066</v>
      </c>
      <c r="I108" s="8" t="s">
        <v>3067</v>
      </c>
      <c r="J108" s="8">
        <v>1.75</v>
      </c>
      <c r="K108" s="8">
        <v>25.95</v>
      </c>
      <c r="L108" s="8" t="s">
        <v>3068</v>
      </c>
      <c r="M108" s="8" t="s">
        <v>3069</v>
      </c>
      <c r="N108" s="8" t="s">
        <v>187</v>
      </c>
      <c r="O108" s="8" t="s">
        <v>3070</v>
      </c>
      <c r="P108" s="8" t="s">
        <v>65</v>
      </c>
      <c r="Q108" s="8" t="s">
        <v>3071</v>
      </c>
      <c r="R108" s="8" t="s">
        <v>65</v>
      </c>
      <c r="S108" s="8" t="s">
        <v>3072</v>
      </c>
      <c r="T108" s="8">
        <v>2449500</v>
      </c>
      <c r="U108" s="8">
        <v>4899000</v>
      </c>
      <c r="V108" s="8" t="s">
        <v>3073</v>
      </c>
      <c r="W108" s="8" t="s">
        <v>971</v>
      </c>
      <c r="X108" s="8" t="s">
        <v>3074</v>
      </c>
      <c r="Y108" s="8" t="s">
        <v>3075</v>
      </c>
      <c r="Z108" s="8" t="s">
        <v>64</v>
      </c>
      <c r="AA108" s="8" t="s">
        <v>65</v>
      </c>
      <c r="AB108" s="8" t="s">
        <v>132</v>
      </c>
      <c r="AC108" s="8" t="s">
        <v>67</v>
      </c>
      <c r="AD108" s="8" t="s">
        <v>117</v>
      </c>
      <c r="AE108" s="8" t="s">
        <v>69</v>
      </c>
      <c r="AF108" s="8" t="s">
        <v>1007</v>
      </c>
      <c r="AG108" s="8" t="s">
        <v>3076</v>
      </c>
      <c r="AH108" s="8">
        <v>5</v>
      </c>
      <c r="AI108" s="8" t="s">
        <v>198</v>
      </c>
      <c r="AJ108" s="8" t="s">
        <v>3077</v>
      </c>
      <c r="AK108" s="8" t="s">
        <v>781</v>
      </c>
      <c r="AL108" s="8"/>
      <c r="AM108" s="8" t="s">
        <v>102</v>
      </c>
      <c r="AN108" s="8">
        <v>3919200</v>
      </c>
      <c r="AO108" s="11">
        <v>68586</v>
      </c>
      <c r="AP108" s="8"/>
      <c r="AQ108" s="8"/>
      <c r="AR108" s="8"/>
      <c r="AS108" s="18" t="s">
        <v>6660</v>
      </c>
      <c r="AT108" s="18"/>
      <c r="AU108" s="19">
        <v>68586</v>
      </c>
      <c r="AV108" s="20">
        <v>0</v>
      </c>
      <c r="AW108" s="18" t="s">
        <v>6555</v>
      </c>
      <c r="AX108" s="18"/>
      <c r="AY108" s="18"/>
    </row>
    <row r="109" spans="1:51" x14ac:dyDescent="0.25">
      <c r="A109" s="5">
        <v>107</v>
      </c>
      <c r="B109" s="6" t="s">
        <v>1305</v>
      </c>
      <c r="C109" s="6" t="s">
        <v>3078</v>
      </c>
      <c r="D109" s="6" t="s">
        <v>1238</v>
      </c>
      <c r="E109" s="6" t="s">
        <v>47</v>
      </c>
      <c r="F109" s="6" t="s">
        <v>48</v>
      </c>
      <c r="G109" s="6" t="s">
        <v>3079</v>
      </c>
      <c r="H109" s="6" t="s">
        <v>3080</v>
      </c>
      <c r="I109" s="6" t="s">
        <v>3081</v>
      </c>
      <c r="J109" s="6">
        <v>2</v>
      </c>
      <c r="K109" s="6">
        <v>27.28</v>
      </c>
      <c r="L109" s="6" t="s">
        <v>3082</v>
      </c>
      <c r="M109" s="6" t="s">
        <v>3083</v>
      </c>
      <c r="N109" s="6" t="s">
        <v>83</v>
      </c>
      <c r="O109" s="6" t="s">
        <v>3084</v>
      </c>
      <c r="P109" s="6" t="s">
        <v>3085</v>
      </c>
      <c r="Q109" s="6" t="s">
        <v>3085</v>
      </c>
      <c r="R109" s="6" t="s">
        <v>167</v>
      </c>
      <c r="S109" s="6" t="s">
        <v>3086</v>
      </c>
      <c r="T109" s="6">
        <v>2437500</v>
      </c>
      <c r="U109" s="6">
        <v>3250000</v>
      </c>
      <c r="V109" s="6" t="s">
        <v>3087</v>
      </c>
      <c r="W109" s="6" t="s">
        <v>147</v>
      </c>
      <c r="X109" s="6" t="s">
        <v>3088</v>
      </c>
      <c r="Y109" s="6" t="s">
        <v>3089</v>
      </c>
      <c r="Z109" s="6" t="s">
        <v>93</v>
      </c>
      <c r="AA109" s="6" t="s">
        <v>3090</v>
      </c>
      <c r="AB109" s="6" t="s">
        <v>3091</v>
      </c>
      <c r="AC109" s="6" t="s">
        <v>96</v>
      </c>
      <c r="AD109" s="6" t="s">
        <v>156</v>
      </c>
      <c r="AE109" s="6" t="s">
        <v>153</v>
      </c>
      <c r="AF109" s="6" t="s">
        <v>2533</v>
      </c>
      <c r="AG109" s="6" t="s">
        <v>3092</v>
      </c>
      <c r="AH109" s="6">
        <v>5</v>
      </c>
      <c r="AI109" s="6" t="s">
        <v>2502</v>
      </c>
      <c r="AJ109" s="6" t="s">
        <v>3093</v>
      </c>
      <c r="AK109" s="6" t="s">
        <v>156</v>
      </c>
      <c r="AL109" s="6"/>
      <c r="AM109" s="6" t="s">
        <v>75</v>
      </c>
      <c r="AN109" s="6">
        <v>2437500</v>
      </c>
      <c r="AO109" s="10">
        <v>48750</v>
      </c>
      <c r="AP109" s="6"/>
      <c r="AQ109" s="6"/>
      <c r="AR109" s="6"/>
      <c r="AS109" s="18" t="s">
        <v>6661</v>
      </c>
      <c r="AT109" s="18" t="s">
        <v>6918</v>
      </c>
      <c r="AU109" s="19">
        <v>55250</v>
      </c>
      <c r="AV109" s="20">
        <v>-6500</v>
      </c>
      <c r="AW109" s="18" t="s">
        <v>6555</v>
      </c>
      <c r="AX109" s="19">
        <v>-6500</v>
      </c>
      <c r="AY109" s="20">
        <v>0</v>
      </c>
    </row>
    <row r="110" spans="1:51" x14ac:dyDescent="0.25">
      <c r="A110" s="7">
        <v>108</v>
      </c>
      <c r="B110" s="8" t="s">
        <v>1305</v>
      </c>
      <c r="C110" s="8" t="s">
        <v>3094</v>
      </c>
      <c r="D110" s="8" t="s">
        <v>77</v>
      </c>
      <c r="E110" s="8" t="s">
        <v>47</v>
      </c>
      <c r="F110" s="8" t="s">
        <v>48</v>
      </c>
      <c r="G110" s="8" t="s">
        <v>3095</v>
      </c>
      <c r="H110" s="8" t="s">
        <v>3096</v>
      </c>
      <c r="I110" s="8" t="s">
        <v>3097</v>
      </c>
      <c r="J110" s="8">
        <v>2</v>
      </c>
      <c r="K110" s="8">
        <v>25.68</v>
      </c>
      <c r="L110" s="8" t="s">
        <v>3098</v>
      </c>
      <c r="M110" s="8" t="s">
        <v>3099</v>
      </c>
      <c r="N110" s="8" t="s">
        <v>187</v>
      </c>
      <c r="O110" s="8" t="s">
        <v>3100</v>
      </c>
      <c r="P110" s="8" t="s">
        <v>3101</v>
      </c>
      <c r="Q110" s="8" t="s">
        <v>3101</v>
      </c>
      <c r="R110" s="8" t="s">
        <v>3101</v>
      </c>
      <c r="S110" s="8" t="s">
        <v>3102</v>
      </c>
      <c r="T110" s="8">
        <v>3390000</v>
      </c>
      <c r="U110" s="8">
        <v>5650000</v>
      </c>
      <c r="V110" s="8" t="s">
        <v>3103</v>
      </c>
      <c r="W110" s="8" t="s">
        <v>971</v>
      </c>
      <c r="X110" s="8" t="s">
        <v>3104</v>
      </c>
      <c r="Y110" s="8" t="s">
        <v>3105</v>
      </c>
      <c r="Z110" s="8" t="s">
        <v>93</v>
      </c>
      <c r="AA110" s="8" t="s">
        <v>3106</v>
      </c>
      <c r="AB110" s="8" t="s">
        <v>3107</v>
      </c>
      <c r="AC110" s="8" t="s">
        <v>67</v>
      </c>
      <c r="AD110" s="8" t="s">
        <v>728</v>
      </c>
      <c r="AE110" s="8" t="s">
        <v>604</v>
      </c>
      <c r="AF110" s="8" t="s">
        <v>974</v>
      </c>
      <c r="AG110" s="8" t="s">
        <v>3108</v>
      </c>
      <c r="AH110" s="8">
        <v>5</v>
      </c>
      <c r="AI110" s="8" t="s">
        <v>237</v>
      </c>
      <c r="AJ110" s="8" t="s">
        <v>3109</v>
      </c>
      <c r="AK110" s="8" t="s">
        <v>781</v>
      </c>
      <c r="AL110" s="8"/>
      <c r="AM110" s="8" t="s">
        <v>75</v>
      </c>
      <c r="AN110" s="8">
        <v>4520000</v>
      </c>
      <c r="AO110" s="11">
        <v>90400</v>
      </c>
      <c r="AP110" s="8"/>
      <c r="AQ110" s="8"/>
      <c r="AR110" s="8"/>
      <c r="AS110" s="18" t="s">
        <v>6662</v>
      </c>
      <c r="AT110" s="18"/>
      <c r="AU110" s="19">
        <v>90400</v>
      </c>
      <c r="AV110" s="20">
        <v>0</v>
      </c>
      <c r="AW110" s="18" t="s">
        <v>6555</v>
      </c>
      <c r="AX110" s="18"/>
      <c r="AY110" s="18"/>
    </row>
    <row r="111" spans="1:51" x14ac:dyDescent="0.25">
      <c r="A111" s="5">
        <v>109</v>
      </c>
      <c r="B111" s="6" t="s">
        <v>1305</v>
      </c>
      <c r="C111" s="6" t="s">
        <v>3110</v>
      </c>
      <c r="D111" s="6" t="s">
        <v>77</v>
      </c>
      <c r="E111" s="6" t="s">
        <v>47</v>
      </c>
      <c r="F111" s="6" t="s">
        <v>48</v>
      </c>
      <c r="G111" s="6" t="s">
        <v>516</v>
      </c>
      <c r="H111" s="6" t="s">
        <v>3111</v>
      </c>
      <c r="I111" s="6" t="s">
        <v>3112</v>
      </c>
      <c r="J111" s="6">
        <v>2</v>
      </c>
      <c r="K111" s="6">
        <v>25.68</v>
      </c>
      <c r="L111" s="6" t="s">
        <v>3113</v>
      </c>
      <c r="M111" s="6" t="s">
        <v>3114</v>
      </c>
      <c r="N111" s="6" t="s">
        <v>187</v>
      </c>
      <c r="O111" s="6" t="s">
        <v>3115</v>
      </c>
      <c r="P111" s="6" t="s">
        <v>3116</v>
      </c>
      <c r="Q111" s="6" t="s">
        <v>3117</v>
      </c>
      <c r="R111" s="6" t="s">
        <v>3118</v>
      </c>
      <c r="S111" s="6" t="s">
        <v>3119</v>
      </c>
      <c r="T111" s="6">
        <v>3410200</v>
      </c>
      <c r="U111" s="6">
        <v>4012000</v>
      </c>
      <c r="V111" s="6" t="s">
        <v>3120</v>
      </c>
      <c r="W111" s="6" t="s">
        <v>971</v>
      </c>
      <c r="X111" s="6" t="s">
        <v>3121</v>
      </c>
      <c r="Y111" s="6" t="s">
        <v>3122</v>
      </c>
      <c r="Z111" s="6" t="s">
        <v>64</v>
      </c>
      <c r="AA111" s="6" t="s">
        <v>65</v>
      </c>
      <c r="AB111" s="6" t="s">
        <v>873</v>
      </c>
      <c r="AC111" s="6" t="s">
        <v>67</v>
      </c>
      <c r="AD111" s="6" t="s">
        <v>781</v>
      </c>
      <c r="AE111" s="6" t="s">
        <v>604</v>
      </c>
      <c r="AF111" s="6" t="s">
        <v>974</v>
      </c>
      <c r="AG111" s="6" t="s">
        <v>3123</v>
      </c>
      <c r="AH111" s="6">
        <v>5</v>
      </c>
      <c r="AI111" s="6" t="s">
        <v>237</v>
      </c>
      <c r="AJ111" s="6" t="s">
        <v>3124</v>
      </c>
      <c r="AK111" s="6" t="s">
        <v>472</v>
      </c>
      <c r="AL111" s="6"/>
      <c r="AM111" s="6" t="s">
        <v>75</v>
      </c>
      <c r="AN111" s="6">
        <v>3209600</v>
      </c>
      <c r="AO111" s="10">
        <v>64192</v>
      </c>
      <c r="AP111" s="6"/>
      <c r="AQ111" s="6"/>
      <c r="AR111" s="6"/>
      <c r="AS111" s="18" t="s">
        <v>6663</v>
      </c>
      <c r="AT111" s="18"/>
      <c r="AU111" s="19">
        <v>64192</v>
      </c>
      <c r="AV111" s="20">
        <v>0</v>
      </c>
      <c r="AW111" s="18" t="s">
        <v>6555</v>
      </c>
      <c r="AX111" s="18"/>
      <c r="AY111" s="18"/>
    </row>
    <row r="112" spans="1:51" x14ac:dyDescent="0.25">
      <c r="A112" s="7">
        <v>110</v>
      </c>
      <c r="B112" s="8" t="s">
        <v>1305</v>
      </c>
      <c r="C112" s="8" t="s">
        <v>3125</v>
      </c>
      <c r="D112" s="8" t="s">
        <v>1489</v>
      </c>
      <c r="E112" s="8" t="s">
        <v>47</v>
      </c>
      <c r="F112" s="8" t="s">
        <v>48</v>
      </c>
      <c r="G112" s="8" t="s">
        <v>3126</v>
      </c>
      <c r="H112" s="8" t="s">
        <v>3127</v>
      </c>
      <c r="I112" s="8" t="s">
        <v>3128</v>
      </c>
      <c r="J112" s="8">
        <v>1.5</v>
      </c>
      <c r="K112" s="8">
        <v>21.05</v>
      </c>
      <c r="L112" s="8" t="s">
        <v>3129</v>
      </c>
      <c r="M112" s="8" t="s">
        <v>3130</v>
      </c>
      <c r="N112" s="8" t="s">
        <v>83</v>
      </c>
      <c r="O112" s="8" t="s">
        <v>3131</v>
      </c>
      <c r="P112" s="8" t="s">
        <v>65</v>
      </c>
      <c r="Q112" s="8" t="s">
        <v>3132</v>
      </c>
      <c r="R112" s="8" t="s">
        <v>65</v>
      </c>
      <c r="S112" s="8" t="s">
        <v>3133</v>
      </c>
      <c r="T112" s="8">
        <v>4273500</v>
      </c>
      <c r="U112" s="8">
        <v>6105000</v>
      </c>
      <c r="V112" s="8" t="s">
        <v>3134</v>
      </c>
      <c r="W112" s="8" t="s">
        <v>2049</v>
      </c>
      <c r="X112" s="8" t="s">
        <v>3135</v>
      </c>
      <c r="Y112" s="8" t="s">
        <v>3136</v>
      </c>
      <c r="Z112" s="8" t="s">
        <v>64</v>
      </c>
      <c r="AA112" s="8" t="s">
        <v>65</v>
      </c>
      <c r="AB112" s="8" t="s">
        <v>3137</v>
      </c>
      <c r="AC112" s="8" t="s">
        <v>151</v>
      </c>
      <c r="AD112" s="8" t="s">
        <v>2946</v>
      </c>
      <c r="AE112" s="8" t="s">
        <v>1253</v>
      </c>
      <c r="AF112" s="8" t="s">
        <v>1254</v>
      </c>
      <c r="AG112" s="8" t="s">
        <v>3138</v>
      </c>
      <c r="AH112" s="8">
        <v>5</v>
      </c>
      <c r="AI112" s="8" t="s">
        <v>100</v>
      </c>
      <c r="AJ112" s="8" t="s">
        <v>3139</v>
      </c>
      <c r="AK112" s="8" t="s">
        <v>1507</v>
      </c>
      <c r="AL112" s="8"/>
      <c r="AM112" s="8" t="s">
        <v>157</v>
      </c>
      <c r="AN112" s="8">
        <v>4578750</v>
      </c>
      <c r="AO112" s="11">
        <v>68681.25</v>
      </c>
      <c r="AP112" s="8"/>
      <c r="AQ112" s="8"/>
      <c r="AR112" s="8"/>
      <c r="AS112" s="18" t="s">
        <v>6664</v>
      </c>
      <c r="AT112" s="18" t="s">
        <v>6919</v>
      </c>
      <c r="AU112" s="19">
        <v>77839</v>
      </c>
      <c r="AV112" s="20">
        <v>-9157.75</v>
      </c>
      <c r="AW112" s="18" t="s">
        <v>6555</v>
      </c>
      <c r="AX112" s="19">
        <v>-9158</v>
      </c>
      <c r="AY112" s="20">
        <v>0.25</v>
      </c>
    </row>
    <row r="113" spans="1:51" x14ac:dyDescent="0.25">
      <c r="A113" s="5">
        <v>111</v>
      </c>
      <c r="B113" s="6" t="s">
        <v>1305</v>
      </c>
      <c r="C113" s="6" t="s">
        <v>3140</v>
      </c>
      <c r="D113" s="6" t="s">
        <v>77</v>
      </c>
      <c r="E113" s="6" t="s">
        <v>47</v>
      </c>
      <c r="F113" s="6" t="s">
        <v>48</v>
      </c>
      <c r="G113" s="6" t="s">
        <v>1717</v>
      </c>
      <c r="H113" s="6" t="s">
        <v>3141</v>
      </c>
      <c r="I113" s="6" t="s">
        <v>3142</v>
      </c>
      <c r="J113" s="6">
        <v>2</v>
      </c>
      <c r="K113" s="6">
        <v>25.68</v>
      </c>
      <c r="L113" s="6" t="s">
        <v>3143</v>
      </c>
      <c r="M113" s="6" t="s">
        <v>3144</v>
      </c>
      <c r="N113" s="6" t="s">
        <v>187</v>
      </c>
      <c r="O113" s="6" t="s">
        <v>3145</v>
      </c>
      <c r="P113" s="6" t="s">
        <v>3146</v>
      </c>
      <c r="Q113" s="6" t="s">
        <v>3146</v>
      </c>
      <c r="R113" s="6" t="s">
        <v>3146</v>
      </c>
      <c r="S113" s="6" t="s">
        <v>3147</v>
      </c>
      <c r="T113" s="6">
        <v>3839500</v>
      </c>
      <c r="U113" s="6">
        <v>5485000</v>
      </c>
      <c r="V113" s="6" t="s">
        <v>3148</v>
      </c>
      <c r="W113" s="6" t="s">
        <v>971</v>
      </c>
      <c r="X113" s="6" t="s">
        <v>3149</v>
      </c>
      <c r="Y113" s="6" t="s">
        <v>3150</v>
      </c>
      <c r="Z113" s="6" t="s">
        <v>64</v>
      </c>
      <c r="AA113" s="6" t="s">
        <v>65</v>
      </c>
      <c r="AB113" s="6" t="s">
        <v>3151</v>
      </c>
      <c r="AC113" s="6" t="s">
        <v>67</v>
      </c>
      <c r="AD113" s="6" t="s">
        <v>604</v>
      </c>
      <c r="AE113" s="6" t="s">
        <v>604</v>
      </c>
      <c r="AF113" s="6" t="s">
        <v>974</v>
      </c>
      <c r="AG113" s="6" t="s">
        <v>3152</v>
      </c>
      <c r="AH113" s="6">
        <v>5</v>
      </c>
      <c r="AI113" s="6" t="s">
        <v>237</v>
      </c>
      <c r="AJ113" s="6" t="s">
        <v>3153</v>
      </c>
      <c r="AK113" s="6" t="s">
        <v>472</v>
      </c>
      <c r="AL113" s="6"/>
      <c r="AM113" s="6" t="s">
        <v>75</v>
      </c>
      <c r="AN113" s="6">
        <v>4388000</v>
      </c>
      <c r="AO113" s="10">
        <v>87760</v>
      </c>
      <c r="AP113" s="6"/>
      <c r="AQ113" s="6"/>
      <c r="AR113" s="6"/>
      <c r="AS113" s="18" t="s">
        <v>6665</v>
      </c>
      <c r="AT113" s="18"/>
      <c r="AU113" s="19">
        <v>87760</v>
      </c>
      <c r="AV113" s="20">
        <v>0</v>
      </c>
      <c r="AW113" s="18" t="s">
        <v>6555</v>
      </c>
      <c r="AX113" s="18"/>
      <c r="AY113" s="18"/>
    </row>
    <row r="114" spans="1:51" x14ac:dyDescent="0.25">
      <c r="A114" s="7">
        <v>112</v>
      </c>
      <c r="B114" s="8" t="s">
        <v>1305</v>
      </c>
      <c r="C114" s="8" t="s">
        <v>3154</v>
      </c>
      <c r="D114" s="8" t="s">
        <v>77</v>
      </c>
      <c r="E114" s="8" t="s">
        <v>47</v>
      </c>
      <c r="F114" s="8" t="s">
        <v>48</v>
      </c>
      <c r="G114" s="8" t="s">
        <v>516</v>
      </c>
      <c r="H114" s="8" t="s">
        <v>3155</v>
      </c>
      <c r="I114" s="8" t="s">
        <v>3156</v>
      </c>
      <c r="J114" s="8">
        <v>2</v>
      </c>
      <c r="K114" s="8">
        <v>21.86</v>
      </c>
      <c r="L114" s="8" t="s">
        <v>3157</v>
      </c>
      <c r="M114" s="8" t="s">
        <v>3158</v>
      </c>
      <c r="N114" s="8" t="s">
        <v>187</v>
      </c>
      <c r="O114" s="8" t="s">
        <v>3159</v>
      </c>
      <c r="P114" s="8" t="s">
        <v>65</v>
      </c>
      <c r="Q114" s="8" t="s">
        <v>3160</v>
      </c>
      <c r="R114" s="8" t="s">
        <v>65</v>
      </c>
      <c r="S114" s="8" t="s">
        <v>3161</v>
      </c>
      <c r="T114" s="8">
        <v>4155000</v>
      </c>
      <c r="U114" s="8">
        <v>5540000</v>
      </c>
      <c r="V114" s="8" t="s">
        <v>3162</v>
      </c>
      <c r="W114" s="8" t="s">
        <v>971</v>
      </c>
      <c r="X114" s="8" t="s">
        <v>3163</v>
      </c>
      <c r="Y114" s="8" t="s">
        <v>3164</v>
      </c>
      <c r="Z114" s="8" t="s">
        <v>93</v>
      </c>
      <c r="AA114" s="8" t="s">
        <v>3165</v>
      </c>
      <c r="AB114" s="8" t="s">
        <v>456</v>
      </c>
      <c r="AC114" s="8" t="s">
        <v>67</v>
      </c>
      <c r="AD114" s="8" t="s">
        <v>876</v>
      </c>
      <c r="AE114" s="8" t="s">
        <v>1127</v>
      </c>
      <c r="AF114" s="8" t="s">
        <v>1162</v>
      </c>
      <c r="AG114" s="8" t="s">
        <v>3166</v>
      </c>
      <c r="AH114" s="8">
        <v>5</v>
      </c>
      <c r="AI114" s="8" t="s">
        <v>198</v>
      </c>
      <c r="AJ114" s="8" t="s">
        <v>3167</v>
      </c>
      <c r="AK114" s="8" t="s">
        <v>876</v>
      </c>
      <c r="AL114" s="8"/>
      <c r="AM114" s="8" t="s">
        <v>75</v>
      </c>
      <c r="AN114" s="8">
        <v>4432000</v>
      </c>
      <c r="AO114" s="11">
        <v>88640</v>
      </c>
      <c r="AP114" s="8"/>
      <c r="AQ114" s="8"/>
      <c r="AR114" s="8"/>
      <c r="AS114" s="18" t="s">
        <v>6666</v>
      </c>
      <c r="AT114" s="18"/>
      <c r="AU114" s="19">
        <v>88640</v>
      </c>
      <c r="AV114" s="20">
        <v>0</v>
      </c>
      <c r="AW114" s="18" t="s">
        <v>6555</v>
      </c>
      <c r="AX114" s="18"/>
      <c r="AY114" s="18"/>
    </row>
    <row r="115" spans="1:51" x14ac:dyDescent="0.25">
      <c r="A115" s="5">
        <v>113</v>
      </c>
      <c r="B115" s="6" t="s">
        <v>1305</v>
      </c>
      <c r="C115" s="6" t="s">
        <v>3168</v>
      </c>
      <c r="D115" s="6" t="s">
        <v>46</v>
      </c>
      <c r="E115" s="6" t="s">
        <v>47</v>
      </c>
      <c r="F115" s="6" t="s">
        <v>48</v>
      </c>
      <c r="G115" s="6" t="s">
        <v>182</v>
      </c>
      <c r="H115" s="6" t="s">
        <v>3169</v>
      </c>
      <c r="I115" s="6" t="s">
        <v>3170</v>
      </c>
      <c r="J115" s="6">
        <v>2.5</v>
      </c>
      <c r="K115" s="6">
        <v>24.13</v>
      </c>
      <c r="L115" s="6" t="s">
        <v>3171</v>
      </c>
      <c r="M115" s="6" t="s">
        <v>3172</v>
      </c>
      <c r="N115" s="6" t="s">
        <v>901</v>
      </c>
      <c r="O115" s="6" t="s">
        <v>3173</v>
      </c>
      <c r="P115" s="6" t="s">
        <v>3174</v>
      </c>
      <c r="Q115" s="6" t="s">
        <v>3175</v>
      </c>
      <c r="R115" s="6" t="s">
        <v>3175</v>
      </c>
      <c r="S115" s="6" t="s">
        <v>3176</v>
      </c>
      <c r="T115" s="6">
        <v>582000</v>
      </c>
      <c r="U115" s="6">
        <v>1164000</v>
      </c>
      <c r="V115" s="6" t="s">
        <v>3177</v>
      </c>
      <c r="W115" s="6" t="s">
        <v>3178</v>
      </c>
      <c r="X115" s="6" t="s">
        <v>3179</v>
      </c>
      <c r="Y115" s="6" t="s">
        <v>3180</v>
      </c>
      <c r="Z115" s="6" t="s">
        <v>64</v>
      </c>
      <c r="AA115" s="6" t="s">
        <v>3181</v>
      </c>
      <c r="AB115" s="6" t="s">
        <v>2448</v>
      </c>
      <c r="AC115" s="6" t="s">
        <v>96</v>
      </c>
      <c r="AD115" s="6" t="s">
        <v>3182</v>
      </c>
      <c r="AE115" s="6" t="s">
        <v>502</v>
      </c>
      <c r="AF115" s="6" t="s">
        <v>1430</v>
      </c>
      <c r="AG115" s="6" t="s">
        <v>3183</v>
      </c>
      <c r="AH115" s="6">
        <v>7</v>
      </c>
      <c r="AI115" s="6" t="s">
        <v>237</v>
      </c>
      <c r="AJ115" s="6" t="s">
        <v>3184</v>
      </c>
      <c r="AK115" s="6" t="s">
        <v>3185</v>
      </c>
      <c r="AL115" s="6"/>
      <c r="AM115" s="6" t="s">
        <v>180</v>
      </c>
      <c r="AN115" s="6">
        <v>756600</v>
      </c>
      <c r="AO115" s="10">
        <v>18915</v>
      </c>
      <c r="AP115" s="6"/>
      <c r="AQ115" s="6"/>
      <c r="AR115" s="6"/>
      <c r="AS115" s="18" t="s">
        <v>6667</v>
      </c>
      <c r="AT115" s="18" t="s">
        <v>6920</v>
      </c>
      <c r="AU115" s="19">
        <v>24735</v>
      </c>
      <c r="AV115" s="20">
        <v>-5820</v>
      </c>
      <c r="AW115" s="18" t="s">
        <v>6555</v>
      </c>
      <c r="AX115" s="19">
        <v>-5820</v>
      </c>
      <c r="AY115" s="20">
        <v>0</v>
      </c>
    </row>
    <row r="116" spans="1:51" x14ac:dyDescent="0.25">
      <c r="A116" s="7">
        <v>114</v>
      </c>
      <c r="B116" s="8" t="s">
        <v>1305</v>
      </c>
      <c r="C116" s="8" t="s">
        <v>3186</v>
      </c>
      <c r="D116" s="8" t="s">
        <v>912</v>
      </c>
      <c r="E116" s="8" t="s">
        <v>47</v>
      </c>
      <c r="F116" s="8" t="s">
        <v>48</v>
      </c>
      <c r="G116" s="8" t="s">
        <v>516</v>
      </c>
      <c r="H116" s="8" t="s">
        <v>3187</v>
      </c>
      <c r="I116" s="8" t="s">
        <v>3188</v>
      </c>
      <c r="J116" s="8">
        <v>2</v>
      </c>
      <c r="K116" s="8">
        <v>26.43</v>
      </c>
      <c r="L116" s="8" t="s">
        <v>3189</v>
      </c>
      <c r="M116" s="8" t="s">
        <v>3190</v>
      </c>
      <c r="N116" s="8" t="s">
        <v>187</v>
      </c>
      <c r="O116" s="8" t="s">
        <v>3191</v>
      </c>
      <c r="P116" s="8" t="s">
        <v>3192</v>
      </c>
      <c r="Q116" s="8" t="s">
        <v>3192</v>
      </c>
      <c r="R116" s="8" t="s">
        <v>3193</v>
      </c>
      <c r="S116" s="8" t="s">
        <v>3194</v>
      </c>
      <c r="T116" s="8">
        <v>552500</v>
      </c>
      <c r="U116" s="8">
        <v>850000</v>
      </c>
      <c r="V116" s="8" t="s">
        <v>146</v>
      </c>
      <c r="W116" s="8" t="s">
        <v>876</v>
      </c>
      <c r="X116" s="8" t="s">
        <v>3195</v>
      </c>
      <c r="Y116" s="8" t="s">
        <v>3196</v>
      </c>
      <c r="Z116" s="8" t="s">
        <v>93</v>
      </c>
      <c r="AA116" s="8" t="s">
        <v>3197</v>
      </c>
      <c r="AB116" s="8" t="s">
        <v>3198</v>
      </c>
      <c r="AC116" s="8" t="s">
        <v>624</v>
      </c>
      <c r="AD116" s="8" t="s">
        <v>3199</v>
      </c>
      <c r="AE116" s="8" t="s">
        <v>1539</v>
      </c>
      <c r="AF116" s="8" t="s">
        <v>1430</v>
      </c>
      <c r="AG116" s="8" t="s">
        <v>3200</v>
      </c>
      <c r="AH116" s="8">
        <v>5</v>
      </c>
      <c r="AI116" s="8" t="s">
        <v>100</v>
      </c>
      <c r="AJ116" s="8" t="s">
        <v>3201</v>
      </c>
      <c r="AK116" s="8" t="s">
        <v>3202</v>
      </c>
      <c r="AL116" s="8"/>
      <c r="AM116" s="8" t="s">
        <v>75</v>
      </c>
      <c r="AN116" s="8">
        <v>637500</v>
      </c>
      <c r="AO116" s="11">
        <v>12750</v>
      </c>
      <c r="AP116" s="8"/>
      <c r="AQ116" s="8"/>
      <c r="AR116" s="8"/>
      <c r="AS116" s="18" t="s">
        <v>6668</v>
      </c>
      <c r="AT116" s="18" t="s">
        <v>6921</v>
      </c>
      <c r="AU116" s="19">
        <v>14450</v>
      </c>
      <c r="AV116" s="20">
        <v>-1700</v>
      </c>
      <c r="AW116" s="18" t="s">
        <v>6555</v>
      </c>
      <c r="AX116" s="19">
        <v>-1700</v>
      </c>
      <c r="AY116" s="20">
        <v>0</v>
      </c>
    </row>
    <row r="117" spans="1:51" x14ac:dyDescent="0.25">
      <c r="A117" s="5">
        <v>115</v>
      </c>
      <c r="B117" s="6" t="s">
        <v>1305</v>
      </c>
      <c r="C117" s="6" t="s">
        <v>3203</v>
      </c>
      <c r="D117" s="6" t="s">
        <v>136</v>
      </c>
      <c r="E117" s="6" t="s">
        <v>47</v>
      </c>
      <c r="F117" s="6" t="s">
        <v>48</v>
      </c>
      <c r="G117" s="6" t="s">
        <v>629</v>
      </c>
      <c r="H117" s="6" t="s">
        <v>3204</v>
      </c>
      <c r="I117" s="6" t="s">
        <v>3205</v>
      </c>
      <c r="J117" s="6">
        <v>2</v>
      </c>
      <c r="K117" s="6">
        <v>26.93</v>
      </c>
      <c r="L117" s="6" t="s">
        <v>3206</v>
      </c>
      <c r="M117" s="6" t="s">
        <v>3207</v>
      </c>
      <c r="N117" s="6" t="s">
        <v>187</v>
      </c>
      <c r="O117" s="6" t="s">
        <v>3208</v>
      </c>
      <c r="P117" s="6" t="s">
        <v>3209</v>
      </c>
      <c r="Q117" s="6" t="s">
        <v>3209</v>
      </c>
      <c r="R117" s="6" t="s">
        <v>3210</v>
      </c>
      <c r="S117" s="6" t="s">
        <v>3211</v>
      </c>
      <c r="T117" s="6">
        <v>1398750</v>
      </c>
      <c r="U117" s="6">
        <v>1865000</v>
      </c>
      <c r="V117" s="6" t="s">
        <v>146</v>
      </c>
      <c r="W117" s="6" t="s">
        <v>876</v>
      </c>
      <c r="X117" s="6" t="s">
        <v>3212</v>
      </c>
      <c r="Y117" s="6" t="s">
        <v>3213</v>
      </c>
      <c r="Z117" s="6" t="s">
        <v>64</v>
      </c>
      <c r="AA117" s="6" t="s">
        <v>65</v>
      </c>
      <c r="AB117" s="6" t="s">
        <v>3214</v>
      </c>
      <c r="AC117" s="6" t="s">
        <v>151</v>
      </c>
      <c r="AD117" s="6" t="s">
        <v>1504</v>
      </c>
      <c r="AE117" s="6" t="s">
        <v>1539</v>
      </c>
      <c r="AF117" s="6" t="s">
        <v>1430</v>
      </c>
      <c r="AG117" s="6" t="s">
        <v>3215</v>
      </c>
      <c r="AH117" s="6">
        <v>5</v>
      </c>
      <c r="AI117" s="6" t="s">
        <v>100</v>
      </c>
      <c r="AJ117" s="6" t="s">
        <v>3216</v>
      </c>
      <c r="AK117" s="6" t="s">
        <v>953</v>
      </c>
      <c r="AL117" s="6"/>
      <c r="AM117" s="6" t="s">
        <v>75</v>
      </c>
      <c r="AN117" s="6">
        <v>1398750</v>
      </c>
      <c r="AO117" s="10">
        <v>27975</v>
      </c>
      <c r="AP117" s="6"/>
      <c r="AQ117" s="6"/>
      <c r="AR117" s="6"/>
      <c r="AS117" s="18" t="s">
        <v>6669</v>
      </c>
      <c r="AT117" s="18" t="s">
        <v>6922</v>
      </c>
      <c r="AU117" s="19">
        <v>31705</v>
      </c>
      <c r="AV117" s="20">
        <v>-3730</v>
      </c>
      <c r="AW117" s="18" t="s">
        <v>6555</v>
      </c>
      <c r="AX117" s="19">
        <v>-3730</v>
      </c>
      <c r="AY117" s="20">
        <v>0</v>
      </c>
    </row>
    <row r="118" spans="1:51" x14ac:dyDescent="0.25">
      <c r="A118" s="7">
        <v>116</v>
      </c>
      <c r="B118" s="8" t="s">
        <v>1305</v>
      </c>
      <c r="C118" s="8" t="s">
        <v>3217</v>
      </c>
      <c r="D118" s="8" t="s">
        <v>277</v>
      </c>
      <c r="E118" s="8" t="s">
        <v>47</v>
      </c>
      <c r="F118" s="8" t="s">
        <v>48</v>
      </c>
      <c r="G118" s="8" t="s">
        <v>1323</v>
      </c>
      <c r="H118" s="8" t="s">
        <v>3218</v>
      </c>
      <c r="I118" s="8" t="s">
        <v>3219</v>
      </c>
      <c r="J118" s="8">
        <v>2</v>
      </c>
      <c r="K118" s="8">
        <v>26.05</v>
      </c>
      <c r="L118" s="8" t="s">
        <v>3220</v>
      </c>
      <c r="M118" s="8" t="s">
        <v>3221</v>
      </c>
      <c r="N118" s="8" t="s">
        <v>54</v>
      </c>
      <c r="O118" s="8" t="s">
        <v>3222</v>
      </c>
      <c r="P118" s="8" t="s">
        <v>3223</v>
      </c>
      <c r="Q118" s="8" t="s">
        <v>3224</v>
      </c>
      <c r="R118" s="8" t="s">
        <v>3223</v>
      </c>
      <c r="S118" s="8" t="s">
        <v>3225</v>
      </c>
      <c r="T118" s="8">
        <v>1968050</v>
      </c>
      <c r="U118" s="8">
        <v>2811500</v>
      </c>
      <c r="V118" s="8" t="s">
        <v>3226</v>
      </c>
      <c r="W118" s="8" t="s">
        <v>61</v>
      </c>
      <c r="X118" s="8" t="s">
        <v>3227</v>
      </c>
      <c r="Y118" s="8" t="s">
        <v>3228</v>
      </c>
      <c r="Z118" s="8" t="s">
        <v>64</v>
      </c>
      <c r="AA118" s="8" t="s">
        <v>65</v>
      </c>
      <c r="AB118" s="8" t="s">
        <v>3229</v>
      </c>
      <c r="AC118" s="8" t="s">
        <v>67</v>
      </c>
      <c r="AD118" s="8" t="s">
        <v>133</v>
      </c>
      <c r="AE118" s="8" t="s">
        <v>69</v>
      </c>
      <c r="AF118" s="8" t="s">
        <v>1007</v>
      </c>
      <c r="AG118" s="8" t="s">
        <v>3230</v>
      </c>
      <c r="AH118" s="8">
        <v>5</v>
      </c>
      <c r="AI118" s="8" t="s">
        <v>237</v>
      </c>
      <c r="AJ118" s="8" t="s">
        <v>3231</v>
      </c>
      <c r="AK118" s="8" t="s">
        <v>74</v>
      </c>
      <c r="AL118" s="8"/>
      <c r="AM118" s="8" t="s">
        <v>75</v>
      </c>
      <c r="AN118" s="8">
        <v>2249200</v>
      </c>
      <c r="AO118" s="11">
        <v>44984</v>
      </c>
      <c r="AP118" s="8"/>
      <c r="AQ118" s="8"/>
      <c r="AR118" s="8"/>
      <c r="AS118" s="18" t="s">
        <v>6670</v>
      </c>
      <c r="AT118" s="18"/>
      <c r="AU118" s="19">
        <v>44984</v>
      </c>
      <c r="AV118" s="20">
        <v>0</v>
      </c>
      <c r="AW118" s="18" t="s">
        <v>6555</v>
      </c>
      <c r="AX118" s="18"/>
      <c r="AY118" s="18"/>
    </row>
    <row r="119" spans="1:51" x14ac:dyDescent="0.25">
      <c r="A119" s="5">
        <v>117</v>
      </c>
      <c r="B119" s="6" t="s">
        <v>1305</v>
      </c>
      <c r="C119" s="6" t="s">
        <v>3232</v>
      </c>
      <c r="D119" s="6" t="s">
        <v>1238</v>
      </c>
      <c r="E119" s="6" t="s">
        <v>47</v>
      </c>
      <c r="F119" s="6" t="s">
        <v>48</v>
      </c>
      <c r="G119" s="6" t="s">
        <v>78</v>
      </c>
      <c r="H119" s="6" t="s">
        <v>3233</v>
      </c>
      <c r="I119" s="6" t="s">
        <v>3234</v>
      </c>
      <c r="J119" s="6">
        <v>2</v>
      </c>
      <c r="K119" s="6">
        <v>27.28</v>
      </c>
      <c r="L119" s="6" t="s">
        <v>3235</v>
      </c>
      <c r="M119" s="6" t="s">
        <v>3236</v>
      </c>
      <c r="N119" s="6" t="s">
        <v>83</v>
      </c>
      <c r="O119" s="6" t="s">
        <v>3237</v>
      </c>
      <c r="P119" s="6" t="s">
        <v>3238</v>
      </c>
      <c r="Q119" s="6" t="s">
        <v>3238</v>
      </c>
      <c r="R119" s="6" t="s">
        <v>3239</v>
      </c>
      <c r="S119" s="6" t="s">
        <v>3240</v>
      </c>
      <c r="T119" s="6">
        <v>1950000</v>
      </c>
      <c r="U119" s="6">
        <v>3900000</v>
      </c>
      <c r="V119" s="6" t="s">
        <v>3241</v>
      </c>
      <c r="W119" s="6" t="s">
        <v>147</v>
      </c>
      <c r="X119" s="6" t="s">
        <v>3242</v>
      </c>
      <c r="Y119" s="6" t="s">
        <v>3243</v>
      </c>
      <c r="Z119" s="6" t="s">
        <v>93</v>
      </c>
      <c r="AA119" s="6" t="s">
        <v>3244</v>
      </c>
      <c r="AB119" s="6" t="s">
        <v>3245</v>
      </c>
      <c r="AC119" s="6" t="s">
        <v>175</v>
      </c>
      <c r="AD119" s="6" t="s">
        <v>2500</v>
      </c>
      <c r="AE119" s="6" t="s">
        <v>153</v>
      </c>
      <c r="AF119" s="6" t="s">
        <v>2698</v>
      </c>
      <c r="AG119" s="6" t="s">
        <v>3246</v>
      </c>
      <c r="AH119" s="6">
        <v>7</v>
      </c>
      <c r="AI119" s="6" t="s">
        <v>2502</v>
      </c>
      <c r="AJ119" s="6" t="s">
        <v>3247</v>
      </c>
      <c r="AK119" s="6" t="s">
        <v>156</v>
      </c>
      <c r="AL119" s="6"/>
      <c r="AM119" s="6" t="s">
        <v>75</v>
      </c>
      <c r="AN119" s="6">
        <v>2925000</v>
      </c>
      <c r="AO119" s="10">
        <v>58500</v>
      </c>
      <c r="AP119" s="6"/>
      <c r="AQ119" s="6"/>
      <c r="AR119" s="6"/>
      <c r="AS119" s="18" t="s">
        <v>6671</v>
      </c>
      <c r="AT119" s="18"/>
      <c r="AU119" s="19">
        <v>58500</v>
      </c>
      <c r="AV119" s="20">
        <v>0</v>
      </c>
      <c r="AW119" s="18" t="s">
        <v>6555</v>
      </c>
      <c r="AX119" s="18"/>
      <c r="AY119" s="18"/>
    </row>
    <row r="120" spans="1:51" x14ac:dyDescent="0.25">
      <c r="A120" s="7">
        <v>118</v>
      </c>
      <c r="B120" s="8" t="s">
        <v>1305</v>
      </c>
      <c r="C120" s="8" t="s">
        <v>3248</v>
      </c>
      <c r="D120" s="8" t="s">
        <v>136</v>
      </c>
      <c r="E120" s="8" t="s">
        <v>47</v>
      </c>
      <c r="F120" s="8" t="s">
        <v>48</v>
      </c>
      <c r="G120" s="8" t="s">
        <v>1258</v>
      </c>
      <c r="H120" s="8" t="s">
        <v>3249</v>
      </c>
      <c r="I120" s="8" t="s">
        <v>3250</v>
      </c>
      <c r="J120" s="8">
        <v>1.5</v>
      </c>
      <c r="K120" s="8">
        <v>27.18</v>
      </c>
      <c r="L120" s="8" t="s">
        <v>3251</v>
      </c>
      <c r="M120" s="8" t="s">
        <v>3252</v>
      </c>
      <c r="N120" s="8" t="s">
        <v>187</v>
      </c>
      <c r="O120" s="8" t="s">
        <v>3253</v>
      </c>
      <c r="P120" s="8" t="s">
        <v>3254</v>
      </c>
      <c r="Q120" s="8" t="s">
        <v>3255</v>
      </c>
      <c r="R120" s="8" t="s">
        <v>3256</v>
      </c>
      <c r="S120" s="8" t="s">
        <v>3257</v>
      </c>
      <c r="T120" s="8">
        <v>3448900</v>
      </c>
      <c r="U120" s="8">
        <v>4927000</v>
      </c>
      <c r="V120" s="8" t="s">
        <v>146</v>
      </c>
      <c r="W120" s="8" t="s">
        <v>876</v>
      </c>
      <c r="X120" s="8" t="s">
        <v>3258</v>
      </c>
      <c r="Y120" s="8" t="s">
        <v>3259</v>
      </c>
      <c r="Z120" s="8" t="s">
        <v>64</v>
      </c>
      <c r="AA120" s="8" t="s">
        <v>65</v>
      </c>
      <c r="AB120" s="8" t="s">
        <v>116</v>
      </c>
      <c r="AC120" s="8" t="s">
        <v>151</v>
      </c>
      <c r="AD120" s="8" t="s">
        <v>1504</v>
      </c>
      <c r="AE120" s="8" t="s">
        <v>1539</v>
      </c>
      <c r="AF120" s="8" t="s">
        <v>1430</v>
      </c>
      <c r="AG120" s="8" t="s">
        <v>3260</v>
      </c>
      <c r="AH120" s="8">
        <v>5</v>
      </c>
      <c r="AI120" s="8" t="s">
        <v>65</v>
      </c>
      <c r="AJ120" s="8" t="s">
        <v>65</v>
      </c>
      <c r="AK120" s="8" t="s">
        <v>65</v>
      </c>
      <c r="AL120" s="8"/>
      <c r="AM120" s="8" t="s">
        <v>157</v>
      </c>
      <c r="AN120" s="8">
        <v>3695250</v>
      </c>
      <c r="AO120" s="11">
        <v>55428.75</v>
      </c>
      <c r="AP120" s="8"/>
      <c r="AQ120" s="8"/>
      <c r="AR120" s="8"/>
      <c r="AS120" s="18" t="s">
        <v>6672</v>
      </c>
      <c r="AT120" s="18" t="s">
        <v>6923</v>
      </c>
      <c r="AU120" s="19">
        <v>62819</v>
      </c>
      <c r="AV120" s="20">
        <v>-7390.25</v>
      </c>
      <c r="AW120" s="18" t="s">
        <v>6555</v>
      </c>
      <c r="AX120" s="19">
        <v>-7391</v>
      </c>
      <c r="AY120" s="20">
        <v>0.75</v>
      </c>
    </row>
    <row r="121" spans="1:51" x14ac:dyDescent="0.25">
      <c r="A121" s="5">
        <v>119</v>
      </c>
      <c r="B121" s="6" t="s">
        <v>1305</v>
      </c>
      <c r="C121" s="6" t="s">
        <v>3261</v>
      </c>
      <c r="D121" s="6" t="s">
        <v>77</v>
      </c>
      <c r="E121" s="6" t="s">
        <v>47</v>
      </c>
      <c r="F121" s="6" t="s">
        <v>48</v>
      </c>
      <c r="G121" s="6" t="s">
        <v>2658</v>
      </c>
      <c r="H121" s="6" t="s">
        <v>3262</v>
      </c>
      <c r="I121" s="6" t="s">
        <v>3263</v>
      </c>
      <c r="J121" s="6">
        <v>1.75</v>
      </c>
      <c r="K121" s="6">
        <v>25.44</v>
      </c>
      <c r="L121" s="6" t="s">
        <v>3264</v>
      </c>
      <c r="M121" s="6" t="s">
        <v>3265</v>
      </c>
      <c r="N121" s="6" t="s">
        <v>187</v>
      </c>
      <c r="O121" s="6" t="s">
        <v>3266</v>
      </c>
      <c r="P121" s="6" t="s">
        <v>3267</v>
      </c>
      <c r="Q121" s="6" t="s">
        <v>3267</v>
      </c>
      <c r="R121" s="6" t="s">
        <v>3267</v>
      </c>
      <c r="S121" s="6" t="s">
        <v>3268</v>
      </c>
      <c r="T121" s="6">
        <v>1050000</v>
      </c>
      <c r="U121" s="6">
        <v>1500000</v>
      </c>
      <c r="V121" s="6" t="s">
        <v>3269</v>
      </c>
      <c r="W121" s="6" t="s">
        <v>3270</v>
      </c>
      <c r="X121" s="6" t="s">
        <v>3271</v>
      </c>
      <c r="Y121" s="6" t="s">
        <v>3272</v>
      </c>
      <c r="Z121" s="6" t="s">
        <v>93</v>
      </c>
      <c r="AA121" s="6" t="s">
        <v>3273</v>
      </c>
      <c r="AB121" s="6" t="s">
        <v>3274</v>
      </c>
      <c r="AC121" s="6" t="s">
        <v>67</v>
      </c>
      <c r="AD121" s="13">
        <v>45182</v>
      </c>
      <c r="AE121" s="6" t="s">
        <v>3275</v>
      </c>
      <c r="AF121" s="6" t="s">
        <v>2638</v>
      </c>
      <c r="AG121" s="6" t="s">
        <v>3276</v>
      </c>
      <c r="AH121" s="6">
        <v>5</v>
      </c>
      <c r="AI121" s="6" t="s">
        <v>237</v>
      </c>
      <c r="AJ121" s="6" t="s">
        <v>3277</v>
      </c>
      <c r="AK121" s="6" t="s">
        <v>842</v>
      </c>
      <c r="AL121" s="6"/>
      <c r="AM121" s="6" t="s">
        <v>102</v>
      </c>
      <c r="AN121" s="6">
        <v>1350000</v>
      </c>
      <c r="AO121" s="10">
        <v>23625.000000000004</v>
      </c>
      <c r="AP121" s="6"/>
      <c r="AQ121" s="6"/>
      <c r="AR121" s="6"/>
      <c r="AS121" s="18" t="s">
        <v>6673</v>
      </c>
      <c r="AT121" s="18" t="s">
        <v>6924</v>
      </c>
      <c r="AU121" s="19">
        <v>21000</v>
      </c>
      <c r="AV121" s="20">
        <v>2625.0000000000036</v>
      </c>
      <c r="AW121" s="18" t="s">
        <v>6555</v>
      </c>
      <c r="AX121" s="19">
        <v>2625</v>
      </c>
      <c r="AY121" s="20">
        <v>3.637978807091713E-12</v>
      </c>
    </row>
    <row r="122" spans="1:51" x14ac:dyDescent="0.25">
      <c r="A122" s="7">
        <v>120</v>
      </c>
      <c r="B122" s="8" t="s">
        <v>1305</v>
      </c>
      <c r="C122" s="8" t="s">
        <v>3278</v>
      </c>
      <c r="D122" s="8" t="s">
        <v>77</v>
      </c>
      <c r="E122" s="8" t="s">
        <v>47</v>
      </c>
      <c r="F122" s="8" t="s">
        <v>48</v>
      </c>
      <c r="G122" s="8" t="s">
        <v>1717</v>
      </c>
      <c r="H122" s="8" t="s">
        <v>3279</v>
      </c>
      <c r="I122" s="8" t="s">
        <v>3280</v>
      </c>
      <c r="J122" s="8">
        <v>1.75</v>
      </c>
      <c r="K122" s="8">
        <v>25.19</v>
      </c>
      <c r="L122" s="8" t="s">
        <v>3281</v>
      </c>
      <c r="M122" s="8" t="s">
        <v>3282</v>
      </c>
      <c r="N122" s="8" t="s">
        <v>187</v>
      </c>
      <c r="O122" s="8" t="s">
        <v>3283</v>
      </c>
      <c r="P122" s="8" t="s">
        <v>3284</v>
      </c>
      <c r="Q122" s="8" t="s">
        <v>3285</v>
      </c>
      <c r="R122" s="8" t="s">
        <v>3284</v>
      </c>
      <c r="S122" s="8" t="s">
        <v>3286</v>
      </c>
      <c r="T122" s="8">
        <v>1800000</v>
      </c>
      <c r="U122" s="8">
        <v>3000000</v>
      </c>
      <c r="V122" s="8" t="s">
        <v>3287</v>
      </c>
      <c r="W122" s="8" t="s">
        <v>3270</v>
      </c>
      <c r="X122" s="8" t="s">
        <v>3288</v>
      </c>
      <c r="Y122" s="8" t="s">
        <v>3289</v>
      </c>
      <c r="Z122" s="8" t="s">
        <v>93</v>
      </c>
      <c r="AA122" s="8" t="s">
        <v>3290</v>
      </c>
      <c r="AB122" s="8" t="s">
        <v>3291</v>
      </c>
      <c r="AC122" s="8" t="s">
        <v>624</v>
      </c>
      <c r="AD122" s="12">
        <v>45182</v>
      </c>
      <c r="AE122" s="8" t="s">
        <v>3275</v>
      </c>
      <c r="AF122" s="8" t="s">
        <v>974</v>
      </c>
      <c r="AG122" s="8" t="s">
        <v>3292</v>
      </c>
      <c r="AH122" s="8">
        <v>3</v>
      </c>
      <c r="AI122" s="8" t="s">
        <v>237</v>
      </c>
      <c r="AJ122" s="8" t="s">
        <v>3293</v>
      </c>
      <c r="AK122" s="8" t="s">
        <v>842</v>
      </c>
      <c r="AL122" s="8"/>
      <c r="AM122" s="8" t="s">
        <v>102</v>
      </c>
      <c r="AN122" s="8">
        <v>2700000</v>
      </c>
      <c r="AO122" s="11">
        <v>47250.000000000007</v>
      </c>
      <c r="AP122" s="8"/>
      <c r="AQ122" s="8"/>
      <c r="AR122" s="8"/>
      <c r="AS122" s="18" t="s">
        <v>6674</v>
      </c>
      <c r="AT122" s="18" t="s">
        <v>6925</v>
      </c>
      <c r="AU122" s="19">
        <v>44625</v>
      </c>
      <c r="AV122" s="20">
        <v>2625.0000000000073</v>
      </c>
      <c r="AW122" s="18" t="s">
        <v>6555</v>
      </c>
      <c r="AX122" s="19">
        <v>2625</v>
      </c>
      <c r="AY122" s="20">
        <v>7.2759576141834259E-12</v>
      </c>
    </row>
    <row r="123" spans="1:51" x14ac:dyDescent="0.25">
      <c r="A123" s="5">
        <v>121</v>
      </c>
      <c r="B123" s="6" t="s">
        <v>1305</v>
      </c>
      <c r="C123" s="6" t="s">
        <v>3294</v>
      </c>
      <c r="D123" s="6" t="s">
        <v>277</v>
      </c>
      <c r="E123" s="6" t="s">
        <v>47</v>
      </c>
      <c r="F123" s="6" t="s">
        <v>48</v>
      </c>
      <c r="G123" s="6" t="s">
        <v>3295</v>
      </c>
      <c r="H123" s="6" t="s">
        <v>3296</v>
      </c>
      <c r="I123" s="6" t="s">
        <v>3297</v>
      </c>
      <c r="J123" s="6">
        <v>1.75</v>
      </c>
      <c r="K123" s="6">
        <v>26.19</v>
      </c>
      <c r="L123" s="6" t="s">
        <v>3298</v>
      </c>
      <c r="M123" s="6" t="s">
        <v>3299</v>
      </c>
      <c r="N123" s="6" t="s">
        <v>187</v>
      </c>
      <c r="O123" s="6" t="s">
        <v>3300</v>
      </c>
      <c r="P123" s="6" t="s">
        <v>3301</v>
      </c>
      <c r="Q123" s="6" t="s">
        <v>3301</v>
      </c>
      <c r="R123" s="6" t="s">
        <v>65</v>
      </c>
      <c r="S123" s="6" t="s">
        <v>3302</v>
      </c>
      <c r="T123" s="6">
        <v>2968020</v>
      </c>
      <c r="U123" s="6">
        <v>8994000</v>
      </c>
      <c r="V123" s="6" t="s">
        <v>3303</v>
      </c>
      <c r="W123" s="6" t="s">
        <v>3270</v>
      </c>
      <c r="X123" s="6" t="s">
        <v>3304</v>
      </c>
      <c r="Y123" s="6" t="s">
        <v>3305</v>
      </c>
      <c r="Z123" s="6" t="s">
        <v>64</v>
      </c>
      <c r="AA123" s="6" t="s">
        <v>65</v>
      </c>
      <c r="AB123" s="6" t="s">
        <v>116</v>
      </c>
      <c r="AC123" s="6" t="s">
        <v>436</v>
      </c>
      <c r="AD123" s="13">
        <v>45181</v>
      </c>
      <c r="AE123" s="6" t="s">
        <v>3275</v>
      </c>
      <c r="AF123" s="6" t="s">
        <v>974</v>
      </c>
      <c r="AG123" s="6" t="s">
        <v>3306</v>
      </c>
      <c r="AH123" s="6">
        <v>3</v>
      </c>
      <c r="AI123" s="6" t="s">
        <v>237</v>
      </c>
      <c r="AJ123" s="6" t="s">
        <v>3307</v>
      </c>
      <c r="AK123" s="6" t="s">
        <v>1648</v>
      </c>
      <c r="AL123" s="6"/>
      <c r="AM123" s="6" t="s">
        <v>102</v>
      </c>
      <c r="AN123" s="6">
        <v>8094600</v>
      </c>
      <c r="AO123" s="10">
        <v>141655.5</v>
      </c>
      <c r="AP123" s="6"/>
      <c r="AQ123" s="6"/>
      <c r="AR123" s="6"/>
      <c r="AS123" s="18" t="s">
        <v>6675</v>
      </c>
      <c r="AT123" s="18" t="s">
        <v>6926</v>
      </c>
      <c r="AU123" s="19">
        <v>133786</v>
      </c>
      <c r="AV123" s="20">
        <v>7869.5</v>
      </c>
      <c r="AW123" s="18" t="s">
        <v>6555</v>
      </c>
      <c r="AX123" s="19">
        <v>7870</v>
      </c>
      <c r="AY123" s="20">
        <v>-0.5</v>
      </c>
    </row>
    <row r="124" spans="1:51" x14ac:dyDescent="0.25">
      <c r="A124" s="7">
        <v>122</v>
      </c>
      <c r="B124" s="8" t="s">
        <v>1305</v>
      </c>
      <c r="C124" s="8" t="s">
        <v>3308</v>
      </c>
      <c r="D124" s="8" t="s">
        <v>912</v>
      </c>
      <c r="E124" s="8" t="s">
        <v>47</v>
      </c>
      <c r="F124" s="8" t="s">
        <v>48</v>
      </c>
      <c r="G124" s="8" t="s">
        <v>313</v>
      </c>
      <c r="H124" s="8" t="s">
        <v>3309</v>
      </c>
      <c r="I124" s="8" t="s">
        <v>3310</v>
      </c>
      <c r="J124" s="8">
        <v>2</v>
      </c>
      <c r="K124" s="8">
        <v>26.78</v>
      </c>
      <c r="L124" s="8" t="s">
        <v>3311</v>
      </c>
      <c r="M124" s="8" t="s">
        <v>3312</v>
      </c>
      <c r="N124" s="8" t="s">
        <v>83</v>
      </c>
      <c r="O124" s="8" t="s">
        <v>3313</v>
      </c>
      <c r="P124" s="8" t="s">
        <v>3314</v>
      </c>
      <c r="Q124" s="8" t="s">
        <v>3314</v>
      </c>
      <c r="R124" s="8" t="s">
        <v>167</v>
      </c>
      <c r="S124" s="8" t="s">
        <v>3315</v>
      </c>
      <c r="T124" s="8">
        <v>2223750</v>
      </c>
      <c r="U124" s="8">
        <v>2965000</v>
      </c>
      <c r="V124" s="8" t="s">
        <v>3316</v>
      </c>
      <c r="W124" s="8" t="s">
        <v>147</v>
      </c>
      <c r="X124" s="8" t="s">
        <v>3317</v>
      </c>
      <c r="Y124" s="8" t="s">
        <v>3318</v>
      </c>
      <c r="Z124" s="8" t="s">
        <v>64</v>
      </c>
      <c r="AA124" s="8" t="s">
        <v>65</v>
      </c>
      <c r="AB124" s="8" t="s">
        <v>680</v>
      </c>
      <c r="AC124" s="8" t="s">
        <v>151</v>
      </c>
      <c r="AD124" s="8" t="s">
        <v>2500</v>
      </c>
      <c r="AE124" s="8" t="s">
        <v>153</v>
      </c>
      <c r="AF124" s="8" t="s">
        <v>2533</v>
      </c>
      <c r="AG124" s="8" t="s">
        <v>3319</v>
      </c>
      <c r="AH124" s="8">
        <v>5</v>
      </c>
      <c r="AI124" s="8" t="s">
        <v>2502</v>
      </c>
      <c r="AJ124" s="8" t="s">
        <v>3320</v>
      </c>
      <c r="AK124" s="8" t="s">
        <v>156</v>
      </c>
      <c r="AL124" s="8"/>
      <c r="AM124" s="8" t="s">
        <v>75</v>
      </c>
      <c r="AN124" s="8">
        <v>2223750</v>
      </c>
      <c r="AO124" s="11">
        <v>44475</v>
      </c>
      <c r="AP124" s="8"/>
      <c r="AQ124" s="8"/>
      <c r="AR124" s="8"/>
      <c r="AS124" s="18" t="s">
        <v>6676</v>
      </c>
      <c r="AT124" s="18" t="s">
        <v>6927</v>
      </c>
      <c r="AU124" s="19">
        <v>50405</v>
      </c>
      <c r="AV124" s="20">
        <v>-5930</v>
      </c>
      <c r="AW124" s="18" t="s">
        <v>6555</v>
      </c>
      <c r="AX124" s="19">
        <v>-5930</v>
      </c>
      <c r="AY124" s="20">
        <v>0</v>
      </c>
    </row>
    <row r="125" spans="1:51" x14ac:dyDescent="0.25">
      <c r="A125" s="5">
        <v>123</v>
      </c>
      <c r="B125" s="6" t="s">
        <v>1305</v>
      </c>
      <c r="C125" s="6" t="s">
        <v>3321</v>
      </c>
      <c r="D125" s="6" t="s">
        <v>277</v>
      </c>
      <c r="E125" s="6" t="s">
        <v>47</v>
      </c>
      <c r="F125" s="6" t="s">
        <v>48</v>
      </c>
      <c r="G125" s="6" t="s">
        <v>2454</v>
      </c>
      <c r="H125" s="6" t="s">
        <v>3322</v>
      </c>
      <c r="I125" s="6" t="s">
        <v>3323</v>
      </c>
      <c r="J125" s="6">
        <v>2.5</v>
      </c>
      <c r="K125" s="6">
        <v>29.45</v>
      </c>
      <c r="L125" s="6" t="s">
        <v>3324</v>
      </c>
      <c r="M125" s="6" t="s">
        <v>3325</v>
      </c>
      <c r="N125" s="6" t="s">
        <v>83</v>
      </c>
      <c r="O125" s="6" t="s">
        <v>3326</v>
      </c>
      <c r="P125" s="6" t="s">
        <v>1016</v>
      </c>
      <c r="Q125" s="6" t="s">
        <v>3327</v>
      </c>
      <c r="R125" s="6" t="s">
        <v>3328</v>
      </c>
      <c r="S125" s="6" t="s">
        <v>3329</v>
      </c>
      <c r="T125" s="6">
        <v>2044000</v>
      </c>
      <c r="U125" s="6">
        <v>2800000</v>
      </c>
      <c r="V125" s="6" t="s">
        <v>3330</v>
      </c>
      <c r="W125" s="6" t="s">
        <v>170</v>
      </c>
      <c r="X125" s="6" t="s">
        <v>3331</v>
      </c>
      <c r="Y125" s="6" t="s">
        <v>3332</v>
      </c>
      <c r="Z125" s="6" t="s">
        <v>549</v>
      </c>
      <c r="AA125" s="6" t="s">
        <v>3333</v>
      </c>
      <c r="AB125" s="6" t="s">
        <v>3334</v>
      </c>
      <c r="AC125" s="6" t="s">
        <v>624</v>
      </c>
      <c r="AD125" s="6" t="s">
        <v>176</v>
      </c>
      <c r="AE125" s="6" t="s">
        <v>177</v>
      </c>
      <c r="AF125" s="6" t="s">
        <v>1007</v>
      </c>
      <c r="AG125" s="6" t="s">
        <v>3335</v>
      </c>
      <c r="AH125" s="6">
        <v>7</v>
      </c>
      <c r="AI125" s="6" t="s">
        <v>237</v>
      </c>
      <c r="AJ125" s="6" t="s">
        <v>3336</v>
      </c>
      <c r="AK125" s="6" t="s">
        <v>176</v>
      </c>
      <c r="AL125" s="6"/>
      <c r="AM125" s="6" t="s">
        <v>180</v>
      </c>
      <c r="AN125" s="6">
        <v>1959999.9999999998</v>
      </c>
      <c r="AO125" s="10">
        <v>49000</v>
      </c>
      <c r="AP125" s="6"/>
      <c r="AQ125" s="6"/>
      <c r="AR125" s="6"/>
      <c r="AS125" s="18" t="s">
        <v>6677</v>
      </c>
      <c r="AT125" s="18" t="s">
        <v>6928</v>
      </c>
      <c r="AU125" s="19">
        <v>56000</v>
      </c>
      <c r="AV125" s="20">
        <v>-7000</v>
      </c>
      <c r="AW125" s="18" t="s">
        <v>6555</v>
      </c>
      <c r="AX125" s="19">
        <v>-7000</v>
      </c>
      <c r="AY125" s="20">
        <v>0</v>
      </c>
    </row>
    <row r="126" spans="1:51" x14ac:dyDescent="0.25">
      <c r="A126" s="7">
        <v>124</v>
      </c>
      <c r="B126" s="8" t="s">
        <v>1305</v>
      </c>
      <c r="C126" s="8" t="s">
        <v>3337</v>
      </c>
      <c r="D126" s="8" t="s">
        <v>912</v>
      </c>
      <c r="E126" s="8" t="s">
        <v>47</v>
      </c>
      <c r="F126" s="8" t="s">
        <v>48</v>
      </c>
      <c r="G126" s="8" t="s">
        <v>609</v>
      </c>
      <c r="H126" s="8" t="s">
        <v>3338</v>
      </c>
      <c r="I126" s="8" t="s">
        <v>3339</v>
      </c>
      <c r="J126" s="8">
        <v>2</v>
      </c>
      <c r="K126" s="8">
        <v>26.78</v>
      </c>
      <c r="L126" s="8" t="s">
        <v>3340</v>
      </c>
      <c r="M126" s="8" t="s">
        <v>3341</v>
      </c>
      <c r="N126" s="8" t="s">
        <v>83</v>
      </c>
      <c r="O126" s="8" t="s">
        <v>3342</v>
      </c>
      <c r="P126" s="8" t="s">
        <v>3343</v>
      </c>
      <c r="Q126" s="8" t="s">
        <v>3343</v>
      </c>
      <c r="R126" s="8" t="s">
        <v>167</v>
      </c>
      <c r="S126" s="8" t="s">
        <v>3344</v>
      </c>
      <c r="T126" s="8">
        <v>1920000</v>
      </c>
      <c r="U126" s="8">
        <v>2400000</v>
      </c>
      <c r="V126" s="8" t="s">
        <v>3345</v>
      </c>
      <c r="W126" s="8" t="s">
        <v>147</v>
      </c>
      <c r="X126" s="8" t="s">
        <v>3346</v>
      </c>
      <c r="Y126" s="8" t="s">
        <v>3347</v>
      </c>
      <c r="Z126" s="8" t="s">
        <v>549</v>
      </c>
      <c r="AA126" s="8" t="s">
        <v>65</v>
      </c>
      <c r="AB126" s="8" t="s">
        <v>1161</v>
      </c>
      <c r="AC126" s="8" t="s">
        <v>662</v>
      </c>
      <c r="AD126" s="8" t="s">
        <v>156</v>
      </c>
      <c r="AE126" s="8" t="s">
        <v>153</v>
      </c>
      <c r="AF126" s="8" t="s">
        <v>2533</v>
      </c>
      <c r="AG126" s="8" t="s">
        <v>3348</v>
      </c>
      <c r="AH126" s="8">
        <v>5</v>
      </c>
      <c r="AI126" s="8" t="s">
        <v>2502</v>
      </c>
      <c r="AJ126" s="8" t="s">
        <v>3349</v>
      </c>
      <c r="AK126" s="8" t="s">
        <v>156</v>
      </c>
      <c r="AL126" s="8"/>
      <c r="AM126" s="8" t="s">
        <v>75</v>
      </c>
      <c r="AN126" s="8">
        <v>1800000</v>
      </c>
      <c r="AO126" s="11">
        <v>36000</v>
      </c>
      <c r="AP126" s="8"/>
      <c r="AQ126" s="8"/>
      <c r="AR126" s="8"/>
      <c r="AS126" s="18" t="s">
        <v>6678</v>
      </c>
      <c r="AT126" s="18" t="s">
        <v>6929</v>
      </c>
      <c r="AU126" s="19">
        <v>40800</v>
      </c>
      <c r="AV126" s="20">
        <v>-4800</v>
      </c>
      <c r="AW126" s="18" t="s">
        <v>6555</v>
      </c>
      <c r="AX126" s="19">
        <v>-4800</v>
      </c>
      <c r="AY126" s="20">
        <v>0</v>
      </c>
    </row>
    <row r="127" spans="1:51" x14ac:dyDescent="0.25">
      <c r="A127" s="5">
        <v>125</v>
      </c>
      <c r="B127" s="6" t="s">
        <v>1305</v>
      </c>
      <c r="C127" s="6" t="s">
        <v>3350</v>
      </c>
      <c r="D127" s="6" t="s">
        <v>77</v>
      </c>
      <c r="E127" s="6" t="s">
        <v>47</v>
      </c>
      <c r="F127" s="6" t="s">
        <v>48</v>
      </c>
      <c r="G127" s="6" t="s">
        <v>3351</v>
      </c>
      <c r="H127" s="6" t="s">
        <v>3352</v>
      </c>
      <c r="I127" s="6" t="s">
        <v>3353</v>
      </c>
      <c r="J127" s="6">
        <v>2</v>
      </c>
      <c r="K127" s="6">
        <v>25.69</v>
      </c>
      <c r="L127" s="6" t="s">
        <v>3354</v>
      </c>
      <c r="M127" s="6" t="s">
        <v>3355</v>
      </c>
      <c r="N127" s="6" t="s">
        <v>54</v>
      </c>
      <c r="O127" s="6" t="s">
        <v>3356</v>
      </c>
      <c r="P127" s="6" t="s">
        <v>3357</v>
      </c>
      <c r="Q127" s="6" t="s">
        <v>3358</v>
      </c>
      <c r="R127" s="6" t="s">
        <v>3357</v>
      </c>
      <c r="S127" s="6" t="s">
        <v>3359</v>
      </c>
      <c r="T127" s="6">
        <v>1462500</v>
      </c>
      <c r="U127" s="6">
        <v>1950000</v>
      </c>
      <c r="V127" s="6" t="s">
        <v>3360</v>
      </c>
      <c r="W127" s="6" t="s">
        <v>61</v>
      </c>
      <c r="X127" s="6" t="s">
        <v>3361</v>
      </c>
      <c r="Y127" s="6" t="s">
        <v>3362</v>
      </c>
      <c r="Z127" s="6" t="s">
        <v>93</v>
      </c>
      <c r="AA127" s="6" t="s">
        <v>3363</v>
      </c>
      <c r="AB127" s="6" t="s">
        <v>1520</v>
      </c>
      <c r="AC127" s="6" t="s">
        <v>175</v>
      </c>
      <c r="AD127" s="6" t="s">
        <v>133</v>
      </c>
      <c r="AE127" s="6" t="s">
        <v>69</v>
      </c>
      <c r="AF127" s="6" t="s">
        <v>1007</v>
      </c>
      <c r="AG127" s="6" t="s">
        <v>3364</v>
      </c>
      <c r="AH127" s="6">
        <v>5</v>
      </c>
      <c r="AI127" s="6" t="s">
        <v>237</v>
      </c>
      <c r="AJ127" s="6" t="s">
        <v>3365</v>
      </c>
      <c r="AK127" s="6" t="s">
        <v>133</v>
      </c>
      <c r="AL127" s="6"/>
      <c r="AM127" s="6" t="s">
        <v>75</v>
      </c>
      <c r="AN127" s="6">
        <v>1560000</v>
      </c>
      <c r="AO127" s="10">
        <v>31200</v>
      </c>
      <c r="AP127" s="6"/>
      <c r="AQ127" s="6"/>
      <c r="AR127" s="6"/>
      <c r="AS127" s="18" t="s">
        <v>6679</v>
      </c>
      <c r="AT127" s="18"/>
      <c r="AU127" s="19">
        <v>31200</v>
      </c>
      <c r="AV127" s="20">
        <v>0</v>
      </c>
      <c r="AW127" s="18" t="s">
        <v>6555</v>
      </c>
      <c r="AX127" s="18"/>
      <c r="AY127" s="18"/>
    </row>
    <row r="128" spans="1:51" x14ac:dyDescent="0.25">
      <c r="A128" s="7">
        <v>126</v>
      </c>
      <c r="B128" s="8" t="s">
        <v>1305</v>
      </c>
      <c r="C128" s="8" t="s">
        <v>3366</v>
      </c>
      <c r="D128" s="8" t="s">
        <v>1238</v>
      </c>
      <c r="E128" s="8" t="s">
        <v>47</v>
      </c>
      <c r="F128" s="8" t="s">
        <v>48</v>
      </c>
      <c r="G128" s="8" t="s">
        <v>3367</v>
      </c>
      <c r="H128" s="8" t="s">
        <v>3368</v>
      </c>
      <c r="I128" s="8" t="s">
        <v>3369</v>
      </c>
      <c r="J128" s="8">
        <v>2</v>
      </c>
      <c r="K128" s="8">
        <v>26.78</v>
      </c>
      <c r="L128" s="8" t="s">
        <v>3370</v>
      </c>
      <c r="M128" s="8" t="s">
        <v>3371</v>
      </c>
      <c r="N128" s="8" t="s">
        <v>83</v>
      </c>
      <c r="O128" s="8" t="s">
        <v>3372</v>
      </c>
      <c r="P128" s="8" t="s">
        <v>65</v>
      </c>
      <c r="Q128" s="8" t="s">
        <v>65</v>
      </c>
      <c r="R128" s="8" t="s">
        <v>65</v>
      </c>
      <c r="S128" s="8" t="s">
        <v>3373</v>
      </c>
      <c r="T128" s="8">
        <v>1777750</v>
      </c>
      <c r="U128" s="8">
        <v>2735000</v>
      </c>
      <c r="V128" s="8" t="s">
        <v>146</v>
      </c>
      <c r="W128" s="8" t="s">
        <v>147</v>
      </c>
      <c r="X128" s="8" t="s">
        <v>3374</v>
      </c>
      <c r="Y128" s="8" t="s">
        <v>3375</v>
      </c>
      <c r="Z128" s="8" t="s">
        <v>64</v>
      </c>
      <c r="AA128" s="8" t="s">
        <v>65</v>
      </c>
      <c r="AB128" s="8" t="s">
        <v>3376</v>
      </c>
      <c r="AC128" s="8" t="s">
        <v>151</v>
      </c>
      <c r="AD128" s="8" t="s">
        <v>156</v>
      </c>
      <c r="AE128" s="8" t="s">
        <v>153</v>
      </c>
      <c r="AF128" s="8" t="s">
        <v>2533</v>
      </c>
      <c r="AG128" s="8" t="s">
        <v>3377</v>
      </c>
      <c r="AH128" s="8">
        <v>5</v>
      </c>
      <c r="AI128" s="8" t="s">
        <v>237</v>
      </c>
      <c r="AJ128" s="8" t="s">
        <v>3378</v>
      </c>
      <c r="AK128" s="8" t="s">
        <v>156</v>
      </c>
      <c r="AL128" s="8"/>
      <c r="AM128" s="8" t="s">
        <v>75</v>
      </c>
      <c r="AN128" s="8">
        <v>2051250</v>
      </c>
      <c r="AO128" s="11">
        <v>41025</v>
      </c>
      <c r="AP128" s="8"/>
      <c r="AQ128" s="8"/>
      <c r="AR128" s="8"/>
      <c r="AS128" s="18" t="s">
        <v>6680</v>
      </c>
      <c r="AT128" s="18" t="s">
        <v>6930</v>
      </c>
      <c r="AU128" s="19">
        <v>46495</v>
      </c>
      <c r="AV128" s="20">
        <v>-5470</v>
      </c>
      <c r="AW128" s="18" t="s">
        <v>6555</v>
      </c>
      <c r="AX128" s="19">
        <v>-5470</v>
      </c>
      <c r="AY128" s="20">
        <v>0</v>
      </c>
    </row>
    <row r="129" spans="1:51" x14ac:dyDescent="0.25">
      <c r="A129" s="5">
        <v>127</v>
      </c>
      <c r="B129" s="6" t="s">
        <v>1305</v>
      </c>
      <c r="C129" s="6" t="s">
        <v>3379</v>
      </c>
      <c r="D129" s="6" t="s">
        <v>77</v>
      </c>
      <c r="E129" s="6" t="s">
        <v>47</v>
      </c>
      <c r="F129" s="6" t="s">
        <v>48</v>
      </c>
      <c r="G129" s="6" t="s">
        <v>3351</v>
      </c>
      <c r="H129" s="6" t="s">
        <v>3380</v>
      </c>
      <c r="I129" s="6" t="s">
        <v>3381</v>
      </c>
      <c r="J129" s="6">
        <v>2</v>
      </c>
      <c r="K129" s="6">
        <v>25.69</v>
      </c>
      <c r="L129" s="6" t="s">
        <v>3382</v>
      </c>
      <c r="M129" s="6" t="s">
        <v>3383</v>
      </c>
      <c r="N129" s="6" t="s">
        <v>54</v>
      </c>
      <c r="O129" s="6" t="s">
        <v>3384</v>
      </c>
      <c r="P129" s="6" t="s">
        <v>3385</v>
      </c>
      <c r="Q129" s="6" t="s">
        <v>3386</v>
      </c>
      <c r="R129" s="6" t="s">
        <v>3385</v>
      </c>
      <c r="S129" s="6" t="s">
        <v>3387</v>
      </c>
      <c r="T129" s="6">
        <v>1330000</v>
      </c>
      <c r="U129" s="6">
        <v>1900000</v>
      </c>
      <c r="V129" s="6" t="s">
        <v>3388</v>
      </c>
      <c r="W129" s="6" t="s">
        <v>61</v>
      </c>
      <c r="X129" s="6" t="s">
        <v>3389</v>
      </c>
      <c r="Y129" s="6" t="s">
        <v>3390</v>
      </c>
      <c r="Z129" s="6" t="s">
        <v>93</v>
      </c>
      <c r="AA129" s="6" t="s">
        <v>3391</v>
      </c>
      <c r="AB129" s="6" t="s">
        <v>342</v>
      </c>
      <c r="AC129" s="6" t="s">
        <v>151</v>
      </c>
      <c r="AD129" s="6" t="s">
        <v>133</v>
      </c>
      <c r="AE129" s="6" t="s">
        <v>69</v>
      </c>
      <c r="AF129" s="6" t="s">
        <v>1007</v>
      </c>
      <c r="AG129" s="6" t="s">
        <v>3392</v>
      </c>
      <c r="AH129" s="6">
        <v>5</v>
      </c>
      <c r="AI129" s="6" t="s">
        <v>237</v>
      </c>
      <c r="AJ129" s="6" t="s">
        <v>3393</v>
      </c>
      <c r="AK129" s="6" t="s">
        <v>133</v>
      </c>
      <c r="AL129" s="6"/>
      <c r="AM129" s="6" t="s">
        <v>75</v>
      </c>
      <c r="AN129" s="6">
        <v>1520000</v>
      </c>
      <c r="AO129" s="10">
        <v>30400</v>
      </c>
      <c r="AP129" s="6"/>
      <c r="AQ129" s="6"/>
      <c r="AR129" s="6"/>
      <c r="AS129" s="18" t="s">
        <v>6681</v>
      </c>
      <c r="AT129" s="18"/>
      <c r="AU129" s="19">
        <v>30400</v>
      </c>
      <c r="AV129" s="20">
        <v>0</v>
      </c>
      <c r="AW129" s="18" t="s">
        <v>6555</v>
      </c>
      <c r="AX129" s="18"/>
      <c r="AY129" s="18"/>
    </row>
    <row r="130" spans="1:51" x14ac:dyDescent="0.25">
      <c r="A130" s="7">
        <v>128</v>
      </c>
      <c r="B130" s="8" t="s">
        <v>1305</v>
      </c>
      <c r="C130" s="8" t="s">
        <v>3394</v>
      </c>
      <c r="D130" s="8" t="s">
        <v>912</v>
      </c>
      <c r="E130" s="8" t="s">
        <v>47</v>
      </c>
      <c r="F130" s="8" t="s">
        <v>48</v>
      </c>
      <c r="G130" s="8" t="s">
        <v>1636</v>
      </c>
      <c r="H130" s="8" t="s">
        <v>3395</v>
      </c>
      <c r="I130" s="8" t="s">
        <v>3396</v>
      </c>
      <c r="J130" s="8">
        <v>2</v>
      </c>
      <c r="K130" s="8">
        <v>26.78</v>
      </c>
      <c r="L130" s="8" t="s">
        <v>3397</v>
      </c>
      <c r="M130" s="8" t="s">
        <v>3398</v>
      </c>
      <c r="N130" s="8" t="s">
        <v>83</v>
      </c>
      <c r="O130" s="8" t="s">
        <v>3399</v>
      </c>
      <c r="P130" s="8" t="s">
        <v>65</v>
      </c>
      <c r="Q130" s="8" t="s">
        <v>3400</v>
      </c>
      <c r="R130" s="8" t="s">
        <v>65</v>
      </c>
      <c r="S130" s="8" t="s">
        <v>3401</v>
      </c>
      <c r="T130" s="8">
        <v>1520000</v>
      </c>
      <c r="U130" s="8">
        <v>1900000</v>
      </c>
      <c r="V130" s="8" t="s">
        <v>3402</v>
      </c>
      <c r="W130" s="8" t="s">
        <v>147</v>
      </c>
      <c r="X130" s="8" t="s">
        <v>3403</v>
      </c>
      <c r="Y130" s="8" t="s">
        <v>3404</v>
      </c>
      <c r="Z130" s="8" t="s">
        <v>93</v>
      </c>
      <c r="AA130" s="8" t="s">
        <v>3405</v>
      </c>
      <c r="AB130" s="8" t="s">
        <v>3406</v>
      </c>
      <c r="AC130" s="8" t="s">
        <v>552</v>
      </c>
      <c r="AD130" s="8" t="s">
        <v>2500</v>
      </c>
      <c r="AE130" s="8" t="s">
        <v>153</v>
      </c>
      <c r="AF130" s="8" t="s">
        <v>2533</v>
      </c>
      <c r="AG130" s="8" t="s">
        <v>3407</v>
      </c>
      <c r="AH130" s="8">
        <v>5</v>
      </c>
      <c r="AI130" s="8" t="s">
        <v>2502</v>
      </c>
      <c r="AJ130" s="8" t="s">
        <v>3408</v>
      </c>
      <c r="AK130" s="8" t="s">
        <v>156</v>
      </c>
      <c r="AL130" s="8"/>
      <c r="AM130" s="8" t="s">
        <v>75</v>
      </c>
      <c r="AN130" s="8">
        <v>1425000</v>
      </c>
      <c r="AO130" s="11">
        <v>28500</v>
      </c>
      <c r="AP130" s="8"/>
      <c r="AQ130" s="8"/>
      <c r="AR130" s="8"/>
      <c r="AS130" s="18" t="s">
        <v>6682</v>
      </c>
      <c r="AT130" s="18" t="s">
        <v>6931</v>
      </c>
      <c r="AU130" s="19">
        <v>32300</v>
      </c>
      <c r="AV130" s="20">
        <v>-3800</v>
      </c>
      <c r="AW130" s="18" t="s">
        <v>6555</v>
      </c>
      <c r="AX130" s="19">
        <v>-3800</v>
      </c>
      <c r="AY130" s="20">
        <v>0</v>
      </c>
    </row>
    <row r="131" spans="1:51" x14ac:dyDescent="0.25">
      <c r="A131" s="5">
        <v>129</v>
      </c>
      <c r="B131" s="6" t="s">
        <v>1305</v>
      </c>
      <c r="C131" s="6" t="s">
        <v>3409</v>
      </c>
      <c r="D131" s="6" t="s">
        <v>912</v>
      </c>
      <c r="E131" s="6" t="s">
        <v>47</v>
      </c>
      <c r="F131" s="6" t="s">
        <v>48</v>
      </c>
      <c r="G131" s="6" t="s">
        <v>78</v>
      </c>
      <c r="H131" s="6" t="s">
        <v>3410</v>
      </c>
      <c r="I131" s="6" t="s">
        <v>3411</v>
      </c>
      <c r="J131" s="6">
        <v>2</v>
      </c>
      <c r="K131" s="6">
        <v>26.78</v>
      </c>
      <c r="L131" s="6" t="s">
        <v>3412</v>
      </c>
      <c r="M131" s="6" t="s">
        <v>3413</v>
      </c>
      <c r="N131" s="6" t="s">
        <v>83</v>
      </c>
      <c r="O131" s="6" t="s">
        <v>3414</v>
      </c>
      <c r="P131" s="6" t="s">
        <v>3415</v>
      </c>
      <c r="Q131" s="6" t="s">
        <v>3415</v>
      </c>
      <c r="R131" s="6" t="s">
        <v>3416</v>
      </c>
      <c r="S131" s="6" t="s">
        <v>3417</v>
      </c>
      <c r="T131" s="6">
        <v>1337000</v>
      </c>
      <c r="U131" s="6">
        <v>1910000</v>
      </c>
      <c r="V131" s="6" t="s">
        <v>3418</v>
      </c>
      <c r="W131" s="6" t="s">
        <v>147</v>
      </c>
      <c r="X131" s="6" t="s">
        <v>3419</v>
      </c>
      <c r="Y131" s="6" t="s">
        <v>3420</v>
      </c>
      <c r="Z131" s="6" t="s">
        <v>93</v>
      </c>
      <c r="AA131" s="6" t="s">
        <v>3421</v>
      </c>
      <c r="AB131" s="6" t="s">
        <v>3422</v>
      </c>
      <c r="AC131" s="6" t="s">
        <v>624</v>
      </c>
      <c r="AD131" s="6" t="s">
        <v>156</v>
      </c>
      <c r="AE131" s="6" t="s">
        <v>153</v>
      </c>
      <c r="AF131" s="6" t="s">
        <v>2533</v>
      </c>
      <c r="AG131" s="6" t="s">
        <v>3423</v>
      </c>
      <c r="AH131" s="6">
        <v>5</v>
      </c>
      <c r="AI131" s="6" t="s">
        <v>237</v>
      </c>
      <c r="AJ131" s="6" t="s">
        <v>3424</v>
      </c>
      <c r="AK131" s="6" t="s">
        <v>3425</v>
      </c>
      <c r="AL131" s="6"/>
      <c r="AM131" s="6" t="s">
        <v>75</v>
      </c>
      <c r="AN131" s="6">
        <v>1432500</v>
      </c>
      <c r="AO131" s="10">
        <v>28650</v>
      </c>
      <c r="AP131" s="6"/>
      <c r="AQ131" s="6"/>
      <c r="AR131" s="6"/>
      <c r="AS131" s="18" t="s">
        <v>6683</v>
      </c>
      <c r="AT131" s="18" t="s">
        <v>6932</v>
      </c>
      <c r="AU131" s="19">
        <v>32470</v>
      </c>
      <c r="AV131" s="20">
        <v>-3820</v>
      </c>
      <c r="AW131" s="18" t="s">
        <v>6555</v>
      </c>
      <c r="AX131" s="19">
        <v>-3820</v>
      </c>
      <c r="AY131" s="20">
        <v>0</v>
      </c>
    </row>
    <row r="132" spans="1:51" x14ac:dyDescent="0.25">
      <c r="A132" s="7">
        <v>130</v>
      </c>
      <c r="B132" s="8" t="s">
        <v>1305</v>
      </c>
      <c r="C132" s="8" t="s">
        <v>3426</v>
      </c>
      <c r="D132" s="8" t="s">
        <v>77</v>
      </c>
      <c r="E132" s="8" t="s">
        <v>47</v>
      </c>
      <c r="F132" s="8" t="s">
        <v>48</v>
      </c>
      <c r="G132" s="8" t="s">
        <v>3427</v>
      </c>
      <c r="H132" s="8" t="s">
        <v>3428</v>
      </c>
      <c r="I132" s="8" t="s">
        <v>3429</v>
      </c>
      <c r="J132" s="8">
        <v>2</v>
      </c>
      <c r="K132" s="8">
        <v>25.69</v>
      </c>
      <c r="L132" s="8" t="s">
        <v>3430</v>
      </c>
      <c r="M132" s="8" t="s">
        <v>3431</v>
      </c>
      <c r="N132" s="8" t="s">
        <v>83</v>
      </c>
      <c r="O132" s="8" t="s">
        <v>3432</v>
      </c>
      <c r="P132" s="8" t="s">
        <v>3433</v>
      </c>
      <c r="Q132" s="8" t="s">
        <v>3434</v>
      </c>
      <c r="R132" s="8" t="s">
        <v>3435</v>
      </c>
      <c r="S132" s="8" t="s">
        <v>3436</v>
      </c>
      <c r="T132" s="8">
        <v>1012500</v>
      </c>
      <c r="U132" s="8">
        <v>1350000</v>
      </c>
      <c r="V132" s="8" t="s">
        <v>3437</v>
      </c>
      <c r="W132" s="8" t="s">
        <v>61</v>
      </c>
      <c r="X132" s="8" t="s">
        <v>3438</v>
      </c>
      <c r="Y132" s="8" t="s">
        <v>3439</v>
      </c>
      <c r="Z132" s="8" t="s">
        <v>93</v>
      </c>
      <c r="AA132" s="8" t="s">
        <v>3440</v>
      </c>
      <c r="AB132" s="8" t="s">
        <v>3441</v>
      </c>
      <c r="AC132" s="8" t="s">
        <v>2425</v>
      </c>
      <c r="AD132" s="8" t="s">
        <v>133</v>
      </c>
      <c r="AE132" s="8" t="s">
        <v>69</v>
      </c>
      <c r="AF132" s="8" t="s">
        <v>2533</v>
      </c>
      <c r="AG132" s="8" t="s">
        <v>3442</v>
      </c>
      <c r="AH132" s="8">
        <v>4</v>
      </c>
      <c r="AI132" s="8" t="s">
        <v>237</v>
      </c>
      <c r="AJ132" s="8" t="s">
        <v>3443</v>
      </c>
      <c r="AK132" s="8" t="s">
        <v>74</v>
      </c>
      <c r="AL132" s="8"/>
      <c r="AM132" s="8" t="s">
        <v>75</v>
      </c>
      <c r="AN132" s="8">
        <v>1080000</v>
      </c>
      <c r="AO132" s="11">
        <v>21600</v>
      </c>
      <c r="AP132" s="8"/>
      <c r="AQ132" s="8"/>
      <c r="AR132" s="8"/>
      <c r="AS132" s="18" t="s">
        <v>6684</v>
      </c>
      <c r="AT132" s="18" t="s">
        <v>6933</v>
      </c>
      <c r="AU132" s="19">
        <v>22950</v>
      </c>
      <c r="AV132" s="20">
        <v>-1350</v>
      </c>
      <c r="AW132" s="18" t="s">
        <v>6555</v>
      </c>
      <c r="AX132" s="19">
        <v>-1350</v>
      </c>
      <c r="AY132" s="20">
        <v>0</v>
      </c>
    </row>
    <row r="133" spans="1:51" x14ac:dyDescent="0.25">
      <c r="A133" s="5">
        <v>131</v>
      </c>
      <c r="B133" s="6" t="s">
        <v>1305</v>
      </c>
      <c r="C133" s="6" t="s">
        <v>3444</v>
      </c>
      <c r="D133" s="6" t="s">
        <v>912</v>
      </c>
      <c r="E133" s="6" t="s">
        <v>47</v>
      </c>
      <c r="F133" s="6" t="s">
        <v>48</v>
      </c>
      <c r="G133" s="6" t="s">
        <v>609</v>
      </c>
      <c r="H133" s="6" t="s">
        <v>3445</v>
      </c>
      <c r="I133" s="6" t="s">
        <v>3446</v>
      </c>
      <c r="J133" s="6">
        <v>2</v>
      </c>
      <c r="K133" s="6">
        <v>26.78</v>
      </c>
      <c r="L133" s="6" t="s">
        <v>3447</v>
      </c>
      <c r="M133" s="6" t="s">
        <v>3448</v>
      </c>
      <c r="N133" s="6" t="s">
        <v>83</v>
      </c>
      <c r="O133" s="6" t="s">
        <v>3449</v>
      </c>
      <c r="P133" s="6" t="s">
        <v>652</v>
      </c>
      <c r="Q133" s="6" t="s">
        <v>3450</v>
      </c>
      <c r="R133" s="6" t="s">
        <v>3451</v>
      </c>
      <c r="S133" s="6" t="s">
        <v>3452</v>
      </c>
      <c r="T133" s="6">
        <v>1170000</v>
      </c>
      <c r="U133" s="6">
        <v>1950000</v>
      </c>
      <c r="V133" s="6" t="s">
        <v>146</v>
      </c>
      <c r="W133" s="6" t="s">
        <v>147</v>
      </c>
      <c r="X133" s="6" t="s">
        <v>3453</v>
      </c>
      <c r="Y133" s="6" t="s">
        <v>3454</v>
      </c>
      <c r="Z133" s="6" t="s">
        <v>549</v>
      </c>
      <c r="AA133" s="6" t="s">
        <v>65</v>
      </c>
      <c r="AB133" s="6" t="s">
        <v>3455</v>
      </c>
      <c r="AC133" s="6" t="s">
        <v>662</v>
      </c>
      <c r="AD133" s="6" t="s">
        <v>156</v>
      </c>
      <c r="AE133" s="6" t="s">
        <v>153</v>
      </c>
      <c r="AF133" s="6" t="s">
        <v>2533</v>
      </c>
      <c r="AG133" s="6" t="s">
        <v>3456</v>
      </c>
      <c r="AH133" s="6">
        <v>5</v>
      </c>
      <c r="AI133" s="6" t="s">
        <v>237</v>
      </c>
      <c r="AJ133" s="6" t="s">
        <v>3457</v>
      </c>
      <c r="AK133" s="6" t="s">
        <v>156</v>
      </c>
      <c r="AL133" s="6"/>
      <c r="AM133" s="6" t="s">
        <v>75</v>
      </c>
      <c r="AN133" s="6">
        <v>1462500</v>
      </c>
      <c r="AO133" s="10">
        <v>29250</v>
      </c>
      <c r="AP133" s="6"/>
      <c r="AQ133" s="6"/>
      <c r="AR133" s="6"/>
      <c r="AS133" s="18" t="s">
        <v>6685</v>
      </c>
      <c r="AT133" s="18" t="s">
        <v>6934</v>
      </c>
      <c r="AU133" s="19">
        <v>33150</v>
      </c>
      <c r="AV133" s="20">
        <v>-3900</v>
      </c>
      <c r="AW133" s="18" t="s">
        <v>6555</v>
      </c>
      <c r="AX133" s="19">
        <v>-3900</v>
      </c>
      <c r="AY133" s="20">
        <v>0</v>
      </c>
    </row>
    <row r="134" spans="1:51" x14ac:dyDescent="0.25">
      <c r="A134" s="7">
        <v>132</v>
      </c>
      <c r="B134" s="8" t="s">
        <v>1305</v>
      </c>
      <c r="C134" s="8" t="s">
        <v>3458</v>
      </c>
      <c r="D134" s="8" t="s">
        <v>277</v>
      </c>
      <c r="E134" s="8" t="s">
        <v>47</v>
      </c>
      <c r="F134" s="8" t="s">
        <v>48</v>
      </c>
      <c r="G134" s="8" t="s">
        <v>1717</v>
      </c>
      <c r="H134" s="8" t="s">
        <v>3459</v>
      </c>
      <c r="I134" s="8" t="s">
        <v>3460</v>
      </c>
      <c r="J134" s="8">
        <v>1.75</v>
      </c>
      <c r="K134" s="8">
        <v>26.69</v>
      </c>
      <c r="L134" s="8" t="s">
        <v>3461</v>
      </c>
      <c r="M134" s="8" t="s">
        <v>3462</v>
      </c>
      <c r="N134" s="8" t="s">
        <v>187</v>
      </c>
      <c r="O134" s="8" t="s">
        <v>3463</v>
      </c>
      <c r="P134" s="8" t="s">
        <v>3464</v>
      </c>
      <c r="Q134" s="8" t="s">
        <v>3464</v>
      </c>
      <c r="R134" s="8" t="s">
        <v>3464</v>
      </c>
      <c r="S134" s="8" t="s">
        <v>3465</v>
      </c>
      <c r="T134" s="8">
        <v>1452500</v>
      </c>
      <c r="U134" s="8">
        <v>2075000</v>
      </c>
      <c r="V134" s="8" t="s">
        <v>3466</v>
      </c>
      <c r="W134" s="8" t="s">
        <v>1648</v>
      </c>
      <c r="X134" s="8" t="s">
        <v>3467</v>
      </c>
      <c r="Y134" s="8" t="s">
        <v>3468</v>
      </c>
      <c r="Z134" s="8" t="s">
        <v>93</v>
      </c>
      <c r="AA134" s="8" t="s">
        <v>3469</v>
      </c>
      <c r="AB134" s="8" t="s">
        <v>214</v>
      </c>
      <c r="AC134" s="8" t="s">
        <v>67</v>
      </c>
      <c r="AD134" s="8" t="s">
        <v>756</v>
      </c>
      <c r="AE134" s="8" t="s">
        <v>453</v>
      </c>
      <c r="AF134" s="8" t="s">
        <v>2370</v>
      </c>
      <c r="AG134" s="8" t="s">
        <v>3470</v>
      </c>
      <c r="AH134" s="8">
        <v>5</v>
      </c>
      <c r="AI134" s="8" t="s">
        <v>72</v>
      </c>
      <c r="AJ134" s="8" t="s">
        <v>3471</v>
      </c>
      <c r="AK134" s="8" t="s">
        <v>774</v>
      </c>
      <c r="AL134" s="8"/>
      <c r="AM134" s="8" t="s">
        <v>102</v>
      </c>
      <c r="AN134" s="8">
        <v>1763750</v>
      </c>
      <c r="AO134" s="11">
        <v>30865.625000000004</v>
      </c>
      <c r="AP134" s="8"/>
      <c r="AQ134" s="8"/>
      <c r="AR134" s="8"/>
      <c r="AS134" s="18" t="s">
        <v>6686</v>
      </c>
      <c r="AT134" s="18" t="s">
        <v>6935</v>
      </c>
      <c r="AU134" s="19">
        <v>27234</v>
      </c>
      <c r="AV134" s="20">
        <v>3631.6250000000036</v>
      </c>
      <c r="AW134" s="18" t="s">
        <v>6555</v>
      </c>
      <c r="AX134" s="19">
        <v>3631</v>
      </c>
      <c r="AY134" s="20">
        <v>0.62500000000363798</v>
      </c>
    </row>
    <row r="135" spans="1:51" x14ac:dyDescent="0.25">
      <c r="A135" s="5">
        <v>133</v>
      </c>
      <c r="B135" s="6" t="s">
        <v>1305</v>
      </c>
      <c r="C135" s="6" t="s">
        <v>3472</v>
      </c>
      <c r="D135" s="6" t="s">
        <v>46</v>
      </c>
      <c r="E135" s="6" t="s">
        <v>47</v>
      </c>
      <c r="F135" s="6" t="s">
        <v>48</v>
      </c>
      <c r="G135" s="6" t="s">
        <v>1371</v>
      </c>
      <c r="H135" s="6" t="s">
        <v>3473</v>
      </c>
      <c r="I135" s="6" t="s">
        <v>3474</v>
      </c>
      <c r="J135" s="6">
        <v>2</v>
      </c>
      <c r="K135" s="6">
        <v>25.74</v>
      </c>
      <c r="L135" s="6" t="s">
        <v>3475</v>
      </c>
      <c r="M135" s="6" t="s">
        <v>3476</v>
      </c>
      <c r="N135" s="6" t="s">
        <v>164</v>
      </c>
      <c r="O135" s="6" t="s">
        <v>3477</v>
      </c>
      <c r="P135" s="6" t="s">
        <v>65</v>
      </c>
      <c r="Q135" s="6" t="s">
        <v>65</v>
      </c>
      <c r="R135" s="6" t="s">
        <v>65</v>
      </c>
      <c r="S135" s="6" t="s">
        <v>3478</v>
      </c>
      <c r="T135" s="6">
        <v>1091500</v>
      </c>
      <c r="U135" s="6">
        <v>2183000</v>
      </c>
      <c r="V135" s="6" t="s">
        <v>3479</v>
      </c>
      <c r="W135" s="6" t="s">
        <v>1648</v>
      </c>
      <c r="X135" s="6" t="s">
        <v>3480</v>
      </c>
      <c r="Y135" s="6" t="s">
        <v>3481</v>
      </c>
      <c r="Z135" s="6" t="s">
        <v>64</v>
      </c>
      <c r="AA135" s="6" t="s">
        <v>65</v>
      </c>
      <c r="AB135" s="6" t="s">
        <v>1074</v>
      </c>
      <c r="AC135" s="6" t="s">
        <v>531</v>
      </c>
      <c r="AD135" s="6" t="s">
        <v>3482</v>
      </c>
      <c r="AE135" s="6" t="s">
        <v>453</v>
      </c>
      <c r="AF135" s="6" t="s">
        <v>1430</v>
      </c>
      <c r="AG135" s="6" t="s">
        <v>3483</v>
      </c>
      <c r="AH135" s="6">
        <v>3</v>
      </c>
      <c r="AI135" s="6" t="s">
        <v>237</v>
      </c>
      <c r="AJ135" s="6" t="s">
        <v>3484</v>
      </c>
      <c r="AK135" s="6" t="s">
        <v>774</v>
      </c>
      <c r="AL135" s="6"/>
      <c r="AM135" s="6" t="s">
        <v>75</v>
      </c>
      <c r="AN135" s="6">
        <v>1855550</v>
      </c>
      <c r="AO135" s="10">
        <v>37111</v>
      </c>
      <c r="AP135" s="6"/>
      <c r="AQ135" s="6"/>
      <c r="AR135" s="6"/>
      <c r="AS135" s="18" t="s">
        <v>6687</v>
      </c>
      <c r="AT135" s="18"/>
      <c r="AU135" s="19">
        <v>37111</v>
      </c>
      <c r="AV135" s="20">
        <v>0</v>
      </c>
      <c r="AW135" s="18" t="s">
        <v>6555</v>
      </c>
      <c r="AX135" s="18"/>
      <c r="AY135" s="18"/>
    </row>
    <row r="136" spans="1:51" x14ac:dyDescent="0.25">
      <c r="A136" s="7">
        <v>134</v>
      </c>
      <c r="B136" s="8" t="s">
        <v>1305</v>
      </c>
      <c r="C136" s="8" t="s">
        <v>3485</v>
      </c>
      <c r="D136" s="8" t="s">
        <v>241</v>
      </c>
      <c r="E136" s="8" t="s">
        <v>47</v>
      </c>
      <c r="F136" s="8" t="s">
        <v>48</v>
      </c>
      <c r="G136" s="8" t="s">
        <v>3486</v>
      </c>
      <c r="H136" s="8" t="s">
        <v>3487</v>
      </c>
      <c r="I136" s="8" t="s">
        <v>3488</v>
      </c>
      <c r="J136" s="8">
        <v>2</v>
      </c>
      <c r="K136" s="8">
        <v>27.44</v>
      </c>
      <c r="L136" s="8" t="s">
        <v>3489</v>
      </c>
      <c r="M136" s="8" t="s">
        <v>3490</v>
      </c>
      <c r="N136" s="8" t="s">
        <v>164</v>
      </c>
      <c r="O136" s="8" t="s">
        <v>3491</v>
      </c>
      <c r="P136" s="8" t="s">
        <v>3492</v>
      </c>
      <c r="Q136" s="8" t="s">
        <v>3492</v>
      </c>
      <c r="R136" s="8" t="s">
        <v>3493</v>
      </c>
      <c r="S136" s="8" t="s">
        <v>3494</v>
      </c>
      <c r="T136" s="8">
        <v>2114200</v>
      </c>
      <c r="U136" s="8">
        <v>3844000</v>
      </c>
      <c r="V136" s="8" t="s">
        <v>3495</v>
      </c>
      <c r="W136" s="8" t="s">
        <v>1648</v>
      </c>
      <c r="X136" s="8" t="s">
        <v>3496</v>
      </c>
      <c r="Y136" s="8" t="s">
        <v>3497</v>
      </c>
      <c r="Z136" s="8" t="s">
        <v>64</v>
      </c>
      <c r="AA136" s="8" t="s">
        <v>65</v>
      </c>
      <c r="AB136" s="8" t="s">
        <v>1005</v>
      </c>
      <c r="AC136" s="8" t="s">
        <v>531</v>
      </c>
      <c r="AD136" s="8" t="s">
        <v>3498</v>
      </c>
      <c r="AE136" s="8" t="s">
        <v>453</v>
      </c>
      <c r="AF136" s="8" t="s">
        <v>1430</v>
      </c>
      <c r="AG136" s="8" t="s">
        <v>3499</v>
      </c>
      <c r="AH136" s="8">
        <v>3</v>
      </c>
      <c r="AI136" s="8" t="s">
        <v>72</v>
      </c>
      <c r="AJ136" s="8" t="s">
        <v>3500</v>
      </c>
      <c r="AK136" s="8" t="s">
        <v>774</v>
      </c>
      <c r="AL136" s="8"/>
      <c r="AM136" s="8" t="s">
        <v>75</v>
      </c>
      <c r="AN136" s="8">
        <v>3267400</v>
      </c>
      <c r="AO136" s="11">
        <v>65348</v>
      </c>
      <c r="AP136" s="8"/>
      <c r="AQ136" s="8"/>
      <c r="AR136" s="8"/>
      <c r="AS136" s="18" t="s">
        <v>6688</v>
      </c>
      <c r="AT136" s="18"/>
      <c r="AU136" s="19">
        <v>65348</v>
      </c>
      <c r="AV136" s="20">
        <v>0</v>
      </c>
      <c r="AW136" s="18" t="s">
        <v>6555</v>
      </c>
      <c r="AX136" s="18"/>
      <c r="AY136" s="18"/>
    </row>
    <row r="137" spans="1:51" x14ac:dyDescent="0.25">
      <c r="A137" s="5">
        <v>135</v>
      </c>
      <c r="B137" s="6" t="s">
        <v>1305</v>
      </c>
      <c r="C137" s="6" t="s">
        <v>3501</v>
      </c>
      <c r="D137" s="6" t="s">
        <v>1238</v>
      </c>
      <c r="E137" s="6" t="s">
        <v>47</v>
      </c>
      <c r="F137" s="6" t="s">
        <v>48</v>
      </c>
      <c r="G137" s="6" t="s">
        <v>3079</v>
      </c>
      <c r="H137" s="6" t="s">
        <v>3502</v>
      </c>
      <c r="I137" s="6" t="s">
        <v>3503</v>
      </c>
      <c r="J137" s="6">
        <v>2</v>
      </c>
      <c r="K137" s="6">
        <v>27.28</v>
      </c>
      <c r="L137" s="6" t="s">
        <v>3504</v>
      </c>
      <c r="M137" s="6" t="s">
        <v>3505</v>
      </c>
      <c r="N137" s="6" t="s">
        <v>83</v>
      </c>
      <c r="O137" s="6" t="s">
        <v>3506</v>
      </c>
      <c r="P137" s="6" t="s">
        <v>3507</v>
      </c>
      <c r="Q137" s="6" t="s">
        <v>3508</v>
      </c>
      <c r="R137" s="6" t="s">
        <v>3509</v>
      </c>
      <c r="S137" s="6" t="s">
        <v>3510</v>
      </c>
      <c r="T137" s="6">
        <v>1125000</v>
      </c>
      <c r="U137" s="6">
        <v>1500000</v>
      </c>
      <c r="V137" s="6" t="s">
        <v>3511</v>
      </c>
      <c r="W137" s="6" t="s">
        <v>147</v>
      </c>
      <c r="X137" s="6" t="s">
        <v>3512</v>
      </c>
      <c r="Y137" s="6" t="s">
        <v>3513</v>
      </c>
      <c r="Z137" s="6" t="s">
        <v>93</v>
      </c>
      <c r="AA137" s="6" t="s">
        <v>3514</v>
      </c>
      <c r="AB137" s="6" t="s">
        <v>273</v>
      </c>
      <c r="AC137" s="6" t="s">
        <v>175</v>
      </c>
      <c r="AD137" s="6" t="s">
        <v>3515</v>
      </c>
      <c r="AE137" s="6" t="s">
        <v>2947</v>
      </c>
      <c r="AF137" s="6" t="s">
        <v>2948</v>
      </c>
      <c r="AG137" s="6" t="s">
        <v>3516</v>
      </c>
      <c r="AH137" s="6">
        <v>5</v>
      </c>
      <c r="AI137" s="6" t="s">
        <v>198</v>
      </c>
      <c r="AJ137" s="6" t="s">
        <v>3517</v>
      </c>
      <c r="AK137" s="6" t="s">
        <v>156</v>
      </c>
      <c r="AL137" s="6"/>
      <c r="AM137" s="6" t="s">
        <v>75</v>
      </c>
      <c r="AN137" s="6">
        <v>1125000</v>
      </c>
      <c r="AO137" s="10">
        <v>22500</v>
      </c>
      <c r="AP137" s="6"/>
      <c r="AQ137" s="6"/>
      <c r="AR137" s="6"/>
      <c r="AS137" s="18" t="s">
        <v>6689</v>
      </c>
      <c r="AT137" s="18" t="s">
        <v>6936</v>
      </c>
      <c r="AU137" s="19">
        <v>25500</v>
      </c>
      <c r="AV137" s="20">
        <v>-3000</v>
      </c>
      <c r="AW137" s="18" t="s">
        <v>6555</v>
      </c>
      <c r="AX137" s="19">
        <v>-3000</v>
      </c>
      <c r="AY137" s="20">
        <v>0</v>
      </c>
    </row>
    <row r="138" spans="1:51" x14ac:dyDescent="0.25">
      <c r="A138" s="7">
        <v>136</v>
      </c>
      <c r="B138" s="8" t="s">
        <v>1305</v>
      </c>
      <c r="C138" s="8" t="s">
        <v>3518</v>
      </c>
      <c r="D138" s="8" t="s">
        <v>1238</v>
      </c>
      <c r="E138" s="8" t="s">
        <v>47</v>
      </c>
      <c r="F138" s="8" t="s">
        <v>48</v>
      </c>
      <c r="G138" s="8" t="s">
        <v>3519</v>
      </c>
      <c r="H138" s="8" t="s">
        <v>3520</v>
      </c>
      <c r="I138" s="8" t="s">
        <v>3521</v>
      </c>
      <c r="J138" s="8">
        <v>2</v>
      </c>
      <c r="K138" s="8">
        <v>26.78</v>
      </c>
      <c r="L138" s="8" t="s">
        <v>3522</v>
      </c>
      <c r="M138" s="8" t="s">
        <v>3523</v>
      </c>
      <c r="N138" s="8" t="s">
        <v>54</v>
      </c>
      <c r="O138" s="8" t="s">
        <v>3524</v>
      </c>
      <c r="P138" s="8" t="s">
        <v>3525</v>
      </c>
      <c r="Q138" s="8" t="s">
        <v>3526</v>
      </c>
      <c r="R138" s="8" t="s">
        <v>3525</v>
      </c>
      <c r="S138" s="8" t="s">
        <v>3527</v>
      </c>
      <c r="T138" s="8">
        <v>1123500</v>
      </c>
      <c r="U138" s="8">
        <v>1605000</v>
      </c>
      <c r="V138" s="8" t="s">
        <v>3528</v>
      </c>
      <c r="W138" s="8" t="s">
        <v>147</v>
      </c>
      <c r="X138" s="8" t="s">
        <v>3529</v>
      </c>
      <c r="Y138" s="8" t="s">
        <v>3530</v>
      </c>
      <c r="Z138" s="8" t="s">
        <v>64</v>
      </c>
      <c r="AA138" s="8" t="s">
        <v>65</v>
      </c>
      <c r="AB138" s="8" t="s">
        <v>642</v>
      </c>
      <c r="AC138" s="8" t="s">
        <v>151</v>
      </c>
      <c r="AD138" s="8" t="s">
        <v>2500</v>
      </c>
      <c r="AE138" s="8" t="s">
        <v>153</v>
      </c>
      <c r="AF138" s="8" t="s">
        <v>2533</v>
      </c>
      <c r="AG138" s="8" t="s">
        <v>3531</v>
      </c>
      <c r="AH138" s="8">
        <v>5</v>
      </c>
      <c r="AI138" s="8" t="s">
        <v>2502</v>
      </c>
      <c r="AJ138" s="8" t="s">
        <v>3532</v>
      </c>
      <c r="AK138" s="8" t="s">
        <v>156</v>
      </c>
      <c r="AL138" s="8"/>
      <c r="AM138" s="8" t="s">
        <v>75</v>
      </c>
      <c r="AN138" s="8">
        <v>1203750</v>
      </c>
      <c r="AO138" s="11">
        <v>24075</v>
      </c>
      <c r="AP138" s="8"/>
      <c r="AQ138" s="8"/>
      <c r="AR138" s="8"/>
      <c r="AS138" s="18" t="s">
        <v>6690</v>
      </c>
      <c r="AT138" s="18" t="s">
        <v>6937</v>
      </c>
      <c r="AU138" s="19">
        <v>27285</v>
      </c>
      <c r="AV138" s="20">
        <v>-3210</v>
      </c>
      <c r="AW138" s="18" t="s">
        <v>6555</v>
      </c>
      <c r="AX138" s="19">
        <v>-3210</v>
      </c>
      <c r="AY138" s="20">
        <v>0</v>
      </c>
    </row>
    <row r="139" spans="1:51" x14ac:dyDescent="0.25">
      <c r="A139" s="5">
        <v>137</v>
      </c>
      <c r="B139" s="6" t="s">
        <v>1305</v>
      </c>
      <c r="C139" s="6" t="s">
        <v>3548</v>
      </c>
      <c r="D139" s="6" t="s">
        <v>46</v>
      </c>
      <c r="E139" s="6" t="s">
        <v>47</v>
      </c>
      <c r="F139" s="6" t="s">
        <v>48</v>
      </c>
      <c r="G139" s="6" t="s">
        <v>3549</v>
      </c>
      <c r="H139" s="6" t="s">
        <v>3550</v>
      </c>
      <c r="I139" s="6" t="s">
        <v>3551</v>
      </c>
      <c r="J139" s="6">
        <v>2</v>
      </c>
      <c r="K139" s="6">
        <v>27.19</v>
      </c>
      <c r="L139" s="6" t="s">
        <v>3552</v>
      </c>
      <c r="M139" s="6" t="s">
        <v>3553</v>
      </c>
      <c r="N139" s="6" t="s">
        <v>54</v>
      </c>
      <c r="O139" s="6" t="s">
        <v>3554</v>
      </c>
      <c r="P139" s="6" t="s">
        <v>3555</v>
      </c>
      <c r="Q139" s="6" t="s">
        <v>3556</v>
      </c>
      <c r="R139" s="6" t="s">
        <v>1246</v>
      </c>
      <c r="S139" s="6" t="s">
        <v>3557</v>
      </c>
      <c r="T139" s="6">
        <v>884500</v>
      </c>
      <c r="U139" s="6">
        <v>3538000</v>
      </c>
      <c r="V139" s="6" t="s">
        <v>3558</v>
      </c>
      <c r="W139" s="6" t="s">
        <v>1648</v>
      </c>
      <c r="X139" s="6" t="s">
        <v>3559</v>
      </c>
      <c r="Y139" s="6" t="s">
        <v>3560</v>
      </c>
      <c r="Z139" s="6" t="s">
        <v>64</v>
      </c>
      <c r="AA139" s="6" t="s">
        <v>65</v>
      </c>
      <c r="AB139" s="6" t="s">
        <v>3561</v>
      </c>
      <c r="AC139" s="6" t="s">
        <v>531</v>
      </c>
      <c r="AD139" s="6" t="s">
        <v>3562</v>
      </c>
      <c r="AE139" s="6" t="s">
        <v>453</v>
      </c>
      <c r="AF139" s="6" t="s">
        <v>2370</v>
      </c>
      <c r="AG139" s="6" t="s">
        <v>3563</v>
      </c>
      <c r="AH139" s="6">
        <v>5</v>
      </c>
      <c r="AI139" s="6" t="s">
        <v>100</v>
      </c>
      <c r="AJ139" s="6" t="s">
        <v>3564</v>
      </c>
      <c r="AK139" s="6" t="s">
        <v>774</v>
      </c>
      <c r="AL139" s="6"/>
      <c r="AM139" s="6" t="s">
        <v>75</v>
      </c>
      <c r="AN139" s="6">
        <v>3007300</v>
      </c>
      <c r="AO139" s="10">
        <v>60146</v>
      </c>
      <c r="AP139" s="6"/>
      <c r="AQ139" s="6"/>
      <c r="AR139" s="6"/>
      <c r="AS139" s="18" t="s">
        <v>6691</v>
      </c>
      <c r="AT139" s="18" t="s">
        <v>6938</v>
      </c>
      <c r="AU139" s="19">
        <v>53070</v>
      </c>
      <c r="AV139" s="20">
        <v>7076</v>
      </c>
      <c r="AW139" s="18" t="s">
        <v>6555</v>
      </c>
      <c r="AX139" s="19">
        <v>7076</v>
      </c>
      <c r="AY139" s="20">
        <v>0</v>
      </c>
    </row>
    <row r="140" spans="1:51" x14ac:dyDescent="0.25">
      <c r="A140" s="7">
        <v>138</v>
      </c>
      <c r="B140" s="8" t="s">
        <v>1305</v>
      </c>
      <c r="C140" s="8" t="s">
        <v>3565</v>
      </c>
      <c r="D140" s="8" t="s">
        <v>77</v>
      </c>
      <c r="E140" s="8" t="s">
        <v>47</v>
      </c>
      <c r="F140" s="8" t="s">
        <v>48</v>
      </c>
      <c r="G140" s="8" t="s">
        <v>1717</v>
      </c>
      <c r="H140" s="8" t="s">
        <v>3566</v>
      </c>
      <c r="I140" s="8" t="s">
        <v>3567</v>
      </c>
      <c r="J140" s="8">
        <v>2</v>
      </c>
      <c r="K140" s="8">
        <v>25.69</v>
      </c>
      <c r="L140" s="8" t="s">
        <v>3568</v>
      </c>
      <c r="M140" s="8" t="s">
        <v>3569</v>
      </c>
      <c r="N140" s="8" t="s">
        <v>187</v>
      </c>
      <c r="O140" s="8" t="s">
        <v>3570</v>
      </c>
      <c r="P140" s="8" t="s">
        <v>3571</v>
      </c>
      <c r="Q140" s="8" t="s">
        <v>3572</v>
      </c>
      <c r="R140" s="8" t="s">
        <v>3573</v>
      </c>
      <c r="S140" s="8" t="s">
        <v>3574</v>
      </c>
      <c r="T140" s="8">
        <v>750000</v>
      </c>
      <c r="U140" s="8">
        <v>1500000</v>
      </c>
      <c r="V140" s="8" t="s">
        <v>3575</v>
      </c>
      <c r="W140" s="8" t="s">
        <v>61</v>
      </c>
      <c r="X140" s="8" t="s">
        <v>3576</v>
      </c>
      <c r="Y140" s="8" t="s">
        <v>3577</v>
      </c>
      <c r="Z140" s="8" t="s">
        <v>549</v>
      </c>
      <c r="AA140" s="8" t="s">
        <v>65</v>
      </c>
      <c r="AB140" s="8" t="s">
        <v>3578</v>
      </c>
      <c r="AC140" s="8" t="s">
        <v>96</v>
      </c>
      <c r="AD140" s="8" t="s">
        <v>133</v>
      </c>
      <c r="AE140" s="8" t="s">
        <v>69</v>
      </c>
      <c r="AF140" s="8" t="s">
        <v>1007</v>
      </c>
      <c r="AG140" s="8" t="s">
        <v>3579</v>
      </c>
      <c r="AH140" s="8">
        <v>5</v>
      </c>
      <c r="AI140" s="8" t="s">
        <v>237</v>
      </c>
      <c r="AJ140" s="8" t="s">
        <v>3580</v>
      </c>
      <c r="AK140" s="8" t="s">
        <v>74</v>
      </c>
      <c r="AL140" s="8"/>
      <c r="AM140" s="8" t="s">
        <v>75</v>
      </c>
      <c r="AN140" s="8">
        <v>1200000</v>
      </c>
      <c r="AO140" s="11">
        <v>24000</v>
      </c>
      <c r="AP140" s="8"/>
      <c r="AQ140" s="8"/>
      <c r="AR140" s="8"/>
      <c r="AS140" s="18" t="s">
        <v>6692</v>
      </c>
      <c r="AT140" s="18"/>
      <c r="AU140" s="19">
        <v>24000</v>
      </c>
      <c r="AV140" s="20">
        <v>0</v>
      </c>
      <c r="AW140" s="18" t="s">
        <v>6555</v>
      </c>
      <c r="AX140" s="18"/>
      <c r="AY140" s="18"/>
    </row>
    <row r="141" spans="1:51" x14ac:dyDescent="0.25">
      <c r="A141" s="5">
        <v>139</v>
      </c>
      <c r="B141" s="6" t="s">
        <v>1305</v>
      </c>
      <c r="C141" s="6" t="s">
        <v>3596</v>
      </c>
      <c r="D141" s="6" t="s">
        <v>77</v>
      </c>
      <c r="E141" s="6" t="s">
        <v>47</v>
      </c>
      <c r="F141" s="6" t="s">
        <v>48</v>
      </c>
      <c r="G141" s="6" t="s">
        <v>516</v>
      </c>
      <c r="H141" s="6" t="s">
        <v>3597</v>
      </c>
      <c r="I141" s="6" t="s">
        <v>3598</v>
      </c>
      <c r="J141" s="6">
        <v>2</v>
      </c>
      <c r="K141" s="6">
        <v>25.69</v>
      </c>
      <c r="L141" s="6" t="s">
        <v>3599</v>
      </c>
      <c r="M141" s="6" t="s">
        <v>3600</v>
      </c>
      <c r="N141" s="6" t="s">
        <v>187</v>
      </c>
      <c r="O141" s="6" t="s">
        <v>3601</v>
      </c>
      <c r="P141" s="6" t="s">
        <v>3602</v>
      </c>
      <c r="Q141" s="6" t="s">
        <v>3602</v>
      </c>
      <c r="R141" s="6" t="s">
        <v>3603</v>
      </c>
      <c r="S141" s="6" t="s">
        <v>3604</v>
      </c>
      <c r="T141" s="6">
        <v>736000</v>
      </c>
      <c r="U141" s="6">
        <v>920000</v>
      </c>
      <c r="V141" s="6" t="s">
        <v>3605</v>
      </c>
      <c r="W141" s="6" t="s">
        <v>61</v>
      </c>
      <c r="X141" s="6" t="s">
        <v>3606</v>
      </c>
      <c r="Y141" s="6" t="s">
        <v>3607</v>
      </c>
      <c r="Z141" s="6" t="s">
        <v>93</v>
      </c>
      <c r="AA141" s="6" t="s">
        <v>3608</v>
      </c>
      <c r="AB141" s="6" t="s">
        <v>2406</v>
      </c>
      <c r="AC141" s="6" t="s">
        <v>662</v>
      </c>
      <c r="AD141" s="6" t="s">
        <v>133</v>
      </c>
      <c r="AE141" s="6" t="s">
        <v>69</v>
      </c>
      <c r="AF141" s="6" t="s">
        <v>1007</v>
      </c>
      <c r="AG141" s="6" t="s">
        <v>3609</v>
      </c>
      <c r="AH141" s="6">
        <v>5</v>
      </c>
      <c r="AI141" s="6" t="s">
        <v>237</v>
      </c>
      <c r="AJ141" s="6" t="s">
        <v>3610</v>
      </c>
      <c r="AK141" s="6" t="s">
        <v>74</v>
      </c>
      <c r="AL141" s="6"/>
      <c r="AM141" s="6" t="s">
        <v>75</v>
      </c>
      <c r="AN141" s="6">
        <v>736000</v>
      </c>
      <c r="AO141" s="10">
        <v>14720</v>
      </c>
      <c r="AP141" s="6"/>
      <c r="AQ141" s="6"/>
      <c r="AR141" s="6"/>
      <c r="AS141" s="18" t="s">
        <v>6693</v>
      </c>
      <c r="AT141" s="18"/>
      <c r="AU141" s="19">
        <v>14720</v>
      </c>
      <c r="AV141" s="20">
        <v>0</v>
      </c>
      <c r="AW141" s="18" t="s">
        <v>6555</v>
      </c>
      <c r="AX141" s="18"/>
      <c r="AY141" s="18"/>
    </row>
    <row r="142" spans="1:51" x14ac:dyDescent="0.25">
      <c r="A142" s="7">
        <v>140</v>
      </c>
      <c r="B142" s="8" t="s">
        <v>1305</v>
      </c>
      <c r="C142" s="8" t="s">
        <v>3611</v>
      </c>
      <c r="D142" s="8" t="s">
        <v>77</v>
      </c>
      <c r="E142" s="8" t="s">
        <v>47</v>
      </c>
      <c r="F142" s="8" t="s">
        <v>48</v>
      </c>
      <c r="G142" s="8" t="s">
        <v>3095</v>
      </c>
      <c r="H142" s="8" t="s">
        <v>3612</v>
      </c>
      <c r="I142" s="8" t="s">
        <v>3613</v>
      </c>
      <c r="J142" s="8">
        <v>1.75</v>
      </c>
      <c r="K142" s="8">
        <v>25.19</v>
      </c>
      <c r="L142" s="8" t="s">
        <v>3614</v>
      </c>
      <c r="M142" s="8" t="s">
        <v>3615</v>
      </c>
      <c r="N142" s="8" t="s">
        <v>265</v>
      </c>
      <c r="O142" s="8" t="s">
        <v>3616</v>
      </c>
      <c r="P142" s="8" t="s">
        <v>65</v>
      </c>
      <c r="Q142" s="8" t="s">
        <v>3617</v>
      </c>
      <c r="R142" s="8" t="s">
        <v>65</v>
      </c>
      <c r="S142" s="8" t="s">
        <v>3618</v>
      </c>
      <c r="T142" s="8">
        <v>2451600</v>
      </c>
      <c r="U142" s="8">
        <v>4540000</v>
      </c>
      <c r="V142" s="8" t="s">
        <v>3619</v>
      </c>
      <c r="W142" s="8" t="s">
        <v>3620</v>
      </c>
      <c r="X142" s="8" t="s">
        <v>3621</v>
      </c>
      <c r="Y142" s="8" t="s">
        <v>3622</v>
      </c>
      <c r="Z142" s="8" t="s">
        <v>93</v>
      </c>
      <c r="AA142" s="8" t="s">
        <v>3623</v>
      </c>
      <c r="AB142" s="8" t="s">
        <v>2245</v>
      </c>
      <c r="AC142" s="8" t="s">
        <v>175</v>
      </c>
      <c r="AD142" s="12">
        <v>45182</v>
      </c>
      <c r="AE142" s="8" t="s">
        <v>3275</v>
      </c>
      <c r="AF142" s="8" t="s">
        <v>974</v>
      </c>
      <c r="AG142" s="8" t="s">
        <v>3624</v>
      </c>
      <c r="AH142" s="8">
        <v>3</v>
      </c>
      <c r="AI142" s="8" t="s">
        <v>237</v>
      </c>
      <c r="AJ142" s="8" t="s">
        <v>3625</v>
      </c>
      <c r="AK142" s="8" t="s">
        <v>3626</v>
      </c>
      <c r="AL142" s="8"/>
      <c r="AM142" s="8" t="s">
        <v>102</v>
      </c>
      <c r="AN142" s="8">
        <v>4086000</v>
      </c>
      <c r="AO142" s="11">
        <v>71505</v>
      </c>
      <c r="AP142" s="8"/>
      <c r="AQ142" s="8"/>
      <c r="AR142" s="8"/>
      <c r="AS142" s="18" t="s">
        <v>6694</v>
      </c>
      <c r="AT142" s="18" t="s">
        <v>6939</v>
      </c>
      <c r="AU142" s="19">
        <v>67533</v>
      </c>
      <c r="AV142" s="20">
        <v>3972</v>
      </c>
      <c r="AW142" s="18" t="s">
        <v>6555</v>
      </c>
      <c r="AX142" s="19">
        <v>3973</v>
      </c>
      <c r="AY142" s="20">
        <v>-1</v>
      </c>
    </row>
    <row r="143" spans="1:51" x14ac:dyDescent="0.25">
      <c r="A143" s="5">
        <v>141</v>
      </c>
      <c r="B143" s="6" t="s">
        <v>1305</v>
      </c>
      <c r="C143" s="6" t="s">
        <v>3627</v>
      </c>
      <c r="D143" s="6" t="s">
        <v>1238</v>
      </c>
      <c r="E143" s="6" t="s">
        <v>47</v>
      </c>
      <c r="F143" s="6" t="s">
        <v>48</v>
      </c>
      <c r="G143" s="6" t="s">
        <v>78</v>
      </c>
      <c r="H143" s="6" t="s">
        <v>3628</v>
      </c>
      <c r="I143" s="6" t="s">
        <v>3629</v>
      </c>
      <c r="J143" s="6">
        <v>2</v>
      </c>
      <c r="K143" s="6">
        <v>27.28</v>
      </c>
      <c r="L143" s="6" t="s">
        <v>3630</v>
      </c>
      <c r="M143" s="6" t="s">
        <v>3631</v>
      </c>
      <c r="N143" s="6" t="s">
        <v>83</v>
      </c>
      <c r="O143" s="6" t="s">
        <v>3632</v>
      </c>
      <c r="P143" s="6" t="s">
        <v>3633</v>
      </c>
      <c r="Q143" s="6" t="s">
        <v>3633</v>
      </c>
      <c r="R143" s="6" t="s">
        <v>3634</v>
      </c>
      <c r="S143" s="6" t="s">
        <v>3635</v>
      </c>
      <c r="T143" s="6">
        <v>840000</v>
      </c>
      <c r="U143" s="6">
        <v>1200000</v>
      </c>
      <c r="V143" s="6" t="s">
        <v>3636</v>
      </c>
      <c r="W143" s="6" t="s">
        <v>170</v>
      </c>
      <c r="X143" s="6" t="s">
        <v>3637</v>
      </c>
      <c r="Y143" s="6" t="s">
        <v>3638</v>
      </c>
      <c r="Z143" s="6" t="s">
        <v>549</v>
      </c>
      <c r="AA143" s="6" t="s">
        <v>65</v>
      </c>
      <c r="AB143" s="6" t="s">
        <v>3639</v>
      </c>
      <c r="AC143" s="6" t="s">
        <v>624</v>
      </c>
      <c r="AD143" s="6" t="s">
        <v>156</v>
      </c>
      <c r="AE143" s="6" t="s">
        <v>153</v>
      </c>
      <c r="AF143" s="6" t="s">
        <v>2533</v>
      </c>
      <c r="AG143" s="6" t="s">
        <v>3640</v>
      </c>
      <c r="AH143" s="6">
        <v>5</v>
      </c>
      <c r="AI143" s="6" t="s">
        <v>2502</v>
      </c>
      <c r="AJ143" s="6" t="s">
        <v>3641</v>
      </c>
      <c r="AK143" s="6" t="s">
        <v>156</v>
      </c>
      <c r="AL143" s="6"/>
      <c r="AM143" s="6" t="s">
        <v>75</v>
      </c>
      <c r="AN143" s="6">
        <v>900000</v>
      </c>
      <c r="AO143" s="10">
        <v>18000</v>
      </c>
      <c r="AP143" s="6"/>
      <c r="AQ143" s="6"/>
      <c r="AR143" s="6"/>
      <c r="AS143" s="18" t="s">
        <v>6695</v>
      </c>
      <c r="AT143" s="18" t="s">
        <v>6940</v>
      </c>
      <c r="AU143" s="19">
        <v>20400</v>
      </c>
      <c r="AV143" s="20">
        <v>-2400</v>
      </c>
      <c r="AW143" s="18" t="s">
        <v>6555</v>
      </c>
      <c r="AX143" s="19">
        <v>-2400</v>
      </c>
      <c r="AY143" s="20">
        <v>0</v>
      </c>
    </row>
    <row r="144" spans="1:51" x14ac:dyDescent="0.25">
      <c r="A144" s="7">
        <v>142</v>
      </c>
      <c r="B144" s="8" t="s">
        <v>1305</v>
      </c>
      <c r="C144" s="8" t="s">
        <v>3642</v>
      </c>
      <c r="D144" s="8" t="s">
        <v>277</v>
      </c>
      <c r="E144" s="8" t="s">
        <v>47</v>
      </c>
      <c r="F144" s="8" t="s">
        <v>48</v>
      </c>
      <c r="G144" s="8" t="s">
        <v>609</v>
      </c>
      <c r="H144" s="8" t="s">
        <v>3643</v>
      </c>
      <c r="I144" s="8" t="s">
        <v>3644</v>
      </c>
      <c r="J144" s="8">
        <v>2.5</v>
      </c>
      <c r="K144" s="8">
        <v>28.7</v>
      </c>
      <c r="L144" s="8" t="s">
        <v>3645</v>
      </c>
      <c r="M144" s="8" t="s">
        <v>3646</v>
      </c>
      <c r="N144" s="8" t="s">
        <v>83</v>
      </c>
      <c r="O144" s="8" t="s">
        <v>3647</v>
      </c>
      <c r="P144" s="8" t="s">
        <v>3648</v>
      </c>
      <c r="Q144" s="8" t="s">
        <v>3648</v>
      </c>
      <c r="R144" s="8" t="s">
        <v>167</v>
      </c>
      <c r="S144" s="8" t="s">
        <v>3649</v>
      </c>
      <c r="T144" s="8">
        <v>825000</v>
      </c>
      <c r="U144" s="8">
        <v>1100000</v>
      </c>
      <c r="V144" s="8" t="s">
        <v>3650</v>
      </c>
      <c r="W144" s="8" t="s">
        <v>170</v>
      </c>
      <c r="X144" s="8" t="s">
        <v>3651</v>
      </c>
      <c r="Y144" s="8" t="s">
        <v>3652</v>
      </c>
      <c r="Z144" s="8" t="s">
        <v>549</v>
      </c>
      <c r="AA144" s="8" t="s">
        <v>3653</v>
      </c>
      <c r="AB144" s="8" t="s">
        <v>3654</v>
      </c>
      <c r="AC144" s="8" t="s">
        <v>2425</v>
      </c>
      <c r="AD144" s="8" t="s">
        <v>176</v>
      </c>
      <c r="AE144" s="8" t="s">
        <v>177</v>
      </c>
      <c r="AF144" s="8" t="s">
        <v>2533</v>
      </c>
      <c r="AG144" s="8" t="s">
        <v>3655</v>
      </c>
      <c r="AH144" s="8">
        <v>6</v>
      </c>
      <c r="AI144" s="8" t="s">
        <v>237</v>
      </c>
      <c r="AJ144" s="8" t="s">
        <v>3656</v>
      </c>
      <c r="AK144" s="8" t="s">
        <v>176</v>
      </c>
      <c r="AL144" s="8"/>
      <c r="AM144" s="8" t="s">
        <v>180</v>
      </c>
      <c r="AN144" s="8">
        <v>770000</v>
      </c>
      <c r="AO144" s="11">
        <v>19250</v>
      </c>
      <c r="AP144" s="8"/>
      <c r="AQ144" s="8"/>
      <c r="AR144" s="8"/>
      <c r="AS144" s="18" t="s">
        <v>6696</v>
      </c>
      <c r="AT144" s="18" t="s">
        <v>6941</v>
      </c>
      <c r="AU144" s="19">
        <v>23375</v>
      </c>
      <c r="AV144" s="20">
        <v>-4125</v>
      </c>
      <c r="AW144" s="18" t="s">
        <v>6555</v>
      </c>
      <c r="AX144" s="19">
        <v>-4125</v>
      </c>
      <c r="AY144" s="20">
        <v>0</v>
      </c>
    </row>
    <row r="145" spans="1:51" x14ac:dyDescent="0.25">
      <c r="A145" s="5">
        <v>143</v>
      </c>
      <c r="B145" s="6" t="s">
        <v>1305</v>
      </c>
      <c r="C145" s="6" t="s">
        <v>3657</v>
      </c>
      <c r="D145" s="6" t="s">
        <v>912</v>
      </c>
      <c r="E145" s="6" t="s">
        <v>47</v>
      </c>
      <c r="F145" s="6" t="s">
        <v>48</v>
      </c>
      <c r="G145" s="6" t="s">
        <v>78</v>
      </c>
      <c r="H145" s="6" t="s">
        <v>3658</v>
      </c>
      <c r="I145" s="6" t="s">
        <v>3659</v>
      </c>
      <c r="J145" s="6">
        <v>2</v>
      </c>
      <c r="K145" s="6">
        <v>26.78</v>
      </c>
      <c r="L145" s="6" t="s">
        <v>3660</v>
      </c>
      <c r="M145" s="6" t="s">
        <v>3661</v>
      </c>
      <c r="N145" s="6" t="s">
        <v>83</v>
      </c>
      <c r="O145" s="6" t="s">
        <v>3662</v>
      </c>
      <c r="P145" s="6" t="s">
        <v>3663</v>
      </c>
      <c r="Q145" s="6" t="s">
        <v>3664</v>
      </c>
      <c r="R145" s="6" t="s">
        <v>3665</v>
      </c>
      <c r="S145" s="6" t="s">
        <v>3666</v>
      </c>
      <c r="T145" s="6">
        <v>750000</v>
      </c>
      <c r="U145" s="6">
        <v>1250000</v>
      </c>
      <c r="V145" s="6" t="s">
        <v>3667</v>
      </c>
      <c r="W145" s="6" t="s">
        <v>147</v>
      </c>
      <c r="X145" s="6" t="s">
        <v>3668</v>
      </c>
      <c r="Y145" s="6" t="s">
        <v>3669</v>
      </c>
      <c r="Z145" s="6" t="s">
        <v>93</v>
      </c>
      <c r="AA145" s="6" t="s">
        <v>3670</v>
      </c>
      <c r="AB145" s="6" t="s">
        <v>642</v>
      </c>
      <c r="AC145" s="6" t="s">
        <v>624</v>
      </c>
      <c r="AD145" s="6" t="s">
        <v>156</v>
      </c>
      <c r="AE145" s="6" t="s">
        <v>153</v>
      </c>
      <c r="AF145" s="6" t="s">
        <v>2533</v>
      </c>
      <c r="AG145" s="6" t="s">
        <v>3671</v>
      </c>
      <c r="AH145" s="6">
        <v>5</v>
      </c>
      <c r="AI145" s="6" t="s">
        <v>237</v>
      </c>
      <c r="AJ145" s="6" t="s">
        <v>3672</v>
      </c>
      <c r="AK145" s="6" t="s">
        <v>156</v>
      </c>
      <c r="AL145" s="6"/>
      <c r="AM145" s="6" t="s">
        <v>75</v>
      </c>
      <c r="AN145" s="6">
        <v>937500</v>
      </c>
      <c r="AO145" s="10">
        <v>18750</v>
      </c>
      <c r="AP145" s="6"/>
      <c r="AQ145" s="6"/>
      <c r="AR145" s="6"/>
      <c r="AS145" s="18" t="s">
        <v>6697</v>
      </c>
      <c r="AT145" s="18" t="s">
        <v>7024</v>
      </c>
      <c r="AU145" s="19">
        <v>21250</v>
      </c>
      <c r="AV145" s="20">
        <v>-2500</v>
      </c>
      <c r="AW145" s="18" t="s">
        <v>6555</v>
      </c>
      <c r="AX145" s="20">
        <v>-2500</v>
      </c>
      <c r="AY145" s="20">
        <v>0</v>
      </c>
    </row>
    <row r="146" spans="1:51" x14ac:dyDescent="0.25">
      <c r="A146" s="7">
        <v>144</v>
      </c>
      <c r="B146" s="8" t="s">
        <v>1305</v>
      </c>
      <c r="C146" s="8" t="s">
        <v>3673</v>
      </c>
      <c r="D146" s="8" t="s">
        <v>1238</v>
      </c>
      <c r="E146" s="8" t="s">
        <v>47</v>
      </c>
      <c r="F146" s="8" t="s">
        <v>48</v>
      </c>
      <c r="G146" s="8" t="s">
        <v>3079</v>
      </c>
      <c r="H146" s="8" t="s">
        <v>3674</v>
      </c>
      <c r="I146" s="8" t="s">
        <v>3675</v>
      </c>
      <c r="J146" s="8">
        <v>2</v>
      </c>
      <c r="K146" s="8">
        <v>27.28</v>
      </c>
      <c r="L146" s="8" t="s">
        <v>3676</v>
      </c>
      <c r="M146" s="8" t="s">
        <v>3677</v>
      </c>
      <c r="N146" s="8" t="s">
        <v>83</v>
      </c>
      <c r="O146" s="8" t="s">
        <v>3678</v>
      </c>
      <c r="P146" s="8" t="s">
        <v>3679</v>
      </c>
      <c r="Q146" s="8" t="s">
        <v>3679</v>
      </c>
      <c r="R146" s="8" t="s">
        <v>3680</v>
      </c>
      <c r="S146" s="8" t="s">
        <v>3681</v>
      </c>
      <c r="T146" s="8">
        <v>742500</v>
      </c>
      <c r="U146" s="8">
        <v>1350000</v>
      </c>
      <c r="V146" s="8" t="s">
        <v>3682</v>
      </c>
      <c r="W146" s="8" t="s">
        <v>147</v>
      </c>
      <c r="X146" s="8" t="s">
        <v>3683</v>
      </c>
      <c r="Y146" s="8" t="s">
        <v>3684</v>
      </c>
      <c r="Z146" s="8" t="s">
        <v>93</v>
      </c>
      <c r="AA146" s="8" t="s">
        <v>3685</v>
      </c>
      <c r="AB146" s="8" t="s">
        <v>342</v>
      </c>
      <c r="AC146" s="8" t="s">
        <v>662</v>
      </c>
      <c r="AD146" s="8" t="s">
        <v>156</v>
      </c>
      <c r="AE146" s="8" t="s">
        <v>153</v>
      </c>
      <c r="AF146" s="8" t="s">
        <v>2533</v>
      </c>
      <c r="AG146" s="8" t="s">
        <v>3686</v>
      </c>
      <c r="AH146" s="8">
        <v>5</v>
      </c>
      <c r="AI146" s="8" t="s">
        <v>237</v>
      </c>
      <c r="AJ146" s="8" t="s">
        <v>3687</v>
      </c>
      <c r="AK146" s="8" t="s">
        <v>156</v>
      </c>
      <c r="AL146" s="8"/>
      <c r="AM146" s="8" t="s">
        <v>75</v>
      </c>
      <c r="AN146" s="8">
        <v>1012500</v>
      </c>
      <c r="AO146" s="11">
        <v>20250</v>
      </c>
      <c r="AP146" s="8"/>
      <c r="AQ146" s="8"/>
      <c r="AR146" s="8"/>
      <c r="AS146" s="18" t="s">
        <v>6698</v>
      </c>
      <c r="AT146" s="18" t="s">
        <v>6942</v>
      </c>
      <c r="AU146" s="19">
        <v>22950</v>
      </c>
      <c r="AV146" s="20">
        <v>-2700</v>
      </c>
      <c r="AW146" s="18" t="s">
        <v>6555</v>
      </c>
      <c r="AX146" s="19">
        <v>-2700</v>
      </c>
      <c r="AY146" s="20">
        <v>0</v>
      </c>
    </row>
    <row r="147" spans="1:51" x14ac:dyDescent="0.25">
      <c r="A147" s="5">
        <v>145</v>
      </c>
      <c r="B147" s="6" t="s">
        <v>1305</v>
      </c>
      <c r="C147" s="6" t="s">
        <v>3688</v>
      </c>
      <c r="D147" s="6" t="s">
        <v>77</v>
      </c>
      <c r="E147" s="6" t="s">
        <v>47</v>
      </c>
      <c r="F147" s="6" t="s">
        <v>48</v>
      </c>
      <c r="G147" s="6" t="s">
        <v>3689</v>
      </c>
      <c r="H147" s="6" t="s">
        <v>3690</v>
      </c>
      <c r="I147" s="6" t="s">
        <v>3691</v>
      </c>
      <c r="J147" s="6">
        <v>1.75</v>
      </c>
      <c r="K147" s="6">
        <v>25.7</v>
      </c>
      <c r="L147" s="6" t="s">
        <v>3692</v>
      </c>
      <c r="M147" s="6" t="s">
        <v>3693</v>
      </c>
      <c r="N147" s="6" t="s">
        <v>187</v>
      </c>
      <c r="O147" s="6" t="s">
        <v>3694</v>
      </c>
      <c r="P147" s="6" t="s">
        <v>3695</v>
      </c>
      <c r="Q147" s="6" t="s">
        <v>3695</v>
      </c>
      <c r="R147" s="6" t="s">
        <v>3695</v>
      </c>
      <c r="S147" s="6" t="s">
        <v>3696</v>
      </c>
      <c r="T147" s="6">
        <v>2957420</v>
      </c>
      <c r="U147" s="6">
        <v>5099000</v>
      </c>
      <c r="V147" s="6" t="s">
        <v>3697</v>
      </c>
      <c r="W147" s="6" t="s">
        <v>3698</v>
      </c>
      <c r="X147" s="6" t="s">
        <v>3699</v>
      </c>
      <c r="Y147" s="6" t="s">
        <v>3700</v>
      </c>
      <c r="Z147" s="6" t="s">
        <v>64</v>
      </c>
      <c r="AA147" s="6" t="s">
        <v>65</v>
      </c>
      <c r="AB147" s="6" t="s">
        <v>3701</v>
      </c>
      <c r="AC147" s="6" t="s">
        <v>531</v>
      </c>
      <c r="AD147" s="6" t="s">
        <v>97</v>
      </c>
      <c r="AE147" s="6" t="s">
        <v>98</v>
      </c>
      <c r="AF147" s="6" t="s">
        <v>2533</v>
      </c>
      <c r="AG147" s="6" t="s">
        <v>3702</v>
      </c>
      <c r="AH147" s="6">
        <v>3</v>
      </c>
      <c r="AI147" s="6" t="s">
        <v>100</v>
      </c>
      <c r="AJ147" s="6" t="s">
        <v>3703</v>
      </c>
      <c r="AK147" s="6" t="s">
        <v>97</v>
      </c>
      <c r="AL147" s="6"/>
      <c r="AM147" s="6" t="s">
        <v>102</v>
      </c>
      <c r="AN147" s="6">
        <v>4334150</v>
      </c>
      <c r="AO147" s="10">
        <v>75847.625</v>
      </c>
      <c r="AP147" s="6"/>
      <c r="AQ147" s="6"/>
      <c r="AR147" s="6"/>
      <c r="AS147" s="18" t="s">
        <v>6699</v>
      </c>
      <c r="AT147" s="18"/>
      <c r="AU147" s="19">
        <v>75848</v>
      </c>
      <c r="AV147" s="20">
        <v>-0.375</v>
      </c>
      <c r="AW147" s="18" t="s">
        <v>6555</v>
      </c>
      <c r="AX147" s="18"/>
      <c r="AY147" s="18"/>
    </row>
    <row r="148" spans="1:51" x14ac:dyDescent="0.25">
      <c r="A148" s="7">
        <v>146</v>
      </c>
      <c r="B148" s="8" t="s">
        <v>1305</v>
      </c>
      <c r="C148" s="8" t="s">
        <v>3704</v>
      </c>
      <c r="D148" s="8" t="s">
        <v>46</v>
      </c>
      <c r="E148" s="8" t="s">
        <v>47</v>
      </c>
      <c r="F148" s="8" t="s">
        <v>48</v>
      </c>
      <c r="G148" s="8" t="s">
        <v>477</v>
      </c>
      <c r="H148" s="8" t="s">
        <v>3705</v>
      </c>
      <c r="I148" s="8" t="s">
        <v>3706</v>
      </c>
      <c r="J148" s="8">
        <v>2</v>
      </c>
      <c r="K148" s="8">
        <v>25.84</v>
      </c>
      <c r="L148" s="8" t="s">
        <v>3707</v>
      </c>
      <c r="M148" s="8" t="s">
        <v>3708</v>
      </c>
      <c r="N148" s="8" t="s">
        <v>164</v>
      </c>
      <c r="O148" s="8" t="s">
        <v>3709</v>
      </c>
      <c r="P148" s="8" t="s">
        <v>3710</v>
      </c>
      <c r="Q148" s="8" t="s">
        <v>65</v>
      </c>
      <c r="R148" s="8" t="s">
        <v>3711</v>
      </c>
      <c r="S148" s="8" t="s">
        <v>3712</v>
      </c>
      <c r="T148" s="8">
        <v>1300500</v>
      </c>
      <c r="U148" s="8">
        <v>1530000</v>
      </c>
      <c r="V148" s="8" t="s">
        <v>3713</v>
      </c>
      <c r="W148" s="8" t="s">
        <v>857</v>
      </c>
      <c r="X148" s="8" t="s">
        <v>3714</v>
      </c>
      <c r="Y148" s="8" t="s">
        <v>3715</v>
      </c>
      <c r="Z148" s="8" t="s">
        <v>64</v>
      </c>
      <c r="AA148" s="8" t="s">
        <v>65</v>
      </c>
      <c r="AB148" s="8" t="s">
        <v>661</v>
      </c>
      <c r="AC148" s="8" t="s">
        <v>67</v>
      </c>
      <c r="AD148" s="8" t="s">
        <v>490</v>
      </c>
      <c r="AE148" s="8" t="s">
        <v>604</v>
      </c>
      <c r="AF148" s="8" t="s">
        <v>1430</v>
      </c>
      <c r="AG148" s="8" t="s">
        <v>3716</v>
      </c>
      <c r="AH148" s="8">
        <v>4</v>
      </c>
      <c r="AI148" s="8" t="s">
        <v>237</v>
      </c>
      <c r="AJ148" s="8" t="s">
        <v>3717</v>
      </c>
      <c r="AK148" s="8" t="s">
        <v>472</v>
      </c>
      <c r="AL148" s="8"/>
      <c r="AM148" s="8" t="s">
        <v>75</v>
      </c>
      <c r="AN148" s="8">
        <v>1224000</v>
      </c>
      <c r="AO148" s="11">
        <v>24480</v>
      </c>
      <c r="AP148" s="8"/>
      <c r="AQ148" s="8"/>
      <c r="AR148" s="8"/>
      <c r="AS148" s="18" t="s">
        <v>6700</v>
      </c>
      <c r="AT148" s="18" t="s">
        <v>6943</v>
      </c>
      <c r="AU148" s="19">
        <v>26010</v>
      </c>
      <c r="AV148" s="20">
        <v>-1530</v>
      </c>
      <c r="AW148" s="18" t="s">
        <v>6555</v>
      </c>
      <c r="AX148" s="19">
        <v>-1530</v>
      </c>
      <c r="AY148" s="20">
        <v>0</v>
      </c>
    </row>
    <row r="149" spans="1:51" x14ac:dyDescent="0.25">
      <c r="A149" s="5">
        <v>147</v>
      </c>
      <c r="B149" s="6" t="s">
        <v>1305</v>
      </c>
      <c r="C149" s="6" t="s">
        <v>3718</v>
      </c>
      <c r="D149" s="6" t="s">
        <v>46</v>
      </c>
      <c r="E149" s="6" t="s">
        <v>47</v>
      </c>
      <c r="F149" s="6" t="s">
        <v>48</v>
      </c>
      <c r="G149" s="6" t="s">
        <v>182</v>
      </c>
      <c r="H149" s="6" t="s">
        <v>3719</v>
      </c>
      <c r="I149" s="6" t="s">
        <v>3720</v>
      </c>
      <c r="J149" s="6">
        <v>2</v>
      </c>
      <c r="K149" s="6">
        <v>25.84</v>
      </c>
      <c r="L149" s="6" t="s">
        <v>3721</v>
      </c>
      <c r="M149" s="6" t="s">
        <v>3722</v>
      </c>
      <c r="N149" s="6" t="s">
        <v>164</v>
      </c>
      <c r="O149" s="6" t="s">
        <v>3723</v>
      </c>
      <c r="P149" s="6" t="s">
        <v>3724</v>
      </c>
      <c r="Q149" s="6" t="s">
        <v>65</v>
      </c>
      <c r="R149" s="6" t="s">
        <v>3725</v>
      </c>
      <c r="S149" s="6" t="s">
        <v>3726</v>
      </c>
      <c r="T149" s="6">
        <v>1281000</v>
      </c>
      <c r="U149" s="6">
        <v>1830000</v>
      </c>
      <c r="V149" s="6" t="s">
        <v>3727</v>
      </c>
      <c r="W149" s="6" t="s">
        <v>857</v>
      </c>
      <c r="X149" s="6" t="s">
        <v>3728</v>
      </c>
      <c r="Y149" s="6" t="s">
        <v>3729</v>
      </c>
      <c r="Z149" s="6" t="s">
        <v>64</v>
      </c>
      <c r="AA149" s="6" t="s">
        <v>65</v>
      </c>
      <c r="AB149" s="6" t="s">
        <v>342</v>
      </c>
      <c r="AC149" s="6" t="s">
        <v>67</v>
      </c>
      <c r="AD149" s="6" t="s">
        <v>697</v>
      </c>
      <c r="AE149" s="6" t="s">
        <v>604</v>
      </c>
      <c r="AF149" s="6" t="s">
        <v>974</v>
      </c>
      <c r="AG149" s="6" t="s">
        <v>3730</v>
      </c>
      <c r="AH149" s="6">
        <v>5</v>
      </c>
      <c r="AI149" s="6" t="s">
        <v>237</v>
      </c>
      <c r="AJ149" s="6" t="s">
        <v>3731</v>
      </c>
      <c r="AK149" s="6" t="s">
        <v>472</v>
      </c>
      <c r="AL149" s="6"/>
      <c r="AM149" s="6" t="s">
        <v>75</v>
      </c>
      <c r="AN149" s="6">
        <v>1464000</v>
      </c>
      <c r="AO149" s="10">
        <v>29280</v>
      </c>
      <c r="AP149" s="6"/>
      <c r="AQ149" s="6"/>
      <c r="AR149" s="6"/>
      <c r="AS149" s="18" t="s">
        <v>6701</v>
      </c>
      <c r="AT149" s="18"/>
      <c r="AU149" s="19">
        <v>29280</v>
      </c>
      <c r="AV149" s="20">
        <v>0</v>
      </c>
      <c r="AW149" s="18" t="s">
        <v>6555</v>
      </c>
      <c r="AX149" s="18"/>
      <c r="AY149" s="18"/>
    </row>
    <row r="150" spans="1:51" x14ac:dyDescent="0.25">
      <c r="A150" s="7">
        <v>148</v>
      </c>
      <c r="B150" s="8" t="s">
        <v>1305</v>
      </c>
      <c r="C150" s="8" t="s">
        <v>3732</v>
      </c>
      <c r="D150" s="8" t="s">
        <v>277</v>
      </c>
      <c r="E150" s="8" t="s">
        <v>47</v>
      </c>
      <c r="F150" s="8" t="s">
        <v>48</v>
      </c>
      <c r="G150" s="8" t="s">
        <v>1930</v>
      </c>
      <c r="H150" s="8" t="s">
        <v>3733</v>
      </c>
      <c r="I150" s="8" t="s">
        <v>3734</v>
      </c>
      <c r="J150" s="8">
        <v>1.75</v>
      </c>
      <c r="K150" s="8">
        <v>26.7</v>
      </c>
      <c r="L150" s="8" t="s">
        <v>3735</v>
      </c>
      <c r="M150" s="8" t="s">
        <v>3736</v>
      </c>
      <c r="N150" s="8" t="s">
        <v>187</v>
      </c>
      <c r="O150" s="8" t="s">
        <v>3737</v>
      </c>
      <c r="P150" s="8" t="s">
        <v>652</v>
      </c>
      <c r="Q150" s="8" t="s">
        <v>3738</v>
      </c>
      <c r="R150" s="8" t="s">
        <v>3739</v>
      </c>
      <c r="S150" s="8" t="s">
        <v>3740</v>
      </c>
      <c r="T150" s="8">
        <v>1004500</v>
      </c>
      <c r="U150" s="8">
        <v>1435000</v>
      </c>
      <c r="V150" s="8" t="s">
        <v>3741</v>
      </c>
      <c r="W150" s="8" t="s">
        <v>3698</v>
      </c>
      <c r="X150" s="8" t="s">
        <v>3742</v>
      </c>
      <c r="Y150" s="8" t="s">
        <v>3743</v>
      </c>
      <c r="Z150" s="8" t="s">
        <v>93</v>
      </c>
      <c r="AA150" s="8" t="s">
        <v>3744</v>
      </c>
      <c r="AB150" s="8" t="s">
        <v>3745</v>
      </c>
      <c r="AC150" s="8" t="s">
        <v>531</v>
      </c>
      <c r="AD150" s="8" t="s">
        <v>97</v>
      </c>
      <c r="AE150" s="8" t="s">
        <v>98</v>
      </c>
      <c r="AF150" s="8" t="s">
        <v>2698</v>
      </c>
      <c r="AG150" s="8" t="s">
        <v>3746</v>
      </c>
      <c r="AH150" s="8">
        <v>5</v>
      </c>
      <c r="AI150" s="8" t="s">
        <v>100</v>
      </c>
      <c r="AJ150" s="8" t="s">
        <v>3747</v>
      </c>
      <c r="AK150" s="8" t="s">
        <v>61</v>
      </c>
      <c r="AL150" s="8"/>
      <c r="AM150" s="8" t="s">
        <v>102</v>
      </c>
      <c r="AN150" s="8">
        <v>1219750</v>
      </c>
      <c r="AO150" s="11">
        <v>21345.625000000004</v>
      </c>
      <c r="AP150" s="8"/>
      <c r="AQ150" s="8"/>
      <c r="AR150" s="8"/>
      <c r="AS150" s="18" t="s">
        <v>6702</v>
      </c>
      <c r="AT150" s="18" t="s">
        <v>6944</v>
      </c>
      <c r="AU150" s="19">
        <v>18834</v>
      </c>
      <c r="AV150" s="20">
        <v>2511.6250000000036</v>
      </c>
      <c r="AW150" s="18" t="s">
        <v>6555</v>
      </c>
      <c r="AX150" s="19">
        <v>2511</v>
      </c>
      <c r="AY150" s="20">
        <v>0.62500000000363798</v>
      </c>
    </row>
    <row r="151" spans="1:51" x14ac:dyDescent="0.25">
      <c r="A151" s="5">
        <v>149</v>
      </c>
      <c r="B151" s="6" t="s">
        <v>1305</v>
      </c>
      <c r="C151" s="6" t="s">
        <v>3748</v>
      </c>
      <c r="D151" s="6" t="s">
        <v>77</v>
      </c>
      <c r="E151" s="6" t="s">
        <v>47</v>
      </c>
      <c r="F151" s="6" t="s">
        <v>48</v>
      </c>
      <c r="G151" s="6" t="s">
        <v>516</v>
      </c>
      <c r="H151" s="6" t="s">
        <v>3749</v>
      </c>
      <c r="I151" s="6" t="s">
        <v>3750</v>
      </c>
      <c r="J151" s="6">
        <v>1.75</v>
      </c>
      <c r="K151" s="6">
        <v>25.45</v>
      </c>
      <c r="L151" s="6" t="s">
        <v>3751</v>
      </c>
      <c r="M151" s="6" t="s">
        <v>3752</v>
      </c>
      <c r="N151" s="6" t="s">
        <v>187</v>
      </c>
      <c r="O151" s="6" t="s">
        <v>3753</v>
      </c>
      <c r="P151" s="6" t="s">
        <v>65</v>
      </c>
      <c r="Q151" s="6" t="s">
        <v>3754</v>
      </c>
      <c r="R151" s="6" t="s">
        <v>65</v>
      </c>
      <c r="S151" s="6" t="s">
        <v>3755</v>
      </c>
      <c r="T151" s="6">
        <v>1400000</v>
      </c>
      <c r="U151" s="6">
        <v>2000000</v>
      </c>
      <c r="V151" s="6" t="s">
        <v>3756</v>
      </c>
      <c r="W151" s="6" t="s">
        <v>3698</v>
      </c>
      <c r="X151" s="6" t="s">
        <v>3757</v>
      </c>
      <c r="Y151" s="6" t="s">
        <v>3758</v>
      </c>
      <c r="Z151" s="6" t="s">
        <v>93</v>
      </c>
      <c r="AA151" s="6" t="s">
        <v>3759</v>
      </c>
      <c r="AB151" s="6" t="s">
        <v>642</v>
      </c>
      <c r="AC151" s="6" t="s">
        <v>175</v>
      </c>
      <c r="AD151" s="6" t="s">
        <v>97</v>
      </c>
      <c r="AE151" s="6" t="s">
        <v>98</v>
      </c>
      <c r="AF151" s="6" t="s">
        <v>2698</v>
      </c>
      <c r="AG151" s="6" t="s">
        <v>3760</v>
      </c>
      <c r="AH151" s="6">
        <v>5</v>
      </c>
      <c r="AI151" s="6" t="s">
        <v>72</v>
      </c>
      <c r="AJ151" s="6" t="s">
        <v>3761</v>
      </c>
      <c r="AK151" s="6" t="s">
        <v>61</v>
      </c>
      <c r="AL151" s="6"/>
      <c r="AM151" s="6" t="s">
        <v>102</v>
      </c>
      <c r="AN151" s="6">
        <v>1700000</v>
      </c>
      <c r="AO151" s="10">
        <v>29750.000000000004</v>
      </c>
      <c r="AP151" s="6"/>
      <c r="AQ151" s="6"/>
      <c r="AR151" s="6"/>
      <c r="AS151" s="18" t="s">
        <v>6703</v>
      </c>
      <c r="AT151" s="18" t="s">
        <v>6945</v>
      </c>
      <c r="AU151" s="19">
        <v>26250</v>
      </c>
      <c r="AV151" s="20">
        <v>3500.0000000000036</v>
      </c>
      <c r="AW151" s="18" t="s">
        <v>6555</v>
      </c>
      <c r="AX151" s="19">
        <v>3500</v>
      </c>
      <c r="AY151" s="20">
        <v>3.637978807091713E-12</v>
      </c>
    </row>
    <row r="152" spans="1:51" x14ac:dyDescent="0.25">
      <c r="A152" s="7">
        <v>150</v>
      </c>
      <c r="B152" s="8" t="s">
        <v>1305</v>
      </c>
      <c r="C152" s="8" t="s">
        <v>3762</v>
      </c>
      <c r="D152" s="8" t="s">
        <v>77</v>
      </c>
      <c r="E152" s="8" t="s">
        <v>47</v>
      </c>
      <c r="F152" s="8" t="s">
        <v>48</v>
      </c>
      <c r="G152" s="8" t="s">
        <v>2454</v>
      </c>
      <c r="H152" s="8" t="s">
        <v>3763</v>
      </c>
      <c r="I152" s="8" t="s">
        <v>3764</v>
      </c>
      <c r="J152" s="8">
        <v>1.75</v>
      </c>
      <c r="K152" s="8">
        <v>25.2</v>
      </c>
      <c r="L152" s="8" t="s">
        <v>3765</v>
      </c>
      <c r="M152" s="8" t="s">
        <v>3766</v>
      </c>
      <c r="N152" s="8" t="s">
        <v>83</v>
      </c>
      <c r="O152" s="8" t="s">
        <v>3767</v>
      </c>
      <c r="P152" s="8" t="s">
        <v>3768</v>
      </c>
      <c r="Q152" s="8" t="s">
        <v>3768</v>
      </c>
      <c r="R152" s="8" t="s">
        <v>167</v>
      </c>
      <c r="S152" s="8" t="s">
        <v>3769</v>
      </c>
      <c r="T152" s="8">
        <v>1120000</v>
      </c>
      <c r="U152" s="8">
        <v>1600000</v>
      </c>
      <c r="V152" s="8" t="s">
        <v>3770</v>
      </c>
      <c r="W152" s="8" t="s">
        <v>3698</v>
      </c>
      <c r="X152" s="8" t="s">
        <v>3771</v>
      </c>
      <c r="Y152" s="8" t="s">
        <v>3772</v>
      </c>
      <c r="Z152" s="8" t="s">
        <v>93</v>
      </c>
      <c r="AA152" s="8" t="s">
        <v>3773</v>
      </c>
      <c r="AB152" s="8" t="s">
        <v>3774</v>
      </c>
      <c r="AC152" s="8" t="s">
        <v>96</v>
      </c>
      <c r="AD152" s="8" t="s">
        <v>97</v>
      </c>
      <c r="AE152" s="8" t="s">
        <v>98</v>
      </c>
      <c r="AF152" s="8" t="s">
        <v>2533</v>
      </c>
      <c r="AG152" s="8" t="s">
        <v>3775</v>
      </c>
      <c r="AH152" s="8">
        <v>3</v>
      </c>
      <c r="AI152" s="8" t="s">
        <v>100</v>
      </c>
      <c r="AJ152" s="8" t="s">
        <v>3776</v>
      </c>
      <c r="AK152" s="8" t="s">
        <v>61</v>
      </c>
      <c r="AL152" s="8"/>
      <c r="AM152" s="8" t="s">
        <v>102</v>
      </c>
      <c r="AN152" s="8">
        <v>1360000</v>
      </c>
      <c r="AO152" s="11">
        <v>23800.000000000004</v>
      </c>
      <c r="AP152" s="8"/>
      <c r="AQ152" s="8"/>
      <c r="AR152" s="8"/>
      <c r="AS152" s="18" t="s">
        <v>6704</v>
      </c>
      <c r="AT152" s="18"/>
      <c r="AU152" s="19">
        <v>23800</v>
      </c>
      <c r="AV152" s="20">
        <v>0</v>
      </c>
      <c r="AW152" s="18" t="s">
        <v>6555</v>
      </c>
      <c r="AX152" s="18"/>
      <c r="AY152" s="18"/>
    </row>
    <row r="153" spans="1:51" x14ac:dyDescent="0.25">
      <c r="A153" s="5">
        <v>151</v>
      </c>
      <c r="B153" s="6" t="s">
        <v>1305</v>
      </c>
      <c r="C153" s="6" t="s">
        <v>3777</v>
      </c>
      <c r="D153" s="6" t="s">
        <v>77</v>
      </c>
      <c r="E153" s="6" t="s">
        <v>47</v>
      </c>
      <c r="F153" s="6" t="s">
        <v>48</v>
      </c>
      <c r="G153" s="6" t="s">
        <v>3778</v>
      </c>
      <c r="H153" s="6" t="s">
        <v>3779</v>
      </c>
      <c r="I153" s="6" t="s">
        <v>3780</v>
      </c>
      <c r="J153" s="6">
        <v>1.5</v>
      </c>
      <c r="K153" s="6">
        <v>24.7</v>
      </c>
      <c r="L153" s="6" t="s">
        <v>3781</v>
      </c>
      <c r="M153" s="6" t="s">
        <v>3782</v>
      </c>
      <c r="N153" s="6" t="s">
        <v>187</v>
      </c>
      <c r="O153" s="6" t="s">
        <v>3783</v>
      </c>
      <c r="P153" s="6" t="s">
        <v>65</v>
      </c>
      <c r="Q153" s="6" t="s">
        <v>3784</v>
      </c>
      <c r="R153" s="6" t="s">
        <v>65</v>
      </c>
      <c r="S153" s="6" t="s">
        <v>3785</v>
      </c>
      <c r="T153" s="6">
        <v>2959600</v>
      </c>
      <c r="U153" s="6">
        <v>7399000</v>
      </c>
      <c r="V153" s="6" t="s">
        <v>3786</v>
      </c>
      <c r="W153" s="6" t="s">
        <v>3698</v>
      </c>
      <c r="X153" s="6" t="s">
        <v>3787</v>
      </c>
      <c r="Y153" s="6" t="s">
        <v>3788</v>
      </c>
      <c r="Z153" s="6" t="s">
        <v>64</v>
      </c>
      <c r="AA153" s="6" t="s">
        <v>65</v>
      </c>
      <c r="AB153" s="6" t="s">
        <v>3789</v>
      </c>
      <c r="AC153" s="6" t="s">
        <v>531</v>
      </c>
      <c r="AD153" s="6" t="s">
        <v>97</v>
      </c>
      <c r="AE153" s="6" t="s">
        <v>98</v>
      </c>
      <c r="AF153" s="6" t="s">
        <v>2533</v>
      </c>
      <c r="AG153" s="6" t="s">
        <v>3790</v>
      </c>
      <c r="AH153" s="6">
        <v>3</v>
      </c>
      <c r="AI153" s="6" t="s">
        <v>100</v>
      </c>
      <c r="AJ153" s="6" t="s">
        <v>3791</v>
      </c>
      <c r="AK153" s="6" t="s">
        <v>61</v>
      </c>
      <c r="AL153" s="6"/>
      <c r="AM153" s="6" t="s">
        <v>157</v>
      </c>
      <c r="AN153" s="6">
        <v>6289150</v>
      </c>
      <c r="AO153" s="10">
        <v>94337.25</v>
      </c>
      <c r="AP153" s="6"/>
      <c r="AQ153" s="6"/>
      <c r="AR153" s="6"/>
      <c r="AS153" s="18" t="s">
        <v>6705</v>
      </c>
      <c r="AT153" s="18"/>
      <c r="AU153" s="19">
        <v>94337</v>
      </c>
      <c r="AV153" s="20">
        <v>0.25</v>
      </c>
      <c r="AW153" s="18" t="s">
        <v>6555</v>
      </c>
      <c r="AX153" s="18"/>
      <c r="AY153" s="18"/>
    </row>
    <row r="154" spans="1:51" x14ac:dyDescent="0.25">
      <c r="A154" s="7">
        <v>152</v>
      </c>
      <c r="B154" s="8" t="s">
        <v>1305</v>
      </c>
      <c r="C154" s="8" t="s">
        <v>3792</v>
      </c>
      <c r="D154" s="8" t="s">
        <v>46</v>
      </c>
      <c r="E154" s="8" t="s">
        <v>47</v>
      </c>
      <c r="F154" s="8" t="s">
        <v>48</v>
      </c>
      <c r="G154" s="8" t="s">
        <v>3793</v>
      </c>
      <c r="H154" s="8" t="s">
        <v>3794</v>
      </c>
      <c r="I154" s="8" t="s">
        <v>3795</v>
      </c>
      <c r="J154" s="8">
        <v>2</v>
      </c>
      <c r="K154" s="8">
        <v>25.8</v>
      </c>
      <c r="L154" s="8" t="s">
        <v>3796</v>
      </c>
      <c r="M154" s="8" t="s">
        <v>2540</v>
      </c>
      <c r="N154" s="8" t="s">
        <v>54</v>
      </c>
      <c r="O154" s="8" t="s">
        <v>3797</v>
      </c>
      <c r="P154" s="8" t="s">
        <v>3798</v>
      </c>
      <c r="Q154" s="8" t="s">
        <v>3799</v>
      </c>
      <c r="R154" s="8" t="s">
        <v>3798</v>
      </c>
      <c r="S154" s="8" t="s">
        <v>3800</v>
      </c>
      <c r="T154" s="8">
        <v>2379850</v>
      </c>
      <c r="U154" s="8">
        <v>4327000</v>
      </c>
      <c r="V154" s="8" t="s">
        <v>3801</v>
      </c>
      <c r="W154" s="8" t="s">
        <v>857</v>
      </c>
      <c r="X154" s="8" t="s">
        <v>3802</v>
      </c>
      <c r="Y154" s="8" t="s">
        <v>3803</v>
      </c>
      <c r="Z154" s="8" t="s">
        <v>64</v>
      </c>
      <c r="AA154" s="8" t="s">
        <v>65</v>
      </c>
      <c r="AB154" s="8" t="s">
        <v>1368</v>
      </c>
      <c r="AC154" s="8" t="s">
        <v>67</v>
      </c>
      <c r="AD154" s="8" t="s">
        <v>3804</v>
      </c>
      <c r="AE154" s="8" t="s">
        <v>69</v>
      </c>
      <c r="AF154" s="8" t="s">
        <v>1007</v>
      </c>
      <c r="AG154" s="8" t="s">
        <v>3805</v>
      </c>
      <c r="AH154" s="8">
        <v>5</v>
      </c>
      <c r="AI154" s="8" t="s">
        <v>65</v>
      </c>
      <c r="AJ154" s="8" t="s">
        <v>65</v>
      </c>
      <c r="AK154" s="8" t="s">
        <v>65</v>
      </c>
      <c r="AL154" s="8"/>
      <c r="AM154" s="8" t="s">
        <v>75</v>
      </c>
      <c r="AN154" s="8">
        <v>3461600</v>
      </c>
      <c r="AO154" s="11">
        <v>69232</v>
      </c>
      <c r="AP154" s="8"/>
      <c r="AQ154" s="8"/>
      <c r="AR154" s="8"/>
      <c r="AS154" s="18" t="s">
        <v>6706</v>
      </c>
      <c r="AT154" s="18"/>
      <c r="AU154" s="19">
        <v>69232</v>
      </c>
      <c r="AV154" s="20">
        <v>0</v>
      </c>
      <c r="AW154" s="18" t="s">
        <v>6555</v>
      </c>
      <c r="AX154" s="18"/>
      <c r="AY154" s="18"/>
    </row>
    <row r="155" spans="1:51" x14ac:dyDescent="0.25">
      <c r="A155" s="5">
        <v>153</v>
      </c>
      <c r="B155" s="6" t="s">
        <v>1305</v>
      </c>
      <c r="C155" s="6" t="s">
        <v>3806</v>
      </c>
      <c r="D155" s="6" t="s">
        <v>277</v>
      </c>
      <c r="E155" s="6" t="s">
        <v>47</v>
      </c>
      <c r="F155" s="6" t="s">
        <v>48</v>
      </c>
      <c r="G155" s="6" t="s">
        <v>3807</v>
      </c>
      <c r="H155" s="6" t="s">
        <v>3808</v>
      </c>
      <c r="I155" s="6" t="s">
        <v>3809</v>
      </c>
      <c r="J155" s="6">
        <v>2</v>
      </c>
      <c r="K155" s="6">
        <v>25.84</v>
      </c>
      <c r="L155" s="6" t="s">
        <v>3810</v>
      </c>
      <c r="M155" s="6" t="s">
        <v>3811</v>
      </c>
      <c r="N155" s="6" t="s">
        <v>83</v>
      </c>
      <c r="O155" s="6" t="s">
        <v>3812</v>
      </c>
      <c r="P155" s="6" t="s">
        <v>3813</v>
      </c>
      <c r="Q155" s="6" t="s">
        <v>3814</v>
      </c>
      <c r="R155" s="6" t="s">
        <v>167</v>
      </c>
      <c r="S155" s="6" t="s">
        <v>3815</v>
      </c>
      <c r="T155" s="6">
        <v>2912000</v>
      </c>
      <c r="U155" s="6">
        <v>4480000</v>
      </c>
      <c r="V155" s="6" t="s">
        <v>3816</v>
      </c>
      <c r="W155" s="6" t="s">
        <v>857</v>
      </c>
      <c r="X155" s="6" t="s">
        <v>3817</v>
      </c>
      <c r="Y155" s="6" t="s">
        <v>3818</v>
      </c>
      <c r="Z155" s="6" t="s">
        <v>64</v>
      </c>
      <c r="AA155" s="6" t="s">
        <v>65</v>
      </c>
      <c r="AB155" s="6" t="s">
        <v>234</v>
      </c>
      <c r="AC155" s="6" t="s">
        <v>67</v>
      </c>
      <c r="AD155" s="6" t="s">
        <v>781</v>
      </c>
      <c r="AE155" s="6" t="s">
        <v>604</v>
      </c>
      <c r="AF155" s="6" t="s">
        <v>974</v>
      </c>
      <c r="AG155" s="6" t="s">
        <v>3819</v>
      </c>
      <c r="AH155" s="6">
        <v>5</v>
      </c>
      <c r="AI155" s="6" t="s">
        <v>237</v>
      </c>
      <c r="AJ155" s="6" t="s">
        <v>3820</v>
      </c>
      <c r="AK155" s="6" t="s">
        <v>472</v>
      </c>
      <c r="AL155" s="6"/>
      <c r="AM155" s="6" t="s">
        <v>75</v>
      </c>
      <c r="AN155" s="6">
        <v>3584000</v>
      </c>
      <c r="AO155" s="10">
        <v>71680</v>
      </c>
      <c r="AP155" s="6"/>
      <c r="AQ155" s="6"/>
      <c r="AR155" s="6"/>
      <c r="AS155" s="18" t="s">
        <v>6707</v>
      </c>
      <c r="AT155" s="18"/>
      <c r="AU155" s="19">
        <v>71680</v>
      </c>
      <c r="AV155" s="20">
        <v>0</v>
      </c>
      <c r="AW155" s="18" t="s">
        <v>6555</v>
      </c>
      <c r="AX155" s="18"/>
      <c r="AY155" s="18"/>
    </row>
    <row r="156" spans="1:51" x14ac:dyDescent="0.25">
      <c r="A156" s="7">
        <v>154</v>
      </c>
      <c r="B156" s="8" t="s">
        <v>1305</v>
      </c>
      <c r="C156" s="8" t="s">
        <v>3821</v>
      </c>
      <c r="D156" s="8" t="s">
        <v>241</v>
      </c>
      <c r="E156" s="8" t="s">
        <v>47</v>
      </c>
      <c r="F156" s="8" t="s">
        <v>48</v>
      </c>
      <c r="G156" s="8" t="s">
        <v>573</v>
      </c>
      <c r="H156" s="8" t="s">
        <v>3822</v>
      </c>
      <c r="I156" s="8" t="s">
        <v>3823</v>
      </c>
      <c r="J156" s="8">
        <v>1.75</v>
      </c>
      <c r="K156" s="8">
        <v>26.19</v>
      </c>
      <c r="L156" s="8" t="s">
        <v>3824</v>
      </c>
      <c r="M156" s="8" t="s">
        <v>3825</v>
      </c>
      <c r="N156" s="8" t="s">
        <v>187</v>
      </c>
      <c r="O156" s="8" t="s">
        <v>3826</v>
      </c>
      <c r="P156" s="8" t="s">
        <v>3827</v>
      </c>
      <c r="Q156" s="8" t="s">
        <v>3827</v>
      </c>
      <c r="R156" s="8" t="s">
        <v>3828</v>
      </c>
      <c r="S156" s="8" t="s">
        <v>3829</v>
      </c>
      <c r="T156" s="8">
        <v>4113750</v>
      </c>
      <c r="U156" s="8">
        <v>5485000</v>
      </c>
      <c r="V156" s="8" t="s">
        <v>3830</v>
      </c>
      <c r="W156" s="8" t="s">
        <v>857</v>
      </c>
      <c r="X156" s="8" t="s">
        <v>3831</v>
      </c>
      <c r="Y156" s="8" t="s">
        <v>3832</v>
      </c>
      <c r="Z156" s="8" t="s">
        <v>64</v>
      </c>
      <c r="AA156" s="8" t="s">
        <v>65</v>
      </c>
      <c r="AB156" s="8" t="s">
        <v>586</v>
      </c>
      <c r="AC156" s="8" t="s">
        <v>67</v>
      </c>
      <c r="AD156" s="8" t="s">
        <v>3833</v>
      </c>
      <c r="AE156" s="8" t="s">
        <v>69</v>
      </c>
      <c r="AF156" s="8" t="s">
        <v>2533</v>
      </c>
      <c r="AG156" s="8" t="s">
        <v>3834</v>
      </c>
      <c r="AH156" s="8">
        <v>4</v>
      </c>
      <c r="AI156" s="8" t="s">
        <v>237</v>
      </c>
      <c r="AJ156" s="8" t="s">
        <v>3835</v>
      </c>
      <c r="AK156" s="8" t="s">
        <v>781</v>
      </c>
      <c r="AL156" s="8"/>
      <c r="AM156" s="8" t="s">
        <v>102</v>
      </c>
      <c r="AN156" s="8">
        <v>4388000</v>
      </c>
      <c r="AO156" s="11">
        <v>76790.000000000015</v>
      </c>
      <c r="AP156" s="8"/>
      <c r="AQ156" s="8"/>
      <c r="AR156" s="8"/>
      <c r="AS156" s="18" t="s">
        <v>6708</v>
      </c>
      <c r="AT156" s="18" t="s">
        <v>6946</v>
      </c>
      <c r="AU156" s="19">
        <v>81589</v>
      </c>
      <c r="AV156" s="20">
        <v>-4798.9999999999854</v>
      </c>
      <c r="AW156" s="18" t="s">
        <v>6555</v>
      </c>
      <c r="AX156" s="19">
        <v>-4799</v>
      </c>
      <c r="AY156" s="20">
        <v>1.4551915228366852E-11</v>
      </c>
    </row>
    <row r="157" spans="1:51" x14ac:dyDescent="0.25">
      <c r="A157" s="5">
        <v>155</v>
      </c>
      <c r="B157" s="6" t="s">
        <v>1305</v>
      </c>
      <c r="C157" s="6" t="s">
        <v>3836</v>
      </c>
      <c r="D157" s="6" t="s">
        <v>241</v>
      </c>
      <c r="E157" s="6" t="s">
        <v>47</v>
      </c>
      <c r="F157" s="6" t="s">
        <v>48</v>
      </c>
      <c r="G157" s="6" t="s">
        <v>182</v>
      </c>
      <c r="H157" s="6" t="s">
        <v>3837</v>
      </c>
      <c r="I157" s="6" t="s">
        <v>3838</v>
      </c>
      <c r="J157" s="6">
        <v>2</v>
      </c>
      <c r="K157" s="6">
        <v>26.34</v>
      </c>
      <c r="L157" s="6" t="s">
        <v>3839</v>
      </c>
      <c r="M157" s="6" t="s">
        <v>3840</v>
      </c>
      <c r="N157" s="6" t="s">
        <v>931</v>
      </c>
      <c r="O157" s="6" t="s">
        <v>3841</v>
      </c>
      <c r="P157" s="6" t="s">
        <v>3842</v>
      </c>
      <c r="Q157" s="6" t="s">
        <v>3842</v>
      </c>
      <c r="R157" s="6" t="s">
        <v>3842</v>
      </c>
      <c r="S157" s="6" t="s">
        <v>3843</v>
      </c>
      <c r="T157" s="6">
        <v>734300</v>
      </c>
      <c r="U157" s="6">
        <v>1049000</v>
      </c>
      <c r="V157" s="6" t="s">
        <v>3844</v>
      </c>
      <c r="W157" s="6" t="s">
        <v>857</v>
      </c>
      <c r="X157" s="6" t="s">
        <v>3845</v>
      </c>
      <c r="Y157" s="6" t="s">
        <v>3846</v>
      </c>
      <c r="Z157" s="6" t="s">
        <v>64</v>
      </c>
      <c r="AA157" s="6" t="s">
        <v>65</v>
      </c>
      <c r="AB157" s="6" t="s">
        <v>3847</v>
      </c>
      <c r="AC157" s="6" t="s">
        <v>67</v>
      </c>
      <c r="AD157" s="6" t="s">
        <v>196</v>
      </c>
      <c r="AE157" s="6" t="s">
        <v>604</v>
      </c>
      <c r="AF157" s="6" t="s">
        <v>974</v>
      </c>
      <c r="AG157" s="6" t="s">
        <v>3848</v>
      </c>
      <c r="AH157" s="6">
        <v>5</v>
      </c>
      <c r="AI157" s="6" t="s">
        <v>198</v>
      </c>
      <c r="AJ157" s="6" t="s">
        <v>3849</v>
      </c>
      <c r="AK157" s="6" t="s">
        <v>781</v>
      </c>
      <c r="AL157" s="6"/>
      <c r="AM157" s="6" t="s">
        <v>75</v>
      </c>
      <c r="AN157" s="6">
        <v>839200</v>
      </c>
      <c r="AO157" s="10">
        <v>16784</v>
      </c>
      <c r="AP157" s="6"/>
      <c r="AQ157" s="6"/>
      <c r="AR157" s="6"/>
      <c r="AS157" s="18" t="s">
        <v>6709</v>
      </c>
      <c r="AT157" s="18"/>
      <c r="AU157" s="19">
        <v>16784</v>
      </c>
      <c r="AV157" s="20">
        <v>0</v>
      </c>
      <c r="AW157" s="18" t="s">
        <v>6555</v>
      </c>
      <c r="AX157" s="18"/>
      <c r="AY157" s="18"/>
    </row>
    <row r="158" spans="1:51" x14ac:dyDescent="0.25">
      <c r="A158" s="7">
        <v>156</v>
      </c>
      <c r="B158" s="8" t="s">
        <v>1305</v>
      </c>
      <c r="C158" s="8" t="s">
        <v>3850</v>
      </c>
      <c r="D158" s="8" t="s">
        <v>77</v>
      </c>
      <c r="E158" s="8" t="s">
        <v>47</v>
      </c>
      <c r="F158" s="8" t="s">
        <v>48</v>
      </c>
      <c r="G158" s="8" t="s">
        <v>2658</v>
      </c>
      <c r="H158" s="8" t="s">
        <v>3851</v>
      </c>
      <c r="I158" s="8" t="s">
        <v>3852</v>
      </c>
      <c r="J158" s="8">
        <v>1.75</v>
      </c>
      <c r="K158" s="8">
        <v>25.2</v>
      </c>
      <c r="L158" s="8" t="s">
        <v>3853</v>
      </c>
      <c r="M158" s="8" t="s">
        <v>3854</v>
      </c>
      <c r="N158" s="8" t="s">
        <v>187</v>
      </c>
      <c r="O158" s="8" t="s">
        <v>3855</v>
      </c>
      <c r="P158" s="8" t="s">
        <v>3856</v>
      </c>
      <c r="Q158" s="8" t="s">
        <v>3856</v>
      </c>
      <c r="R158" s="8" t="s">
        <v>3856</v>
      </c>
      <c r="S158" s="8" t="s">
        <v>3857</v>
      </c>
      <c r="T158" s="8">
        <v>1085000</v>
      </c>
      <c r="U158" s="8">
        <v>3100000</v>
      </c>
      <c r="V158" s="8" t="s">
        <v>3858</v>
      </c>
      <c r="W158" s="8" t="s">
        <v>3698</v>
      </c>
      <c r="X158" s="8" t="s">
        <v>3859</v>
      </c>
      <c r="Y158" s="8" t="s">
        <v>3860</v>
      </c>
      <c r="Z158" s="8" t="s">
        <v>93</v>
      </c>
      <c r="AA158" s="8" t="s">
        <v>3861</v>
      </c>
      <c r="AB158" s="8" t="s">
        <v>3862</v>
      </c>
      <c r="AC158" s="8" t="s">
        <v>67</v>
      </c>
      <c r="AD158" s="8" t="s">
        <v>97</v>
      </c>
      <c r="AE158" s="8" t="s">
        <v>98</v>
      </c>
      <c r="AF158" s="8" t="s">
        <v>2533</v>
      </c>
      <c r="AG158" s="8" t="s">
        <v>3863</v>
      </c>
      <c r="AH158" s="8">
        <v>3</v>
      </c>
      <c r="AI158" s="8" t="s">
        <v>100</v>
      </c>
      <c r="AJ158" s="8" t="s">
        <v>3864</v>
      </c>
      <c r="AK158" s="8" t="s">
        <v>61</v>
      </c>
      <c r="AL158" s="8"/>
      <c r="AM158" s="8" t="s">
        <v>102</v>
      </c>
      <c r="AN158" s="8">
        <v>2635000</v>
      </c>
      <c r="AO158" s="11">
        <v>46112.500000000007</v>
      </c>
      <c r="AP158" s="8"/>
      <c r="AQ158" s="8"/>
      <c r="AR158" s="8"/>
      <c r="AS158" s="18" t="s">
        <v>6710</v>
      </c>
      <c r="AT158" s="18"/>
      <c r="AU158" s="19">
        <v>46113</v>
      </c>
      <c r="AV158" s="20">
        <v>-0.49999999999272404</v>
      </c>
      <c r="AW158" s="18" t="s">
        <v>6555</v>
      </c>
      <c r="AX158" s="18"/>
      <c r="AY158" s="18"/>
    </row>
    <row r="159" spans="1:51" x14ac:dyDescent="0.25">
      <c r="A159" s="5">
        <v>157</v>
      </c>
      <c r="B159" s="6" t="s">
        <v>1305</v>
      </c>
      <c r="C159" s="6" t="s">
        <v>3865</v>
      </c>
      <c r="D159" s="6" t="s">
        <v>77</v>
      </c>
      <c r="E159" s="6" t="s">
        <v>47</v>
      </c>
      <c r="F159" s="6" t="s">
        <v>48</v>
      </c>
      <c r="G159" s="6" t="s">
        <v>2487</v>
      </c>
      <c r="H159" s="6" t="s">
        <v>3866</v>
      </c>
      <c r="I159" s="6" t="s">
        <v>3867</v>
      </c>
      <c r="J159" s="6">
        <v>1.75</v>
      </c>
      <c r="K159" s="6">
        <v>25.44</v>
      </c>
      <c r="L159" s="6" t="s">
        <v>3868</v>
      </c>
      <c r="M159" s="6" t="s">
        <v>3869</v>
      </c>
      <c r="N159" s="6" t="s">
        <v>83</v>
      </c>
      <c r="O159" s="6" t="s">
        <v>3870</v>
      </c>
      <c r="P159" s="6" t="s">
        <v>65</v>
      </c>
      <c r="Q159" s="6" t="s">
        <v>3871</v>
      </c>
      <c r="R159" s="6" t="s">
        <v>65</v>
      </c>
      <c r="S159" s="6" t="s">
        <v>3872</v>
      </c>
      <c r="T159" s="6">
        <v>1557500</v>
      </c>
      <c r="U159" s="6">
        <v>2225000</v>
      </c>
      <c r="V159" s="6" t="s">
        <v>3873</v>
      </c>
      <c r="W159" s="6" t="s">
        <v>842</v>
      </c>
      <c r="X159" s="6" t="s">
        <v>3874</v>
      </c>
      <c r="Y159" s="6" t="s">
        <v>3875</v>
      </c>
      <c r="Z159" s="6" t="s">
        <v>93</v>
      </c>
      <c r="AA159" s="6" t="s">
        <v>3876</v>
      </c>
      <c r="AB159" s="6" t="s">
        <v>2369</v>
      </c>
      <c r="AC159" s="6" t="s">
        <v>531</v>
      </c>
      <c r="AD159" s="6" t="s">
        <v>693</v>
      </c>
      <c r="AE159" s="6" t="s">
        <v>453</v>
      </c>
      <c r="AF159" s="6" t="s">
        <v>2370</v>
      </c>
      <c r="AG159" s="6" t="s">
        <v>3877</v>
      </c>
      <c r="AH159" s="6">
        <v>5</v>
      </c>
      <c r="AI159" s="6" t="s">
        <v>100</v>
      </c>
      <c r="AJ159" s="6" t="s">
        <v>3878</v>
      </c>
      <c r="AK159" s="6" t="s">
        <v>774</v>
      </c>
      <c r="AL159" s="6"/>
      <c r="AM159" s="6" t="s">
        <v>102</v>
      </c>
      <c r="AN159" s="6">
        <v>1891250</v>
      </c>
      <c r="AO159" s="10">
        <v>33096.875</v>
      </c>
      <c r="AP159" s="6"/>
      <c r="AQ159" s="6"/>
      <c r="AR159" s="6"/>
      <c r="AS159" s="18" t="s">
        <v>6711</v>
      </c>
      <c r="AT159" s="18" t="s">
        <v>6947</v>
      </c>
      <c r="AU159" s="19">
        <v>29203</v>
      </c>
      <c r="AV159" s="20">
        <v>3893.875</v>
      </c>
      <c r="AW159" s="18" t="s">
        <v>6555</v>
      </c>
      <c r="AX159" s="19">
        <v>3894</v>
      </c>
      <c r="AY159" s="20">
        <v>-0.125</v>
      </c>
    </row>
    <row r="160" spans="1:51" x14ac:dyDescent="0.25">
      <c r="A160" s="7">
        <v>158</v>
      </c>
      <c r="B160" s="8" t="s">
        <v>1305</v>
      </c>
      <c r="C160" s="8" t="s">
        <v>3879</v>
      </c>
      <c r="D160" s="8" t="s">
        <v>241</v>
      </c>
      <c r="E160" s="8" t="s">
        <v>47</v>
      </c>
      <c r="F160" s="8" t="s">
        <v>48</v>
      </c>
      <c r="G160" s="8" t="s">
        <v>182</v>
      </c>
      <c r="H160" s="8" t="s">
        <v>3880</v>
      </c>
      <c r="I160" s="8" t="s">
        <v>3881</v>
      </c>
      <c r="J160" s="8">
        <v>2</v>
      </c>
      <c r="K160" s="8">
        <v>26.94</v>
      </c>
      <c r="L160" s="8" t="s">
        <v>3882</v>
      </c>
      <c r="M160" s="8" t="s">
        <v>3883</v>
      </c>
      <c r="N160" s="8" t="s">
        <v>164</v>
      </c>
      <c r="O160" s="8" t="s">
        <v>3884</v>
      </c>
      <c r="P160" s="8" t="s">
        <v>3885</v>
      </c>
      <c r="Q160" s="8" t="s">
        <v>65</v>
      </c>
      <c r="R160" s="8" t="s">
        <v>167</v>
      </c>
      <c r="S160" s="8" t="s">
        <v>3886</v>
      </c>
      <c r="T160" s="8">
        <v>773000</v>
      </c>
      <c r="U160" s="8">
        <v>1546000</v>
      </c>
      <c r="V160" s="8" t="s">
        <v>3887</v>
      </c>
      <c r="W160" s="8" t="s">
        <v>842</v>
      </c>
      <c r="X160" s="8" t="s">
        <v>3888</v>
      </c>
      <c r="Y160" s="8" t="s">
        <v>3889</v>
      </c>
      <c r="Z160" s="8" t="s">
        <v>64</v>
      </c>
      <c r="AA160" s="8" t="s">
        <v>65</v>
      </c>
      <c r="AB160" s="8" t="s">
        <v>3890</v>
      </c>
      <c r="AC160" s="8" t="s">
        <v>531</v>
      </c>
      <c r="AD160" s="8" t="s">
        <v>1697</v>
      </c>
      <c r="AE160" s="8" t="s">
        <v>453</v>
      </c>
      <c r="AF160" s="8" t="s">
        <v>2370</v>
      </c>
      <c r="AG160" s="8" t="s">
        <v>3891</v>
      </c>
      <c r="AH160" s="8">
        <v>5</v>
      </c>
      <c r="AI160" s="8" t="s">
        <v>237</v>
      </c>
      <c r="AJ160" s="8" t="s">
        <v>3892</v>
      </c>
      <c r="AK160" s="8" t="s">
        <v>756</v>
      </c>
      <c r="AL160" s="8"/>
      <c r="AM160" s="8" t="s">
        <v>75</v>
      </c>
      <c r="AN160" s="8">
        <v>1314100</v>
      </c>
      <c r="AO160" s="11">
        <v>26282</v>
      </c>
      <c r="AP160" s="8"/>
      <c r="AQ160" s="8"/>
      <c r="AR160" s="8"/>
      <c r="AS160" s="18" t="s">
        <v>6712</v>
      </c>
      <c r="AT160" s="18" t="s">
        <v>6948</v>
      </c>
      <c r="AU160" s="19">
        <v>23190</v>
      </c>
      <c r="AV160" s="20">
        <v>3092</v>
      </c>
      <c r="AW160" s="18" t="s">
        <v>6555</v>
      </c>
      <c r="AX160" s="19">
        <v>3092</v>
      </c>
      <c r="AY160" s="20">
        <v>0</v>
      </c>
    </row>
    <row r="161" spans="1:51" x14ac:dyDescent="0.25">
      <c r="A161" s="5">
        <v>159</v>
      </c>
      <c r="B161" s="6" t="s">
        <v>1305</v>
      </c>
      <c r="C161" s="6" t="s">
        <v>3893</v>
      </c>
      <c r="D161" s="6" t="s">
        <v>46</v>
      </c>
      <c r="E161" s="6" t="s">
        <v>47</v>
      </c>
      <c r="F161" s="6" t="s">
        <v>48</v>
      </c>
      <c r="G161" s="6" t="s">
        <v>2918</v>
      </c>
      <c r="H161" s="6" t="s">
        <v>3894</v>
      </c>
      <c r="I161" s="6" t="s">
        <v>3895</v>
      </c>
      <c r="J161" s="6">
        <v>2</v>
      </c>
      <c r="K161" s="6">
        <v>26.69</v>
      </c>
      <c r="L161" s="6" t="s">
        <v>3896</v>
      </c>
      <c r="M161" s="6" t="s">
        <v>3897</v>
      </c>
      <c r="N161" s="6" t="s">
        <v>187</v>
      </c>
      <c r="O161" s="6" t="s">
        <v>3898</v>
      </c>
      <c r="P161" s="6" t="s">
        <v>3899</v>
      </c>
      <c r="Q161" s="6" t="s">
        <v>3899</v>
      </c>
      <c r="R161" s="6" t="s">
        <v>3899</v>
      </c>
      <c r="S161" s="6" t="s">
        <v>3900</v>
      </c>
      <c r="T161" s="6">
        <v>1768000</v>
      </c>
      <c r="U161" s="6">
        <v>2600000</v>
      </c>
      <c r="V161" s="6" t="s">
        <v>3901</v>
      </c>
      <c r="W161" s="6" t="s">
        <v>842</v>
      </c>
      <c r="X161" s="6" t="s">
        <v>3902</v>
      </c>
      <c r="Y161" s="6" t="s">
        <v>3903</v>
      </c>
      <c r="Z161" s="6" t="s">
        <v>64</v>
      </c>
      <c r="AA161" s="6" t="s">
        <v>65</v>
      </c>
      <c r="AB161" s="6" t="s">
        <v>3904</v>
      </c>
      <c r="AC161" s="6" t="s">
        <v>531</v>
      </c>
      <c r="AD161" s="6" t="s">
        <v>3905</v>
      </c>
      <c r="AE161" s="6" t="s">
        <v>453</v>
      </c>
      <c r="AF161" s="6" t="s">
        <v>2370</v>
      </c>
      <c r="AG161" s="6" t="s">
        <v>3906</v>
      </c>
      <c r="AH161" s="6">
        <v>5</v>
      </c>
      <c r="AI161" s="6" t="s">
        <v>72</v>
      </c>
      <c r="AJ161" s="6" t="s">
        <v>3907</v>
      </c>
      <c r="AK161" s="6" t="s">
        <v>756</v>
      </c>
      <c r="AL161" s="6"/>
      <c r="AM161" s="6" t="s">
        <v>75</v>
      </c>
      <c r="AN161" s="6">
        <v>2210000</v>
      </c>
      <c r="AO161" s="10">
        <v>44200</v>
      </c>
      <c r="AP161" s="6"/>
      <c r="AQ161" s="6"/>
      <c r="AR161" s="6"/>
      <c r="AS161" s="18" t="s">
        <v>6713</v>
      </c>
      <c r="AT161" s="18" t="s">
        <v>6949</v>
      </c>
      <c r="AU161" s="19">
        <v>39000</v>
      </c>
      <c r="AV161" s="20">
        <v>5200</v>
      </c>
      <c r="AW161" s="18" t="s">
        <v>6555</v>
      </c>
      <c r="AX161" s="19">
        <v>5200</v>
      </c>
      <c r="AY161" s="20">
        <v>0</v>
      </c>
    </row>
    <row r="162" spans="1:51" x14ac:dyDescent="0.25">
      <c r="A162" s="7">
        <v>160</v>
      </c>
      <c r="B162" s="8" t="s">
        <v>1305</v>
      </c>
      <c r="C162" s="8" t="s">
        <v>3908</v>
      </c>
      <c r="D162" s="8" t="s">
        <v>241</v>
      </c>
      <c r="E162" s="8" t="s">
        <v>47</v>
      </c>
      <c r="F162" s="8" t="s">
        <v>48</v>
      </c>
      <c r="G162" s="8" t="s">
        <v>182</v>
      </c>
      <c r="H162" s="8" t="s">
        <v>3909</v>
      </c>
      <c r="I162" s="8" t="s">
        <v>3910</v>
      </c>
      <c r="J162" s="8">
        <v>2</v>
      </c>
      <c r="K162" s="8">
        <v>26.94</v>
      </c>
      <c r="L162" s="8" t="s">
        <v>3911</v>
      </c>
      <c r="M162" s="8" t="s">
        <v>3912</v>
      </c>
      <c r="N162" s="8" t="s">
        <v>265</v>
      </c>
      <c r="O162" s="8" t="s">
        <v>3913</v>
      </c>
      <c r="P162" s="8" t="s">
        <v>65</v>
      </c>
      <c r="Q162" s="8" t="s">
        <v>3914</v>
      </c>
      <c r="R162" s="8" t="s">
        <v>65</v>
      </c>
      <c r="S162" s="8" t="s">
        <v>3915</v>
      </c>
      <c r="T162" s="8">
        <v>1066740</v>
      </c>
      <c r="U162" s="8">
        <v>1546000</v>
      </c>
      <c r="V162" s="8" t="s">
        <v>3916</v>
      </c>
      <c r="W162" s="8" t="s">
        <v>842</v>
      </c>
      <c r="X162" s="8" t="s">
        <v>3917</v>
      </c>
      <c r="Y162" s="8" t="s">
        <v>3918</v>
      </c>
      <c r="Z162" s="8" t="s">
        <v>64</v>
      </c>
      <c r="AA162" s="8" t="s">
        <v>65</v>
      </c>
      <c r="AB162" s="8" t="s">
        <v>777</v>
      </c>
      <c r="AC162" s="8" t="s">
        <v>531</v>
      </c>
      <c r="AD162" s="8" t="s">
        <v>3919</v>
      </c>
      <c r="AE162" s="8" t="s">
        <v>453</v>
      </c>
      <c r="AF162" s="8" t="s">
        <v>2638</v>
      </c>
      <c r="AG162" s="8" t="s">
        <v>3920</v>
      </c>
      <c r="AH162" s="8">
        <v>6</v>
      </c>
      <c r="AI162" s="8" t="s">
        <v>237</v>
      </c>
      <c r="AJ162" s="8" t="s">
        <v>3921</v>
      </c>
      <c r="AK162" s="8" t="s">
        <v>756</v>
      </c>
      <c r="AL162" s="8"/>
      <c r="AM162" s="8" t="s">
        <v>75</v>
      </c>
      <c r="AN162" s="8">
        <v>1314100</v>
      </c>
      <c r="AO162" s="11">
        <v>26282</v>
      </c>
      <c r="AP162" s="8"/>
      <c r="AQ162" s="8"/>
      <c r="AR162" s="8"/>
      <c r="AS162" s="18" t="s">
        <v>6714</v>
      </c>
      <c r="AT162" s="18" t="s">
        <v>6950</v>
      </c>
      <c r="AU162" s="19">
        <v>24736</v>
      </c>
      <c r="AV162" s="20">
        <v>1546</v>
      </c>
      <c r="AW162" s="18" t="s">
        <v>6555</v>
      </c>
      <c r="AX162" s="19">
        <v>1546</v>
      </c>
      <c r="AY162" s="20">
        <v>0</v>
      </c>
    </row>
    <row r="163" spans="1:51" x14ac:dyDescent="0.25">
      <c r="A163" s="5">
        <v>161</v>
      </c>
      <c r="B163" s="6" t="s">
        <v>1305</v>
      </c>
      <c r="C163" s="6" t="s">
        <v>3922</v>
      </c>
      <c r="D163" s="6" t="s">
        <v>46</v>
      </c>
      <c r="E163" s="6" t="s">
        <v>47</v>
      </c>
      <c r="F163" s="6" t="s">
        <v>48</v>
      </c>
      <c r="G163" s="6" t="s">
        <v>3923</v>
      </c>
      <c r="H163" s="6" t="s">
        <v>3924</v>
      </c>
      <c r="I163" s="6" t="s">
        <v>3925</v>
      </c>
      <c r="J163" s="6">
        <v>1.75</v>
      </c>
      <c r="K163" s="6">
        <v>25.69</v>
      </c>
      <c r="L163" s="6" t="s">
        <v>3926</v>
      </c>
      <c r="M163" s="6" t="s">
        <v>750</v>
      </c>
      <c r="N163" s="6" t="s">
        <v>54</v>
      </c>
      <c r="O163" s="6" t="s">
        <v>3927</v>
      </c>
      <c r="P163" s="6" t="s">
        <v>3928</v>
      </c>
      <c r="Q163" s="6" t="s">
        <v>3929</v>
      </c>
      <c r="R163" s="6" t="s">
        <v>3930</v>
      </c>
      <c r="S163" s="6" t="s">
        <v>3931</v>
      </c>
      <c r="T163" s="6">
        <v>5972850</v>
      </c>
      <c r="U163" s="6">
        <v>9189000</v>
      </c>
      <c r="V163" s="6" t="s">
        <v>3932</v>
      </c>
      <c r="W163" s="6" t="s">
        <v>211</v>
      </c>
      <c r="X163" s="6" t="s">
        <v>3933</v>
      </c>
      <c r="Y163" s="6" t="s">
        <v>3934</v>
      </c>
      <c r="Z163" s="6" t="s">
        <v>64</v>
      </c>
      <c r="AA163" s="6" t="s">
        <v>65</v>
      </c>
      <c r="AB163" s="6" t="s">
        <v>3935</v>
      </c>
      <c r="AC163" s="6" t="s">
        <v>67</v>
      </c>
      <c r="AD163" s="6" t="s">
        <v>3936</v>
      </c>
      <c r="AE163" s="6" t="s">
        <v>69</v>
      </c>
      <c r="AF163" s="6" t="s">
        <v>2533</v>
      </c>
      <c r="AG163" s="6" t="s">
        <v>3937</v>
      </c>
      <c r="AH163" s="6">
        <v>4</v>
      </c>
      <c r="AI163" s="6" t="s">
        <v>72</v>
      </c>
      <c r="AJ163" s="6" t="s">
        <v>3938</v>
      </c>
      <c r="AK163" s="6" t="s">
        <v>147</v>
      </c>
      <c r="AL163" s="6"/>
      <c r="AM163" s="6" t="s">
        <v>102</v>
      </c>
      <c r="AN163" s="6">
        <v>7351200</v>
      </c>
      <c r="AO163" s="10">
        <v>128646.00000000001</v>
      </c>
      <c r="AP163" s="6"/>
      <c r="AQ163" s="6"/>
      <c r="AR163" s="6"/>
      <c r="AS163" s="18" t="s">
        <v>6715</v>
      </c>
      <c r="AT163" s="18" t="s">
        <v>6951</v>
      </c>
      <c r="AU163" s="19">
        <v>136686</v>
      </c>
      <c r="AV163" s="20">
        <v>-8039.9999999999854</v>
      </c>
      <c r="AW163" s="18" t="s">
        <v>6555</v>
      </c>
      <c r="AX163" s="19">
        <v>-8040</v>
      </c>
      <c r="AY163" s="20">
        <v>1.4551915228366852E-11</v>
      </c>
    </row>
    <row r="164" spans="1:51" x14ac:dyDescent="0.25">
      <c r="A164" s="7">
        <v>162</v>
      </c>
      <c r="B164" s="8" t="s">
        <v>1305</v>
      </c>
      <c r="C164" s="8" t="s">
        <v>3939</v>
      </c>
      <c r="D164" s="8" t="s">
        <v>136</v>
      </c>
      <c r="E164" s="8" t="s">
        <v>47</v>
      </c>
      <c r="F164" s="8" t="s">
        <v>48</v>
      </c>
      <c r="G164" s="8" t="s">
        <v>1274</v>
      </c>
      <c r="H164" s="8" t="s">
        <v>3940</v>
      </c>
      <c r="I164" s="8" t="s">
        <v>3941</v>
      </c>
      <c r="J164" s="8">
        <v>1.5</v>
      </c>
      <c r="K164" s="8">
        <v>27.03</v>
      </c>
      <c r="L164" s="8" t="s">
        <v>3942</v>
      </c>
      <c r="M164" s="8" t="s">
        <v>3943</v>
      </c>
      <c r="N164" s="8" t="s">
        <v>54</v>
      </c>
      <c r="O164" s="8" t="s">
        <v>3944</v>
      </c>
      <c r="P164" s="8" t="s">
        <v>3945</v>
      </c>
      <c r="Q164" s="8" t="s">
        <v>3946</v>
      </c>
      <c r="R164" s="8" t="s">
        <v>3947</v>
      </c>
      <c r="S164" s="8" t="s">
        <v>3948</v>
      </c>
      <c r="T164" s="8">
        <v>3779300</v>
      </c>
      <c r="U164" s="8">
        <v>5399000</v>
      </c>
      <c r="V164" s="8" t="s">
        <v>3949</v>
      </c>
      <c r="W164" s="8" t="s">
        <v>239</v>
      </c>
      <c r="X164" s="8" t="s">
        <v>3950</v>
      </c>
      <c r="Y164" s="8" t="s">
        <v>3951</v>
      </c>
      <c r="Z164" s="8" t="s">
        <v>64</v>
      </c>
      <c r="AA164" s="8" t="s">
        <v>65</v>
      </c>
      <c r="AB164" s="8" t="s">
        <v>456</v>
      </c>
      <c r="AC164" s="8" t="s">
        <v>151</v>
      </c>
      <c r="AD164" s="8" t="s">
        <v>3952</v>
      </c>
      <c r="AE164" s="8" t="s">
        <v>153</v>
      </c>
      <c r="AF164" s="8" t="s">
        <v>2533</v>
      </c>
      <c r="AG164" s="8" t="s">
        <v>3953</v>
      </c>
      <c r="AH164" s="8">
        <v>5</v>
      </c>
      <c r="AI164" s="8" t="s">
        <v>65</v>
      </c>
      <c r="AJ164" s="8" t="s">
        <v>65</v>
      </c>
      <c r="AK164" s="8" t="s">
        <v>65</v>
      </c>
      <c r="AL164" s="8"/>
      <c r="AM164" s="8" t="s">
        <v>157</v>
      </c>
      <c r="AN164" s="8">
        <v>4049250</v>
      </c>
      <c r="AO164" s="11">
        <v>60738.75</v>
      </c>
      <c r="AP164" s="8"/>
      <c r="AQ164" s="8"/>
      <c r="AR164" s="8"/>
      <c r="AS164" s="18" t="s">
        <v>6716</v>
      </c>
      <c r="AT164" s="18" t="s">
        <v>6952</v>
      </c>
      <c r="AU164" s="19">
        <v>68837</v>
      </c>
      <c r="AV164" s="20">
        <v>-8098.25</v>
      </c>
      <c r="AW164" s="18" t="s">
        <v>6555</v>
      </c>
      <c r="AX164" s="19">
        <v>-8099</v>
      </c>
      <c r="AY164" s="20">
        <v>0.75</v>
      </c>
    </row>
    <row r="165" spans="1:51" x14ac:dyDescent="0.25">
      <c r="A165" s="5">
        <v>163</v>
      </c>
      <c r="B165" s="6" t="s">
        <v>1305</v>
      </c>
      <c r="C165" s="6" t="s">
        <v>3954</v>
      </c>
      <c r="D165" s="6" t="s">
        <v>277</v>
      </c>
      <c r="E165" s="6" t="s">
        <v>47</v>
      </c>
      <c r="F165" s="6" t="s">
        <v>48</v>
      </c>
      <c r="G165" s="6" t="s">
        <v>3955</v>
      </c>
      <c r="H165" s="6" t="s">
        <v>3956</v>
      </c>
      <c r="I165" s="6" t="s">
        <v>3957</v>
      </c>
      <c r="J165" s="6">
        <v>2</v>
      </c>
      <c r="K165" s="6">
        <v>25.95</v>
      </c>
      <c r="L165" s="6" t="s">
        <v>3958</v>
      </c>
      <c r="M165" s="6" t="s">
        <v>3959</v>
      </c>
      <c r="N165" s="6" t="s">
        <v>187</v>
      </c>
      <c r="O165" s="6" t="s">
        <v>3960</v>
      </c>
      <c r="P165" s="6" t="s">
        <v>3961</v>
      </c>
      <c r="Q165" s="6" t="s">
        <v>3961</v>
      </c>
      <c r="R165" s="6" t="s">
        <v>3961</v>
      </c>
      <c r="S165" s="6" t="s">
        <v>3962</v>
      </c>
      <c r="T165" s="6">
        <v>1963500</v>
      </c>
      <c r="U165" s="6">
        <v>2805000</v>
      </c>
      <c r="V165" s="6" t="s">
        <v>3963</v>
      </c>
      <c r="W165" s="6" t="s">
        <v>211</v>
      </c>
      <c r="X165" s="6" t="s">
        <v>3964</v>
      </c>
      <c r="Y165" s="6" t="s">
        <v>3965</v>
      </c>
      <c r="Z165" s="6" t="s">
        <v>64</v>
      </c>
      <c r="AA165" s="6" t="s">
        <v>65</v>
      </c>
      <c r="AB165" s="6" t="s">
        <v>2532</v>
      </c>
      <c r="AC165" s="6" t="s">
        <v>67</v>
      </c>
      <c r="AD165" s="6" t="s">
        <v>133</v>
      </c>
      <c r="AE165" s="6" t="s">
        <v>69</v>
      </c>
      <c r="AF165" s="6" t="s">
        <v>1007</v>
      </c>
      <c r="AG165" s="6" t="s">
        <v>3966</v>
      </c>
      <c r="AH165" s="6">
        <v>5</v>
      </c>
      <c r="AI165" s="6" t="s">
        <v>237</v>
      </c>
      <c r="AJ165" s="6" t="s">
        <v>3967</v>
      </c>
      <c r="AK165" s="6" t="s">
        <v>74</v>
      </c>
      <c r="AL165" s="6"/>
      <c r="AM165" s="6" t="s">
        <v>75</v>
      </c>
      <c r="AN165" s="6">
        <v>2244000</v>
      </c>
      <c r="AO165" s="10">
        <v>44880</v>
      </c>
      <c r="AP165" s="6"/>
      <c r="AQ165" s="6"/>
      <c r="AR165" s="6"/>
      <c r="AS165" s="18" t="s">
        <v>6717</v>
      </c>
      <c r="AT165" s="18"/>
      <c r="AU165" s="19">
        <v>44880</v>
      </c>
      <c r="AV165" s="20">
        <v>0</v>
      </c>
      <c r="AW165" s="18" t="s">
        <v>6555</v>
      </c>
      <c r="AX165" s="18"/>
      <c r="AY165" s="18"/>
    </row>
    <row r="166" spans="1:51" x14ac:dyDescent="0.25">
      <c r="A166" s="7">
        <v>164</v>
      </c>
      <c r="B166" s="8" t="s">
        <v>1305</v>
      </c>
      <c r="C166" s="8" t="s">
        <v>3968</v>
      </c>
      <c r="D166" s="8" t="s">
        <v>136</v>
      </c>
      <c r="E166" s="8" t="s">
        <v>47</v>
      </c>
      <c r="F166" s="8" t="s">
        <v>48</v>
      </c>
      <c r="G166" s="8" t="s">
        <v>1668</v>
      </c>
      <c r="H166" s="8" t="s">
        <v>3969</v>
      </c>
      <c r="I166" s="8" t="s">
        <v>3970</v>
      </c>
      <c r="J166" s="8">
        <v>1.5</v>
      </c>
      <c r="K166" s="8">
        <v>26.78</v>
      </c>
      <c r="L166" s="8" t="s">
        <v>3971</v>
      </c>
      <c r="M166" s="8" t="s">
        <v>3972</v>
      </c>
      <c r="N166" s="8" t="s">
        <v>187</v>
      </c>
      <c r="O166" s="8" t="s">
        <v>3973</v>
      </c>
      <c r="P166" s="8" t="s">
        <v>3974</v>
      </c>
      <c r="Q166" s="8" t="s">
        <v>3974</v>
      </c>
      <c r="R166" s="8" t="s">
        <v>3975</v>
      </c>
      <c r="S166" s="8" t="s">
        <v>3976</v>
      </c>
      <c r="T166" s="8">
        <v>1974900</v>
      </c>
      <c r="U166" s="8">
        <v>3405000</v>
      </c>
      <c r="V166" s="8" t="s">
        <v>3977</v>
      </c>
      <c r="W166" s="8" t="s">
        <v>239</v>
      </c>
      <c r="X166" s="8" t="s">
        <v>3978</v>
      </c>
      <c r="Y166" s="8" t="s">
        <v>3979</v>
      </c>
      <c r="Z166" s="8" t="s">
        <v>64</v>
      </c>
      <c r="AA166" s="8" t="s">
        <v>65</v>
      </c>
      <c r="AB166" s="8" t="s">
        <v>3980</v>
      </c>
      <c r="AC166" s="8" t="s">
        <v>151</v>
      </c>
      <c r="AD166" s="8" t="s">
        <v>3981</v>
      </c>
      <c r="AE166" s="8" t="s">
        <v>153</v>
      </c>
      <c r="AF166" s="8" t="s">
        <v>2698</v>
      </c>
      <c r="AG166" s="8" t="s">
        <v>3982</v>
      </c>
      <c r="AH166" s="8">
        <v>7</v>
      </c>
      <c r="AI166" s="8" t="s">
        <v>72</v>
      </c>
      <c r="AJ166" s="8" t="s">
        <v>3983</v>
      </c>
      <c r="AK166" s="8" t="s">
        <v>170</v>
      </c>
      <c r="AL166" s="8"/>
      <c r="AM166" s="8" t="s">
        <v>157</v>
      </c>
      <c r="AN166" s="8">
        <v>2553750</v>
      </c>
      <c r="AO166" s="11">
        <v>38306.25</v>
      </c>
      <c r="AP166" s="8"/>
      <c r="AQ166" s="8"/>
      <c r="AR166" s="8"/>
      <c r="AS166" s="18" t="s">
        <v>6718</v>
      </c>
      <c r="AT166" s="18"/>
      <c r="AU166" s="19">
        <v>38306</v>
      </c>
      <c r="AV166" s="20">
        <v>0.25</v>
      </c>
      <c r="AW166" s="18" t="s">
        <v>6555</v>
      </c>
      <c r="AX166" s="18"/>
      <c r="AY166" s="18"/>
    </row>
    <row r="167" spans="1:51" x14ac:dyDescent="0.25">
      <c r="A167" s="5">
        <v>165</v>
      </c>
      <c r="B167" s="6" t="s">
        <v>1305</v>
      </c>
      <c r="C167" s="6" t="s">
        <v>3984</v>
      </c>
      <c r="D167" s="6" t="s">
        <v>277</v>
      </c>
      <c r="E167" s="6" t="s">
        <v>47</v>
      </c>
      <c r="F167" s="6" t="s">
        <v>48</v>
      </c>
      <c r="G167" s="6" t="s">
        <v>3985</v>
      </c>
      <c r="H167" s="6" t="s">
        <v>3986</v>
      </c>
      <c r="I167" s="6" t="s">
        <v>3987</v>
      </c>
      <c r="J167" s="6">
        <v>1.75</v>
      </c>
      <c r="K167" s="6">
        <v>26.7</v>
      </c>
      <c r="L167" s="6" t="s">
        <v>3988</v>
      </c>
      <c r="M167" s="6" t="s">
        <v>3989</v>
      </c>
      <c r="N167" s="6" t="s">
        <v>187</v>
      </c>
      <c r="O167" s="6" t="s">
        <v>3990</v>
      </c>
      <c r="P167" s="6" t="s">
        <v>3991</v>
      </c>
      <c r="Q167" s="6" t="s">
        <v>3991</v>
      </c>
      <c r="R167" s="6" t="s">
        <v>3991</v>
      </c>
      <c r="S167" s="6" t="s">
        <v>3992</v>
      </c>
      <c r="T167" s="6">
        <v>1794800</v>
      </c>
      <c r="U167" s="6">
        <v>2564000</v>
      </c>
      <c r="V167" s="6" t="s">
        <v>3993</v>
      </c>
      <c r="W167" s="6" t="s">
        <v>437</v>
      </c>
      <c r="X167" s="6" t="s">
        <v>3994</v>
      </c>
      <c r="Y167" s="6" t="s">
        <v>3995</v>
      </c>
      <c r="Z167" s="6" t="s">
        <v>64</v>
      </c>
      <c r="AA167" s="6" t="s">
        <v>65</v>
      </c>
      <c r="AB167" s="6" t="s">
        <v>642</v>
      </c>
      <c r="AC167" s="6" t="s">
        <v>531</v>
      </c>
      <c r="AD167" s="6" t="s">
        <v>97</v>
      </c>
      <c r="AE167" s="6" t="s">
        <v>98</v>
      </c>
      <c r="AF167" s="6" t="s">
        <v>2698</v>
      </c>
      <c r="AG167" s="6" t="s">
        <v>3996</v>
      </c>
      <c r="AH167" s="6">
        <v>5</v>
      </c>
      <c r="AI167" s="6" t="s">
        <v>100</v>
      </c>
      <c r="AJ167" s="6" t="s">
        <v>3997</v>
      </c>
      <c r="AK167" s="6" t="s">
        <v>211</v>
      </c>
      <c r="AL167" s="6"/>
      <c r="AM167" s="6" t="s">
        <v>102</v>
      </c>
      <c r="AN167" s="6">
        <v>2179400</v>
      </c>
      <c r="AO167" s="10">
        <v>38139.5</v>
      </c>
      <c r="AP167" s="6"/>
      <c r="AQ167" s="6"/>
      <c r="AR167" s="6"/>
      <c r="AS167" s="18" t="s">
        <v>6719</v>
      </c>
      <c r="AT167" s="18" t="s">
        <v>6953</v>
      </c>
      <c r="AU167" s="19">
        <v>33653</v>
      </c>
      <c r="AV167" s="20">
        <v>4486.5</v>
      </c>
      <c r="AW167" s="18" t="s">
        <v>6555</v>
      </c>
      <c r="AX167" s="19">
        <v>4487</v>
      </c>
      <c r="AY167" s="20">
        <v>-0.5</v>
      </c>
    </row>
    <row r="168" spans="1:51" x14ac:dyDescent="0.25">
      <c r="A168" s="7">
        <v>166</v>
      </c>
      <c r="B168" s="8" t="s">
        <v>1305</v>
      </c>
      <c r="C168" s="8" t="s">
        <v>3998</v>
      </c>
      <c r="D168" s="8" t="s">
        <v>46</v>
      </c>
      <c r="E168" s="8" t="s">
        <v>47</v>
      </c>
      <c r="F168" s="8" t="s">
        <v>48</v>
      </c>
      <c r="G168" s="8" t="s">
        <v>3999</v>
      </c>
      <c r="H168" s="8" t="s">
        <v>4000</v>
      </c>
      <c r="I168" s="8" t="s">
        <v>4001</v>
      </c>
      <c r="J168" s="8">
        <v>1.4</v>
      </c>
      <c r="K168" s="8">
        <v>22.7</v>
      </c>
      <c r="L168" s="8" t="s">
        <v>4002</v>
      </c>
      <c r="M168" s="8" t="s">
        <v>4003</v>
      </c>
      <c r="N168" s="8" t="s">
        <v>769</v>
      </c>
      <c r="O168" s="8" t="s">
        <v>4004</v>
      </c>
      <c r="P168" s="8" t="s">
        <v>65</v>
      </c>
      <c r="Q168" s="8" t="s">
        <v>4005</v>
      </c>
      <c r="R168" s="8" t="s">
        <v>65</v>
      </c>
      <c r="S168" s="8" t="s">
        <v>4006</v>
      </c>
      <c r="T168" s="8">
        <v>3910000</v>
      </c>
      <c r="U168" s="8">
        <v>5750000</v>
      </c>
      <c r="V168" s="8" t="s">
        <v>4007</v>
      </c>
      <c r="W168" s="8" t="s">
        <v>437</v>
      </c>
      <c r="X168" s="8" t="s">
        <v>4008</v>
      </c>
      <c r="Y168" s="8" t="s">
        <v>4009</v>
      </c>
      <c r="Z168" s="8" t="s">
        <v>434</v>
      </c>
      <c r="AA168" s="8" t="s">
        <v>65</v>
      </c>
      <c r="AB168" s="8" t="s">
        <v>4010</v>
      </c>
      <c r="AC168" s="8" t="s">
        <v>531</v>
      </c>
      <c r="AD168" s="8" t="s">
        <v>4011</v>
      </c>
      <c r="AE168" s="8" t="s">
        <v>98</v>
      </c>
      <c r="AF168" s="8" t="s">
        <v>2533</v>
      </c>
      <c r="AG168" s="8" t="s">
        <v>4012</v>
      </c>
      <c r="AH168" s="8">
        <v>3</v>
      </c>
      <c r="AI168" s="8" t="s">
        <v>237</v>
      </c>
      <c r="AJ168" s="8" t="s">
        <v>4013</v>
      </c>
      <c r="AK168" s="8" t="s">
        <v>211</v>
      </c>
      <c r="AL168" s="8"/>
      <c r="AM168" s="8" t="s">
        <v>441</v>
      </c>
      <c r="AN168" s="8">
        <v>4887500</v>
      </c>
      <c r="AO168" s="11">
        <v>68425</v>
      </c>
      <c r="AP168" s="8"/>
      <c r="AQ168" s="8"/>
      <c r="AR168" s="8"/>
      <c r="AS168" s="18" t="s">
        <v>6720</v>
      </c>
      <c r="AT168" s="18"/>
      <c r="AU168" s="19">
        <v>68425</v>
      </c>
      <c r="AV168" s="20">
        <v>0</v>
      </c>
      <c r="AW168" s="18" t="s">
        <v>6555</v>
      </c>
      <c r="AX168" s="18"/>
      <c r="AY168" s="18"/>
    </row>
    <row r="169" spans="1:51" x14ac:dyDescent="0.25">
      <c r="A169" s="5">
        <v>167</v>
      </c>
      <c r="B169" s="6" t="s">
        <v>1305</v>
      </c>
      <c r="C169" s="6" t="s">
        <v>4014</v>
      </c>
      <c r="D169" s="6" t="s">
        <v>277</v>
      </c>
      <c r="E169" s="6" t="s">
        <v>47</v>
      </c>
      <c r="F169" s="6" t="s">
        <v>48</v>
      </c>
      <c r="G169" s="6" t="s">
        <v>2658</v>
      </c>
      <c r="H169" s="6" t="s">
        <v>4015</v>
      </c>
      <c r="I169" s="6" t="s">
        <v>4016</v>
      </c>
      <c r="J169" s="6">
        <v>1.75</v>
      </c>
      <c r="K169" s="6">
        <v>26.2</v>
      </c>
      <c r="L169" s="6" t="s">
        <v>4017</v>
      </c>
      <c r="M169" s="6" t="s">
        <v>4018</v>
      </c>
      <c r="N169" s="6" t="s">
        <v>187</v>
      </c>
      <c r="O169" s="6" t="s">
        <v>4019</v>
      </c>
      <c r="P169" s="6" t="s">
        <v>4020</v>
      </c>
      <c r="Q169" s="6" t="s">
        <v>4021</v>
      </c>
      <c r="R169" s="6" t="s">
        <v>4021</v>
      </c>
      <c r="S169" s="6" t="s">
        <v>4022</v>
      </c>
      <c r="T169" s="6">
        <v>2372500</v>
      </c>
      <c r="U169" s="6">
        <v>3650000</v>
      </c>
      <c r="V169" s="6" t="s">
        <v>4023</v>
      </c>
      <c r="W169" s="6" t="s">
        <v>4024</v>
      </c>
      <c r="X169" s="6" t="s">
        <v>4025</v>
      </c>
      <c r="Y169" s="6" t="s">
        <v>4026</v>
      </c>
      <c r="Z169" s="6" t="s">
        <v>93</v>
      </c>
      <c r="AA169" s="6" t="s">
        <v>4027</v>
      </c>
      <c r="AB169" s="6" t="s">
        <v>1234</v>
      </c>
      <c r="AC169" s="6" t="s">
        <v>96</v>
      </c>
      <c r="AD169" s="13">
        <v>45203</v>
      </c>
      <c r="AE169" s="6" t="s">
        <v>4028</v>
      </c>
      <c r="AF169" s="6" t="s">
        <v>4029</v>
      </c>
      <c r="AG169" s="6" t="s">
        <v>4030</v>
      </c>
      <c r="AH169" s="6">
        <v>3</v>
      </c>
      <c r="AI169" s="6" t="s">
        <v>237</v>
      </c>
      <c r="AJ169" s="6" t="s">
        <v>4031</v>
      </c>
      <c r="AK169" s="6" t="s">
        <v>2516</v>
      </c>
      <c r="AL169" s="6"/>
      <c r="AM169" s="6" t="s">
        <v>102</v>
      </c>
      <c r="AN169" s="6">
        <v>3285000</v>
      </c>
      <c r="AO169" s="10">
        <v>57487.500000000007</v>
      </c>
      <c r="AP169" s="6"/>
      <c r="AQ169" s="6"/>
      <c r="AR169" s="6"/>
      <c r="AS169" s="18" t="s">
        <v>6721</v>
      </c>
      <c r="AT169" s="18" t="s">
        <v>6954</v>
      </c>
      <c r="AU169" s="19">
        <v>54294</v>
      </c>
      <c r="AV169" s="20">
        <v>3193.5000000000073</v>
      </c>
      <c r="AW169" s="18" t="s">
        <v>6555</v>
      </c>
      <c r="AX169" s="19">
        <v>3194</v>
      </c>
      <c r="AY169" s="20">
        <v>-0.49999999999272404</v>
      </c>
    </row>
    <row r="170" spans="1:51" x14ac:dyDescent="0.25">
      <c r="A170" s="7">
        <v>168</v>
      </c>
      <c r="B170" s="8" t="s">
        <v>1305</v>
      </c>
      <c r="C170" s="8" t="s">
        <v>4032</v>
      </c>
      <c r="D170" s="8" t="s">
        <v>277</v>
      </c>
      <c r="E170" s="8" t="s">
        <v>47</v>
      </c>
      <c r="F170" s="8" t="s">
        <v>48</v>
      </c>
      <c r="G170" s="8" t="s">
        <v>4033</v>
      </c>
      <c r="H170" s="8" t="s">
        <v>4034</v>
      </c>
      <c r="I170" s="8" t="s">
        <v>4035</v>
      </c>
      <c r="J170" s="8">
        <v>2</v>
      </c>
      <c r="K170" s="8">
        <v>26.55</v>
      </c>
      <c r="L170" s="8" t="s">
        <v>4036</v>
      </c>
      <c r="M170" s="8" t="s">
        <v>4037</v>
      </c>
      <c r="N170" s="8" t="s">
        <v>54</v>
      </c>
      <c r="O170" s="8" t="s">
        <v>4038</v>
      </c>
      <c r="P170" s="8" t="s">
        <v>4039</v>
      </c>
      <c r="Q170" s="8" t="s">
        <v>4040</v>
      </c>
      <c r="R170" s="8" t="s">
        <v>4039</v>
      </c>
      <c r="S170" s="8" t="s">
        <v>4041</v>
      </c>
      <c r="T170" s="8">
        <v>994500</v>
      </c>
      <c r="U170" s="8">
        <v>1530000</v>
      </c>
      <c r="V170" s="8" t="s">
        <v>4042</v>
      </c>
      <c r="W170" s="8" t="s">
        <v>231</v>
      </c>
      <c r="X170" s="8" t="s">
        <v>4043</v>
      </c>
      <c r="Y170" s="8" t="s">
        <v>4044</v>
      </c>
      <c r="Z170" s="8" t="s">
        <v>64</v>
      </c>
      <c r="AA170" s="8" t="s">
        <v>65</v>
      </c>
      <c r="AB170" s="8" t="s">
        <v>4045</v>
      </c>
      <c r="AC170" s="8" t="s">
        <v>67</v>
      </c>
      <c r="AD170" s="8" t="s">
        <v>74</v>
      </c>
      <c r="AE170" s="8" t="s">
        <v>69</v>
      </c>
      <c r="AF170" s="8" t="s">
        <v>1007</v>
      </c>
      <c r="AG170" s="8" t="s">
        <v>4046</v>
      </c>
      <c r="AH170" s="8">
        <v>5</v>
      </c>
      <c r="AI170" s="8" t="s">
        <v>237</v>
      </c>
      <c r="AJ170" s="8" t="s">
        <v>4047</v>
      </c>
      <c r="AK170" s="8" t="s">
        <v>239</v>
      </c>
      <c r="AL170" s="8"/>
      <c r="AM170" s="8" t="s">
        <v>75</v>
      </c>
      <c r="AN170" s="8">
        <v>1224000</v>
      </c>
      <c r="AO170" s="11">
        <v>24480</v>
      </c>
      <c r="AP170" s="8"/>
      <c r="AQ170" s="8"/>
      <c r="AR170" s="8"/>
      <c r="AS170" s="18" t="s">
        <v>6722</v>
      </c>
      <c r="AT170" s="18"/>
      <c r="AU170" s="19">
        <v>24480</v>
      </c>
      <c r="AV170" s="20">
        <v>0</v>
      </c>
      <c r="AW170" s="18" t="s">
        <v>6555</v>
      </c>
      <c r="AX170" s="18"/>
      <c r="AY170" s="18"/>
    </row>
    <row r="171" spans="1:51" x14ac:dyDescent="0.25">
      <c r="A171" s="5">
        <v>169</v>
      </c>
      <c r="B171" s="6" t="s">
        <v>1305</v>
      </c>
      <c r="C171" s="6" t="s">
        <v>4048</v>
      </c>
      <c r="D171" s="6" t="s">
        <v>46</v>
      </c>
      <c r="E171" s="6" t="s">
        <v>47</v>
      </c>
      <c r="F171" s="6" t="s">
        <v>48</v>
      </c>
      <c r="G171" s="6" t="s">
        <v>182</v>
      </c>
      <c r="H171" s="6" t="s">
        <v>4049</v>
      </c>
      <c r="I171" s="6" t="s">
        <v>4050</v>
      </c>
      <c r="J171" s="6">
        <v>2</v>
      </c>
      <c r="K171" s="6">
        <v>26.2</v>
      </c>
      <c r="L171" s="6" t="s">
        <v>4051</v>
      </c>
      <c r="M171" s="6" t="s">
        <v>4052</v>
      </c>
      <c r="N171" s="6" t="s">
        <v>83</v>
      </c>
      <c r="O171" s="6" t="s">
        <v>4053</v>
      </c>
      <c r="P171" s="6" t="s">
        <v>4054</v>
      </c>
      <c r="Q171" s="6" t="s">
        <v>4054</v>
      </c>
      <c r="R171" s="6" t="s">
        <v>167</v>
      </c>
      <c r="S171" s="6" t="s">
        <v>4055</v>
      </c>
      <c r="T171" s="6">
        <v>2054500</v>
      </c>
      <c r="U171" s="6">
        <v>2935000</v>
      </c>
      <c r="V171" s="6" t="s">
        <v>4056</v>
      </c>
      <c r="W171" s="6" t="s">
        <v>4024</v>
      </c>
      <c r="X171" s="6" t="s">
        <v>4057</v>
      </c>
      <c r="Y171" s="6" t="s">
        <v>4058</v>
      </c>
      <c r="Z171" s="6" t="s">
        <v>64</v>
      </c>
      <c r="AA171" s="6" t="s">
        <v>65</v>
      </c>
      <c r="AB171" s="6" t="s">
        <v>1696</v>
      </c>
      <c r="AC171" s="6" t="s">
        <v>436</v>
      </c>
      <c r="AD171" s="13">
        <v>45154</v>
      </c>
      <c r="AE171" s="6" t="s">
        <v>2516</v>
      </c>
      <c r="AF171" s="6" t="s">
        <v>1007</v>
      </c>
      <c r="AG171" s="6" t="s">
        <v>4059</v>
      </c>
      <c r="AH171" s="6">
        <v>3</v>
      </c>
      <c r="AI171" s="6" t="s">
        <v>72</v>
      </c>
      <c r="AJ171" s="6" t="s">
        <v>4060</v>
      </c>
      <c r="AK171" s="6" t="s">
        <v>437</v>
      </c>
      <c r="AL171" s="6"/>
      <c r="AM171" s="6" t="s">
        <v>75</v>
      </c>
      <c r="AN171" s="6">
        <v>2641500</v>
      </c>
      <c r="AO171" s="10">
        <v>52830</v>
      </c>
      <c r="AP171" s="6"/>
      <c r="AQ171" s="6"/>
      <c r="AR171" s="6"/>
      <c r="AS171" s="18" t="s">
        <v>6723</v>
      </c>
      <c r="AT171" s="18" t="s">
        <v>6955</v>
      </c>
      <c r="AU171" s="19">
        <v>49895</v>
      </c>
      <c r="AV171" s="20">
        <v>2935</v>
      </c>
      <c r="AW171" s="18" t="s">
        <v>6555</v>
      </c>
      <c r="AX171" s="19">
        <v>2935</v>
      </c>
      <c r="AY171" s="20">
        <v>0</v>
      </c>
    </row>
    <row r="172" spans="1:51" x14ac:dyDescent="0.25">
      <c r="A172" s="7">
        <v>170</v>
      </c>
      <c r="B172" s="8" t="s">
        <v>1305</v>
      </c>
      <c r="C172" s="8" t="s">
        <v>4061</v>
      </c>
      <c r="D172" s="8" t="s">
        <v>241</v>
      </c>
      <c r="E172" s="8" t="s">
        <v>47</v>
      </c>
      <c r="F172" s="8" t="s">
        <v>48</v>
      </c>
      <c r="G172" s="8" t="s">
        <v>201</v>
      </c>
      <c r="H172" s="8" t="s">
        <v>4062</v>
      </c>
      <c r="I172" s="8" t="s">
        <v>4063</v>
      </c>
      <c r="J172" s="8">
        <v>2</v>
      </c>
      <c r="K172" s="8">
        <v>26.19</v>
      </c>
      <c r="L172" s="8" t="s">
        <v>4064</v>
      </c>
      <c r="M172" s="8" t="s">
        <v>4065</v>
      </c>
      <c r="N172" s="8" t="s">
        <v>2894</v>
      </c>
      <c r="O172" s="8" t="s">
        <v>4066</v>
      </c>
      <c r="P172" s="8" t="s">
        <v>4067</v>
      </c>
      <c r="Q172" s="8" t="s">
        <v>4067</v>
      </c>
      <c r="R172" s="8" t="s">
        <v>4067</v>
      </c>
      <c r="S172" s="8" t="s">
        <v>4068</v>
      </c>
      <c r="T172" s="8">
        <v>1000350</v>
      </c>
      <c r="U172" s="8">
        <v>1539000</v>
      </c>
      <c r="V172" s="8" t="s">
        <v>4069</v>
      </c>
      <c r="W172" s="8" t="s">
        <v>774</v>
      </c>
      <c r="X172" s="8" t="s">
        <v>4070</v>
      </c>
      <c r="Y172" s="8" t="s">
        <v>4071</v>
      </c>
      <c r="Z172" s="8" t="s">
        <v>64</v>
      </c>
      <c r="AA172" s="8" t="s">
        <v>65</v>
      </c>
      <c r="AB172" s="8" t="s">
        <v>214</v>
      </c>
      <c r="AC172" s="8" t="s">
        <v>67</v>
      </c>
      <c r="AD172" s="8" t="s">
        <v>4072</v>
      </c>
      <c r="AE172" s="8" t="s">
        <v>69</v>
      </c>
      <c r="AF172" s="8" t="s">
        <v>1007</v>
      </c>
      <c r="AG172" s="8" t="s">
        <v>4073</v>
      </c>
      <c r="AH172" s="8">
        <v>5</v>
      </c>
      <c r="AI172" s="8" t="s">
        <v>237</v>
      </c>
      <c r="AJ172" s="8" t="s">
        <v>4074</v>
      </c>
      <c r="AK172" s="8" t="s">
        <v>781</v>
      </c>
      <c r="AL172" s="8"/>
      <c r="AM172" s="8" t="s">
        <v>75</v>
      </c>
      <c r="AN172" s="8">
        <v>1231200</v>
      </c>
      <c r="AO172" s="11">
        <v>24624</v>
      </c>
      <c r="AP172" s="8"/>
      <c r="AQ172" s="8"/>
      <c r="AR172" s="8"/>
      <c r="AS172" s="18" t="s">
        <v>6724</v>
      </c>
      <c r="AT172" s="18"/>
      <c r="AU172" s="19">
        <v>24624</v>
      </c>
      <c r="AV172" s="20">
        <v>0</v>
      </c>
      <c r="AW172" s="18" t="s">
        <v>6555</v>
      </c>
      <c r="AX172" s="18"/>
      <c r="AY172" s="18"/>
    </row>
    <row r="173" spans="1:51" x14ac:dyDescent="0.25">
      <c r="A173" s="5">
        <v>171</v>
      </c>
      <c r="B173" s="6" t="s">
        <v>1305</v>
      </c>
      <c r="C173" s="6" t="s">
        <v>4075</v>
      </c>
      <c r="D173" s="6" t="s">
        <v>77</v>
      </c>
      <c r="E173" s="6" t="s">
        <v>47</v>
      </c>
      <c r="F173" s="6" t="s">
        <v>48</v>
      </c>
      <c r="G173" s="6" t="s">
        <v>1717</v>
      </c>
      <c r="H173" s="6" t="s">
        <v>4076</v>
      </c>
      <c r="I173" s="6" t="s">
        <v>4077</v>
      </c>
      <c r="J173" s="6">
        <v>1.75</v>
      </c>
      <c r="K173" s="6">
        <v>25.2</v>
      </c>
      <c r="L173" s="6" t="s">
        <v>4078</v>
      </c>
      <c r="M173" s="6" t="s">
        <v>4079</v>
      </c>
      <c r="N173" s="6" t="s">
        <v>187</v>
      </c>
      <c r="O173" s="6" t="s">
        <v>4080</v>
      </c>
      <c r="P173" s="6" t="s">
        <v>4081</v>
      </c>
      <c r="Q173" s="6" t="s">
        <v>4081</v>
      </c>
      <c r="R173" s="6" t="s">
        <v>4081</v>
      </c>
      <c r="S173" s="6" t="s">
        <v>4082</v>
      </c>
      <c r="T173" s="6">
        <v>2996000</v>
      </c>
      <c r="U173" s="6">
        <v>4280000</v>
      </c>
      <c r="V173" s="6" t="s">
        <v>4083</v>
      </c>
      <c r="W173" s="6" t="s">
        <v>4024</v>
      </c>
      <c r="X173" s="6" t="s">
        <v>4084</v>
      </c>
      <c r="Y173" s="6" t="s">
        <v>4085</v>
      </c>
      <c r="Z173" s="6" t="s">
        <v>93</v>
      </c>
      <c r="AA173" s="6" t="s">
        <v>4086</v>
      </c>
      <c r="AB173" s="6" t="s">
        <v>2532</v>
      </c>
      <c r="AC173" s="6" t="s">
        <v>531</v>
      </c>
      <c r="AD173" s="13">
        <v>45199</v>
      </c>
      <c r="AE173" s="6" t="s">
        <v>2516</v>
      </c>
      <c r="AF173" s="6" t="s">
        <v>1007</v>
      </c>
      <c r="AG173" s="6" t="s">
        <v>4087</v>
      </c>
      <c r="AH173" s="6">
        <v>3</v>
      </c>
      <c r="AI173" s="6" t="s">
        <v>237</v>
      </c>
      <c r="AJ173" s="6" t="s">
        <v>4088</v>
      </c>
      <c r="AK173" s="6" t="s">
        <v>2519</v>
      </c>
      <c r="AL173" s="6"/>
      <c r="AM173" s="6" t="s">
        <v>102</v>
      </c>
      <c r="AN173" s="6">
        <v>3852000</v>
      </c>
      <c r="AO173" s="10">
        <v>67410</v>
      </c>
      <c r="AP173" s="6"/>
      <c r="AQ173" s="6"/>
      <c r="AR173" s="6"/>
      <c r="AS173" s="18" t="s">
        <v>6725</v>
      </c>
      <c r="AT173" s="18" t="s">
        <v>6956</v>
      </c>
      <c r="AU173" s="19">
        <v>63665</v>
      </c>
      <c r="AV173" s="20">
        <v>3745</v>
      </c>
      <c r="AW173" s="18" t="s">
        <v>6555</v>
      </c>
      <c r="AX173" s="19">
        <v>3745</v>
      </c>
      <c r="AY173" s="20">
        <v>0</v>
      </c>
    </row>
    <row r="174" spans="1:51" x14ac:dyDescent="0.25">
      <c r="A174" s="7">
        <v>172</v>
      </c>
      <c r="B174" s="8" t="s">
        <v>1305</v>
      </c>
      <c r="C174" s="8" t="s">
        <v>4089</v>
      </c>
      <c r="D174" s="8" t="s">
        <v>46</v>
      </c>
      <c r="E174" s="8" t="s">
        <v>47</v>
      </c>
      <c r="F174" s="8" t="s">
        <v>48</v>
      </c>
      <c r="G174" s="8" t="s">
        <v>4090</v>
      </c>
      <c r="H174" s="8" t="s">
        <v>4091</v>
      </c>
      <c r="I174" s="8" t="s">
        <v>4092</v>
      </c>
      <c r="J174" s="8">
        <v>2</v>
      </c>
      <c r="K174" s="8">
        <v>25.78</v>
      </c>
      <c r="L174" s="8" t="s">
        <v>4093</v>
      </c>
      <c r="M174" s="8" t="s">
        <v>4094</v>
      </c>
      <c r="N174" s="8" t="s">
        <v>83</v>
      </c>
      <c r="O174" s="8" t="s">
        <v>4095</v>
      </c>
      <c r="P174" s="8" t="s">
        <v>4096</v>
      </c>
      <c r="Q174" s="8" t="s">
        <v>4096</v>
      </c>
      <c r="R174" s="8" t="s">
        <v>4097</v>
      </c>
      <c r="S174" s="8" t="s">
        <v>4098</v>
      </c>
      <c r="T174" s="8">
        <v>1033200</v>
      </c>
      <c r="U174" s="8">
        <v>1640000</v>
      </c>
      <c r="V174" s="8" t="s">
        <v>4099</v>
      </c>
      <c r="W174" s="8" t="s">
        <v>774</v>
      </c>
      <c r="X174" s="8" t="s">
        <v>4100</v>
      </c>
      <c r="Y174" s="8" t="s">
        <v>4101</v>
      </c>
      <c r="Z174" s="8" t="s">
        <v>64</v>
      </c>
      <c r="AA174" s="8" t="s">
        <v>65</v>
      </c>
      <c r="AB174" s="8" t="s">
        <v>214</v>
      </c>
      <c r="AC174" s="8" t="s">
        <v>67</v>
      </c>
      <c r="AD174" s="8" t="s">
        <v>2886</v>
      </c>
      <c r="AE174" s="8" t="s">
        <v>604</v>
      </c>
      <c r="AF174" s="8" t="s">
        <v>974</v>
      </c>
      <c r="AG174" s="8" t="s">
        <v>4102</v>
      </c>
      <c r="AH174" s="8">
        <v>5</v>
      </c>
      <c r="AI174" s="8" t="s">
        <v>511</v>
      </c>
      <c r="AJ174" s="8" t="s">
        <v>4103</v>
      </c>
      <c r="AK174" s="8" t="s">
        <v>472</v>
      </c>
      <c r="AL174" s="8"/>
      <c r="AM174" s="8" t="s">
        <v>75</v>
      </c>
      <c r="AN174" s="8">
        <v>1312000</v>
      </c>
      <c r="AO174" s="11">
        <v>26240</v>
      </c>
      <c r="AP174" s="8"/>
      <c r="AQ174" s="8"/>
      <c r="AR174" s="8"/>
      <c r="AS174" s="18" t="s">
        <v>6726</v>
      </c>
      <c r="AT174" s="18"/>
      <c r="AU174" s="19">
        <v>26240</v>
      </c>
      <c r="AV174" s="20">
        <v>0</v>
      </c>
      <c r="AW174" s="18" t="s">
        <v>6555</v>
      </c>
      <c r="AX174" s="18"/>
      <c r="AY174" s="18"/>
    </row>
    <row r="175" spans="1:51" x14ac:dyDescent="0.25">
      <c r="A175" s="5">
        <v>173</v>
      </c>
      <c r="B175" s="6" t="s">
        <v>1305</v>
      </c>
      <c r="C175" s="6" t="s">
        <v>4119</v>
      </c>
      <c r="D175" s="6" t="s">
        <v>277</v>
      </c>
      <c r="E175" s="6" t="s">
        <v>47</v>
      </c>
      <c r="F175" s="6" t="s">
        <v>48</v>
      </c>
      <c r="G175" s="6" t="s">
        <v>1947</v>
      </c>
      <c r="H175" s="6" t="s">
        <v>4120</v>
      </c>
      <c r="I175" s="6" t="s">
        <v>4121</v>
      </c>
      <c r="J175" s="6">
        <v>1.75</v>
      </c>
      <c r="K175" s="6">
        <v>26.7</v>
      </c>
      <c r="L175" s="6" t="s">
        <v>4122</v>
      </c>
      <c r="M175" s="6" t="s">
        <v>4123</v>
      </c>
      <c r="N175" s="6" t="s">
        <v>265</v>
      </c>
      <c r="O175" s="6" t="s">
        <v>4124</v>
      </c>
      <c r="P175" s="6" t="s">
        <v>4125</v>
      </c>
      <c r="Q175" s="6" t="s">
        <v>65</v>
      </c>
      <c r="R175" s="6" t="s">
        <v>4126</v>
      </c>
      <c r="S175" s="6" t="s">
        <v>4127</v>
      </c>
      <c r="T175" s="6">
        <v>1430000</v>
      </c>
      <c r="U175" s="6">
        <v>2200000</v>
      </c>
      <c r="V175" s="6" t="s">
        <v>4128</v>
      </c>
      <c r="W175" s="6" t="s">
        <v>4024</v>
      </c>
      <c r="X175" s="6" t="s">
        <v>4129</v>
      </c>
      <c r="Y175" s="6" t="s">
        <v>4130</v>
      </c>
      <c r="Z175" s="6" t="s">
        <v>93</v>
      </c>
      <c r="AA175" s="6" t="s">
        <v>4131</v>
      </c>
      <c r="AB175" s="6" t="s">
        <v>4132</v>
      </c>
      <c r="AC175" s="6" t="s">
        <v>531</v>
      </c>
      <c r="AD175" s="13">
        <v>45199</v>
      </c>
      <c r="AE175" s="6" t="s">
        <v>2516</v>
      </c>
      <c r="AF175" s="6" t="s">
        <v>1319</v>
      </c>
      <c r="AG175" s="6" t="s">
        <v>4133</v>
      </c>
      <c r="AH175" s="6">
        <v>5</v>
      </c>
      <c r="AI175" s="6" t="s">
        <v>237</v>
      </c>
      <c r="AJ175" s="6" t="s">
        <v>4134</v>
      </c>
      <c r="AK175" s="6" t="s">
        <v>2519</v>
      </c>
      <c r="AL175" s="6"/>
      <c r="AM175" s="6" t="s">
        <v>102</v>
      </c>
      <c r="AN175" s="6">
        <v>1980000</v>
      </c>
      <c r="AO175" s="10">
        <v>34650</v>
      </c>
      <c r="AP175" s="6"/>
      <c r="AQ175" s="6"/>
      <c r="AR175" s="6"/>
      <c r="AS175" s="18" t="s">
        <v>6727</v>
      </c>
      <c r="AT175" s="18" t="s">
        <v>6957</v>
      </c>
      <c r="AU175" s="19">
        <v>30800</v>
      </c>
      <c r="AV175" s="20">
        <v>3850</v>
      </c>
      <c r="AW175" s="18" t="s">
        <v>6555</v>
      </c>
      <c r="AX175" s="19">
        <v>3850</v>
      </c>
      <c r="AY175" s="20">
        <v>0</v>
      </c>
    </row>
    <row r="176" spans="1:51" x14ac:dyDescent="0.25">
      <c r="A176" s="7">
        <v>174</v>
      </c>
      <c r="B176" s="8" t="s">
        <v>1305</v>
      </c>
      <c r="C176" s="8" t="s">
        <v>4135</v>
      </c>
      <c r="D176" s="8" t="s">
        <v>77</v>
      </c>
      <c r="E176" s="8" t="s">
        <v>47</v>
      </c>
      <c r="F176" s="8" t="s">
        <v>48</v>
      </c>
      <c r="G176" s="8" t="s">
        <v>4136</v>
      </c>
      <c r="H176" s="8" t="s">
        <v>4137</v>
      </c>
      <c r="I176" s="8" t="s">
        <v>4138</v>
      </c>
      <c r="J176" s="8">
        <v>1.75</v>
      </c>
      <c r="K176" s="8">
        <v>25.95</v>
      </c>
      <c r="L176" s="8" t="s">
        <v>4139</v>
      </c>
      <c r="M176" s="8" t="s">
        <v>4140</v>
      </c>
      <c r="N176" s="8" t="s">
        <v>187</v>
      </c>
      <c r="O176" s="8" t="s">
        <v>4141</v>
      </c>
      <c r="P176" s="8" t="s">
        <v>4142</v>
      </c>
      <c r="Q176" s="8" t="s">
        <v>4142</v>
      </c>
      <c r="R176" s="8" t="s">
        <v>4142</v>
      </c>
      <c r="S176" s="8" t="s">
        <v>4143</v>
      </c>
      <c r="T176" s="8">
        <v>1794800</v>
      </c>
      <c r="U176" s="8">
        <v>2564000</v>
      </c>
      <c r="V176" s="8" t="s">
        <v>4144</v>
      </c>
      <c r="W176" s="8" t="s">
        <v>437</v>
      </c>
      <c r="X176" s="8" t="s">
        <v>4145</v>
      </c>
      <c r="Y176" s="8" t="s">
        <v>4146</v>
      </c>
      <c r="Z176" s="8" t="s">
        <v>64</v>
      </c>
      <c r="AA176" s="8" t="s">
        <v>65</v>
      </c>
      <c r="AB176" s="8" t="s">
        <v>4147</v>
      </c>
      <c r="AC176" s="8" t="s">
        <v>531</v>
      </c>
      <c r="AD176" s="8" t="s">
        <v>97</v>
      </c>
      <c r="AE176" s="8" t="s">
        <v>98</v>
      </c>
      <c r="AF176" s="8" t="s">
        <v>2698</v>
      </c>
      <c r="AG176" s="8" t="s">
        <v>4148</v>
      </c>
      <c r="AH176" s="8">
        <v>5</v>
      </c>
      <c r="AI176" s="8" t="s">
        <v>100</v>
      </c>
      <c r="AJ176" s="8" t="s">
        <v>4149</v>
      </c>
      <c r="AK176" s="8" t="s">
        <v>211</v>
      </c>
      <c r="AL176" s="8"/>
      <c r="AM176" s="8" t="s">
        <v>102</v>
      </c>
      <c r="AN176" s="8">
        <v>2179400</v>
      </c>
      <c r="AO176" s="11">
        <v>38139.5</v>
      </c>
      <c r="AP176" s="8"/>
      <c r="AQ176" s="8"/>
      <c r="AR176" s="8"/>
      <c r="AS176" s="18" t="s">
        <v>6728</v>
      </c>
      <c r="AT176" s="18" t="s">
        <v>6958</v>
      </c>
      <c r="AU176" s="19">
        <v>33653</v>
      </c>
      <c r="AV176" s="20">
        <v>4486.5</v>
      </c>
      <c r="AW176" s="18" t="s">
        <v>6555</v>
      </c>
      <c r="AX176" s="19">
        <v>4487</v>
      </c>
      <c r="AY176" s="20">
        <v>-0.5</v>
      </c>
    </row>
    <row r="177" spans="1:51" x14ac:dyDescent="0.25">
      <c r="A177" s="5">
        <v>175</v>
      </c>
      <c r="B177" s="6" t="s">
        <v>1305</v>
      </c>
      <c r="C177" s="6" t="s">
        <v>4163</v>
      </c>
      <c r="D177" s="6" t="s">
        <v>46</v>
      </c>
      <c r="E177" s="6" t="s">
        <v>47</v>
      </c>
      <c r="F177" s="6" t="s">
        <v>48</v>
      </c>
      <c r="G177" s="6" t="s">
        <v>182</v>
      </c>
      <c r="H177" s="6" t="s">
        <v>4164</v>
      </c>
      <c r="I177" s="6" t="s">
        <v>4165</v>
      </c>
      <c r="J177" s="6">
        <v>2</v>
      </c>
      <c r="K177" s="6">
        <v>25.79</v>
      </c>
      <c r="L177" s="6" t="s">
        <v>4166</v>
      </c>
      <c r="M177" s="6" t="s">
        <v>4167</v>
      </c>
      <c r="N177" s="6" t="s">
        <v>187</v>
      </c>
      <c r="O177" s="6" t="s">
        <v>4168</v>
      </c>
      <c r="P177" s="6" t="s">
        <v>4169</v>
      </c>
      <c r="Q177" s="6" t="s">
        <v>4169</v>
      </c>
      <c r="R177" s="6" t="s">
        <v>4169</v>
      </c>
      <c r="S177" s="6" t="s">
        <v>4170</v>
      </c>
      <c r="T177" s="6">
        <v>1704000</v>
      </c>
      <c r="U177" s="6">
        <v>2130000</v>
      </c>
      <c r="V177" s="6" t="s">
        <v>4171</v>
      </c>
      <c r="W177" s="6" t="s">
        <v>774</v>
      </c>
      <c r="X177" s="6" t="s">
        <v>4172</v>
      </c>
      <c r="Y177" s="6" t="s">
        <v>4173</v>
      </c>
      <c r="Z177" s="6" t="s">
        <v>64</v>
      </c>
      <c r="AA177" s="6" t="s">
        <v>65</v>
      </c>
      <c r="AB177" s="6" t="s">
        <v>1055</v>
      </c>
      <c r="AC177" s="6" t="s">
        <v>67</v>
      </c>
      <c r="AD177" s="6" t="s">
        <v>1039</v>
      </c>
      <c r="AE177" s="6" t="s">
        <v>604</v>
      </c>
      <c r="AF177" s="6" t="s">
        <v>974</v>
      </c>
      <c r="AG177" s="6" t="s">
        <v>4174</v>
      </c>
      <c r="AH177" s="6">
        <v>5</v>
      </c>
      <c r="AI177" s="6" t="s">
        <v>198</v>
      </c>
      <c r="AJ177" s="6" t="s">
        <v>4175</v>
      </c>
      <c r="AK177" s="6" t="s">
        <v>781</v>
      </c>
      <c r="AL177" s="6"/>
      <c r="AM177" s="6" t="s">
        <v>75</v>
      </c>
      <c r="AN177" s="6">
        <v>1704000</v>
      </c>
      <c r="AO177" s="10">
        <v>34080</v>
      </c>
      <c r="AP177" s="6"/>
      <c r="AQ177" s="6"/>
      <c r="AR177" s="6"/>
      <c r="AS177" s="18" t="s">
        <v>6729</v>
      </c>
      <c r="AT177" s="18"/>
      <c r="AU177" s="19">
        <v>34080</v>
      </c>
      <c r="AV177" s="20">
        <v>0</v>
      </c>
      <c r="AW177" s="18" t="s">
        <v>6555</v>
      </c>
      <c r="AX177" s="18"/>
      <c r="AY177" s="18"/>
    </row>
    <row r="178" spans="1:51" x14ac:dyDescent="0.25">
      <c r="A178" s="7">
        <v>176</v>
      </c>
      <c r="B178" s="8" t="s">
        <v>1305</v>
      </c>
      <c r="C178" s="8" t="s">
        <v>4176</v>
      </c>
      <c r="D178" s="8" t="s">
        <v>241</v>
      </c>
      <c r="E178" s="8" t="s">
        <v>47</v>
      </c>
      <c r="F178" s="8" t="s">
        <v>48</v>
      </c>
      <c r="G178" s="8" t="s">
        <v>1080</v>
      </c>
      <c r="H178" s="8" t="s">
        <v>4177</v>
      </c>
      <c r="I178" s="8" t="s">
        <v>4178</v>
      </c>
      <c r="J178" s="8">
        <v>2</v>
      </c>
      <c r="K178" s="8">
        <v>26.3</v>
      </c>
      <c r="L178" s="8" t="s">
        <v>4179</v>
      </c>
      <c r="M178" s="8" t="s">
        <v>4180</v>
      </c>
      <c r="N178" s="8" t="s">
        <v>187</v>
      </c>
      <c r="O178" s="8" t="s">
        <v>4181</v>
      </c>
      <c r="P178" s="8" t="s">
        <v>4182</v>
      </c>
      <c r="Q178" s="8" t="s">
        <v>4182</v>
      </c>
      <c r="R178" s="8" t="s">
        <v>4183</v>
      </c>
      <c r="S178" s="8" t="s">
        <v>4184</v>
      </c>
      <c r="T178" s="8">
        <v>1836100</v>
      </c>
      <c r="U178" s="8">
        <v>2623000</v>
      </c>
      <c r="V178" s="8" t="s">
        <v>4185</v>
      </c>
      <c r="W178" s="8" t="s">
        <v>774</v>
      </c>
      <c r="X178" s="8" t="s">
        <v>4186</v>
      </c>
      <c r="Y178" s="8" t="s">
        <v>4187</v>
      </c>
      <c r="Z178" s="8" t="s">
        <v>64</v>
      </c>
      <c r="AA178" s="8" t="s">
        <v>65</v>
      </c>
      <c r="AB178" s="8" t="s">
        <v>4188</v>
      </c>
      <c r="AC178" s="8" t="s">
        <v>67</v>
      </c>
      <c r="AD178" s="8" t="s">
        <v>4189</v>
      </c>
      <c r="AE178" s="8" t="s">
        <v>69</v>
      </c>
      <c r="AF178" s="8" t="s">
        <v>1007</v>
      </c>
      <c r="AG178" s="8" t="s">
        <v>4190</v>
      </c>
      <c r="AH178" s="8">
        <v>5</v>
      </c>
      <c r="AI178" s="8" t="s">
        <v>237</v>
      </c>
      <c r="AJ178" s="8" t="s">
        <v>4191</v>
      </c>
      <c r="AK178" s="8" t="s">
        <v>781</v>
      </c>
      <c r="AL178" s="8"/>
      <c r="AM178" s="8" t="s">
        <v>75</v>
      </c>
      <c r="AN178" s="8">
        <v>2098400</v>
      </c>
      <c r="AO178" s="11">
        <v>41968</v>
      </c>
      <c r="AP178" s="8"/>
      <c r="AQ178" s="8"/>
      <c r="AR178" s="8"/>
      <c r="AS178" s="18" t="s">
        <v>6730</v>
      </c>
      <c r="AT178" s="18"/>
      <c r="AU178" s="19">
        <v>41968</v>
      </c>
      <c r="AV178" s="20">
        <v>0</v>
      </c>
      <c r="AW178" s="18" t="s">
        <v>6555</v>
      </c>
      <c r="AX178" s="18"/>
      <c r="AY178" s="18"/>
    </row>
    <row r="179" spans="1:51" x14ac:dyDescent="0.25">
      <c r="A179" s="5">
        <v>177</v>
      </c>
      <c r="B179" s="6" t="s">
        <v>1305</v>
      </c>
      <c r="C179" s="6" t="s">
        <v>4192</v>
      </c>
      <c r="D179" s="6" t="s">
        <v>1489</v>
      </c>
      <c r="E179" s="6" t="s">
        <v>47</v>
      </c>
      <c r="F179" s="6" t="s">
        <v>48</v>
      </c>
      <c r="G179" s="6" t="s">
        <v>4193</v>
      </c>
      <c r="H179" s="6" t="s">
        <v>4194</v>
      </c>
      <c r="I179" s="6" t="s">
        <v>4195</v>
      </c>
      <c r="J179" s="6">
        <v>2.5</v>
      </c>
      <c r="K179" s="6">
        <v>27.18</v>
      </c>
      <c r="L179" s="6" t="s">
        <v>4196</v>
      </c>
      <c r="M179" s="6" t="s">
        <v>4197</v>
      </c>
      <c r="N179" s="6" t="s">
        <v>83</v>
      </c>
      <c r="O179" s="6" t="s">
        <v>4198</v>
      </c>
      <c r="P179" s="6" t="s">
        <v>4199</v>
      </c>
      <c r="Q179" s="6" t="s">
        <v>4200</v>
      </c>
      <c r="R179" s="6" t="s">
        <v>4201</v>
      </c>
      <c r="S179" s="6" t="s">
        <v>4202</v>
      </c>
      <c r="T179" s="6">
        <v>2372000</v>
      </c>
      <c r="U179" s="6">
        <v>2965000</v>
      </c>
      <c r="V179" s="6" t="s">
        <v>4203</v>
      </c>
      <c r="W179" s="6" t="s">
        <v>472</v>
      </c>
      <c r="X179" s="6" t="s">
        <v>4204</v>
      </c>
      <c r="Y179" s="6" t="s">
        <v>4205</v>
      </c>
      <c r="Z179" s="6" t="s">
        <v>64</v>
      </c>
      <c r="AA179" s="6" t="s">
        <v>65</v>
      </c>
      <c r="AB179" s="6" t="s">
        <v>3561</v>
      </c>
      <c r="AC179" s="6" t="s">
        <v>151</v>
      </c>
      <c r="AD179" s="6" t="s">
        <v>4206</v>
      </c>
      <c r="AE179" s="6" t="s">
        <v>1539</v>
      </c>
      <c r="AF179" s="6" t="s">
        <v>1430</v>
      </c>
      <c r="AG179" s="6" t="s">
        <v>4207</v>
      </c>
      <c r="AH179" s="6">
        <v>5</v>
      </c>
      <c r="AI179" s="6" t="s">
        <v>511</v>
      </c>
      <c r="AJ179" s="6" t="s">
        <v>4208</v>
      </c>
      <c r="AK179" s="6" t="s">
        <v>1542</v>
      </c>
      <c r="AL179" s="6"/>
      <c r="AM179" s="6" t="s">
        <v>180</v>
      </c>
      <c r="AN179" s="6">
        <v>2223750</v>
      </c>
      <c r="AO179" s="10">
        <v>55593.75</v>
      </c>
      <c r="AP179" s="6"/>
      <c r="AQ179" s="6"/>
      <c r="AR179" s="6"/>
      <c r="AS179" s="18" t="s">
        <v>6731</v>
      </c>
      <c r="AT179" s="18" t="s">
        <v>6959</v>
      </c>
      <c r="AU179" s="19">
        <v>63006</v>
      </c>
      <c r="AV179" s="20">
        <v>-7412.25</v>
      </c>
      <c r="AW179" s="18" t="s">
        <v>6555</v>
      </c>
      <c r="AX179" s="19">
        <v>-7413</v>
      </c>
      <c r="AY179" s="20">
        <v>0.75</v>
      </c>
    </row>
    <row r="180" spans="1:51" x14ac:dyDescent="0.25">
      <c r="A180" s="7">
        <v>178</v>
      </c>
      <c r="B180" s="8" t="s">
        <v>1305</v>
      </c>
      <c r="C180" s="8" t="s">
        <v>4209</v>
      </c>
      <c r="D180" s="8" t="s">
        <v>912</v>
      </c>
      <c r="E180" s="8" t="s">
        <v>47</v>
      </c>
      <c r="F180" s="8" t="s">
        <v>48</v>
      </c>
      <c r="G180" s="8" t="s">
        <v>1947</v>
      </c>
      <c r="H180" s="8" t="s">
        <v>4210</v>
      </c>
      <c r="I180" s="8" t="s">
        <v>4211</v>
      </c>
      <c r="J180" s="8">
        <v>1.5</v>
      </c>
      <c r="K180" s="8">
        <v>26.78</v>
      </c>
      <c r="L180" s="8" t="s">
        <v>4212</v>
      </c>
      <c r="M180" s="8" t="s">
        <v>4213</v>
      </c>
      <c r="N180" s="8" t="s">
        <v>164</v>
      </c>
      <c r="O180" s="8" t="s">
        <v>4214</v>
      </c>
      <c r="P180" s="8" t="s">
        <v>65</v>
      </c>
      <c r="Q180" s="8" t="s">
        <v>4215</v>
      </c>
      <c r="R180" s="8" t="s">
        <v>65</v>
      </c>
      <c r="S180" s="8" t="s">
        <v>4216</v>
      </c>
      <c r="T180" s="8">
        <v>10075000</v>
      </c>
      <c r="U180" s="8">
        <v>15500000</v>
      </c>
      <c r="V180" s="8" t="s">
        <v>4217</v>
      </c>
      <c r="W180" s="8" t="s">
        <v>399</v>
      </c>
      <c r="X180" s="8" t="s">
        <v>4218</v>
      </c>
      <c r="Y180" s="8" t="s">
        <v>4219</v>
      </c>
      <c r="Z180" s="8" t="s">
        <v>64</v>
      </c>
      <c r="AA180" s="8" t="s">
        <v>65</v>
      </c>
      <c r="AB180" s="8" t="s">
        <v>4220</v>
      </c>
      <c r="AC180" s="8" t="s">
        <v>151</v>
      </c>
      <c r="AD180" s="8" t="s">
        <v>170</v>
      </c>
      <c r="AE180" s="8" t="s">
        <v>153</v>
      </c>
      <c r="AF180" s="8" t="s">
        <v>2533</v>
      </c>
      <c r="AG180" s="8" t="s">
        <v>4221</v>
      </c>
      <c r="AH180" s="8">
        <v>5</v>
      </c>
      <c r="AI180" s="8" t="s">
        <v>65</v>
      </c>
      <c r="AJ180" s="8" t="s">
        <v>65</v>
      </c>
      <c r="AK180" s="8" t="s">
        <v>65</v>
      </c>
      <c r="AL180" s="8"/>
      <c r="AM180" s="8" t="s">
        <v>157</v>
      </c>
      <c r="AN180" s="8">
        <v>11625000</v>
      </c>
      <c r="AO180" s="11">
        <v>174375</v>
      </c>
      <c r="AP180" s="8"/>
      <c r="AQ180" s="8"/>
      <c r="AR180" s="8"/>
      <c r="AS180" s="18" t="s">
        <v>6732</v>
      </c>
      <c r="AT180" s="18" t="s">
        <v>6960</v>
      </c>
      <c r="AU180" s="19">
        <v>197625</v>
      </c>
      <c r="AV180" s="20">
        <v>-23250</v>
      </c>
      <c r="AW180" s="18" t="s">
        <v>6555</v>
      </c>
      <c r="AX180" s="20">
        <v>-23250</v>
      </c>
      <c r="AY180" s="20">
        <v>0</v>
      </c>
    </row>
    <row r="181" spans="1:51" x14ac:dyDescent="0.25">
      <c r="A181" s="5">
        <v>179</v>
      </c>
      <c r="B181" s="6" t="s">
        <v>1305</v>
      </c>
      <c r="C181" s="6" t="s">
        <v>4222</v>
      </c>
      <c r="D181" s="6" t="s">
        <v>241</v>
      </c>
      <c r="E181" s="6" t="s">
        <v>47</v>
      </c>
      <c r="F181" s="6" t="s">
        <v>48</v>
      </c>
      <c r="G181" s="6" t="s">
        <v>242</v>
      </c>
      <c r="H181" s="6" t="s">
        <v>4223</v>
      </c>
      <c r="I181" s="6" t="s">
        <v>4224</v>
      </c>
      <c r="J181" s="6">
        <v>1.75</v>
      </c>
      <c r="K181" s="6">
        <v>26.29</v>
      </c>
      <c r="L181" s="6" t="s">
        <v>4225</v>
      </c>
      <c r="M181" s="6" t="s">
        <v>4226</v>
      </c>
      <c r="N181" s="6" t="s">
        <v>83</v>
      </c>
      <c r="O181" s="6" t="s">
        <v>4227</v>
      </c>
      <c r="P181" s="6" t="s">
        <v>4228</v>
      </c>
      <c r="Q181" s="6" t="s">
        <v>4229</v>
      </c>
      <c r="R181" s="6" t="s">
        <v>4229</v>
      </c>
      <c r="S181" s="6" t="s">
        <v>4230</v>
      </c>
      <c r="T181" s="6">
        <v>1942500</v>
      </c>
      <c r="U181" s="6">
        <v>2775000</v>
      </c>
      <c r="V181" s="6" t="s">
        <v>4231</v>
      </c>
      <c r="W181" s="6" t="s">
        <v>774</v>
      </c>
      <c r="X181" s="6" t="s">
        <v>4232</v>
      </c>
      <c r="Y181" s="6" t="s">
        <v>4233</v>
      </c>
      <c r="Z181" s="6" t="s">
        <v>64</v>
      </c>
      <c r="AA181" s="6" t="s">
        <v>65</v>
      </c>
      <c r="AB181" s="6" t="s">
        <v>326</v>
      </c>
      <c r="AC181" s="6" t="s">
        <v>67</v>
      </c>
      <c r="AD181" s="6" t="s">
        <v>4234</v>
      </c>
      <c r="AE181" s="6" t="s">
        <v>604</v>
      </c>
      <c r="AF181" s="6" t="s">
        <v>2638</v>
      </c>
      <c r="AG181" s="6" t="s">
        <v>4235</v>
      </c>
      <c r="AH181" s="6">
        <v>7</v>
      </c>
      <c r="AI181" s="6" t="s">
        <v>237</v>
      </c>
      <c r="AJ181" s="6" t="s">
        <v>4236</v>
      </c>
      <c r="AK181" s="6" t="s">
        <v>472</v>
      </c>
      <c r="AL181" s="6"/>
      <c r="AM181" s="6" t="s">
        <v>102</v>
      </c>
      <c r="AN181" s="6">
        <v>2220000</v>
      </c>
      <c r="AO181" s="10">
        <v>38850.000000000007</v>
      </c>
      <c r="AP181" s="6"/>
      <c r="AQ181" s="6"/>
      <c r="AR181" s="6"/>
      <c r="AS181" s="18" t="s">
        <v>6733</v>
      </c>
      <c r="AT181" s="18"/>
      <c r="AU181" s="19">
        <v>38850</v>
      </c>
      <c r="AV181" s="20">
        <v>0</v>
      </c>
      <c r="AW181" s="18" t="s">
        <v>6555</v>
      </c>
      <c r="AX181" s="18"/>
      <c r="AY181" s="18"/>
    </row>
    <row r="182" spans="1:51" x14ac:dyDescent="0.25">
      <c r="A182" s="7">
        <v>180</v>
      </c>
      <c r="B182" s="8" t="s">
        <v>1305</v>
      </c>
      <c r="C182" s="8" t="s">
        <v>4237</v>
      </c>
      <c r="D182" s="8" t="s">
        <v>241</v>
      </c>
      <c r="E182" s="8" t="s">
        <v>47</v>
      </c>
      <c r="F182" s="8" t="s">
        <v>48</v>
      </c>
      <c r="G182" s="8" t="s">
        <v>2084</v>
      </c>
      <c r="H182" s="8" t="s">
        <v>4238</v>
      </c>
      <c r="I182" s="8" t="s">
        <v>4239</v>
      </c>
      <c r="J182" s="8">
        <v>2</v>
      </c>
      <c r="K182" s="8">
        <v>26.35</v>
      </c>
      <c r="L182" s="8" t="s">
        <v>4240</v>
      </c>
      <c r="M182" s="8" t="s">
        <v>4241</v>
      </c>
      <c r="N182" s="8" t="s">
        <v>83</v>
      </c>
      <c r="O182" s="8" t="s">
        <v>4242</v>
      </c>
      <c r="P182" s="8" t="s">
        <v>4243</v>
      </c>
      <c r="Q182" s="8" t="s">
        <v>4243</v>
      </c>
      <c r="R182" s="8" t="s">
        <v>4244</v>
      </c>
      <c r="S182" s="8" t="s">
        <v>4245</v>
      </c>
      <c r="T182" s="8">
        <v>2473600</v>
      </c>
      <c r="U182" s="8">
        <v>3882000</v>
      </c>
      <c r="V182" s="8" t="s">
        <v>4246</v>
      </c>
      <c r="W182" s="8" t="s">
        <v>231</v>
      </c>
      <c r="X182" s="8" t="s">
        <v>4247</v>
      </c>
      <c r="Y182" s="8" t="s">
        <v>4248</v>
      </c>
      <c r="Z182" s="8" t="s">
        <v>64</v>
      </c>
      <c r="AA182" s="8" t="s">
        <v>65</v>
      </c>
      <c r="AB182" s="8" t="s">
        <v>2590</v>
      </c>
      <c r="AC182" s="8" t="s">
        <v>67</v>
      </c>
      <c r="AD182" s="8" t="s">
        <v>4249</v>
      </c>
      <c r="AE182" s="8" t="s">
        <v>69</v>
      </c>
      <c r="AF182" s="8" t="s">
        <v>1007</v>
      </c>
      <c r="AG182" s="8" t="s">
        <v>4250</v>
      </c>
      <c r="AH182" s="8">
        <v>5</v>
      </c>
      <c r="AI182" s="8" t="s">
        <v>237</v>
      </c>
      <c r="AJ182" s="8" t="s">
        <v>4251</v>
      </c>
      <c r="AK182" s="8" t="s">
        <v>258</v>
      </c>
      <c r="AL182" s="8"/>
      <c r="AM182" s="8" t="s">
        <v>75</v>
      </c>
      <c r="AN182" s="8">
        <v>3105600</v>
      </c>
      <c r="AO182" s="11">
        <v>62112</v>
      </c>
      <c r="AP182" s="8"/>
      <c r="AQ182" s="8"/>
      <c r="AR182" s="8"/>
      <c r="AS182" s="18" t="s">
        <v>6734</v>
      </c>
      <c r="AT182" s="18"/>
      <c r="AU182" s="19">
        <v>62112</v>
      </c>
      <c r="AV182" s="20">
        <v>0</v>
      </c>
      <c r="AW182" s="18" t="s">
        <v>6555</v>
      </c>
      <c r="AX182" s="18"/>
      <c r="AY182" s="18"/>
    </row>
    <row r="183" spans="1:51" x14ac:dyDescent="0.25">
      <c r="A183" s="5">
        <v>181</v>
      </c>
      <c r="B183" s="6" t="s">
        <v>1305</v>
      </c>
      <c r="C183" s="6" t="s">
        <v>4252</v>
      </c>
      <c r="D183" s="6" t="s">
        <v>912</v>
      </c>
      <c r="E183" s="6" t="s">
        <v>47</v>
      </c>
      <c r="F183" s="6" t="s">
        <v>48</v>
      </c>
      <c r="G183" s="6" t="s">
        <v>3079</v>
      </c>
      <c r="H183" s="6" t="s">
        <v>4253</v>
      </c>
      <c r="I183" s="6" t="s">
        <v>4254</v>
      </c>
      <c r="J183" s="6">
        <v>2</v>
      </c>
      <c r="K183" s="6">
        <v>26.78</v>
      </c>
      <c r="L183" s="6" t="s">
        <v>4255</v>
      </c>
      <c r="M183" s="6" t="s">
        <v>4256</v>
      </c>
      <c r="N183" s="6" t="s">
        <v>83</v>
      </c>
      <c r="O183" s="6" t="s">
        <v>4257</v>
      </c>
      <c r="P183" s="6" t="s">
        <v>4258</v>
      </c>
      <c r="Q183" s="6" t="s">
        <v>4258</v>
      </c>
      <c r="R183" s="6" t="s">
        <v>4258</v>
      </c>
      <c r="S183" s="6" t="s">
        <v>4259</v>
      </c>
      <c r="T183" s="6">
        <v>2730000</v>
      </c>
      <c r="U183" s="6">
        <v>3900000</v>
      </c>
      <c r="V183" s="6" t="s">
        <v>4260</v>
      </c>
      <c r="W183" s="6" t="s">
        <v>399</v>
      </c>
      <c r="X183" s="6" t="s">
        <v>4261</v>
      </c>
      <c r="Y183" s="6" t="s">
        <v>4262</v>
      </c>
      <c r="Z183" s="6" t="s">
        <v>549</v>
      </c>
      <c r="AA183" s="6" t="s">
        <v>65</v>
      </c>
      <c r="AB183" s="6" t="s">
        <v>4263</v>
      </c>
      <c r="AC183" s="6" t="s">
        <v>624</v>
      </c>
      <c r="AD183" s="6" t="s">
        <v>170</v>
      </c>
      <c r="AE183" s="6" t="s">
        <v>153</v>
      </c>
      <c r="AF183" s="6" t="s">
        <v>2533</v>
      </c>
      <c r="AG183" s="6" t="s">
        <v>4264</v>
      </c>
      <c r="AH183" s="6">
        <v>5</v>
      </c>
      <c r="AI183" s="6" t="s">
        <v>237</v>
      </c>
      <c r="AJ183" s="6" t="s">
        <v>4265</v>
      </c>
      <c r="AK183" s="6" t="s">
        <v>170</v>
      </c>
      <c r="AL183" s="6"/>
      <c r="AM183" s="6" t="s">
        <v>75</v>
      </c>
      <c r="AN183" s="6">
        <v>2925000</v>
      </c>
      <c r="AO183" s="10">
        <v>58500</v>
      </c>
      <c r="AP183" s="6"/>
      <c r="AQ183" s="6"/>
      <c r="AR183" s="6"/>
      <c r="AS183" s="18" t="s">
        <v>6735</v>
      </c>
      <c r="AT183" s="18" t="s">
        <v>6961</v>
      </c>
      <c r="AU183" s="19">
        <v>66300</v>
      </c>
      <c r="AV183" s="20">
        <v>-7800</v>
      </c>
      <c r="AW183" s="18" t="s">
        <v>6555</v>
      </c>
      <c r="AX183" s="19">
        <v>-7800</v>
      </c>
      <c r="AY183" s="20">
        <v>0</v>
      </c>
    </row>
    <row r="184" spans="1:51" x14ac:dyDescent="0.25">
      <c r="A184" s="7">
        <v>182</v>
      </c>
      <c r="B184" s="8" t="s">
        <v>1305</v>
      </c>
      <c r="C184" s="8" t="s">
        <v>4266</v>
      </c>
      <c r="D184" s="8" t="s">
        <v>77</v>
      </c>
      <c r="E184" s="8" t="s">
        <v>47</v>
      </c>
      <c r="F184" s="8" t="s">
        <v>48</v>
      </c>
      <c r="G184" s="8" t="s">
        <v>609</v>
      </c>
      <c r="H184" s="8" t="s">
        <v>4267</v>
      </c>
      <c r="I184" s="8" t="s">
        <v>4268</v>
      </c>
      <c r="J184" s="8">
        <v>2</v>
      </c>
      <c r="K184" s="8">
        <v>25.61</v>
      </c>
      <c r="L184" s="8" t="s">
        <v>4269</v>
      </c>
      <c r="M184" s="8" t="s">
        <v>4270</v>
      </c>
      <c r="N184" s="8" t="s">
        <v>83</v>
      </c>
      <c r="O184" s="8" t="s">
        <v>4271</v>
      </c>
      <c r="P184" s="8" t="s">
        <v>65</v>
      </c>
      <c r="Q184" s="8" t="s">
        <v>65</v>
      </c>
      <c r="R184" s="8" t="s">
        <v>65</v>
      </c>
      <c r="S184" s="8" t="s">
        <v>4272</v>
      </c>
      <c r="T184" s="8">
        <v>2090000</v>
      </c>
      <c r="U184" s="8">
        <v>2750000</v>
      </c>
      <c r="V184" s="8" t="s">
        <v>4273</v>
      </c>
      <c r="W184" s="8" t="s">
        <v>231</v>
      </c>
      <c r="X184" s="8" t="s">
        <v>4274</v>
      </c>
      <c r="Y184" s="8" t="s">
        <v>4275</v>
      </c>
      <c r="Z184" s="8" t="s">
        <v>93</v>
      </c>
      <c r="AA184" s="8" t="s">
        <v>4276</v>
      </c>
      <c r="AB184" s="8" t="s">
        <v>66</v>
      </c>
      <c r="AC184" s="8" t="s">
        <v>624</v>
      </c>
      <c r="AD184" s="8" t="s">
        <v>239</v>
      </c>
      <c r="AE184" s="8" t="s">
        <v>69</v>
      </c>
      <c r="AF184" s="8" t="s">
        <v>1007</v>
      </c>
      <c r="AG184" s="8" t="s">
        <v>4277</v>
      </c>
      <c r="AH184" s="8">
        <v>5</v>
      </c>
      <c r="AI184" s="8" t="s">
        <v>237</v>
      </c>
      <c r="AJ184" s="8" t="s">
        <v>4278</v>
      </c>
      <c r="AK184" s="8" t="s">
        <v>239</v>
      </c>
      <c r="AL184" s="8"/>
      <c r="AM184" s="8" t="s">
        <v>75</v>
      </c>
      <c r="AN184" s="8">
        <v>2200000</v>
      </c>
      <c r="AO184" s="11">
        <v>44000</v>
      </c>
      <c r="AP184" s="8"/>
      <c r="AQ184" s="8"/>
      <c r="AR184" s="8"/>
      <c r="AS184" s="18" t="s">
        <v>6736</v>
      </c>
      <c r="AT184" s="18"/>
      <c r="AU184" s="19">
        <v>44000</v>
      </c>
      <c r="AV184" s="20">
        <v>0</v>
      </c>
      <c r="AW184" s="18" t="s">
        <v>6555</v>
      </c>
      <c r="AX184" s="18"/>
      <c r="AY184" s="18"/>
    </row>
    <row r="185" spans="1:51" x14ac:dyDescent="0.25">
      <c r="A185" s="5">
        <v>183</v>
      </c>
      <c r="B185" s="6" t="s">
        <v>1305</v>
      </c>
      <c r="C185" s="6" t="s">
        <v>4279</v>
      </c>
      <c r="D185" s="6" t="s">
        <v>136</v>
      </c>
      <c r="E185" s="6" t="s">
        <v>47</v>
      </c>
      <c r="F185" s="6" t="s">
        <v>48</v>
      </c>
      <c r="G185" s="6" t="s">
        <v>347</v>
      </c>
      <c r="H185" s="6" t="s">
        <v>4280</v>
      </c>
      <c r="I185" s="6" t="s">
        <v>4281</v>
      </c>
      <c r="J185" s="6">
        <v>1.5</v>
      </c>
      <c r="K185" s="6">
        <v>27.18</v>
      </c>
      <c r="L185" s="6" t="s">
        <v>4282</v>
      </c>
      <c r="M185" s="6" t="s">
        <v>4283</v>
      </c>
      <c r="N185" s="6" t="s">
        <v>54</v>
      </c>
      <c r="O185" s="6" t="s">
        <v>4284</v>
      </c>
      <c r="P185" s="6" t="s">
        <v>4285</v>
      </c>
      <c r="Q185" s="6" t="s">
        <v>4286</v>
      </c>
      <c r="R185" s="6" t="s">
        <v>4285</v>
      </c>
      <c r="S185" s="6" t="s">
        <v>4287</v>
      </c>
      <c r="T185" s="6">
        <v>3239400</v>
      </c>
      <c r="U185" s="6">
        <v>5399000</v>
      </c>
      <c r="V185" s="6" t="s">
        <v>4288</v>
      </c>
      <c r="W185" s="6" t="s">
        <v>472</v>
      </c>
      <c r="X185" s="6" t="s">
        <v>4289</v>
      </c>
      <c r="Y185" s="6" t="s">
        <v>4290</v>
      </c>
      <c r="Z185" s="6" t="s">
        <v>64</v>
      </c>
      <c r="AA185" s="6" t="s">
        <v>65</v>
      </c>
      <c r="AB185" s="6" t="s">
        <v>456</v>
      </c>
      <c r="AC185" s="6" t="s">
        <v>151</v>
      </c>
      <c r="AD185" s="6" t="s">
        <v>4291</v>
      </c>
      <c r="AE185" s="6" t="s">
        <v>1539</v>
      </c>
      <c r="AF185" s="6" t="s">
        <v>1430</v>
      </c>
      <c r="AG185" s="6" t="s">
        <v>4292</v>
      </c>
      <c r="AH185" s="6">
        <v>5</v>
      </c>
      <c r="AI185" s="6" t="s">
        <v>65</v>
      </c>
      <c r="AJ185" s="6" t="s">
        <v>65</v>
      </c>
      <c r="AK185" s="6" t="s">
        <v>65</v>
      </c>
      <c r="AL185" s="6"/>
      <c r="AM185" s="6" t="s">
        <v>157</v>
      </c>
      <c r="AN185" s="6">
        <v>4049250</v>
      </c>
      <c r="AO185" s="10">
        <v>60738.75</v>
      </c>
      <c r="AP185" s="6"/>
      <c r="AQ185" s="6"/>
      <c r="AR185" s="6"/>
      <c r="AS185" s="18" t="s">
        <v>6737</v>
      </c>
      <c r="AT185" s="18" t="s">
        <v>6962</v>
      </c>
      <c r="AU185" s="19">
        <v>68837</v>
      </c>
      <c r="AV185" s="20">
        <f>AO185-AU185</f>
        <v>-8098.25</v>
      </c>
      <c r="AW185" s="18" t="s">
        <v>6555</v>
      </c>
      <c r="AX185" s="19">
        <v>-8099</v>
      </c>
      <c r="AY185" s="20">
        <f>AV185-AX185</f>
        <v>0.75</v>
      </c>
    </row>
    <row r="186" spans="1:51" x14ac:dyDescent="0.25">
      <c r="A186" s="7">
        <v>184</v>
      </c>
      <c r="B186" s="8" t="s">
        <v>1305</v>
      </c>
      <c r="C186" s="8" t="s">
        <v>4293</v>
      </c>
      <c r="D186" s="8" t="s">
        <v>241</v>
      </c>
      <c r="E186" s="8" t="s">
        <v>47</v>
      </c>
      <c r="F186" s="8" t="s">
        <v>48</v>
      </c>
      <c r="G186" s="8" t="s">
        <v>221</v>
      </c>
      <c r="H186" s="8" t="s">
        <v>4294</v>
      </c>
      <c r="I186" s="8" t="s">
        <v>4295</v>
      </c>
      <c r="J186" s="8">
        <v>2</v>
      </c>
      <c r="K186" s="8">
        <v>26.29</v>
      </c>
      <c r="L186" s="8" t="s">
        <v>4296</v>
      </c>
      <c r="M186" s="8" t="s">
        <v>4297</v>
      </c>
      <c r="N186" s="8" t="s">
        <v>54</v>
      </c>
      <c r="O186" s="8" t="s">
        <v>4298</v>
      </c>
      <c r="P186" s="8" t="s">
        <v>4299</v>
      </c>
      <c r="Q186" s="8" t="s">
        <v>4300</v>
      </c>
      <c r="R186" s="8" t="s">
        <v>4301</v>
      </c>
      <c r="S186" s="8" t="s">
        <v>4302</v>
      </c>
      <c r="T186" s="8">
        <v>2912000</v>
      </c>
      <c r="U186" s="8">
        <v>4480000</v>
      </c>
      <c r="V186" s="8" t="s">
        <v>4303</v>
      </c>
      <c r="W186" s="8" t="s">
        <v>774</v>
      </c>
      <c r="X186" s="8" t="s">
        <v>4304</v>
      </c>
      <c r="Y186" s="8" t="s">
        <v>4305</v>
      </c>
      <c r="Z186" s="8" t="s">
        <v>64</v>
      </c>
      <c r="AA186" s="8" t="s">
        <v>65</v>
      </c>
      <c r="AB186" s="8" t="s">
        <v>234</v>
      </c>
      <c r="AC186" s="8" t="s">
        <v>67</v>
      </c>
      <c r="AD186" s="8" t="s">
        <v>2637</v>
      </c>
      <c r="AE186" s="8" t="s">
        <v>604</v>
      </c>
      <c r="AF186" s="8" t="s">
        <v>1430</v>
      </c>
      <c r="AG186" s="8" t="s">
        <v>4306</v>
      </c>
      <c r="AH186" s="8">
        <v>4</v>
      </c>
      <c r="AI186" s="8" t="s">
        <v>237</v>
      </c>
      <c r="AJ186" s="8" t="s">
        <v>4307</v>
      </c>
      <c r="AK186" s="8" t="s">
        <v>781</v>
      </c>
      <c r="AL186" s="8"/>
      <c r="AM186" s="8" t="s">
        <v>75</v>
      </c>
      <c r="AN186" s="8">
        <v>3584000</v>
      </c>
      <c r="AO186" s="11">
        <v>71680</v>
      </c>
      <c r="AP186" s="8"/>
      <c r="AQ186" s="8"/>
      <c r="AR186" s="8"/>
      <c r="AS186" s="18" t="s">
        <v>6738</v>
      </c>
      <c r="AT186" s="18" t="s">
        <v>6963</v>
      </c>
      <c r="AU186" s="19">
        <v>76160</v>
      </c>
      <c r="AV186" s="20">
        <v>-4480</v>
      </c>
      <c r="AW186" s="18" t="s">
        <v>6555</v>
      </c>
      <c r="AX186" s="19">
        <v>-4480</v>
      </c>
      <c r="AY186" s="20">
        <v>0</v>
      </c>
    </row>
    <row r="187" spans="1:51" x14ac:dyDescent="0.25">
      <c r="A187" s="5">
        <v>185</v>
      </c>
      <c r="B187" s="6" t="s">
        <v>1305</v>
      </c>
      <c r="C187" s="6" t="s">
        <v>4308</v>
      </c>
      <c r="D187" s="6" t="s">
        <v>912</v>
      </c>
      <c r="E187" s="6" t="s">
        <v>47</v>
      </c>
      <c r="F187" s="6" t="s">
        <v>48</v>
      </c>
      <c r="G187" s="6" t="s">
        <v>137</v>
      </c>
      <c r="H187" s="6" t="s">
        <v>4309</v>
      </c>
      <c r="I187" s="6" t="s">
        <v>4310</v>
      </c>
      <c r="J187" s="6">
        <v>2</v>
      </c>
      <c r="K187" s="6">
        <v>26.53</v>
      </c>
      <c r="L187" s="6" t="s">
        <v>4311</v>
      </c>
      <c r="M187" s="6" t="s">
        <v>4312</v>
      </c>
      <c r="N187" s="6" t="s">
        <v>54</v>
      </c>
      <c r="O187" s="6" t="s">
        <v>4313</v>
      </c>
      <c r="P187" s="6" t="s">
        <v>4314</v>
      </c>
      <c r="Q187" s="6" t="s">
        <v>4315</v>
      </c>
      <c r="R187" s="6" t="s">
        <v>4314</v>
      </c>
      <c r="S187" s="6" t="s">
        <v>4316</v>
      </c>
      <c r="T187" s="6">
        <v>2094900</v>
      </c>
      <c r="U187" s="6">
        <v>3491500</v>
      </c>
      <c r="V187" s="6" t="s">
        <v>4317</v>
      </c>
      <c r="W187" s="6" t="s">
        <v>399</v>
      </c>
      <c r="X187" s="6" t="s">
        <v>4318</v>
      </c>
      <c r="Y187" s="6" t="s">
        <v>4319</v>
      </c>
      <c r="Z187" s="6" t="s">
        <v>64</v>
      </c>
      <c r="AA187" s="6" t="s">
        <v>65</v>
      </c>
      <c r="AB187" s="6" t="s">
        <v>4320</v>
      </c>
      <c r="AC187" s="6" t="s">
        <v>151</v>
      </c>
      <c r="AD187" s="6" t="s">
        <v>170</v>
      </c>
      <c r="AE187" s="6" t="s">
        <v>153</v>
      </c>
      <c r="AF187" s="6" t="s">
        <v>2533</v>
      </c>
      <c r="AG187" s="6" t="s">
        <v>4321</v>
      </c>
      <c r="AH187" s="6">
        <v>5</v>
      </c>
      <c r="AI187" s="6" t="s">
        <v>237</v>
      </c>
      <c r="AJ187" s="6" t="s">
        <v>4322</v>
      </c>
      <c r="AK187" s="6" t="s">
        <v>4323</v>
      </c>
      <c r="AL187" s="6"/>
      <c r="AM187" s="6" t="s">
        <v>75</v>
      </c>
      <c r="AN187" s="6">
        <v>2618625</v>
      </c>
      <c r="AO187" s="10">
        <v>52372.5</v>
      </c>
      <c r="AP187" s="6"/>
      <c r="AQ187" s="6"/>
      <c r="AR187" s="6"/>
      <c r="AS187" s="18" t="s">
        <v>6739</v>
      </c>
      <c r="AT187" s="18" t="s">
        <v>6964</v>
      </c>
      <c r="AU187" s="19">
        <v>59356</v>
      </c>
      <c r="AV187" s="20">
        <v>-6983.5</v>
      </c>
      <c r="AW187" s="18" t="s">
        <v>6555</v>
      </c>
      <c r="AX187" s="19">
        <v>-6983</v>
      </c>
      <c r="AY187" s="20">
        <v>-0.5</v>
      </c>
    </row>
    <row r="188" spans="1:51" x14ac:dyDescent="0.25">
      <c r="A188" s="7">
        <v>186</v>
      </c>
      <c r="B188" s="8" t="s">
        <v>1305</v>
      </c>
      <c r="C188" s="8" t="s">
        <v>4324</v>
      </c>
      <c r="D188" s="8" t="s">
        <v>46</v>
      </c>
      <c r="E188" s="8" t="s">
        <v>47</v>
      </c>
      <c r="F188" s="8" t="s">
        <v>48</v>
      </c>
      <c r="G188" s="8" t="s">
        <v>443</v>
      </c>
      <c r="H188" s="8" t="s">
        <v>4325</v>
      </c>
      <c r="I188" s="8" t="s">
        <v>4326</v>
      </c>
      <c r="J188" s="8">
        <v>1.75</v>
      </c>
      <c r="K188" s="8">
        <v>25.78</v>
      </c>
      <c r="L188" s="8" t="s">
        <v>4327</v>
      </c>
      <c r="M188" s="8" t="s">
        <v>4328</v>
      </c>
      <c r="N188" s="8" t="s">
        <v>265</v>
      </c>
      <c r="O188" s="8" t="s">
        <v>4329</v>
      </c>
      <c r="P188" s="8" t="s">
        <v>4330</v>
      </c>
      <c r="Q188" s="8" t="s">
        <v>65</v>
      </c>
      <c r="R188" s="8" t="s">
        <v>4331</v>
      </c>
      <c r="S188" s="8" t="s">
        <v>4332</v>
      </c>
      <c r="T188" s="8">
        <v>3804500</v>
      </c>
      <c r="U188" s="8">
        <v>5435000</v>
      </c>
      <c r="V188" s="8" t="s">
        <v>4333</v>
      </c>
      <c r="W188" s="8" t="s">
        <v>774</v>
      </c>
      <c r="X188" s="8" t="s">
        <v>4334</v>
      </c>
      <c r="Y188" s="8" t="s">
        <v>4335</v>
      </c>
      <c r="Z188" s="8" t="s">
        <v>64</v>
      </c>
      <c r="AA188" s="8" t="s">
        <v>65</v>
      </c>
      <c r="AB188" s="8" t="s">
        <v>116</v>
      </c>
      <c r="AC188" s="8" t="s">
        <v>67</v>
      </c>
      <c r="AD188" s="8" t="s">
        <v>1056</v>
      </c>
      <c r="AE188" s="8" t="s">
        <v>604</v>
      </c>
      <c r="AF188" s="8" t="s">
        <v>974</v>
      </c>
      <c r="AG188" s="8" t="s">
        <v>4336</v>
      </c>
      <c r="AH188" s="8">
        <v>5</v>
      </c>
      <c r="AI188" s="8" t="s">
        <v>65</v>
      </c>
      <c r="AJ188" s="8" t="s">
        <v>65</v>
      </c>
      <c r="AK188" s="8" t="s">
        <v>65</v>
      </c>
      <c r="AL188" s="8"/>
      <c r="AM188" s="8" t="s">
        <v>102</v>
      </c>
      <c r="AN188" s="8">
        <v>4619750</v>
      </c>
      <c r="AO188" s="11">
        <v>80845.625000000015</v>
      </c>
      <c r="AP188" s="8"/>
      <c r="AQ188" s="8"/>
      <c r="AR188" s="8"/>
      <c r="AS188" s="18" t="s">
        <v>6740</v>
      </c>
      <c r="AT188" s="18"/>
      <c r="AU188" s="19">
        <v>80846</v>
      </c>
      <c r="AV188" s="20">
        <v>-0.37499999998544808</v>
      </c>
      <c r="AW188" s="18" t="s">
        <v>6555</v>
      </c>
      <c r="AX188" s="18"/>
      <c r="AY188" s="18"/>
    </row>
    <row r="189" spans="1:51" x14ac:dyDescent="0.25">
      <c r="A189" s="5">
        <v>187</v>
      </c>
      <c r="B189" s="6" t="s">
        <v>1305</v>
      </c>
      <c r="C189" s="6" t="s">
        <v>4337</v>
      </c>
      <c r="D189" s="6" t="s">
        <v>46</v>
      </c>
      <c r="E189" s="6" t="s">
        <v>47</v>
      </c>
      <c r="F189" s="6" t="s">
        <v>48</v>
      </c>
      <c r="G189" s="6" t="s">
        <v>4193</v>
      </c>
      <c r="H189" s="6" t="s">
        <v>4338</v>
      </c>
      <c r="I189" s="6" t="s">
        <v>4339</v>
      </c>
      <c r="J189" s="6">
        <v>2</v>
      </c>
      <c r="K189" s="6">
        <v>25.85</v>
      </c>
      <c r="L189" s="6" t="s">
        <v>4340</v>
      </c>
      <c r="M189" s="6" t="s">
        <v>4341</v>
      </c>
      <c r="N189" s="6" t="s">
        <v>83</v>
      </c>
      <c r="O189" s="6" t="s">
        <v>4342</v>
      </c>
      <c r="P189" s="6" t="s">
        <v>4343</v>
      </c>
      <c r="Q189" s="6" t="s">
        <v>4343</v>
      </c>
      <c r="R189" s="6" t="s">
        <v>4344</v>
      </c>
      <c r="S189" s="6" t="s">
        <v>4345</v>
      </c>
      <c r="T189" s="6">
        <v>1557000</v>
      </c>
      <c r="U189" s="6">
        <v>2595000</v>
      </c>
      <c r="V189" s="6" t="s">
        <v>4346</v>
      </c>
      <c r="W189" s="6" t="s">
        <v>231</v>
      </c>
      <c r="X189" s="6" t="s">
        <v>4347</v>
      </c>
      <c r="Y189" s="6" t="s">
        <v>4348</v>
      </c>
      <c r="Z189" s="6" t="s">
        <v>64</v>
      </c>
      <c r="AA189" s="6" t="s">
        <v>65</v>
      </c>
      <c r="AB189" s="6" t="s">
        <v>4349</v>
      </c>
      <c r="AC189" s="6" t="s">
        <v>67</v>
      </c>
      <c r="AD189" s="6" t="s">
        <v>255</v>
      </c>
      <c r="AE189" s="6" t="s">
        <v>69</v>
      </c>
      <c r="AF189" s="6" t="s">
        <v>1007</v>
      </c>
      <c r="AG189" s="6" t="s">
        <v>4350</v>
      </c>
      <c r="AH189" s="6">
        <v>5</v>
      </c>
      <c r="AI189" s="6" t="s">
        <v>237</v>
      </c>
      <c r="AJ189" s="6" t="s">
        <v>4351</v>
      </c>
      <c r="AK189" s="6" t="s">
        <v>239</v>
      </c>
      <c r="AL189" s="6"/>
      <c r="AM189" s="6" t="s">
        <v>75</v>
      </c>
      <c r="AN189" s="6">
        <v>2076000</v>
      </c>
      <c r="AO189" s="10">
        <v>41520</v>
      </c>
      <c r="AP189" s="6"/>
      <c r="AQ189" s="6"/>
      <c r="AR189" s="6"/>
      <c r="AS189" s="18" t="s">
        <v>6741</v>
      </c>
      <c r="AT189" s="18"/>
      <c r="AU189" s="19">
        <v>41520</v>
      </c>
      <c r="AV189" s="20">
        <v>0</v>
      </c>
      <c r="AW189" s="18" t="s">
        <v>6555</v>
      </c>
      <c r="AX189" s="18"/>
      <c r="AY189" s="18"/>
    </row>
    <row r="190" spans="1:51" x14ac:dyDescent="0.25">
      <c r="A190" s="7">
        <v>188</v>
      </c>
      <c r="B190" s="8" t="s">
        <v>1305</v>
      </c>
      <c r="C190" s="8" t="s">
        <v>4352</v>
      </c>
      <c r="D190" s="8" t="s">
        <v>77</v>
      </c>
      <c r="E190" s="8" t="s">
        <v>47</v>
      </c>
      <c r="F190" s="8" t="s">
        <v>48</v>
      </c>
      <c r="G190" s="8" t="s">
        <v>3955</v>
      </c>
      <c r="H190" s="8" t="s">
        <v>4353</v>
      </c>
      <c r="I190" s="8" t="s">
        <v>4354</v>
      </c>
      <c r="J190" s="8">
        <v>2</v>
      </c>
      <c r="K190" s="8">
        <v>25.68</v>
      </c>
      <c r="L190" s="8" t="s">
        <v>4355</v>
      </c>
      <c r="M190" s="8" t="s">
        <v>4356</v>
      </c>
      <c r="N190" s="8" t="s">
        <v>187</v>
      </c>
      <c r="O190" s="8" t="s">
        <v>4357</v>
      </c>
      <c r="P190" s="8" t="s">
        <v>4358</v>
      </c>
      <c r="Q190" s="8" t="s">
        <v>4358</v>
      </c>
      <c r="R190" s="8" t="s">
        <v>4359</v>
      </c>
      <c r="S190" s="8" t="s">
        <v>4360</v>
      </c>
      <c r="T190" s="8">
        <v>2244000</v>
      </c>
      <c r="U190" s="8">
        <v>2805000</v>
      </c>
      <c r="V190" s="8" t="s">
        <v>4361</v>
      </c>
      <c r="W190" s="8" t="s">
        <v>774</v>
      </c>
      <c r="X190" s="8" t="s">
        <v>4362</v>
      </c>
      <c r="Y190" s="8" t="s">
        <v>4363</v>
      </c>
      <c r="Z190" s="8" t="s">
        <v>64</v>
      </c>
      <c r="AA190" s="8" t="s">
        <v>65</v>
      </c>
      <c r="AB190" s="8" t="s">
        <v>4364</v>
      </c>
      <c r="AC190" s="8" t="s">
        <v>67</v>
      </c>
      <c r="AD190" s="8" t="s">
        <v>728</v>
      </c>
      <c r="AE190" s="8" t="s">
        <v>604</v>
      </c>
      <c r="AF190" s="8" t="s">
        <v>974</v>
      </c>
      <c r="AG190" s="8" t="s">
        <v>4365</v>
      </c>
      <c r="AH190" s="8">
        <v>5</v>
      </c>
      <c r="AI190" s="8" t="s">
        <v>237</v>
      </c>
      <c r="AJ190" s="8" t="s">
        <v>4366</v>
      </c>
      <c r="AK190" s="8" t="s">
        <v>763</v>
      </c>
      <c r="AL190" s="8"/>
      <c r="AM190" s="8" t="s">
        <v>75</v>
      </c>
      <c r="AN190" s="8">
        <v>2244000</v>
      </c>
      <c r="AO190" s="11">
        <v>44880</v>
      </c>
      <c r="AP190" s="8"/>
      <c r="AQ190" s="8"/>
      <c r="AR190" s="8"/>
      <c r="AS190" s="18" t="s">
        <v>6742</v>
      </c>
      <c r="AT190" s="18"/>
      <c r="AU190" s="19">
        <v>44880</v>
      </c>
      <c r="AV190" s="20">
        <v>0</v>
      </c>
      <c r="AW190" s="18" t="s">
        <v>6555</v>
      </c>
      <c r="AX190" s="18"/>
      <c r="AY190" s="18"/>
    </row>
    <row r="191" spans="1:51" x14ac:dyDescent="0.25">
      <c r="A191" s="5">
        <v>189</v>
      </c>
      <c r="B191" s="6" t="s">
        <v>1305</v>
      </c>
      <c r="C191" s="6" t="s">
        <v>4367</v>
      </c>
      <c r="D191" s="6" t="s">
        <v>46</v>
      </c>
      <c r="E191" s="6" t="s">
        <v>47</v>
      </c>
      <c r="F191" s="6" t="s">
        <v>48</v>
      </c>
      <c r="G191" s="6" t="s">
        <v>4368</v>
      </c>
      <c r="H191" s="6" t="s">
        <v>4369</v>
      </c>
      <c r="I191" s="6" t="s">
        <v>4370</v>
      </c>
      <c r="J191" s="6">
        <v>2</v>
      </c>
      <c r="K191" s="6">
        <v>25.8</v>
      </c>
      <c r="L191" s="6" t="s">
        <v>4371</v>
      </c>
      <c r="M191" s="6" t="s">
        <v>4372</v>
      </c>
      <c r="N191" s="6" t="s">
        <v>4373</v>
      </c>
      <c r="O191" s="6" t="s">
        <v>4374</v>
      </c>
      <c r="P191" s="6" t="s">
        <v>4375</v>
      </c>
      <c r="Q191" s="6" t="s">
        <v>4375</v>
      </c>
      <c r="R191" s="6" t="s">
        <v>4376</v>
      </c>
      <c r="S191" s="6" t="s">
        <v>4377</v>
      </c>
      <c r="T191" s="6">
        <v>1294500</v>
      </c>
      <c r="U191" s="6">
        <v>2589000</v>
      </c>
      <c r="V191" s="6" t="s">
        <v>4378</v>
      </c>
      <c r="W191" s="6" t="s">
        <v>231</v>
      </c>
      <c r="X191" s="6" t="s">
        <v>4379</v>
      </c>
      <c r="Y191" s="6" t="s">
        <v>4380</v>
      </c>
      <c r="Z191" s="6" t="s">
        <v>64</v>
      </c>
      <c r="AA191" s="6" t="s">
        <v>65</v>
      </c>
      <c r="AB191" s="6" t="s">
        <v>4381</v>
      </c>
      <c r="AC191" s="6" t="s">
        <v>67</v>
      </c>
      <c r="AD191" s="6" t="s">
        <v>4382</v>
      </c>
      <c r="AE191" s="6" t="s">
        <v>4383</v>
      </c>
      <c r="AF191" s="6" t="s">
        <v>4384</v>
      </c>
      <c r="AG191" s="6" t="s">
        <v>4385</v>
      </c>
      <c r="AH191" s="6">
        <v>5</v>
      </c>
      <c r="AI191" s="6" t="s">
        <v>72</v>
      </c>
      <c r="AJ191" s="6" t="s">
        <v>4386</v>
      </c>
      <c r="AK191" s="6" t="s">
        <v>239</v>
      </c>
      <c r="AL191" s="6"/>
      <c r="AM191" s="6" t="s">
        <v>75</v>
      </c>
      <c r="AN191" s="6">
        <v>2071200</v>
      </c>
      <c r="AO191" s="10">
        <v>41424</v>
      </c>
      <c r="AP191" s="6"/>
      <c r="AQ191" s="6"/>
      <c r="AR191" s="6"/>
      <c r="AS191" s="18" t="s">
        <v>6743</v>
      </c>
      <c r="AT191" s="18"/>
      <c r="AU191" s="19">
        <v>41424</v>
      </c>
      <c r="AV191" s="20">
        <v>0</v>
      </c>
      <c r="AW191" s="18" t="s">
        <v>6555</v>
      </c>
      <c r="AX191" s="18"/>
      <c r="AY191" s="18"/>
    </row>
    <row r="192" spans="1:51" x14ac:dyDescent="0.25">
      <c r="A192" s="7">
        <v>190</v>
      </c>
      <c r="B192" s="8" t="s">
        <v>1305</v>
      </c>
      <c r="C192" s="8" t="s">
        <v>4387</v>
      </c>
      <c r="D192" s="8" t="s">
        <v>46</v>
      </c>
      <c r="E192" s="8" t="s">
        <v>47</v>
      </c>
      <c r="F192" s="8" t="s">
        <v>48</v>
      </c>
      <c r="G192" s="8" t="s">
        <v>2084</v>
      </c>
      <c r="H192" s="8" t="s">
        <v>4388</v>
      </c>
      <c r="I192" s="8" t="s">
        <v>4389</v>
      </c>
      <c r="J192" s="8">
        <v>2</v>
      </c>
      <c r="K192" s="8">
        <v>25.79</v>
      </c>
      <c r="L192" s="8" t="s">
        <v>4390</v>
      </c>
      <c r="M192" s="8" t="s">
        <v>4391</v>
      </c>
      <c r="N192" s="8" t="s">
        <v>83</v>
      </c>
      <c r="O192" s="8" t="s">
        <v>4392</v>
      </c>
      <c r="P192" s="8" t="s">
        <v>1016</v>
      </c>
      <c r="Q192" s="8" t="s">
        <v>4393</v>
      </c>
      <c r="R192" s="8" t="s">
        <v>1016</v>
      </c>
      <c r="S192" s="8" t="s">
        <v>4394</v>
      </c>
      <c r="T192" s="8">
        <v>1208830</v>
      </c>
      <c r="U192" s="8">
        <v>2467000</v>
      </c>
      <c r="V192" s="8" t="s">
        <v>4395</v>
      </c>
      <c r="W192" s="8" t="s">
        <v>231</v>
      </c>
      <c r="X192" s="8" t="s">
        <v>4396</v>
      </c>
      <c r="Y192" s="8" t="s">
        <v>4397</v>
      </c>
      <c r="Z192" s="8" t="s">
        <v>64</v>
      </c>
      <c r="AA192" s="8" t="s">
        <v>65</v>
      </c>
      <c r="AB192" s="8" t="s">
        <v>1503</v>
      </c>
      <c r="AC192" s="8" t="s">
        <v>67</v>
      </c>
      <c r="AD192" s="8" t="s">
        <v>1056</v>
      </c>
      <c r="AE192" s="8" t="s">
        <v>69</v>
      </c>
      <c r="AF192" s="8" t="s">
        <v>1007</v>
      </c>
      <c r="AG192" s="8" t="s">
        <v>4398</v>
      </c>
      <c r="AH192" s="8">
        <v>5</v>
      </c>
      <c r="AI192" s="8" t="s">
        <v>511</v>
      </c>
      <c r="AJ192" s="8" t="s">
        <v>4399</v>
      </c>
      <c r="AK192" s="8" t="s">
        <v>258</v>
      </c>
      <c r="AL192" s="8"/>
      <c r="AM192" s="8" t="s">
        <v>75</v>
      </c>
      <c r="AN192" s="8">
        <v>1973600</v>
      </c>
      <c r="AO192" s="11">
        <v>39472</v>
      </c>
      <c r="AP192" s="8"/>
      <c r="AQ192" s="8"/>
      <c r="AR192" s="8"/>
      <c r="AS192" s="18" t="s">
        <v>6744</v>
      </c>
      <c r="AT192" s="18"/>
      <c r="AU192" s="19">
        <v>39472</v>
      </c>
      <c r="AV192" s="20">
        <v>0</v>
      </c>
      <c r="AW192" s="18" t="s">
        <v>6555</v>
      </c>
      <c r="AX192" s="18"/>
      <c r="AY192" s="18"/>
    </row>
    <row r="193" spans="1:51" x14ac:dyDescent="0.25">
      <c r="A193" s="5">
        <v>191</v>
      </c>
      <c r="B193" s="6" t="s">
        <v>1305</v>
      </c>
      <c r="C193" s="6" t="s">
        <v>4400</v>
      </c>
      <c r="D193" s="6" t="s">
        <v>277</v>
      </c>
      <c r="E193" s="6" t="s">
        <v>47</v>
      </c>
      <c r="F193" s="6" t="s">
        <v>48</v>
      </c>
      <c r="G193" s="6" t="s">
        <v>1636</v>
      </c>
      <c r="H193" s="6" t="s">
        <v>4401</v>
      </c>
      <c r="I193" s="6" t="s">
        <v>4402</v>
      </c>
      <c r="J193" s="6">
        <v>1.75</v>
      </c>
      <c r="K193" s="6">
        <v>26.19</v>
      </c>
      <c r="L193" s="6" t="s">
        <v>4403</v>
      </c>
      <c r="M193" s="6" t="s">
        <v>2088</v>
      </c>
      <c r="N193" s="6" t="s">
        <v>83</v>
      </c>
      <c r="O193" s="6" t="s">
        <v>4404</v>
      </c>
      <c r="P193" s="6" t="s">
        <v>4405</v>
      </c>
      <c r="Q193" s="6" t="s">
        <v>4405</v>
      </c>
      <c r="R193" s="6" t="s">
        <v>167</v>
      </c>
      <c r="S193" s="6" t="s">
        <v>4406</v>
      </c>
      <c r="T193" s="6">
        <v>1330000</v>
      </c>
      <c r="U193" s="6">
        <v>3500000</v>
      </c>
      <c r="V193" s="6" t="s">
        <v>4407</v>
      </c>
      <c r="W193" s="6" t="s">
        <v>3626</v>
      </c>
      <c r="X193" s="6" t="s">
        <v>4408</v>
      </c>
      <c r="Y193" s="6" t="s">
        <v>4409</v>
      </c>
      <c r="Z193" s="6" t="s">
        <v>93</v>
      </c>
      <c r="AA193" s="6" t="s">
        <v>4410</v>
      </c>
      <c r="AB193" s="6" t="s">
        <v>378</v>
      </c>
      <c r="AC193" s="6" t="s">
        <v>662</v>
      </c>
      <c r="AD193" s="6" t="s">
        <v>693</v>
      </c>
      <c r="AE193" s="6" t="s">
        <v>453</v>
      </c>
      <c r="AF193" s="6" t="s">
        <v>1430</v>
      </c>
      <c r="AG193" s="6" t="s">
        <v>4411</v>
      </c>
      <c r="AH193" s="6">
        <v>3</v>
      </c>
      <c r="AI193" s="6" t="s">
        <v>72</v>
      </c>
      <c r="AJ193" s="6" t="s">
        <v>4412</v>
      </c>
      <c r="AK193" s="6" t="s">
        <v>756</v>
      </c>
      <c r="AL193" s="6"/>
      <c r="AM193" s="6" t="s">
        <v>102</v>
      </c>
      <c r="AN193" s="6">
        <v>2975000</v>
      </c>
      <c r="AO193" s="10">
        <v>52062.500000000007</v>
      </c>
      <c r="AP193" s="6"/>
      <c r="AQ193" s="6"/>
      <c r="AR193" s="6"/>
      <c r="AS193" s="18" t="s">
        <v>6745</v>
      </c>
      <c r="AT193" s="18"/>
      <c r="AU193" s="19">
        <v>52063</v>
      </c>
      <c r="AV193" s="20">
        <v>-0.49999999999272404</v>
      </c>
      <c r="AW193" s="18" t="s">
        <v>6555</v>
      </c>
      <c r="AX193" s="18"/>
      <c r="AY193" s="18"/>
    </row>
    <row r="194" spans="1:51" x14ac:dyDescent="0.25">
      <c r="A194" s="7">
        <v>192</v>
      </c>
      <c r="B194" s="8" t="s">
        <v>1305</v>
      </c>
      <c r="C194" s="8" t="s">
        <v>4413</v>
      </c>
      <c r="D194" s="8" t="s">
        <v>241</v>
      </c>
      <c r="E194" s="8" t="s">
        <v>47</v>
      </c>
      <c r="F194" s="8" t="s">
        <v>48</v>
      </c>
      <c r="G194" s="8" t="s">
        <v>2951</v>
      </c>
      <c r="H194" s="8" t="s">
        <v>4414</v>
      </c>
      <c r="I194" s="8" t="s">
        <v>4415</v>
      </c>
      <c r="J194" s="8">
        <v>2</v>
      </c>
      <c r="K194" s="8">
        <v>26.3</v>
      </c>
      <c r="L194" s="8" t="s">
        <v>4416</v>
      </c>
      <c r="M194" s="8" t="s">
        <v>4417</v>
      </c>
      <c r="N194" s="8" t="s">
        <v>265</v>
      </c>
      <c r="O194" s="8" t="s">
        <v>4418</v>
      </c>
      <c r="P194" s="8" t="s">
        <v>4419</v>
      </c>
      <c r="Q194" s="8" t="s">
        <v>65</v>
      </c>
      <c r="R194" s="8" t="s">
        <v>4420</v>
      </c>
      <c r="S194" s="8" t="s">
        <v>4421</v>
      </c>
      <c r="T194" s="8">
        <v>845470</v>
      </c>
      <c r="U194" s="8">
        <v>1433000</v>
      </c>
      <c r="V194" s="8" t="s">
        <v>4422</v>
      </c>
      <c r="W194" s="8" t="s">
        <v>231</v>
      </c>
      <c r="X194" s="8" t="s">
        <v>4423</v>
      </c>
      <c r="Y194" s="8" t="s">
        <v>4424</v>
      </c>
      <c r="Z194" s="8" t="s">
        <v>64</v>
      </c>
      <c r="AA194" s="8" t="s">
        <v>65</v>
      </c>
      <c r="AB194" s="8" t="s">
        <v>2499</v>
      </c>
      <c r="AC194" s="8" t="s">
        <v>67</v>
      </c>
      <c r="AD194" s="8" t="s">
        <v>2606</v>
      </c>
      <c r="AE194" s="8" t="s">
        <v>69</v>
      </c>
      <c r="AF194" s="8" t="s">
        <v>1319</v>
      </c>
      <c r="AG194" s="8" t="s">
        <v>4425</v>
      </c>
      <c r="AH194" s="8">
        <v>7</v>
      </c>
      <c r="AI194" s="8" t="s">
        <v>198</v>
      </c>
      <c r="AJ194" s="8" t="s">
        <v>4426</v>
      </c>
      <c r="AK194" s="8" t="s">
        <v>147</v>
      </c>
      <c r="AL194" s="8"/>
      <c r="AM194" s="8" t="s">
        <v>75</v>
      </c>
      <c r="AN194" s="8">
        <v>1146400</v>
      </c>
      <c r="AO194" s="11">
        <v>22928</v>
      </c>
      <c r="AP194" s="8"/>
      <c r="AQ194" s="8"/>
      <c r="AR194" s="8"/>
      <c r="AS194" s="18" t="s">
        <v>6746</v>
      </c>
      <c r="AT194" s="18"/>
      <c r="AU194" s="19">
        <v>22928</v>
      </c>
      <c r="AV194" s="20">
        <v>0</v>
      </c>
      <c r="AW194" s="18" t="s">
        <v>6555</v>
      </c>
      <c r="AX194" s="18"/>
      <c r="AY194" s="18"/>
    </row>
    <row r="195" spans="1:51" x14ac:dyDescent="0.25">
      <c r="A195" s="5">
        <v>193</v>
      </c>
      <c r="B195" s="6" t="s">
        <v>1305</v>
      </c>
      <c r="C195" s="6" t="s">
        <v>4427</v>
      </c>
      <c r="D195" s="6" t="s">
        <v>77</v>
      </c>
      <c r="E195" s="6" t="s">
        <v>47</v>
      </c>
      <c r="F195" s="6" t="s">
        <v>48</v>
      </c>
      <c r="G195" s="6" t="s">
        <v>516</v>
      </c>
      <c r="H195" s="6" t="s">
        <v>4428</v>
      </c>
      <c r="I195" s="6" t="s">
        <v>4429</v>
      </c>
      <c r="J195" s="6">
        <v>2.5</v>
      </c>
      <c r="K195" s="6">
        <v>27.7</v>
      </c>
      <c r="L195" s="6" t="s">
        <v>4430</v>
      </c>
      <c r="M195" s="6" t="s">
        <v>4431</v>
      </c>
      <c r="N195" s="6" t="s">
        <v>187</v>
      </c>
      <c r="O195" s="6" t="s">
        <v>4432</v>
      </c>
      <c r="P195" s="6" t="s">
        <v>4433</v>
      </c>
      <c r="Q195" s="6" t="s">
        <v>4433</v>
      </c>
      <c r="R195" s="6" t="s">
        <v>4433</v>
      </c>
      <c r="S195" s="6" t="s">
        <v>4434</v>
      </c>
      <c r="T195" s="6">
        <v>702000</v>
      </c>
      <c r="U195" s="6">
        <v>900000</v>
      </c>
      <c r="V195" s="6" t="s">
        <v>4435</v>
      </c>
      <c r="W195" s="6" t="s">
        <v>288</v>
      </c>
      <c r="X195" s="6" t="s">
        <v>4436</v>
      </c>
      <c r="Y195" s="6" t="s">
        <v>4437</v>
      </c>
      <c r="Z195" s="6" t="s">
        <v>93</v>
      </c>
      <c r="AA195" s="6" t="s">
        <v>4438</v>
      </c>
      <c r="AB195" s="6" t="s">
        <v>273</v>
      </c>
      <c r="AC195" s="6" t="s">
        <v>2425</v>
      </c>
      <c r="AD195" s="6" t="s">
        <v>2449</v>
      </c>
      <c r="AE195" s="6" t="s">
        <v>177</v>
      </c>
      <c r="AF195" s="6" t="s">
        <v>2533</v>
      </c>
      <c r="AG195" s="6" t="s">
        <v>4439</v>
      </c>
      <c r="AH195" s="6">
        <v>6</v>
      </c>
      <c r="AI195" s="6" t="s">
        <v>100</v>
      </c>
      <c r="AJ195" s="6" t="s">
        <v>4440</v>
      </c>
      <c r="AK195" s="6" t="s">
        <v>176</v>
      </c>
      <c r="AL195" s="6"/>
      <c r="AM195" s="6" t="s">
        <v>180</v>
      </c>
      <c r="AN195" s="6">
        <v>630000</v>
      </c>
      <c r="AO195" s="10">
        <v>15750</v>
      </c>
      <c r="AP195" s="6"/>
      <c r="AQ195" s="6"/>
      <c r="AR195" s="6"/>
      <c r="AS195" s="18" t="s">
        <v>6747</v>
      </c>
      <c r="AT195" s="18" t="s">
        <v>6965</v>
      </c>
      <c r="AU195" s="19">
        <v>19125</v>
      </c>
      <c r="AV195" s="20">
        <v>-3375</v>
      </c>
      <c r="AW195" s="18" t="s">
        <v>6555</v>
      </c>
      <c r="AX195" s="19">
        <v>-3375</v>
      </c>
      <c r="AY195" s="20">
        <v>0</v>
      </c>
    </row>
    <row r="196" spans="1:51" x14ac:dyDescent="0.25">
      <c r="A196" s="7">
        <v>194</v>
      </c>
      <c r="B196" s="8" t="s">
        <v>1305</v>
      </c>
      <c r="C196" s="8" t="s">
        <v>4458</v>
      </c>
      <c r="D196" s="8" t="s">
        <v>277</v>
      </c>
      <c r="E196" s="8" t="s">
        <v>47</v>
      </c>
      <c r="F196" s="8" t="s">
        <v>48</v>
      </c>
      <c r="G196" s="8" t="s">
        <v>1947</v>
      </c>
      <c r="H196" s="8" t="s">
        <v>4459</v>
      </c>
      <c r="I196" s="8" t="s">
        <v>4460</v>
      </c>
      <c r="J196" s="8">
        <v>1.75</v>
      </c>
      <c r="K196" s="8">
        <v>26.7</v>
      </c>
      <c r="L196" s="8" t="s">
        <v>4461</v>
      </c>
      <c r="M196" s="8" t="s">
        <v>4462</v>
      </c>
      <c r="N196" s="8" t="s">
        <v>164</v>
      </c>
      <c r="O196" s="8" t="s">
        <v>4463</v>
      </c>
      <c r="P196" s="8" t="s">
        <v>4464</v>
      </c>
      <c r="Q196" s="8" t="s">
        <v>65</v>
      </c>
      <c r="R196" s="8" t="s">
        <v>4465</v>
      </c>
      <c r="S196" s="8" t="s">
        <v>4466</v>
      </c>
      <c r="T196" s="8">
        <v>2145000</v>
      </c>
      <c r="U196" s="8">
        <v>3300000</v>
      </c>
      <c r="V196" s="8" t="s">
        <v>4467</v>
      </c>
      <c r="W196" s="8" t="s">
        <v>4468</v>
      </c>
      <c r="X196" s="8" t="s">
        <v>4469</v>
      </c>
      <c r="Y196" s="8" t="s">
        <v>4470</v>
      </c>
      <c r="Z196" s="8" t="s">
        <v>93</v>
      </c>
      <c r="AA196" s="8" t="s">
        <v>4471</v>
      </c>
      <c r="AB196" s="8" t="s">
        <v>4472</v>
      </c>
      <c r="AC196" s="8" t="s">
        <v>67</v>
      </c>
      <c r="AD196" s="12">
        <v>45197</v>
      </c>
      <c r="AE196" s="8" t="s">
        <v>2516</v>
      </c>
      <c r="AF196" s="8" t="s">
        <v>1319</v>
      </c>
      <c r="AG196" s="8" t="s">
        <v>4473</v>
      </c>
      <c r="AH196" s="8">
        <v>5</v>
      </c>
      <c r="AI196" s="8" t="s">
        <v>237</v>
      </c>
      <c r="AJ196" s="8" t="s">
        <v>4474</v>
      </c>
      <c r="AK196" s="8" t="s">
        <v>3698</v>
      </c>
      <c r="AL196" s="8"/>
      <c r="AM196" s="8" t="s">
        <v>102</v>
      </c>
      <c r="AN196" s="8">
        <v>2970000</v>
      </c>
      <c r="AO196" s="11">
        <v>51975.000000000007</v>
      </c>
      <c r="AP196" s="8"/>
      <c r="AQ196" s="8"/>
      <c r="AR196" s="8"/>
      <c r="AS196" s="18" t="s">
        <v>6748</v>
      </c>
      <c r="AT196" s="18" t="s">
        <v>6966</v>
      </c>
      <c r="AU196" s="19">
        <v>46200</v>
      </c>
      <c r="AV196" s="20">
        <v>5775.0000000000073</v>
      </c>
      <c r="AW196" s="18" t="s">
        <v>6555</v>
      </c>
      <c r="AX196" s="19">
        <v>5775</v>
      </c>
      <c r="AY196" s="20">
        <v>7.2759576141834259E-12</v>
      </c>
    </row>
    <row r="197" spans="1:51" x14ac:dyDescent="0.25">
      <c r="A197" s="5">
        <v>195</v>
      </c>
      <c r="B197" s="6" t="s">
        <v>1305</v>
      </c>
      <c r="C197" s="6" t="s">
        <v>4475</v>
      </c>
      <c r="D197" s="6" t="s">
        <v>277</v>
      </c>
      <c r="E197" s="6" t="s">
        <v>47</v>
      </c>
      <c r="F197" s="6" t="s">
        <v>48</v>
      </c>
      <c r="G197" s="6" t="s">
        <v>2658</v>
      </c>
      <c r="H197" s="6" t="s">
        <v>4476</v>
      </c>
      <c r="I197" s="6" t="s">
        <v>4477</v>
      </c>
      <c r="J197" s="6">
        <v>1.75</v>
      </c>
      <c r="K197" s="6">
        <v>26.19</v>
      </c>
      <c r="L197" s="6" t="s">
        <v>4478</v>
      </c>
      <c r="M197" s="6" t="s">
        <v>4479</v>
      </c>
      <c r="N197" s="6" t="s">
        <v>187</v>
      </c>
      <c r="O197" s="6" t="s">
        <v>4480</v>
      </c>
      <c r="P197" s="6" t="s">
        <v>4481</v>
      </c>
      <c r="Q197" s="6" t="s">
        <v>4481</v>
      </c>
      <c r="R197" s="6" t="s">
        <v>4481</v>
      </c>
      <c r="S197" s="6" t="s">
        <v>4482</v>
      </c>
      <c r="T197" s="6">
        <v>2862000</v>
      </c>
      <c r="U197" s="6">
        <v>5300000</v>
      </c>
      <c r="V197" s="6" t="s">
        <v>4483</v>
      </c>
      <c r="W197" s="6" t="s">
        <v>4484</v>
      </c>
      <c r="X197" s="6" t="s">
        <v>4485</v>
      </c>
      <c r="Y197" s="6" t="s">
        <v>4486</v>
      </c>
      <c r="Z197" s="6" t="s">
        <v>93</v>
      </c>
      <c r="AA197" s="6" t="s">
        <v>4487</v>
      </c>
      <c r="AB197" s="6" t="s">
        <v>873</v>
      </c>
      <c r="AC197" s="6" t="s">
        <v>96</v>
      </c>
      <c r="AD197" s="13">
        <v>45187</v>
      </c>
      <c r="AE197" s="6" t="s">
        <v>3275</v>
      </c>
      <c r="AF197" s="6" t="s">
        <v>974</v>
      </c>
      <c r="AG197" s="6" t="s">
        <v>4488</v>
      </c>
      <c r="AH197" s="6">
        <v>3</v>
      </c>
      <c r="AI197" s="6" t="s">
        <v>237</v>
      </c>
      <c r="AJ197" s="6" t="s">
        <v>4489</v>
      </c>
      <c r="AK197" s="6" t="s">
        <v>4490</v>
      </c>
      <c r="AL197" s="6"/>
      <c r="AM197" s="6" t="s">
        <v>102</v>
      </c>
      <c r="AN197" s="6">
        <v>4770000</v>
      </c>
      <c r="AO197" s="10">
        <v>83475.000000000015</v>
      </c>
      <c r="AP197" s="6"/>
      <c r="AQ197" s="6"/>
      <c r="AR197" s="6"/>
      <c r="AS197" s="18" t="s">
        <v>6749</v>
      </c>
      <c r="AT197" s="18" t="s">
        <v>6967</v>
      </c>
      <c r="AU197" s="19">
        <v>78838</v>
      </c>
      <c r="AV197" s="20">
        <v>4637.0000000000146</v>
      </c>
      <c r="AW197" s="18" t="s">
        <v>6555</v>
      </c>
      <c r="AX197" s="19">
        <v>4638</v>
      </c>
      <c r="AY197" s="20">
        <v>-0.99999999998544808</v>
      </c>
    </row>
    <row r="198" spans="1:51" x14ac:dyDescent="0.25">
      <c r="A198" s="7">
        <v>196</v>
      </c>
      <c r="B198" s="8" t="s">
        <v>1305</v>
      </c>
      <c r="C198" s="8" t="s">
        <v>4491</v>
      </c>
      <c r="D198" s="8" t="s">
        <v>77</v>
      </c>
      <c r="E198" s="8" t="s">
        <v>47</v>
      </c>
      <c r="F198" s="8" t="s">
        <v>48</v>
      </c>
      <c r="G198" s="8" t="s">
        <v>4492</v>
      </c>
      <c r="H198" s="8" t="s">
        <v>4493</v>
      </c>
      <c r="I198" s="8" t="s">
        <v>4494</v>
      </c>
      <c r="J198" s="8">
        <v>1.5</v>
      </c>
      <c r="K198" s="8">
        <v>24.69</v>
      </c>
      <c r="L198" s="8" t="s">
        <v>4495</v>
      </c>
      <c r="M198" s="8" t="s">
        <v>4496</v>
      </c>
      <c r="N198" s="8" t="s">
        <v>54</v>
      </c>
      <c r="O198" s="8" t="s">
        <v>4497</v>
      </c>
      <c r="P198" s="8" t="s">
        <v>4498</v>
      </c>
      <c r="Q198" s="8" t="s">
        <v>4498</v>
      </c>
      <c r="R198" s="8" t="s">
        <v>4498</v>
      </c>
      <c r="S198" s="8" t="s">
        <v>4499</v>
      </c>
      <c r="T198" s="8">
        <v>1467500</v>
      </c>
      <c r="U198" s="8">
        <v>2935000</v>
      </c>
      <c r="V198" s="8" t="s">
        <v>4500</v>
      </c>
      <c r="W198" s="8" t="s">
        <v>4484</v>
      </c>
      <c r="X198" s="8" t="s">
        <v>4501</v>
      </c>
      <c r="Y198" s="8" t="s">
        <v>4502</v>
      </c>
      <c r="Z198" s="8" t="s">
        <v>64</v>
      </c>
      <c r="AA198" s="8" t="s">
        <v>65</v>
      </c>
      <c r="AB198" s="8" t="s">
        <v>4503</v>
      </c>
      <c r="AC198" s="8" t="s">
        <v>436</v>
      </c>
      <c r="AD198" s="12">
        <v>45184</v>
      </c>
      <c r="AE198" s="8" t="s">
        <v>3275</v>
      </c>
      <c r="AF198" s="8" t="s">
        <v>2638</v>
      </c>
      <c r="AG198" s="8" t="s">
        <v>4504</v>
      </c>
      <c r="AH198" s="8">
        <v>5</v>
      </c>
      <c r="AI198" s="8" t="s">
        <v>72</v>
      </c>
      <c r="AJ198" s="8" t="s">
        <v>4505</v>
      </c>
      <c r="AK198" s="8" t="s">
        <v>4506</v>
      </c>
      <c r="AL198" s="8"/>
      <c r="AM198" s="8" t="s">
        <v>157</v>
      </c>
      <c r="AN198" s="8">
        <v>2641500</v>
      </c>
      <c r="AO198" s="11">
        <v>39622.5</v>
      </c>
      <c r="AP198" s="8"/>
      <c r="AQ198" s="8"/>
      <c r="AR198" s="8"/>
      <c r="AS198" s="18" t="s">
        <v>6750</v>
      </c>
      <c r="AT198" s="18" t="s">
        <v>6968</v>
      </c>
      <c r="AU198" s="19">
        <v>35220</v>
      </c>
      <c r="AV198" s="20">
        <v>4402.5</v>
      </c>
      <c r="AW198" s="18" t="s">
        <v>6555</v>
      </c>
      <c r="AX198" s="19">
        <v>4403</v>
      </c>
      <c r="AY198" s="20">
        <v>-0.5</v>
      </c>
    </row>
    <row r="199" spans="1:51" x14ac:dyDescent="0.25">
      <c r="A199" s="5">
        <v>197</v>
      </c>
      <c r="B199" s="6" t="s">
        <v>1305</v>
      </c>
      <c r="C199" s="6" t="s">
        <v>4507</v>
      </c>
      <c r="D199" s="6" t="s">
        <v>77</v>
      </c>
      <c r="E199" s="6" t="s">
        <v>47</v>
      </c>
      <c r="F199" s="6" t="s">
        <v>48</v>
      </c>
      <c r="G199" s="6" t="s">
        <v>1947</v>
      </c>
      <c r="H199" s="6" t="s">
        <v>4508</v>
      </c>
      <c r="I199" s="6" t="s">
        <v>4509</v>
      </c>
      <c r="J199" s="6">
        <v>1.75</v>
      </c>
      <c r="K199" s="6">
        <v>25.45</v>
      </c>
      <c r="L199" s="6" t="s">
        <v>4510</v>
      </c>
      <c r="M199" s="6" t="s">
        <v>4511</v>
      </c>
      <c r="N199" s="6" t="s">
        <v>265</v>
      </c>
      <c r="O199" s="6" t="s">
        <v>4512</v>
      </c>
      <c r="P199" s="6" t="s">
        <v>4513</v>
      </c>
      <c r="Q199" s="6" t="s">
        <v>4513</v>
      </c>
      <c r="R199" s="6" t="s">
        <v>4514</v>
      </c>
      <c r="S199" s="6" t="s">
        <v>4515</v>
      </c>
      <c r="T199" s="6">
        <v>1057500</v>
      </c>
      <c r="U199" s="6">
        <v>2350000</v>
      </c>
      <c r="V199" s="6" t="s">
        <v>4516</v>
      </c>
      <c r="W199" s="6" t="s">
        <v>4468</v>
      </c>
      <c r="X199" s="6" t="s">
        <v>4517</v>
      </c>
      <c r="Y199" s="6" t="s">
        <v>4518</v>
      </c>
      <c r="Z199" s="6" t="s">
        <v>93</v>
      </c>
      <c r="AA199" s="6" t="s">
        <v>4519</v>
      </c>
      <c r="AB199" s="6" t="s">
        <v>2499</v>
      </c>
      <c r="AC199" s="6" t="s">
        <v>67</v>
      </c>
      <c r="AD199" s="13">
        <v>45197</v>
      </c>
      <c r="AE199" s="6" t="s">
        <v>2516</v>
      </c>
      <c r="AF199" s="6" t="s">
        <v>1319</v>
      </c>
      <c r="AG199" s="6" t="s">
        <v>4520</v>
      </c>
      <c r="AH199" s="6">
        <v>5</v>
      </c>
      <c r="AI199" s="6" t="s">
        <v>237</v>
      </c>
      <c r="AJ199" s="6" t="s">
        <v>4521</v>
      </c>
      <c r="AK199" s="6" t="s">
        <v>3698</v>
      </c>
      <c r="AL199" s="6"/>
      <c r="AM199" s="6" t="s">
        <v>102</v>
      </c>
      <c r="AN199" s="6">
        <v>2115000</v>
      </c>
      <c r="AO199" s="10">
        <v>37012.5</v>
      </c>
      <c r="AP199" s="6"/>
      <c r="AQ199" s="6"/>
      <c r="AR199" s="6"/>
      <c r="AS199" s="18" t="s">
        <v>6751</v>
      </c>
      <c r="AT199" s="18" t="s">
        <v>6969</v>
      </c>
      <c r="AU199" s="19">
        <v>32900</v>
      </c>
      <c r="AV199" s="20">
        <v>4112.5</v>
      </c>
      <c r="AW199" s="18" t="s">
        <v>6555</v>
      </c>
      <c r="AX199" s="19">
        <v>4113</v>
      </c>
      <c r="AY199" s="20">
        <v>-0.5</v>
      </c>
    </row>
    <row r="200" spans="1:51" x14ac:dyDescent="0.25">
      <c r="A200" s="7">
        <v>198</v>
      </c>
      <c r="B200" s="8" t="s">
        <v>1305</v>
      </c>
      <c r="C200" s="8" t="s">
        <v>4522</v>
      </c>
      <c r="D200" s="8" t="s">
        <v>46</v>
      </c>
      <c r="E200" s="8" t="s">
        <v>47</v>
      </c>
      <c r="F200" s="8" t="s">
        <v>48</v>
      </c>
      <c r="G200" s="8" t="s">
        <v>994</v>
      </c>
      <c r="H200" s="8" t="s">
        <v>4523</v>
      </c>
      <c r="I200" s="8" t="s">
        <v>4524</v>
      </c>
      <c r="J200" s="8">
        <v>2</v>
      </c>
      <c r="K200" s="8">
        <v>26.7</v>
      </c>
      <c r="L200" s="8" t="s">
        <v>4525</v>
      </c>
      <c r="M200" s="8" t="s">
        <v>4526</v>
      </c>
      <c r="N200" s="8" t="s">
        <v>187</v>
      </c>
      <c r="O200" s="8" t="s">
        <v>4527</v>
      </c>
      <c r="P200" s="8" t="s">
        <v>4528</v>
      </c>
      <c r="Q200" s="8" t="s">
        <v>4528</v>
      </c>
      <c r="R200" s="8" t="s">
        <v>4528</v>
      </c>
      <c r="S200" s="8" t="s">
        <v>4529</v>
      </c>
      <c r="T200" s="8">
        <v>1109500</v>
      </c>
      <c r="U200" s="8">
        <v>2219000</v>
      </c>
      <c r="V200" s="8" t="s">
        <v>4530</v>
      </c>
      <c r="W200" s="8" t="s">
        <v>4531</v>
      </c>
      <c r="X200" s="8" t="s">
        <v>4532</v>
      </c>
      <c r="Y200" s="8" t="s">
        <v>4533</v>
      </c>
      <c r="Z200" s="8" t="s">
        <v>64</v>
      </c>
      <c r="AA200" s="8" t="s">
        <v>65</v>
      </c>
      <c r="AB200" s="8" t="s">
        <v>1850</v>
      </c>
      <c r="AC200" s="8" t="s">
        <v>531</v>
      </c>
      <c r="AD200" s="8" t="s">
        <v>3905</v>
      </c>
      <c r="AE200" s="8" t="s">
        <v>98</v>
      </c>
      <c r="AF200" s="8" t="s">
        <v>2698</v>
      </c>
      <c r="AG200" s="8" t="s">
        <v>4534</v>
      </c>
      <c r="AH200" s="8">
        <v>5</v>
      </c>
      <c r="AI200" s="8" t="s">
        <v>100</v>
      </c>
      <c r="AJ200" s="8" t="s">
        <v>4535</v>
      </c>
      <c r="AK200" s="8" t="s">
        <v>307</v>
      </c>
      <c r="AL200" s="8"/>
      <c r="AM200" s="8" t="s">
        <v>75</v>
      </c>
      <c r="AN200" s="8">
        <v>1886150</v>
      </c>
      <c r="AO200" s="11">
        <v>37723</v>
      </c>
      <c r="AP200" s="8"/>
      <c r="AQ200" s="8"/>
      <c r="AR200" s="8"/>
      <c r="AS200" s="18" t="s">
        <v>6752</v>
      </c>
      <c r="AT200" s="18" t="s">
        <v>6970</v>
      </c>
      <c r="AU200" s="19">
        <v>33285</v>
      </c>
      <c r="AV200" s="20">
        <v>4438</v>
      </c>
      <c r="AW200" s="18" t="s">
        <v>6555</v>
      </c>
      <c r="AX200" s="19">
        <v>4438</v>
      </c>
      <c r="AY200" s="20">
        <v>0</v>
      </c>
    </row>
    <row r="201" spans="1:51" x14ac:dyDescent="0.25">
      <c r="A201" s="5">
        <v>199</v>
      </c>
      <c r="B201" s="6" t="s">
        <v>1305</v>
      </c>
      <c r="C201" s="6" t="s">
        <v>4536</v>
      </c>
      <c r="D201" s="6" t="s">
        <v>241</v>
      </c>
      <c r="E201" s="6" t="s">
        <v>47</v>
      </c>
      <c r="F201" s="6" t="s">
        <v>48</v>
      </c>
      <c r="G201" s="6" t="s">
        <v>1401</v>
      </c>
      <c r="H201" s="6" t="s">
        <v>4537</v>
      </c>
      <c r="I201" s="6" t="s">
        <v>4538</v>
      </c>
      <c r="J201" s="6">
        <v>2</v>
      </c>
      <c r="K201" s="6">
        <v>26.3</v>
      </c>
      <c r="L201" s="6" t="s">
        <v>4539</v>
      </c>
      <c r="M201" s="6" t="s">
        <v>4540</v>
      </c>
      <c r="N201" s="6" t="s">
        <v>164</v>
      </c>
      <c r="O201" s="6" t="s">
        <v>4541</v>
      </c>
      <c r="P201" s="6" t="s">
        <v>4542</v>
      </c>
      <c r="Q201" s="6" t="s">
        <v>65</v>
      </c>
      <c r="R201" s="6" t="s">
        <v>4543</v>
      </c>
      <c r="S201" s="6" t="s">
        <v>4544</v>
      </c>
      <c r="T201" s="6">
        <v>2053100</v>
      </c>
      <c r="U201" s="6">
        <v>2933000</v>
      </c>
      <c r="V201" s="6" t="s">
        <v>4545</v>
      </c>
      <c r="W201" s="6" t="s">
        <v>307</v>
      </c>
      <c r="X201" s="6" t="s">
        <v>4546</v>
      </c>
      <c r="Y201" s="6" t="s">
        <v>4547</v>
      </c>
      <c r="Z201" s="6" t="s">
        <v>64</v>
      </c>
      <c r="AA201" s="6" t="s">
        <v>65</v>
      </c>
      <c r="AB201" s="6" t="s">
        <v>4548</v>
      </c>
      <c r="AC201" s="6" t="s">
        <v>67</v>
      </c>
      <c r="AD201" s="6" t="s">
        <v>697</v>
      </c>
      <c r="AE201" s="6" t="s">
        <v>69</v>
      </c>
      <c r="AF201" s="6" t="s">
        <v>1007</v>
      </c>
      <c r="AG201" s="6" t="s">
        <v>4549</v>
      </c>
      <c r="AH201" s="6">
        <v>5</v>
      </c>
      <c r="AI201" s="6" t="s">
        <v>237</v>
      </c>
      <c r="AJ201" s="6" t="s">
        <v>4550</v>
      </c>
      <c r="AK201" s="6" t="s">
        <v>239</v>
      </c>
      <c r="AL201" s="6"/>
      <c r="AM201" s="6" t="s">
        <v>75</v>
      </c>
      <c r="AN201" s="6">
        <v>2346400</v>
      </c>
      <c r="AO201" s="10">
        <v>46928</v>
      </c>
      <c r="AP201" s="6"/>
      <c r="AQ201" s="6"/>
      <c r="AR201" s="6"/>
      <c r="AS201" s="18" t="s">
        <v>6753</v>
      </c>
      <c r="AT201" s="18"/>
      <c r="AU201" s="19">
        <v>46928</v>
      </c>
      <c r="AV201" s="20">
        <v>0</v>
      </c>
      <c r="AW201" s="18" t="s">
        <v>6555</v>
      </c>
      <c r="AX201" s="18"/>
      <c r="AY201" s="18"/>
    </row>
    <row r="202" spans="1:51" x14ac:dyDescent="0.25">
      <c r="A202" s="7">
        <v>200</v>
      </c>
      <c r="B202" s="8" t="s">
        <v>1305</v>
      </c>
      <c r="C202" s="8" t="s">
        <v>4551</v>
      </c>
      <c r="D202" s="8" t="s">
        <v>46</v>
      </c>
      <c r="E202" s="8" t="s">
        <v>47</v>
      </c>
      <c r="F202" s="8" t="s">
        <v>48</v>
      </c>
      <c r="G202" s="8" t="s">
        <v>1544</v>
      </c>
      <c r="H202" s="8" t="s">
        <v>4552</v>
      </c>
      <c r="I202" s="8" t="s">
        <v>4553</v>
      </c>
      <c r="J202" s="8">
        <v>2</v>
      </c>
      <c r="K202" s="8">
        <v>25.85</v>
      </c>
      <c r="L202" s="8" t="s">
        <v>4554</v>
      </c>
      <c r="M202" s="8" t="s">
        <v>4555</v>
      </c>
      <c r="N202" s="8" t="s">
        <v>578</v>
      </c>
      <c r="O202" s="8" t="s">
        <v>4556</v>
      </c>
      <c r="P202" s="8" t="s">
        <v>4557</v>
      </c>
      <c r="Q202" s="8" t="s">
        <v>4557</v>
      </c>
      <c r="R202" s="8" t="s">
        <v>4557</v>
      </c>
      <c r="S202" s="8" t="s">
        <v>4558</v>
      </c>
      <c r="T202" s="8">
        <v>1832250</v>
      </c>
      <c r="U202" s="8">
        <v>2443000</v>
      </c>
      <c r="V202" s="8" t="s">
        <v>4559</v>
      </c>
      <c r="W202" s="8" t="s">
        <v>307</v>
      </c>
      <c r="X202" s="8" t="s">
        <v>4560</v>
      </c>
      <c r="Y202" s="8" t="s">
        <v>4561</v>
      </c>
      <c r="Z202" s="8" t="s">
        <v>64</v>
      </c>
      <c r="AA202" s="8" t="s">
        <v>65</v>
      </c>
      <c r="AB202" s="8" t="s">
        <v>2259</v>
      </c>
      <c r="AC202" s="8" t="s">
        <v>67</v>
      </c>
      <c r="AD202" s="8" t="s">
        <v>4562</v>
      </c>
      <c r="AE202" s="8" t="s">
        <v>69</v>
      </c>
      <c r="AF202" s="8" t="s">
        <v>1007</v>
      </c>
      <c r="AG202" s="8" t="s">
        <v>4563</v>
      </c>
      <c r="AH202" s="8">
        <v>5</v>
      </c>
      <c r="AI202" s="8" t="s">
        <v>198</v>
      </c>
      <c r="AJ202" s="8" t="s">
        <v>4564</v>
      </c>
      <c r="AK202" s="8" t="s">
        <v>399</v>
      </c>
      <c r="AL202" s="8"/>
      <c r="AM202" s="8" t="s">
        <v>75</v>
      </c>
      <c r="AN202" s="8">
        <v>1954400</v>
      </c>
      <c r="AO202" s="11">
        <v>39088</v>
      </c>
      <c r="AP202" s="8"/>
      <c r="AQ202" s="8"/>
      <c r="AR202" s="8"/>
      <c r="AS202" s="18" t="s">
        <v>6754</v>
      </c>
      <c r="AT202" s="18"/>
      <c r="AU202" s="19">
        <v>39088</v>
      </c>
      <c r="AV202" s="20">
        <v>0</v>
      </c>
      <c r="AW202" s="18" t="s">
        <v>6555</v>
      </c>
      <c r="AX202" s="18"/>
      <c r="AY202" s="18"/>
    </row>
    <row r="203" spans="1:51" x14ac:dyDescent="0.25">
      <c r="A203" s="5">
        <v>201</v>
      </c>
      <c r="B203" s="6" t="s">
        <v>1305</v>
      </c>
      <c r="C203" s="6" t="s">
        <v>4565</v>
      </c>
      <c r="D203" s="6" t="s">
        <v>1489</v>
      </c>
      <c r="E203" s="6" t="s">
        <v>47</v>
      </c>
      <c r="F203" s="6" t="s">
        <v>48</v>
      </c>
      <c r="G203" s="6" t="s">
        <v>1603</v>
      </c>
      <c r="H203" s="6" t="s">
        <v>4566</v>
      </c>
      <c r="I203" s="6" t="s">
        <v>4567</v>
      </c>
      <c r="J203" s="6">
        <v>1.5</v>
      </c>
      <c r="K203" s="6">
        <v>27.18</v>
      </c>
      <c r="L203" s="6" t="s">
        <v>4568</v>
      </c>
      <c r="M203" s="6" t="s">
        <v>4569</v>
      </c>
      <c r="N203" s="6" t="s">
        <v>265</v>
      </c>
      <c r="O203" s="6" t="s">
        <v>4570</v>
      </c>
      <c r="P203" s="6" t="s">
        <v>4571</v>
      </c>
      <c r="Q203" s="6" t="s">
        <v>65</v>
      </c>
      <c r="R203" s="6" t="s">
        <v>4572</v>
      </c>
      <c r="S203" s="6" t="s">
        <v>4573</v>
      </c>
      <c r="T203" s="6">
        <v>2116000</v>
      </c>
      <c r="U203" s="6">
        <v>2645000</v>
      </c>
      <c r="V203" s="6" t="s">
        <v>4574</v>
      </c>
      <c r="W203" s="6" t="s">
        <v>4575</v>
      </c>
      <c r="X203" s="6" t="s">
        <v>4576</v>
      </c>
      <c r="Y203" s="6" t="s">
        <v>4577</v>
      </c>
      <c r="Z203" s="6" t="s">
        <v>64</v>
      </c>
      <c r="AA203" s="6" t="s">
        <v>65</v>
      </c>
      <c r="AB203" s="6" t="s">
        <v>4578</v>
      </c>
      <c r="AC203" s="6" t="s">
        <v>151</v>
      </c>
      <c r="AD203" s="6" t="s">
        <v>1504</v>
      </c>
      <c r="AE203" s="6" t="s">
        <v>1539</v>
      </c>
      <c r="AF203" s="6" t="s">
        <v>1430</v>
      </c>
      <c r="AG203" s="6" t="s">
        <v>4579</v>
      </c>
      <c r="AH203" s="6">
        <v>5</v>
      </c>
      <c r="AI203" s="6" t="s">
        <v>237</v>
      </c>
      <c r="AJ203" s="6" t="s">
        <v>4580</v>
      </c>
      <c r="AK203" s="6" t="s">
        <v>2229</v>
      </c>
      <c r="AL203" s="6"/>
      <c r="AM203" s="6" t="s">
        <v>157</v>
      </c>
      <c r="AN203" s="6">
        <v>1983750</v>
      </c>
      <c r="AO203" s="10">
        <v>29756.25</v>
      </c>
      <c r="AP203" s="6"/>
      <c r="AQ203" s="6"/>
      <c r="AR203" s="6"/>
      <c r="AS203" s="18" t="s">
        <v>6755</v>
      </c>
      <c r="AT203" s="18" t="s">
        <v>6971</v>
      </c>
      <c r="AU203" s="19">
        <v>33724</v>
      </c>
      <c r="AV203" s="20">
        <v>-3967.75</v>
      </c>
      <c r="AW203" s="18" t="s">
        <v>6555</v>
      </c>
      <c r="AX203" s="19">
        <v>-3968</v>
      </c>
      <c r="AY203" s="20">
        <v>0.25</v>
      </c>
    </row>
    <row r="204" spans="1:51" x14ac:dyDescent="0.25">
      <c r="A204" s="7">
        <v>202</v>
      </c>
      <c r="B204" s="8" t="s">
        <v>1305</v>
      </c>
      <c r="C204" s="8" t="s">
        <v>4581</v>
      </c>
      <c r="D204" s="8" t="s">
        <v>241</v>
      </c>
      <c r="E204" s="8" t="s">
        <v>47</v>
      </c>
      <c r="F204" s="8" t="s">
        <v>48</v>
      </c>
      <c r="G204" s="8" t="s">
        <v>4582</v>
      </c>
      <c r="H204" s="8" t="s">
        <v>4583</v>
      </c>
      <c r="I204" s="8" t="s">
        <v>4584</v>
      </c>
      <c r="J204" s="8">
        <v>2</v>
      </c>
      <c r="K204" s="8">
        <v>26.28</v>
      </c>
      <c r="L204" s="8" t="s">
        <v>4585</v>
      </c>
      <c r="M204" s="8" t="s">
        <v>4586</v>
      </c>
      <c r="N204" s="8" t="s">
        <v>901</v>
      </c>
      <c r="O204" s="8" t="s">
        <v>4587</v>
      </c>
      <c r="P204" s="8" t="s">
        <v>4588</v>
      </c>
      <c r="Q204" s="8" t="s">
        <v>4588</v>
      </c>
      <c r="R204" s="8" t="s">
        <v>167</v>
      </c>
      <c r="S204" s="8" t="s">
        <v>4589</v>
      </c>
      <c r="T204" s="8">
        <v>804300</v>
      </c>
      <c r="U204" s="8">
        <v>1149000</v>
      </c>
      <c r="V204" s="8" t="s">
        <v>4590</v>
      </c>
      <c r="W204" s="8" t="s">
        <v>756</v>
      </c>
      <c r="X204" s="8" t="s">
        <v>4591</v>
      </c>
      <c r="Y204" s="8" t="s">
        <v>4592</v>
      </c>
      <c r="Z204" s="8" t="s">
        <v>64</v>
      </c>
      <c r="AA204" s="8" t="s">
        <v>65</v>
      </c>
      <c r="AB204" s="8" t="s">
        <v>742</v>
      </c>
      <c r="AC204" s="8" t="s">
        <v>67</v>
      </c>
      <c r="AD204" s="8" t="s">
        <v>1006</v>
      </c>
      <c r="AE204" s="8" t="s">
        <v>604</v>
      </c>
      <c r="AF204" s="8" t="s">
        <v>974</v>
      </c>
      <c r="AG204" s="8" t="s">
        <v>4593</v>
      </c>
      <c r="AH204" s="8">
        <v>5</v>
      </c>
      <c r="AI204" s="8" t="s">
        <v>511</v>
      </c>
      <c r="AJ204" s="8" t="s">
        <v>4594</v>
      </c>
      <c r="AK204" s="8" t="s">
        <v>1097</v>
      </c>
      <c r="AL204" s="8"/>
      <c r="AM204" s="8" t="s">
        <v>75</v>
      </c>
      <c r="AN204" s="8">
        <v>919200</v>
      </c>
      <c r="AO204" s="11">
        <v>18384</v>
      </c>
      <c r="AP204" s="8"/>
      <c r="AQ204" s="8"/>
      <c r="AR204" s="8"/>
      <c r="AS204" s="18" t="s">
        <v>6756</v>
      </c>
      <c r="AT204" s="18"/>
      <c r="AU204" s="19">
        <v>18384</v>
      </c>
      <c r="AV204" s="20">
        <v>0</v>
      </c>
      <c r="AW204" s="18" t="s">
        <v>6555</v>
      </c>
      <c r="AX204" s="18"/>
      <c r="AY204" s="18"/>
    </row>
    <row r="205" spans="1:51" x14ac:dyDescent="0.25">
      <c r="A205" s="5">
        <v>203</v>
      </c>
      <c r="B205" s="6" t="s">
        <v>1305</v>
      </c>
      <c r="C205" s="6" t="s">
        <v>4595</v>
      </c>
      <c r="D205" s="6" t="s">
        <v>241</v>
      </c>
      <c r="E205" s="6" t="s">
        <v>47</v>
      </c>
      <c r="F205" s="6" t="s">
        <v>48</v>
      </c>
      <c r="G205" s="6" t="s">
        <v>182</v>
      </c>
      <c r="H205" s="6" t="s">
        <v>4596</v>
      </c>
      <c r="I205" s="6" t="s">
        <v>4597</v>
      </c>
      <c r="J205" s="6">
        <v>2</v>
      </c>
      <c r="K205" s="6">
        <v>25.79</v>
      </c>
      <c r="L205" s="6" t="s">
        <v>4598</v>
      </c>
      <c r="M205" s="6" t="s">
        <v>4599</v>
      </c>
      <c r="N205" s="6" t="s">
        <v>83</v>
      </c>
      <c r="O205" s="6" t="s">
        <v>4600</v>
      </c>
      <c r="P205" s="6" t="s">
        <v>65</v>
      </c>
      <c r="Q205" s="6" t="s">
        <v>4601</v>
      </c>
      <c r="R205" s="6" t="s">
        <v>65</v>
      </c>
      <c r="S205" s="6" t="s">
        <v>4602</v>
      </c>
      <c r="T205" s="6">
        <v>839200</v>
      </c>
      <c r="U205" s="6">
        <v>1049000</v>
      </c>
      <c r="V205" s="6" t="s">
        <v>4603</v>
      </c>
      <c r="W205" s="6" t="s">
        <v>756</v>
      </c>
      <c r="X205" s="6" t="s">
        <v>4604</v>
      </c>
      <c r="Y205" s="6" t="s">
        <v>4605</v>
      </c>
      <c r="Z205" s="6" t="s">
        <v>64</v>
      </c>
      <c r="AA205" s="6" t="s">
        <v>65</v>
      </c>
      <c r="AB205" s="6" t="s">
        <v>3847</v>
      </c>
      <c r="AC205" s="6" t="s">
        <v>67</v>
      </c>
      <c r="AD205" s="6" t="s">
        <v>4606</v>
      </c>
      <c r="AE205" s="6" t="s">
        <v>604</v>
      </c>
      <c r="AF205" s="6" t="s">
        <v>974</v>
      </c>
      <c r="AG205" s="6" t="s">
        <v>4607</v>
      </c>
      <c r="AH205" s="6">
        <v>5</v>
      </c>
      <c r="AI205" s="6" t="s">
        <v>237</v>
      </c>
      <c r="AJ205" s="6" t="s">
        <v>4608</v>
      </c>
      <c r="AK205" s="6" t="s">
        <v>781</v>
      </c>
      <c r="AL205" s="6"/>
      <c r="AM205" s="6" t="s">
        <v>75</v>
      </c>
      <c r="AN205" s="6">
        <v>839200</v>
      </c>
      <c r="AO205" s="10">
        <v>16784</v>
      </c>
      <c r="AP205" s="6"/>
      <c r="AQ205" s="6"/>
      <c r="AR205" s="6"/>
      <c r="AS205" s="18" t="s">
        <v>6757</v>
      </c>
      <c r="AT205" s="18"/>
      <c r="AU205" s="19">
        <v>16784</v>
      </c>
      <c r="AV205" s="20">
        <v>0</v>
      </c>
      <c r="AW205" s="18" t="s">
        <v>6555</v>
      </c>
      <c r="AX205" s="18"/>
      <c r="AY205" s="18"/>
    </row>
    <row r="206" spans="1:51" x14ac:dyDescent="0.25">
      <c r="A206" s="7">
        <v>204</v>
      </c>
      <c r="B206" s="8" t="s">
        <v>1305</v>
      </c>
      <c r="C206" s="8" t="s">
        <v>4609</v>
      </c>
      <c r="D206" s="8" t="s">
        <v>912</v>
      </c>
      <c r="E206" s="8" t="s">
        <v>47</v>
      </c>
      <c r="F206" s="8" t="s">
        <v>48</v>
      </c>
      <c r="G206" s="8" t="s">
        <v>4610</v>
      </c>
      <c r="H206" s="8" t="s">
        <v>4611</v>
      </c>
      <c r="I206" s="8" t="s">
        <v>4612</v>
      </c>
      <c r="J206" s="8">
        <v>2</v>
      </c>
      <c r="K206" s="8">
        <v>26.68</v>
      </c>
      <c r="L206" s="8" t="s">
        <v>4613</v>
      </c>
      <c r="M206" s="8" t="s">
        <v>4614</v>
      </c>
      <c r="N206" s="8" t="s">
        <v>54</v>
      </c>
      <c r="O206" s="8" t="s">
        <v>4615</v>
      </c>
      <c r="P206" s="8" t="s">
        <v>4616</v>
      </c>
      <c r="Q206" s="8" t="s">
        <v>4617</v>
      </c>
      <c r="R206" s="8" t="s">
        <v>4616</v>
      </c>
      <c r="S206" s="8" t="s">
        <v>4618</v>
      </c>
      <c r="T206" s="8">
        <v>1048500</v>
      </c>
      <c r="U206" s="8">
        <v>1398000</v>
      </c>
      <c r="V206" s="8" t="s">
        <v>4619</v>
      </c>
      <c r="W206" s="8" t="s">
        <v>781</v>
      </c>
      <c r="X206" s="8" t="s">
        <v>4620</v>
      </c>
      <c r="Y206" s="8" t="s">
        <v>4621</v>
      </c>
      <c r="Z206" s="8" t="s">
        <v>64</v>
      </c>
      <c r="AA206" s="8" t="s">
        <v>65</v>
      </c>
      <c r="AB206" s="8" t="s">
        <v>2212</v>
      </c>
      <c r="AC206" s="8" t="s">
        <v>151</v>
      </c>
      <c r="AD206" s="8" t="s">
        <v>4622</v>
      </c>
      <c r="AE206" s="8" t="s">
        <v>1539</v>
      </c>
      <c r="AF206" s="8" t="s">
        <v>1430</v>
      </c>
      <c r="AG206" s="8" t="s">
        <v>4623</v>
      </c>
      <c r="AH206" s="8">
        <v>5</v>
      </c>
      <c r="AI206" s="8" t="s">
        <v>100</v>
      </c>
      <c r="AJ206" s="8" t="s">
        <v>4624</v>
      </c>
      <c r="AK206" s="8" t="s">
        <v>3199</v>
      </c>
      <c r="AL206" s="8"/>
      <c r="AM206" s="8" t="s">
        <v>75</v>
      </c>
      <c r="AN206" s="8">
        <v>1048500</v>
      </c>
      <c r="AO206" s="11">
        <v>20970</v>
      </c>
      <c r="AP206" s="8"/>
      <c r="AQ206" s="8"/>
      <c r="AR206" s="8"/>
      <c r="AS206" s="18" t="s">
        <v>6758</v>
      </c>
      <c r="AT206" s="18" t="s">
        <v>6972</v>
      </c>
      <c r="AU206" s="19">
        <v>23766</v>
      </c>
      <c r="AV206" s="20">
        <v>-2796</v>
      </c>
      <c r="AW206" s="18" t="s">
        <v>6555</v>
      </c>
      <c r="AX206" s="19">
        <v>-2796</v>
      </c>
      <c r="AY206" s="20">
        <v>0</v>
      </c>
    </row>
    <row r="207" spans="1:51" x14ac:dyDescent="0.25">
      <c r="A207" s="5">
        <v>205</v>
      </c>
      <c r="B207" s="6" t="s">
        <v>1305</v>
      </c>
      <c r="C207" s="6" t="s">
        <v>4625</v>
      </c>
      <c r="D207" s="6" t="s">
        <v>46</v>
      </c>
      <c r="E207" s="6" t="s">
        <v>47</v>
      </c>
      <c r="F207" s="6" t="s">
        <v>48</v>
      </c>
      <c r="G207" s="6" t="s">
        <v>182</v>
      </c>
      <c r="H207" s="6" t="s">
        <v>4626</v>
      </c>
      <c r="I207" s="6" t="s">
        <v>4627</v>
      </c>
      <c r="J207" s="6">
        <v>2</v>
      </c>
      <c r="K207" s="6">
        <v>25.79</v>
      </c>
      <c r="L207" s="6" t="s">
        <v>4628</v>
      </c>
      <c r="M207" s="6" t="s">
        <v>4629</v>
      </c>
      <c r="N207" s="6" t="s">
        <v>187</v>
      </c>
      <c r="O207" s="6" t="s">
        <v>4630</v>
      </c>
      <c r="P207" s="6" t="s">
        <v>4631</v>
      </c>
      <c r="Q207" s="6" t="s">
        <v>4632</v>
      </c>
      <c r="R207" s="6" t="s">
        <v>4631</v>
      </c>
      <c r="S207" s="6" t="s">
        <v>4633</v>
      </c>
      <c r="T207" s="6">
        <v>1143100</v>
      </c>
      <c r="U207" s="6">
        <v>1610000</v>
      </c>
      <c r="V207" s="6" t="s">
        <v>4634</v>
      </c>
      <c r="W207" s="6" t="s">
        <v>307</v>
      </c>
      <c r="X207" s="6" t="s">
        <v>4635</v>
      </c>
      <c r="Y207" s="6" t="s">
        <v>4636</v>
      </c>
      <c r="Z207" s="6" t="s">
        <v>64</v>
      </c>
      <c r="AA207" s="6" t="s">
        <v>65</v>
      </c>
      <c r="AB207" s="6" t="s">
        <v>2448</v>
      </c>
      <c r="AC207" s="6" t="s">
        <v>67</v>
      </c>
      <c r="AD207" s="6" t="s">
        <v>4637</v>
      </c>
      <c r="AE207" s="6" t="s">
        <v>69</v>
      </c>
      <c r="AF207" s="6" t="s">
        <v>1319</v>
      </c>
      <c r="AG207" s="6" t="s">
        <v>4638</v>
      </c>
      <c r="AH207" s="6">
        <v>7</v>
      </c>
      <c r="AI207" s="6" t="s">
        <v>237</v>
      </c>
      <c r="AJ207" s="6" t="s">
        <v>4639</v>
      </c>
      <c r="AK207" s="6" t="s">
        <v>399</v>
      </c>
      <c r="AL207" s="6"/>
      <c r="AM207" s="6" t="s">
        <v>75</v>
      </c>
      <c r="AN207" s="6">
        <v>1288000</v>
      </c>
      <c r="AO207" s="10">
        <v>25760</v>
      </c>
      <c r="AP207" s="6"/>
      <c r="AQ207" s="6"/>
      <c r="AR207" s="6"/>
      <c r="AS207" s="18" t="s">
        <v>6759</v>
      </c>
      <c r="AT207" s="18"/>
      <c r="AU207" s="19">
        <v>25760</v>
      </c>
      <c r="AV207" s="20">
        <v>0</v>
      </c>
      <c r="AW207" s="18" t="s">
        <v>6555</v>
      </c>
      <c r="AX207" s="18"/>
      <c r="AY207" s="18"/>
    </row>
    <row r="208" spans="1:51" x14ac:dyDescent="0.25">
      <c r="A208" s="7">
        <v>206</v>
      </c>
      <c r="B208" s="8" t="s">
        <v>1305</v>
      </c>
      <c r="C208" s="8" t="s">
        <v>4640</v>
      </c>
      <c r="D208" s="8" t="s">
        <v>46</v>
      </c>
      <c r="E208" s="8" t="s">
        <v>47</v>
      </c>
      <c r="F208" s="8" t="s">
        <v>48</v>
      </c>
      <c r="G208" s="8" t="s">
        <v>182</v>
      </c>
      <c r="H208" s="8" t="s">
        <v>4641</v>
      </c>
      <c r="I208" s="8" t="s">
        <v>4642</v>
      </c>
      <c r="J208" s="8">
        <v>2</v>
      </c>
      <c r="K208" s="8">
        <v>25.85</v>
      </c>
      <c r="L208" s="8" t="s">
        <v>4643</v>
      </c>
      <c r="M208" s="8" t="s">
        <v>4644</v>
      </c>
      <c r="N208" s="8" t="s">
        <v>187</v>
      </c>
      <c r="O208" s="8" t="s">
        <v>4645</v>
      </c>
      <c r="P208" s="8" t="s">
        <v>4646</v>
      </c>
      <c r="Q208" s="8" t="s">
        <v>4646</v>
      </c>
      <c r="R208" s="8" t="s">
        <v>4646</v>
      </c>
      <c r="S208" s="8" t="s">
        <v>4647</v>
      </c>
      <c r="T208" s="8">
        <v>1216800</v>
      </c>
      <c r="U208" s="8">
        <v>1521000</v>
      </c>
      <c r="V208" s="8" t="s">
        <v>4648</v>
      </c>
      <c r="W208" s="8" t="s">
        <v>307</v>
      </c>
      <c r="X208" s="8" t="s">
        <v>4649</v>
      </c>
      <c r="Y208" s="8" t="s">
        <v>4650</v>
      </c>
      <c r="Z208" s="8" t="s">
        <v>64</v>
      </c>
      <c r="AA208" s="8" t="s">
        <v>65</v>
      </c>
      <c r="AB208" s="8" t="s">
        <v>1696</v>
      </c>
      <c r="AC208" s="8" t="s">
        <v>67</v>
      </c>
      <c r="AD208" s="8" t="s">
        <v>4651</v>
      </c>
      <c r="AE208" s="8" t="s">
        <v>69</v>
      </c>
      <c r="AF208" s="8" t="s">
        <v>2533</v>
      </c>
      <c r="AG208" s="8" t="s">
        <v>4652</v>
      </c>
      <c r="AH208" s="8">
        <v>4</v>
      </c>
      <c r="AI208" s="8" t="s">
        <v>237</v>
      </c>
      <c r="AJ208" s="8" t="s">
        <v>4653</v>
      </c>
      <c r="AK208" s="8" t="s">
        <v>239</v>
      </c>
      <c r="AL208" s="8"/>
      <c r="AM208" s="8" t="s">
        <v>75</v>
      </c>
      <c r="AN208" s="8">
        <v>1216800</v>
      </c>
      <c r="AO208" s="11">
        <v>24336</v>
      </c>
      <c r="AP208" s="8"/>
      <c r="AQ208" s="8"/>
      <c r="AR208" s="8"/>
      <c r="AS208" s="18" t="s">
        <v>6760</v>
      </c>
      <c r="AT208" s="18" t="s">
        <v>6973</v>
      </c>
      <c r="AU208" s="19">
        <v>25857</v>
      </c>
      <c r="AV208" s="20">
        <v>-1521</v>
      </c>
      <c r="AW208" s="18" t="s">
        <v>6555</v>
      </c>
      <c r="AX208" s="19">
        <v>-1521</v>
      </c>
      <c r="AY208" s="20">
        <v>0</v>
      </c>
    </row>
    <row r="209" spans="1:51" x14ac:dyDescent="0.25">
      <c r="A209" s="5">
        <v>207</v>
      </c>
      <c r="B209" s="6" t="s">
        <v>1305</v>
      </c>
      <c r="C209" s="6" t="s">
        <v>4654</v>
      </c>
      <c r="D209" s="6" t="s">
        <v>241</v>
      </c>
      <c r="E209" s="6" t="s">
        <v>47</v>
      </c>
      <c r="F209" s="6" t="s">
        <v>48</v>
      </c>
      <c r="G209" s="6" t="s">
        <v>182</v>
      </c>
      <c r="H209" s="6" t="s">
        <v>4655</v>
      </c>
      <c r="I209" s="6" t="s">
        <v>4656</v>
      </c>
      <c r="J209" s="6">
        <v>2</v>
      </c>
      <c r="K209" s="6">
        <v>26.29</v>
      </c>
      <c r="L209" s="6" t="s">
        <v>4657</v>
      </c>
      <c r="M209" s="6" t="s">
        <v>4658</v>
      </c>
      <c r="N209" s="6" t="s">
        <v>54</v>
      </c>
      <c r="O209" s="6" t="s">
        <v>4659</v>
      </c>
      <c r="P209" s="6" t="s">
        <v>4660</v>
      </c>
      <c r="Q209" s="6" t="s">
        <v>4661</v>
      </c>
      <c r="R209" s="6" t="s">
        <v>4660</v>
      </c>
      <c r="S209" s="6" t="s">
        <v>4662</v>
      </c>
      <c r="T209" s="6">
        <v>1241250</v>
      </c>
      <c r="U209" s="6">
        <v>1655000</v>
      </c>
      <c r="V209" s="6" t="s">
        <v>4663</v>
      </c>
      <c r="W209" s="6" t="s">
        <v>4664</v>
      </c>
      <c r="X209" s="6" t="s">
        <v>4665</v>
      </c>
      <c r="Y209" s="6" t="s">
        <v>4666</v>
      </c>
      <c r="Z209" s="6" t="s">
        <v>64</v>
      </c>
      <c r="AA209" s="6" t="s">
        <v>65</v>
      </c>
      <c r="AB209" s="6" t="s">
        <v>2870</v>
      </c>
      <c r="AC209" s="6" t="s">
        <v>67</v>
      </c>
      <c r="AD209" s="6" t="s">
        <v>4667</v>
      </c>
      <c r="AE209" s="6" t="s">
        <v>69</v>
      </c>
      <c r="AF209" s="6" t="s">
        <v>1007</v>
      </c>
      <c r="AG209" s="6" t="s">
        <v>4668</v>
      </c>
      <c r="AH209" s="6">
        <v>5</v>
      </c>
      <c r="AI209" s="6" t="s">
        <v>2502</v>
      </c>
      <c r="AJ209" s="6" t="s">
        <v>4669</v>
      </c>
      <c r="AK209" s="6" t="s">
        <v>763</v>
      </c>
      <c r="AL209" s="6"/>
      <c r="AM209" s="6" t="s">
        <v>75</v>
      </c>
      <c r="AN209" s="6">
        <v>1324000</v>
      </c>
      <c r="AO209" s="10">
        <v>26480</v>
      </c>
      <c r="AP209" s="6"/>
      <c r="AQ209" s="6"/>
      <c r="AR209" s="6"/>
      <c r="AS209" s="18" t="s">
        <v>6761</v>
      </c>
      <c r="AT209" s="18"/>
      <c r="AU209" s="19">
        <v>26480</v>
      </c>
      <c r="AV209" s="20">
        <v>0</v>
      </c>
      <c r="AW209" s="18" t="s">
        <v>6555</v>
      </c>
      <c r="AX209" s="18"/>
      <c r="AY209" s="18"/>
    </row>
    <row r="210" spans="1:51" x14ac:dyDescent="0.25">
      <c r="A210" s="7">
        <v>208</v>
      </c>
      <c r="B210" s="8" t="s">
        <v>1305</v>
      </c>
      <c r="C210" s="8" t="s">
        <v>4670</v>
      </c>
      <c r="D210" s="8" t="s">
        <v>277</v>
      </c>
      <c r="E210" s="8" t="s">
        <v>47</v>
      </c>
      <c r="F210" s="8" t="s">
        <v>48</v>
      </c>
      <c r="G210" s="8" t="s">
        <v>1603</v>
      </c>
      <c r="H210" s="8" t="s">
        <v>4671</v>
      </c>
      <c r="I210" s="8" t="s">
        <v>4672</v>
      </c>
      <c r="J210" s="8">
        <v>1.75</v>
      </c>
      <c r="K210" s="8">
        <v>26.19</v>
      </c>
      <c r="L210" s="8" t="s">
        <v>4673</v>
      </c>
      <c r="M210" s="8" t="s">
        <v>4674</v>
      </c>
      <c r="N210" s="8" t="s">
        <v>265</v>
      </c>
      <c r="O210" s="8" t="s">
        <v>4675</v>
      </c>
      <c r="P210" s="8" t="s">
        <v>65</v>
      </c>
      <c r="Q210" s="8" t="s">
        <v>4676</v>
      </c>
      <c r="R210" s="8" t="s">
        <v>65</v>
      </c>
      <c r="S210" s="8" t="s">
        <v>4677</v>
      </c>
      <c r="T210" s="8">
        <v>2883600</v>
      </c>
      <c r="U210" s="8">
        <v>6007500</v>
      </c>
      <c r="V210" s="8" t="s">
        <v>4678</v>
      </c>
      <c r="W210" s="8" t="s">
        <v>4679</v>
      </c>
      <c r="X210" s="8" t="s">
        <v>4680</v>
      </c>
      <c r="Y210" s="8" t="s">
        <v>4681</v>
      </c>
      <c r="Z210" s="8" t="s">
        <v>64</v>
      </c>
      <c r="AA210" s="8" t="s">
        <v>65</v>
      </c>
      <c r="AB210" s="8" t="s">
        <v>4682</v>
      </c>
      <c r="AC210" s="8" t="s">
        <v>436</v>
      </c>
      <c r="AD210" s="12">
        <v>45196</v>
      </c>
      <c r="AE210" s="8" t="s">
        <v>437</v>
      </c>
      <c r="AF210" s="8" t="s">
        <v>1354</v>
      </c>
      <c r="AG210" s="8" t="s">
        <v>4683</v>
      </c>
      <c r="AH210" s="8">
        <v>3</v>
      </c>
      <c r="AI210" s="8" t="s">
        <v>237</v>
      </c>
      <c r="AJ210" s="8" t="s">
        <v>4684</v>
      </c>
      <c r="AK210" s="8" t="s">
        <v>437</v>
      </c>
      <c r="AL210" s="8"/>
      <c r="AM210" s="8" t="s">
        <v>102</v>
      </c>
      <c r="AN210" s="8">
        <v>5406750</v>
      </c>
      <c r="AO210" s="11">
        <v>94618.125000000015</v>
      </c>
      <c r="AP210" s="8"/>
      <c r="AQ210" s="8"/>
      <c r="AR210" s="8"/>
      <c r="AS210" s="18" t="s">
        <v>6762</v>
      </c>
      <c r="AT210" s="18" t="s">
        <v>6974</v>
      </c>
      <c r="AU210" s="19">
        <v>89362</v>
      </c>
      <c r="AV210" s="20">
        <v>5256.1250000000146</v>
      </c>
      <c r="AW210" s="18" t="s">
        <v>6555</v>
      </c>
      <c r="AX210" s="19">
        <v>5257</v>
      </c>
      <c r="AY210" s="20">
        <v>-0.87499999998544808</v>
      </c>
    </row>
    <row r="211" spans="1:51" x14ac:dyDescent="0.25">
      <c r="A211" s="5">
        <v>209</v>
      </c>
      <c r="B211" s="6" t="s">
        <v>1305</v>
      </c>
      <c r="C211" s="6" t="s">
        <v>4685</v>
      </c>
      <c r="D211" s="6" t="s">
        <v>46</v>
      </c>
      <c r="E211" s="6" t="s">
        <v>47</v>
      </c>
      <c r="F211" s="6" t="s">
        <v>48</v>
      </c>
      <c r="G211" s="6" t="s">
        <v>1778</v>
      </c>
      <c r="H211" s="6" t="s">
        <v>4686</v>
      </c>
      <c r="I211" s="6" t="s">
        <v>4687</v>
      </c>
      <c r="J211" s="6">
        <v>2</v>
      </c>
      <c r="K211" s="6">
        <v>25.68</v>
      </c>
      <c r="L211" s="6" t="s">
        <v>4688</v>
      </c>
      <c r="M211" s="6" t="s">
        <v>4689</v>
      </c>
      <c r="N211" s="6" t="s">
        <v>83</v>
      </c>
      <c r="O211" s="6" t="s">
        <v>4690</v>
      </c>
      <c r="P211" s="6" t="s">
        <v>4691</v>
      </c>
      <c r="Q211" s="6" t="s">
        <v>4691</v>
      </c>
      <c r="R211" s="6" t="s">
        <v>167</v>
      </c>
      <c r="S211" s="6" t="s">
        <v>4692</v>
      </c>
      <c r="T211" s="6">
        <v>1911750</v>
      </c>
      <c r="U211" s="6">
        <v>2549000</v>
      </c>
      <c r="V211" s="6" t="s">
        <v>4693</v>
      </c>
      <c r="W211" s="6" t="s">
        <v>756</v>
      </c>
      <c r="X211" s="6" t="s">
        <v>4694</v>
      </c>
      <c r="Y211" s="6" t="s">
        <v>4695</v>
      </c>
      <c r="Z211" s="6" t="s">
        <v>64</v>
      </c>
      <c r="AA211" s="6" t="s">
        <v>65</v>
      </c>
      <c r="AB211" s="6" t="s">
        <v>4381</v>
      </c>
      <c r="AC211" s="6" t="s">
        <v>67</v>
      </c>
      <c r="AD211" s="6" t="s">
        <v>68</v>
      </c>
      <c r="AE211" s="6" t="s">
        <v>604</v>
      </c>
      <c r="AF211" s="6" t="s">
        <v>974</v>
      </c>
      <c r="AG211" s="6" t="s">
        <v>4696</v>
      </c>
      <c r="AH211" s="6">
        <v>5</v>
      </c>
      <c r="AI211" s="6" t="s">
        <v>237</v>
      </c>
      <c r="AJ211" s="6" t="s">
        <v>4697</v>
      </c>
      <c r="AK211" s="6" t="s">
        <v>763</v>
      </c>
      <c r="AL211" s="6"/>
      <c r="AM211" s="6" t="s">
        <v>75</v>
      </c>
      <c r="AN211" s="6">
        <v>2039200</v>
      </c>
      <c r="AO211" s="10">
        <v>40784</v>
      </c>
      <c r="AP211" s="6"/>
      <c r="AQ211" s="6"/>
      <c r="AR211" s="6"/>
      <c r="AS211" s="18" t="s">
        <v>6763</v>
      </c>
      <c r="AT211" s="18"/>
      <c r="AU211" s="19">
        <v>40784</v>
      </c>
      <c r="AV211" s="20">
        <v>0</v>
      </c>
      <c r="AW211" s="18" t="s">
        <v>6555</v>
      </c>
      <c r="AX211" s="18"/>
      <c r="AY211" s="18"/>
    </row>
    <row r="212" spans="1:51" x14ac:dyDescent="0.25">
      <c r="A212" s="7">
        <v>210</v>
      </c>
      <c r="B212" s="8" t="s">
        <v>1305</v>
      </c>
      <c r="C212" s="8" t="s">
        <v>4698</v>
      </c>
      <c r="D212" s="8" t="s">
        <v>77</v>
      </c>
      <c r="E212" s="8" t="s">
        <v>47</v>
      </c>
      <c r="F212" s="8" t="s">
        <v>48</v>
      </c>
      <c r="G212" s="8" t="s">
        <v>3009</v>
      </c>
      <c r="H212" s="8" t="s">
        <v>4699</v>
      </c>
      <c r="I212" s="8" t="s">
        <v>4700</v>
      </c>
      <c r="J212" s="8">
        <v>1.75</v>
      </c>
      <c r="K212" s="8">
        <v>25.69</v>
      </c>
      <c r="L212" s="8" t="s">
        <v>4701</v>
      </c>
      <c r="M212" s="8" t="s">
        <v>4702</v>
      </c>
      <c r="N212" s="8" t="s">
        <v>187</v>
      </c>
      <c r="O212" s="8" t="s">
        <v>4703</v>
      </c>
      <c r="P212" s="8" t="s">
        <v>4704</v>
      </c>
      <c r="Q212" s="8" t="s">
        <v>4705</v>
      </c>
      <c r="R212" s="8" t="s">
        <v>4704</v>
      </c>
      <c r="S212" s="8" t="s">
        <v>4706</v>
      </c>
      <c r="T212" s="8">
        <v>2799860</v>
      </c>
      <c r="U212" s="8">
        <v>5714000</v>
      </c>
      <c r="V212" s="8" t="s">
        <v>4707</v>
      </c>
      <c r="W212" s="8" t="s">
        <v>440</v>
      </c>
      <c r="X212" s="8" t="s">
        <v>4708</v>
      </c>
      <c r="Y212" s="8" t="s">
        <v>4709</v>
      </c>
      <c r="Z212" s="8" t="s">
        <v>64</v>
      </c>
      <c r="AA212" s="8" t="s">
        <v>65</v>
      </c>
      <c r="AB212" s="8" t="s">
        <v>4710</v>
      </c>
      <c r="AC212" s="8" t="s">
        <v>531</v>
      </c>
      <c r="AD212" s="8" t="s">
        <v>231</v>
      </c>
      <c r="AE212" s="8" t="s">
        <v>231</v>
      </c>
      <c r="AF212" s="8" t="s">
        <v>2213</v>
      </c>
      <c r="AG212" s="8" t="s">
        <v>4711</v>
      </c>
      <c r="AH212" s="8">
        <v>3</v>
      </c>
      <c r="AI212" s="8" t="s">
        <v>100</v>
      </c>
      <c r="AJ212" s="8" t="s">
        <v>4712</v>
      </c>
      <c r="AK212" s="8" t="s">
        <v>307</v>
      </c>
      <c r="AL212" s="8"/>
      <c r="AM212" s="8" t="s">
        <v>102</v>
      </c>
      <c r="AN212" s="8">
        <v>4856900</v>
      </c>
      <c r="AO212" s="11">
        <v>84995.750000000015</v>
      </c>
      <c r="AP212" s="8"/>
      <c r="AQ212" s="8"/>
      <c r="AR212" s="8"/>
      <c r="AS212" s="18" t="s">
        <v>6764</v>
      </c>
      <c r="AT212" s="18"/>
      <c r="AU212" s="19">
        <v>84996</v>
      </c>
      <c r="AV212" s="20">
        <v>-0.24999999998544808</v>
      </c>
      <c r="AW212" s="18" t="s">
        <v>6555</v>
      </c>
      <c r="AX212" s="18"/>
      <c r="AY212" s="18"/>
    </row>
    <row r="213" spans="1:51" x14ac:dyDescent="0.25">
      <c r="A213" s="5">
        <v>211</v>
      </c>
      <c r="B213" s="6" t="s">
        <v>1305</v>
      </c>
      <c r="C213" s="6" t="s">
        <v>4713</v>
      </c>
      <c r="D213" s="6" t="s">
        <v>136</v>
      </c>
      <c r="E213" s="6" t="s">
        <v>47</v>
      </c>
      <c r="F213" s="6" t="s">
        <v>48</v>
      </c>
      <c r="G213" s="6" t="s">
        <v>2932</v>
      </c>
      <c r="H213" s="6" t="s">
        <v>4714</v>
      </c>
      <c r="I213" s="6" t="s">
        <v>4715</v>
      </c>
      <c r="J213" s="6">
        <v>1.5</v>
      </c>
      <c r="K213" s="6">
        <v>26.93</v>
      </c>
      <c r="L213" s="6" t="s">
        <v>4716</v>
      </c>
      <c r="M213" s="6" t="s">
        <v>4717</v>
      </c>
      <c r="N213" s="6" t="s">
        <v>187</v>
      </c>
      <c r="O213" s="6" t="s">
        <v>4718</v>
      </c>
      <c r="P213" s="6" t="s">
        <v>4719</v>
      </c>
      <c r="Q213" s="6" t="s">
        <v>4720</v>
      </c>
      <c r="R213" s="6" t="s">
        <v>4721</v>
      </c>
      <c r="S213" s="6" t="s">
        <v>4722</v>
      </c>
      <c r="T213" s="6">
        <v>3239400</v>
      </c>
      <c r="U213" s="6">
        <v>5399000</v>
      </c>
      <c r="V213" s="6" t="s">
        <v>146</v>
      </c>
      <c r="W213" s="6" t="s">
        <v>781</v>
      </c>
      <c r="X213" s="6" t="s">
        <v>4723</v>
      </c>
      <c r="Y213" s="6" t="s">
        <v>4724</v>
      </c>
      <c r="Z213" s="6" t="s">
        <v>64</v>
      </c>
      <c r="AA213" s="6" t="s">
        <v>65</v>
      </c>
      <c r="AB213" s="6" t="s">
        <v>116</v>
      </c>
      <c r="AC213" s="6" t="s">
        <v>151</v>
      </c>
      <c r="AD213" s="6" t="s">
        <v>4725</v>
      </c>
      <c r="AE213" s="6" t="s">
        <v>1539</v>
      </c>
      <c r="AF213" s="6" t="s">
        <v>1430</v>
      </c>
      <c r="AG213" s="6" t="s">
        <v>4726</v>
      </c>
      <c r="AH213" s="6">
        <v>5</v>
      </c>
      <c r="AI213" s="6" t="s">
        <v>65</v>
      </c>
      <c r="AJ213" s="6" t="s">
        <v>65</v>
      </c>
      <c r="AK213" s="6" t="s">
        <v>65</v>
      </c>
      <c r="AL213" s="6"/>
      <c r="AM213" s="6" t="s">
        <v>157</v>
      </c>
      <c r="AN213" s="6">
        <v>4049250</v>
      </c>
      <c r="AO213" s="10">
        <v>60738.75</v>
      </c>
      <c r="AP213" s="6"/>
      <c r="AQ213" s="6"/>
      <c r="AR213" s="6"/>
      <c r="AS213" s="18" t="s">
        <v>6765</v>
      </c>
      <c r="AT213" s="18" t="s">
        <v>6975</v>
      </c>
      <c r="AU213" s="19">
        <v>68837</v>
      </c>
      <c r="AV213" s="20">
        <v>-8098.25</v>
      </c>
      <c r="AW213" s="18" t="s">
        <v>6555</v>
      </c>
      <c r="AX213" s="19">
        <v>-8099</v>
      </c>
      <c r="AY213" s="20">
        <v>0.75</v>
      </c>
    </row>
    <row r="214" spans="1:51" x14ac:dyDescent="0.25">
      <c r="A214" s="7">
        <v>212</v>
      </c>
      <c r="B214" s="8" t="s">
        <v>1305</v>
      </c>
      <c r="C214" s="8" t="s">
        <v>4727</v>
      </c>
      <c r="D214" s="8" t="s">
        <v>77</v>
      </c>
      <c r="E214" s="8" t="s">
        <v>47</v>
      </c>
      <c r="F214" s="8" t="s">
        <v>48</v>
      </c>
      <c r="G214" s="8" t="s">
        <v>2144</v>
      </c>
      <c r="H214" s="8" t="s">
        <v>4728</v>
      </c>
      <c r="I214" s="8" t="s">
        <v>4729</v>
      </c>
      <c r="J214" s="8">
        <v>2.5</v>
      </c>
      <c r="K214" s="8">
        <v>25.19</v>
      </c>
      <c r="L214" s="8" t="s">
        <v>4730</v>
      </c>
      <c r="M214" s="8" t="s">
        <v>4731</v>
      </c>
      <c r="N214" s="8" t="s">
        <v>187</v>
      </c>
      <c r="O214" s="8" t="s">
        <v>4732</v>
      </c>
      <c r="P214" s="8" t="s">
        <v>4733</v>
      </c>
      <c r="Q214" s="8" t="s">
        <v>4734</v>
      </c>
      <c r="R214" s="8" t="s">
        <v>4735</v>
      </c>
      <c r="S214" s="8" t="s">
        <v>4736</v>
      </c>
      <c r="T214" s="8">
        <v>1170000</v>
      </c>
      <c r="U214" s="8">
        <v>1625000</v>
      </c>
      <c r="V214" s="8" t="s">
        <v>4737</v>
      </c>
      <c r="W214" s="8" t="s">
        <v>4738</v>
      </c>
      <c r="X214" s="8" t="s">
        <v>4739</v>
      </c>
      <c r="Y214" s="8" t="s">
        <v>4740</v>
      </c>
      <c r="Z214" s="8" t="s">
        <v>64</v>
      </c>
      <c r="AA214" s="8" t="s">
        <v>4741</v>
      </c>
      <c r="AB214" s="8" t="s">
        <v>1746</v>
      </c>
      <c r="AC214" s="8" t="s">
        <v>175</v>
      </c>
      <c r="AD214" s="8" t="s">
        <v>2335</v>
      </c>
      <c r="AE214" s="8" t="s">
        <v>2335</v>
      </c>
      <c r="AF214" s="8" t="s">
        <v>1354</v>
      </c>
      <c r="AG214" s="8" t="s">
        <v>4742</v>
      </c>
      <c r="AH214" s="8">
        <v>7</v>
      </c>
      <c r="AI214" s="8" t="s">
        <v>100</v>
      </c>
      <c r="AJ214" s="8" t="s">
        <v>4743</v>
      </c>
      <c r="AK214" s="8" t="s">
        <v>4744</v>
      </c>
      <c r="AL214" s="8"/>
      <c r="AM214" s="8" t="s">
        <v>180</v>
      </c>
      <c r="AN214" s="8">
        <v>1137500</v>
      </c>
      <c r="AO214" s="11">
        <v>28437.5</v>
      </c>
      <c r="AP214" s="8"/>
      <c r="AQ214" s="8"/>
      <c r="AR214" s="8"/>
      <c r="AS214" s="18" t="s">
        <v>7021</v>
      </c>
      <c r="AT214" s="18" t="s">
        <v>6976</v>
      </c>
      <c r="AU214" s="19">
        <v>32500</v>
      </c>
      <c r="AV214" s="20">
        <v>-4062.5</v>
      </c>
      <c r="AW214" s="18" t="s">
        <v>6555</v>
      </c>
      <c r="AX214" s="19">
        <v>-4063</v>
      </c>
      <c r="AY214" s="20">
        <v>0.5</v>
      </c>
    </row>
    <row r="215" spans="1:51" x14ac:dyDescent="0.25">
      <c r="A215" s="5">
        <v>213</v>
      </c>
      <c r="B215" s="6" t="s">
        <v>1305</v>
      </c>
      <c r="C215" s="6" t="s">
        <v>4745</v>
      </c>
      <c r="D215" s="6" t="s">
        <v>46</v>
      </c>
      <c r="E215" s="6" t="s">
        <v>47</v>
      </c>
      <c r="F215" s="6" t="s">
        <v>48</v>
      </c>
      <c r="G215" s="6" t="s">
        <v>182</v>
      </c>
      <c r="H215" s="6" t="s">
        <v>4746</v>
      </c>
      <c r="I215" s="6" t="s">
        <v>4747</v>
      </c>
      <c r="J215" s="6">
        <v>2</v>
      </c>
      <c r="K215" s="6">
        <v>26.69</v>
      </c>
      <c r="L215" s="6" t="s">
        <v>4748</v>
      </c>
      <c r="M215" s="6" t="s">
        <v>4749</v>
      </c>
      <c r="N215" s="6" t="s">
        <v>265</v>
      </c>
      <c r="O215" s="6" t="s">
        <v>4750</v>
      </c>
      <c r="P215" s="6" t="s">
        <v>4751</v>
      </c>
      <c r="Q215" s="6" t="s">
        <v>65</v>
      </c>
      <c r="R215" s="6" t="s">
        <v>167</v>
      </c>
      <c r="S215" s="6" t="s">
        <v>4752</v>
      </c>
      <c r="T215" s="6">
        <v>1236800</v>
      </c>
      <c r="U215" s="6">
        <v>1546000</v>
      </c>
      <c r="V215" s="6" t="s">
        <v>4753</v>
      </c>
      <c r="W215" s="6" t="s">
        <v>4506</v>
      </c>
      <c r="X215" s="6" t="s">
        <v>4754</v>
      </c>
      <c r="Y215" s="6" t="s">
        <v>4755</v>
      </c>
      <c r="Z215" s="6" t="s">
        <v>64</v>
      </c>
      <c r="AA215" s="6" t="s">
        <v>65</v>
      </c>
      <c r="AB215" s="6" t="s">
        <v>2369</v>
      </c>
      <c r="AC215" s="6" t="s">
        <v>531</v>
      </c>
      <c r="AD215" s="6" t="s">
        <v>4756</v>
      </c>
      <c r="AE215" s="6" t="s">
        <v>453</v>
      </c>
      <c r="AF215" s="6" t="s">
        <v>2370</v>
      </c>
      <c r="AG215" s="6" t="s">
        <v>4757</v>
      </c>
      <c r="AH215" s="6">
        <v>5</v>
      </c>
      <c r="AI215" s="6" t="s">
        <v>198</v>
      </c>
      <c r="AJ215" s="6" t="s">
        <v>4758</v>
      </c>
      <c r="AK215" s="6" t="s">
        <v>693</v>
      </c>
      <c r="AL215" s="6"/>
      <c r="AM215" s="6" t="s">
        <v>75</v>
      </c>
      <c r="AN215" s="6">
        <v>1314100</v>
      </c>
      <c r="AO215" s="10">
        <v>26282</v>
      </c>
      <c r="AP215" s="6"/>
      <c r="AQ215" s="6"/>
      <c r="AR215" s="6"/>
      <c r="AS215" s="18" t="s">
        <v>6766</v>
      </c>
      <c r="AT215" s="18" t="s">
        <v>6977</v>
      </c>
      <c r="AU215" s="19">
        <v>23190</v>
      </c>
      <c r="AV215" s="20">
        <v>3092</v>
      </c>
      <c r="AW215" s="18" t="s">
        <v>6555</v>
      </c>
      <c r="AX215" s="19">
        <v>3092</v>
      </c>
      <c r="AY215" s="20">
        <v>0</v>
      </c>
    </row>
    <row r="216" spans="1:51" x14ac:dyDescent="0.25">
      <c r="A216" s="7">
        <v>214</v>
      </c>
      <c r="B216" s="8" t="s">
        <v>1305</v>
      </c>
      <c r="C216" s="8" t="s">
        <v>4759</v>
      </c>
      <c r="D216" s="8" t="s">
        <v>77</v>
      </c>
      <c r="E216" s="8" t="s">
        <v>47</v>
      </c>
      <c r="F216" s="8" t="s">
        <v>48</v>
      </c>
      <c r="G216" s="8" t="s">
        <v>2951</v>
      </c>
      <c r="H216" s="8" t="s">
        <v>4760</v>
      </c>
      <c r="I216" s="8" t="s">
        <v>4761</v>
      </c>
      <c r="J216" s="8">
        <v>2.5</v>
      </c>
      <c r="K216" s="8">
        <v>25.19</v>
      </c>
      <c r="L216" s="8" t="s">
        <v>4762</v>
      </c>
      <c r="M216" s="8" t="s">
        <v>4763</v>
      </c>
      <c r="N216" s="8" t="s">
        <v>265</v>
      </c>
      <c r="O216" s="8" t="s">
        <v>4764</v>
      </c>
      <c r="P216" s="8" t="s">
        <v>1016</v>
      </c>
      <c r="Q216" s="8" t="s">
        <v>4765</v>
      </c>
      <c r="R216" s="8" t="s">
        <v>1016</v>
      </c>
      <c r="S216" s="8" t="s">
        <v>4766</v>
      </c>
      <c r="T216" s="8">
        <v>787500</v>
      </c>
      <c r="U216" s="8">
        <v>1050000</v>
      </c>
      <c r="V216" s="8" t="s">
        <v>4767</v>
      </c>
      <c r="W216" s="8" t="s">
        <v>4738</v>
      </c>
      <c r="X216" s="8" t="s">
        <v>4768</v>
      </c>
      <c r="Y216" s="8" t="s">
        <v>4769</v>
      </c>
      <c r="Z216" s="8" t="s">
        <v>64</v>
      </c>
      <c r="AA216" s="8" t="s">
        <v>4770</v>
      </c>
      <c r="AB216" s="8" t="s">
        <v>4771</v>
      </c>
      <c r="AC216" s="8" t="s">
        <v>175</v>
      </c>
      <c r="AD216" s="8" t="s">
        <v>2335</v>
      </c>
      <c r="AE216" s="8" t="s">
        <v>2335</v>
      </c>
      <c r="AF216" s="8" t="s">
        <v>2213</v>
      </c>
      <c r="AG216" s="8" t="s">
        <v>4772</v>
      </c>
      <c r="AH216" s="8">
        <v>6</v>
      </c>
      <c r="AI216" s="8" t="s">
        <v>100</v>
      </c>
      <c r="AJ216" s="8" t="s">
        <v>4773</v>
      </c>
      <c r="AK216" s="8" t="s">
        <v>4744</v>
      </c>
      <c r="AL216" s="8"/>
      <c r="AM216" s="8" t="s">
        <v>180</v>
      </c>
      <c r="AN216" s="8">
        <v>735000</v>
      </c>
      <c r="AO216" s="11">
        <v>18375</v>
      </c>
      <c r="AP216" s="8"/>
      <c r="AQ216" s="8"/>
      <c r="AR216" s="8"/>
      <c r="AS216" s="18" t="s">
        <v>6767</v>
      </c>
      <c r="AT216" s="18" t="s">
        <v>6978</v>
      </c>
      <c r="AU216" s="19">
        <v>22313</v>
      </c>
      <c r="AV216" s="20">
        <v>-3938</v>
      </c>
      <c r="AW216" s="18" t="s">
        <v>6555</v>
      </c>
      <c r="AX216" s="19">
        <v>-3938</v>
      </c>
      <c r="AY216" s="20">
        <v>0</v>
      </c>
    </row>
    <row r="217" spans="1:51" x14ac:dyDescent="0.25">
      <c r="A217" s="5">
        <v>215</v>
      </c>
      <c r="B217" s="6" t="s">
        <v>1305</v>
      </c>
      <c r="C217" s="6" t="s">
        <v>4774</v>
      </c>
      <c r="D217" s="6" t="s">
        <v>46</v>
      </c>
      <c r="E217" s="6" t="s">
        <v>47</v>
      </c>
      <c r="F217" s="6" t="s">
        <v>48</v>
      </c>
      <c r="G217" s="6" t="s">
        <v>182</v>
      </c>
      <c r="H217" s="6" t="s">
        <v>4775</v>
      </c>
      <c r="I217" s="6" t="s">
        <v>4776</v>
      </c>
      <c r="J217" s="6">
        <v>2</v>
      </c>
      <c r="K217" s="6">
        <v>26.18</v>
      </c>
      <c r="L217" s="6" t="s">
        <v>4777</v>
      </c>
      <c r="M217" s="6" t="s">
        <v>4778</v>
      </c>
      <c r="N217" s="6" t="s">
        <v>265</v>
      </c>
      <c r="O217" s="6" t="s">
        <v>4779</v>
      </c>
      <c r="P217" s="6" t="s">
        <v>4780</v>
      </c>
      <c r="Q217" s="6" t="s">
        <v>65</v>
      </c>
      <c r="R217" s="6" t="s">
        <v>167</v>
      </c>
      <c r="S217" s="6" t="s">
        <v>4781</v>
      </c>
      <c r="T217" s="6">
        <v>1281800</v>
      </c>
      <c r="U217" s="6">
        <v>1508000</v>
      </c>
      <c r="V217" s="6" t="s">
        <v>4782</v>
      </c>
      <c r="W217" s="6" t="s">
        <v>4506</v>
      </c>
      <c r="X217" s="6" t="s">
        <v>4783</v>
      </c>
      <c r="Y217" s="6" t="s">
        <v>4784</v>
      </c>
      <c r="Z217" s="6" t="s">
        <v>64</v>
      </c>
      <c r="AA217" s="6" t="s">
        <v>65</v>
      </c>
      <c r="AB217" s="6" t="s">
        <v>777</v>
      </c>
      <c r="AC217" s="6" t="s">
        <v>531</v>
      </c>
      <c r="AD217" s="6" t="s">
        <v>4785</v>
      </c>
      <c r="AE217" s="6" t="s">
        <v>453</v>
      </c>
      <c r="AF217" s="6" t="s">
        <v>2370</v>
      </c>
      <c r="AG217" s="6" t="s">
        <v>4786</v>
      </c>
      <c r="AH217" s="6">
        <v>5</v>
      </c>
      <c r="AI217" s="6" t="s">
        <v>100</v>
      </c>
      <c r="AJ217" s="6" t="s">
        <v>4787</v>
      </c>
      <c r="AK217" s="6" t="s">
        <v>677</v>
      </c>
      <c r="AL217" s="6"/>
      <c r="AM217" s="6" t="s">
        <v>75</v>
      </c>
      <c r="AN217" s="6">
        <v>1281800</v>
      </c>
      <c r="AO217" s="10">
        <v>25636</v>
      </c>
      <c r="AP217" s="6"/>
      <c r="AQ217" s="6"/>
      <c r="AR217" s="6"/>
      <c r="AS217" s="18" t="s">
        <v>6768</v>
      </c>
      <c r="AT217" s="18" t="s">
        <v>6979</v>
      </c>
      <c r="AU217" s="19">
        <v>22620</v>
      </c>
      <c r="AV217" s="20">
        <v>3016</v>
      </c>
      <c r="AW217" s="18" t="s">
        <v>6555</v>
      </c>
      <c r="AX217" s="19">
        <v>3016</v>
      </c>
      <c r="AY217" s="20">
        <v>0</v>
      </c>
    </row>
    <row r="218" spans="1:51" x14ac:dyDescent="0.25">
      <c r="A218" s="7">
        <v>216</v>
      </c>
      <c r="B218" s="8" t="s">
        <v>1305</v>
      </c>
      <c r="C218" s="8" t="s">
        <v>4807</v>
      </c>
      <c r="D218" s="8" t="s">
        <v>912</v>
      </c>
      <c r="E218" s="8" t="s">
        <v>47</v>
      </c>
      <c r="F218" s="8" t="s">
        <v>48</v>
      </c>
      <c r="G218" s="8" t="s">
        <v>2918</v>
      </c>
      <c r="H218" s="8" t="s">
        <v>4808</v>
      </c>
      <c r="I218" s="8" t="s">
        <v>4809</v>
      </c>
      <c r="J218" s="8">
        <v>1.5</v>
      </c>
      <c r="K218" s="8">
        <v>26.93</v>
      </c>
      <c r="L218" s="8" t="s">
        <v>4810</v>
      </c>
      <c r="M218" s="8" t="s">
        <v>4811</v>
      </c>
      <c r="N218" s="8" t="s">
        <v>187</v>
      </c>
      <c r="O218" s="8" t="s">
        <v>4812</v>
      </c>
      <c r="P218" s="8" t="s">
        <v>65</v>
      </c>
      <c r="Q218" s="8" t="s">
        <v>4813</v>
      </c>
      <c r="R218" s="8" t="s">
        <v>65</v>
      </c>
      <c r="S218" s="8" t="s">
        <v>4814</v>
      </c>
      <c r="T218" s="8">
        <v>3801000</v>
      </c>
      <c r="U218" s="8">
        <v>5430000</v>
      </c>
      <c r="V218" s="8" t="s">
        <v>4815</v>
      </c>
      <c r="W218" s="8" t="s">
        <v>258</v>
      </c>
      <c r="X218" s="8" t="s">
        <v>4816</v>
      </c>
      <c r="Y218" s="8" t="s">
        <v>4817</v>
      </c>
      <c r="Z218" s="8" t="s">
        <v>64</v>
      </c>
      <c r="AA218" s="8" t="s">
        <v>65</v>
      </c>
      <c r="AB218" s="8" t="s">
        <v>116</v>
      </c>
      <c r="AC218" s="8" t="s">
        <v>151</v>
      </c>
      <c r="AD218" s="8" t="s">
        <v>4323</v>
      </c>
      <c r="AE218" s="8" t="s">
        <v>288</v>
      </c>
      <c r="AF218" s="8" t="s">
        <v>2213</v>
      </c>
      <c r="AG218" s="8" t="s">
        <v>4818</v>
      </c>
      <c r="AH218" s="8">
        <v>5</v>
      </c>
      <c r="AI218" s="8" t="s">
        <v>65</v>
      </c>
      <c r="AJ218" s="8" t="s">
        <v>65</v>
      </c>
      <c r="AK218" s="8" t="s">
        <v>65</v>
      </c>
      <c r="AL218" s="8"/>
      <c r="AM218" s="8" t="s">
        <v>157</v>
      </c>
      <c r="AN218" s="8">
        <v>4072500</v>
      </c>
      <c r="AO218" s="11">
        <v>61087.5</v>
      </c>
      <c r="AP218" s="8"/>
      <c r="AQ218" s="8"/>
      <c r="AR218" s="8"/>
      <c r="AS218" s="18" t="s">
        <v>6769</v>
      </c>
      <c r="AT218" s="18" t="s">
        <v>6980</v>
      </c>
      <c r="AU218" s="19">
        <v>69233</v>
      </c>
      <c r="AV218" s="20">
        <v>-8145.5</v>
      </c>
      <c r="AW218" s="18" t="s">
        <v>6555</v>
      </c>
      <c r="AX218" s="19">
        <v>-8145</v>
      </c>
      <c r="AY218" s="20">
        <v>-0.5</v>
      </c>
    </row>
    <row r="219" spans="1:51" x14ac:dyDescent="0.25">
      <c r="A219" s="5">
        <v>217</v>
      </c>
      <c r="B219" s="6" t="s">
        <v>1305</v>
      </c>
      <c r="C219" s="6" t="s">
        <v>4819</v>
      </c>
      <c r="D219" s="6" t="s">
        <v>136</v>
      </c>
      <c r="E219" s="6" t="s">
        <v>47</v>
      </c>
      <c r="F219" s="6" t="s">
        <v>48</v>
      </c>
      <c r="G219" s="6" t="s">
        <v>242</v>
      </c>
      <c r="H219" s="6" t="s">
        <v>4820</v>
      </c>
      <c r="I219" s="6" t="s">
        <v>4821</v>
      </c>
      <c r="J219" s="6">
        <v>2.5</v>
      </c>
      <c r="K219" s="6">
        <v>26.78</v>
      </c>
      <c r="L219" s="6" t="s">
        <v>4822</v>
      </c>
      <c r="M219" s="6" t="s">
        <v>688</v>
      </c>
      <c r="N219" s="6" t="s">
        <v>83</v>
      </c>
      <c r="O219" s="6" t="s">
        <v>4823</v>
      </c>
      <c r="P219" s="6" t="s">
        <v>4824</v>
      </c>
      <c r="Q219" s="6" t="s">
        <v>4825</v>
      </c>
      <c r="R219" s="6" t="s">
        <v>4826</v>
      </c>
      <c r="S219" s="6" t="s">
        <v>4827</v>
      </c>
      <c r="T219" s="6">
        <v>2652000</v>
      </c>
      <c r="U219" s="6">
        <v>3315000</v>
      </c>
      <c r="V219" s="6" t="s">
        <v>146</v>
      </c>
      <c r="W219" s="6" t="s">
        <v>258</v>
      </c>
      <c r="X219" s="6" t="s">
        <v>4828</v>
      </c>
      <c r="Y219" s="6" t="s">
        <v>4829</v>
      </c>
      <c r="Z219" s="6" t="s">
        <v>64</v>
      </c>
      <c r="AA219" s="6" t="s">
        <v>65</v>
      </c>
      <c r="AB219" s="6" t="s">
        <v>1110</v>
      </c>
      <c r="AC219" s="6" t="s">
        <v>151</v>
      </c>
      <c r="AD219" s="6" t="s">
        <v>2946</v>
      </c>
      <c r="AE219" s="6" t="s">
        <v>153</v>
      </c>
      <c r="AF219" s="6" t="s">
        <v>2533</v>
      </c>
      <c r="AG219" s="6" t="s">
        <v>4830</v>
      </c>
      <c r="AH219" s="6">
        <v>5</v>
      </c>
      <c r="AI219" s="6" t="s">
        <v>100</v>
      </c>
      <c r="AJ219" s="6" t="s">
        <v>4831</v>
      </c>
      <c r="AK219" s="6" t="s">
        <v>4832</v>
      </c>
      <c r="AL219" s="6"/>
      <c r="AM219" s="6" t="s">
        <v>180</v>
      </c>
      <c r="AN219" s="6">
        <v>2486250</v>
      </c>
      <c r="AO219" s="10">
        <v>62156.25</v>
      </c>
      <c r="AP219" s="6"/>
      <c r="AQ219" s="6"/>
      <c r="AR219" s="6"/>
      <c r="AS219" s="18" t="s">
        <v>6770</v>
      </c>
      <c r="AT219" s="18" t="s">
        <v>6981</v>
      </c>
      <c r="AU219" s="19">
        <v>70444</v>
      </c>
      <c r="AV219" s="20">
        <v>-8287.75</v>
      </c>
      <c r="AW219" s="18" t="s">
        <v>6555</v>
      </c>
      <c r="AX219" s="19">
        <v>-8288</v>
      </c>
      <c r="AY219" s="20">
        <v>0.25</v>
      </c>
    </row>
    <row r="220" spans="1:51" x14ac:dyDescent="0.25">
      <c r="A220" s="7">
        <v>218</v>
      </c>
      <c r="B220" s="8" t="s">
        <v>1305</v>
      </c>
      <c r="C220" s="8" t="s">
        <v>4833</v>
      </c>
      <c r="D220" s="8" t="s">
        <v>1238</v>
      </c>
      <c r="E220" s="8" t="s">
        <v>47</v>
      </c>
      <c r="F220" s="8" t="s">
        <v>48</v>
      </c>
      <c r="G220" s="8" t="s">
        <v>1221</v>
      </c>
      <c r="H220" s="8" t="s">
        <v>4834</v>
      </c>
      <c r="I220" s="8" t="s">
        <v>4835</v>
      </c>
      <c r="J220" s="8">
        <v>2</v>
      </c>
      <c r="K220" s="8">
        <v>27.43</v>
      </c>
      <c r="L220" s="8" t="s">
        <v>4836</v>
      </c>
      <c r="M220" s="8" t="s">
        <v>4837</v>
      </c>
      <c r="N220" s="8" t="s">
        <v>83</v>
      </c>
      <c r="O220" s="8" t="s">
        <v>4838</v>
      </c>
      <c r="P220" s="8" t="s">
        <v>4839</v>
      </c>
      <c r="Q220" s="8" t="s">
        <v>4839</v>
      </c>
      <c r="R220" s="8" t="s">
        <v>4840</v>
      </c>
      <c r="S220" s="8" t="s">
        <v>4841</v>
      </c>
      <c r="T220" s="8">
        <v>2204300</v>
      </c>
      <c r="U220" s="8">
        <v>3149000</v>
      </c>
      <c r="V220" s="8" t="s">
        <v>146</v>
      </c>
      <c r="W220" s="8" t="s">
        <v>258</v>
      </c>
      <c r="X220" s="8" t="s">
        <v>4842</v>
      </c>
      <c r="Y220" s="8" t="s">
        <v>4843</v>
      </c>
      <c r="Z220" s="8" t="s">
        <v>93</v>
      </c>
      <c r="AA220" s="8" t="s">
        <v>65</v>
      </c>
      <c r="AB220" s="8" t="s">
        <v>1110</v>
      </c>
      <c r="AC220" s="8" t="s">
        <v>151</v>
      </c>
      <c r="AD220" s="8" t="s">
        <v>4323</v>
      </c>
      <c r="AE220" s="8" t="s">
        <v>288</v>
      </c>
      <c r="AF220" s="8" t="s">
        <v>2213</v>
      </c>
      <c r="AG220" s="8" t="s">
        <v>4844</v>
      </c>
      <c r="AH220" s="8">
        <v>5</v>
      </c>
      <c r="AI220" s="8" t="s">
        <v>237</v>
      </c>
      <c r="AJ220" s="8" t="s">
        <v>4845</v>
      </c>
      <c r="AK220" s="8" t="s">
        <v>4323</v>
      </c>
      <c r="AL220" s="8"/>
      <c r="AM220" s="8" t="s">
        <v>75</v>
      </c>
      <c r="AN220" s="8">
        <v>2361750</v>
      </c>
      <c r="AO220" s="11">
        <v>47235</v>
      </c>
      <c r="AP220" s="8"/>
      <c r="AQ220" s="8"/>
      <c r="AR220" s="8"/>
      <c r="AS220" s="18" t="s">
        <v>6771</v>
      </c>
      <c r="AT220" s="18" t="s">
        <v>6982</v>
      </c>
      <c r="AU220" s="19">
        <v>53533</v>
      </c>
      <c r="AV220" s="20">
        <v>-6298</v>
      </c>
      <c r="AW220" s="18" t="s">
        <v>6555</v>
      </c>
      <c r="AX220" s="19">
        <v>-6298</v>
      </c>
      <c r="AY220" s="20">
        <v>0</v>
      </c>
    </row>
    <row r="221" spans="1:51" x14ac:dyDescent="0.25">
      <c r="A221" s="5">
        <v>219</v>
      </c>
      <c r="B221" s="6" t="s">
        <v>1305</v>
      </c>
      <c r="C221" s="6" t="s">
        <v>4846</v>
      </c>
      <c r="D221" s="6" t="s">
        <v>46</v>
      </c>
      <c r="E221" s="6" t="s">
        <v>47</v>
      </c>
      <c r="F221" s="6" t="s">
        <v>48</v>
      </c>
      <c r="G221" s="6" t="s">
        <v>4847</v>
      </c>
      <c r="H221" s="6" t="s">
        <v>4848</v>
      </c>
      <c r="I221" s="6" t="s">
        <v>4849</v>
      </c>
      <c r="J221" s="6">
        <v>2.5</v>
      </c>
      <c r="K221" s="6">
        <v>24.69</v>
      </c>
      <c r="L221" s="6" t="s">
        <v>4850</v>
      </c>
      <c r="M221" s="6" t="s">
        <v>4851</v>
      </c>
      <c r="N221" s="6" t="s">
        <v>83</v>
      </c>
      <c r="O221" s="6" t="s">
        <v>4852</v>
      </c>
      <c r="P221" s="6" t="s">
        <v>65</v>
      </c>
      <c r="Q221" s="6" t="s">
        <v>4853</v>
      </c>
      <c r="R221" s="6" t="s">
        <v>4854</v>
      </c>
      <c r="S221" s="6" t="s">
        <v>4855</v>
      </c>
      <c r="T221" s="6">
        <v>718040</v>
      </c>
      <c r="U221" s="6">
        <v>1238000</v>
      </c>
      <c r="V221" s="6" t="s">
        <v>4856</v>
      </c>
      <c r="W221" s="6" t="s">
        <v>358</v>
      </c>
      <c r="X221" s="6" t="s">
        <v>4857</v>
      </c>
      <c r="Y221" s="6" t="s">
        <v>4858</v>
      </c>
      <c r="Z221" s="6" t="s">
        <v>64</v>
      </c>
      <c r="AA221" s="6" t="s">
        <v>4859</v>
      </c>
      <c r="AB221" s="6" t="s">
        <v>1318</v>
      </c>
      <c r="AC221" s="6" t="s">
        <v>175</v>
      </c>
      <c r="AD221" s="6" t="s">
        <v>4860</v>
      </c>
      <c r="AE221" s="6" t="s">
        <v>2335</v>
      </c>
      <c r="AF221" s="6" t="s">
        <v>1354</v>
      </c>
      <c r="AG221" s="6" t="s">
        <v>4861</v>
      </c>
      <c r="AH221" s="6">
        <v>7</v>
      </c>
      <c r="AI221" s="6" t="s">
        <v>4862</v>
      </c>
      <c r="AJ221" s="6" t="s">
        <v>65</v>
      </c>
      <c r="AK221" s="6" t="s">
        <v>65</v>
      </c>
      <c r="AL221" s="6"/>
      <c r="AM221" s="6" t="s">
        <v>180</v>
      </c>
      <c r="AN221" s="6">
        <v>866600</v>
      </c>
      <c r="AO221" s="10">
        <v>21665</v>
      </c>
      <c r="AP221" s="6"/>
      <c r="AQ221" s="6"/>
      <c r="AR221" s="6"/>
      <c r="AS221" s="18" t="s">
        <v>6772</v>
      </c>
      <c r="AT221" s="18" t="s">
        <v>6983</v>
      </c>
      <c r="AU221" s="19">
        <v>24760</v>
      </c>
      <c r="AV221" s="20">
        <v>-3095</v>
      </c>
      <c r="AW221" s="18" t="s">
        <v>6555</v>
      </c>
      <c r="AX221" s="19">
        <v>-3095</v>
      </c>
      <c r="AY221" s="20">
        <v>0</v>
      </c>
    </row>
    <row r="222" spans="1:51" x14ac:dyDescent="0.25">
      <c r="A222" s="7">
        <v>220</v>
      </c>
      <c r="B222" s="8" t="s">
        <v>1305</v>
      </c>
      <c r="C222" s="8" t="s">
        <v>4863</v>
      </c>
      <c r="D222" s="8" t="s">
        <v>46</v>
      </c>
      <c r="E222" s="8" t="s">
        <v>47</v>
      </c>
      <c r="F222" s="8" t="s">
        <v>48</v>
      </c>
      <c r="G222" s="8" t="s">
        <v>4864</v>
      </c>
      <c r="H222" s="8" t="s">
        <v>4865</v>
      </c>
      <c r="I222" s="8" t="s">
        <v>4866</v>
      </c>
      <c r="J222" s="8">
        <v>2</v>
      </c>
      <c r="K222" s="8">
        <v>25.8</v>
      </c>
      <c r="L222" s="8" t="s">
        <v>4867</v>
      </c>
      <c r="M222" s="8" t="s">
        <v>4868</v>
      </c>
      <c r="N222" s="8" t="s">
        <v>1843</v>
      </c>
      <c r="O222" s="8" t="s">
        <v>4869</v>
      </c>
      <c r="P222" s="8" t="s">
        <v>65</v>
      </c>
      <c r="Q222" s="8" t="s">
        <v>4870</v>
      </c>
      <c r="R222" s="8" t="s">
        <v>65</v>
      </c>
      <c r="S222" s="8" t="s">
        <v>4871</v>
      </c>
      <c r="T222" s="8">
        <v>2622750</v>
      </c>
      <c r="U222" s="8">
        <v>3497000</v>
      </c>
      <c r="V222" s="8" t="s">
        <v>4872</v>
      </c>
      <c r="W222" s="8" t="s">
        <v>375</v>
      </c>
      <c r="X222" s="8" t="s">
        <v>4873</v>
      </c>
      <c r="Y222" s="8" t="s">
        <v>4874</v>
      </c>
      <c r="Z222" s="8" t="s">
        <v>64</v>
      </c>
      <c r="AA222" s="8" t="s">
        <v>65</v>
      </c>
      <c r="AB222" s="8" t="s">
        <v>4875</v>
      </c>
      <c r="AC222" s="8" t="s">
        <v>67</v>
      </c>
      <c r="AD222" s="8" t="s">
        <v>1039</v>
      </c>
      <c r="AE222" s="8" t="s">
        <v>69</v>
      </c>
      <c r="AF222" s="8" t="s">
        <v>1007</v>
      </c>
      <c r="AG222" s="8" t="s">
        <v>4876</v>
      </c>
      <c r="AH222" s="8">
        <v>5</v>
      </c>
      <c r="AI222" s="8" t="s">
        <v>2502</v>
      </c>
      <c r="AJ222" s="8" t="s">
        <v>4877</v>
      </c>
      <c r="AK222" s="8" t="s">
        <v>4878</v>
      </c>
      <c r="AL222" s="8"/>
      <c r="AM222" s="8" t="s">
        <v>75</v>
      </c>
      <c r="AN222" s="8">
        <v>2797600</v>
      </c>
      <c r="AO222" s="11">
        <v>55952</v>
      </c>
      <c r="AP222" s="8"/>
      <c r="AQ222" s="8"/>
      <c r="AR222" s="8"/>
      <c r="AS222" s="18" t="s">
        <v>6773</v>
      </c>
      <c r="AT222" s="18"/>
      <c r="AU222" s="19">
        <v>55952</v>
      </c>
      <c r="AV222" s="20">
        <v>0</v>
      </c>
      <c r="AW222" s="18" t="s">
        <v>6555</v>
      </c>
      <c r="AX222" s="18"/>
      <c r="AY222" s="18"/>
    </row>
    <row r="223" spans="1:51" x14ac:dyDescent="0.25">
      <c r="A223" s="5">
        <v>221</v>
      </c>
      <c r="B223" s="6" t="s">
        <v>1305</v>
      </c>
      <c r="C223" s="6" t="s">
        <v>4879</v>
      </c>
      <c r="D223" s="6" t="s">
        <v>77</v>
      </c>
      <c r="E223" s="6" t="s">
        <v>47</v>
      </c>
      <c r="F223" s="6" t="s">
        <v>48</v>
      </c>
      <c r="G223" s="6" t="s">
        <v>1717</v>
      </c>
      <c r="H223" s="6" t="s">
        <v>4880</v>
      </c>
      <c r="I223" s="6" t="s">
        <v>4881</v>
      </c>
      <c r="J223" s="6">
        <v>1.5</v>
      </c>
      <c r="K223" s="6">
        <v>25.68</v>
      </c>
      <c r="L223" s="6" t="s">
        <v>4882</v>
      </c>
      <c r="M223" s="6" t="s">
        <v>4883</v>
      </c>
      <c r="N223" s="6" t="s">
        <v>578</v>
      </c>
      <c r="O223" s="6" t="s">
        <v>4884</v>
      </c>
      <c r="P223" s="6" t="s">
        <v>652</v>
      </c>
      <c r="Q223" s="6" t="s">
        <v>4885</v>
      </c>
      <c r="R223" s="6" t="s">
        <v>4886</v>
      </c>
      <c r="S223" s="6" t="s">
        <v>4887</v>
      </c>
      <c r="T223" s="6">
        <v>5340000</v>
      </c>
      <c r="U223" s="6">
        <v>8900000</v>
      </c>
      <c r="V223" s="6" t="s">
        <v>4888</v>
      </c>
      <c r="W223" s="6" t="s">
        <v>375</v>
      </c>
      <c r="X223" s="6" t="s">
        <v>4889</v>
      </c>
      <c r="Y223" s="6" t="s">
        <v>4890</v>
      </c>
      <c r="Z223" s="6" t="s">
        <v>93</v>
      </c>
      <c r="AA223" s="6" t="s">
        <v>4891</v>
      </c>
      <c r="AB223" s="6" t="s">
        <v>3935</v>
      </c>
      <c r="AC223" s="6" t="s">
        <v>67</v>
      </c>
      <c r="AD223" s="6" t="s">
        <v>258</v>
      </c>
      <c r="AE223" s="6" t="s">
        <v>399</v>
      </c>
      <c r="AF223" s="6" t="s">
        <v>1354</v>
      </c>
      <c r="AG223" s="6" t="s">
        <v>4892</v>
      </c>
      <c r="AH223" s="6">
        <v>5</v>
      </c>
      <c r="AI223" s="6" t="s">
        <v>237</v>
      </c>
      <c r="AJ223" s="6" t="s">
        <v>4893</v>
      </c>
      <c r="AK223" s="6" t="s">
        <v>403</v>
      </c>
      <c r="AL223" s="6"/>
      <c r="AM223" s="6" t="s">
        <v>157</v>
      </c>
      <c r="AN223" s="6">
        <v>7120000</v>
      </c>
      <c r="AO223" s="10">
        <v>106800</v>
      </c>
      <c r="AP223" s="6"/>
      <c r="AQ223" s="6"/>
      <c r="AR223" s="6"/>
      <c r="AS223" s="18" t="s">
        <v>6774</v>
      </c>
      <c r="AT223" s="18"/>
      <c r="AU223" s="19">
        <v>106800</v>
      </c>
      <c r="AV223" s="20">
        <v>0</v>
      </c>
      <c r="AW223" s="18" t="s">
        <v>6555</v>
      </c>
      <c r="AX223" s="18"/>
      <c r="AY223" s="18"/>
    </row>
    <row r="224" spans="1:51" x14ac:dyDescent="0.25">
      <c r="A224" s="7">
        <v>222</v>
      </c>
      <c r="B224" s="8" t="s">
        <v>1305</v>
      </c>
      <c r="C224" s="8" t="s">
        <v>4925</v>
      </c>
      <c r="D224" s="8" t="s">
        <v>46</v>
      </c>
      <c r="E224" s="8" t="s">
        <v>47</v>
      </c>
      <c r="F224" s="8" t="s">
        <v>48</v>
      </c>
      <c r="G224" s="8" t="s">
        <v>1080</v>
      </c>
      <c r="H224" s="8" t="s">
        <v>4926</v>
      </c>
      <c r="I224" s="8" t="s">
        <v>4927</v>
      </c>
      <c r="J224" s="8">
        <v>2</v>
      </c>
      <c r="K224" s="8">
        <v>25.8</v>
      </c>
      <c r="L224" s="8" t="s">
        <v>4928</v>
      </c>
      <c r="M224" s="8" t="s">
        <v>4929</v>
      </c>
      <c r="N224" s="8" t="s">
        <v>187</v>
      </c>
      <c r="O224" s="8" t="s">
        <v>4930</v>
      </c>
      <c r="P224" s="8" t="s">
        <v>4931</v>
      </c>
      <c r="Q224" s="8" t="s">
        <v>4931</v>
      </c>
      <c r="R224" s="8" t="s">
        <v>4932</v>
      </c>
      <c r="S224" s="8" t="s">
        <v>4933</v>
      </c>
      <c r="T224" s="8">
        <v>2242400</v>
      </c>
      <c r="U224" s="8">
        <v>2803000</v>
      </c>
      <c r="V224" s="8" t="s">
        <v>4934</v>
      </c>
      <c r="W224" s="8" t="s">
        <v>375</v>
      </c>
      <c r="X224" s="8" t="s">
        <v>4935</v>
      </c>
      <c r="Y224" s="8" t="s">
        <v>4936</v>
      </c>
      <c r="Z224" s="8" t="s">
        <v>64</v>
      </c>
      <c r="AA224" s="8" t="s">
        <v>65</v>
      </c>
      <c r="AB224" s="8" t="s">
        <v>1125</v>
      </c>
      <c r="AC224" s="8" t="s">
        <v>67</v>
      </c>
      <c r="AD224" s="8" t="s">
        <v>1039</v>
      </c>
      <c r="AE224" s="8" t="s">
        <v>216</v>
      </c>
      <c r="AF224" s="8" t="s">
        <v>4937</v>
      </c>
      <c r="AG224" s="8" t="s">
        <v>4938</v>
      </c>
      <c r="AH224" s="8">
        <v>7</v>
      </c>
      <c r="AI224" s="8" t="s">
        <v>198</v>
      </c>
      <c r="AJ224" s="8" t="s">
        <v>4939</v>
      </c>
      <c r="AK224" s="8" t="s">
        <v>258</v>
      </c>
      <c r="AL224" s="8"/>
      <c r="AM224" s="8" t="s">
        <v>75</v>
      </c>
      <c r="AN224" s="8">
        <v>2242400</v>
      </c>
      <c r="AO224" s="11">
        <v>44848</v>
      </c>
      <c r="AP224" s="8"/>
      <c r="AQ224" s="8"/>
      <c r="AR224" s="8"/>
      <c r="AS224" s="18" t="s">
        <v>6775</v>
      </c>
      <c r="AT224" s="18"/>
      <c r="AU224" s="19">
        <v>44848</v>
      </c>
      <c r="AV224" s="20">
        <v>0</v>
      </c>
      <c r="AW224" s="18" t="s">
        <v>6555</v>
      </c>
      <c r="AX224" s="18"/>
      <c r="AY224" s="18"/>
    </row>
    <row r="225" spans="1:51" x14ac:dyDescent="0.25">
      <c r="A225" s="5">
        <v>223</v>
      </c>
      <c r="B225" s="6" t="s">
        <v>1305</v>
      </c>
      <c r="C225" s="6" t="s">
        <v>4940</v>
      </c>
      <c r="D225" s="6" t="s">
        <v>1489</v>
      </c>
      <c r="E225" s="6" t="s">
        <v>47</v>
      </c>
      <c r="F225" s="6" t="s">
        <v>48</v>
      </c>
      <c r="G225" s="6" t="s">
        <v>2951</v>
      </c>
      <c r="H225" s="6" t="s">
        <v>4941</v>
      </c>
      <c r="I225" s="6" t="s">
        <v>4942</v>
      </c>
      <c r="J225" s="6">
        <v>2.5</v>
      </c>
      <c r="K225" s="6">
        <v>27.18</v>
      </c>
      <c r="L225" s="6" t="s">
        <v>4943</v>
      </c>
      <c r="M225" s="6" t="s">
        <v>4944</v>
      </c>
      <c r="N225" s="6" t="s">
        <v>265</v>
      </c>
      <c r="O225" s="6" t="s">
        <v>4945</v>
      </c>
      <c r="P225" s="6" t="s">
        <v>65</v>
      </c>
      <c r="Q225" s="6" t="s">
        <v>4946</v>
      </c>
      <c r="R225" s="6" t="s">
        <v>65</v>
      </c>
      <c r="S225" s="6" t="s">
        <v>4947</v>
      </c>
      <c r="T225" s="6">
        <v>769300</v>
      </c>
      <c r="U225" s="6">
        <v>1099000</v>
      </c>
      <c r="V225" s="6" t="s">
        <v>4948</v>
      </c>
      <c r="W225" s="6" t="s">
        <v>763</v>
      </c>
      <c r="X225" s="6" t="s">
        <v>4949</v>
      </c>
      <c r="Y225" s="6" t="s">
        <v>4950</v>
      </c>
      <c r="Z225" s="6" t="s">
        <v>64</v>
      </c>
      <c r="AA225" s="6" t="s">
        <v>65</v>
      </c>
      <c r="AB225" s="6" t="s">
        <v>3847</v>
      </c>
      <c r="AC225" s="6" t="s">
        <v>151</v>
      </c>
      <c r="AD225" s="6" t="s">
        <v>4291</v>
      </c>
      <c r="AE225" s="6" t="s">
        <v>1539</v>
      </c>
      <c r="AF225" s="6" t="s">
        <v>1430</v>
      </c>
      <c r="AG225" s="6" t="s">
        <v>4951</v>
      </c>
      <c r="AH225" s="6">
        <v>5</v>
      </c>
      <c r="AI225" s="6" t="s">
        <v>511</v>
      </c>
      <c r="AJ225" s="6" t="s">
        <v>4952</v>
      </c>
      <c r="AK225" s="6" t="s">
        <v>4953</v>
      </c>
      <c r="AL225" s="6"/>
      <c r="AM225" s="6" t="s">
        <v>180</v>
      </c>
      <c r="AN225" s="6">
        <v>824250</v>
      </c>
      <c r="AO225" s="10">
        <v>20606.25</v>
      </c>
      <c r="AP225" s="6"/>
      <c r="AQ225" s="6"/>
      <c r="AR225" s="6"/>
      <c r="AS225" s="18" t="s">
        <v>6776</v>
      </c>
      <c r="AT225" s="18" t="s">
        <v>6984</v>
      </c>
      <c r="AU225" s="19">
        <v>23354</v>
      </c>
      <c r="AV225" s="20">
        <v>-2747.75</v>
      </c>
      <c r="AW225" s="18" t="s">
        <v>6555</v>
      </c>
      <c r="AX225" s="19">
        <v>-2748</v>
      </c>
      <c r="AY225" s="20">
        <v>0.25</v>
      </c>
    </row>
    <row r="226" spans="1:51" x14ac:dyDescent="0.25">
      <c r="A226" s="7">
        <v>224</v>
      </c>
      <c r="B226" s="8" t="s">
        <v>1305</v>
      </c>
      <c r="C226" s="8" t="s">
        <v>4954</v>
      </c>
      <c r="D226" s="8" t="s">
        <v>46</v>
      </c>
      <c r="E226" s="8" t="s">
        <v>47</v>
      </c>
      <c r="F226" s="8" t="s">
        <v>48</v>
      </c>
      <c r="G226" s="8" t="s">
        <v>182</v>
      </c>
      <c r="H226" s="8" t="s">
        <v>4955</v>
      </c>
      <c r="I226" s="8" t="s">
        <v>4956</v>
      </c>
      <c r="J226" s="8">
        <v>2</v>
      </c>
      <c r="K226" s="8">
        <v>25.8</v>
      </c>
      <c r="L226" s="8" t="s">
        <v>4957</v>
      </c>
      <c r="M226" s="8" t="s">
        <v>4958</v>
      </c>
      <c r="N226" s="8" t="s">
        <v>187</v>
      </c>
      <c r="O226" s="8" t="s">
        <v>4959</v>
      </c>
      <c r="P226" s="8" t="s">
        <v>65</v>
      </c>
      <c r="Q226" s="8" t="s">
        <v>65</v>
      </c>
      <c r="R226" s="8" t="s">
        <v>65</v>
      </c>
      <c r="S226" s="8" t="s">
        <v>4960</v>
      </c>
      <c r="T226" s="8">
        <v>779100</v>
      </c>
      <c r="U226" s="8">
        <v>1113000</v>
      </c>
      <c r="V226" s="8" t="s">
        <v>4961</v>
      </c>
      <c r="W226" s="8" t="s">
        <v>763</v>
      </c>
      <c r="X226" s="8" t="s">
        <v>4962</v>
      </c>
      <c r="Y226" s="8" t="s">
        <v>4963</v>
      </c>
      <c r="Z226" s="8" t="s">
        <v>64</v>
      </c>
      <c r="AA226" s="8" t="s">
        <v>65</v>
      </c>
      <c r="AB226" s="8" t="s">
        <v>4964</v>
      </c>
      <c r="AC226" s="8" t="s">
        <v>67</v>
      </c>
      <c r="AD226" s="8" t="s">
        <v>4637</v>
      </c>
      <c r="AE226" s="8" t="s">
        <v>69</v>
      </c>
      <c r="AF226" s="8" t="s">
        <v>1007</v>
      </c>
      <c r="AG226" s="8" t="s">
        <v>4965</v>
      </c>
      <c r="AH226" s="8">
        <v>5</v>
      </c>
      <c r="AI226" s="8" t="s">
        <v>237</v>
      </c>
      <c r="AJ226" s="8" t="s">
        <v>4966</v>
      </c>
      <c r="AK226" s="8" t="s">
        <v>330</v>
      </c>
      <c r="AL226" s="8"/>
      <c r="AM226" s="8" t="s">
        <v>75</v>
      </c>
      <c r="AN226" s="8">
        <v>890400</v>
      </c>
      <c r="AO226" s="11">
        <v>17808</v>
      </c>
      <c r="AP226" s="8"/>
      <c r="AQ226" s="8"/>
      <c r="AR226" s="8"/>
      <c r="AS226" s="18" t="s">
        <v>6777</v>
      </c>
      <c r="AT226" s="18"/>
      <c r="AU226" s="19">
        <v>17808</v>
      </c>
      <c r="AV226" s="20">
        <v>0</v>
      </c>
      <c r="AW226" s="18" t="s">
        <v>6555</v>
      </c>
      <c r="AX226" s="18"/>
      <c r="AY226" s="18"/>
    </row>
    <row r="227" spans="1:51" x14ac:dyDescent="0.25">
      <c r="A227" s="5">
        <v>225</v>
      </c>
      <c r="B227" s="6" t="s">
        <v>1305</v>
      </c>
      <c r="C227" s="6" t="s">
        <v>4967</v>
      </c>
      <c r="D227" s="6" t="s">
        <v>46</v>
      </c>
      <c r="E227" s="6" t="s">
        <v>47</v>
      </c>
      <c r="F227" s="6" t="s">
        <v>48</v>
      </c>
      <c r="G227" s="6" t="s">
        <v>4968</v>
      </c>
      <c r="H227" s="6" t="s">
        <v>4969</v>
      </c>
      <c r="I227" s="6" t="s">
        <v>4970</v>
      </c>
      <c r="J227" s="6">
        <v>2</v>
      </c>
      <c r="K227" s="6">
        <v>25.79</v>
      </c>
      <c r="L227" s="6" t="s">
        <v>4971</v>
      </c>
      <c r="M227" s="6" t="s">
        <v>4972</v>
      </c>
      <c r="N227" s="6" t="s">
        <v>187</v>
      </c>
      <c r="O227" s="6" t="s">
        <v>4973</v>
      </c>
      <c r="P227" s="6" t="s">
        <v>65</v>
      </c>
      <c r="Q227" s="6" t="s">
        <v>4974</v>
      </c>
      <c r="R227" s="6" t="s">
        <v>65</v>
      </c>
      <c r="S227" s="6" t="s">
        <v>4975</v>
      </c>
      <c r="T227" s="6">
        <v>1987500</v>
      </c>
      <c r="U227" s="6">
        <v>2650000</v>
      </c>
      <c r="V227" s="6" t="s">
        <v>4976</v>
      </c>
      <c r="W227" s="6" t="s">
        <v>4977</v>
      </c>
      <c r="X227" s="6" t="s">
        <v>4978</v>
      </c>
      <c r="Y227" s="6" t="s">
        <v>4979</v>
      </c>
      <c r="Z227" s="6" t="s">
        <v>64</v>
      </c>
      <c r="AA227" s="6" t="s">
        <v>65</v>
      </c>
      <c r="AB227" s="6" t="s">
        <v>1005</v>
      </c>
      <c r="AC227" s="6" t="s">
        <v>67</v>
      </c>
      <c r="AD227" s="6" t="s">
        <v>4980</v>
      </c>
      <c r="AE227" s="6" t="s">
        <v>69</v>
      </c>
      <c r="AF227" s="6" t="s">
        <v>1007</v>
      </c>
      <c r="AG227" s="6" t="s">
        <v>4981</v>
      </c>
      <c r="AH227" s="6">
        <v>5</v>
      </c>
      <c r="AI227" s="6" t="s">
        <v>237</v>
      </c>
      <c r="AJ227" s="6" t="s">
        <v>4982</v>
      </c>
      <c r="AK227" s="6" t="s">
        <v>258</v>
      </c>
      <c r="AL227" s="6"/>
      <c r="AM227" s="6" t="s">
        <v>75</v>
      </c>
      <c r="AN227" s="6">
        <v>2120000</v>
      </c>
      <c r="AO227" s="10">
        <v>42400</v>
      </c>
      <c r="AP227" s="6"/>
      <c r="AQ227" s="6"/>
      <c r="AR227" s="6"/>
      <c r="AS227" s="18" t="s">
        <v>6778</v>
      </c>
      <c r="AT227" s="18"/>
      <c r="AU227" s="19">
        <v>42400</v>
      </c>
      <c r="AV227" s="20">
        <v>0</v>
      </c>
      <c r="AW227" s="18" t="s">
        <v>6555</v>
      </c>
      <c r="AX227" s="18"/>
      <c r="AY227" s="18"/>
    </row>
    <row r="228" spans="1:51" x14ac:dyDescent="0.25">
      <c r="A228" s="7">
        <v>226</v>
      </c>
      <c r="B228" s="8" t="s">
        <v>1305</v>
      </c>
      <c r="C228" s="8" t="s">
        <v>4983</v>
      </c>
      <c r="D228" s="8" t="s">
        <v>46</v>
      </c>
      <c r="E228" s="8" t="s">
        <v>47</v>
      </c>
      <c r="F228" s="8" t="s">
        <v>48</v>
      </c>
      <c r="G228" s="8" t="s">
        <v>260</v>
      </c>
      <c r="H228" s="8" t="s">
        <v>4984</v>
      </c>
      <c r="I228" s="8" t="s">
        <v>4985</v>
      </c>
      <c r="J228" s="8">
        <v>2</v>
      </c>
      <c r="K228" s="8">
        <v>25.79</v>
      </c>
      <c r="L228" s="8" t="s">
        <v>4986</v>
      </c>
      <c r="M228" s="8" t="s">
        <v>4987</v>
      </c>
      <c r="N228" s="8" t="s">
        <v>164</v>
      </c>
      <c r="O228" s="8" t="s">
        <v>4988</v>
      </c>
      <c r="P228" s="8" t="s">
        <v>4989</v>
      </c>
      <c r="Q228" s="8" t="s">
        <v>65</v>
      </c>
      <c r="R228" s="8" t="s">
        <v>4990</v>
      </c>
      <c r="S228" s="8" t="s">
        <v>4991</v>
      </c>
      <c r="T228" s="8">
        <v>890400</v>
      </c>
      <c r="U228" s="8">
        <v>1113000</v>
      </c>
      <c r="V228" s="8" t="s">
        <v>4992</v>
      </c>
      <c r="W228" s="8" t="s">
        <v>693</v>
      </c>
      <c r="X228" s="8" t="s">
        <v>4993</v>
      </c>
      <c r="Y228" s="8" t="s">
        <v>4994</v>
      </c>
      <c r="Z228" s="8" t="s">
        <v>64</v>
      </c>
      <c r="AA228" s="8" t="s">
        <v>65</v>
      </c>
      <c r="AB228" s="8" t="s">
        <v>4132</v>
      </c>
      <c r="AC228" s="8" t="s">
        <v>67</v>
      </c>
      <c r="AD228" s="8" t="s">
        <v>196</v>
      </c>
      <c r="AE228" s="8" t="s">
        <v>399</v>
      </c>
      <c r="AF228" s="8" t="s">
        <v>4995</v>
      </c>
      <c r="AG228" s="8" t="s">
        <v>4996</v>
      </c>
      <c r="AH228" s="8">
        <v>6</v>
      </c>
      <c r="AI228" s="8" t="s">
        <v>198</v>
      </c>
      <c r="AJ228" s="8" t="s">
        <v>4997</v>
      </c>
      <c r="AK228" s="8" t="s">
        <v>330</v>
      </c>
      <c r="AL228" s="8"/>
      <c r="AM228" s="8" t="s">
        <v>75</v>
      </c>
      <c r="AN228" s="8">
        <v>890400</v>
      </c>
      <c r="AO228" s="11">
        <v>17808</v>
      </c>
      <c r="AP228" s="8"/>
      <c r="AQ228" s="8"/>
      <c r="AR228" s="8"/>
      <c r="AS228" s="18" t="s">
        <v>6779</v>
      </c>
      <c r="AT228" s="18" t="s">
        <v>6985</v>
      </c>
      <c r="AU228" s="19">
        <v>16695</v>
      </c>
      <c r="AV228" s="20">
        <v>1113</v>
      </c>
      <c r="AW228" s="18" t="s">
        <v>6555</v>
      </c>
      <c r="AX228" s="19">
        <v>1113</v>
      </c>
      <c r="AY228" s="20">
        <v>0</v>
      </c>
    </row>
    <row r="229" spans="1:51" x14ac:dyDescent="0.25">
      <c r="A229" s="5">
        <v>227</v>
      </c>
      <c r="B229" s="6" t="s">
        <v>1305</v>
      </c>
      <c r="C229" s="6" t="s">
        <v>4998</v>
      </c>
      <c r="D229" s="6" t="s">
        <v>241</v>
      </c>
      <c r="E229" s="6" t="s">
        <v>47</v>
      </c>
      <c r="F229" s="6" t="s">
        <v>48</v>
      </c>
      <c r="G229" s="6" t="s">
        <v>4999</v>
      </c>
      <c r="H229" s="6" t="s">
        <v>5000</v>
      </c>
      <c r="I229" s="6" t="s">
        <v>5001</v>
      </c>
      <c r="J229" s="6">
        <v>2</v>
      </c>
      <c r="K229" s="6">
        <v>26.45</v>
      </c>
      <c r="L229" s="6" t="s">
        <v>5002</v>
      </c>
      <c r="M229" s="6" t="s">
        <v>5003</v>
      </c>
      <c r="N229" s="6" t="s">
        <v>265</v>
      </c>
      <c r="O229" s="6" t="s">
        <v>5004</v>
      </c>
      <c r="P229" s="6" t="s">
        <v>5005</v>
      </c>
      <c r="Q229" s="6" t="s">
        <v>5006</v>
      </c>
      <c r="R229" s="6" t="s">
        <v>5007</v>
      </c>
      <c r="S229" s="6" t="s">
        <v>5008</v>
      </c>
      <c r="T229" s="6">
        <v>1311500</v>
      </c>
      <c r="U229" s="6">
        <v>2623000</v>
      </c>
      <c r="V229" s="6" t="s">
        <v>5009</v>
      </c>
      <c r="W229" s="6" t="s">
        <v>375</v>
      </c>
      <c r="X229" s="6" t="s">
        <v>5010</v>
      </c>
      <c r="Y229" s="6" t="s">
        <v>5011</v>
      </c>
      <c r="Z229" s="6" t="s">
        <v>64</v>
      </c>
      <c r="AA229" s="6" t="s">
        <v>65</v>
      </c>
      <c r="AB229" s="6" t="s">
        <v>3545</v>
      </c>
      <c r="AC229" s="6" t="s">
        <v>67</v>
      </c>
      <c r="AD229" s="6" t="s">
        <v>330</v>
      </c>
      <c r="AE229" s="6" t="s">
        <v>69</v>
      </c>
      <c r="AF229" s="6" t="s">
        <v>1007</v>
      </c>
      <c r="AG229" s="6" t="s">
        <v>5012</v>
      </c>
      <c r="AH229" s="6">
        <v>5</v>
      </c>
      <c r="AI229" s="6" t="s">
        <v>237</v>
      </c>
      <c r="AJ229" s="6" t="s">
        <v>5013</v>
      </c>
      <c r="AK229" s="6" t="s">
        <v>403</v>
      </c>
      <c r="AL229" s="6"/>
      <c r="AM229" s="6" t="s">
        <v>75</v>
      </c>
      <c r="AN229" s="6">
        <v>2098400</v>
      </c>
      <c r="AO229" s="10">
        <v>41968</v>
      </c>
      <c r="AP229" s="6"/>
      <c r="AQ229" s="6"/>
      <c r="AR229" s="6"/>
      <c r="AS229" s="18" t="s">
        <v>6780</v>
      </c>
      <c r="AT229" s="18"/>
      <c r="AU229" s="19">
        <v>41968</v>
      </c>
      <c r="AV229" s="20">
        <v>0</v>
      </c>
      <c r="AW229" s="18" t="s">
        <v>6555</v>
      </c>
      <c r="AX229" s="18"/>
      <c r="AY229" s="18"/>
    </row>
    <row r="230" spans="1:51" x14ac:dyDescent="0.25">
      <c r="A230" s="7">
        <v>228</v>
      </c>
      <c r="B230" s="8" t="s">
        <v>1305</v>
      </c>
      <c r="C230" s="8" t="s">
        <v>5014</v>
      </c>
      <c r="D230" s="8" t="s">
        <v>1489</v>
      </c>
      <c r="E230" s="8" t="s">
        <v>47</v>
      </c>
      <c r="F230" s="8" t="s">
        <v>48</v>
      </c>
      <c r="G230" s="8" t="s">
        <v>1258</v>
      </c>
      <c r="H230" s="8" t="s">
        <v>5015</v>
      </c>
      <c r="I230" s="8" t="s">
        <v>5016</v>
      </c>
      <c r="J230" s="8">
        <v>2</v>
      </c>
      <c r="K230" s="8">
        <v>27.18</v>
      </c>
      <c r="L230" s="8" t="s">
        <v>5017</v>
      </c>
      <c r="M230" s="8" t="s">
        <v>5018</v>
      </c>
      <c r="N230" s="8" t="s">
        <v>187</v>
      </c>
      <c r="O230" s="8" t="s">
        <v>5019</v>
      </c>
      <c r="P230" s="8" t="s">
        <v>5020</v>
      </c>
      <c r="Q230" s="8" t="s">
        <v>5020</v>
      </c>
      <c r="R230" s="8" t="s">
        <v>5021</v>
      </c>
      <c r="S230" s="8" t="s">
        <v>5022</v>
      </c>
      <c r="T230" s="8">
        <v>1272600</v>
      </c>
      <c r="U230" s="8">
        <v>2020000</v>
      </c>
      <c r="V230" s="8" t="s">
        <v>146</v>
      </c>
      <c r="W230" s="8" t="s">
        <v>403</v>
      </c>
      <c r="X230" s="8" t="s">
        <v>5023</v>
      </c>
      <c r="Y230" s="8" t="s">
        <v>5024</v>
      </c>
      <c r="Z230" s="8" t="s">
        <v>64</v>
      </c>
      <c r="AA230" s="8" t="s">
        <v>65</v>
      </c>
      <c r="AB230" s="8" t="s">
        <v>5025</v>
      </c>
      <c r="AC230" s="8" t="s">
        <v>151</v>
      </c>
      <c r="AD230" s="8" t="s">
        <v>2065</v>
      </c>
      <c r="AE230" s="8" t="s">
        <v>288</v>
      </c>
      <c r="AF230" s="8" t="s">
        <v>2213</v>
      </c>
      <c r="AG230" s="8" t="s">
        <v>5026</v>
      </c>
      <c r="AH230" s="8">
        <v>5</v>
      </c>
      <c r="AI230" s="8" t="s">
        <v>237</v>
      </c>
      <c r="AJ230" s="8" t="s">
        <v>5027</v>
      </c>
      <c r="AK230" s="8" t="s">
        <v>358</v>
      </c>
      <c r="AL230" s="8"/>
      <c r="AM230" s="8" t="s">
        <v>75</v>
      </c>
      <c r="AN230" s="8">
        <v>1515000</v>
      </c>
      <c r="AO230" s="11">
        <v>30300</v>
      </c>
      <c r="AP230" s="8"/>
      <c r="AQ230" s="8"/>
      <c r="AR230" s="8"/>
      <c r="AS230" s="18" t="s">
        <v>6781</v>
      </c>
      <c r="AT230" s="18" t="s">
        <v>6986</v>
      </c>
      <c r="AU230" s="19">
        <v>34340</v>
      </c>
      <c r="AV230" s="20">
        <v>-4040</v>
      </c>
      <c r="AW230" s="18" t="s">
        <v>6555</v>
      </c>
      <c r="AX230" s="19">
        <v>-4040</v>
      </c>
      <c r="AY230" s="20">
        <v>0</v>
      </c>
    </row>
    <row r="231" spans="1:51" x14ac:dyDescent="0.25">
      <c r="A231" s="5">
        <v>229</v>
      </c>
      <c r="B231" s="6" t="s">
        <v>1305</v>
      </c>
      <c r="C231" s="6" t="s">
        <v>5028</v>
      </c>
      <c r="D231" s="6" t="s">
        <v>1489</v>
      </c>
      <c r="E231" s="6" t="s">
        <v>47</v>
      </c>
      <c r="F231" s="6" t="s">
        <v>48</v>
      </c>
      <c r="G231" s="6" t="s">
        <v>5029</v>
      </c>
      <c r="H231" s="6" t="s">
        <v>5030</v>
      </c>
      <c r="I231" s="6" t="s">
        <v>5031</v>
      </c>
      <c r="J231" s="6">
        <v>2</v>
      </c>
      <c r="K231" s="6">
        <v>27.27</v>
      </c>
      <c r="L231" s="6" t="s">
        <v>5032</v>
      </c>
      <c r="M231" s="6" t="s">
        <v>5033</v>
      </c>
      <c r="N231" s="6" t="s">
        <v>1406</v>
      </c>
      <c r="O231" s="6" t="s">
        <v>5034</v>
      </c>
      <c r="P231" s="6" t="s">
        <v>5035</v>
      </c>
      <c r="Q231" s="6" t="s">
        <v>65</v>
      </c>
      <c r="R231" s="6" t="s">
        <v>5036</v>
      </c>
      <c r="S231" s="6" t="s">
        <v>5037</v>
      </c>
      <c r="T231" s="6">
        <v>978600</v>
      </c>
      <c r="U231" s="6">
        <v>1398000</v>
      </c>
      <c r="V231" s="6" t="s">
        <v>5038</v>
      </c>
      <c r="W231" s="6" t="s">
        <v>403</v>
      </c>
      <c r="X231" s="6" t="s">
        <v>5039</v>
      </c>
      <c r="Y231" s="6" t="s">
        <v>5040</v>
      </c>
      <c r="Z231" s="6" t="s">
        <v>64</v>
      </c>
      <c r="AA231" s="6" t="s">
        <v>65</v>
      </c>
      <c r="AB231" s="6" t="s">
        <v>809</v>
      </c>
      <c r="AC231" s="6" t="s">
        <v>151</v>
      </c>
      <c r="AD231" s="6" t="s">
        <v>1253</v>
      </c>
      <c r="AE231" s="6" t="s">
        <v>153</v>
      </c>
      <c r="AF231" s="6" t="s">
        <v>2533</v>
      </c>
      <c r="AG231" s="6" t="s">
        <v>5041</v>
      </c>
      <c r="AH231" s="6">
        <v>5</v>
      </c>
      <c r="AI231" s="6" t="s">
        <v>237</v>
      </c>
      <c r="AJ231" s="6" t="s">
        <v>5042</v>
      </c>
      <c r="AK231" s="6" t="s">
        <v>358</v>
      </c>
      <c r="AL231" s="6"/>
      <c r="AM231" s="6" t="s">
        <v>75</v>
      </c>
      <c r="AN231" s="6">
        <v>1048500</v>
      </c>
      <c r="AO231" s="10">
        <v>20970</v>
      </c>
      <c r="AP231" s="6"/>
      <c r="AQ231" s="6"/>
      <c r="AR231" s="6"/>
      <c r="AS231" s="18" t="s">
        <v>6782</v>
      </c>
      <c r="AT231" s="18" t="s">
        <v>6987</v>
      </c>
      <c r="AU231" s="19">
        <v>23766</v>
      </c>
      <c r="AV231" s="20">
        <v>-2796</v>
      </c>
      <c r="AW231" s="18" t="s">
        <v>6555</v>
      </c>
      <c r="AX231" s="19">
        <v>-2796</v>
      </c>
      <c r="AY231" s="20">
        <v>0</v>
      </c>
    </row>
    <row r="232" spans="1:51" x14ac:dyDescent="0.25">
      <c r="A232" s="7">
        <v>230</v>
      </c>
      <c r="B232" s="8" t="s">
        <v>1305</v>
      </c>
      <c r="C232" s="8" t="s">
        <v>5043</v>
      </c>
      <c r="D232" s="8" t="s">
        <v>277</v>
      </c>
      <c r="E232" s="8" t="s">
        <v>47</v>
      </c>
      <c r="F232" s="8" t="s">
        <v>48</v>
      </c>
      <c r="G232" s="8" t="s">
        <v>1717</v>
      </c>
      <c r="H232" s="8" t="s">
        <v>5044</v>
      </c>
      <c r="I232" s="8" t="s">
        <v>5045</v>
      </c>
      <c r="J232" s="8">
        <v>2</v>
      </c>
      <c r="K232" s="8">
        <v>25.94</v>
      </c>
      <c r="L232" s="8" t="s">
        <v>5046</v>
      </c>
      <c r="M232" s="8" t="s">
        <v>5047</v>
      </c>
      <c r="N232" s="8" t="s">
        <v>187</v>
      </c>
      <c r="O232" s="8" t="s">
        <v>5048</v>
      </c>
      <c r="P232" s="8" t="s">
        <v>5049</v>
      </c>
      <c r="Q232" s="8" t="s">
        <v>5049</v>
      </c>
      <c r="R232" s="8" t="s">
        <v>5050</v>
      </c>
      <c r="S232" s="8" t="s">
        <v>5051</v>
      </c>
      <c r="T232" s="8">
        <v>1391000</v>
      </c>
      <c r="U232" s="8">
        <v>2140000</v>
      </c>
      <c r="V232" s="8" t="s">
        <v>5052</v>
      </c>
      <c r="W232" s="8" t="s">
        <v>693</v>
      </c>
      <c r="X232" s="8" t="s">
        <v>5053</v>
      </c>
      <c r="Y232" s="8" t="s">
        <v>5054</v>
      </c>
      <c r="Z232" s="8" t="s">
        <v>93</v>
      </c>
      <c r="AA232" s="8" t="s">
        <v>5055</v>
      </c>
      <c r="AB232" s="8" t="s">
        <v>5056</v>
      </c>
      <c r="AC232" s="8" t="s">
        <v>67</v>
      </c>
      <c r="AD232" s="8" t="s">
        <v>683</v>
      </c>
      <c r="AE232" s="8" t="s">
        <v>604</v>
      </c>
      <c r="AF232" s="8" t="s">
        <v>2370</v>
      </c>
      <c r="AG232" s="8" t="s">
        <v>5057</v>
      </c>
      <c r="AH232" s="8">
        <v>6</v>
      </c>
      <c r="AI232" s="8" t="s">
        <v>237</v>
      </c>
      <c r="AJ232" s="8" t="s">
        <v>5058</v>
      </c>
      <c r="AK232" s="8" t="s">
        <v>728</v>
      </c>
      <c r="AL232" s="8"/>
      <c r="AM232" s="8" t="s">
        <v>75</v>
      </c>
      <c r="AN232" s="8">
        <v>1712000</v>
      </c>
      <c r="AO232" s="11">
        <v>34240</v>
      </c>
      <c r="AP232" s="8"/>
      <c r="AQ232" s="8"/>
      <c r="AR232" s="8"/>
      <c r="AS232" s="18" t="s">
        <v>6783</v>
      </c>
      <c r="AT232" s="18" t="s">
        <v>6988</v>
      </c>
      <c r="AU232" s="19">
        <v>32100</v>
      </c>
      <c r="AV232" s="20">
        <v>2140</v>
      </c>
      <c r="AW232" s="18" t="s">
        <v>6555</v>
      </c>
      <c r="AX232" s="19">
        <v>2140</v>
      </c>
      <c r="AY232" s="20">
        <v>0</v>
      </c>
    </row>
    <row r="233" spans="1:51" x14ac:dyDescent="0.25">
      <c r="A233" s="5">
        <v>231</v>
      </c>
      <c r="B233" s="6" t="s">
        <v>1305</v>
      </c>
      <c r="C233" s="6" t="s">
        <v>5059</v>
      </c>
      <c r="D233" s="6" t="s">
        <v>277</v>
      </c>
      <c r="E233" s="6" t="s">
        <v>47</v>
      </c>
      <c r="F233" s="6" t="s">
        <v>48</v>
      </c>
      <c r="G233" s="6" t="s">
        <v>78</v>
      </c>
      <c r="H233" s="6" t="s">
        <v>5060</v>
      </c>
      <c r="I233" s="6" t="s">
        <v>5061</v>
      </c>
      <c r="J233" s="6">
        <v>2</v>
      </c>
      <c r="K233" s="6">
        <v>25.84</v>
      </c>
      <c r="L233" s="6" t="s">
        <v>5062</v>
      </c>
      <c r="M233" s="6" t="s">
        <v>5063</v>
      </c>
      <c r="N233" s="6" t="s">
        <v>83</v>
      </c>
      <c r="O233" s="6" t="s">
        <v>5064</v>
      </c>
      <c r="P233" s="6" t="s">
        <v>5065</v>
      </c>
      <c r="Q233" s="6" t="s">
        <v>5065</v>
      </c>
      <c r="R233" s="6" t="s">
        <v>5066</v>
      </c>
      <c r="S233" s="6" t="s">
        <v>5067</v>
      </c>
      <c r="T233" s="6">
        <v>1536000</v>
      </c>
      <c r="U233" s="6">
        <v>2560000</v>
      </c>
      <c r="V233" s="6" t="s">
        <v>5068</v>
      </c>
      <c r="W233" s="6" t="s">
        <v>693</v>
      </c>
      <c r="X233" s="6" t="s">
        <v>5069</v>
      </c>
      <c r="Y233" s="6" t="s">
        <v>5070</v>
      </c>
      <c r="Z233" s="6" t="s">
        <v>549</v>
      </c>
      <c r="AA233" s="6" t="s">
        <v>65</v>
      </c>
      <c r="AB233" s="6" t="s">
        <v>1161</v>
      </c>
      <c r="AC233" s="6" t="s">
        <v>96</v>
      </c>
      <c r="AD233" s="6" t="s">
        <v>728</v>
      </c>
      <c r="AE233" s="6" t="s">
        <v>604</v>
      </c>
      <c r="AF233" s="6" t="s">
        <v>974</v>
      </c>
      <c r="AG233" s="6" t="s">
        <v>5071</v>
      </c>
      <c r="AH233" s="6">
        <v>5</v>
      </c>
      <c r="AI233" s="6" t="s">
        <v>237</v>
      </c>
      <c r="AJ233" s="6" t="s">
        <v>5072</v>
      </c>
      <c r="AK233" s="6" t="s">
        <v>330</v>
      </c>
      <c r="AL233" s="6"/>
      <c r="AM233" s="6" t="s">
        <v>75</v>
      </c>
      <c r="AN233" s="6">
        <v>2048000</v>
      </c>
      <c r="AO233" s="10">
        <v>40960</v>
      </c>
      <c r="AP233" s="6"/>
      <c r="AQ233" s="6"/>
      <c r="AR233" s="6"/>
      <c r="AS233" s="18" t="s">
        <v>6784</v>
      </c>
      <c r="AT233" s="18"/>
      <c r="AU233" s="19">
        <v>40960</v>
      </c>
      <c r="AV233" s="20">
        <v>0</v>
      </c>
      <c r="AW233" s="18" t="s">
        <v>6555</v>
      </c>
      <c r="AX233" s="18"/>
      <c r="AY233" s="18"/>
    </row>
    <row r="234" spans="1:51" x14ac:dyDescent="0.25">
      <c r="A234" s="7">
        <v>232</v>
      </c>
      <c r="B234" s="8" t="s">
        <v>1305</v>
      </c>
      <c r="C234" s="8" t="s">
        <v>5073</v>
      </c>
      <c r="D234" s="8" t="s">
        <v>136</v>
      </c>
      <c r="E234" s="8" t="s">
        <v>47</v>
      </c>
      <c r="F234" s="8" t="s">
        <v>48</v>
      </c>
      <c r="G234" s="8" t="s">
        <v>4864</v>
      </c>
      <c r="H234" s="8" t="s">
        <v>5074</v>
      </c>
      <c r="I234" s="8" t="s">
        <v>5075</v>
      </c>
      <c r="J234" s="8">
        <v>1.5</v>
      </c>
      <c r="K234" s="8">
        <v>26.43</v>
      </c>
      <c r="L234" s="8" t="s">
        <v>5076</v>
      </c>
      <c r="M234" s="8" t="s">
        <v>5077</v>
      </c>
      <c r="N234" s="8" t="s">
        <v>83</v>
      </c>
      <c r="O234" s="8" t="s">
        <v>5078</v>
      </c>
      <c r="P234" s="8" t="s">
        <v>5079</v>
      </c>
      <c r="Q234" s="8" t="s">
        <v>5079</v>
      </c>
      <c r="R234" s="8" t="s">
        <v>5079</v>
      </c>
      <c r="S234" s="8" t="s">
        <v>5080</v>
      </c>
      <c r="T234" s="8">
        <v>2105250</v>
      </c>
      <c r="U234" s="8">
        <v>2807000</v>
      </c>
      <c r="V234" s="8" t="s">
        <v>5081</v>
      </c>
      <c r="W234" s="8" t="s">
        <v>763</v>
      </c>
      <c r="X234" s="8" t="s">
        <v>5082</v>
      </c>
      <c r="Y234" s="8" t="s">
        <v>5083</v>
      </c>
      <c r="Z234" s="8" t="s">
        <v>64</v>
      </c>
      <c r="AA234" s="8" t="s">
        <v>65</v>
      </c>
      <c r="AB234" s="8" t="s">
        <v>5084</v>
      </c>
      <c r="AC234" s="8" t="s">
        <v>151</v>
      </c>
      <c r="AD234" s="8" t="s">
        <v>1504</v>
      </c>
      <c r="AE234" s="8" t="s">
        <v>1539</v>
      </c>
      <c r="AF234" s="8" t="s">
        <v>1430</v>
      </c>
      <c r="AG234" s="8" t="s">
        <v>5085</v>
      </c>
      <c r="AH234" s="8">
        <v>5</v>
      </c>
      <c r="AI234" s="8" t="s">
        <v>237</v>
      </c>
      <c r="AJ234" s="8" t="s">
        <v>5086</v>
      </c>
      <c r="AK234" s="8" t="s">
        <v>4622</v>
      </c>
      <c r="AL234" s="8"/>
      <c r="AM234" s="8" t="s">
        <v>157</v>
      </c>
      <c r="AN234" s="8">
        <v>2105250</v>
      </c>
      <c r="AO234" s="11">
        <v>31578.75</v>
      </c>
      <c r="AP234" s="8"/>
      <c r="AQ234" s="8"/>
      <c r="AR234" s="8"/>
      <c r="AS234" s="18" t="s">
        <v>6785</v>
      </c>
      <c r="AT234" s="18" t="s">
        <v>6989</v>
      </c>
      <c r="AU234" s="19">
        <v>35789</v>
      </c>
      <c r="AV234" s="20">
        <v>-4210.25</v>
      </c>
      <c r="AW234" s="18" t="s">
        <v>6555</v>
      </c>
      <c r="AX234" s="19">
        <v>-4211</v>
      </c>
      <c r="AY234" s="20">
        <v>0.75</v>
      </c>
    </row>
    <row r="235" spans="1:51" x14ac:dyDescent="0.25">
      <c r="A235" s="5">
        <v>233</v>
      </c>
      <c r="B235" s="6" t="s">
        <v>1305</v>
      </c>
      <c r="C235" s="6" t="s">
        <v>5087</v>
      </c>
      <c r="D235" s="6" t="s">
        <v>136</v>
      </c>
      <c r="E235" s="6" t="s">
        <v>47</v>
      </c>
      <c r="F235" s="6" t="s">
        <v>48</v>
      </c>
      <c r="G235" s="6" t="s">
        <v>5088</v>
      </c>
      <c r="H235" s="6" t="s">
        <v>5089</v>
      </c>
      <c r="I235" s="6" t="s">
        <v>5090</v>
      </c>
      <c r="J235" s="6">
        <v>2</v>
      </c>
      <c r="K235" s="6">
        <v>26.93</v>
      </c>
      <c r="L235" s="6" t="s">
        <v>5091</v>
      </c>
      <c r="M235" s="6" t="s">
        <v>5092</v>
      </c>
      <c r="N235" s="6" t="s">
        <v>187</v>
      </c>
      <c r="O235" s="6" t="s">
        <v>5093</v>
      </c>
      <c r="P235" s="6" t="s">
        <v>65</v>
      </c>
      <c r="Q235" s="6" t="s">
        <v>5094</v>
      </c>
      <c r="R235" s="6" t="s">
        <v>65</v>
      </c>
      <c r="S235" s="6" t="s">
        <v>5095</v>
      </c>
      <c r="T235" s="6">
        <v>782400</v>
      </c>
      <c r="U235" s="6">
        <v>1304000</v>
      </c>
      <c r="V235" s="6" t="s">
        <v>5096</v>
      </c>
      <c r="W235" s="6" t="s">
        <v>403</v>
      </c>
      <c r="X235" s="6" t="s">
        <v>5097</v>
      </c>
      <c r="Y235" s="6" t="s">
        <v>5098</v>
      </c>
      <c r="Z235" s="6" t="s">
        <v>64</v>
      </c>
      <c r="AA235" s="6" t="s">
        <v>65</v>
      </c>
      <c r="AB235" s="6" t="s">
        <v>5099</v>
      </c>
      <c r="AC235" s="6" t="s">
        <v>151</v>
      </c>
      <c r="AD235" s="6" t="s">
        <v>3202</v>
      </c>
      <c r="AE235" s="6" t="s">
        <v>288</v>
      </c>
      <c r="AF235" s="6" t="s">
        <v>2213</v>
      </c>
      <c r="AG235" s="6" t="s">
        <v>5100</v>
      </c>
      <c r="AH235" s="6">
        <v>5</v>
      </c>
      <c r="AI235" s="6" t="s">
        <v>100</v>
      </c>
      <c r="AJ235" s="6" t="s">
        <v>5101</v>
      </c>
      <c r="AK235" s="6" t="s">
        <v>358</v>
      </c>
      <c r="AL235" s="6"/>
      <c r="AM235" s="6" t="s">
        <v>75</v>
      </c>
      <c r="AN235" s="6">
        <v>978000</v>
      </c>
      <c r="AO235" s="10">
        <v>19560</v>
      </c>
      <c r="AP235" s="6"/>
      <c r="AQ235" s="6"/>
      <c r="AR235" s="6"/>
      <c r="AS235" s="34" t="s">
        <v>7022</v>
      </c>
      <c r="AT235" s="18"/>
      <c r="AU235" s="23">
        <v>19560</v>
      </c>
      <c r="AV235" s="20">
        <v>0</v>
      </c>
      <c r="AW235" s="18" t="s">
        <v>6555</v>
      </c>
      <c r="AX235" s="18" t="s">
        <v>7023</v>
      </c>
      <c r="AY235" s="18" t="s">
        <v>7023</v>
      </c>
    </row>
    <row r="236" spans="1:51" x14ac:dyDescent="0.25">
      <c r="A236" s="7">
        <v>234</v>
      </c>
      <c r="B236" s="8" t="s">
        <v>1305</v>
      </c>
      <c r="C236" s="8" t="s">
        <v>5102</v>
      </c>
      <c r="D236" s="8" t="s">
        <v>77</v>
      </c>
      <c r="E236" s="8" t="s">
        <v>47</v>
      </c>
      <c r="F236" s="8" t="s">
        <v>48</v>
      </c>
      <c r="G236" s="8" t="s">
        <v>516</v>
      </c>
      <c r="H236" s="8" t="s">
        <v>5103</v>
      </c>
      <c r="I236" s="8" t="s">
        <v>5104</v>
      </c>
      <c r="J236" s="8">
        <v>1.75</v>
      </c>
      <c r="K236" s="8">
        <v>25.43</v>
      </c>
      <c r="L236" s="8" t="s">
        <v>5105</v>
      </c>
      <c r="M236" s="8" t="s">
        <v>5106</v>
      </c>
      <c r="N236" s="8" t="s">
        <v>187</v>
      </c>
      <c r="O236" s="8" t="s">
        <v>5107</v>
      </c>
      <c r="P236" s="8" t="s">
        <v>5108</v>
      </c>
      <c r="Q236" s="8" t="s">
        <v>5108</v>
      </c>
      <c r="R236" s="8" t="s">
        <v>5108</v>
      </c>
      <c r="S236" s="8" t="s">
        <v>5109</v>
      </c>
      <c r="T236" s="8">
        <v>2200000</v>
      </c>
      <c r="U236" s="8">
        <v>4400000</v>
      </c>
      <c r="V236" s="8" t="s">
        <v>5110</v>
      </c>
      <c r="W236" s="8" t="s">
        <v>693</v>
      </c>
      <c r="X236" s="8" t="s">
        <v>5111</v>
      </c>
      <c r="Y236" s="8" t="s">
        <v>5112</v>
      </c>
      <c r="Z236" s="8" t="s">
        <v>93</v>
      </c>
      <c r="AA236" s="8" t="s">
        <v>5113</v>
      </c>
      <c r="AB236" s="8" t="s">
        <v>4710</v>
      </c>
      <c r="AC236" s="8" t="s">
        <v>151</v>
      </c>
      <c r="AD236" s="8" t="s">
        <v>728</v>
      </c>
      <c r="AE236" s="8" t="s">
        <v>604</v>
      </c>
      <c r="AF236" s="8" t="s">
        <v>974</v>
      </c>
      <c r="AG236" s="8" t="s">
        <v>5114</v>
      </c>
      <c r="AH236" s="8">
        <v>5</v>
      </c>
      <c r="AI236" s="8" t="s">
        <v>237</v>
      </c>
      <c r="AJ236" s="8" t="s">
        <v>5115</v>
      </c>
      <c r="AK236" s="8" t="s">
        <v>330</v>
      </c>
      <c r="AL236" s="8"/>
      <c r="AM236" s="8" t="s">
        <v>102</v>
      </c>
      <c r="AN236" s="8">
        <v>3520000</v>
      </c>
      <c r="AO236" s="11">
        <v>61600.000000000007</v>
      </c>
      <c r="AP236" s="8"/>
      <c r="AQ236" s="8"/>
      <c r="AR236" s="8"/>
      <c r="AS236" s="18" t="s">
        <v>6786</v>
      </c>
      <c r="AT236" s="18"/>
      <c r="AU236" s="19">
        <v>61600</v>
      </c>
      <c r="AV236" s="20">
        <v>0</v>
      </c>
      <c r="AW236" s="18" t="s">
        <v>6555</v>
      </c>
      <c r="AX236" s="18"/>
      <c r="AY236" s="18"/>
    </row>
    <row r="237" spans="1:51" x14ac:dyDescent="0.25">
      <c r="A237" s="5">
        <v>235</v>
      </c>
      <c r="B237" s="6" t="s">
        <v>1305</v>
      </c>
      <c r="C237" s="6" t="s">
        <v>5116</v>
      </c>
      <c r="D237" s="6" t="s">
        <v>136</v>
      </c>
      <c r="E237" s="6" t="s">
        <v>47</v>
      </c>
      <c r="F237" s="6" t="s">
        <v>48</v>
      </c>
      <c r="G237" s="6" t="s">
        <v>1258</v>
      </c>
      <c r="H237" s="6" t="s">
        <v>5117</v>
      </c>
      <c r="I237" s="6" t="s">
        <v>5118</v>
      </c>
      <c r="J237" s="6">
        <v>1.5</v>
      </c>
      <c r="K237" s="6">
        <v>27.18</v>
      </c>
      <c r="L237" s="6" t="s">
        <v>5119</v>
      </c>
      <c r="M237" s="6" t="s">
        <v>5120</v>
      </c>
      <c r="N237" s="6" t="s">
        <v>187</v>
      </c>
      <c r="O237" s="6" t="s">
        <v>5121</v>
      </c>
      <c r="P237" s="6" t="s">
        <v>5122</v>
      </c>
      <c r="Q237" s="6" t="s">
        <v>5122</v>
      </c>
      <c r="R237" s="6" t="s">
        <v>5122</v>
      </c>
      <c r="S237" s="6" t="s">
        <v>5123</v>
      </c>
      <c r="T237" s="6">
        <v>3451000</v>
      </c>
      <c r="U237" s="6">
        <v>4930000</v>
      </c>
      <c r="V237" s="6" t="s">
        <v>5124</v>
      </c>
      <c r="W237" s="6" t="s">
        <v>763</v>
      </c>
      <c r="X237" s="6" t="s">
        <v>5125</v>
      </c>
      <c r="Y237" s="6" t="s">
        <v>5126</v>
      </c>
      <c r="Z237" s="6" t="s">
        <v>64</v>
      </c>
      <c r="AA237" s="6" t="s">
        <v>65</v>
      </c>
      <c r="AB237" s="6" t="s">
        <v>1584</v>
      </c>
      <c r="AC237" s="6" t="s">
        <v>151</v>
      </c>
      <c r="AD237" s="6" t="s">
        <v>1504</v>
      </c>
      <c r="AE237" s="6" t="s">
        <v>1539</v>
      </c>
      <c r="AF237" s="6" t="s">
        <v>1430</v>
      </c>
      <c r="AG237" s="6" t="s">
        <v>5127</v>
      </c>
      <c r="AH237" s="6">
        <v>5</v>
      </c>
      <c r="AI237" s="6" t="s">
        <v>65</v>
      </c>
      <c r="AJ237" s="6" t="s">
        <v>65</v>
      </c>
      <c r="AK237" s="6" t="s">
        <v>65</v>
      </c>
      <c r="AL237" s="6"/>
      <c r="AM237" s="6" t="s">
        <v>157</v>
      </c>
      <c r="AN237" s="6">
        <v>3697500</v>
      </c>
      <c r="AO237" s="10">
        <v>55462.5</v>
      </c>
      <c r="AP237" s="6"/>
      <c r="AQ237" s="6"/>
      <c r="AR237" s="6"/>
      <c r="AS237" s="18" t="s">
        <v>6787</v>
      </c>
      <c r="AT237" s="18" t="s">
        <v>6990</v>
      </c>
      <c r="AU237" s="19">
        <v>62858</v>
      </c>
      <c r="AV237" s="20">
        <v>-7395.5</v>
      </c>
      <c r="AW237" s="18" t="s">
        <v>6555</v>
      </c>
      <c r="AX237" s="18">
        <v>-7395</v>
      </c>
      <c r="AY237" s="20">
        <v>-0.5</v>
      </c>
    </row>
    <row r="238" spans="1:51" x14ac:dyDescent="0.25">
      <c r="A238" s="7">
        <v>236</v>
      </c>
      <c r="B238" s="8" t="s">
        <v>1305</v>
      </c>
      <c r="C238" s="8" t="s">
        <v>5128</v>
      </c>
      <c r="D238" s="8" t="s">
        <v>77</v>
      </c>
      <c r="E238" s="8" t="s">
        <v>47</v>
      </c>
      <c r="F238" s="8" t="s">
        <v>48</v>
      </c>
      <c r="G238" s="8" t="s">
        <v>609</v>
      </c>
      <c r="H238" s="8" t="s">
        <v>5129</v>
      </c>
      <c r="I238" s="8" t="s">
        <v>5130</v>
      </c>
      <c r="J238" s="8">
        <v>2</v>
      </c>
      <c r="K238" s="8">
        <v>26.69</v>
      </c>
      <c r="L238" s="8" t="s">
        <v>5131</v>
      </c>
      <c r="M238" s="8" t="s">
        <v>5132</v>
      </c>
      <c r="N238" s="8" t="s">
        <v>83</v>
      </c>
      <c r="O238" s="8" t="s">
        <v>5133</v>
      </c>
      <c r="P238" s="8" t="s">
        <v>5134</v>
      </c>
      <c r="Q238" s="8" t="s">
        <v>5134</v>
      </c>
      <c r="R238" s="8" t="s">
        <v>5135</v>
      </c>
      <c r="S238" s="8" t="s">
        <v>5136</v>
      </c>
      <c r="T238" s="8">
        <v>816000</v>
      </c>
      <c r="U238" s="8">
        <v>1200000</v>
      </c>
      <c r="V238" s="8" t="s">
        <v>5137</v>
      </c>
      <c r="W238" s="8" t="s">
        <v>924</v>
      </c>
      <c r="X238" s="8" t="s">
        <v>5138</v>
      </c>
      <c r="Y238" s="8" t="s">
        <v>5139</v>
      </c>
      <c r="Z238" s="8" t="s">
        <v>93</v>
      </c>
      <c r="AA238" s="8" t="s">
        <v>5140</v>
      </c>
      <c r="AB238" s="8" t="s">
        <v>5141</v>
      </c>
      <c r="AC238" s="8" t="s">
        <v>2425</v>
      </c>
      <c r="AD238" s="8" t="s">
        <v>2334</v>
      </c>
      <c r="AE238" s="8" t="s">
        <v>2335</v>
      </c>
      <c r="AF238" s="8" t="s">
        <v>2213</v>
      </c>
      <c r="AG238" s="8" t="s">
        <v>5142</v>
      </c>
      <c r="AH238" s="8">
        <v>6</v>
      </c>
      <c r="AI238" s="8" t="s">
        <v>511</v>
      </c>
      <c r="AJ238" s="8" t="s">
        <v>5143</v>
      </c>
      <c r="AK238" s="8" t="s">
        <v>2338</v>
      </c>
      <c r="AL238" s="8"/>
      <c r="AM238" s="8" t="s">
        <v>75</v>
      </c>
      <c r="AN238" s="8">
        <v>840000</v>
      </c>
      <c r="AO238" s="11">
        <v>16800</v>
      </c>
      <c r="AP238" s="8"/>
      <c r="AQ238" s="8"/>
      <c r="AR238" s="8"/>
      <c r="AS238" s="18" t="s">
        <v>6788</v>
      </c>
      <c r="AT238" s="18" t="s">
        <v>6991</v>
      </c>
      <c r="AU238" s="19">
        <v>20400</v>
      </c>
      <c r="AV238" s="20">
        <v>-3600</v>
      </c>
      <c r="AW238" s="18" t="s">
        <v>6555</v>
      </c>
      <c r="AX238" s="18">
        <v>-3600</v>
      </c>
      <c r="AY238" s="20">
        <v>0</v>
      </c>
    </row>
    <row r="239" spans="1:51" x14ac:dyDescent="0.25">
      <c r="A239" s="5">
        <v>237</v>
      </c>
      <c r="B239" s="6" t="s">
        <v>1305</v>
      </c>
      <c r="C239" s="6" t="s">
        <v>5144</v>
      </c>
      <c r="D239" s="6" t="s">
        <v>46</v>
      </c>
      <c r="E239" s="6" t="s">
        <v>47</v>
      </c>
      <c r="F239" s="6" t="s">
        <v>48</v>
      </c>
      <c r="G239" s="6" t="s">
        <v>104</v>
      </c>
      <c r="H239" s="6" t="s">
        <v>5145</v>
      </c>
      <c r="I239" s="6" t="s">
        <v>5146</v>
      </c>
      <c r="J239" s="6">
        <v>1.75</v>
      </c>
      <c r="K239" s="6">
        <v>25.94</v>
      </c>
      <c r="L239" s="6" t="s">
        <v>5147</v>
      </c>
      <c r="M239" s="6" t="s">
        <v>5148</v>
      </c>
      <c r="N239" s="6" t="s">
        <v>83</v>
      </c>
      <c r="O239" s="6" t="s">
        <v>5149</v>
      </c>
      <c r="P239" s="6" t="s">
        <v>65</v>
      </c>
      <c r="Q239" s="6" t="s">
        <v>5150</v>
      </c>
      <c r="R239" s="6" t="s">
        <v>5151</v>
      </c>
      <c r="S239" s="6" t="s">
        <v>5152</v>
      </c>
      <c r="T239" s="6">
        <v>3239400</v>
      </c>
      <c r="U239" s="6">
        <v>5399000</v>
      </c>
      <c r="V239" s="6" t="s">
        <v>5153</v>
      </c>
      <c r="W239" s="6" t="s">
        <v>693</v>
      </c>
      <c r="X239" s="6" t="s">
        <v>5154</v>
      </c>
      <c r="Y239" s="6" t="s">
        <v>116</v>
      </c>
      <c r="Z239" s="6" t="s">
        <v>64</v>
      </c>
      <c r="AA239" s="6" t="s">
        <v>65</v>
      </c>
      <c r="AB239" s="6" t="s">
        <v>65</v>
      </c>
      <c r="AC239" s="6" t="s">
        <v>67</v>
      </c>
      <c r="AD239" s="6" t="s">
        <v>1094</v>
      </c>
      <c r="AE239" s="6" t="s">
        <v>399</v>
      </c>
      <c r="AF239" s="6" t="s">
        <v>1354</v>
      </c>
      <c r="AG239" s="6" t="s">
        <v>5155</v>
      </c>
      <c r="AH239" s="6">
        <v>5</v>
      </c>
      <c r="AI239" s="6" t="s">
        <v>65</v>
      </c>
      <c r="AJ239" s="6" t="s">
        <v>65</v>
      </c>
      <c r="AK239" s="6" t="s">
        <v>65</v>
      </c>
      <c r="AL239" s="6"/>
      <c r="AM239" s="6" t="s">
        <v>102</v>
      </c>
      <c r="AN239" s="6">
        <v>4319200</v>
      </c>
      <c r="AO239" s="10">
        <v>75586</v>
      </c>
      <c r="AP239" s="6"/>
      <c r="AQ239" s="6"/>
      <c r="AR239" s="6"/>
      <c r="AS239" s="18" t="s">
        <v>6789</v>
      </c>
      <c r="AT239" s="18"/>
      <c r="AU239" s="19">
        <v>75586</v>
      </c>
      <c r="AV239" s="20">
        <v>0</v>
      </c>
      <c r="AW239" s="18" t="s">
        <v>6555</v>
      </c>
      <c r="AX239" s="18"/>
      <c r="AY239" s="18"/>
    </row>
    <row r="240" spans="1:51" x14ac:dyDescent="0.25">
      <c r="A240" s="7">
        <v>238</v>
      </c>
      <c r="B240" s="8" t="s">
        <v>1305</v>
      </c>
      <c r="C240" s="8" t="s">
        <v>5156</v>
      </c>
      <c r="D240" s="8" t="s">
        <v>77</v>
      </c>
      <c r="E240" s="8" t="s">
        <v>47</v>
      </c>
      <c r="F240" s="8" t="s">
        <v>48</v>
      </c>
      <c r="G240" s="8" t="s">
        <v>2144</v>
      </c>
      <c r="H240" s="8" t="s">
        <v>5157</v>
      </c>
      <c r="I240" s="8" t="s">
        <v>5158</v>
      </c>
      <c r="J240" s="8">
        <v>1.75</v>
      </c>
      <c r="K240" s="8">
        <v>25.7</v>
      </c>
      <c r="L240" s="8" t="s">
        <v>5159</v>
      </c>
      <c r="M240" s="8" t="s">
        <v>5160</v>
      </c>
      <c r="N240" s="8" t="s">
        <v>187</v>
      </c>
      <c r="O240" s="8" t="s">
        <v>5161</v>
      </c>
      <c r="P240" s="8" t="s">
        <v>5162</v>
      </c>
      <c r="Q240" s="8" t="s">
        <v>5162</v>
      </c>
      <c r="R240" s="8" t="s">
        <v>5162</v>
      </c>
      <c r="S240" s="8" t="s">
        <v>5163</v>
      </c>
      <c r="T240" s="8">
        <v>1128160</v>
      </c>
      <c r="U240" s="8">
        <v>2564000</v>
      </c>
      <c r="V240" s="8" t="s">
        <v>5164</v>
      </c>
      <c r="W240" s="8" t="s">
        <v>5165</v>
      </c>
      <c r="X240" s="8" t="s">
        <v>5166</v>
      </c>
      <c r="Y240" s="8" t="s">
        <v>5167</v>
      </c>
      <c r="Z240" s="8" t="s">
        <v>64</v>
      </c>
      <c r="AA240" s="8" t="s">
        <v>65</v>
      </c>
      <c r="AB240" s="8" t="s">
        <v>4147</v>
      </c>
      <c r="AC240" s="8" t="s">
        <v>531</v>
      </c>
      <c r="AD240" s="8" t="s">
        <v>211</v>
      </c>
      <c r="AE240" s="8" t="s">
        <v>98</v>
      </c>
      <c r="AF240" s="8" t="s">
        <v>2533</v>
      </c>
      <c r="AG240" s="8" t="s">
        <v>5168</v>
      </c>
      <c r="AH240" s="8">
        <v>3</v>
      </c>
      <c r="AI240" s="8" t="s">
        <v>100</v>
      </c>
      <c r="AJ240" s="8" t="s">
        <v>5169</v>
      </c>
      <c r="AK240" s="8" t="s">
        <v>375</v>
      </c>
      <c r="AL240" s="8"/>
      <c r="AM240" s="8" t="s">
        <v>102</v>
      </c>
      <c r="AN240" s="8">
        <v>2179400</v>
      </c>
      <c r="AO240" s="11">
        <v>38139.5</v>
      </c>
      <c r="AP240" s="8"/>
      <c r="AQ240" s="8"/>
      <c r="AR240" s="8"/>
      <c r="AS240" s="18" t="s">
        <v>6790</v>
      </c>
      <c r="AT240" s="18"/>
      <c r="AU240" s="19">
        <v>38140</v>
      </c>
      <c r="AV240" s="20">
        <v>-0.5</v>
      </c>
      <c r="AW240" s="18" t="s">
        <v>6555</v>
      </c>
      <c r="AX240" s="18"/>
      <c r="AY240" s="18"/>
    </row>
    <row r="241" spans="1:51" x14ac:dyDescent="0.25">
      <c r="A241" s="5">
        <v>239</v>
      </c>
      <c r="B241" s="6" t="s">
        <v>1305</v>
      </c>
      <c r="C241" s="6" t="s">
        <v>5170</v>
      </c>
      <c r="D241" s="6" t="s">
        <v>77</v>
      </c>
      <c r="E241" s="6" t="s">
        <v>47</v>
      </c>
      <c r="F241" s="6" t="s">
        <v>48</v>
      </c>
      <c r="G241" s="6" t="s">
        <v>1221</v>
      </c>
      <c r="H241" s="6" t="s">
        <v>5171</v>
      </c>
      <c r="I241" s="6" t="s">
        <v>5172</v>
      </c>
      <c r="J241" s="6">
        <v>1.75</v>
      </c>
      <c r="K241" s="6">
        <v>25.19</v>
      </c>
      <c r="L241" s="6" t="s">
        <v>5173</v>
      </c>
      <c r="M241" s="6" t="s">
        <v>5174</v>
      </c>
      <c r="N241" s="6" t="s">
        <v>83</v>
      </c>
      <c r="O241" s="6" t="s">
        <v>5175</v>
      </c>
      <c r="P241" s="6" t="s">
        <v>652</v>
      </c>
      <c r="Q241" s="6" t="s">
        <v>5176</v>
      </c>
      <c r="R241" s="6" t="s">
        <v>5177</v>
      </c>
      <c r="S241" s="6" t="s">
        <v>5178</v>
      </c>
      <c r="T241" s="6">
        <v>1785000</v>
      </c>
      <c r="U241" s="6">
        <v>2550000</v>
      </c>
      <c r="V241" s="6" t="s">
        <v>5179</v>
      </c>
      <c r="W241" s="6" t="s">
        <v>5165</v>
      </c>
      <c r="X241" s="6" t="s">
        <v>5180</v>
      </c>
      <c r="Y241" s="6" t="s">
        <v>5181</v>
      </c>
      <c r="Z241" s="6" t="s">
        <v>93</v>
      </c>
      <c r="AA241" s="6" t="s">
        <v>5182</v>
      </c>
      <c r="AB241" s="6" t="s">
        <v>530</v>
      </c>
      <c r="AC241" s="6" t="s">
        <v>531</v>
      </c>
      <c r="AD241" s="6" t="s">
        <v>307</v>
      </c>
      <c r="AE241" s="6" t="s">
        <v>231</v>
      </c>
      <c r="AF241" s="6" t="s">
        <v>2213</v>
      </c>
      <c r="AG241" s="6" t="s">
        <v>5183</v>
      </c>
      <c r="AH241" s="6">
        <v>3</v>
      </c>
      <c r="AI241" s="6" t="s">
        <v>100</v>
      </c>
      <c r="AJ241" s="6" t="s">
        <v>5184</v>
      </c>
      <c r="AK241" s="6" t="s">
        <v>375</v>
      </c>
      <c r="AL241" s="6"/>
      <c r="AM241" s="6" t="s">
        <v>102</v>
      </c>
      <c r="AN241" s="6">
        <v>2167500</v>
      </c>
      <c r="AO241" s="10">
        <v>37931.25</v>
      </c>
      <c r="AP241" s="6"/>
      <c r="AQ241" s="6"/>
      <c r="AR241" s="6"/>
      <c r="AS241" s="18" t="s">
        <v>6791</v>
      </c>
      <c r="AT241" s="18"/>
      <c r="AU241" s="19">
        <v>37931</v>
      </c>
      <c r="AV241" s="20">
        <v>0.25</v>
      </c>
      <c r="AW241" s="18" t="s">
        <v>6555</v>
      </c>
      <c r="AX241" s="18"/>
      <c r="AY241" s="18"/>
    </row>
    <row r="242" spans="1:51" x14ac:dyDescent="0.25">
      <c r="A242" s="7">
        <v>240</v>
      </c>
      <c r="B242" s="8" t="s">
        <v>1305</v>
      </c>
      <c r="C242" s="8" t="s">
        <v>5185</v>
      </c>
      <c r="D242" s="8" t="s">
        <v>277</v>
      </c>
      <c r="E242" s="8" t="s">
        <v>47</v>
      </c>
      <c r="F242" s="8" t="s">
        <v>48</v>
      </c>
      <c r="G242" s="8" t="s">
        <v>1636</v>
      </c>
      <c r="H242" s="8" t="s">
        <v>5186</v>
      </c>
      <c r="I242" s="8" t="s">
        <v>5187</v>
      </c>
      <c r="J242" s="8">
        <v>1.5</v>
      </c>
      <c r="K242" s="8">
        <v>26.19</v>
      </c>
      <c r="L242" s="8" t="s">
        <v>5188</v>
      </c>
      <c r="M242" s="8" t="s">
        <v>5189</v>
      </c>
      <c r="N242" s="8" t="s">
        <v>83</v>
      </c>
      <c r="O242" s="8" t="s">
        <v>5190</v>
      </c>
      <c r="P242" s="8" t="s">
        <v>1016</v>
      </c>
      <c r="Q242" s="8" t="s">
        <v>5191</v>
      </c>
      <c r="R242" s="8" t="s">
        <v>5192</v>
      </c>
      <c r="S242" s="8" t="s">
        <v>5193</v>
      </c>
      <c r="T242" s="8">
        <v>2450000</v>
      </c>
      <c r="U242" s="8">
        <v>3500000</v>
      </c>
      <c r="V242" s="8" t="s">
        <v>5194</v>
      </c>
      <c r="W242" s="8" t="s">
        <v>5165</v>
      </c>
      <c r="X242" s="8" t="s">
        <v>5195</v>
      </c>
      <c r="Y242" s="8" t="s">
        <v>5196</v>
      </c>
      <c r="Z242" s="8" t="s">
        <v>93</v>
      </c>
      <c r="AA242" s="8" t="s">
        <v>5197</v>
      </c>
      <c r="AB242" s="8" t="s">
        <v>378</v>
      </c>
      <c r="AC242" s="8" t="s">
        <v>662</v>
      </c>
      <c r="AD242" s="8" t="s">
        <v>307</v>
      </c>
      <c r="AE242" s="8" t="s">
        <v>231</v>
      </c>
      <c r="AF242" s="8" t="s">
        <v>2213</v>
      </c>
      <c r="AG242" s="8" t="s">
        <v>5198</v>
      </c>
      <c r="AH242" s="8">
        <v>3</v>
      </c>
      <c r="AI242" s="8" t="s">
        <v>100</v>
      </c>
      <c r="AJ242" s="8" t="s">
        <v>5199</v>
      </c>
      <c r="AK242" s="8" t="s">
        <v>307</v>
      </c>
      <c r="AL242" s="8"/>
      <c r="AM242" s="8" t="s">
        <v>157</v>
      </c>
      <c r="AN242" s="8">
        <v>2975000</v>
      </c>
      <c r="AO242" s="11">
        <v>44625</v>
      </c>
      <c r="AP242" s="8"/>
      <c r="AQ242" s="8"/>
      <c r="AR242" s="8"/>
      <c r="AS242" s="18" t="s">
        <v>6792</v>
      </c>
      <c r="AT242" s="18"/>
      <c r="AU242" s="19">
        <v>44625</v>
      </c>
      <c r="AV242" s="20">
        <v>0</v>
      </c>
      <c r="AW242" s="18" t="s">
        <v>6555</v>
      </c>
      <c r="AX242" s="18"/>
      <c r="AY242" s="18"/>
    </row>
    <row r="243" spans="1:51" x14ac:dyDescent="0.25">
      <c r="A243" s="5">
        <v>241</v>
      </c>
      <c r="B243" s="6" t="s">
        <v>1305</v>
      </c>
      <c r="C243" s="6" t="s">
        <v>5200</v>
      </c>
      <c r="D243" s="6" t="s">
        <v>77</v>
      </c>
      <c r="E243" s="6" t="s">
        <v>47</v>
      </c>
      <c r="F243" s="6" t="s">
        <v>48</v>
      </c>
      <c r="G243" s="6" t="s">
        <v>609</v>
      </c>
      <c r="H243" s="6" t="s">
        <v>5201</v>
      </c>
      <c r="I243" s="6" t="s">
        <v>5202</v>
      </c>
      <c r="J243" s="6">
        <v>1.5</v>
      </c>
      <c r="K243" s="6">
        <v>25.44</v>
      </c>
      <c r="L243" s="6" t="s">
        <v>5203</v>
      </c>
      <c r="M243" s="6" t="s">
        <v>5204</v>
      </c>
      <c r="N243" s="6" t="s">
        <v>83</v>
      </c>
      <c r="O243" s="6" t="s">
        <v>5205</v>
      </c>
      <c r="P243" s="6" t="s">
        <v>65</v>
      </c>
      <c r="Q243" s="6" t="s">
        <v>5206</v>
      </c>
      <c r="R243" s="6" t="s">
        <v>65</v>
      </c>
      <c r="S243" s="6" t="s">
        <v>5207</v>
      </c>
      <c r="T243" s="6">
        <v>2257500</v>
      </c>
      <c r="U243" s="6">
        <v>3225000</v>
      </c>
      <c r="V243" s="6" t="s">
        <v>5208</v>
      </c>
      <c r="W243" s="6" t="s">
        <v>5165</v>
      </c>
      <c r="X243" s="6" t="s">
        <v>5209</v>
      </c>
      <c r="Y243" s="6" t="s">
        <v>5210</v>
      </c>
      <c r="Z243" s="6" t="s">
        <v>93</v>
      </c>
      <c r="AA243" s="6" t="s">
        <v>5211</v>
      </c>
      <c r="AB243" s="6" t="s">
        <v>2842</v>
      </c>
      <c r="AC243" s="6" t="s">
        <v>531</v>
      </c>
      <c r="AD243" s="6" t="s">
        <v>307</v>
      </c>
      <c r="AE243" s="6" t="s">
        <v>231</v>
      </c>
      <c r="AF243" s="6" t="s">
        <v>4995</v>
      </c>
      <c r="AG243" s="6" t="s">
        <v>5212</v>
      </c>
      <c r="AH243" s="6">
        <v>5</v>
      </c>
      <c r="AI243" s="6" t="s">
        <v>72</v>
      </c>
      <c r="AJ243" s="6" t="s">
        <v>5213</v>
      </c>
      <c r="AK243" s="6" t="s">
        <v>375</v>
      </c>
      <c r="AL243" s="6"/>
      <c r="AM243" s="6" t="s">
        <v>157</v>
      </c>
      <c r="AN243" s="6">
        <v>2741250</v>
      </c>
      <c r="AO243" s="10">
        <v>41118.75</v>
      </c>
      <c r="AP243" s="6"/>
      <c r="AQ243" s="6"/>
      <c r="AR243" s="6"/>
      <c r="AS243" s="18" t="s">
        <v>6793</v>
      </c>
      <c r="AT243" s="18" t="s">
        <v>6992</v>
      </c>
      <c r="AU243" s="19">
        <v>36281</v>
      </c>
      <c r="AV243" s="20">
        <v>4837.75</v>
      </c>
      <c r="AW243" s="18" t="s">
        <v>6555</v>
      </c>
      <c r="AX243" s="18">
        <v>4838</v>
      </c>
      <c r="AY243" s="20">
        <v>-0.25</v>
      </c>
    </row>
    <row r="244" spans="1:51" x14ac:dyDescent="0.25">
      <c r="A244" s="7">
        <v>242</v>
      </c>
      <c r="B244" s="8" t="s">
        <v>1305</v>
      </c>
      <c r="C244" s="8" t="s">
        <v>5214</v>
      </c>
      <c r="D244" s="8" t="s">
        <v>46</v>
      </c>
      <c r="E244" s="8" t="s">
        <v>47</v>
      </c>
      <c r="F244" s="8" t="s">
        <v>48</v>
      </c>
      <c r="G244" s="8" t="s">
        <v>182</v>
      </c>
      <c r="H244" s="8" t="s">
        <v>5215</v>
      </c>
      <c r="I244" s="8" t="s">
        <v>5216</v>
      </c>
      <c r="J244" s="8">
        <v>2</v>
      </c>
      <c r="K244" s="8">
        <v>26.69</v>
      </c>
      <c r="L244" s="8" t="s">
        <v>5217</v>
      </c>
      <c r="M244" s="8" t="s">
        <v>5218</v>
      </c>
      <c r="N244" s="8" t="s">
        <v>83</v>
      </c>
      <c r="O244" s="8" t="s">
        <v>5219</v>
      </c>
      <c r="P244" s="8" t="s">
        <v>5220</v>
      </c>
      <c r="Q244" s="8" t="s">
        <v>5220</v>
      </c>
      <c r="R244" s="8" t="s">
        <v>5220</v>
      </c>
      <c r="S244" s="8" t="s">
        <v>5221</v>
      </c>
      <c r="T244" s="8">
        <v>2029300</v>
      </c>
      <c r="U244" s="8">
        <v>2899000</v>
      </c>
      <c r="V244" s="8" t="s">
        <v>5222</v>
      </c>
      <c r="W244" s="8" t="s">
        <v>5165</v>
      </c>
      <c r="X244" s="8" t="s">
        <v>5223</v>
      </c>
      <c r="Y244" s="8" t="s">
        <v>5224</v>
      </c>
      <c r="Z244" s="8" t="s">
        <v>64</v>
      </c>
      <c r="AA244" s="8" t="s">
        <v>65</v>
      </c>
      <c r="AB244" s="8" t="s">
        <v>5225</v>
      </c>
      <c r="AC244" s="8" t="s">
        <v>531</v>
      </c>
      <c r="AD244" s="8" t="s">
        <v>1075</v>
      </c>
      <c r="AE244" s="8" t="s">
        <v>231</v>
      </c>
      <c r="AF244" s="8" t="s">
        <v>4995</v>
      </c>
      <c r="AG244" s="8" t="s">
        <v>5226</v>
      </c>
      <c r="AH244" s="8">
        <v>5</v>
      </c>
      <c r="AI244" s="8" t="s">
        <v>100</v>
      </c>
      <c r="AJ244" s="8" t="s">
        <v>5227</v>
      </c>
      <c r="AK244" s="8" t="s">
        <v>5228</v>
      </c>
      <c r="AL244" s="8"/>
      <c r="AM244" s="8" t="s">
        <v>75</v>
      </c>
      <c r="AN244" s="8">
        <v>2464150</v>
      </c>
      <c r="AO244" s="11">
        <v>49283</v>
      </c>
      <c r="AP244" s="8"/>
      <c r="AQ244" s="8"/>
      <c r="AR244" s="8"/>
      <c r="AS244" s="18" t="s">
        <v>6794</v>
      </c>
      <c r="AT244" s="18" t="s">
        <v>6993</v>
      </c>
      <c r="AU244" s="19">
        <v>43485</v>
      </c>
      <c r="AV244" s="20">
        <v>5798</v>
      </c>
      <c r="AW244" s="18" t="s">
        <v>6555</v>
      </c>
      <c r="AX244" s="18">
        <v>5798</v>
      </c>
      <c r="AY244" s="20">
        <v>0</v>
      </c>
    </row>
    <row r="245" spans="1:51" x14ac:dyDescent="0.25">
      <c r="A245" s="5">
        <v>243</v>
      </c>
      <c r="B245" s="6" t="s">
        <v>1305</v>
      </c>
      <c r="C245" s="6" t="s">
        <v>5229</v>
      </c>
      <c r="D245" s="6" t="s">
        <v>46</v>
      </c>
      <c r="E245" s="6" t="s">
        <v>47</v>
      </c>
      <c r="F245" s="6" t="s">
        <v>48</v>
      </c>
      <c r="G245" s="6" t="s">
        <v>182</v>
      </c>
      <c r="H245" s="6" t="s">
        <v>5230</v>
      </c>
      <c r="I245" s="6" t="s">
        <v>5231</v>
      </c>
      <c r="J245" s="6">
        <v>2</v>
      </c>
      <c r="K245" s="6">
        <v>26.69</v>
      </c>
      <c r="L245" s="6" t="s">
        <v>5232</v>
      </c>
      <c r="M245" s="6" t="s">
        <v>5233</v>
      </c>
      <c r="N245" s="6" t="s">
        <v>83</v>
      </c>
      <c r="O245" s="6" t="s">
        <v>5234</v>
      </c>
      <c r="P245" s="6" t="s">
        <v>5235</v>
      </c>
      <c r="Q245" s="6" t="s">
        <v>5235</v>
      </c>
      <c r="R245" s="6" t="s">
        <v>167</v>
      </c>
      <c r="S245" s="6" t="s">
        <v>5236</v>
      </c>
      <c r="T245" s="6">
        <v>1397600</v>
      </c>
      <c r="U245" s="6">
        <v>1747000</v>
      </c>
      <c r="V245" s="6" t="s">
        <v>5237</v>
      </c>
      <c r="W245" s="6" t="s">
        <v>5165</v>
      </c>
      <c r="X245" s="6" t="s">
        <v>5238</v>
      </c>
      <c r="Y245" s="6" t="s">
        <v>5239</v>
      </c>
      <c r="Z245" s="6" t="s">
        <v>64</v>
      </c>
      <c r="AA245" s="6" t="s">
        <v>65</v>
      </c>
      <c r="AB245" s="6" t="s">
        <v>1696</v>
      </c>
      <c r="AC245" s="6" t="s">
        <v>531</v>
      </c>
      <c r="AD245" s="6" t="s">
        <v>1697</v>
      </c>
      <c r="AE245" s="6" t="s">
        <v>231</v>
      </c>
      <c r="AF245" s="6" t="s">
        <v>4995</v>
      </c>
      <c r="AG245" s="6" t="s">
        <v>5240</v>
      </c>
      <c r="AH245" s="6">
        <v>5</v>
      </c>
      <c r="AI245" s="6" t="s">
        <v>237</v>
      </c>
      <c r="AJ245" s="6" t="s">
        <v>5241</v>
      </c>
      <c r="AK245" s="6" t="s">
        <v>774</v>
      </c>
      <c r="AL245" s="6"/>
      <c r="AM245" s="6" t="s">
        <v>75</v>
      </c>
      <c r="AN245" s="6">
        <v>1484950</v>
      </c>
      <c r="AO245" s="10">
        <v>29699</v>
      </c>
      <c r="AP245" s="6"/>
      <c r="AQ245" s="6"/>
      <c r="AR245" s="6"/>
      <c r="AS245" s="18" t="s">
        <v>6795</v>
      </c>
      <c r="AT245" s="18" t="s">
        <v>6994</v>
      </c>
      <c r="AU245" s="19">
        <v>26205</v>
      </c>
      <c r="AV245" s="20">
        <v>3494</v>
      </c>
      <c r="AW245" s="18" t="s">
        <v>6555</v>
      </c>
      <c r="AX245" s="18">
        <v>3494</v>
      </c>
      <c r="AY245" s="20">
        <v>0</v>
      </c>
    </row>
    <row r="246" spans="1:51" x14ac:dyDescent="0.25">
      <c r="A246" s="7">
        <v>244</v>
      </c>
      <c r="B246" s="8" t="s">
        <v>1305</v>
      </c>
      <c r="C246" s="8" t="s">
        <v>5242</v>
      </c>
      <c r="D246" s="8" t="s">
        <v>77</v>
      </c>
      <c r="E246" s="8" t="s">
        <v>47</v>
      </c>
      <c r="F246" s="8" t="s">
        <v>48</v>
      </c>
      <c r="G246" s="8" t="s">
        <v>2521</v>
      </c>
      <c r="H246" s="8" t="s">
        <v>5243</v>
      </c>
      <c r="I246" s="8" t="s">
        <v>5244</v>
      </c>
      <c r="J246" s="8">
        <v>1.75</v>
      </c>
      <c r="K246" s="8">
        <v>25.44</v>
      </c>
      <c r="L246" s="8" t="s">
        <v>5245</v>
      </c>
      <c r="M246" s="8" t="s">
        <v>5246</v>
      </c>
      <c r="N246" s="8" t="s">
        <v>187</v>
      </c>
      <c r="O246" s="8" t="s">
        <v>5247</v>
      </c>
      <c r="P246" s="8" t="s">
        <v>65</v>
      </c>
      <c r="Q246" s="8" t="s">
        <v>5248</v>
      </c>
      <c r="R246" s="8" t="s">
        <v>65</v>
      </c>
      <c r="S246" s="8" t="s">
        <v>5249</v>
      </c>
      <c r="T246" s="8">
        <v>1077300</v>
      </c>
      <c r="U246" s="8">
        <v>1710000</v>
      </c>
      <c r="V246" s="8" t="s">
        <v>5250</v>
      </c>
      <c r="W246" s="8" t="s">
        <v>5165</v>
      </c>
      <c r="X246" s="8" t="s">
        <v>5251</v>
      </c>
      <c r="Y246" s="8" t="s">
        <v>5252</v>
      </c>
      <c r="Z246" s="8" t="s">
        <v>93</v>
      </c>
      <c r="AA246" s="8" t="s">
        <v>5253</v>
      </c>
      <c r="AB246" s="8" t="s">
        <v>4147</v>
      </c>
      <c r="AC246" s="8" t="s">
        <v>662</v>
      </c>
      <c r="AD246" s="8" t="s">
        <v>307</v>
      </c>
      <c r="AE246" s="8" t="s">
        <v>231</v>
      </c>
      <c r="AF246" s="8" t="s">
        <v>4995</v>
      </c>
      <c r="AG246" s="8" t="s">
        <v>5254</v>
      </c>
      <c r="AH246" s="8">
        <v>5</v>
      </c>
      <c r="AI246" s="8" t="s">
        <v>100</v>
      </c>
      <c r="AJ246" s="8" t="s">
        <v>5255</v>
      </c>
      <c r="AK246" s="8" t="s">
        <v>375</v>
      </c>
      <c r="AL246" s="8"/>
      <c r="AM246" s="8" t="s">
        <v>102</v>
      </c>
      <c r="AN246" s="8">
        <v>1453500</v>
      </c>
      <c r="AO246" s="11">
        <v>25436.250000000004</v>
      </c>
      <c r="AP246" s="8"/>
      <c r="AQ246" s="8"/>
      <c r="AR246" s="8"/>
      <c r="AS246" s="18" t="s">
        <v>6796</v>
      </c>
      <c r="AT246" s="18" t="s">
        <v>6995</v>
      </c>
      <c r="AU246" s="19">
        <v>22444</v>
      </c>
      <c r="AV246" s="20">
        <v>2992.2500000000036</v>
      </c>
      <c r="AW246" s="18" t="s">
        <v>6555</v>
      </c>
      <c r="AX246" s="18">
        <v>2993</v>
      </c>
      <c r="AY246" s="20">
        <v>-0.74999999999636202</v>
      </c>
    </row>
    <row r="247" spans="1:51" x14ac:dyDescent="0.25">
      <c r="A247" s="5">
        <v>245</v>
      </c>
      <c r="B247" s="6" t="s">
        <v>1305</v>
      </c>
      <c r="C247" s="6" t="s">
        <v>5256</v>
      </c>
      <c r="D247" s="6" t="s">
        <v>241</v>
      </c>
      <c r="E247" s="6" t="s">
        <v>47</v>
      </c>
      <c r="F247" s="6" t="s">
        <v>48</v>
      </c>
      <c r="G247" s="6" t="s">
        <v>1668</v>
      </c>
      <c r="H247" s="6" t="s">
        <v>5257</v>
      </c>
      <c r="I247" s="6" t="s">
        <v>5258</v>
      </c>
      <c r="J247" s="6">
        <v>2</v>
      </c>
      <c r="K247" s="6">
        <v>26.29</v>
      </c>
      <c r="L247" s="6" t="s">
        <v>5259</v>
      </c>
      <c r="M247" s="6" t="s">
        <v>5260</v>
      </c>
      <c r="N247" s="6" t="s">
        <v>187</v>
      </c>
      <c r="O247" s="6" t="s">
        <v>5261</v>
      </c>
      <c r="P247" s="6" t="s">
        <v>5262</v>
      </c>
      <c r="Q247" s="6" t="s">
        <v>5262</v>
      </c>
      <c r="R247" s="6" t="s">
        <v>5262</v>
      </c>
      <c r="S247" s="6" t="s">
        <v>5263</v>
      </c>
      <c r="T247" s="6">
        <v>2269850</v>
      </c>
      <c r="U247" s="6">
        <v>4127000</v>
      </c>
      <c r="V247" s="6" t="s">
        <v>5264</v>
      </c>
      <c r="W247" s="6" t="s">
        <v>693</v>
      </c>
      <c r="X247" s="6" t="s">
        <v>5265</v>
      </c>
      <c r="Y247" s="6" t="s">
        <v>5266</v>
      </c>
      <c r="Z247" s="6" t="s">
        <v>64</v>
      </c>
      <c r="AA247" s="6" t="s">
        <v>65</v>
      </c>
      <c r="AB247" s="6" t="s">
        <v>150</v>
      </c>
      <c r="AC247" s="6" t="s">
        <v>67</v>
      </c>
      <c r="AD247" s="6" t="s">
        <v>5267</v>
      </c>
      <c r="AE247" s="6" t="s">
        <v>69</v>
      </c>
      <c r="AF247" s="6" t="s">
        <v>1007</v>
      </c>
      <c r="AG247" s="6" t="s">
        <v>5268</v>
      </c>
      <c r="AH247" s="6">
        <v>5</v>
      </c>
      <c r="AI247" s="6" t="s">
        <v>237</v>
      </c>
      <c r="AJ247" s="6" t="s">
        <v>5269</v>
      </c>
      <c r="AK247" s="6" t="s">
        <v>728</v>
      </c>
      <c r="AL247" s="6"/>
      <c r="AM247" s="6" t="s">
        <v>75</v>
      </c>
      <c r="AN247" s="6">
        <v>3301600</v>
      </c>
      <c r="AO247" s="10">
        <v>66032</v>
      </c>
      <c r="AP247" s="6"/>
      <c r="AQ247" s="6"/>
      <c r="AR247" s="6"/>
      <c r="AS247" s="18" t="s">
        <v>6797</v>
      </c>
      <c r="AT247" s="18"/>
      <c r="AU247" s="19">
        <v>66032</v>
      </c>
      <c r="AV247" s="20">
        <v>0</v>
      </c>
      <c r="AW247" s="18" t="s">
        <v>6555</v>
      </c>
      <c r="AX247" s="18"/>
      <c r="AY247" s="18"/>
    </row>
    <row r="248" spans="1:51" x14ac:dyDescent="0.25">
      <c r="A248" s="7">
        <v>246</v>
      </c>
      <c r="B248" s="8" t="s">
        <v>1305</v>
      </c>
      <c r="C248" s="8" t="s">
        <v>5270</v>
      </c>
      <c r="D248" s="8" t="s">
        <v>277</v>
      </c>
      <c r="E248" s="8" t="s">
        <v>47</v>
      </c>
      <c r="F248" s="8" t="s">
        <v>48</v>
      </c>
      <c r="G248" s="8" t="s">
        <v>516</v>
      </c>
      <c r="H248" s="8" t="s">
        <v>5271</v>
      </c>
      <c r="I248" s="8" t="s">
        <v>5272</v>
      </c>
      <c r="J248" s="8">
        <v>1.75</v>
      </c>
      <c r="K248" s="8">
        <v>26.19</v>
      </c>
      <c r="L248" s="8" t="s">
        <v>5273</v>
      </c>
      <c r="M248" s="8" t="s">
        <v>5274</v>
      </c>
      <c r="N248" s="8" t="s">
        <v>187</v>
      </c>
      <c r="O248" s="8" t="s">
        <v>5275</v>
      </c>
      <c r="P248" s="8" t="s">
        <v>5276</v>
      </c>
      <c r="Q248" s="8" t="s">
        <v>5276</v>
      </c>
      <c r="R248" s="8" t="s">
        <v>5276</v>
      </c>
      <c r="S248" s="8" t="s">
        <v>5277</v>
      </c>
      <c r="T248" s="8">
        <v>1151500</v>
      </c>
      <c r="U248" s="8">
        <v>1645000</v>
      </c>
      <c r="V248" s="8" t="s">
        <v>5278</v>
      </c>
      <c r="W248" s="8" t="s">
        <v>5165</v>
      </c>
      <c r="X248" s="8" t="s">
        <v>5279</v>
      </c>
      <c r="Y248" s="8" t="s">
        <v>5280</v>
      </c>
      <c r="Z248" s="8" t="s">
        <v>93</v>
      </c>
      <c r="AA248" s="8" t="s">
        <v>5281</v>
      </c>
      <c r="AB248" s="8" t="s">
        <v>5282</v>
      </c>
      <c r="AC248" s="8" t="s">
        <v>662</v>
      </c>
      <c r="AD248" s="8" t="s">
        <v>307</v>
      </c>
      <c r="AE248" s="8" t="s">
        <v>231</v>
      </c>
      <c r="AF248" s="8" t="s">
        <v>2213</v>
      </c>
      <c r="AG248" s="8" t="s">
        <v>5283</v>
      </c>
      <c r="AH248" s="8">
        <v>3</v>
      </c>
      <c r="AI248" s="8" t="s">
        <v>100</v>
      </c>
      <c r="AJ248" s="8" t="s">
        <v>5284</v>
      </c>
      <c r="AK248" s="8" t="s">
        <v>5285</v>
      </c>
      <c r="AL248" s="8"/>
      <c r="AM248" s="8" t="s">
        <v>102</v>
      </c>
      <c r="AN248" s="8">
        <v>1398250</v>
      </c>
      <c r="AO248" s="11">
        <v>24469.375000000004</v>
      </c>
      <c r="AP248" s="8"/>
      <c r="AQ248" s="8"/>
      <c r="AR248" s="8"/>
      <c r="AS248" s="18" t="s">
        <v>6798</v>
      </c>
      <c r="AT248" s="18"/>
      <c r="AU248" s="19">
        <v>24469</v>
      </c>
      <c r="AV248" s="20">
        <v>0.37500000000363798</v>
      </c>
      <c r="AW248" s="18" t="s">
        <v>6555</v>
      </c>
      <c r="AX248" s="18"/>
      <c r="AY248" s="18"/>
    </row>
    <row r="249" spans="1:51" x14ac:dyDescent="0.25">
      <c r="A249" s="5">
        <v>247</v>
      </c>
      <c r="B249" s="6" t="s">
        <v>1305</v>
      </c>
      <c r="C249" s="6" t="s">
        <v>5286</v>
      </c>
      <c r="D249" s="6" t="s">
        <v>277</v>
      </c>
      <c r="E249" s="6" t="s">
        <v>47</v>
      </c>
      <c r="F249" s="6" t="s">
        <v>48</v>
      </c>
      <c r="G249" s="6" t="s">
        <v>2658</v>
      </c>
      <c r="H249" s="6" t="s">
        <v>5287</v>
      </c>
      <c r="I249" s="6" t="s">
        <v>5288</v>
      </c>
      <c r="J249" s="6">
        <v>1.75</v>
      </c>
      <c r="K249" s="6">
        <v>26.19</v>
      </c>
      <c r="L249" s="6" t="s">
        <v>5289</v>
      </c>
      <c r="M249" s="6" t="s">
        <v>5290</v>
      </c>
      <c r="N249" s="6" t="s">
        <v>187</v>
      </c>
      <c r="O249" s="6" t="s">
        <v>5291</v>
      </c>
      <c r="P249" s="6" t="s">
        <v>5292</v>
      </c>
      <c r="Q249" s="6" t="s">
        <v>5293</v>
      </c>
      <c r="R249" s="6" t="s">
        <v>5294</v>
      </c>
      <c r="S249" s="6" t="s">
        <v>5295</v>
      </c>
      <c r="T249" s="6">
        <v>2660000</v>
      </c>
      <c r="U249" s="6">
        <v>3800000</v>
      </c>
      <c r="V249" s="6" t="s">
        <v>5296</v>
      </c>
      <c r="W249" s="6" t="s">
        <v>5165</v>
      </c>
      <c r="X249" s="6" t="s">
        <v>5297</v>
      </c>
      <c r="Y249" s="6" t="s">
        <v>5298</v>
      </c>
      <c r="Z249" s="6" t="s">
        <v>93</v>
      </c>
      <c r="AA249" s="6" t="s">
        <v>5299</v>
      </c>
      <c r="AB249" s="6" t="s">
        <v>5225</v>
      </c>
      <c r="AC249" s="6" t="s">
        <v>531</v>
      </c>
      <c r="AD249" s="6" t="s">
        <v>307</v>
      </c>
      <c r="AE249" s="6" t="s">
        <v>231</v>
      </c>
      <c r="AF249" s="6" t="s">
        <v>2213</v>
      </c>
      <c r="AG249" s="6" t="s">
        <v>5300</v>
      </c>
      <c r="AH249" s="6">
        <v>3</v>
      </c>
      <c r="AI249" s="6" t="s">
        <v>72</v>
      </c>
      <c r="AJ249" s="6" t="s">
        <v>5301</v>
      </c>
      <c r="AK249" s="6" t="s">
        <v>5285</v>
      </c>
      <c r="AL249" s="6"/>
      <c r="AM249" s="6" t="s">
        <v>102</v>
      </c>
      <c r="AN249" s="6">
        <v>3230000</v>
      </c>
      <c r="AO249" s="10">
        <v>56525.000000000007</v>
      </c>
      <c r="AP249" s="6"/>
      <c r="AQ249" s="6"/>
      <c r="AR249" s="6"/>
      <c r="AS249" s="18" t="s">
        <v>6799</v>
      </c>
      <c r="AT249" s="18"/>
      <c r="AU249" s="19">
        <v>56525</v>
      </c>
      <c r="AV249" s="20">
        <v>0</v>
      </c>
      <c r="AW249" s="18" t="s">
        <v>6555</v>
      </c>
      <c r="AX249" s="18"/>
      <c r="AY249" s="18"/>
    </row>
    <row r="250" spans="1:51" x14ac:dyDescent="0.25">
      <c r="A250" s="7">
        <v>248</v>
      </c>
      <c r="B250" s="8" t="s">
        <v>1305</v>
      </c>
      <c r="C250" s="8" t="s">
        <v>5322</v>
      </c>
      <c r="D250" s="8" t="s">
        <v>241</v>
      </c>
      <c r="E250" s="8" t="s">
        <v>47</v>
      </c>
      <c r="F250" s="8" t="s">
        <v>48</v>
      </c>
      <c r="G250" s="8" t="s">
        <v>2874</v>
      </c>
      <c r="H250" s="8" t="s">
        <v>5323</v>
      </c>
      <c r="I250" s="8" t="s">
        <v>5324</v>
      </c>
      <c r="J250" s="8">
        <v>2</v>
      </c>
      <c r="K250" s="8">
        <v>26.45</v>
      </c>
      <c r="L250" s="8" t="s">
        <v>5325</v>
      </c>
      <c r="M250" s="8" t="s">
        <v>5326</v>
      </c>
      <c r="N250" s="8" t="s">
        <v>187</v>
      </c>
      <c r="O250" s="8" t="s">
        <v>5327</v>
      </c>
      <c r="P250" s="8" t="s">
        <v>65</v>
      </c>
      <c r="Q250" s="8" t="s">
        <v>65</v>
      </c>
      <c r="R250" s="8" t="s">
        <v>5328</v>
      </c>
      <c r="S250" s="8" t="s">
        <v>5329</v>
      </c>
      <c r="T250" s="8">
        <v>2345280</v>
      </c>
      <c r="U250" s="8">
        <v>3908800</v>
      </c>
      <c r="V250" s="8" t="s">
        <v>5330</v>
      </c>
      <c r="W250" s="8" t="s">
        <v>394</v>
      </c>
      <c r="X250" s="8" t="s">
        <v>5331</v>
      </c>
      <c r="Y250" s="8" t="s">
        <v>5332</v>
      </c>
      <c r="Z250" s="8" t="s">
        <v>64</v>
      </c>
      <c r="AA250" s="8" t="s">
        <v>65</v>
      </c>
      <c r="AB250" s="8" t="s">
        <v>397</v>
      </c>
      <c r="AC250" s="8" t="s">
        <v>67</v>
      </c>
      <c r="AD250" s="8" t="s">
        <v>1132</v>
      </c>
      <c r="AE250" s="8" t="s">
        <v>69</v>
      </c>
      <c r="AF250" s="8" t="s">
        <v>1007</v>
      </c>
      <c r="AG250" s="8" t="s">
        <v>5333</v>
      </c>
      <c r="AH250" s="8">
        <v>5</v>
      </c>
      <c r="AI250" s="8" t="s">
        <v>237</v>
      </c>
      <c r="AJ250" s="8" t="s">
        <v>5334</v>
      </c>
      <c r="AK250" s="8" t="s">
        <v>258</v>
      </c>
      <c r="AL250" s="8"/>
      <c r="AM250" s="8" t="s">
        <v>75</v>
      </c>
      <c r="AN250" s="8">
        <v>3127040</v>
      </c>
      <c r="AO250" s="11">
        <v>62540.800000000003</v>
      </c>
      <c r="AP250" s="8"/>
      <c r="AQ250" s="8"/>
      <c r="AR250" s="8"/>
      <c r="AS250" s="18" t="s">
        <v>6800</v>
      </c>
      <c r="AT250" s="18"/>
      <c r="AU250" s="19">
        <v>62541</v>
      </c>
      <c r="AV250" s="20">
        <v>-0.19999999999708962</v>
      </c>
      <c r="AW250" s="18" t="s">
        <v>6555</v>
      </c>
      <c r="AX250" s="18"/>
      <c r="AY250" s="18"/>
    </row>
    <row r="251" spans="1:51" x14ac:dyDescent="0.25">
      <c r="A251" s="5">
        <v>249</v>
      </c>
      <c r="B251" s="6" t="s">
        <v>1305</v>
      </c>
      <c r="C251" s="6" t="s">
        <v>5335</v>
      </c>
      <c r="D251" s="6" t="s">
        <v>912</v>
      </c>
      <c r="E251" s="6" t="s">
        <v>47</v>
      </c>
      <c r="F251" s="6" t="s">
        <v>48</v>
      </c>
      <c r="G251" s="6" t="s">
        <v>120</v>
      </c>
      <c r="H251" s="6" t="s">
        <v>5336</v>
      </c>
      <c r="I251" s="6" t="s">
        <v>5337</v>
      </c>
      <c r="J251" s="6">
        <v>2</v>
      </c>
      <c r="K251" s="6">
        <v>26.68</v>
      </c>
      <c r="L251" s="6" t="s">
        <v>5338</v>
      </c>
      <c r="M251" s="6" t="s">
        <v>5033</v>
      </c>
      <c r="N251" s="6" t="s">
        <v>54</v>
      </c>
      <c r="O251" s="6" t="s">
        <v>5339</v>
      </c>
      <c r="P251" s="6" t="s">
        <v>5340</v>
      </c>
      <c r="Q251" s="6" t="s">
        <v>5341</v>
      </c>
      <c r="R251" s="6" t="s">
        <v>5340</v>
      </c>
      <c r="S251" s="6" t="s">
        <v>5342</v>
      </c>
      <c r="T251" s="6">
        <v>803400</v>
      </c>
      <c r="U251" s="6">
        <v>1339000</v>
      </c>
      <c r="V251" s="6" t="s">
        <v>5343</v>
      </c>
      <c r="W251" s="6" t="s">
        <v>330</v>
      </c>
      <c r="X251" s="6" t="s">
        <v>5344</v>
      </c>
      <c r="Y251" s="6" t="s">
        <v>5345</v>
      </c>
      <c r="Z251" s="6" t="s">
        <v>64</v>
      </c>
      <c r="AA251" s="6" t="s">
        <v>65</v>
      </c>
      <c r="AB251" s="6" t="s">
        <v>5346</v>
      </c>
      <c r="AC251" s="6" t="s">
        <v>151</v>
      </c>
      <c r="AD251" s="6" t="s">
        <v>4832</v>
      </c>
      <c r="AE251" s="6" t="s">
        <v>1539</v>
      </c>
      <c r="AF251" s="6" t="s">
        <v>1430</v>
      </c>
      <c r="AG251" s="6" t="s">
        <v>5347</v>
      </c>
      <c r="AH251" s="6">
        <v>5</v>
      </c>
      <c r="AI251" s="6" t="s">
        <v>100</v>
      </c>
      <c r="AJ251" s="6" t="s">
        <v>5348</v>
      </c>
      <c r="AK251" s="6" t="s">
        <v>4622</v>
      </c>
      <c r="AL251" s="6"/>
      <c r="AM251" s="6" t="s">
        <v>75</v>
      </c>
      <c r="AN251" s="6">
        <v>1004250</v>
      </c>
      <c r="AO251" s="10">
        <v>20085</v>
      </c>
      <c r="AP251" s="6"/>
      <c r="AQ251" s="6"/>
      <c r="AR251" s="6"/>
      <c r="AS251" s="18" t="s">
        <v>6801</v>
      </c>
      <c r="AT251" s="18" t="s">
        <v>6996</v>
      </c>
      <c r="AU251" s="19">
        <v>22763</v>
      </c>
      <c r="AV251" s="20">
        <v>-2678</v>
      </c>
      <c r="AW251" s="18" t="s">
        <v>6555</v>
      </c>
      <c r="AX251" s="18">
        <v>-2678</v>
      </c>
      <c r="AY251" s="20">
        <v>0</v>
      </c>
    </row>
    <row r="252" spans="1:51" x14ac:dyDescent="0.25">
      <c r="A252" s="7">
        <v>250</v>
      </c>
      <c r="B252" s="8" t="s">
        <v>1305</v>
      </c>
      <c r="C252" s="8" t="s">
        <v>5349</v>
      </c>
      <c r="D252" s="8" t="s">
        <v>77</v>
      </c>
      <c r="E252" s="8" t="s">
        <v>47</v>
      </c>
      <c r="F252" s="8" t="s">
        <v>48</v>
      </c>
      <c r="G252" s="8" t="s">
        <v>516</v>
      </c>
      <c r="H252" s="8" t="s">
        <v>5350</v>
      </c>
      <c r="I252" s="8" t="s">
        <v>5351</v>
      </c>
      <c r="J252" s="8">
        <v>2</v>
      </c>
      <c r="K252" s="8">
        <v>25.68</v>
      </c>
      <c r="L252" s="8" t="s">
        <v>5352</v>
      </c>
      <c r="M252" s="8" t="s">
        <v>5353</v>
      </c>
      <c r="N252" s="8" t="s">
        <v>187</v>
      </c>
      <c r="O252" s="8" t="s">
        <v>5354</v>
      </c>
      <c r="P252" s="8" t="s">
        <v>65</v>
      </c>
      <c r="Q252" s="8" t="s">
        <v>5355</v>
      </c>
      <c r="R252" s="8" t="s">
        <v>65</v>
      </c>
      <c r="S252" s="8" t="s">
        <v>5356</v>
      </c>
      <c r="T252" s="8">
        <v>2096250</v>
      </c>
      <c r="U252" s="8">
        <v>3225000</v>
      </c>
      <c r="V252" s="8" t="s">
        <v>5357</v>
      </c>
      <c r="W252" s="8" t="s">
        <v>394</v>
      </c>
      <c r="X252" s="8" t="s">
        <v>5358</v>
      </c>
      <c r="Y252" s="8" t="s">
        <v>5359</v>
      </c>
      <c r="Z252" s="8" t="s">
        <v>93</v>
      </c>
      <c r="AA252" s="8" t="s">
        <v>5360</v>
      </c>
      <c r="AB252" s="8" t="s">
        <v>5361</v>
      </c>
      <c r="AC252" s="8" t="s">
        <v>552</v>
      </c>
      <c r="AD252" s="8" t="s">
        <v>399</v>
      </c>
      <c r="AE252" s="8" t="s">
        <v>399</v>
      </c>
      <c r="AF252" s="8" t="s">
        <v>1354</v>
      </c>
      <c r="AG252" s="8" t="s">
        <v>5362</v>
      </c>
      <c r="AH252" s="8">
        <v>5</v>
      </c>
      <c r="AI252" s="8" t="s">
        <v>237</v>
      </c>
      <c r="AJ252" s="8" t="s">
        <v>5363</v>
      </c>
      <c r="AK252" s="8" t="s">
        <v>258</v>
      </c>
      <c r="AL252" s="8"/>
      <c r="AM252" s="8" t="s">
        <v>75</v>
      </c>
      <c r="AN252" s="8">
        <v>2580000</v>
      </c>
      <c r="AO252" s="11">
        <v>51600</v>
      </c>
      <c r="AP252" s="8"/>
      <c r="AQ252" s="8"/>
      <c r="AR252" s="8"/>
      <c r="AS252" s="18" t="s">
        <v>6802</v>
      </c>
      <c r="AT252" s="18"/>
      <c r="AU252" s="19">
        <v>51600</v>
      </c>
      <c r="AV252" s="20">
        <v>0</v>
      </c>
      <c r="AW252" s="18" t="s">
        <v>6555</v>
      </c>
      <c r="AX252" s="18"/>
      <c r="AY252" s="18"/>
    </row>
    <row r="253" spans="1:51" x14ac:dyDescent="0.25">
      <c r="A253" s="5">
        <v>251</v>
      </c>
      <c r="B253" s="6" t="s">
        <v>1305</v>
      </c>
      <c r="C253" s="6" t="s">
        <v>5364</v>
      </c>
      <c r="D253" s="6" t="s">
        <v>46</v>
      </c>
      <c r="E253" s="6" t="s">
        <v>47</v>
      </c>
      <c r="F253" s="6" t="s">
        <v>48</v>
      </c>
      <c r="G253" s="6" t="s">
        <v>4999</v>
      </c>
      <c r="H253" s="6" t="s">
        <v>5365</v>
      </c>
      <c r="I253" s="6" t="s">
        <v>5366</v>
      </c>
      <c r="J253" s="6">
        <v>2</v>
      </c>
      <c r="K253" s="6">
        <v>25.84</v>
      </c>
      <c r="L253" s="6" t="s">
        <v>5367</v>
      </c>
      <c r="M253" s="6" t="s">
        <v>5368</v>
      </c>
      <c r="N253" s="6" t="s">
        <v>164</v>
      </c>
      <c r="O253" s="6" t="s">
        <v>5369</v>
      </c>
      <c r="P253" s="6" t="s">
        <v>5370</v>
      </c>
      <c r="Q253" s="6" t="s">
        <v>65</v>
      </c>
      <c r="R253" s="6" t="s">
        <v>5371</v>
      </c>
      <c r="S253" s="6" t="s">
        <v>5372</v>
      </c>
      <c r="T253" s="6">
        <v>1967250</v>
      </c>
      <c r="U253" s="6">
        <v>2623000</v>
      </c>
      <c r="V253" s="6" t="s">
        <v>5373</v>
      </c>
      <c r="W253" s="6" t="s">
        <v>394</v>
      </c>
      <c r="X253" s="6" t="s">
        <v>5374</v>
      </c>
      <c r="Y253" s="6" t="s">
        <v>5375</v>
      </c>
      <c r="Z253" s="6" t="s">
        <v>64</v>
      </c>
      <c r="AA253" s="6" t="s">
        <v>65</v>
      </c>
      <c r="AB253" s="6" t="s">
        <v>5376</v>
      </c>
      <c r="AC253" s="6" t="s">
        <v>67</v>
      </c>
      <c r="AD253" s="6" t="s">
        <v>4189</v>
      </c>
      <c r="AE253" s="6" t="s">
        <v>399</v>
      </c>
      <c r="AF253" s="6" t="s">
        <v>4995</v>
      </c>
      <c r="AG253" s="6" t="s">
        <v>5377</v>
      </c>
      <c r="AH253" s="6">
        <v>6</v>
      </c>
      <c r="AI253" s="6" t="s">
        <v>237</v>
      </c>
      <c r="AJ253" s="6" t="s">
        <v>5378</v>
      </c>
      <c r="AK253" s="6" t="s">
        <v>403</v>
      </c>
      <c r="AL253" s="6"/>
      <c r="AM253" s="6" t="s">
        <v>75</v>
      </c>
      <c r="AN253" s="6">
        <v>2098400</v>
      </c>
      <c r="AO253" s="10">
        <v>41968</v>
      </c>
      <c r="AP253" s="6"/>
      <c r="AQ253" s="6"/>
      <c r="AR253" s="6"/>
      <c r="AS253" s="18" t="s">
        <v>6803</v>
      </c>
      <c r="AT253" s="18" t="s">
        <v>6997</v>
      </c>
      <c r="AU253" s="19">
        <v>39345</v>
      </c>
      <c r="AV253" s="20">
        <v>2623</v>
      </c>
      <c r="AW253" s="18" t="s">
        <v>6555</v>
      </c>
      <c r="AX253" s="18">
        <v>2623</v>
      </c>
      <c r="AY253" s="20">
        <v>0</v>
      </c>
    </row>
    <row r="254" spans="1:51" x14ac:dyDescent="0.25">
      <c r="A254" s="7">
        <v>252</v>
      </c>
      <c r="B254" s="8" t="s">
        <v>1305</v>
      </c>
      <c r="C254" s="8" t="s">
        <v>5395</v>
      </c>
      <c r="D254" s="8" t="s">
        <v>912</v>
      </c>
      <c r="E254" s="8" t="s">
        <v>47</v>
      </c>
      <c r="F254" s="8" t="s">
        <v>48</v>
      </c>
      <c r="G254" s="8" t="s">
        <v>4610</v>
      </c>
      <c r="H254" s="8" t="s">
        <v>5396</v>
      </c>
      <c r="I254" s="8" t="s">
        <v>5397</v>
      </c>
      <c r="J254" s="8">
        <v>2</v>
      </c>
      <c r="K254" s="8">
        <v>26.68</v>
      </c>
      <c r="L254" s="8" t="s">
        <v>5398</v>
      </c>
      <c r="M254" s="8" t="s">
        <v>5399</v>
      </c>
      <c r="N254" s="8" t="s">
        <v>54</v>
      </c>
      <c r="O254" s="8" t="s">
        <v>5400</v>
      </c>
      <c r="P254" s="8" t="s">
        <v>5401</v>
      </c>
      <c r="Q254" s="8" t="s">
        <v>5402</v>
      </c>
      <c r="R254" s="8" t="s">
        <v>5401</v>
      </c>
      <c r="S254" s="8" t="s">
        <v>5403</v>
      </c>
      <c r="T254" s="8">
        <v>1118600</v>
      </c>
      <c r="U254" s="8">
        <v>1598000</v>
      </c>
      <c r="V254" s="8" t="s">
        <v>5404</v>
      </c>
      <c r="W254" s="8" t="s">
        <v>330</v>
      </c>
      <c r="X254" s="8" t="s">
        <v>5405</v>
      </c>
      <c r="Y254" s="8" t="s">
        <v>5406</v>
      </c>
      <c r="Z254" s="8" t="s">
        <v>64</v>
      </c>
      <c r="AA254" s="8" t="s">
        <v>65</v>
      </c>
      <c r="AB254" s="8" t="s">
        <v>5407</v>
      </c>
      <c r="AC254" s="8" t="s">
        <v>151</v>
      </c>
      <c r="AD254" s="8" t="s">
        <v>358</v>
      </c>
      <c r="AE254" s="8" t="s">
        <v>288</v>
      </c>
      <c r="AF254" s="8" t="s">
        <v>2213</v>
      </c>
      <c r="AG254" s="8" t="s">
        <v>5408</v>
      </c>
      <c r="AH254" s="8">
        <v>5</v>
      </c>
      <c r="AI254" s="8" t="s">
        <v>100</v>
      </c>
      <c r="AJ254" s="8" t="s">
        <v>5409</v>
      </c>
      <c r="AK254" s="8" t="s">
        <v>4622</v>
      </c>
      <c r="AL254" s="8"/>
      <c r="AM254" s="8" t="s">
        <v>75</v>
      </c>
      <c r="AN254" s="8">
        <v>1198500</v>
      </c>
      <c r="AO254" s="11">
        <v>23970</v>
      </c>
      <c r="AP254" s="8"/>
      <c r="AQ254" s="8"/>
      <c r="AR254" s="8"/>
      <c r="AS254" s="18" t="s">
        <v>6804</v>
      </c>
      <c r="AT254" s="18" t="s">
        <v>6998</v>
      </c>
      <c r="AU254" s="19">
        <v>27166</v>
      </c>
      <c r="AV254" s="20">
        <v>-3196</v>
      </c>
      <c r="AW254" s="18" t="s">
        <v>6555</v>
      </c>
      <c r="AX254" s="18">
        <v>-3196</v>
      </c>
      <c r="AY254" s="20">
        <v>0</v>
      </c>
    </row>
    <row r="255" spans="1:51" x14ac:dyDescent="0.25">
      <c r="A255" s="5">
        <v>253</v>
      </c>
      <c r="B255" s="6" t="s">
        <v>1305</v>
      </c>
      <c r="C255" s="6" t="s">
        <v>5410</v>
      </c>
      <c r="D255" s="6" t="s">
        <v>77</v>
      </c>
      <c r="E255" s="6" t="s">
        <v>47</v>
      </c>
      <c r="F255" s="6" t="s">
        <v>48</v>
      </c>
      <c r="G255" s="6" t="s">
        <v>516</v>
      </c>
      <c r="H255" s="6" t="s">
        <v>5411</v>
      </c>
      <c r="I255" s="6" t="s">
        <v>5412</v>
      </c>
      <c r="J255" s="6">
        <v>2</v>
      </c>
      <c r="K255" s="6">
        <v>25.69</v>
      </c>
      <c r="L255" s="6" t="s">
        <v>5413</v>
      </c>
      <c r="M255" s="6" t="s">
        <v>5414</v>
      </c>
      <c r="N255" s="6" t="s">
        <v>187</v>
      </c>
      <c r="O255" s="6" t="s">
        <v>5415</v>
      </c>
      <c r="P255" s="6" t="s">
        <v>5416</v>
      </c>
      <c r="Q255" s="6" t="s">
        <v>5416</v>
      </c>
      <c r="R255" s="6" t="s">
        <v>5417</v>
      </c>
      <c r="S255" s="6" t="s">
        <v>5418</v>
      </c>
      <c r="T255" s="6">
        <v>1840000</v>
      </c>
      <c r="U255" s="6">
        <v>2300000</v>
      </c>
      <c r="V255" s="6" t="s">
        <v>5419</v>
      </c>
      <c r="W255" s="6" t="s">
        <v>394</v>
      </c>
      <c r="X255" s="6" t="s">
        <v>5420</v>
      </c>
      <c r="Y255" s="6" t="s">
        <v>5421</v>
      </c>
      <c r="Z255" s="6" t="s">
        <v>93</v>
      </c>
      <c r="AA255" s="6" t="s">
        <v>5422</v>
      </c>
      <c r="AB255" s="6" t="s">
        <v>2532</v>
      </c>
      <c r="AC255" s="6" t="s">
        <v>662</v>
      </c>
      <c r="AD255" s="6" t="s">
        <v>147</v>
      </c>
      <c r="AE255" s="6" t="s">
        <v>69</v>
      </c>
      <c r="AF255" s="6" t="s">
        <v>1007</v>
      </c>
      <c r="AG255" s="6" t="s">
        <v>5423</v>
      </c>
      <c r="AH255" s="6">
        <v>5</v>
      </c>
      <c r="AI255" s="6" t="s">
        <v>237</v>
      </c>
      <c r="AJ255" s="6" t="s">
        <v>5424</v>
      </c>
      <c r="AK255" s="6" t="s">
        <v>403</v>
      </c>
      <c r="AL255" s="6"/>
      <c r="AM255" s="6" t="s">
        <v>75</v>
      </c>
      <c r="AN255" s="6">
        <v>1840000</v>
      </c>
      <c r="AO255" s="10">
        <v>36800</v>
      </c>
      <c r="AP255" s="6"/>
      <c r="AQ255" s="6"/>
      <c r="AR255" s="6"/>
      <c r="AS255" s="18" t="s">
        <v>6805</v>
      </c>
      <c r="AT255" s="18"/>
      <c r="AU255" s="19">
        <v>36800</v>
      </c>
      <c r="AV255" s="20">
        <v>0</v>
      </c>
      <c r="AW255" s="18" t="s">
        <v>6555</v>
      </c>
      <c r="AX255" s="18"/>
      <c r="AY255" s="18"/>
    </row>
    <row r="256" spans="1:51" x14ac:dyDescent="0.25">
      <c r="A256" s="7">
        <v>254</v>
      </c>
      <c r="B256" s="8" t="s">
        <v>1305</v>
      </c>
      <c r="C256" s="8" t="s">
        <v>5425</v>
      </c>
      <c r="D256" s="8" t="s">
        <v>277</v>
      </c>
      <c r="E256" s="8" t="s">
        <v>47</v>
      </c>
      <c r="F256" s="8" t="s">
        <v>48</v>
      </c>
      <c r="G256" s="8" t="s">
        <v>1717</v>
      </c>
      <c r="H256" s="8" t="s">
        <v>5426</v>
      </c>
      <c r="I256" s="8" t="s">
        <v>5427</v>
      </c>
      <c r="J256" s="8">
        <v>2</v>
      </c>
      <c r="K256" s="8">
        <v>25.94</v>
      </c>
      <c r="L256" s="8" t="s">
        <v>5428</v>
      </c>
      <c r="M256" s="8" t="s">
        <v>5429</v>
      </c>
      <c r="N256" s="8" t="s">
        <v>187</v>
      </c>
      <c r="O256" s="8" t="s">
        <v>5430</v>
      </c>
      <c r="P256" s="8" t="s">
        <v>5431</v>
      </c>
      <c r="Q256" s="8" t="s">
        <v>5432</v>
      </c>
      <c r="R256" s="8" t="s">
        <v>65</v>
      </c>
      <c r="S256" s="8" t="s">
        <v>5433</v>
      </c>
      <c r="T256" s="8">
        <v>1792500</v>
      </c>
      <c r="U256" s="8">
        <v>3585000</v>
      </c>
      <c r="V256" s="8" t="s">
        <v>5434</v>
      </c>
      <c r="W256" s="8" t="s">
        <v>394</v>
      </c>
      <c r="X256" s="8" t="s">
        <v>5435</v>
      </c>
      <c r="Y256" s="8" t="s">
        <v>5436</v>
      </c>
      <c r="Z256" s="8" t="s">
        <v>93</v>
      </c>
      <c r="AA256" s="8" t="s">
        <v>5437</v>
      </c>
      <c r="AB256" s="8" t="s">
        <v>3245</v>
      </c>
      <c r="AC256" s="8" t="s">
        <v>96</v>
      </c>
      <c r="AD256" s="8" t="s">
        <v>258</v>
      </c>
      <c r="AE256" s="8" t="s">
        <v>399</v>
      </c>
      <c r="AF256" s="8" t="s">
        <v>2213</v>
      </c>
      <c r="AG256" s="8" t="s">
        <v>5438</v>
      </c>
      <c r="AH256" s="8">
        <v>4</v>
      </c>
      <c r="AI256" s="8" t="s">
        <v>237</v>
      </c>
      <c r="AJ256" s="8" t="s">
        <v>5439</v>
      </c>
      <c r="AK256" s="8" t="s">
        <v>475</v>
      </c>
      <c r="AL256" s="8"/>
      <c r="AM256" s="8" t="s">
        <v>75</v>
      </c>
      <c r="AN256" s="8">
        <v>2868000</v>
      </c>
      <c r="AO256" s="11">
        <v>57360</v>
      </c>
      <c r="AP256" s="8"/>
      <c r="AQ256" s="8"/>
      <c r="AR256" s="8"/>
      <c r="AS256" s="18" t="s">
        <v>6806</v>
      </c>
      <c r="AT256" s="18" t="s">
        <v>6999</v>
      </c>
      <c r="AU256" s="19">
        <v>60945</v>
      </c>
      <c r="AV256" s="20">
        <v>-3585</v>
      </c>
      <c r="AW256" s="18" t="s">
        <v>6555</v>
      </c>
      <c r="AX256" s="18">
        <v>-3585</v>
      </c>
      <c r="AY256" s="20">
        <v>0</v>
      </c>
    </row>
    <row r="257" spans="1:51" x14ac:dyDescent="0.25">
      <c r="A257" s="5">
        <v>255</v>
      </c>
      <c r="B257" s="6" t="s">
        <v>1305</v>
      </c>
      <c r="C257" s="6" t="s">
        <v>5440</v>
      </c>
      <c r="D257" s="6" t="s">
        <v>46</v>
      </c>
      <c r="E257" s="6" t="s">
        <v>47</v>
      </c>
      <c r="F257" s="6" t="s">
        <v>48</v>
      </c>
      <c r="G257" s="6" t="s">
        <v>260</v>
      </c>
      <c r="H257" s="6" t="s">
        <v>5441</v>
      </c>
      <c r="I257" s="6" t="s">
        <v>5442</v>
      </c>
      <c r="J257" s="6">
        <v>2</v>
      </c>
      <c r="K257" s="6">
        <v>25.85</v>
      </c>
      <c r="L257" s="6" t="s">
        <v>5443</v>
      </c>
      <c r="M257" s="6" t="s">
        <v>5444</v>
      </c>
      <c r="N257" s="6" t="s">
        <v>265</v>
      </c>
      <c r="O257" s="6" t="s">
        <v>5445</v>
      </c>
      <c r="P257" s="6" t="s">
        <v>5446</v>
      </c>
      <c r="Q257" s="6" t="s">
        <v>65</v>
      </c>
      <c r="R257" s="6" t="s">
        <v>5447</v>
      </c>
      <c r="S257" s="6" t="s">
        <v>5448</v>
      </c>
      <c r="T257" s="6">
        <v>1372500</v>
      </c>
      <c r="U257" s="6">
        <v>1830000</v>
      </c>
      <c r="V257" s="6" t="s">
        <v>5449</v>
      </c>
      <c r="W257" s="6" t="s">
        <v>394</v>
      </c>
      <c r="X257" s="6" t="s">
        <v>5450</v>
      </c>
      <c r="Y257" s="6" t="s">
        <v>5451</v>
      </c>
      <c r="Z257" s="6" t="s">
        <v>64</v>
      </c>
      <c r="AA257" s="6" t="s">
        <v>65</v>
      </c>
      <c r="AB257" s="6" t="s">
        <v>195</v>
      </c>
      <c r="AC257" s="6" t="s">
        <v>67</v>
      </c>
      <c r="AD257" s="6" t="s">
        <v>196</v>
      </c>
      <c r="AE257" s="6" t="s">
        <v>69</v>
      </c>
      <c r="AF257" s="6" t="s">
        <v>1007</v>
      </c>
      <c r="AG257" s="6" t="s">
        <v>5452</v>
      </c>
      <c r="AH257" s="6">
        <v>5</v>
      </c>
      <c r="AI257" s="6" t="s">
        <v>198</v>
      </c>
      <c r="AJ257" s="6" t="s">
        <v>5453</v>
      </c>
      <c r="AK257" s="6" t="s">
        <v>403</v>
      </c>
      <c r="AL257" s="6"/>
      <c r="AM257" s="6" t="s">
        <v>75</v>
      </c>
      <c r="AN257" s="6">
        <v>1464000</v>
      </c>
      <c r="AO257" s="10">
        <v>29280</v>
      </c>
      <c r="AP257" s="6"/>
      <c r="AQ257" s="6"/>
      <c r="AR257" s="6"/>
      <c r="AS257" s="18" t="s">
        <v>6807</v>
      </c>
      <c r="AT257" s="18"/>
      <c r="AU257" s="19">
        <v>29280</v>
      </c>
      <c r="AV257" s="20">
        <v>0</v>
      </c>
      <c r="AW257" s="18" t="s">
        <v>6555</v>
      </c>
      <c r="AX257" s="18"/>
      <c r="AY257" s="18"/>
    </row>
    <row r="258" spans="1:51" x14ac:dyDescent="0.25">
      <c r="A258" s="7">
        <v>256</v>
      </c>
      <c r="B258" s="8" t="s">
        <v>1305</v>
      </c>
      <c r="C258" s="8" t="s">
        <v>5454</v>
      </c>
      <c r="D258" s="8" t="s">
        <v>136</v>
      </c>
      <c r="E258" s="8" t="s">
        <v>47</v>
      </c>
      <c r="F258" s="8" t="s">
        <v>48</v>
      </c>
      <c r="G258" s="8" t="s">
        <v>347</v>
      </c>
      <c r="H258" s="8" t="s">
        <v>5455</v>
      </c>
      <c r="I258" s="8" t="s">
        <v>5456</v>
      </c>
      <c r="J258" s="8">
        <v>2</v>
      </c>
      <c r="K258" s="8">
        <v>26.93</v>
      </c>
      <c r="L258" s="8" t="s">
        <v>5457</v>
      </c>
      <c r="M258" s="8" t="s">
        <v>5458</v>
      </c>
      <c r="N258" s="8" t="s">
        <v>54</v>
      </c>
      <c r="O258" s="8" t="s">
        <v>5459</v>
      </c>
      <c r="P258" s="8" t="s">
        <v>5460</v>
      </c>
      <c r="Q258" s="8" t="s">
        <v>5461</v>
      </c>
      <c r="R258" s="8" t="s">
        <v>5461</v>
      </c>
      <c r="S258" s="8" t="s">
        <v>5462</v>
      </c>
      <c r="T258" s="8">
        <v>1499250</v>
      </c>
      <c r="U258" s="8">
        <v>1999000</v>
      </c>
      <c r="V258" s="8" t="s">
        <v>5463</v>
      </c>
      <c r="W258" s="8" t="s">
        <v>4953</v>
      </c>
      <c r="X258" s="8" t="s">
        <v>5464</v>
      </c>
      <c r="Y258" s="8" t="s">
        <v>5465</v>
      </c>
      <c r="Z258" s="8" t="s">
        <v>64</v>
      </c>
      <c r="AA258" s="8" t="s">
        <v>65</v>
      </c>
      <c r="AB258" s="8" t="s">
        <v>5466</v>
      </c>
      <c r="AC258" s="8" t="s">
        <v>151</v>
      </c>
      <c r="AD258" s="8" t="s">
        <v>1504</v>
      </c>
      <c r="AE258" s="8" t="s">
        <v>288</v>
      </c>
      <c r="AF258" s="8" t="s">
        <v>2213</v>
      </c>
      <c r="AG258" s="8" t="s">
        <v>5467</v>
      </c>
      <c r="AH258" s="8">
        <v>5</v>
      </c>
      <c r="AI258" s="8" t="s">
        <v>72</v>
      </c>
      <c r="AJ258" s="8" t="s">
        <v>5468</v>
      </c>
      <c r="AK258" s="8" t="s">
        <v>4622</v>
      </c>
      <c r="AL258" s="8"/>
      <c r="AM258" s="8" t="s">
        <v>75</v>
      </c>
      <c r="AN258" s="8">
        <v>1499250</v>
      </c>
      <c r="AO258" s="11">
        <v>29985</v>
      </c>
      <c r="AP258" s="8"/>
      <c r="AQ258" s="8"/>
      <c r="AR258" s="8"/>
      <c r="AS258" s="18" t="s">
        <v>6808</v>
      </c>
      <c r="AT258" s="18" t="s">
        <v>7000</v>
      </c>
      <c r="AU258" s="19">
        <v>33983</v>
      </c>
      <c r="AV258" s="20">
        <v>-3998</v>
      </c>
      <c r="AW258" s="18" t="s">
        <v>6555</v>
      </c>
      <c r="AX258" s="18">
        <v>-3998</v>
      </c>
      <c r="AY258" s="20">
        <v>0</v>
      </c>
    </row>
    <row r="259" spans="1:51" x14ac:dyDescent="0.25">
      <c r="A259" s="5">
        <v>257</v>
      </c>
      <c r="B259" s="6" t="s">
        <v>1305</v>
      </c>
      <c r="C259" s="6" t="s">
        <v>5469</v>
      </c>
      <c r="D259" s="6" t="s">
        <v>136</v>
      </c>
      <c r="E259" s="6" t="s">
        <v>47</v>
      </c>
      <c r="F259" s="6" t="s">
        <v>48</v>
      </c>
      <c r="G259" s="6" t="s">
        <v>1371</v>
      </c>
      <c r="H259" s="6" t="s">
        <v>5470</v>
      </c>
      <c r="I259" s="6" t="s">
        <v>5471</v>
      </c>
      <c r="J259" s="6">
        <v>2</v>
      </c>
      <c r="K259" s="6">
        <v>26.93</v>
      </c>
      <c r="L259" s="6" t="s">
        <v>5472</v>
      </c>
      <c r="M259" s="6" t="s">
        <v>5473</v>
      </c>
      <c r="N259" s="6" t="s">
        <v>164</v>
      </c>
      <c r="O259" s="6" t="s">
        <v>5474</v>
      </c>
      <c r="P259" s="6" t="s">
        <v>5475</v>
      </c>
      <c r="Q259" s="6" t="s">
        <v>65</v>
      </c>
      <c r="R259" s="6" t="s">
        <v>5476</v>
      </c>
      <c r="S259" s="6" t="s">
        <v>5477</v>
      </c>
      <c r="T259" s="6">
        <v>1458000</v>
      </c>
      <c r="U259" s="6">
        <v>2025000</v>
      </c>
      <c r="V259" s="6" t="s">
        <v>146</v>
      </c>
      <c r="W259" s="6" t="s">
        <v>330</v>
      </c>
      <c r="X259" s="6" t="s">
        <v>5478</v>
      </c>
      <c r="Y259" s="6" t="s">
        <v>5479</v>
      </c>
      <c r="Z259" s="6" t="s">
        <v>64</v>
      </c>
      <c r="AA259" s="6" t="s">
        <v>65</v>
      </c>
      <c r="AB259" s="6" t="s">
        <v>5480</v>
      </c>
      <c r="AC259" s="6" t="s">
        <v>151</v>
      </c>
      <c r="AD259" s="6" t="s">
        <v>1504</v>
      </c>
      <c r="AE259" s="6" t="s">
        <v>1539</v>
      </c>
      <c r="AF259" s="6" t="s">
        <v>974</v>
      </c>
      <c r="AG259" s="6" t="s">
        <v>5481</v>
      </c>
      <c r="AH259" s="6">
        <v>6</v>
      </c>
      <c r="AI259" s="6" t="s">
        <v>237</v>
      </c>
      <c r="AJ259" s="6" t="s">
        <v>5482</v>
      </c>
      <c r="AK259" s="6" t="s">
        <v>4622</v>
      </c>
      <c r="AL259" s="6"/>
      <c r="AM259" s="6" t="s">
        <v>75</v>
      </c>
      <c r="AN259" s="6">
        <v>1518750</v>
      </c>
      <c r="AO259" s="10">
        <v>30375</v>
      </c>
      <c r="AP259" s="6"/>
      <c r="AQ259" s="6"/>
      <c r="AR259" s="6"/>
      <c r="AS259" s="18" t="s">
        <v>6809</v>
      </c>
      <c r="AT259" s="18" t="s">
        <v>7001</v>
      </c>
      <c r="AU259" s="19">
        <v>32400</v>
      </c>
      <c r="AV259" s="20">
        <v>-2025</v>
      </c>
      <c r="AW259" s="18" t="s">
        <v>6555</v>
      </c>
      <c r="AX259" s="18">
        <v>-2025</v>
      </c>
      <c r="AY259" s="20">
        <v>0</v>
      </c>
    </row>
    <row r="260" spans="1:51" x14ac:dyDescent="0.25">
      <c r="A260" s="7">
        <v>258</v>
      </c>
      <c r="B260" s="8" t="s">
        <v>1305</v>
      </c>
      <c r="C260" s="8" t="s">
        <v>5483</v>
      </c>
      <c r="D260" s="8" t="s">
        <v>1238</v>
      </c>
      <c r="E260" s="8" t="s">
        <v>47</v>
      </c>
      <c r="F260" s="8" t="s">
        <v>48</v>
      </c>
      <c r="G260" s="8" t="s">
        <v>3009</v>
      </c>
      <c r="H260" s="8" t="s">
        <v>5484</v>
      </c>
      <c r="I260" s="8" t="s">
        <v>5485</v>
      </c>
      <c r="J260" s="8">
        <v>2</v>
      </c>
      <c r="K260" s="8">
        <v>26.68</v>
      </c>
      <c r="L260" s="8" t="s">
        <v>5486</v>
      </c>
      <c r="M260" s="8" t="s">
        <v>5487</v>
      </c>
      <c r="N260" s="8" t="s">
        <v>187</v>
      </c>
      <c r="O260" s="8" t="s">
        <v>5488</v>
      </c>
      <c r="P260" s="8" t="s">
        <v>652</v>
      </c>
      <c r="Q260" s="8" t="s">
        <v>5489</v>
      </c>
      <c r="R260" s="8" t="s">
        <v>5490</v>
      </c>
      <c r="S260" s="8" t="s">
        <v>5491</v>
      </c>
      <c r="T260" s="8">
        <v>1964000</v>
      </c>
      <c r="U260" s="8">
        <v>2455000</v>
      </c>
      <c r="V260" s="8" t="s">
        <v>146</v>
      </c>
      <c r="W260" s="8" t="s">
        <v>330</v>
      </c>
      <c r="X260" s="8" t="s">
        <v>5492</v>
      </c>
      <c r="Y260" s="8" t="s">
        <v>5493</v>
      </c>
      <c r="Z260" s="8" t="s">
        <v>64</v>
      </c>
      <c r="AA260" s="8" t="s">
        <v>65</v>
      </c>
      <c r="AB260" s="8" t="s">
        <v>1335</v>
      </c>
      <c r="AC260" s="8" t="s">
        <v>151</v>
      </c>
      <c r="AD260" s="8" t="s">
        <v>924</v>
      </c>
      <c r="AE260" s="8" t="s">
        <v>288</v>
      </c>
      <c r="AF260" s="8" t="s">
        <v>2213</v>
      </c>
      <c r="AG260" s="8" t="s">
        <v>5494</v>
      </c>
      <c r="AH260" s="8">
        <v>5</v>
      </c>
      <c r="AI260" s="8" t="s">
        <v>237</v>
      </c>
      <c r="AJ260" s="8" t="s">
        <v>5495</v>
      </c>
      <c r="AK260" s="8" t="s">
        <v>4622</v>
      </c>
      <c r="AL260" s="8"/>
      <c r="AM260" s="8" t="s">
        <v>75</v>
      </c>
      <c r="AN260" s="8">
        <v>1841250</v>
      </c>
      <c r="AO260" s="11">
        <v>36825</v>
      </c>
      <c r="AP260" s="8"/>
      <c r="AQ260" s="8"/>
      <c r="AR260" s="8"/>
      <c r="AS260" s="18" t="s">
        <v>6810</v>
      </c>
      <c r="AT260" s="18" t="s">
        <v>7002</v>
      </c>
      <c r="AU260" s="19">
        <v>41735</v>
      </c>
      <c r="AV260" s="20">
        <v>-4910</v>
      </c>
      <c r="AW260" s="18" t="s">
        <v>6555</v>
      </c>
      <c r="AX260" s="18">
        <v>-4910</v>
      </c>
      <c r="AY260" s="20">
        <v>0</v>
      </c>
    </row>
    <row r="261" spans="1:51" x14ac:dyDescent="0.25">
      <c r="A261" s="5">
        <v>259</v>
      </c>
      <c r="B261" s="6" t="s">
        <v>1305</v>
      </c>
      <c r="C261" s="6" t="s">
        <v>5496</v>
      </c>
      <c r="D261" s="6" t="s">
        <v>1238</v>
      </c>
      <c r="E261" s="6" t="s">
        <v>47</v>
      </c>
      <c r="F261" s="6" t="s">
        <v>48</v>
      </c>
      <c r="G261" s="6" t="s">
        <v>3079</v>
      </c>
      <c r="H261" s="6" t="s">
        <v>5497</v>
      </c>
      <c r="I261" s="6" t="s">
        <v>5498</v>
      </c>
      <c r="J261" s="6">
        <v>2</v>
      </c>
      <c r="K261" s="6">
        <v>27.43</v>
      </c>
      <c r="L261" s="6" t="s">
        <v>5499</v>
      </c>
      <c r="M261" s="6" t="s">
        <v>5500</v>
      </c>
      <c r="N261" s="6" t="s">
        <v>83</v>
      </c>
      <c r="O261" s="6" t="s">
        <v>5501</v>
      </c>
      <c r="P261" s="6" t="s">
        <v>65</v>
      </c>
      <c r="Q261" s="6" t="s">
        <v>5502</v>
      </c>
      <c r="R261" s="6" t="s">
        <v>65</v>
      </c>
      <c r="S261" s="6" t="s">
        <v>5503</v>
      </c>
      <c r="T261" s="6">
        <v>1557500</v>
      </c>
      <c r="U261" s="6">
        <v>2225000</v>
      </c>
      <c r="V261" s="6" t="s">
        <v>146</v>
      </c>
      <c r="W261" s="6" t="s">
        <v>475</v>
      </c>
      <c r="X261" s="6" t="s">
        <v>5504</v>
      </c>
      <c r="Y261" s="6" t="s">
        <v>5505</v>
      </c>
      <c r="Z261" s="6" t="s">
        <v>93</v>
      </c>
      <c r="AA261" s="6" t="s">
        <v>5506</v>
      </c>
      <c r="AB261" s="6" t="s">
        <v>150</v>
      </c>
      <c r="AC261" s="6" t="s">
        <v>507</v>
      </c>
      <c r="AD261" s="6" t="s">
        <v>4738</v>
      </c>
      <c r="AE261" s="6" t="s">
        <v>288</v>
      </c>
      <c r="AF261" s="6" t="s">
        <v>2213</v>
      </c>
      <c r="AG261" s="6" t="s">
        <v>5507</v>
      </c>
      <c r="AH261" s="6">
        <v>5</v>
      </c>
      <c r="AI261" s="6" t="s">
        <v>237</v>
      </c>
      <c r="AJ261" s="6" t="s">
        <v>5508</v>
      </c>
      <c r="AK261" s="6" t="s">
        <v>4738</v>
      </c>
      <c r="AL261" s="6"/>
      <c r="AM261" s="6" t="s">
        <v>75</v>
      </c>
      <c r="AN261" s="6">
        <v>1668750</v>
      </c>
      <c r="AO261" s="10">
        <v>33375</v>
      </c>
      <c r="AP261" s="6"/>
      <c r="AQ261" s="6"/>
      <c r="AR261" s="6"/>
      <c r="AS261" s="18" t="s">
        <v>6811</v>
      </c>
      <c r="AT261" s="18" t="s">
        <v>7003</v>
      </c>
      <c r="AU261" s="19">
        <v>37825</v>
      </c>
      <c r="AV261" s="20">
        <v>-4450</v>
      </c>
      <c r="AW261" s="18" t="s">
        <v>6555</v>
      </c>
      <c r="AX261" s="18">
        <v>-4450</v>
      </c>
      <c r="AY261" s="20">
        <v>0</v>
      </c>
    </row>
    <row r="262" spans="1:51" x14ac:dyDescent="0.25">
      <c r="A262" s="7">
        <v>260</v>
      </c>
      <c r="B262" s="8" t="s">
        <v>1305</v>
      </c>
      <c r="C262" s="8" t="s">
        <v>5509</v>
      </c>
      <c r="D262" s="8" t="s">
        <v>241</v>
      </c>
      <c r="E262" s="8" t="s">
        <v>47</v>
      </c>
      <c r="F262" s="8" t="s">
        <v>48</v>
      </c>
      <c r="G262" s="8" t="s">
        <v>1080</v>
      </c>
      <c r="H262" s="8" t="s">
        <v>5510</v>
      </c>
      <c r="I262" s="8" t="s">
        <v>5511</v>
      </c>
      <c r="J262" s="8">
        <v>2</v>
      </c>
      <c r="K262" s="8">
        <v>26.3</v>
      </c>
      <c r="L262" s="8" t="s">
        <v>5512</v>
      </c>
      <c r="M262" s="8" t="s">
        <v>5513</v>
      </c>
      <c r="N262" s="8" t="s">
        <v>596</v>
      </c>
      <c r="O262" s="8" t="s">
        <v>5514</v>
      </c>
      <c r="P262" s="8" t="s">
        <v>5515</v>
      </c>
      <c r="Q262" s="8" t="s">
        <v>5516</v>
      </c>
      <c r="R262" s="8" t="s">
        <v>65</v>
      </c>
      <c r="S262" s="8" t="s">
        <v>5517</v>
      </c>
      <c r="T262" s="8">
        <v>1756950</v>
      </c>
      <c r="U262" s="8">
        <v>2703000</v>
      </c>
      <c r="V262" s="8" t="s">
        <v>5518</v>
      </c>
      <c r="W262" s="8" t="s">
        <v>677</v>
      </c>
      <c r="X262" s="8" t="s">
        <v>5519</v>
      </c>
      <c r="Y262" s="8" t="s">
        <v>5520</v>
      </c>
      <c r="Z262" s="8" t="s">
        <v>64</v>
      </c>
      <c r="AA262" s="8" t="s">
        <v>65</v>
      </c>
      <c r="AB262" s="8" t="s">
        <v>1125</v>
      </c>
      <c r="AC262" s="8" t="s">
        <v>67</v>
      </c>
      <c r="AD262" s="8" t="s">
        <v>5521</v>
      </c>
      <c r="AE262" s="8" t="s">
        <v>69</v>
      </c>
      <c r="AF262" s="8" t="s">
        <v>1319</v>
      </c>
      <c r="AG262" s="8" t="s">
        <v>5522</v>
      </c>
      <c r="AH262" s="8">
        <v>7</v>
      </c>
      <c r="AI262" s="8" t="s">
        <v>198</v>
      </c>
      <c r="AJ262" s="8" t="s">
        <v>5523</v>
      </c>
      <c r="AK262" s="8" t="s">
        <v>5524</v>
      </c>
      <c r="AL262" s="8"/>
      <c r="AM262" s="8" t="s">
        <v>75</v>
      </c>
      <c r="AN262" s="8">
        <v>2162400</v>
      </c>
      <c r="AO262" s="11">
        <v>43248</v>
      </c>
      <c r="AP262" s="8"/>
      <c r="AQ262" s="8"/>
      <c r="AR262" s="8"/>
      <c r="AS262" s="18" t="s">
        <v>6812</v>
      </c>
      <c r="AT262" s="18"/>
      <c r="AU262" s="19">
        <v>43248</v>
      </c>
      <c r="AV262" s="20">
        <v>0</v>
      </c>
      <c r="AW262" s="18" t="s">
        <v>6555</v>
      </c>
      <c r="AX262" s="18"/>
      <c r="AY262" s="18"/>
    </row>
    <row r="263" spans="1:51" x14ac:dyDescent="0.25">
      <c r="A263" s="5">
        <v>261</v>
      </c>
      <c r="B263" s="6" t="s">
        <v>1305</v>
      </c>
      <c r="C263" s="6" t="s">
        <v>5525</v>
      </c>
      <c r="D263" s="6" t="s">
        <v>77</v>
      </c>
      <c r="E263" s="6" t="s">
        <v>47</v>
      </c>
      <c r="F263" s="6" t="s">
        <v>48</v>
      </c>
      <c r="G263" s="6" t="s">
        <v>516</v>
      </c>
      <c r="H263" s="6" t="s">
        <v>5526</v>
      </c>
      <c r="I263" s="6" t="s">
        <v>5527</v>
      </c>
      <c r="J263" s="6">
        <v>2</v>
      </c>
      <c r="K263" s="6">
        <v>25.68</v>
      </c>
      <c r="L263" s="6" t="s">
        <v>5528</v>
      </c>
      <c r="M263" s="6" t="s">
        <v>5529</v>
      </c>
      <c r="N263" s="6" t="s">
        <v>187</v>
      </c>
      <c r="O263" s="6" t="s">
        <v>5530</v>
      </c>
      <c r="P263" s="6" t="s">
        <v>5531</v>
      </c>
      <c r="Q263" s="6" t="s">
        <v>5531</v>
      </c>
      <c r="R263" s="6" t="s">
        <v>5531</v>
      </c>
      <c r="S263" s="6" t="s">
        <v>5532</v>
      </c>
      <c r="T263" s="6">
        <v>1160000</v>
      </c>
      <c r="U263" s="6">
        <v>1450000</v>
      </c>
      <c r="V263" s="6" t="s">
        <v>5533</v>
      </c>
      <c r="W263" s="6" t="s">
        <v>394</v>
      </c>
      <c r="X263" s="6" t="s">
        <v>5534</v>
      </c>
      <c r="Y263" s="6" t="s">
        <v>5535</v>
      </c>
      <c r="Z263" s="6" t="s">
        <v>93</v>
      </c>
      <c r="AA263" s="6" t="s">
        <v>5536</v>
      </c>
      <c r="AB263" s="6" t="s">
        <v>5537</v>
      </c>
      <c r="AC263" s="6" t="s">
        <v>662</v>
      </c>
      <c r="AD263" s="6" t="s">
        <v>258</v>
      </c>
      <c r="AE263" s="6" t="s">
        <v>399</v>
      </c>
      <c r="AF263" s="6" t="s">
        <v>4995</v>
      </c>
      <c r="AG263" s="6" t="s">
        <v>5538</v>
      </c>
      <c r="AH263" s="6">
        <v>6</v>
      </c>
      <c r="AI263" s="6" t="s">
        <v>237</v>
      </c>
      <c r="AJ263" s="6" t="s">
        <v>5539</v>
      </c>
      <c r="AK263" s="6" t="s">
        <v>475</v>
      </c>
      <c r="AL263" s="6"/>
      <c r="AM263" s="6" t="s">
        <v>75</v>
      </c>
      <c r="AN263" s="6">
        <v>1160000</v>
      </c>
      <c r="AO263" s="10">
        <v>23200</v>
      </c>
      <c r="AP263" s="6"/>
      <c r="AQ263" s="6"/>
      <c r="AR263" s="6"/>
      <c r="AS263" s="18" t="s">
        <v>6813</v>
      </c>
      <c r="AT263" s="18" t="s">
        <v>7004</v>
      </c>
      <c r="AU263" s="19">
        <v>21750</v>
      </c>
      <c r="AV263" s="20">
        <v>1450</v>
      </c>
      <c r="AW263" s="18" t="s">
        <v>6555</v>
      </c>
      <c r="AX263" s="18">
        <v>1450</v>
      </c>
      <c r="AY263" s="20">
        <v>0</v>
      </c>
    </row>
    <row r="264" spans="1:51" x14ac:dyDescent="0.25">
      <c r="A264" s="7">
        <v>262</v>
      </c>
      <c r="B264" s="8" t="s">
        <v>1305</v>
      </c>
      <c r="C264" s="8" t="s">
        <v>5540</v>
      </c>
      <c r="D264" s="8" t="s">
        <v>77</v>
      </c>
      <c r="E264" s="8" t="s">
        <v>47</v>
      </c>
      <c r="F264" s="8" t="s">
        <v>48</v>
      </c>
      <c r="G264" s="8" t="s">
        <v>3009</v>
      </c>
      <c r="H264" s="8" t="s">
        <v>5541</v>
      </c>
      <c r="I264" s="8" t="s">
        <v>5542</v>
      </c>
      <c r="J264" s="8">
        <v>2</v>
      </c>
      <c r="K264" s="8">
        <v>25.68</v>
      </c>
      <c r="L264" s="8" t="s">
        <v>5543</v>
      </c>
      <c r="M264" s="8" t="s">
        <v>5544</v>
      </c>
      <c r="N264" s="8" t="s">
        <v>187</v>
      </c>
      <c r="O264" s="8" t="s">
        <v>5545</v>
      </c>
      <c r="P264" s="8" t="s">
        <v>5546</v>
      </c>
      <c r="Q264" s="8" t="s">
        <v>5546</v>
      </c>
      <c r="R264" s="8" t="s">
        <v>5546</v>
      </c>
      <c r="S264" s="8" t="s">
        <v>5547</v>
      </c>
      <c r="T264" s="8">
        <v>2162400</v>
      </c>
      <c r="U264" s="8">
        <v>2703000</v>
      </c>
      <c r="V264" s="8" t="s">
        <v>5548</v>
      </c>
      <c r="W264" s="8" t="s">
        <v>677</v>
      </c>
      <c r="X264" s="8" t="s">
        <v>5549</v>
      </c>
      <c r="Y264" s="8" t="s">
        <v>5550</v>
      </c>
      <c r="Z264" s="8" t="s">
        <v>64</v>
      </c>
      <c r="AA264" s="8" t="s">
        <v>65</v>
      </c>
      <c r="AB264" s="8" t="s">
        <v>5551</v>
      </c>
      <c r="AC264" s="8" t="s">
        <v>67</v>
      </c>
      <c r="AD264" s="8" t="s">
        <v>475</v>
      </c>
      <c r="AE264" s="8" t="s">
        <v>604</v>
      </c>
      <c r="AF264" s="8" t="s">
        <v>2638</v>
      </c>
      <c r="AG264" s="8" t="s">
        <v>5552</v>
      </c>
      <c r="AH264" s="8">
        <v>7</v>
      </c>
      <c r="AI264" s="8" t="s">
        <v>237</v>
      </c>
      <c r="AJ264" s="8" t="s">
        <v>5553</v>
      </c>
      <c r="AK264" s="8" t="s">
        <v>683</v>
      </c>
      <c r="AL264" s="8"/>
      <c r="AM264" s="8" t="s">
        <v>75</v>
      </c>
      <c r="AN264" s="8">
        <v>2162400</v>
      </c>
      <c r="AO264" s="11">
        <v>43248</v>
      </c>
      <c r="AP264" s="8"/>
      <c r="AQ264" s="8"/>
      <c r="AR264" s="8"/>
      <c r="AS264" s="18" t="s">
        <v>6814</v>
      </c>
      <c r="AT264" s="18"/>
      <c r="AU264" s="19">
        <v>43248</v>
      </c>
      <c r="AV264" s="20">
        <v>0</v>
      </c>
      <c r="AW264" s="18" t="s">
        <v>6555</v>
      </c>
      <c r="AX264" s="18"/>
      <c r="AY264" s="18"/>
    </row>
    <row r="265" spans="1:51" x14ac:dyDescent="0.25">
      <c r="A265" s="5">
        <v>263</v>
      </c>
      <c r="B265" s="6" t="s">
        <v>1305</v>
      </c>
      <c r="C265" s="6" t="s">
        <v>5554</v>
      </c>
      <c r="D265" s="6" t="s">
        <v>46</v>
      </c>
      <c r="E265" s="6" t="s">
        <v>47</v>
      </c>
      <c r="F265" s="6" t="s">
        <v>48</v>
      </c>
      <c r="G265" s="6" t="s">
        <v>2874</v>
      </c>
      <c r="H265" s="6" t="s">
        <v>5555</v>
      </c>
      <c r="I265" s="6" t="s">
        <v>5556</v>
      </c>
      <c r="J265" s="6">
        <v>2</v>
      </c>
      <c r="K265" s="6">
        <v>25.95</v>
      </c>
      <c r="L265" s="6" t="s">
        <v>5557</v>
      </c>
      <c r="M265" s="6" t="s">
        <v>5558</v>
      </c>
      <c r="N265" s="6" t="s">
        <v>187</v>
      </c>
      <c r="O265" s="6" t="s">
        <v>5559</v>
      </c>
      <c r="P265" s="6" t="s">
        <v>5560</v>
      </c>
      <c r="Q265" s="6" t="s">
        <v>5560</v>
      </c>
      <c r="R265" s="6" t="s">
        <v>5560</v>
      </c>
      <c r="S265" s="6" t="s">
        <v>5561</v>
      </c>
      <c r="T265" s="6">
        <v>2345280</v>
      </c>
      <c r="U265" s="6">
        <v>3908800</v>
      </c>
      <c r="V265" s="6" t="s">
        <v>5562</v>
      </c>
      <c r="W265" s="6" t="s">
        <v>677</v>
      </c>
      <c r="X265" s="6" t="s">
        <v>5563</v>
      </c>
      <c r="Y265" s="6" t="s">
        <v>5564</v>
      </c>
      <c r="Z265" s="6" t="s">
        <v>64</v>
      </c>
      <c r="AA265" s="6" t="s">
        <v>65</v>
      </c>
      <c r="AB265" s="6" t="s">
        <v>397</v>
      </c>
      <c r="AC265" s="6" t="s">
        <v>67</v>
      </c>
      <c r="AD265" s="6" t="s">
        <v>607</v>
      </c>
      <c r="AE265" s="6" t="s">
        <v>69</v>
      </c>
      <c r="AF265" s="6" t="s">
        <v>1007</v>
      </c>
      <c r="AG265" s="6" t="s">
        <v>5565</v>
      </c>
      <c r="AH265" s="6">
        <v>5</v>
      </c>
      <c r="AI265" s="6" t="s">
        <v>237</v>
      </c>
      <c r="AJ265" s="6" t="s">
        <v>65</v>
      </c>
      <c r="AK265" s="6" t="s">
        <v>65</v>
      </c>
      <c r="AL265" s="6"/>
      <c r="AM265" s="6" t="s">
        <v>75</v>
      </c>
      <c r="AN265" s="6">
        <v>3127040</v>
      </c>
      <c r="AO265" s="10">
        <v>62540.800000000003</v>
      </c>
      <c r="AP265" s="6"/>
      <c r="AQ265" s="6"/>
      <c r="AR265" s="6"/>
      <c r="AS265" s="18" t="s">
        <v>6877</v>
      </c>
      <c r="AT265" s="18">
        <v>0</v>
      </c>
      <c r="AU265" s="21">
        <v>62541</v>
      </c>
      <c r="AV265" s="20">
        <v>-0.19999999999708962</v>
      </c>
      <c r="AW265" s="18" t="s">
        <v>6555</v>
      </c>
      <c r="AX265" s="18"/>
      <c r="AY265" s="18"/>
    </row>
    <row r="266" spans="1:51" x14ac:dyDescent="0.25">
      <c r="A266" s="7">
        <v>264</v>
      </c>
      <c r="B266" s="8" t="s">
        <v>1305</v>
      </c>
      <c r="C266" s="8" t="s">
        <v>5566</v>
      </c>
      <c r="D266" s="8" t="s">
        <v>912</v>
      </c>
      <c r="E266" s="8" t="s">
        <v>47</v>
      </c>
      <c r="F266" s="8" t="s">
        <v>48</v>
      </c>
      <c r="G266" s="8" t="s">
        <v>896</v>
      </c>
      <c r="H266" s="8" t="s">
        <v>5567</v>
      </c>
      <c r="I266" s="8" t="s">
        <v>5568</v>
      </c>
      <c r="J266" s="8">
        <v>1.5</v>
      </c>
      <c r="K266" s="8">
        <v>26.93</v>
      </c>
      <c r="L266" s="8" t="s">
        <v>5569</v>
      </c>
      <c r="M266" s="8" t="s">
        <v>5570</v>
      </c>
      <c r="N266" s="8" t="s">
        <v>5571</v>
      </c>
      <c r="O266" s="8" t="s">
        <v>5572</v>
      </c>
      <c r="P266" s="8" t="s">
        <v>5573</v>
      </c>
      <c r="Q266" s="8" t="s">
        <v>5574</v>
      </c>
      <c r="R266" s="8" t="s">
        <v>5575</v>
      </c>
      <c r="S266" s="8" t="s">
        <v>5576</v>
      </c>
      <c r="T266" s="8">
        <v>3239400</v>
      </c>
      <c r="U266" s="8">
        <v>5399000</v>
      </c>
      <c r="V266" s="8" t="s">
        <v>5577</v>
      </c>
      <c r="W266" s="8" t="s">
        <v>330</v>
      </c>
      <c r="X266" s="8" t="s">
        <v>5578</v>
      </c>
      <c r="Y266" s="8" t="s">
        <v>5579</v>
      </c>
      <c r="Z266" s="8" t="s">
        <v>64</v>
      </c>
      <c r="AA266" s="8" t="s">
        <v>65</v>
      </c>
      <c r="AB266" s="8" t="s">
        <v>116</v>
      </c>
      <c r="AC266" s="8" t="s">
        <v>151</v>
      </c>
      <c r="AD266" s="8" t="s">
        <v>4832</v>
      </c>
      <c r="AE266" s="8" t="s">
        <v>1539</v>
      </c>
      <c r="AF266" s="8" t="s">
        <v>2370</v>
      </c>
      <c r="AG266" s="8" t="s">
        <v>5580</v>
      </c>
      <c r="AH266" s="8">
        <v>7</v>
      </c>
      <c r="AI266" s="8" t="s">
        <v>65</v>
      </c>
      <c r="AJ266" s="8" t="s">
        <v>65</v>
      </c>
      <c r="AK266" s="8" t="s">
        <v>65</v>
      </c>
      <c r="AL266" s="8"/>
      <c r="AM266" s="8" t="s">
        <v>157</v>
      </c>
      <c r="AN266" s="8">
        <v>4049250</v>
      </c>
      <c r="AO266" s="11">
        <v>60738.75</v>
      </c>
      <c r="AP266" s="8"/>
      <c r="AQ266" s="8"/>
      <c r="AR266" s="8"/>
      <c r="AS266" s="18" t="s">
        <v>6815</v>
      </c>
      <c r="AT266" s="18"/>
      <c r="AU266" s="19">
        <v>60739</v>
      </c>
      <c r="AV266" s="20">
        <v>-0.25</v>
      </c>
      <c r="AW266" s="18" t="s">
        <v>6555</v>
      </c>
      <c r="AX266" s="18"/>
      <c r="AY266" s="18"/>
    </row>
    <row r="267" spans="1:51" x14ac:dyDescent="0.25">
      <c r="A267" s="5">
        <v>265</v>
      </c>
      <c r="B267" s="6" t="s">
        <v>1305</v>
      </c>
      <c r="C267" s="6" t="s">
        <v>5581</v>
      </c>
      <c r="D267" s="6" t="s">
        <v>77</v>
      </c>
      <c r="E267" s="6" t="s">
        <v>47</v>
      </c>
      <c r="F267" s="6" t="s">
        <v>48</v>
      </c>
      <c r="G267" s="6" t="s">
        <v>4033</v>
      </c>
      <c r="H267" s="6" t="s">
        <v>5582</v>
      </c>
      <c r="I267" s="6" t="s">
        <v>5583</v>
      </c>
      <c r="J267" s="6">
        <v>1.75</v>
      </c>
      <c r="K267" s="6">
        <v>25.94</v>
      </c>
      <c r="L267" s="6" t="s">
        <v>5584</v>
      </c>
      <c r="M267" s="6" t="s">
        <v>5585</v>
      </c>
      <c r="N267" s="6" t="s">
        <v>187</v>
      </c>
      <c r="O267" s="6" t="s">
        <v>5586</v>
      </c>
      <c r="P267" s="6" t="s">
        <v>5587</v>
      </c>
      <c r="Q267" s="6" t="s">
        <v>5587</v>
      </c>
      <c r="R267" s="6" t="s">
        <v>5587</v>
      </c>
      <c r="S267" s="6" t="s">
        <v>5588</v>
      </c>
      <c r="T267" s="6">
        <v>1927800</v>
      </c>
      <c r="U267" s="6">
        <v>2754000</v>
      </c>
      <c r="V267" s="6" t="s">
        <v>5589</v>
      </c>
      <c r="W267" s="6" t="s">
        <v>3275</v>
      </c>
      <c r="X267" s="6" t="s">
        <v>5590</v>
      </c>
      <c r="Y267" s="6" t="s">
        <v>5591</v>
      </c>
      <c r="Z267" s="6" t="s">
        <v>64</v>
      </c>
      <c r="AA267" s="6" t="s">
        <v>65</v>
      </c>
      <c r="AB267" s="6" t="s">
        <v>416</v>
      </c>
      <c r="AC267" s="6" t="s">
        <v>531</v>
      </c>
      <c r="AD267" s="6" t="s">
        <v>307</v>
      </c>
      <c r="AE267" s="6" t="s">
        <v>231</v>
      </c>
      <c r="AF267" s="6" t="s">
        <v>4995</v>
      </c>
      <c r="AG267" s="6" t="s">
        <v>5592</v>
      </c>
      <c r="AH267" s="6">
        <v>5</v>
      </c>
      <c r="AI267" s="6" t="s">
        <v>100</v>
      </c>
      <c r="AJ267" s="6" t="s">
        <v>5593</v>
      </c>
      <c r="AK267" s="6" t="s">
        <v>394</v>
      </c>
      <c r="AL267" s="6"/>
      <c r="AM267" s="6" t="s">
        <v>102</v>
      </c>
      <c r="AN267" s="6">
        <v>2340900</v>
      </c>
      <c r="AO267" s="10">
        <v>40965.750000000007</v>
      </c>
      <c r="AP267" s="6"/>
      <c r="AQ267" s="6"/>
      <c r="AR267" s="6"/>
      <c r="AS267" s="18" t="s">
        <v>6816</v>
      </c>
      <c r="AT267" s="18" t="s">
        <v>7005</v>
      </c>
      <c r="AU267" s="19">
        <v>36146</v>
      </c>
      <c r="AV267" s="20">
        <v>4819.7500000000073</v>
      </c>
      <c r="AW267" s="18" t="s">
        <v>6555</v>
      </c>
      <c r="AX267" s="18">
        <v>4820</v>
      </c>
      <c r="AY267" s="20">
        <v>-0.24999999999272404</v>
      </c>
    </row>
    <row r="268" spans="1:51" x14ac:dyDescent="0.25">
      <c r="A268" s="7">
        <v>266</v>
      </c>
      <c r="B268" s="8" t="s">
        <v>1305</v>
      </c>
      <c r="C268" s="8" t="s">
        <v>5594</v>
      </c>
      <c r="D268" s="8" t="s">
        <v>77</v>
      </c>
      <c r="E268" s="8" t="s">
        <v>47</v>
      </c>
      <c r="F268" s="8" t="s">
        <v>48</v>
      </c>
      <c r="G268" s="8" t="s">
        <v>1717</v>
      </c>
      <c r="H268" s="8" t="s">
        <v>5595</v>
      </c>
      <c r="I268" s="8" t="s">
        <v>5596</v>
      </c>
      <c r="J268" s="8">
        <v>1.75</v>
      </c>
      <c r="K268" s="8">
        <v>25.44</v>
      </c>
      <c r="L268" s="8" t="s">
        <v>5597</v>
      </c>
      <c r="M268" s="8" t="s">
        <v>5598</v>
      </c>
      <c r="N268" s="8" t="s">
        <v>187</v>
      </c>
      <c r="O268" s="8" t="s">
        <v>5599</v>
      </c>
      <c r="P268" s="8" t="s">
        <v>5600</v>
      </c>
      <c r="Q268" s="8" t="s">
        <v>5601</v>
      </c>
      <c r="R268" s="8" t="s">
        <v>5600</v>
      </c>
      <c r="S268" s="8" t="s">
        <v>5602</v>
      </c>
      <c r="T268" s="8">
        <v>910000</v>
      </c>
      <c r="U268" s="8">
        <v>1400000</v>
      </c>
      <c r="V268" s="8" t="s">
        <v>5603</v>
      </c>
      <c r="W268" s="8" t="s">
        <v>431</v>
      </c>
      <c r="X268" s="8" t="s">
        <v>5604</v>
      </c>
      <c r="Y268" s="8" t="s">
        <v>5605</v>
      </c>
      <c r="Z268" s="8" t="s">
        <v>93</v>
      </c>
      <c r="AA268" s="8" t="s">
        <v>5606</v>
      </c>
      <c r="AB268" s="8" t="s">
        <v>2406</v>
      </c>
      <c r="AC268" s="8" t="s">
        <v>96</v>
      </c>
      <c r="AD268" s="12">
        <v>45196</v>
      </c>
      <c r="AE268" s="8" t="s">
        <v>437</v>
      </c>
      <c r="AF268" s="8" t="s">
        <v>5607</v>
      </c>
      <c r="AG268" s="8" t="s">
        <v>5608</v>
      </c>
      <c r="AH268" s="8">
        <v>5</v>
      </c>
      <c r="AI268" s="8" t="s">
        <v>237</v>
      </c>
      <c r="AJ268" s="8" t="s">
        <v>5609</v>
      </c>
      <c r="AK268" s="8" t="s">
        <v>440</v>
      </c>
      <c r="AL268" s="8"/>
      <c r="AM268" s="8" t="s">
        <v>102</v>
      </c>
      <c r="AN268" s="8">
        <v>1260000</v>
      </c>
      <c r="AO268" s="11">
        <v>22050.000000000004</v>
      </c>
      <c r="AP268" s="8"/>
      <c r="AQ268" s="8"/>
      <c r="AR268" s="8"/>
      <c r="AS268" s="18" t="s">
        <v>6817</v>
      </c>
      <c r="AT268" s="18" t="s">
        <v>7006</v>
      </c>
      <c r="AU268" s="19">
        <v>19600</v>
      </c>
      <c r="AV268" s="20">
        <v>2450.0000000000036</v>
      </c>
      <c r="AW268" s="18" t="s">
        <v>6555</v>
      </c>
      <c r="AX268" s="18">
        <v>2450</v>
      </c>
      <c r="AY268" s="20">
        <v>3.637978807091713E-12</v>
      </c>
    </row>
    <row r="269" spans="1:51" x14ac:dyDescent="0.25">
      <c r="A269" s="5">
        <v>267</v>
      </c>
      <c r="B269" s="6" t="s">
        <v>1305</v>
      </c>
      <c r="C269" s="6" t="s">
        <v>5610</v>
      </c>
      <c r="D269" s="6" t="s">
        <v>77</v>
      </c>
      <c r="E269" s="6" t="s">
        <v>47</v>
      </c>
      <c r="F269" s="6" t="s">
        <v>48</v>
      </c>
      <c r="G269" s="6" t="s">
        <v>3955</v>
      </c>
      <c r="H269" s="6" t="s">
        <v>5611</v>
      </c>
      <c r="I269" s="6" t="s">
        <v>5612</v>
      </c>
      <c r="J269" s="6">
        <v>2</v>
      </c>
      <c r="K269" s="6">
        <v>25.69</v>
      </c>
      <c r="L269" s="6" t="s">
        <v>5613</v>
      </c>
      <c r="M269" s="6" t="s">
        <v>5614</v>
      </c>
      <c r="N269" s="6" t="s">
        <v>187</v>
      </c>
      <c r="O269" s="6" t="s">
        <v>5615</v>
      </c>
      <c r="P269" s="6" t="s">
        <v>5616</v>
      </c>
      <c r="Q269" s="6" t="s">
        <v>5616</v>
      </c>
      <c r="R269" s="6" t="s">
        <v>5616</v>
      </c>
      <c r="S269" s="6" t="s">
        <v>5617</v>
      </c>
      <c r="T269" s="6">
        <v>2544000</v>
      </c>
      <c r="U269" s="6">
        <v>3180000</v>
      </c>
      <c r="V269" s="6" t="s">
        <v>5618</v>
      </c>
      <c r="W269" s="6" t="s">
        <v>453</v>
      </c>
      <c r="X269" s="6" t="s">
        <v>5619</v>
      </c>
      <c r="Y269" s="6" t="s">
        <v>5620</v>
      </c>
      <c r="Z269" s="6" t="s">
        <v>64</v>
      </c>
      <c r="AA269" s="6" t="s">
        <v>65</v>
      </c>
      <c r="AB269" s="6" t="s">
        <v>5621</v>
      </c>
      <c r="AC269" s="6" t="s">
        <v>67</v>
      </c>
      <c r="AD269" s="6" t="s">
        <v>147</v>
      </c>
      <c r="AE269" s="6" t="s">
        <v>69</v>
      </c>
      <c r="AF269" s="6" t="s">
        <v>1007</v>
      </c>
      <c r="AG269" s="6" t="s">
        <v>5622</v>
      </c>
      <c r="AH269" s="6">
        <v>5</v>
      </c>
      <c r="AI269" s="6" t="s">
        <v>237</v>
      </c>
      <c r="AJ269" s="6" t="s">
        <v>5623</v>
      </c>
      <c r="AK269" s="6" t="s">
        <v>475</v>
      </c>
      <c r="AL269" s="6"/>
      <c r="AM269" s="6" t="s">
        <v>75</v>
      </c>
      <c r="AN269" s="6">
        <v>2544000</v>
      </c>
      <c r="AO269" s="10">
        <v>50880</v>
      </c>
      <c r="AP269" s="6"/>
      <c r="AQ269" s="6"/>
      <c r="AR269" s="6"/>
      <c r="AS269" s="18" t="s">
        <v>6818</v>
      </c>
      <c r="AT269" s="18"/>
      <c r="AU269" s="19">
        <v>50880</v>
      </c>
      <c r="AV269" s="20">
        <v>0</v>
      </c>
      <c r="AW269" s="18" t="s">
        <v>6555</v>
      </c>
      <c r="AX269" s="18"/>
      <c r="AY269" s="18"/>
    </row>
    <row r="270" spans="1:51" x14ac:dyDescent="0.25">
      <c r="A270" s="7">
        <v>268</v>
      </c>
      <c r="B270" s="8" t="s">
        <v>1305</v>
      </c>
      <c r="C270" s="8" t="s">
        <v>5624</v>
      </c>
      <c r="D270" s="8" t="s">
        <v>277</v>
      </c>
      <c r="E270" s="8" t="s">
        <v>47</v>
      </c>
      <c r="F270" s="8" t="s">
        <v>48</v>
      </c>
      <c r="G270" s="8" t="s">
        <v>2454</v>
      </c>
      <c r="H270" s="8" t="s">
        <v>5625</v>
      </c>
      <c r="I270" s="8" t="s">
        <v>5626</v>
      </c>
      <c r="J270" s="8">
        <v>1.75</v>
      </c>
      <c r="K270" s="8">
        <v>26.7</v>
      </c>
      <c r="L270" s="8" t="s">
        <v>5627</v>
      </c>
      <c r="M270" s="8" t="s">
        <v>5628</v>
      </c>
      <c r="N270" s="8" t="s">
        <v>83</v>
      </c>
      <c r="O270" s="8" t="s">
        <v>5629</v>
      </c>
      <c r="P270" s="8" t="s">
        <v>5630</v>
      </c>
      <c r="Q270" s="8" t="s">
        <v>5631</v>
      </c>
      <c r="R270" s="8" t="s">
        <v>5632</v>
      </c>
      <c r="S270" s="8" t="s">
        <v>5633</v>
      </c>
      <c r="T270" s="8">
        <v>1540000</v>
      </c>
      <c r="U270" s="8">
        <v>2200000</v>
      </c>
      <c r="V270" s="8" t="s">
        <v>5634</v>
      </c>
      <c r="W270" s="8" t="s">
        <v>3275</v>
      </c>
      <c r="X270" s="8" t="s">
        <v>5635</v>
      </c>
      <c r="Y270" s="8" t="s">
        <v>5636</v>
      </c>
      <c r="Z270" s="8" t="s">
        <v>93</v>
      </c>
      <c r="AA270" s="8" t="s">
        <v>5637</v>
      </c>
      <c r="AB270" s="8" t="s">
        <v>1696</v>
      </c>
      <c r="AC270" s="8" t="s">
        <v>175</v>
      </c>
      <c r="AD270" s="8" t="s">
        <v>211</v>
      </c>
      <c r="AE270" s="8" t="s">
        <v>98</v>
      </c>
      <c r="AF270" s="8" t="s">
        <v>2698</v>
      </c>
      <c r="AG270" s="8" t="s">
        <v>5638</v>
      </c>
      <c r="AH270" s="8">
        <v>5</v>
      </c>
      <c r="AI270" s="8" t="s">
        <v>100</v>
      </c>
      <c r="AJ270" s="8" t="s">
        <v>5639</v>
      </c>
      <c r="AK270" s="8" t="s">
        <v>375</v>
      </c>
      <c r="AL270" s="8"/>
      <c r="AM270" s="8" t="s">
        <v>102</v>
      </c>
      <c r="AN270" s="8">
        <v>1870000</v>
      </c>
      <c r="AO270" s="11">
        <v>32725.000000000004</v>
      </c>
      <c r="AP270" s="8"/>
      <c r="AQ270" s="8"/>
      <c r="AR270" s="8"/>
      <c r="AS270" s="18" t="s">
        <v>6819</v>
      </c>
      <c r="AT270" s="18" t="s">
        <v>7007</v>
      </c>
      <c r="AU270" s="19">
        <v>28875</v>
      </c>
      <c r="AV270" s="20">
        <v>3850.0000000000036</v>
      </c>
      <c r="AW270" s="18" t="s">
        <v>6555</v>
      </c>
      <c r="AX270" s="18">
        <v>3850</v>
      </c>
      <c r="AY270" s="20">
        <v>3.637978807091713E-12</v>
      </c>
    </row>
    <row r="271" spans="1:51" x14ac:dyDescent="0.25">
      <c r="A271" s="5">
        <v>269</v>
      </c>
      <c r="B271" s="6" t="s">
        <v>1305</v>
      </c>
      <c r="C271" s="6" t="s">
        <v>5640</v>
      </c>
      <c r="D271" s="6" t="s">
        <v>77</v>
      </c>
      <c r="E271" s="6" t="s">
        <v>47</v>
      </c>
      <c r="F271" s="6" t="s">
        <v>48</v>
      </c>
      <c r="G271" s="6" t="s">
        <v>1636</v>
      </c>
      <c r="H271" s="6" t="s">
        <v>5641</v>
      </c>
      <c r="I271" s="6" t="s">
        <v>5642</v>
      </c>
      <c r="J271" s="6">
        <v>1.5</v>
      </c>
      <c r="K271" s="6">
        <v>25.19</v>
      </c>
      <c r="L271" s="6" t="s">
        <v>5643</v>
      </c>
      <c r="M271" s="6" t="s">
        <v>5644</v>
      </c>
      <c r="N271" s="6" t="s">
        <v>83</v>
      </c>
      <c r="O271" s="6" t="s">
        <v>5645</v>
      </c>
      <c r="P271" s="6" t="s">
        <v>65</v>
      </c>
      <c r="Q271" s="6" t="s">
        <v>5646</v>
      </c>
      <c r="R271" s="6" t="s">
        <v>5646</v>
      </c>
      <c r="S271" s="6" t="s">
        <v>5647</v>
      </c>
      <c r="T271" s="6">
        <v>2940000</v>
      </c>
      <c r="U271" s="6">
        <v>4200000</v>
      </c>
      <c r="V271" s="6" t="s">
        <v>5648</v>
      </c>
      <c r="W271" s="6" t="s">
        <v>3275</v>
      </c>
      <c r="X271" s="6" t="s">
        <v>5649</v>
      </c>
      <c r="Y271" s="6" t="s">
        <v>5650</v>
      </c>
      <c r="Z271" s="6" t="s">
        <v>93</v>
      </c>
      <c r="AA271" s="6" t="s">
        <v>5651</v>
      </c>
      <c r="AB271" s="6" t="s">
        <v>378</v>
      </c>
      <c r="AC271" s="6" t="s">
        <v>67</v>
      </c>
      <c r="AD271" s="6" t="s">
        <v>231</v>
      </c>
      <c r="AE271" s="6" t="s">
        <v>231</v>
      </c>
      <c r="AF271" s="6" t="s">
        <v>2213</v>
      </c>
      <c r="AG271" s="6" t="s">
        <v>5652</v>
      </c>
      <c r="AH271" s="6">
        <v>3</v>
      </c>
      <c r="AI271" s="6" t="s">
        <v>100</v>
      </c>
      <c r="AJ271" s="6" t="s">
        <v>5653</v>
      </c>
      <c r="AK271" s="6" t="s">
        <v>5654</v>
      </c>
      <c r="AL271" s="6"/>
      <c r="AM271" s="6" t="s">
        <v>157</v>
      </c>
      <c r="AN271" s="6">
        <v>3570000</v>
      </c>
      <c r="AO271" s="10">
        <v>53550</v>
      </c>
      <c r="AP271" s="6"/>
      <c r="AQ271" s="6"/>
      <c r="AR271" s="6"/>
      <c r="AS271" s="18" t="s">
        <v>6820</v>
      </c>
      <c r="AT271" s="18"/>
      <c r="AU271" s="19">
        <v>53550</v>
      </c>
      <c r="AV271" s="20">
        <v>0</v>
      </c>
      <c r="AW271" s="18" t="s">
        <v>6555</v>
      </c>
      <c r="AX271" s="18"/>
      <c r="AY271" s="18"/>
    </row>
    <row r="272" spans="1:51" x14ac:dyDescent="0.25">
      <c r="A272" s="7">
        <v>270</v>
      </c>
      <c r="B272" s="8" t="s">
        <v>1305</v>
      </c>
      <c r="C272" s="8" t="s">
        <v>5655</v>
      </c>
      <c r="D272" s="8" t="s">
        <v>77</v>
      </c>
      <c r="E272" s="8" t="s">
        <v>47</v>
      </c>
      <c r="F272" s="8" t="s">
        <v>48</v>
      </c>
      <c r="G272" s="8" t="s">
        <v>5656</v>
      </c>
      <c r="H272" s="8" t="s">
        <v>5657</v>
      </c>
      <c r="I272" s="8" t="s">
        <v>5658</v>
      </c>
      <c r="J272" s="8">
        <v>1.5</v>
      </c>
      <c r="K272" s="8">
        <v>25.19</v>
      </c>
      <c r="L272" s="8" t="s">
        <v>5659</v>
      </c>
      <c r="M272" s="8" t="s">
        <v>5660</v>
      </c>
      <c r="N272" s="8" t="s">
        <v>901</v>
      </c>
      <c r="O272" s="8" t="s">
        <v>5661</v>
      </c>
      <c r="P272" s="8" t="s">
        <v>5662</v>
      </c>
      <c r="Q272" s="8" t="s">
        <v>5663</v>
      </c>
      <c r="R272" s="8" t="s">
        <v>5662</v>
      </c>
      <c r="S272" s="8" t="s">
        <v>5664</v>
      </c>
      <c r="T272" s="8">
        <v>2160400</v>
      </c>
      <c r="U272" s="8">
        <v>4910000</v>
      </c>
      <c r="V272" s="8" t="s">
        <v>5665</v>
      </c>
      <c r="W272" s="8" t="s">
        <v>3275</v>
      </c>
      <c r="X272" s="8" t="s">
        <v>5666</v>
      </c>
      <c r="Y272" s="8" t="s">
        <v>5667</v>
      </c>
      <c r="Z272" s="8" t="s">
        <v>93</v>
      </c>
      <c r="AA272" s="8" t="s">
        <v>5668</v>
      </c>
      <c r="AB272" s="8" t="s">
        <v>66</v>
      </c>
      <c r="AC272" s="8" t="s">
        <v>67</v>
      </c>
      <c r="AD272" s="8" t="s">
        <v>231</v>
      </c>
      <c r="AE272" s="8" t="s">
        <v>231</v>
      </c>
      <c r="AF272" s="8" t="s">
        <v>2213</v>
      </c>
      <c r="AG272" s="8" t="s">
        <v>5669</v>
      </c>
      <c r="AH272" s="8">
        <v>3</v>
      </c>
      <c r="AI272" s="8" t="s">
        <v>100</v>
      </c>
      <c r="AJ272" s="8" t="s">
        <v>5670</v>
      </c>
      <c r="AK272" s="8" t="s">
        <v>394</v>
      </c>
      <c r="AL272" s="8"/>
      <c r="AM272" s="8" t="s">
        <v>157</v>
      </c>
      <c r="AN272" s="8">
        <v>4173500</v>
      </c>
      <c r="AO272" s="11">
        <v>62602.5</v>
      </c>
      <c r="AP272" s="8"/>
      <c r="AQ272" s="8"/>
      <c r="AR272" s="8"/>
      <c r="AS272" s="18" t="s">
        <v>6821</v>
      </c>
      <c r="AT272" s="18"/>
      <c r="AU272" s="19">
        <v>62603</v>
      </c>
      <c r="AV272" s="20">
        <v>-0.5</v>
      </c>
      <c r="AW272" s="18" t="s">
        <v>6555</v>
      </c>
      <c r="AX272" s="18"/>
      <c r="AY272" s="18"/>
    </row>
    <row r="273" spans="1:51" x14ac:dyDescent="0.25">
      <c r="A273" s="5">
        <v>271</v>
      </c>
      <c r="B273" s="6" t="s">
        <v>1305</v>
      </c>
      <c r="C273" s="6" t="s">
        <v>5671</v>
      </c>
      <c r="D273" s="6" t="s">
        <v>77</v>
      </c>
      <c r="E273" s="6" t="s">
        <v>47</v>
      </c>
      <c r="F273" s="6" t="s">
        <v>48</v>
      </c>
      <c r="G273" s="6" t="s">
        <v>5672</v>
      </c>
      <c r="H273" s="6" t="s">
        <v>5673</v>
      </c>
      <c r="I273" s="6" t="s">
        <v>5674</v>
      </c>
      <c r="J273" s="6">
        <v>1.75</v>
      </c>
      <c r="K273" s="6">
        <v>25.69</v>
      </c>
      <c r="L273" s="6" t="s">
        <v>5675</v>
      </c>
      <c r="M273" s="6" t="s">
        <v>5676</v>
      </c>
      <c r="N273" s="6" t="s">
        <v>187</v>
      </c>
      <c r="O273" s="6" t="s">
        <v>5677</v>
      </c>
      <c r="P273" s="6" t="s">
        <v>5678</v>
      </c>
      <c r="Q273" s="6" t="s">
        <v>5678</v>
      </c>
      <c r="R273" s="6" t="s">
        <v>5678</v>
      </c>
      <c r="S273" s="6" t="s">
        <v>5679</v>
      </c>
      <c r="T273" s="6">
        <v>2736300</v>
      </c>
      <c r="U273" s="6">
        <v>3909000</v>
      </c>
      <c r="V273" s="6" t="s">
        <v>5680</v>
      </c>
      <c r="W273" s="6" t="s">
        <v>3275</v>
      </c>
      <c r="X273" s="6" t="s">
        <v>5681</v>
      </c>
      <c r="Y273" s="6" t="s">
        <v>5682</v>
      </c>
      <c r="Z273" s="6" t="s">
        <v>64</v>
      </c>
      <c r="AA273" s="6" t="s">
        <v>65</v>
      </c>
      <c r="AB273" s="6" t="s">
        <v>5683</v>
      </c>
      <c r="AC273" s="6" t="s">
        <v>531</v>
      </c>
      <c r="AD273" s="6" t="s">
        <v>307</v>
      </c>
      <c r="AE273" s="6" t="s">
        <v>231</v>
      </c>
      <c r="AF273" s="6" t="s">
        <v>2213</v>
      </c>
      <c r="AG273" s="6" t="s">
        <v>5684</v>
      </c>
      <c r="AH273" s="6">
        <v>3</v>
      </c>
      <c r="AI273" s="6" t="s">
        <v>100</v>
      </c>
      <c r="AJ273" s="6" t="s">
        <v>5685</v>
      </c>
      <c r="AK273" s="6" t="s">
        <v>394</v>
      </c>
      <c r="AL273" s="6"/>
      <c r="AM273" s="6" t="s">
        <v>102</v>
      </c>
      <c r="AN273" s="6">
        <v>3322650</v>
      </c>
      <c r="AO273" s="10">
        <v>58146.375000000007</v>
      </c>
      <c r="AP273" s="6"/>
      <c r="AQ273" s="6"/>
      <c r="AR273" s="6"/>
      <c r="AS273" s="18" t="s">
        <v>6822</v>
      </c>
      <c r="AT273" s="18"/>
      <c r="AU273" s="19">
        <v>58146</v>
      </c>
      <c r="AV273" s="20">
        <v>0.37500000000727596</v>
      </c>
      <c r="AW273" s="18" t="s">
        <v>6555</v>
      </c>
      <c r="AX273" s="18"/>
      <c r="AY273" s="18"/>
    </row>
    <row r="274" spans="1:51" x14ac:dyDescent="0.25">
      <c r="A274" s="7">
        <v>272</v>
      </c>
      <c r="B274" s="8" t="s">
        <v>1305</v>
      </c>
      <c r="C274" s="8" t="s">
        <v>5686</v>
      </c>
      <c r="D274" s="8" t="s">
        <v>277</v>
      </c>
      <c r="E274" s="8" t="s">
        <v>47</v>
      </c>
      <c r="F274" s="8" t="s">
        <v>48</v>
      </c>
      <c r="G274" s="8" t="s">
        <v>1717</v>
      </c>
      <c r="H274" s="8" t="s">
        <v>5687</v>
      </c>
      <c r="I274" s="8" t="s">
        <v>5688</v>
      </c>
      <c r="J274" s="8">
        <v>1.75</v>
      </c>
      <c r="K274" s="8">
        <v>26.69</v>
      </c>
      <c r="L274" s="8" t="s">
        <v>5689</v>
      </c>
      <c r="M274" s="8" t="s">
        <v>5690</v>
      </c>
      <c r="N274" s="8" t="s">
        <v>187</v>
      </c>
      <c r="O274" s="8" t="s">
        <v>5691</v>
      </c>
      <c r="P274" s="8" t="s">
        <v>5692</v>
      </c>
      <c r="Q274" s="8" t="s">
        <v>5692</v>
      </c>
      <c r="R274" s="8" t="s">
        <v>5692</v>
      </c>
      <c r="S274" s="8" t="s">
        <v>5693</v>
      </c>
      <c r="T274" s="8">
        <v>1295000</v>
      </c>
      <c r="U274" s="8">
        <v>1850000</v>
      </c>
      <c r="V274" s="8" t="s">
        <v>5694</v>
      </c>
      <c r="W274" s="8" t="s">
        <v>3275</v>
      </c>
      <c r="X274" s="8" t="s">
        <v>5695</v>
      </c>
      <c r="Y274" s="8" t="s">
        <v>5696</v>
      </c>
      <c r="Z274" s="8" t="s">
        <v>93</v>
      </c>
      <c r="AA274" s="8" t="s">
        <v>5697</v>
      </c>
      <c r="AB274" s="8" t="s">
        <v>4147</v>
      </c>
      <c r="AC274" s="8" t="s">
        <v>662</v>
      </c>
      <c r="AD274" s="8" t="s">
        <v>307</v>
      </c>
      <c r="AE274" s="8" t="s">
        <v>231</v>
      </c>
      <c r="AF274" s="8" t="s">
        <v>4995</v>
      </c>
      <c r="AG274" s="8" t="s">
        <v>5698</v>
      </c>
      <c r="AH274" s="8">
        <v>5</v>
      </c>
      <c r="AI274" s="8" t="s">
        <v>72</v>
      </c>
      <c r="AJ274" s="8" t="s">
        <v>5699</v>
      </c>
      <c r="AK274" s="8" t="s">
        <v>394</v>
      </c>
      <c r="AL274" s="8"/>
      <c r="AM274" s="8" t="s">
        <v>102</v>
      </c>
      <c r="AN274" s="8">
        <v>1572500</v>
      </c>
      <c r="AO274" s="11">
        <v>27518.750000000004</v>
      </c>
      <c r="AP274" s="8"/>
      <c r="AQ274" s="8"/>
      <c r="AR274" s="8"/>
      <c r="AS274" s="18" t="s">
        <v>6823</v>
      </c>
      <c r="AT274" s="18" t="s">
        <v>7008</v>
      </c>
      <c r="AU274" s="19">
        <v>24281</v>
      </c>
      <c r="AV274" s="20">
        <v>3237.7500000000036</v>
      </c>
      <c r="AW274" s="18" t="s">
        <v>6555</v>
      </c>
      <c r="AX274" s="18">
        <v>3238</v>
      </c>
      <c r="AY274" s="20">
        <v>-0.24999999999636202</v>
      </c>
    </row>
    <row r="275" spans="1:51" x14ac:dyDescent="0.25">
      <c r="A275" s="5">
        <v>273</v>
      </c>
      <c r="B275" s="6" t="s">
        <v>1305</v>
      </c>
      <c r="C275" s="6" t="s">
        <v>5728</v>
      </c>
      <c r="D275" s="6" t="s">
        <v>77</v>
      </c>
      <c r="E275" s="6" t="s">
        <v>47</v>
      </c>
      <c r="F275" s="6" t="s">
        <v>48</v>
      </c>
      <c r="G275" s="6" t="s">
        <v>516</v>
      </c>
      <c r="H275" s="6" t="s">
        <v>5729</v>
      </c>
      <c r="I275" s="6" t="s">
        <v>5730</v>
      </c>
      <c r="J275" s="6">
        <v>2</v>
      </c>
      <c r="K275" s="6">
        <v>25.69</v>
      </c>
      <c r="L275" s="6" t="s">
        <v>5731</v>
      </c>
      <c r="M275" s="6" t="s">
        <v>5732</v>
      </c>
      <c r="N275" s="6" t="s">
        <v>187</v>
      </c>
      <c r="O275" s="6" t="s">
        <v>5733</v>
      </c>
      <c r="P275" s="6" t="s">
        <v>5734</v>
      </c>
      <c r="Q275" s="6" t="s">
        <v>5735</v>
      </c>
      <c r="R275" s="6" t="s">
        <v>5736</v>
      </c>
      <c r="S275" s="6" t="s">
        <v>5737</v>
      </c>
      <c r="T275" s="6">
        <v>2765000</v>
      </c>
      <c r="U275" s="6">
        <v>3950000</v>
      </c>
      <c r="V275" s="6" t="s">
        <v>5738</v>
      </c>
      <c r="W275" s="6" t="s">
        <v>453</v>
      </c>
      <c r="X275" s="6" t="s">
        <v>5739</v>
      </c>
      <c r="Y275" s="6" t="s">
        <v>5740</v>
      </c>
      <c r="Z275" s="6" t="s">
        <v>93</v>
      </c>
      <c r="AA275" s="6" t="s">
        <v>5741</v>
      </c>
      <c r="AB275" s="6" t="s">
        <v>5742</v>
      </c>
      <c r="AC275" s="6" t="s">
        <v>151</v>
      </c>
      <c r="AD275" s="6" t="s">
        <v>133</v>
      </c>
      <c r="AE275" s="6" t="s">
        <v>69</v>
      </c>
      <c r="AF275" s="6" t="s">
        <v>1007</v>
      </c>
      <c r="AG275" s="6" t="s">
        <v>5743</v>
      </c>
      <c r="AH275" s="6">
        <v>5</v>
      </c>
      <c r="AI275" s="6" t="s">
        <v>237</v>
      </c>
      <c r="AJ275" s="6" t="s">
        <v>5744</v>
      </c>
      <c r="AK275" s="6" t="s">
        <v>74</v>
      </c>
      <c r="AL275" s="6"/>
      <c r="AM275" s="6" t="s">
        <v>75</v>
      </c>
      <c r="AN275" s="6">
        <v>3160000</v>
      </c>
      <c r="AO275" s="10">
        <v>63200</v>
      </c>
      <c r="AP275" s="6"/>
      <c r="AQ275" s="6"/>
      <c r="AR275" s="6"/>
      <c r="AS275" s="18" t="s">
        <v>6824</v>
      </c>
      <c r="AT275" s="18"/>
      <c r="AU275" s="19">
        <v>63200</v>
      </c>
      <c r="AV275" s="20">
        <v>0</v>
      </c>
      <c r="AW275" s="18" t="s">
        <v>6555</v>
      </c>
      <c r="AX275" s="18"/>
      <c r="AY275" s="18"/>
    </row>
    <row r="276" spans="1:51" x14ac:dyDescent="0.25">
      <c r="A276" s="7">
        <v>274</v>
      </c>
      <c r="B276" s="8" t="s">
        <v>1305</v>
      </c>
      <c r="C276" s="8" t="s">
        <v>5745</v>
      </c>
      <c r="D276" s="8" t="s">
        <v>77</v>
      </c>
      <c r="E276" s="8" t="s">
        <v>47</v>
      </c>
      <c r="F276" s="8" t="s">
        <v>48</v>
      </c>
      <c r="G276" s="8" t="s">
        <v>3351</v>
      </c>
      <c r="H276" s="8" t="s">
        <v>5746</v>
      </c>
      <c r="I276" s="8" t="s">
        <v>5747</v>
      </c>
      <c r="J276" s="8">
        <v>2</v>
      </c>
      <c r="K276" s="8">
        <v>26.05</v>
      </c>
      <c r="L276" s="8" t="s">
        <v>5748</v>
      </c>
      <c r="M276" s="8" t="s">
        <v>5749</v>
      </c>
      <c r="N276" s="8" t="s">
        <v>54</v>
      </c>
      <c r="O276" s="8" t="s">
        <v>5750</v>
      </c>
      <c r="P276" s="8" t="s">
        <v>5751</v>
      </c>
      <c r="Q276" s="8" t="s">
        <v>5752</v>
      </c>
      <c r="R276" s="8" t="s">
        <v>5751</v>
      </c>
      <c r="S276" s="8" t="s">
        <v>5753</v>
      </c>
      <c r="T276" s="8">
        <v>2593200</v>
      </c>
      <c r="U276" s="8">
        <v>4322000</v>
      </c>
      <c r="V276" s="8" t="s">
        <v>5754</v>
      </c>
      <c r="W276" s="8" t="s">
        <v>453</v>
      </c>
      <c r="X276" s="8" t="s">
        <v>5755</v>
      </c>
      <c r="Y276" s="8" t="s">
        <v>5756</v>
      </c>
      <c r="Z276" s="8" t="s">
        <v>64</v>
      </c>
      <c r="AA276" s="8" t="s">
        <v>65</v>
      </c>
      <c r="AB276" s="8" t="s">
        <v>1368</v>
      </c>
      <c r="AC276" s="8" t="s">
        <v>67</v>
      </c>
      <c r="AD276" s="8" t="s">
        <v>74</v>
      </c>
      <c r="AE276" s="8" t="s">
        <v>69</v>
      </c>
      <c r="AF276" s="8" t="s">
        <v>1007</v>
      </c>
      <c r="AG276" s="8" t="s">
        <v>5757</v>
      </c>
      <c r="AH276" s="8">
        <v>5</v>
      </c>
      <c r="AI276" s="8" t="s">
        <v>65</v>
      </c>
      <c r="AJ276" s="8" t="s">
        <v>65</v>
      </c>
      <c r="AK276" s="8" t="s">
        <v>65</v>
      </c>
      <c r="AL276" s="8"/>
      <c r="AM276" s="8" t="s">
        <v>75</v>
      </c>
      <c r="AN276" s="8">
        <v>3457600</v>
      </c>
      <c r="AO276" s="11">
        <v>69152</v>
      </c>
      <c r="AP276" s="8"/>
      <c r="AQ276" s="8"/>
      <c r="AR276" s="8"/>
      <c r="AS276" s="18" t="s">
        <v>6825</v>
      </c>
      <c r="AT276" s="18"/>
      <c r="AU276" s="19">
        <v>69152</v>
      </c>
      <c r="AV276" s="20">
        <v>0</v>
      </c>
      <c r="AW276" s="18" t="s">
        <v>6555</v>
      </c>
      <c r="AX276" s="18"/>
      <c r="AY276" s="18"/>
    </row>
    <row r="277" spans="1:51" x14ac:dyDescent="0.25">
      <c r="A277" s="5">
        <v>275</v>
      </c>
      <c r="B277" s="6" t="s">
        <v>1305</v>
      </c>
      <c r="C277" s="6" t="s">
        <v>5758</v>
      </c>
      <c r="D277" s="6" t="s">
        <v>136</v>
      </c>
      <c r="E277" s="6" t="s">
        <v>47</v>
      </c>
      <c r="F277" s="6" t="s">
        <v>48</v>
      </c>
      <c r="G277" s="6" t="s">
        <v>2951</v>
      </c>
      <c r="H277" s="6" t="s">
        <v>5759</v>
      </c>
      <c r="I277" s="6" t="s">
        <v>5760</v>
      </c>
      <c r="J277" s="6">
        <v>2</v>
      </c>
      <c r="K277" s="6">
        <v>26.93</v>
      </c>
      <c r="L277" s="6" t="s">
        <v>5761</v>
      </c>
      <c r="M277" s="6" t="s">
        <v>5762</v>
      </c>
      <c r="N277" s="6" t="s">
        <v>164</v>
      </c>
      <c r="O277" s="6" t="s">
        <v>5763</v>
      </c>
      <c r="P277" s="6" t="s">
        <v>5764</v>
      </c>
      <c r="Q277" s="6" t="s">
        <v>65</v>
      </c>
      <c r="R277" s="6" t="s">
        <v>5765</v>
      </c>
      <c r="S277" s="6" t="s">
        <v>5766</v>
      </c>
      <c r="T277" s="6">
        <v>1084800</v>
      </c>
      <c r="U277" s="6">
        <v>1695000</v>
      </c>
      <c r="V277" s="6" t="s">
        <v>146</v>
      </c>
      <c r="W277" s="6" t="s">
        <v>728</v>
      </c>
      <c r="X277" s="6" t="s">
        <v>5767</v>
      </c>
      <c r="Y277" s="6" t="s">
        <v>5768</v>
      </c>
      <c r="Z277" s="6" t="s">
        <v>64</v>
      </c>
      <c r="AA277" s="6" t="s">
        <v>65</v>
      </c>
      <c r="AB277" s="6" t="s">
        <v>1746</v>
      </c>
      <c r="AC277" s="6" t="s">
        <v>151</v>
      </c>
      <c r="AD277" s="6" t="s">
        <v>5769</v>
      </c>
      <c r="AE277" s="6" t="s">
        <v>288</v>
      </c>
      <c r="AF277" s="6" t="s">
        <v>4995</v>
      </c>
      <c r="AG277" s="6" t="s">
        <v>5770</v>
      </c>
      <c r="AH277" s="6">
        <v>7</v>
      </c>
      <c r="AI277" s="6" t="s">
        <v>100</v>
      </c>
      <c r="AJ277" s="6" t="s">
        <v>5771</v>
      </c>
      <c r="AK277" s="6" t="s">
        <v>619</v>
      </c>
      <c r="AL277" s="6"/>
      <c r="AM277" s="6" t="s">
        <v>75</v>
      </c>
      <c r="AN277" s="6">
        <v>1271250</v>
      </c>
      <c r="AO277" s="10">
        <v>25425</v>
      </c>
      <c r="AP277" s="6"/>
      <c r="AQ277" s="6"/>
      <c r="AR277" s="6"/>
      <c r="AS277" s="18" t="s">
        <v>6826</v>
      </c>
      <c r="AT277" s="18"/>
      <c r="AU277" s="19">
        <v>25425</v>
      </c>
      <c r="AV277" s="20">
        <v>0</v>
      </c>
      <c r="AW277" s="18" t="s">
        <v>6555</v>
      </c>
      <c r="AX277" s="18"/>
      <c r="AY277" s="18"/>
    </row>
    <row r="278" spans="1:51" x14ac:dyDescent="0.25">
      <c r="A278" s="7">
        <v>276</v>
      </c>
      <c r="B278" s="8" t="s">
        <v>1305</v>
      </c>
      <c r="C278" s="8" t="s">
        <v>5772</v>
      </c>
      <c r="D278" s="8" t="s">
        <v>136</v>
      </c>
      <c r="E278" s="8" t="s">
        <v>47</v>
      </c>
      <c r="F278" s="8" t="s">
        <v>48</v>
      </c>
      <c r="G278" s="8" t="s">
        <v>1166</v>
      </c>
      <c r="H278" s="8" t="s">
        <v>5773</v>
      </c>
      <c r="I278" s="8" t="s">
        <v>5774</v>
      </c>
      <c r="J278" s="8">
        <v>2</v>
      </c>
      <c r="K278" s="8">
        <v>26.93</v>
      </c>
      <c r="L278" s="8" t="s">
        <v>5775</v>
      </c>
      <c r="M278" s="8" t="s">
        <v>5776</v>
      </c>
      <c r="N278" s="8" t="s">
        <v>187</v>
      </c>
      <c r="O278" s="8" t="s">
        <v>5777</v>
      </c>
      <c r="P278" s="8" t="s">
        <v>5778</v>
      </c>
      <c r="Q278" s="8" t="s">
        <v>5778</v>
      </c>
      <c r="R278" s="8" t="s">
        <v>5778</v>
      </c>
      <c r="S278" s="8" t="s">
        <v>5779</v>
      </c>
      <c r="T278" s="8">
        <v>2476200</v>
      </c>
      <c r="U278" s="8">
        <v>4127000</v>
      </c>
      <c r="V278" s="8" t="s">
        <v>5780</v>
      </c>
      <c r="W278" s="8" t="s">
        <v>604</v>
      </c>
      <c r="X278" s="8" t="s">
        <v>5781</v>
      </c>
      <c r="Y278" s="8" t="s">
        <v>5782</v>
      </c>
      <c r="Z278" s="8" t="s">
        <v>64</v>
      </c>
      <c r="AA278" s="8" t="s">
        <v>65</v>
      </c>
      <c r="AB278" s="8" t="s">
        <v>5783</v>
      </c>
      <c r="AC278" s="8" t="s">
        <v>151</v>
      </c>
      <c r="AD278" s="8" t="s">
        <v>2229</v>
      </c>
      <c r="AE278" s="8" t="s">
        <v>288</v>
      </c>
      <c r="AF278" s="8" t="s">
        <v>2213</v>
      </c>
      <c r="AG278" s="8" t="s">
        <v>5784</v>
      </c>
      <c r="AH278" s="8">
        <v>5</v>
      </c>
      <c r="AI278" s="8" t="s">
        <v>237</v>
      </c>
      <c r="AJ278" s="8" t="s">
        <v>5785</v>
      </c>
      <c r="AK278" s="8" t="s">
        <v>4832</v>
      </c>
      <c r="AL278" s="8"/>
      <c r="AM278" s="8" t="s">
        <v>75</v>
      </c>
      <c r="AN278" s="8">
        <v>3095250</v>
      </c>
      <c r="AO278" s="11">
        <v>61905</v>
      </c>
      <c r="AP278" s="8"/>
      <c r="AQ278" s="8"/>
      <c r="AR278" s="8"/>
      <c r="AS278" s="18" t="s">
        <v>6827</v>
      </c>
      <c r="AT278" s="18" t="s">
        <v>7009</v>
      </c>
      <c r="AU278" s="19">
        <v>70159</v>
      </c>
      <c r="AV278" s="20">
        <v>-8254</v>
      </c>
      <c r="AW278" s="18" t="s">
        <v>6555</v>
      </c>
      <c r="AX278" s="18">
        <v>-8254</v>
      </c>
      <c r="AY278" s="20">
        <v>0</v>
      </c>
    </row>
    <row r="279" spans="1:51" x14ac:dyDescent="0.25">
      <c r="A279" s="5">
        <v>277</v>
      </c>
      <c r="B279" s="6" t="s">
        <v>1305</v>
      </c>
      <c r="C279" s="6" t="s">
        <v>5786</v>
      </c>
      <c r="D279" s="6" t="s">
        <v>46</v>
      </c>
      <c r="E279" s="6" t="s">
        <v>47</v>
      </c>
      <c r="F279" s="6" t="s">
        <v>48</v>
      </c>
      <c r="G279" s="6" t="s">
        <v>49</v>
      </c>
      <c r="H279" s="6" t="s">
        <v>5787</v>
      </c>
      <c r="I279" s="6" t="s">
        <v>5788</v>
      </c>
      <c r="J279" s="6">
        <v>2</v>
      </c>
      <c r="K279" s="6">
        <v>25.95</v>
      </c>
      <c r="L279" s="6" t="s">
        <v>5789</v>
      </c>
      <c r="M279" s="6" t="s">
        <v>5790</v>
      </c>
      <c r="N279" s="6" t="s">
        <v>54</v>
      </c>
      <c r="O279" s="6" t="s">
        <v>5791</v>
      </c>
      <c r="P279" s="6" t="s">
        <v>5792</v>
      </c>
      <c r="Q279" s="6" t="s">
        <v>5793</v>
      </c>
      <c r="R279" s="6" t="s">
        <v>5792</v>
      </c>
      <c r="S279" s="6" t="s">
        <v>5794</v>
      </c>
      <c r="T279" s="6">
        <v>1836100</v>
      </c>
      <c r="U279" s="6">
        <v>2623000</v>
      </c>
      <c r="V279" s="6" t="s">
        <v>5795</v>
      </c>
      <c r="W279" s="6" t="s">
        <v>453</v>
      </c>
      <c r="X279" s="6" t="s">
        <v>5796</v>
      </c>
      <c r="Y279" s="6" t="s">
        <v>5797</v>
      </c>
      <c r="Z279" s="6" t="s">
        <v>64</v>
      </c>
      <c r="AA279" s="6" t="s">
        <v>65</v>
      </c>
      <c r="AB279" s="6" t="s">
        <v>5798</v>
      </c>
      <c r="AC279" s="6" t="s">
        <v>67</v>
      </c>
      <c r="AD279" s="6" t="s">
        <v>2323</v>
      </c>
      <c r="AE279" s="6" t="s">
        <v>69</v>
      </c>
      <c r="AF279" s="6" t="s">
        <v>1007</v>
      </c>
      <c r="AG279" s="6" t="s">
        <v>5799</v>
      </c>
      <c r="AH279" s="6">
        <v>5</v>
      </c>
      <c r="AI279" s="6" t="s">
        <v>237</v>
      </c>
      <c r="AJ279" s="6" t="s">
        <v>5800</v>
      </c>
      <c r="AK279" s="6" t="s">
        <v>604</v>
      </c>
      <c r="AL279" s="6"/>
      <c r="AM279" s="6" t="s">
        <v>75</v>
      </c>
      <c r="AN279" s="6">
        <v>2098400</v>
      </c>
      <c r="AO279" s="10">
        <v>41968</v>
      </c>
      <c r="AP279" s="6"/>
      <c r="AQ279" s="6"/>
      <c r="AR279" s="6"/>
      <c r="AS279" s="18" t="s">
        <v>6828</v>
      </c>
      <c r="AT279" s="18"/>
      <c r="AU279" s="19">
        <v>41968</v>
      </c>
      <c r="AV279" s="20">
        <v>0</v>
      </c>
      <c r="AW279" s="18" t="s">
        <v>6555</v>
      </c>
      <c r="AX279" s="18"/>
      <c r="AY279" s="18"/>
    </row>
    <row r="280" spans="1:51" x14ac:dyDescent="0.25">
      <c r="A280" s="7">
        <v>278</v>
      </c>
      <c r="B280" s="8" t="s">
        <v>1305</v>
      </c>
      <c r="C280" s="8" t="s">
        <v>5801</v>
      </c>
      <c r="D280" s="8" t="s">
        <v>46</v>
      </c>
      <c r="E280" s="8" t="s">
        <v>47</v>
      </c>
      <c r="F280" s="8" t="s">
        <v>48</v>
      </c>
      <c r="G280" s="8" t="s">
        <v>1080</v>
      </c>
      <c r="H280" s="8" t="s">
        <v>5802</v>
      </c>
      <c r="I280" s="8" t="s">
        <v>5803</v>
      </c>
      <c r="J280" s="8">
        <v>1.75</v>
      </c>
      <c r="K280" s="8">
        <v>25.79</v>
      </c>
      <c r="L280" s="8" t="s">
        <v>5804</v>
      </c>
      <c r="M280" s="8" t="s">
        <v>5805</v>
      </c>
      <c r="N280" s="8" t="s">
        <v>578</v>
      </c>
      <c r="O280" s="8" t="s">
        <v>5806</v>
      </c>
      <c r="P280" s="8" t="s">
        <v>5807</v>
      </c>
      <c r="Q280" s="8" t="s">
        <v>5808</v>
      </c>
      <c r="R280" s="8" t="s">
        <v>65</v>
      </c>
      <c r="S280" s="8" t="s">
        <v>5809</v>
      </c>
      <c r="T280" s="8">
        <v>1759800</v>
      </c>
      <c r="U280" s="8">
        <v>2933000</v>
      </c>
      <c r="V280" s="8" t="s">
        <v>5810</v>
      </c>
      <c r="W280" s="8" t="s">
        <v>453</v>
      </c>
      <c r="X280" s="8" t="s">
        <v>5811</v>
      </c>
      <c r="Y280" s="8" t="s">
        <v>5812</v>
      </c>
      <c r="Z280" s="8" t="s">
        <v>64</v>
      </c>
      <c r="AA280" s="8" t="s">
        <v>65</v>
      </c>
      <c r="AB280" s="8" t="s">
        <v>3561</v>
      </c>
      <c r="AC280" s="8" t="s">
        <v>67</v>
      </c>
      <c r="AD280" s="8" t="s">
        <v>196</v>
      </c>
      <c r="AE280" s="8" t="s">
        <v>399</v>
      </c>
      <c r="AF280" s="8" t="s">
        <v>1354</v>
      </c>
      <c r="AG280" s="8" t="s">
        <v>5813</v>
      </c>
      <c r="AH280" s="8">
        <v>5</v>
      </c>
      <c r="AI280" s="8" t="s">
        <v>198</v>
      </c>
      <c r="AJ280" s="8" t="s">
        <v>5814</v>
      </c>
      <c r="AK280" s="8" t="s">
        <v>475</v>
      </c>
      <c r="AL280" s="8"/>
      <c r="AM280" s="8" t="s">
        <v>102</v>
      </c>
      <c r="AN280" s="8">
        <v>2346400</v>
      </c>
      <c r="AO280" s="11">
        <v>41062.000000000007</v>
      </c>
      <c r="AP280" s="8"/>
      <c r="AQ280" s="8"/>
      <c r="AR280" s="8"/>
      <c r="AS280" s="18" t="s">
        <v>6829</v>
      </c>
      <c r="AT280" s="18"/>
      <c r="AU280" s="19">
        <v>41062</v>
      </c>
      <c r="AV280" s="20">
        <v>0</v>
      </c>
      <c r="AW280" s="18" t="s">
        <v>6555</v>
      </c>
      <c r="AX280" s="18"/>
      <c r="AY280" s="18"/>
    </row>
    <row r="281" spans="1:51" x14ac:dyDescent="0.25">
      <c r="A281" s="5">
        <v>279</v>
      </c>
      <c r="B281" s="6" t="s">
        <v>1305</v>
      </c>
      <c r="C281" s="6" t="s">
        <v>5815</v>
      </c>
      <c r="D281" s="6" t="s">
        <v>912</v>
      </c>
      <c r="E281" s="6" t="s">
        <v>47</v>
      </c>
      <c r="F281" s="6" t="s">
        <v>48</v>
      </c>
      <c r="G281" s="6" t="s">
        <v>2100</v>
      </c>
      <c r="H281" s="6" t="s">
        <v>5816</v>
      </c>
      <c r="I281" s="6" t="s">
        <v>5817</v>
      </c>
      <c r="J281" s="6">
        <v>1.5</v>
      </c>
      <c r="K281" s="6">
        <v>26.68</v>
      </c>
      <c r="L281" s="6" t="s">
        <v>5818</v>
      </c>
      <c r="M281" s="6" t="s">
        <v>5819</v>
      </c>
      <c r="N281" s="6" t="s">
        <v>578</v>
      </c>
      <c r="O281" s="6" t="s">
        <v>5820</v>
      </c>
      <c r="P281" s="6" t="s">
        <v>1016</v>
      </c>
      <c r="Q281" s="6" t="s">
        <v>5821</v>
      </c>
      <c r="R281" s="6" t="s">
        <v>5822</v>
      </c>
      <c r="S281" s="6" t="s">
        <v>5823</v>
      </c>
      <c r="T281" s="6">
        <v>2888900</v>
      </c>
      <c r="U281" s="6">
        <v>4127000</v>
      </c>
      <c r="V281" s="6" t="s">
        <v>146</v>
      </c>
      <c r="W281" s="6" t="s">
        <v>728</v>
      </c>
      <c r="X281" s="6" t="s">
        <v>5824</v>
      </c>
      <c r="Y281" s="6" t="s">
        <v>5825</v>
      </c>
      <c r="Z281" s="6" t="s">
        <v>64</v>
      </c>
      <c r="AA281" s="6" t="s">
        <v>65</v>
      </c>
      <c r="AB281" s="6" t="s">
        <v>150</v>
      </c>
      <c r="AC281" s="6" t="s">
        <v>151</v>
      </c>
      <c r="AD281" s="6" t="s">
        <v>358</v>
      </c>
      <c r="AE281" s="6" t="s">
        <v>288</v>
      </c>
      <c r="AF281" s="6" t="s">
        <v>2213</v>
      </c>
      <c r="AG281" s="6" t="s">
        <v>5826</v>
      </c>
      <c r="AH281" s="6">
        <v>5</v>
      </c>
      <c r="AI281" s="6" t="s">
        <v>100</v>
      </c>
      <c r="AJ281" s="6" t="s">
        <v>5827</v>
      </c>
      <c r="AK281" s="6" t="s">
        <v>619</v>
      </c>
      <c r="AL281" s="6"/>
      <c r="AM281" s="6" t="s">
        <v>157</v>
      </c>
      <c r="AN281" s="6">
        <v>3095250</v>
      </c>
      <c r="AO281" s="10">
        <v>46428.75</v>
      </c>
      <c r="AP281" s="6"/>
      <c r="AQ281" s="6"/>
      <c r="AR281" s="6"/>
      <c r="AS281" s="18" t="s">
        <v>6830</v>
      </c>
      <c r="AT281" s="18" t="s">
        <v>7010</v>
      </c>
      <c r="AU281" s="19">
        <v>52619</v>
      </c>
      <c r="AV281" s="20">
        <v>-6190.25</v>
      </c>
      <c r="AW281" s="18" t="s">
        <v>6555</v>
      </c>
      <c r="AX281" s="18">
        <v>-6191</v>
      </c>
      <c r="AY281" s="20">
        <v>0.75</v>
      </c>
    </row>
    <row r="282" spans="1:51" x14ac:dyDescent="0.25">
      <c r="A282" s="7">
        <v>280</v>
      </c>
      <c r="B282" s="8" t="s">
        <v>1305</v>
      </c>
      <c r="C282" s="8" t="s">
        <v>5828</v>
      </c>
      <c r="D282" s="8" t="s">
        <v>46</v>
      </c>
      <c r="E282" s="8" t="s">
        <v>47</v>
      </c>
      <c r="F282" s="8" t="s">
        <v>48</v>
      </c>
      <c r="G282" s="8" t="s">
        <v>5829</v>
      </c>
      <c r="H282" s="8" t="s">
        <v>5830</v>
      </c>
      <c r="I282" s="8" t="s">
        <v>5831</v>
      </c>
      <c r="J282" s="8">
        <v>2</v>
      </c>
      <c r="K282" s="8">
        <v>25.79</v>
      </c>
      <c r="L282" s="8" t="s">
        <v>5832</v>
      </c>
      <c r="M282" s="8" t="s">
        <v>5833</v>
      </c>
      <c r="N282" s="8" t="s">
        <v>578</v>
      </c>
      <c r="O282" s="8" t="s">
        <v>5834</v>
      </c>
      <c r="P282" s="8" t="s">
        <v>65</v>
      </c>
      <c r="Q282" s="8" t="s">
        <v>5835</v>
      </c>
      <c r="R282" s="8" t="s">
        <v>65</v>
      </c>
      <c r="S282" s="8" t="s">
        <v>5836</v>
      </c>
      <c r="T282" s="8">
        <v>1379000</v>
      </c>
      <c r="U282" s="8">
        <v>1970000</v>
      </c>
      <c r="V282" s="8" t="s">
        <v>5837</v>
      </c>
      <c r="W282" s="8" t="s">
        <v>453</v>
      </c>
      <c r="X282" s="8" t="s">
        <v>5838</v>
      </c>
      <c r="Y282" s="8" t="s">
        <v>5839</v>
      </c>
      <c r="Z282" s="8" t="s">
        <v>64</v>
      </c>
      <c r="AA282" s="8" t="s">
        <v>65</v>
      </c>
      <c r="AB282" s="8" t="s">
        <v>489</v>
      </c>
      <c r="AC282" s="8" t="s">
        <v>67</v>
      </c>
      <c r="AD282" s="8" t="s">
        <v>1039</v>
      </c>
      <c r="AE282" s="8" t="s">
        <v>399</v>
      </c>
      <c r="AF282" s="8" t="s">
        <v>1354</v>
      </c>
      <c r="AG282" s="8" t="s">
        <v>5840</v>
      </c>
      <c r="AH282" s="8">
        <v>5</v>
      </c>
      <c r="AI282" s="8" t="s">
        <v>237</v>
      </c>
      <c r="AJ282" s="8" t="s">
        <v>5841</v>
      </c>
      <c r="AK282" s="8" t="s">
        <v>475</v>
      </c>
      <c r="AL282" s="8"/>
      <c r="AM282" s="8" t="s">
        <v>75</v>
      </c>
      <c r="AN282" s="8">
        <v>1576000</v>
      </c>
      <c r="AO282" s="11">
        <v>31520</v>
      </c>
      <c r="AP282" s="8"/>
      <c r="AQ282" s="8"/>
      <c r="AR282" s="8"/>
      <c r="AS282" s="18" t="s">
        <v>6831</v>
      </c>
      <c r="AT282" s="18"/>
      <c r="AU282" s="19">
        <v>31520</v>
      </c>
      <c r="AV282" s="20">
        <v>0</v>
      </c>
      <c r="AW282" s="18" t="s">
        <v>6555</v>
      </c>
      <c r="AX282" s="18"/>
      <c r="AY282" s="18"/>
    </row>
    <row r="283" spans="1:51" x14ac:dyDescent="0.25">
      <c r="A283" s="5">
        <v>281</v>
      </c>
      <c r="B283" s="6" t="s">
        <v>1305</v>
      </c>
      <c r="C283" s="6" t="s">
        <v>5842</v>
      </c>
      <c r="D283" s="6" t="s">
        <v>136</v>
      </c>
      <c r="E283" s="6" t="s">
        <v>47</v>
      </c>
      <c r="F283" s="6" t="s">
        <v>48</v>
      </c>
      <c r="G283" s="6" t="s">
        <v>629</v>
      </c>
      <c r="H283" s="6" t="s">
        <v>5843</v>
      </c>
      <c r="I283" s="6" t="s">
        <v>5844</v>
      </c>
      <c r="J283" s="6">
        <v>2</v>
      </c>
      <c r="K283" s="6">
        <v>26.93</v>
      </c>
      <c r="L283" s="6" t="s">
        <v>5845</v>
      </c>
      <c r="M283" s="6" t="s">
        <v>5846</v>
      </c>
      <c r="N283" s="6" t="s">
        <v>187</v>
      </c>
      <c r="O283" s="6" t="s">
        <v>5847</v>
      </c>
      <c r="P283" s="6" t="s">
        <v>5848</v>
      </c>
      <c r="Q283" s="6" t="s">
        <v>5848</v>
      </c>
      <c r="R283" s="6" t="s">
        <v>5848</v>
      </c>
      <c r="S283" s="6" t="s">
        <v>5849</v>
      </c>
      <c r="T283" s="6">
        <v>1605000</v>
      </c>
      <c r="U283" s="6">
        <v>2140000</v>
      </c>
      <c r="V283" s="6" t="s">
        <v>146</v>
      </c>
      <c r="W283" s="6" t="s">
        <v>604</v>
      </c>
      <c r="X283" s="6" t="s">
        <v>5850</v>
      </c>
      <c r="Y283" s="6" t="s">
        <v>5851</v>
      </c>
      <c r="Z283" s="6" t="s">
        <v>64</v>
      </c>
      <c r="AA283" s="6" t="s">
        <v>65</v>
      </c>
      <c r="AB283" s="6" t="s">
        <v>5852</v>
      </c>
      <c r="AC283" s="6" t="s">
        <v>151</v>
      </c>
      <c r="AD283" s="6" t="s">
        <v>2065</v>
      </c>
      <c r="AE283" s="6" t="s">
        <v>288</v>
      </c>
      <c r="AF283" s="6" t="s">
        <v>2213</v>
      </c>
      <c r="AG283" s="6" t="s">
        <v>5853</v>
      </c>
      <c r="AH283" s="6">
        <v>5</v>
      </c>
      <c r="AI283" s="6" t="s">
        <v>237</v>
      </c>
      <c r="AJ283" s="6" t="s">
        <v>5854</v>
      </c>
      <c r="AK283" s="6" t="s">
        <v>924</v>
      </c>
      <c r="AL283" s="6"/>
      <c r="AM283" s="6" t="s">
        <v>75</v>
      </c>
      <c r="AN283" s="6">
        <v>1605000</v>
      </c>
      <c r="AO283" s="10">
        <v>32100</v>
      </c>
      <c r="AP283" s="6"/>
      <c r="AQ283" s="6"/>
      <c r="AR283" s="6"/>
      <c r="AS283" s="18" t="s">
        <v>6832</v>
      </c>
      <c r="AT283" s="18" t="s">
        <v>7011</v>
      </c>
      <c r="AU283" s="19">
        <v>36380</v>
      </c>
      <c r="AV283" s="20">
        <v>-4280</v>
      </c>
      <c r="AW283" s="18" t="s">
        <v>6555</v>
      </c>
      <c r="AX283" s="18">
        <v>-4280</v>
      </c>
      <c r="AY283" s="20">
        <v>0</v>
      </c>
    </row>
    <row r="284" spans="1:51" x14ac:dyDescent="0.25">
      <c r="A284" s="7">
        <v>282</v>
      </c>
      <c r="B284" s="8" t="s">
        <v>1305</v>
      </c>
      <c r="C284" s="8" t="s">
        <v>5872</v>
      </c>
      <c r="D284" s="8" t="s">
        <v>46</v>
      </c>
      <c r="E284" s="8" t="s">
        <v>47</v>
      </c>
      <c r="F284" s="8" t="s">
        <v>48</v>
      </c>
      <c r="G284" s="8" t="s">
        <v>1668</v>
      </c>
      <c r="H284" s="8" t="s">
        <v>5873</v>
      </c>
      <c r="I284" s="8" t="s">
        <v>5874</v>
      </c>
      <c r="J284" s="8">
        <v>2</v>
      </c>
      <c r="K284" s="8">
        <v>25.74</v>
      </c>
      <c r="L284" s="8" t="s">
        <v>5875</v>
      </c>
      <c r="M284" s="8" t="s">
        <v>5876</v>
      </c>
      <c r="N284" s="8" t="s">
        <v>187</v>
      </c>
      <c r="O284" s="8" t="s">
        <v>5877</v>
      </c>
      <c r="P284" s="8" t="s">
        <v>5878</v>
      </c>
      <c r="Q284" s="8" t="s">
        <v>5878</v>
      </c>
      <c r="R284" s="8" t="s">
        <v>5878</v>
      </c>
      <c r="S284" s="8" t="s">
        <v>5879</v>
      </c>
      <c r="T284" s="8">
        <v>2996760</v>
      </c>
      <c r="U284" s="8">
        <v>4407000</v>
      </c>
      <c r="V284" s="8" t="s">
        <v>5880</v>
      </c>
      <c r="W284" s="8" t="s">
        <v>5866</v>
      </c>
      <c r="X284" s="8" t="s">
        <v>5881</v>
      </c>
      <c r="Y284" s="8" t="s">
        <v>5882</v>
      </c>
      <c r="Z284" s="8" t="s">
        <v>64</v>
      </c>
      <c r="AA284" s="8" t="s">
        <v>65</v>
      </c>
      <c r="AB284" s="8" t="s">
        <v>1959</v>
      </c>
      <c r="AC284" s="8" t="s">
        <v>531</v>
      </c>
      <c r="AD284" s="12">
        <v>44593</v>
      </c>
      <c r="AE284" s="8" t="s">
        <v>3275</v>
      </c>
      <c r="AF284" s="8" t="s">
        <v>1430</v>
      </c>
      <c r="AG284" s="8" t="s">
        <v>5883</v>
      </c>
      <c r="AH284" s="8">
        <v>2</v>
      </c>
      <c r="AI284" s="8" t="s">
        <v>198</v>
      </c>
      <c r="AJ284" s="8" t="s">
        <v>5884</v>
      </c>
      <c r="AK284" s="8" t="s">
        <v>4490</v>
      </c>
      <c r="AL284" s="8"/>
      <c r="AM284" s="8" t="s">
        <v>75</v>
      </c>
      <c r="AN284" s="8">
        <v>3966300</v>
      </c>
      <c r="AO284" s="11">
        <v>79326</v>
      </c>
      <c r="AP284" s="8"/>
      <c r="AQ284" s="8"/>
      <c r="AR284" s="8"/>
      <c r="AS284" s="18" t="s">
        <v>6833</v>
      </c>
      <c r="AT284" s="18"/>
      <c r="AU284" s="19">
        <v>79326</v>
      </c>
      <c r="AV284" s="20">
        <v>0</v>
      </c>
      <c r="AW284" s="18" t="s">
        <v>6555</v>
      </c>
      <c r="AX284" s="18"/>
      <c r="AY284" s="18"/>
    </row>
    <row r="285" spans="1:51" x14ac:dyDescent="0.25">
      <c r="A285" s="5">
        <v>283</v>
      </c>
      <c r="B285" s="6" t="s">
        <v>1305</v>
      </c>
      <c r="C285" s="6" t="s">
        <v>5885</v>
      </c>
      <c r="D285" s="6" t="s">
        <v>277</v>
      </c>
      <c r="E285" s="6" t="s">
        <v>47</v>
      </c>
      <c r="F285" s="6" t="s">
        <v>48</v>
      </c>
      <c r="G285" s="6" t="s">
        <v>3427</v>
      </c>
      <c r="H285" s="6" t="s">
        <v>5886</v>
      </c>
      <c r="I285" s="6" t="s">
        <v>5887</v>
      </c>
      <c r="J285" s="6">
        <v>2</v>
      </c>
      <c r="K285" s="6">
        <v>25.85</v>
      </c>
      <c r="L285" s="6" t="s">
        <v>5888</v>
      </c>
      <c r="M285" s="6" t="s">
        <v>5889</v>
      </c>
      <c r="N285" s="6" t="s">
        <v>83</v>
      </c>
      <c r="O285" s="6" t="s">
        <v>5890</v>
      </c>
      <c r="P285" s="6" t="s">
        <v>5891</v>
      </c>
      <c r="Q285" s="6" t="s">
        <v>5892</v>
      </c>
      <c r="R285" s="6" t="s">
        <v>5893</v>
      </c>
      <c r="S285" s="6" t="s">
        <v>5894</v>
      </c>
      <c r="T285" s="6">
        <v>1320000</v>
      </c>
      <c r="U285" s="6">
        <v>1650000</v>
      </c>
      <c r="V285" s="6" t="s">
        <v>5895</v>
      </c>
      <c r="W285" s="6" t="s">
        <v>453</v>
      </c>
      <c r="X285" s="6" t="s">
        <v>5896</v>
      </c>
      <c r="Y285" s="6" t="s">
        <v>5897</v>
      </c>
      <c r="Z285" s="6" t="s">
        <v>93</v>
      </c>
      <c r="AA285" s="6" t="s">
        <v>5898</v>
      </c>
      <c r="AB285" s="6" t="s">
        <v>1696</v>
      </c>
      <c r="AC285" s="6" t="s">
        <v>151</v>
      </c>
      <c r="AD285" s="6" t="s">
        <v>133</v>
      </c>
      <c r="AE285" s="6" t="s">
        <v>69</v>
      </c>
      <c r="AF285" s="6" t="s">
        <v>1007</v>
      </c>
      <c r="AG285" s="6" t="s">
        <v>5899</v>
      </c>
      <c r="AH285" s="6">
        <v>5</v>
      </c>
      <c r="AI285" s="6" t="s">
        <v>237</v>
      </c>
      <c r="AJ285" s="6" t="s">
        <v>5900</v>
      </c>
      <c r="AK285" s="6" t="s">
        <v>74</v>
      </c>
      <c r="AL285" s="6"/>
      <c r="AM285" s="6" t="s">
        <v>75</v>
      </c>
      <c r="AN285" s="6">
        <v>1320000</v>
      </c>
      <c r="AO285" s="10">
        <v>26400</v>
      </c>
      <c r="AP285" s="6"/>
      <c r="AQ285" s="6"/>
      <c r="AR285" s="6"/>
      <c r="AS285" s="18" t="s">
        <v>6834</v>
      </c>
      <c r="AT285" s="18"/>
      <c r="AU285" s="19">
        <v>26400</v>
      </c>
      <c r="AV285" s="20">
        <v>0</v>
      </c>
      <c r="AW285" s="18" t="s">
        <v>6555</v>
      </c>
      <c r="AX285" s="18"/>
      <c r="AY285" s="18"/>
    </row>
    <row r="286" spans="1:51" x14ac:dyDescent="0.25">
      <c r="A286" s="7">
        <v>284</v>
      </c>
      <c r="B286" s="8" t="s">
        <v>1305</v>
      </c>
      <c r="C286" s="8" t="s">
        <v>5901</v>
      </c>
      <c r="D286" s="8" t="s">
        <v>46</v>
      </c>
      <c r="E286" s="8" t="s">
        <v>47</v>
      </c>
      <c r="F286" s="8" t="s">
        <v>48</v>
      </c>
      <c r="G286" s="8" t="s">
        <v>5902</v>
      </c>
      <c r="H286" s="8" t="s">
        <v>5903</v>
      </c>
      <c r="I286" s="8" t="s">
        <v>5904</v>
      </c>
      <c r="J286" s="8">
        <v>2</v>
      </c>
      <c r="K286" s="8">
        <v>25.85</v>
      </c>
      <c r="L286" s="8" t="s">
        <v>5905</v>
      </c>
      <c r="M286" s="8" t="s">
        <v>5906</v>
      </c>
      <c r="N286" s="8" t="s">
        <v>578</v>
      </c>
      <c r="O286" s="8" t="s">
        <v>5907</v>
      </c>
      <c r="P286" s="8" t="s">
        <v>65</v>
      </c>
      <c r="Q286" s="8" t="s">
        <v>5908</v>
      </c>
      <c r="R286" s="8" t="s">
        <v>5909</v>
      </c>
      <c r="S286" s="8" t="s">
        <v>5910</v>
      </c>
      <c r="T286" s="8">
        <v>1232000</v>
      </c>
      <c r="U286" s="8">
        <v>1760000</v>
      </c>
      <c r="V286" s="8" t="s">
        <v>5911</v>
      </c>
      <c r="W286" s="8" t="s">
        <v>453</v>
      </c>
      <c r="X286" s="8" t="s">
        <v>5912</v>
      </c>
      <c r="Y286" s="8" t="s">
        <v>5913</v>
      </c>
      <c r="Z286" s="8" t="s">
        <v>64</v>
      </c>
      <c r="AA286" s="8" t="s">
        <v>65</v>
      </c>
      <c r="AB286" s="8" t="s">
        <v>5914</v>
      </c>
      <c r="AC286" s="8" t="s">
        <v>67</v>
      </c>
      <c r="AD286" s="8" t="s">
        <v>196</v>
      </c>
      <c r="AE286" s="8" t="s">
        <v>69</v>
      </c>
      <c r="AF286" s="8" t="s">
        <v>1319</v>
      </c>
      <c r="AG286" s="8" t="s">
        <v>5915</v>
      </c>
      <c r="AH286" s="8">
        <v>7</v>
      </c>
      <c r="AI286" s="8" t="s">
        <v>198</v>
      </c>
      <c r="AJ286" s="8" t="s">
        <v>5916</v>
      </c>
      <c r="AK286" s="8" t="s">
        <v>475</v>
      </c>
      <c r="AL286" s="8"/>
      <c r="AM286" s="8" t="s">
        <v>75</v>
      </c>
      <c r="AN286" s="8">
        <v>1408000</v>
      </c>
      <c r="AO286" s="11">
        <v>28160</v>
      </c>
      <c r="AP286" s="8"/>
      <c r="AQ286" s="8"/>
      <c r="AR286" s="8"/>
      <c r="AS286" s="18" t="s">
        <v>6835</v>
      </c>
      <c r="AT286" s="18"/>
      <c r="AU286" s="19">
        <v>28160</v>
      </c>
      <c r="AV286" s="20">
        <v>0</v>
      </c>
      <c r="AW286" s="18" t="s">
        <v>6555</v>
      </c>
      <c r="AX286" s="18"/>
      <c r="AY286" s="18"/>
    </row>
    <row r="287" spans="1:51" x14ac:dyDescent="0.25">
      <c r="A287" s="5">
        <v>285</v>
      </c>
      <c r="B287" s="6" t="s">
        <v>1305</v>
      </c>
      <c r="C287" s="6" t="s">
        <v>5917</v>
      </c>
      <c r="D287" s="6" t="s">
        <v>77</v>
      </c>
      <c r="E287" s="6" t="s">
        <v>47</v>
      </c>
      <c r="F287" s="6" t="s">
        <v>48</v>
      </c>
      <c r="G287" s="6" t="s">
        <v>1717</v>
      </c>
      <c r="H287" s="6" t="s">
        <v>5918</v>
      </c>
      <c r="I287" s="6" t="s">
        <v>5919</v>
      </c>
      <c r="J287" s="6">
        <v>2</v>
      </c>
      <c r="K287" s="6">
        <v>25.69</v>
      </c>
      <c r="L287" s="6" t="s">
        <v>5920</v>
      </c>
      <c r="M287" s="6" t="s">
        <v>5921</v>
      </c>
      <c r="N287" s="6" t="s">
        <v>187</v>
      </c>
      <c r="O287" s="6" t="s">
        <v>5922</v>
      </c>
      <c r="P287" s="6" t="s">
        <v>65</v>
      </c>
      <c r="Q287" s="6" t="s">
        <v>5923</v>
      </c>
      <c r="R287" s="6" t="s">
        <v>65</v>
      </c>
      <c r="S287" s="6" t="s">
        <v>5924</v>
      </c>
      <c r="T287" s="6">
        <v>1080000</v>
      </c>
      <c r="U287" s="6">
        <v>1350000</v>
      </c>
      <c r="V287" s="6" t="s">
        <v>5925</v>
      </c>
      <c r="W287" s="6" t="s">
        <v>453</v>
      </c>
      <c r="X287" s="6" t="s">
        <v>5926</v>
      </c>
      <c r="Y287" s="6" t="s">
        <v>5927</v>
      </c>
      <c r="Z287" s="6" t="s">
        <v>93</v>
      </c>
      <c r="AA287" s="6" t="s">
        <v>5928</v>
      </c>
      <c r="AB287" s="6" t="s">
        <v>642</v>
      </c>
      <c r="AC287" s="6" t="s">
        <v>624</v>
      </c>
      <c r="AD287" s="6" t="s">
        <v>133</v>
      </c>
      <c r="AE287" s="6" t="s">
        <v>69</v>
      </c>
      <c r="AF287" s="6" t="s">
        <v>1007</v>
      </c>
      <c r="AG287" s="6" t="s">
        <v>5929</v>
      </c>
      <c r="AH287" s="6">
        <v>5</v>
      </c>
      <c r="AI287" s="6" t="s">
        <v>237</v>
      </c>
      <c r="AJ287" s="6" t="s">
        <v>5930</v>
      </c>
      <c r="AK287" s="6" t="s">
        <v>475</v>
      </c>
      <c r="AL287" s="6"/>
      <c r="AM287" s="6" t="s">
        <v>75</v>
      </c>
      <c r="AN287" s="6">
        <v>1080000</v>
      </c>
      <c r="AO287" s="10">
        <v>21600</v>
      </c>
      <c r="AP287" s="6"/>
      <c r="AQ287" s="6"/>
      <c r="AR287" s="6"/>
      <c r="AS287" s="18" t="s">
        <v>6836</v>
      </c>
      <c r="AT287" s="18"/>
      <c r="AU287" s="19">
        <v>21600</v>
      </c>
      <c r="AV287" s="20">
        <v>0</v>
      </c>
      <c r="AW287" s="18" t="s">
        <v>6555</v>
      </c>
      <c r="AX287" s="18"/>
      <c r="AY287" s="18"/>
    </row>
    <row r="288" spans="1:51" x14ac:dyDescent="0.25">
      <c r="A288" s="7">
        <v>286</v>
      </c>
      <c r="B288" s="8" t="s">
        <v>1305</v>
      </c>
      <c r="C288" s="8" t="s">
        <v>5931</v>
      </c>
      <c r="D288" s="8" t="s">
        <v>1489</v>
      </c>
      <c r="E288" s="8" t="s">
        <v>47</v>
      </c>
      <c r="F288" s="8" t="s">
        <v>48</v>
      </c>
      <c r="G288" s="8" t="s">
        <v>182</v>
      </c>
      <c r="H288" s="8" t="s">
        <v>5932</v>
      </c>
      <c r="I288" s="8" t="s">
        <v>5933</v>
      </c>
      <c r="J288" s="8">
        <v>2.5</v>
      </c>
      <c r="K288" s="8">
        <v>27.18</v>
      </c>
      <c r="L288" s="8" t="s">
        <v>5934</v>
      </c>
      <c r="M288" s="8" t="s">
        <v>370</v>
      </c>
      <c r="N288" s="8" t="s">
        <v>187</v>
      </c>
      <c r="O288" s="8" t="s">
        <v>5935</v>
      </c>
      <c r="P288" s="8" t="s">
        <v>5936</v>
      </c>
      <c r="Q288" s="8" t="s">
        <v>5936</v>
      </c>
      <c r="R288" s="8" t="s">
        <v>5936</v>
      </c>
      <c r="S288" s="8" t="s">
        <v>5937</v>
      </c>
      <c r="T288" s="8">
        <v>1067850</v>
      </c>
      <c r="U288" s="8">
        <v>1695000</v>
      </c>
      <c r="V288" s="8" t="s">
        <v>5938</v>
      </c>
      <c r="W288" s="8" t="s">
        <v>604</v>
      </c>
      <c r="X288" s="8" t="s">
        <v>5939</v>
      </c>
      <c r="Y288" s="8" t="s">
        <v>5940</v>
      </c>
      <c r="Z288" s="8" t="s">
        <v>64</v>
      </c>
      <c r="AA288" s="8" t="s">
        <v>65</v>
      </c>
      <c r="AB288" s="8" t="s">
        <v>642</v>
      </c>
      <c r="AC288" s="8" t="s">
        <v>151</v>
      </c>
      <c r="AD288" s="8" t="s">
        <v>5941</v>
      </c>
      <c r="AE288" s="8" t="s">
        <v>288</v>
      </c>
      <c r="AF288" s="8" t="s">
        <v>2213</v>
      </c>
      <c r="AG288" s="8" t="s">
        <v>5942</v>
      </c>
      <c r="AH288" s="8">
        <v>5</v>
      </c>
      <c r="AI288" s="8" t="s">
        <v>237</v>
      </c>
      <c r="AJ288" s="8" t="s">
        <v>5943</v>
      </c>
      <c r="AK288" s="8" t="s">
        <v>4832</v>
      </c>
      <c r="AL288" s="8"/>
      <c r="AM288" s="8" t="s">
        <v>180</v>
      </c>
      <c r="AN288" s="8">
        <v>1271250</v>
      </c>
      <c r="AO288" s="11">
        <v>31781.25</v>
      </c>
      <c r="AP288" s="8"/>
      <c r="AQ288" s="8"/>
      <c r="AR288" s="8"/>
      <c r="AS288" s="18" t="s">
        <v>6837</v>
      </c>
      <c r="AT288" s="18" t="s">
        <v>7012</v>
      </c>
      <c r="AU288" s="19">
        <v>36019</v>
      </c>
      <c r="AV288" s="20">
        <v>-4237.75</v>
      </c>
      <c r="AW288" s="18" t="s">
        <v>6555</v>
      </c>
      <c r="AX288" s="18">
        <v>-4238</v>
      </c>
      <c r="AY288" s="20">
        <v>0.25</v>
      </c>
    </row>
    <row r="289" spans="1:51" x14ac:dyDescent="0.25">
      <c r="A289" s="5">
        <v>287</v>
      </c>
      <c r="B289" s="6" t="s">
        <v>1305</v>
      </c>
      <c r="C289" s="6" t="s">
        <v>5944</v>
      </c>
      <c r="D289" s="6" t="s">
        <v>277</v>
      </c>
      <c r="E289" s="6" t="s">
        <v>47</v>
      </c>
      <c r="F289" s="6" t="s">
        <v>48</v>
      </c>
      <c r="G289" s="6" t="s">
        <v>1947</v>
      </c>
      <c r="H289" s="6" t="s">
        <v>5945</v>
      </c>
      <c r="I289" s="6" t="s">
        <v>5946</v>
      </c>
      <c r="J289" s="6">
        <v>1.75</v>
      </c>
      <c r="K289" s="6">
        <v>26.19</v>
      </c>
      <c r="L289" s="6" t="s">
        <v>5947</v>
      </c>
      <c r="M289" s="6" t="s">
        <v>5948</v>
      </c>
      <c r="N289" s="6" t="s">
        <v>164</v>
      </c>
      <c r="O289" s="6" t="s">
        <v>5949</v>
      </c>
      <c r="P289" s="6" t="s">
        <v>5950</v>
      </c>
      <c r="Q289" s="6" t="s">
        <v>5950</v>
      </c>
      <c r="R289" s="6" t="s">
        <v>5951</v>
      </c>
      <c r="S289" s="6" t="s">
        <v>5952</v>
      </c>
      <c r="T289" s="6">
        <v>1625000</v>
      </c>
      <c r="U289" s="6">
        <v>2500000</v>
      </c>
      <c r="V289" s="6" t="s">
        <v>5953</v>
      </c>
      <c r="W289" s="6" t="s">
        <v>5954</v>
      </c>
      <c r="X289" s="6" t="s">
        <v>5955</v>
      </c>
      <c r="Y289" s="6" t="s">
        <v>5956</v>
      </c>
      <c r="Z289" s="6" t="s">
        <v>93</v>
      </c>
      <c r="AA289" s="6" t="s">
        <v>5957</v>
      </c>
      <c r="AB289" s="6" t="s">
        <v>214</v>
      </c>
      <c r="AC289" s="6" t="s">
        <v>67</v>
      </c>
      <c r="AD289" s="13">
        <v>45194</v>
      </c>
      <c r="AE289" s="6" t="s">
        <v>437</v>
      </c>
      <c r="AF289" s="6" t="s">
        <v>1354</v>
      </c>
      <c r="AG289" s="6" t="s">
        <v>5958</v>
      </c>
      <c r="AH289" s="6">
        <v>3</v>
      </c>
      <c r="AI289" s="6" t="s">
        <v>237</v>
      </c>
      <c r="AJ289" s="6" t="s">
        <v>5959</v>
      </c>
      <c r="AK289" s="6" t="s">
        <v>440</v>
      </c>
      <c r="AL289" s="6"/>
      <c r="AM289" s="6" t="s">
        <v>102</v>
      </c>
      <c r="AN289" s="6">
        <v>2250000</v>
      </c>
      <c r="AO289" s="10">
        <v>39375.000000000007</v>
      </c>
      <c r="AP289" s="6"/>
      <c r="AQ289" s="6"/>
      <c r="AR289" s="6"/>
      <c r="AS289" s="18" t="s">
        <v>6838</v>
      </c>
      <c r="AT289" s="18" t="s">
        <v>7013</v>
      </c>
      <c r="AU289" s="19">
        <v>37188</v>
      </c>
      <c r="AV289" s="20">
        <v>2187.0000000000073</v>
      </c>
      <c r="AW289" s="18" t="s">
        <v>6555</v>
      </c>
      <c r="AX289" s="18">
        <v>2188</v>
      </c>
      <c r="AY289" s="20">
        <v>-0.99999999999272404</v>
      </c>
    </row>
    <row r="290" spans="1:51" x14ac:dyDescent="0.25">
      <c r="A290" s="7">
        <v>288</v>
      </c>
      <c r="B290" s="8" t="s">
        <v>1305</v>
      </c>
      <c r="C290" s="8" t="s">
        <v>5960</v>
      </c>
      <c r="D290" s="8" t="s">
        <v>77</v>
      </c>
      <c r="E290" s="8" t="s">
        <v>47</v>
      </c>
      <c r="F290" s="8" t="s">
        <v>48</v>
      </c>
      <c r="G290" s="8" t="s">
        <v>4492</v>
      </c>
      <c r="H290" s="8" t="s">
        <v>5961</v>
      </c>
      <c r="I290" s="8" t="s">
        <v>5962</v>
      </c>
      <c r="J290" s="8">
        <v>1.75</v>
      </c>
      <c r="K290" s="8">
        <v>25.94</v>
      </c>
      <c r="L290" s="8" t="s">
        <v>5963</v>
      </c>
      <c r="M290" s="8" t="s">
        <v>5964</v>
      </c>
      <c r="N290" s="8" t="s">
        <v>187</v>
      </c>
      <c r="O290" s="8" t="s">
        <v>5965</v>
      </c>
      <c r="P290" s="8" t="s">
        <v>5966</v>
      </c>
      <c r="Q290" s="8" t="s">
        <v>5966</v>
      </c>
      <c r="R290" s="8" t="s">
        <v>5966</v>
      </c>
      <c r="S290" s="8" t="s">
        <v>5967</v>
      </c>
      <c r="T290" s="8">
        <v>2777120</v>
      </c>
      <c r="U290" s="8">
        <v>4084000</v>
      </c>
      <c r="V290" s="8" t="s">
        <v>5968</v>
      </c>
      <c r="W290" s="8" t="s">
        <v>5954</v>
      </c>
      <c r="X290" s="8" t="s">
        <v>5969</v>
      </c>
      <c r="Y290" s="8" t="s">
        <v>5970</v>
      </c>
      <c r="Z290" s="8" t="s">
        <v>64</v>
      </c>
      <c r="AA290" s="8" t="s">
        <v>65</v>
      </c>
      <c r="AB290" s="8" t="s">
        <v>195</v>
      </c>
      <c r="AC290" s="8" t="s">
        <v>436</v>
      </c>
      <c r="AD290" s="12">
        <v>45194</v>
      </c>
      <c r="AE290" s="8" t="s">
        <v>437</v>
      </c>
      <c r="AF290" s="8" t="s">
        <v>5607</v>
      </c>
      <c r="AG290" s="8" t="s">
        <v>5971</v>
      </c>
      <c r="AH290" s="8">
        <v>5</v>
      </c>
      <c r="AI290" s="8" t="s">
        <v>237</v>
      </c>
      <c r="AJ290" s="8" t="s">
        <v>5972</v>
      </c>
      <c r="AK290" s="8" t="s">
        <v>5165</v>
      </c>
      <c r="AL290" s="8"/>
      <c r="AM290" s="8" t="s">
        <v>102</v>
      </c>
      <c r="AN290" s="8">
        <v>3675600</v>
      </c>
      <c r="AO290" s="11">
        <v>64323.000000000007</v>
      </c>
      <c r="AP290" s="8"/>
      <c r="AQ290" s="8"/>
      <c r="AR290" s="8"/>
      <c r="AS290" s="18" t="s">
        <v>6839</v>
      </c>
      <c r="AT290" s="18"/>
      <c r="AU290" s="19">
        <v>64323</v>
      </c>
      <c r="AV290" s="20">
        <v>0</v>
      </c>
      <c r="AW290" s="18" t="s">
        <v>6555</v>
      </c>
      <c r="AX290" s="18"/>
      <c r="AY290" s="18"/>
    </row>
    <row r="291" spans="1:51" x14ac:dyDescent="0.25">
      <c r="A291" s="5">
        <v>289</v>
      </c>
      <c r="B291" s="6" t="s">
        <v>1305</v>
      </c>
      <c r="C291" s="6" t="s">
        <v>5973</v>
      </c>
      <c r="D291" s="6" t="s">
        <v>46</v>
      </c>
      <c r="E291" s="6" t="s">
        <v>47</v>
      </c>
      <c r="F291" s="6" t="s">
        <v>48</v>
      </c>
      <c r="G291" s="6" t="s">
        <v>5974</v>
      </c>
      <c r="H291" s="6" t="s">
        <v>5975</v>
      </c>
      <c r="I291" s="6" t="s">
        <v>5976</v>
      </c>
      <c r="J291" s="6">
        <v>2</v>
      </c>
      <c r="K291" s="6">
        <v>26.19</v>
      </c>
      <c r="L291" s="6" t="s">
        <v>5977</v>
      </c>
      <c r="M291" s="6" t="s">
        <v>3013</v>
      </c>
      <c r="N291" s="6" t="s">
        <v>164</v>
      </c>
      <c r="O291" s="6" t="s">
        <v>5978</v>
      </c>
      <c r="P291" s="6" t="s">
        <v>5979</v>
      </c>
      <c r="Q291" s="6" t="s">
        <v>65</v>
      </c>
      <c r="R291" s="6" t="s">
        <v>5980</v>
      </c>
      <c r="S291" s="6" t="s">
        <v>5981</v>
      </c>
      <c r="T291" s="6">
        <v>2949500</v>
      </c>
      <c r="U291" s="6">
        <v>5899000</v>
      </c>
      <c r="V291" s="6" t="s">
        <v>5982</v>
      </c>
      <c r="W291" s="6" t="s">
        <v>526</v>
      </c>
      <c r="X291" s="6" t="s">
        <v>5983</v>
      </c>
      <c r="Y291" s="6" t="s">
        <v>5984</v>
      </c>
      <c r="Z291" s="6" t="s">
        <v>64</v>
      </c>
      <c r="AA291" s="6" t="s">
        <v>65</v>
      </c>
      <c r="AB291" s="6" t="s">
        <v>2654</v>
      </c>
      <c r="AC291" s="6" t="s">
        <v>531</v>
      </c>
      <c r="AD291" s="6" t="s">
        <v>5985</v>
      </c>
      <c r="AE291" s="6" t="s">
        <v>231</v>
      </c>
      <c r="AF291" s="6" t="s">
        <v>2213</v>
      </c>
      <c r="AG291" s="6" t="s">
        <v>5986</v>
      </c>
      <c r="AH291" s="6">
        <v>3</v>
      </c>
      <c r="AI291" s="6" t="s">
        <v>100</v>
      </c>
      <c r="AJ291" s="6" t="s">
        <v>5987</v>
      </c>
      <c r="AK291" s="6" t="s">
        <v>453</v>
      </c>
      <c r="AL291" s="6"/>
      <c r="AM291" s="6" t="s">
        <v>75</v>
      </c>
      <c r="AN291" s="6">
        <v>5014150</v>
      </c>
      <c r="AO291" s="10">
        <v>100283</v>
      </c>
      <c r="AP291" s="6"/>
      <c r="AQ291" s="6"/>
      <c r="AR291" s="6"/>
      <c r="AS291" s="18" t="s">
        <v>6840</v>
      </c>
      <c r="AT291" s="18"/>
      <c r="AU291" s="19">
        <v>100283</v>
      </c>
      <c r="AV291" s="20">
        <v>0</v>
      </c>
      <c r="AW291" s="18" t="s">
        <v>6555</v>
      </c>
      <c r="AX291" s="18"/>
      <c r="AY291" s="18"/>
    </row>
    <row r="292" spans="1:51" x14ac:dyDescent="0.25">
      <c r="A292" s="7">
        <v>290</v>
      </c>
      <c r="B292" s="8" t="s">
        <v>1305</v>
      </c>
      <c r="C292" s="8" t="s">
        <v>5988</v>
      </c>
      <c r="D292" s="8" t="s">
        <v>46</v>
      </c>
      <c r="E292" s="8" t="s">
        <v>47</v>
      </c>
      <c r="F292" s="8" t="s">
        <v>48</v>
      </c>
      <c r="G292" s="8" t="s">
        <v>5989</v>
      </c>
      <c r="H292" s="8" t="s">
        <v>5990</v>
      </c>
      <c r="I292" s="8" t="s">
        <v>5991</v>
      </c>
      <c r="J292" s="8">
        <v>2</v>
      </c>
      <c r="K292" s="8">
        <v>26.29</v>
      </c>
      <c r="L292" s="8" t="s">
        <v>5992</v>
      </c>
      <c r="M292" s="8" t="s">
        <v>5993</v>
      </c>
      <c r="N292" s="8" t="s">
        <v>83</v>
      </c>
      <c r="O292" s="8" t="s">
        <v>5994</v>
      </c>
      <c r="P292" s="8" t="s">
        <v>65</v>
      </c>
      <c r="Q292" s="8" t="s">
        <v>5995</v>
      </c>
      <c r="R292" s="8" t="s">
        <v>65</v>
      </c>
      <c r="S292" s="8" t="s">
        <v>5996</v>
      </c>
      <c r="T292" s="8">
        <v>2576400</v>
      </c>
      <c r="U292" s="8">
        <v>4294000</v>
      </c>
      <c r="V292" s="8" t="s">
        <v>5997</v>
      </c>
      <c r="W292" s="8" t="s">
        <v>5228</v>
      </c>
      <c r="X292" s="8" t="s">
        <v>5998</v>
      </c>
      <c r="Y292" s="8" t="s">
        <v>5999</v>
      </c>
      <c r="Z292" s="8" t="s">
        <v>64</v>
      </c>
      <c r="AA292" s="8" t="s">
        <v>65</v>
      </c>
      <c r="AB292" s="8" t="s">
        <v>2989</v>
      </c>
      <c r="AC292" s="8" t="s">
        <v>67</v>
      </c>
      <c r="AD292" s="8" t="s">
        <v>2260</v>
      </c>
      <c r="AE292" s="8" t="s">
        <v>399</v>
      </c>
      <c r="AF292" s="8" t="s">
        <v>1354</v>
      </c>
      <c r="AG292" s="8" t="s">
        <v>6000</v>
      </c>
      <c r="AH292" s="8">
        <v>5</v>
      </c>
      <c r="AI292" s="8" t="s">
        <v>65</v>
      </c>
      <c r="AJ292" s="8" t="s">
        <v>65</v>
      </c>
      <c r="AK292" s="8" t="s">
        <v>65</v>
      </c>
      <c r="AL292" s="8"/>
      <c r="AM292" s="8" t="s">
        <v>75</v>
      </c>
      <c r="AN292" s="8">
        <v>3435200</v>
      </c>
      <c r="AO292" s="11">
        <v>68704</v>
      </c>
      <c r="AP292" s="8"/>
      <c r="AQ292" s="8"/>
      <c r="AR292" s="8"/>
      <c r="AS292" s="18" t="s">
        <v>6841</v>
      </c>
      <c r="AT292" s="18"/>
      <c r="AU292" s="19">
        <v>68704</v>
      </c>
      <c r="AV292" s="20">
        <v>0</v>
      </c>
      <c r="AW292" s="18" t="s">
        <v>6555</v>
      </c>
      <c r="AX292" s="18"/>
      <c r="AY292" s="18"/>
    </row>
    <row r="293" spans="1:51" x14ac:dyDescent="0.25">
      <c r="A293" s="5">
        <v>291</v>
      </c>
      <c r="B293" s="6" t="s">
        <v>1305</v>
      </c>
      <c r="C293" s="6" t="s">
        <v>6001</v>
      </c>
      <c r="D293" s="6" t="s">
        <v>277</v>
      </c>
      <c r="E293" s="6" t="s">
        <v>47</v>
      </c>
      <c r="F293" s="6" t="s">
        <v>48</v>
      </c>
      <c r="G293" s="6" t="s">
        <v>516</v>
      </c>
      <c r="H293" s="6" t="s">
        <v>6002</v>
      </c>
      <c r="I293" s="6" t="s">
        <v>6003</v>
      </c>
      <c r="J293" s="6">
        <v>2</v>
      </c>
      <c r="K293" s="6">
        <v>25.94</v>
      </c>
      <c r="L293" s="6" t="s">
        <v>6004</v>
      </c>
      <c r="M293" s="6" t="s">
        <v>6005</v>
      </c>
      <c r="N293" s="6" t="s">
        <v>187</v>
      </c>
      <c r="O293" s="6" t="s">
        <v>6006</v>
      </c>
      <c r="P293" s="6" t="s">
        <v>652</v>
      </c>
      <c r="Q293" s="6" t="s">
        <v>6007</v>
      </c>
      <c r="R293" s="6" t="s">
        <v>6008</v>
      </c>
      <c r="S293" s="6" t="s">
        <v>6009</v>
      </c>
      <c r="T293" s="6">
        <v>2450000</v>
      </c>
      <c r="U293" s="6">
        <v>3500000</v>
      </c>
      <c r="V293" s="6" t="s">
        <v>6010</v>
      </c>
      <c r="W293" s="6" t="s">
        <v>5228</v>
      </c>
      <c r="X293" s="6" t="s">
        <v>6011</v>
      </c>
      <c r="Y293" s="6" t="s">
        <v>6012</v>
      </c>
      <c r="Z293" s="6" t="s">
        <v>549</v>
      </c>
      <c r="AA293" s="6" t="s">
        <v>65</v>
      </c>
      <c r="AB293" s="6" t="s">
        <v>6013</v>
      </c>
      <c r="AC293" s="6" t="s">
        <v>552</v>
      </c>
      <c r="AD293" s="6" t="s">
        <v>403</v>
      </c>
      <c r="AE293" s="6" t="s">
        <v>399</v>
      </c>
      <c r="AF293" s="6" t="s">
        <v>1354</v>
      </c>
      <c r="AG293" s="6" t="s">
        <v>6014</v>
      </c>
      <c r="AH293" s="6">
        <v>5</v>
      </c>
      <c r="AI293" s="6" t="s">
        <v>237</v>
      </c>
      <c r="AJ293" s="6" t="s">
        <v>6015</v>
      </c>
      <c r="AK293" s="6" t="s">
        <v>475</v>
      </c>
      <c r="AL293" s="6"/>
      <c r="AM293" s="6" t="s">
        <v>75</v>
      </c>
      <c r="AN293" s="6">
        <v>2800000</v>
      </c>
      <c r="AO293" s="10">
        <v>56000</v>
      </c>
      <c r="AP293" s="6"/>
      <c r="AQ293" s="6"/>
      <c r="AR293" s="6"/>
      <c r="AS293" s="18" t="s">
        <v>6842</v>
      </c>
      <c r="AT293" s="18"/>
      <c r="AU293" s="19">
        <v>56000</v>
      </c>
      <c r="AV293" s="20">
        <v>0</v>
      </c>
      <c r="AW293" s="18" t="s">
        <v>6555</v>
      </c>
      <c r="AX293" s="18"/>
      <c r="AY293" s="18"/>
    </row>
    <row r="294" spans="1:51" x14ac:dyDescent="0.25">
      <c r="A294" s="7">
        <v>292</v>
      </c>
      <c r="B294" s="8" t="s">
        <v>1305</v>
      </c>
      <c r="C294" s="8" t="s">
        <v>6016</v>
      </c>
      <c r="D294" s="8" t="s">
        <v>46</v>
      </c>
      <c r="E294" s="8" t="s">
        <v>47</v>
      </c>
      <c r="F294" s="8" t="s">
        <v>48</v>
      </c>
      <c r="G294" s="8" t="s">
        <v>366</v>
      </c>
      <c r="H294" s="8" t="s">
        <v>6017</v>
      </c>
      <c r="I294" s="8" t="s">
        <v>6018</v>
      </c>
      <c r="J294" s="8">
        <v>1.75</v>
      </c>
      <c r="K294" s="8">
        <v>25.69</v>
      </c>
      <c r="L294" s="8" t="s">
        <v>6019</v>
      </c>
      <c r="M294" s="8" t="s">
        <v>6020</v>
      </c>
      <c r="N294" s="8" t="s">
        <v>187</v>
      </c>
      <c r="O294" s="8" t="s">
        <v>6021</v>
      </c>
      <c r="P294" s="8" t="s">
        <v>6022</v>
      </c>
      <c r="Q294" s="8" t="s">
        <v>6022</v>
      </c>
      <c r="R294" s="8" t="s">
        <v>6023</v>
      </c>
      <c r="S294" s="8" t="s">
        <v>6024</v>
      </c>
      <c r="T294" s="8">
        <v>2382100</v>
      </c>
      <c r="U294" s="8">
        <v>3403000</v>
      </c>
      <c r="V294" s="8" t="s">
        <v>6025</v>
      </c>
      <c r="W294" s="8" t="s">
        <v>5228</v>
      </c>
      <c r="X294" s="8" t="s">
        <v>6026</v>
      </c>
      <c r="Y294" s="8" t="s">
        <v>6027</v>
      </c>
      <c r="Z294" s="8" t="s">
        <v>64</v>
      </c>
      <c r="AA294" s="8" t="s">
        <v>65</v>
      </c>
      <c r="AB294" s="8" t="s">
        <v>1110</v>
      </c>
      <c r="AC294" s="8" t="s">
        <v>67</v>
      </c>
      <c r="AD294" s="8" t="s">
        <v>1569</v>
      </c>
      <c r="AE294" s="8" t="s">
        <v>69</v>
      </c>
      <c r="AF294" s="8" t="s">
        <v>1007</v>
      </c>
      <c r="AG294" s="8" t="s">
        <v>6028</v>
      </c>
      <c r="AH294" s="8">
        <v>5</v>
      </c>
      <c r="AI294" s="8" t="s">
        <v>237</v>
      </c>
      <c r="AJ294" s="8" t="s">
        <v>6029</v>
      </c>
      <c r="AK294" s="8" t="s">
        <v>604</v>
      </c>
      <c r="AL294" s="8"/>
      <c r="AM294" s="8" t="s">
        <v>102</v>
      </c>
      <c r="AN294" s="8">
        <v>2722400</v>
      </c>
      <c r="AO294" s="11">
        <v>47642.000000000007</v>
      </c>
      <c r="AP294" s="8"/>
      <c r="AQ294" s="8"/>
      <c r="AR294" s="8"/>
      <c r="AS294" s="18" t="s">
        <v>6843</v>
      </c>
      <c r="AT294" s="18"/>
      <c r="AU294" s="19">
        <v>47642</v>
      </c>
      <c r="AV294" s="20">
        <v>0</v>
      </c>
      <c r="AW294" s="18" t="s">
        <v>6555</v>
      </c>
      <c r="AX294" s="18"/>
      <c r="AY294" s="18"/>
    </row>
    <row r="295" spans="1:51" x14ac:dyDescent="0.25">
      <c r="A295" s="5">
        <v>293</v>
      </c>
      <c r="B295" s="6" t="s">
        <v>1305</v>
      </c>
      <c r="C295" s="6" t="s">
        <v>6030</v>
      </c>
      <c r="D295" s="6" t="s">
        <v>77</v>
      </c>
      <c r="E295" s="6" t="s">
        <v>47</v>
      </c>
      <c r="F295" s="6" t="s">
        <v>48</v>
      </c>
      <c r="G295" s="6" t="s">
        <v>78</v>
      </c>
      <c r="H295" s="6" t="s">
        <v>6031</v>
      </c>
      <c r="I295" s="6" t="s">
        <v>6032</v>
      </c>
      <c r="J295" s="6">
        <v>1.75</v>
      </c>
      <c r="K295" s="6">
        <v>25.19</v>
      </c>
      <c r="L295" s="6" t="s">
        <v>6033</v>
      </c>
      <c r="M295" s="6" t="s">
        <v>6034</v>
      </c>
      <c r="N295" s="6" t="s">
        <v>83</v>
      </c>
      <c r="O295" s="6" t="s">
        <v>6035</v>
      </c>
      <c r="P295" s="6" t="s">
        <v>6036</v>
      </c>
      <c r="Q295" s="6" t="s">
        <v>6036</v>
      </c>
      <c r="R295" s="6" t="s">
        <v>167</v>
      </c>
      <c r="S295" s="6" t="s">
        <v>6037</v>
      </c>
      <c r="T295" s="6">
        <v>2976000</v>
      </c>
      <c r="U295" s="6">
        <v>9600000</v>
      </c>
      <c r="V295" s="6" t="s">
        <v>6038</v>
      </c>
      <c r="W295" s="6" t="s">
        <v>6039</v>
      </c>
      <c r="X295" s="6" t="s">
        <v>6040</v>
      </c>
      <c r="Y295" s="6" t="s">
        <v>6041</v>
      </c>
      <c r="Z295" s="6" t="s">
        <v>93</v>
      </c>
      <c r="AA295" s="6" t="s">
        <v>6042</v>
      </c>
      <c r="AB295" s="6" t="s">
        <v>254</v>
      </c>
      <c r="AC295" s="6" t="s">
        <v>96</v>
      </c>
      <c r="AD295" s="13">
        <v>45189</v>
      </c>
      <c r="AE295" s="6" t="s">
        <v>3275</v>
      </c>
      <c r="AF295" s="6" t="s">
        <v>974</v>
      </c>
      <c r="AG295" s="6" t="s">
        <v>6043</v>
      </c>
      <c r="AH295" s="6">
        <v>3</v>
      </c>
      <c r="AI295" s="6" t="s">
        <v>237</v>
      </c>
      <c r="AJ295" s="6" t="s">
        <v>6044</v>
      </c>
      <c r="AK295" s="6" t="s">
        <v>526</v>
      </c>
      <c r="AL295" s="6"/>
      <c r="AM295" s="6" t="s">
        <v>102</v>
      </c>
      <c r="AN295" s="6">
        <v>8640000</v>
      </c>
      <c r="AO295" s="10">
        <v>151200</v>
      </c>
      <c r="AP295" s="6"/>
      <c r="AQ295" s="6"/>
      <c r="AR295" s="6"/>
      <c r="AS295" s="18" t="s">
        <v>6844</v>
      </c>
      <c r="AT295" s="18" t="s">
        <v>7014</v>
      </c>
      <c r="AU295" s="19">
        <v>142800</v>
      </c>
      <c r="AV295" s="20">
        <v>8400</v>
      </c>
      <c r="AW295" s="18" t="s">
        <v>6555</v>
      </c>
      <c r="AX295" s="18">
        <v>8400</v>
      </c>
      <c r="AY295" s="20">
        <v>0</v>
      </c>
    </row>
    <row r="296" spans="1:51" x14ac:dyDescent="0.25">
      <c r="A296" s="7">
        <v>294</v>
      </c>
      <c r="B296" s="8" t="s">
        <v>1305</v>
      </c>
      <c r="C296" s="8" t="s">
        <v>6045</v>
      </c>
      <c r="D296" s="8" t="s">
        <v>277</v>
      </c>
      <c r="E296" s="8" t="s">
        <v>47</v>
      </c>
      <c r="F296" s="8" t="s">
        <v>48</v>
      </c>
      <c r="G296" s="8" t="s">
        <v>78</v>
      </c>
      <c r="H296" s="8" t="s">
        <v>6046</v>
      </c>
      <c r="I296" s="8" t="s">
        <v>6047</v>
      </c>
      <c r="J296" s="8">
        <v>1.75</v>
      </c>
      <c r="K296" s="8">
        <v>26.19</v>
      </c>
      <c r="L296" s="8" t="s">
        <v>6048</v>
      </c>
      <c r="M296" s="8" t="s">
        <v>6049</v>
      </c>
      <c r="N296" s="8" t="s">
        <v>83</v>
      </c>
      <c r="O296" s="8" t="s">
        <v>6050</v>
      </c>
      <c r="P296" s="8" t="s">
        <v>65</v>
      </c>
      <c r="Q296" s="8" t="s">
        <v>6051</v>
      </c>
      <c r="R296" s="8" t="s">
        <v>65</v>
      </c>
      <c r="S296" s="8" t="s">
        <v>6052</v>
      </c>
      <c r="T296" s="8">
        <v>2065000</v>
      </c>
      <c r="U296" s="8">
        <v>2950000</v>
      </c>
      <c r="V296" s="8" t="s">
        <v>6053</v>
      </c>
      <c r="W296" s="8" t="s">
        <v>4490</v>
      </c>
      <c r="X296" s="8" t="s">
        <v>6054</v>
      </c>
      <c r="Y296" s="8" t="s">
        <v>6055</v>
      </c>
      <c r="Z296" s="8" t="s">
        <v>93</v>
      </c>
      <c r="AA296" s="8" t="s">
        <v>6056</v>
      </c>
      <c r="AB296" s="8" t="s">
        <v>3406</v>
      </c>
      <c r="AC296" s="8" t="s">
        <v>552</v>
      </c>
      <c r="AD296" s="8" t="s">
        <v>453</v>
      </c>
      <c r="AE296" s="8" t="s">
        <v>453</v>
      </c>
      <c r="AF296" s="8" t="s">
        <v>1430</v>
      </c>
      <c r="AG296" s="8" t="s">
        <v>6057</v>
      </c>
      <c r="AH296" s="8">
        <v>3</v>
      </c>
      <c r="AI296" s="8" t="s">
        <v>72</v>
      </c>
      <c r="AJ296" s="8" t="s">
        <v>6058</v>
      </c>
      <c r="AK296" s="8" t="s">
        <v>6059</v>
      </c>
      <c r="AL296" s="8"/>
      <c r="AM296" s="8" t="s">
        <v>102</v>
      </c>
      <c r="AN296" s="8">
        <v>2507500</v>
      </c>
      <c r="AO296" s="11">
        <v>43881.250000000007</v>
      </c>
      <c r="AP296" s="8"/>
      <c r="AQ296" s="8"/>
      <c r="AR296" s="8"/>
      <c r="AS296" s="18" t="s">
        <v>6845</v>
      </c>
      <c r="AT296" s="18"/>
      <c r="AU296" s="19">
        <v>43881</v>
      </c>
      <c r="AV296" s="20">
        <v>0.25000000000727596</v>
      </c>
      <c r="AW296" s="18" t="s">
        <v>6555</v>
      </c>
      <c r="AX296" s="18"/>
      <c r="AY296" s="18"/>
    </row>
    <row r="297" spans="1:51" x14ac:dyDescent="0.25">
      <c r="A297" s="5">
        <v>295</v>
      </c>
      <c r="B297" s="6" t="s">
        <v>1305</v>
      </c>
      <c r="C297" s="6" t="s">
        <v>6060</v>
      </c>
      <c r="D297" s="6" t="s">
        <v>277</v>
      </c>
      <c r="E297" s="6" t="s">
        <v>47</v>
      </c>
      <c r="F297" s="6" t="s">
        <v>48</v>
      </c>
      <c r="G297" s="6" t="s">
        <v>4033</v>
      </c>
      <c r="H297" s="6" t="s">
        <v>6061</v>
      </c>
      <c r="I297" s="6" t="s">
        <v>6062</v>
      </c>
      <c r="J297" s="6">
        <v>2</v>
      </c>
      <c r="K297" s="6">
        <v>25.94</v>
      </c>
      <c r="L297" s="6" t="s">
        <v>6063</v>
      </c>
      <c r="M297" s="6" t="s">
        <v>6064</v>
      </c>
      <c r="N297" s="6" t="s">
        <v>187</v>
      </c>
      <c r="O297" s="6" t="s">
        <v>6065</v>
      </c>
      <c r="P297" s="6" t="s">
        <v>6066</v>
      </c>
      <c r="Q297" s="6" t="s">
        <v>6066</v>
      </c>
      <c r="R297" s="6" t="s">
        <v>6066</v>
      </c>
      <c r="S297" s="6" t="s">
        <v>6067</v>
      </c>
      <c r="T297" s="6">
        <v>1503600</v>
      </c>
      <c r="U297" s="6">
        <v>2148000</v>
      </c>
      <c r="V297" s="6" t="s">
        <v>6068</v>
      </c>
      <c r="W297" s="6" t="s">
        <v>5228</v>
      </c>
      <c r="X297" s="6" t="s">
        <v>6069</v>
      </c>
      <c r="Y297" s="6" t="s">
        <v>6070</v>
      </c>
      <c r="Z297" s="6" t="s">
        <v>64</v>
      </c>
      <c r="AA297" s="6" t="s">
        <v>65</v>
      </c>
      <c r="AB297" s="6" t="s">
        <v>6071</v>
      </c>
      <c r="AC297" s="6" t="s">
        <v>67</v>
      </c>
      <c r="AD297" s="6" t="s">
        <v>399</v>
      </c>
      <c r="AE297" s="6" t="s">
        <v>399</v>
      </c>
      <c r="AF297" s="6" t="s">
        <v>5607</v>
      </c>
      <c r="AG297" s="6" t="s">
        <v>6072</v>
      </c>
      <c r="AH297" s="6">
        <v>7</v>
      </c>
      <c r="AI297" s="6" t="s">
        <v>237</v>
      </c>
      <c r="AJ297" s="6" t="s">
        <v>6073</v>
      </c>
      <c r="AK297" s="6" t="s">
        <v>475</v>
      </c>
      <c r="AL297" s="6"/>
      <c r="AM297" s="6" t="s">
        <v>75</v>
      </c>
      <c r="AN297" s="6">
        <v>1718400</v>
      </c>
      <c r="AO297" s="10">
        <v>34368</v>
      </c>
      <c r="AP297" s="6"/>
      <c r="AQ297" s="6"/>
      <c r="AR297" s="6"/>
      <c r="AS297" s="18" t="s">
        <v>6846</v>
      </c>
      <c r="AT297" s="18"/>
      <c r="AU297" s="19">
        <v>34368</v>
      </c>
      <c r="AV297" s="20">
        <v>0</v>
      </c>
      <c r="AW297" s="18" t="s">
        <v>6555</v>
      </c>
      <c r="AX297" s="18"/>
      <c r="AY297" s="18"/>
    </row>
    <row r="298" spans="1:51" x14ac:dyDescent="0.25">
      <c r="A298" s="7">
        <v>296</v>
      </c>
      <c r="B298" s="8" t="s">
        <v>1305</v>
      </c>
      <c r="C298" s="8" t="s">
        <v>6074</v>
      </c>
      <c r="D298" s="8" t="s">
        <v>277</v>
      </c>
      <c r="E298" s="8" t="s">
        <v>47</v>
      </c>
      <c r="F298" s="8" t="s">
        <v>48</v>
      </c>
      <c r="G298" s="8" t="s">
        <v>1717</v>
      </c>
      <c r="H298" s="8" t="s">
        <v>6075</v>
      </c>
      <c r="I298" s="8" t="s">
        <v>6076</v>
      </c>
      <c r="J298" s="8">
        <v>2</v>
      </c>
      <c r="K298" s="8">
        <v>25.94</v>
      </c>
      <c r="L298" s="8" t="s">
        <v>6077</v>
      </c>
      <c r="M298" s="8" t="s">
        <v>6078</v>
      </c>
      <c r="N298" s="8" t="s">
        <v>187</v>
      </c>
      <c r="O298" s="8" t="s">
        <v>6079</v>
      </c>
      <c r="P298" s="8" t="s">
        <v>65</v>
      </c>
      <c r="Q298" s="8" t="s">
        <v>6080</v>
      </c>
      <c r="R298" s="8" t="s">
        <v>65</v>
      </c>
      <c r="S298" s="8" t="s">
        <v>6081</v>
      </c>
      <c r="T298" s="8">
        <v>1362900</v>
      </c>
      <c r="U298" s="8">
        <v>1947000</v>
      </c>
      <c r="V298" s="8" t="s">
        <v>6082</v>
      </c>
      <c r="W298" s="8" t="s">
        <v>5228</v>
      </c>
      <c r="X298" s="8" t="s">
        <v>6083</v>
      </c>
      <c r="Y298" s="8" t="s">
        <v>6084</v>
      </c>
      <c r="Z298" s="8" t="s">
        <v>64</v>
      </c>
      <c r="AA298" s="8" t="s">
        <v>65</v>
      </c>
      <c r="AB298" s="8" t="s">
        <v>5480</v>
      </c>
      <c r="AC298" s="8" t="s">
        <v>67</v>
      </c>
      <c r="AD298" s="8" t="s">
        <v>258</v>
      </c>
      <c r="AE298" s="8" t="s">
        <v>399</v>
      </c>
      <c r="AF298" s="8" t="s">
        <v>1354</v>
      </c>
      <c r="AG298" s="8" t="s">
        <v>6085</v>
      </c>
      <c r="AH298" s="8">
        <v>5</v>
      </c>
      <c r="AI298" s="8" t="s">
        <v>237</v>
      </c>
      <c r="AJ298" s="8" t="s">
        <v>6086</v>
      </c>
      <c r="AK298" s="8" t="s">
        <v>475</v>
      </c>
      <c r="AL298" s="8"/>
      <c r="AM298" s="8" t="s">
        <v>75</v>
      </c>
      <c r="AN298" s="8">
        <v>1557600</v>
      </c>
      <c r="AO298" s="11">
        <v>31152</v>
      </c>
      <c r="AP298" s="8"/>
      <c r="AQ298" s="8"/>
      <c r="AR298" s="8"/>
      <c r="AS298" s="18" t="s">
        <v>6847</v>
      </c>
      <c r="AT298" s="18"/>
      <c r="AU298" s="19">
        <v>31152</v>
      </c>
      <c r="AV298" s="20">
        <v>0</v>
      </c>
      <c r="AW298" s="18" t="s">
        <v>6555</v>
      </c>
      <c r="AX298" s="18"/>
      <c r="AY298" s="18"/>
    </row>
    <row r="299" spans="1:51" x14ac:dyDescent="0.25">
      <c r="A299" s="5">
        <v>297</v>
      </c>
      <c r="B299" s="6" t="s">
        <v>1305</v>
      </c>
      <c r="C299" s="6" t="s">
        <v>6087</v>
      </c>
      <c r="D299" s="6" t="s">
        <v>912</v>
      </c>
      <c r="E299" s="6" t="s">
        <v>47</v>
      </c>
      <c r="F299" s="6" t="s">
        <v>48</v>
      </c>
      <c r="G299" s="6" t="s">
        <v>516</v>
      </c>
      <c r="H299" s="6" t="s">
        <v>6088</v>
      </c>
      <c r="I299" s="6" t="s">
        <v>6089</v>
      </c>
      <c r="J299" s="6">
        <v>2</v>
      </c>
      <c r="K299" s="6">
        <v>26.43</v>
      </c>
      <c r="L299" s="6" t="s">
        <v>6090</v>
      </c>
      <c r="M299" s="6" t="s">
        <v>6091</v>
      </c>
      <c r="N299" s="6" t="s">
        <v>187</v>
      </c>
      <c r="O299" s="6" t="s">
        <v>6092</v>
      </c>
      <c r="P299" s="6" t="s">
        <v>6093</v>
      </c>
      <c r="Q299" s="6" t="s">
        <v>6094</v>
      </c>
      <c r="R299" s="6" t="s">
        <v>6093</v>
      </c>
      <c r="S299" s="6" t="s">
        <v>6095</v>
      </c>
      <c r="T299" s="6">
        <v>1470000</v>
      </c>
      <c r="U299" s="6">
        <v>1960000</v>
      </c>
      <c r="V299" s="6" t="s">
        <v>146</v>
      </c>
      <c r="W299" s="6" t="s">
        <v>683</v>
      </c>
      <c r="X299" s="6" t="s">
        <v>6096</v>
      </c>
      <c r="Y299" s="6" t="s">
        <v>6097</v>
      </c>
      <c r="Z299" s="6" t="s">
        <v>93</v>
      </c>
      <c r="AA299" s="6" t="s">
        <v>6098</v>
      </c>
      <c r="AB299" s="6" t="s">
        <v>6099</v>
      </c>
      <c r="AC299" s="6" t="s">
        <v>662</v>
      </c>
      <c r="AD299" s="6" t="s">
        <v>4832</v>
      </c>
      <c r="AE299" s="6" t="s">
        <v>1539</v>
      </c>
      <c r="AF299" s="6" t="s">
        <v>1430</v>
      </c>
      <c r="AG299" s="6" t="s">
        <v>6100</v>
      </c>
      <c r="AH299" s="6">
        <v>5</v>
      </c>
      <c r="AI299" s="6" t="s">
        <v>237</v>
      </c>
      <c r="AJ299" s="6" t="s">
        <v>6101</v>
      </c>
      <c r="AK299" s="6" t="s">
        <v>1539</v>
      </c>
      <c r="AL299" s="6"/>
      <c r="AM299" s="6" t="s">
        <v>75</v>
      </c>
      <c r="AN299" s="6">
        <v>1470000</v>
      </c>
      <c r="AO299" s="10">
        <v>29400</v>
      </c>
      <c r="AP299" s="6"/>
      <c r="AQ299" s="6"/>
      <c r="AR299" s="6"/>
      <c r="AS299" s="18" t="s">
        <v>6848</v>
      </c>
      <c r="AT299" s="18" t="s">
        <v>7015</v>
      </c>
      <c r="AU299" s="19">
        <v>33320</v>
      </c>
      <c r="AV299" s="20">
        <v>-3920</v>
      </c>
      <c r="AW299" s="18" t="s">
        <v>6555</v>
      </c>
      <c r="AX299" s="18">
        <v>-3920</v>
      </c>
      <c r="AY299" s="20">
        <v>0</v>
      </c>
    </row>
    <row r="300" spans="1:51" x14ac:dyDescent="0.25">
      <c r="A300" s="7">
        <v>298</v>
      </c>
      <c r="B300" s="8" t="s">
        <v>1305</v>
      </c>
      <c r="C300" s="8" t="s">
        <v>6102</v>
      </c>
      <c r="D300" s="8" t="s">
        <v>912</v>
      </c>
      <c r="E300" s="8" t="s">
        <v>47</v>
      </c>
      <c r="F300" s="8" t="s">
        <v>48</v>
      </c>
      <c r="G300" s="8" t="s">
        <v>3519</v>
      </c>
      <c r="H300" s="8" t="s">
        <v>6103</v>
      </c>
      <c r="I300" s="8" t="s">
        <v>6104</v>
      </c>
      <c r="J300" s="8">
        <v>2</v>
      </c>
      <c r="K300" s="8">
        <v>26.68</v>
      </c>
      <c r="L300" s="8" t="s">
        <v>6105</v>
      </c>
      <c r="M300" s="8" t="s">
        <v>6106</v>
      </c>
      <c r="N300" s="8" t="s">
        <v>54</v>
      </c>
      <c r="O300" s="8" t="s">
        <v>6107</v>
      </c>
      <c r="P300" s="8" t="s">
        <v>6108</v>
      </c>
      <c r="Q300" s="8" t="s">
        <v>6109</v>
      </c>
      <c r="R300" s="8" t="s">
        <v>6110</v>
      </c>
      <c r="S300" s="8" t="s">
        <v>6111</v>
      </c>
      <c r="T300" s="8">
        <v>1186500</v>
      </c>
      <c r="U300" s="8">
        <v>1695000</v>
      </c>
      <c r="V300" s="8" t="s">
        <v>6112</v>
      </c>
      <c r="W300" s="8" t="s">
        <v>683</v>
      </c>
      <c r="X300" s="8" t="s">
        <v>6113</v>
      </c>
      <c r="Y300" s="8" t="s">
        <v>6114</v>
      </c>
      <c r="Z300" s="8" t="s">
        <v>64</v>
      </c>
      <c r="AA300" s="8" t="s">
        <v>65</v>
      </c>
      <c r="AB300" s="8" t="s">
        <v>2448</v>
      </c>
      <c r="AC300" s="8" t="s">
        <v>151</v>
      </c>
      <c r="AD300" s="8" t="s">
        <v>924</v>
      </c>
      <c r="AE300" s="8" t="s">
        <v>288</v>
      </c>
      <c r="AF300" s="8" t="s">
        <v>4995</v>
      </c>
      <c r="AG300" s="8" t="s">
        <v>6115</v>
      </c>
      <c r="AH300" s="8">
        <v>7</v>
      </c>
      <c r="AI300" s="8" t="s">
        <v>100</v>
      </c>
      <c r="AJ300" s="8" t="s">
        <v>6116</v>
      </c>
      <c r="AK300" s="8" t="s">
        <v>1539</v>
      </c>
      <c r="AL300" s="8"/>
      <c r="AM300" s="8" t="s">
        <v>75</v>
      </c>
      <c r="AN300" s="8">
        <v>1271250</v>
      </c>
      <c r="AO300" s="11">
        <v>25425</v>
      </c>
      <c r="AP300" s="8"/>
      <c r="AQ300" s="8"/>
      <c r="AR300" s="8"/>
      <c r="AS300" s="18" t="s">
        <v>6849</v>
      </c>
      <c r="AT300" s="18"/>
      <c r="AU300" s="19">
        <v>25425</v>
      </c>
      <c r="AV300" s="20">
        <v>0</v>
      </c>
      <c r="AW300" s="18" t="s">
        <v>6555</v>
      </c>
      <c r="AX300" s="18"/>
      <c r="AY300" s="18"/>
    </row>
    <row r="301" spans="1:51" x14ac:dyDescent="0.25">
      <c r="A301" s="5">
        <v>299</v>
      </c>
      <c r="B301" s="6" t="s">
        <v>1305</v>
      </c>
      <c r="C301" s="6" t="s">
        <v>6133</v>
      </c>
      <c r="D301" s="6" t="s">
        <v>46</v>
      </c>
      <c r="E301" s="6" t="s">
        <v>47</v>
      </c>
      <c r="F301" s="6" t="s">
        <v>48</v>
      </c>
      <c r="G301" s="6" t="s">
        <v>182</v>
      </c>
      <c r="H301" s="6" t="s">
        <v>6134</v>
      </c>
      <c r="I301" s="6" t="s">
        <v>6135</v>
      </c>
      <c r="J301" s="6">
        <v>2</v>
      </c>
      <c r="K301" s="6">
        <v>25.85</v>
      </c>
      <c r="L301" s="6" t="s">
        <v>6136</v>
      </c>
      <c r="M301" s="6" t="s">
        <v>6137</v>
      </c>
      <c r="N301" s="6" t="s">
        <v>4373</v>
      </c>
      <c r="O301" s="6" t="s">
        <v>6138</v>
      </c>
      <c r="P301" s="6" t="s">
        <v>652</v>
      </c>
      <c r="Q301" s="6" t="s">
        <v>6139</v>
      </c>
      <c r="R301" s="6" t="s">
        <v>6140</v>
      </c>
      <c r="S301" s="6" t="s">
        <v>6141</v>
      </c>
      <c r="T301" s="6">
        <v>998200</v>
      </c>
      <c r="U301" s="6">
        <v>1610000</v>
      </c>
      <c r="V301" s="6" t="s">
        <v>6142</v>
      </c>
      <c r="W301" s="6" t="s">
        <v>5228</v>
      </c>
      <c r="X301" s="6" t="s">
        <v>6143</v>
      </c>
      <c r="Y301" s="6" t="s">
        <v>6144</v>
      </c>
      <c r="Z301" s="6" t="s">
        <v>64</v>
      </c>
      <c r="AA301" s="6" t="s">
        <v>65</v>
      </c>
      <c r="AB301" s="6" t="s">
        <v>1746</v>
      </c>
      <c r="AC301" s="6" t="s">
        <v>65</v>
      </c>
      <c r="AD301" s="6" t="s">
        <v>5521</v>
      </c>
      <c r="AE301" s="6" t="s">
        <v>69</v>
      </c>
      <c r="AF301" s="6" t="s">
        <v>1319</v>
      </c>
      <c r="AG301" s="6" t="s">
        <v>6145</v>
      </c>
      <c r="AH301" s="6">
        <v>7</v>
      </c>
      <c r="AI301" s="6" t="s">
        <v>198</v>
      </c>
      <c r="AJ301" s="6" t="s">
        <v>6146</v>
      </c>
      <c r="AK301" s="6" t="s">
        <v>604</v>
      </c>
      <c r="AL301" s="6"/>
      <c r="AM301" s="6" t="s">
        <v>75</v>
      </c>
      <c r="AN301" s="6">
        <v>1288000</v>
      </c>
      <c r="AO301" s="10">
        <v>25760</v>
      </c>
      <c r="AP301" s="6"/>
      <c r="AQ301" s="6"/>
      <c r="AR301" s="6"/>
      <c r="AS301" s="18" t="s">
        <v>6850</v>
      </c>
      <c r="AT301" s="18"/>
      <c r="AU301" s="19">
        <v>25760</v>
      </c>
      <c r="AV301" s="20">
        <v>0</v>
      </c>
      <c r="AW301" s="18" t="s">
        <v>6555</v>
      </c>
      <c r="AX301" s="18"/>
      <c r="AY301" s="18"/>
    </row>
    <row r="302" spans="1:51" x14ac:dyDescent="0.25">
      <c r="A302" s="7">
        <v>300</v>
      </c>
      <c r="B302" s="8" t="s">
        <v>1305</v>
      </c>
      <c r="C302" s="8" t="s">
        <v>6147</v>
      </c>
      <c r="D302" s="8" t="s">
        <v>77</v>
      </c>
      <c r="E302" s="8" t="s">
        <v>47</v>
      </c>
      <c r="F302" s="8" t="s">
        <v>48</v>
      </c>
      <c r="G302" s="8" t="s">
        <v>2144</v>
      </c>
      <c r="H302" s="8" t="s">
        <v>6148</v>
      </c>
      <c r="I302" s="8" t="s">
        <v>6149</v>
      </c>
      <c r="J302" s="8">
        <v>2</v>
      </c>
      <c r="K302" s="8">
        <v>25.68</v>
      </c>
      <c r="L302" s="8" t="s">
        <v>6150</v>
      </c>
      <c r="M302" s="8" t="s">
        <v>6151</v>
      </c>
      <c r="N302" s="8" t="s">
        <v>187</v>
      </c>
      <c r="O302" s="8" t="s">
        <v>6152</v>
      </c>
      <c r="P302" s="8" t="s">
        <v>65</v>
      </c>
      <c r="Q302" s="8" t="s">
        <v>6153</v>
      </c>
      <c r="R302" s="8" t="s">
        <v>65</v>
      </c>
      <c r="S302" s="8" t="s">
        <v>6154</v>
      </c>
      <c r="T302" s="8">
        <v>801000</v>
      </c>
      <c r="U302" s="8">
        <v>1335000</v>
      </c>
      <c r="V302" s="8" t="s">
        <v>6155</v>
      </c>
      <c r="W302" s="8" t="s">
        <v>583</v>
      </c>
      <c r="X302" s="8" t="s">
        <v>6156</v>
      </c>
      <c r="Y302" s="8" t="s">
        <v>6157</v>
      </c>
      <c r="Z302" s="8" t="s">
        <v>64</v>
      </c>
      <c r="AA302" s="8" t="s">
        <v>65</v>
      </c>
      <c r="AB302" s="8" t="s">
        <v>777</v>
      </c>
      <c r="AC302" s="8" t="s">
        <v>67</v>
      </c>
      <c r="AD302" s="8" t="s">
        <v>258</v>
      </c>
      <c r="AE302" s="8" t="s">
        <v>399</v>
      </c>
      <c r="AF302" s="8" t="s">
        <v>1354</v>
      </c>
      <c r="AG302" s="8" t="s">
        <v>6158</v>
      </c>
      <c r="AH302" s="8">
        <v>5</v>
      </c>
      <c r="AI302" s="8" t="s">
        <v>237</v>
      </c>
      <c r="AJ302" s="8" t="s">
        <v>6159</v>
      </c>
      <c r="AK302" s="8" t="s">
        <v>683</v>
      </c>
      <c r="AL302" s="8"/>
      <c r="AM302" s="8" t="s">
        <v>75</v>
      </c>
      <c r="AN302" s="8">
        <v>1068000</v>
      </c>
      <c r="AO302" s="11">
        <v>21360</v>
      </c>
      <c r="AP302" s="8"/>
      <c r="AQ302" s="8"/>
      <c r="AR302" s="8"/>
      <c r="AS302" s="18" t="s">
        <v>6851</v>
      </c>
      <c r="AT302" s="18"/>
      <c r="AU302" s="19">
        <v>21360</v>
      </c>
      <c r="AV302" s="20">
        <v>0</v>
      </c>
      <c r="AW302" s="18" t="s">
        <v>6555</v>
      </c>
      <c r="AX302" s="18"/>
      <c r="AY302" s="18"/>
    </row>
    <row r="303" spans="1:51" x14ac:dyDescent="0.25">
      <c r="A303" s="5">
        <v>301</v>
      </c>
      <c r="B303" s="6" t="s">
        <v>1305</v>
      </c>
      <c r="C303" s="6" t="s">
        <v>6160</v>
      </c>
      <c r="D303" s="6" t="s">
        <v>46</v>
      </c>
      <c r="E303" s="6" t="s">
        <v>47</v>
      </c>
      <c r="F303" s="6" t="s">
        <v>48</v>
      </c>
      <c r="G303" s="6" t="s">
        <v>2951</v>
      </c>
      <c r="H303" s="6" t="s">
        <v>6161</v>
      </c>
      <c r="I303" s="6" t="s">
        <v>6162</v>
      </c>
      <c r="J303" s="6">
        <v>2</v>
      </c>
      <c r="K303" s="6">
        <v>25.8</v>
      </c>
      <c r="L303" s="6" t="s">
        <v>6163</v>
      </c>
      <c r="M303" s="6" t="s">
        <v>6164</v>
      </c>
      <c r="N303" s="6" t="s">
        <v>265</v>
      </c>
      <c r="O303" s="6" t="s">
        <v>6165</v>
      </c>
      <c r="P303" s="6" t="s">
        <v>6166</v>
      </c>
      <c r="Q303" s="6" t="s">
        <v>65</v>
      </c>
      <c r="R303" s="6" t="s">
        <v>6167</v>
      </c>
      <c r="S303" s="6" t="s">
        <v>6168</v>
      </c>
      <c r="T303" s="6">
        <v>988650</v>
      </c>
      <c r="U303" s="6">
        <v>1521000</v>
      </c>
      <c r="V303" s="6" t="s">
        <v>6169</v>
      </c>
      <c r="W303" s="6" t="s">
        <v>583</v>
      </c>
      <c r="X303" s="6" t="s">
        <v>6170</v>
      </c>
      <c r="Y303" s="6" t="s">
        <v>6171</v>
      </c>
      <c r="Z303" s="6" t="s">
        <v>64</v>
      </c>
      <c r="AA303" s="6" t="s">
        <v>65</v>
      </c>
      <c r="AB303" s="6" t="s">
        <v>1696</v>
      </c>
      <c r="AC303" s="6" t="s">
        <v>67</v>
      </c>
      <c r="AD303" s="6" t="s">
        <v>6172</v>
      </c>
      <c r="AE303" s="6" t="s">
        <v>69</v>
      </c>
      <c r="AF303" s="6" t="s">
        <v>1007</v>
      </c>
      <c r="AG303" s="6" t="s">
        <v>6173</v>
      </c>
      <c r="AH303" s="6">
        <v>5</v>
      </c>
      <c r="AI303" s="6" t="s">
        <v>198</v>
      </c>
      <c r="AJ303" s="6" t="s">
        <v>6174</v>
      </c>
      <c r="AK303" s="6" t="s">
        <v>604</v>
      </c>
      <c r="AL303" s="6"/>
      <c r="AM303" s="6" t="s">
        <v>75</v>
      </c>
      <c r="AN303" s="6">
        <v>1216800</v>
      </c>
      <c r="AO303" s="10">
        <v>24336</v>
      </c>
      <c r="AP303" s="6"/>
      <c r="AQ303" s="6"/>
      <c r="AR303" s="6"/>
      <c r="AS303" s="18" t="s">
        <v>6852</v>
      </c>
      <c r="AT303" s="18"/>
      <c r="AU303" s="19">
        <v>24336</v>
      </c>
      <c r="AV303" s="20">
        <v>0</v>
      </c>
      <c r="AW303" s="18" t="s">
        <v>6555</v>
      </c>
      <c r="AX303" s="18"/>
      <c r="AY303" s="18"/>
    </row>
    <row r="304" spans="1:51" x14ac:dyDescent="0.25">
      <c r="A304" s="7">
        <v>302</v>
      </c>
      <c r="B304" s="8" t="s">
        <v>1305</v>
      </c>
      <c r="C304" s="8" t="s">
        <v>6175</v>
      </c>
      <c r="D304" s="8" t="s">
        <v>46</v>
      </c>
      <c r="E304" s="8" t="s">
        <v>47</v>
      </c>
      <c r="F304" s="8" t="s">
        <v>48</v>
      </c>
      <c r="G304" s="8" t="s">
        <v>182</v>
      </c>
      <c r="H304" s="8" t="s">
        <v>6176</v>
      </c>
      <c r="I304" s="8" t="s">
        <v>6177</v>
      </c>
      <c r="J304" s="8">
        <v>2</v>
      </c>
      <c r="K304" s="8">
        <v>26.19</v>
      </c>
      <c r="L304" s="8" t="s">
        <v>6178</v>
      </c>
      <c r="M304" s="8" t="s">
        <v>6179</v>
      </c>
      <c r="N304" s="8" t="s">
        <v>83</v>
      </c>
      <c r="O304" s="8" t="s">
        <v>6180</v>
      </c>
      <c r="P304" s="8" t="s">
        <v>6181</v>
      </c>
      <c r="Q304" s="8" t="s">
        <v>6181</v>
      </c>
      <c r="R304" s="8" t="s">
        <v>167</v>
      </c>
      <c r="S304" s="8" t="s">
        <v>6182</v>
      </c>
      <c r="T304" s="8">
        <v>1438150</v>
      </c>
      <c r="U304" s="8">
        <v>2935000</v>
      </c>
      <c r="V304" s="8" t="s">
        <v>6183</v>
      </c>
      <c r="W304" s="8" t="s">
        <v>6184</v>
      </c>
      <c r="X304" s="8" t="s">
        <v>6185</v>
      </c>
      <c r="Y304" s="8" t="s">
        <v>6186</v>
      </c>
      <c r="Z304" s="8" t="s">
        <v>64</v>
      </c>
      <c r="AA304" s="8" t="s">
        <v>65</v>
      </c>
      <c r="AB304" s="8" t="s">
        <v>1696</v>
      </c>
      <c r="AC304" s="8" t="s">
        <v>436</v>
      </c>
      <c r="AD304" s="12">
        <v>45146</v>
      </c>
      <c r="AE304" s="8" t="s">
        <v>437</v>
      </c>
      <c r="AF304" s="8" t="s">
        <v>2213</v>
      </c>
      <c r="AG304" s="8" t="s">
        <v>6187</v>
      </c>
      <c r="AH304" s="8">
        <v>2</v>
      </c>
      <c r="AI304" s="8" t="s">
        <v>72</v>
      </c>
      <c r="AJ304" s="8" t="s">
        <v>6188</v>
      </c>
      <c r="AK304" s="8" t="s">
        <v>6189</v>
      </c>
      <c r="AL304" s="8"/>
      <c r="AM304" s="8" t="s">
        <v>75</v>
      </c>
      <c r="AN304" s="8">
        <v>2641500</v>
      </c>
      <c r="AO304" s="11">
        <v>52830</v>
      </c>
      <c r="AP304" s="8"/>
      <c r="AQ304" s="8"/>
      <c r="AR304" s="8"/>
      <c r="AS304" s="18" t="s">
        <v>6853</v>
      </c>
      <c r="AT304" s="18"/>
      <c r="AU304" s="19">
        <v>52830</v>
      </c>
      <c r="AV304" s="20">
        <v>0</v>
      </c>
      <c r="AW304" s="18" t="s">
        <v>6555</v>
      </c>
      <c r="AX304" s="18"/>
      <c r="AY304" s="18"/>
    </row>
    <row r="305" spans="1:51" x14ac:dyDescent="0.25">
      <c r="A305" s="5">
        <v>303</v>
      </c>
      <c r="B305" s="6" t="s">
        <v>1305</v>
      </c>
      <c r="C305" s="6" t="s">
        <v>6190</v>
      </c>
      <c r="D305" s="6" t="s">
        <v>77</v>
      </c>
      <c r="E305" s="6" t="s">
        <v>47</v>
      </c>
      <c r="F305" s="6" t="s">
        <v>48</v>
      </c>
      <c r="G305" s="6" t="s">
        <v>6191</v>
      </c>
      <c r="H305" s="6" t="s">
        <v>6192</v>
      </c>
      <c r="I305" s="6" t="s">
        <v>6193</v>
      </c>
      <c r="J305" s="6">
        <v>1.75</v>
      </c>
      <c r="K305" s="6">
        <v>25.44</v>
      </c>
      <c r="L305" s="6" t="s">
        <v>6194</v>
      </c>
      <c r="M305" s="6" t="s">
        <v>6195</v>
      </c>
      <c r="N305" s="6" t="s">
        <v>901</v>
      </c>
      <c r="O305" s="6" t="s">
        <v>6196</v>
      </c>
      <c r="P305" s="6" t="s">
        <v>6197</v>
      </c>
      <c r="Q305" s="6" t="s">
        <v>6197</v>
      </c>
      <c r="R305" s="6" t="s">
        <v>6197</v>
      </c>
      <c r="S305" s="6" t="s">
        <v>6198</v>
      </c>
      <c r="T305" s="6">
        <v>1120000</v>
      </c>
      <c r="U305" s="6">
        <v>1600000</v>
      </c>
      <c r="V305" s="6" t="s">
        <v>6199</v>
      </c>
      <c r="W305" s="6" t="s">
        <v>566</v>
      </c>
      <c r="X305" s="6" t="s">
        <v>6200</v>
      </c>
      <c r="Y305" s="6" t="s">
        <v>6201</v>
      </c>
      <c r="Z305" s="6" t="s">
        <v>93</v>
      </c>
      <c r="AA305" s="6" t="s">
        <v>6202</v>
      </c>
      <c r="AB305" s="6" t="s">
        <v>642</v>
      </c>
      <c r="AC305" s="6" t="s">
        <v>662</v>
      </c>
      <c r="AD305" s="6" t="s">
        <v>375</v>
      </c>
      <c r="AE305" s="6" t="s">
        <v>231</v>
      </c>
      <c r="AF305" s="6" t="s">
        <v>4995</v>
      </c>
      <c r="AG305" s="6" t="s">
        <v>6203</v>
      </c>
      <c r="AH305" s="6">
        <v>5</v>
      </c>
      <c r="AI305" s="6" t="s">
        <v>100</v>
      </c>
      <c r="AJ305" s="6" t="s">
        <v>6204</v>
      </c>
      <c r="AK305" s="6" t="s">
        <v>453</v>
      </c>
      <c r="AL305" s="6"/>
      <c r="AM305" s="6" t="s">
        <v>102</v>
      </c>
      <c r="AN305" s="6">
        <v>1360000</v>
      </c>
      <c r="AO305" s="10">
        <v>23800.000000000004</v>
      </c>
      <c r="AP305" s="6"/>
      <c r="AQ305" s="6"/>
      <c r="AR305" s="6"/>
      <c r="AS305" s="18" t="s">
        <v>6854</v>
      </c>
      <c r="AT305" s="18" t="s">
        <v>7016</v>
      </c>
      <c r="AU305" s="19">
        <v>21000</v>
      </c>
      <c r="AV305" s="20">
        <v>2800.0000000000036</v>
      </c>
      <c r="AW305" s="18" t="s">
        <v>6555</v>
      </c>
      <c r="AX305" s="18">
        <v>2800</v>
      </c>
      <c r="AY305" s="20">
        <v>3.637978807091713E-12</v>
      </c>
    </row>
    <row r="306" spans="1:51" x14ac:dyDescent="0.25">
      <c r="A306" s="7">
        <v>304</v>
      </c>
      <c r="B306" s="8" t="s">
        <v>1305</v>
      </c>
      <c r="C306" s="8" t="s">
        <v>6205</v>
      </c>
      <c r="D306" s="8" t="s">
        <v>241</v>
      </c>
      <c r="E306" s="8" t="s">
        <v>47</v>
      </c>
      <c r="F306" s="8" t="s">
        <v>48</v>
      </c>
      <c r="G306" s="8" t="s">
        <v>2951</v>
      </c>
      <c r="H306" s="8" t="s">
        <v>6206</v>
      </c>
      <c r="I306" s="8" t="s">
        <v>6207</v>
      </c>
      <c r="J306" s="8">
        <v>2</v>
      </c>
      <c r="K306" s="8">
        <v>26.29</v>
      </c>
      <c r="L306" s="8" t="s">
        <v>6208</v>
      </c>
      <c r="M306" s="8" t="s">
        <v>6209</v>
      </c>
      <c r="N306" s="8" t="s">
        <v>265</v>
      </c>
      <c r="O306" s="8" t="s">
        <v>6210</v>
      </c>
      <c r="P306" s="8" t="s">
        <v>6211</v>
      </c>
      <c r="Q306" s="8" t="s">
        <v>65</v>
      </c>
      <c r="R306" s="8" t="s">
        <v>167</v>
      </c>
      <c r="S306" s="8" t="s">
        <v>6212</v>
      </c>
      <c r="T306" s="8">
        <v>1370600</v>
      </c>
      <c r="U306" s="8">
        <v>1780000</v>
      </c>
      <c r="V306" s="8" t="s">
        <v>6213</v>
      </c>
      <c r="W306" s="8" t="s">
        <v>583</v>
      </c>
      <c r="X306" s="8" t="s">
        <v>6214</v>
      </c>
      <c r="Y306" s="8" t="s">
        <v>6215</v>
      </c>
      <c r="Z306" s="8" t="s">
        <v>64</v>
      </c>
      <c r="AA306" s="8" t="s">
        <v>65</v>
      </c>
      <c r="AB306" s="8" t="s">
        <v>416</v>
      </c>
      <c r="AC306" s="8" t="s">
        <v>67</v>
      </c>
      <c r="AD306" s="8" t="s">
        <v>417</v>
      </c>
      <c r="AE306" s="8" t="s">
        <v>399</v>
      </c>
      <c r="AF306" s="8" t="s">
        <v>5607</v>
      </c>
      <c r="AG306" s="8" t="s">
        <v>6216</v>
      </c>
      <c r="AH306" s="8">
        <v>7</v>
      </c>
      <c r="AI306" s="8" t="s">
        <v>198</v>
      </c>
      <c r="AJ306" s="8" t="s">
        <v>6217</v>
      </c>
      <c r="AK306" s="8" t="s">
        <v>604</v>
      </c>
      <c r="AL306" s="8"/>
      <c r="AM306" s="8" t="s">
        <v>75</v>
      </c>
      <c r="AN306" s="8">
        <v>1424000</v>
      </c>
      <c r="AO306" s="11">
        <v>28480</v>
      </c>
      <c r="AP306" s="8"/>
      <c r="AQ306" s="8"/>
      <c r="AR306" s="8"/>
      <c r="AS306" s="18" t="s">
        <v>6855</v>
      </c>
      <c r="AT306" s="18"/>
      <c r="AU306" s="19">
        <v>28480</v>
      </c>
      <c r="AV306" s="20">
        <v>0</v>
      </c>
      <c r="AW306" s="18" t="s">
        <v>6555</v>
      </c>
      <c r="AX306" s="18"/>
      <c r="AY306" s="18"/>
    </row>
    <row r="307" spans="1:51" x14ac:dyDescent="0.25">
      <c r="A307" s="5">
        <v>305</v>
      </c>
      <c r="B307" s="6" t="s">
        <v>1305</v>
      </c>
      <c r="C307" s="6" t="s">
        <v>6218</v>
      </c>
      <c r="D307" s="6" t="s">
        <v>46</v>
      </c>
      <c r="E307" s="6" t="s">
        <v>47</v>
      </c>
      <c r="F307" s="6" t="s">
        <v>48</v>
      </c>
      <c r="G307" s="6" t="s">
        <v>313</v>
      </c>
      <c r="H307" s="6" t="s">
        <v>6219</v>
      </c>
      <c r="I307" s="6" t="s">
        <v>6220</v>
      </c>
      <c r="J307" s="6">
        <v>2</v>
      </c>
      <c r="K307" s="6">
        <v>25.8</v>
      </c>
      <c r="L307" s="6" t="s">
        <v>6221</v>
      </c>
      <c r="M307" s="6" t="s">
        <v>6222</v>
      </c>
      <c r="N307" s="6" t="s">
        <v>83</v>
      </c>
      <c r="O307" s="6" t="s">
        <v>6223</v>
      </c>
      <c r="P307" s="6" t="s">
        <v>6224</v>
      </c>
      <c r="Q307" s="6" t="s">
        <v>6224</v>
      </c>
      <c r="R307" s="6" t="s">
        <v>6224</v>
      </c>
      <c r="S307" s="6" t="s">
        <v>6225</v>
      </c>
      <c r="T307" s="6">
        <v>1655000</v>
      </c>
      <c r="U307" s="6">
        <v>2765000</v>
      </c>
      <c r="V307" s="6" t="s">
        <v>6226</v>
      </c>
      <c r="W307" s="6" t="s">
        <v>583</v>
      </c>
      <c r="X307" s="6" t="s">
        <v>6227</v>
      </c>
      <c r="Y307" s="6" t="s">
        <v>6228</v>
      </c>
      <c r="Z307" s="6" t="s">
        <v>64</v>
      </c>
      <c r="AA307" s="6" t="s">
        <v>65</v>
      </c>
      <c r="AB307" s="6" t="s">
        <v>3561</v>
      </c>
      <c r="AC307" s="6" t="s">
        <v>67</v>
      </c>
      <c r="AD307" s="6" t="s">
        <v>1039</v>
      </c>
      <c r="AE307" s="6" t="s">
        <v>69</v>
      </c>
      <c r="AF307" s="6" t="s">
        <v>1007</v>
      </c>
      <c r="AG307" s="6" t="s">
        <v>6229</v>
      </c>
      <c r="AH307" s="6">
        <v>5</v>
      </c>
      <c r="AI307" s="6" t="s">
        <v>198</v>
      </c>
      <c r="AJ307" s="6" t="s">
        <v>6230</v>
      </c>
      <c r="AK307" s="6" t="s">
        <v>5524</v>
      </c>
      <c r="AL307" s="6"/>
      <c r="AM307" s="6" t="s">
        <v>75</v>
      </c>
      <c r="AN307" s="6">
        <v>2212000</v>
      </c>
      <c r="AO307" s="10">
        <v>44240</v>
      </c>
      <c r="AP307" s="6"/>
      <c r="AQ307" s="6"/>
      <c r="AR307" s="6"/>
      <c r="AS307" s="18" t="s">
        <v>6856</v>
      </c>
      <c r="AT307" s="18"/>
      <c r="AU307" s="19">
        <v>44240</v>
      </c>
      <c r="AV307" s="20">
        <v>0</v>
      </c>
      <c r="AW307" s="18" t="s">
        <v>6555</v>
      </c>
      <c r="AX307" s="18"/>
      <c r="AY307" s="18"/>
    </row>
    <row r="308" spans="1:51" x14ac:dyDescent="0.25">
      <c r="A308" s="7">
        <v>306</v>
      </c>
      <c r="B308" s="8" t="s">
        <v>1305</v>
      </c>
      <c r="C308" s="8" t="s">
        <v>6231</v>
      </c>
      <c r="D308" s="8" t="s">
        <v>46</v>
      </c>
      <c r="E308" s="8" t="s">
        <v>47</v>
      </c>
      <c r="F308" s="8" t="s">
        <v>48</v>
      </c>
      <c r="G308" s="8" t="s">
        <v>104</v>
      </c>
      <c r="H308" s="8" t="s">
        <v>6232</v>
      </c>
      <c r="I308" s="8" t="s">
        <v>6233</v>
      </c>
      <c r="J308" s="8">
        <v>2</v>
      </c>
      <c r="K308" s="8">
        <v>26.19</v>
      </c>
      <c r="L308" s="8" t="s">
        <v>6234</v>
      </c>
      <c r="M308" s="8" t="s">
        <v>6235</v>
      </c>
      <c r="N308" s="8" t="s">
        <v>83</v>
      </c>
      <c r="O308" s="8" t="s">
        <v>6236</v>
      </c>
      <c r="P308" s="8" t="s">
        <v>6237</v>
      </c>
      <c r="Q308" s="8" t="s">
        <v>6238</v>
      </c>
      <c r="R308" s="8" t="s">
        <v>6237</v>
      </c>
      <c r="S308" s="8" t="s">
        <v>6239</v>
      </c>
      <c r="T308" s="8">
        <v>2897000</v>
      </c>
      <c r="U308" s="8">
        <v>5794000</v>
      </c>
      <c r="V308" s="8" t="s">
        <v>6240</v>
      </c>
      <c r="W308" s="8" t="s">
        <v>566</v>
      </c>
      <c r="X308" s="8" t="s">
        <v>6241</v>
      </c>
      <c r="Y308" s="8" t="s">
        <v>6242</v>
      </c>
      <c r="Z308" s="8" t="s">
        <v>64</v>
      </c>
      <c r="AA308" s="8" t="s">
        <v>65</v>
      </c>
      <c r="AB308" s="8" t="s">
        <v>116</v>
      </c>
      <c r="AC308" s="8" t="s">
        <v>531</v>
      </c>
      <c r="AD308" s="8" t="s">
        <v>6243</v>
      </c>
      <c r="AE308" s="8" t="s">
        <v>231</v>
      </c>
      <c r="AF308" s="8" t="s">
        <v>2213</v>
      </c>
      <c r="AG308" s="8" t="s">
        <v>6244</v>
      </c>
      <c r="AH308" s="8">
        <v>3</v>
      </c>
      <c r="AI308" s="8" t="s">
        <v>65</v>
      </c>
      <c r="AJ308" s="8" t="s">
        <v>65</v>
      </c>
      <c r="AK308" s="8" t="s">
        <v>65</v>
      </c>
      <c r="AL308" s="8"/>
      <c r="AM308" s="8" t="s">
        <v>75</v>
      </c>
      <c r="AN308" s="8">
        <v>4924900</v>
      </c>
      <c r="AO308" s="11">
        <v>98498</v>
      </c>
      <c r="AP308" s="8"/>
      <c r="AQ308" s="8"/>
      <c r="AR308" s="8"/>
      <c r="AS308" s="18" t="s">
        <v>6857</v>
      </c>
      <c r="AT308" s="18"/>
      <c r="AU308" s="19">
        <v>98498</v>
      </c>
      <c r="AV308" s="20">
        <v>0</v>
      </c>
      <c r="AW308" s="18" t="s">
        <v>6555</v>
      </c>
      <c r="AX308" s="18"/>
      <c r="AY308" s="18"/>
    </row>
    <row r="309" spans="1:51" x14ac:dyDescent="0.25">
      <c r="A309" s="5">
        <v>307</v>
      </c>
      <c r="B309" s="6" t="s">
        <v>1305</v>
      </c>
      <c r="C309" s="6" t="s">
        <v>6245</v>
      </c>
      <c r="D309" s="6" t="s">
        <v>277</v>
      </c>
      <c r="E309" s="6" t="s">
        <v>47</v>
      </c>
      <c r="F309" s="6" t="s">
        <v>48</v>
      </c>
      <c r="G309" s="6" t="s">
        <v>2356</v>
      </c>
      <c r="H309" s="6" t="s">
        <v>6246</v>
      </c>
      <c r="I309" s="6" t="s">
        <v>6247</v>
      </c>
      <c r="J309" s="6">
        <v>1.75</v>
      </c>
      <c r="K309" s="6">
        <v>26.19</v>
      </c>
      <c r="L309" s="6" t="s">
        <v>6248</v>
      </c>
      <c r="M309" s="6" t="s">
        <v>6249</v>
      </c>
      <c r="N309" s="6" t="s">
        <v>83</v>
      </c>
      <c r="O309" s="6" t="s">
        <v>6250</v>
      </c>
      <c r="P309" s="6" t="s">
        <v>6251</v>
      </c>
      <c r="Q309" s="6" t="s">
        <v>6251</v>
      </c>
      <c r="R309" s="6" t="s">
        <v>167</v>
      </c>
      <c r="S309" s="6" t="s">
        <v>6252</v>
      </c>
      <c r="T309" s="6">
        <v>2293600</v>
      </c>
      <c r="U309" s="6">
        <v>3760000</v>
      </c>
      <c r="V309" s="6" t="s">
        <v>6253</v>
      </c>
      <c r="W309" s="6" t="s">
        <v>566</v>
      </c>
      <c r="X309" s="6" t="s">
        <v>6254</v>
      </c>
      <c r="Y309" s="6" t="s">
        <v>6255</v>
      </c>
      <c r="Z309" s="6" t="s">
        <v>64</v>
      </c>
      <c r="AA309" s="6" t="s">
        <v>65</v>
      </c>
      <c r="AB309" s="6" t="s">
        <v>5225</v>
      </c>
      <c r="AC309" s="6" t="s">
        <v>531</v>
      </c>
      <c r="AD309" s="6" t="s">
        <v>453</v>
      </c>
      <c r="AE309" s="6" t="s">
        <v>453</v>
      </c>
      <c r="AF309" s="6" t="s">
        <v>1430</v>
      </c>
      <c r="AG309" s="6" t="s">
        <v>6256</v>
      </c>
      <c r="AH309" s="6">
        <v>3</v>
      </c>
      <c r="AI309" s="6" t="s">
        <v>100</v>
      </c>
      <c r="AJ309" s="6" t="s">
        <v>6257</v>
      </c>
      <c r="AK309" s="6" t="s">
        <v>5228</v>
      </c>
      <c r="AL309" s="6"/>
      <c r="AM309" s="6" t="s">
        <v>102</v>
      </c>
      <c r="AN309" s="6">
        <v>3196000</v>
      </c>
      <c r="AO309" s="10">
        <v>55930.000000000007</v>
      </c>
      <c r="AP309" s="6"/>
      <c r="AQ309" s="6"/>
      <c r="AR309" s="6"/>
      <c r="AS309" s="18" t="s">
        <v>6858</v>
      </c>
      <c r="AT309" s="18"/>
      <c r="AU309" s="19">
        <v>55930</v>
      </c>
      <c r="AV309" s="20">
        <v>0</v>
      </c>
      <c r="AW309" s="18" t="s">
        <v>6555</v>
      </c>
      <c r="AX309" s="18"/>
      <c r="AY309" s="18"/>
    </row>
    <row r="310" spans="1:51" x14ac:dyDescent="0.25">
      <c r="A310" s="7">
        <v>308</v>
      </c>
      <c r="B310" s="8" t="s">
        <v>1305</v>
      </c>
      <c r="C310" s="8" t="s">
        <v>6258</v>
      </c>
      <c r="D310" s="8" t="s">
        <v>46</v>
      </c>
      <c r="E310" s="8" t="s">
        <v>47</v>
      </c>
      <c r="F310" s="8" t="s">
        <v>48</v>
      </c>
      <c r="G310" s="8" t="s">
        <v>242</v>
      </c>
      <c r="H310" s="8" t="s">
        <v>6259</v>
      </c>
      <c r="I310" s="8" t="s">
        <v>6260</v>
      </c>
      <c r="J310" s="8">
        <v>2</v>
      </c>
      <c r="K310" s="8">
        <v>25.79</v>
      </c>
      <c r="L310" s="8" t="s">
        <v>6261</v>
      </c>
      <c r="M310" s="8" t="s">
        <v>6262</v>
      </c>
      <c r="N310" s="8" t="s">
        <v>83</v>
      </c>
      <c r="O310" s="8" t="s">
        <v>6263</v>
      </c>
      <c r="P310" s="8" t="s">
        <v>6264</v>
      </c>
      <c r="Q310" s="8" t="s">
        <v>6265</v>
      </c>
      <c r="R310" s="8" t="s">
        <v>6266</v>
      </c>
      <c r="S310" s="8" t="s">
        <v>6267</v>
      </c>
      <c r="T310" s="8">
        <v>2025000</v>
      </c>
      <c r="U310" s="8">
        <v>3375000</v>
      </c>
      <c r="V310" s="8" t="s">
        <v>6268</v>
      </c>
      <c r="W310" s="8" t="s">
        <v>583</v>
      </c>
      <c r="X310" s="8" t="s">
        <v>6269</v>
      </c>
      <c r="Y310" s="8" t="s">
        <v>6270</v>
      </c>
      <c r="Z310" s="8" t="s">
        <v>64</v>
      </c>
      <c r="AA310" s="8" t="s">
        <v>65</v>
      </c>
      <c r="AB310" s="8" t="s">
        <v>378</v>
      </c>
      <c r="AC310" s="8" t="s">
        <v>67</v>
      </c>
      <c r="AD310" s="8" t="s">
        <v>6271</v>
      </c>
      <c r="AE310" s="8" t="s">
        <v>399</v>
      </c>
      <c r="AF310" s="8" t="s">
        <v>2213</v>
      </c>
      <c r="AG310" s="8" t="s">
        <v>6272</v>
      </c>
      <c r="AH310" s="8">
        <v>4</v>
      </c>
      <c r="AI310" s="8" t="s">
        <v>237</v>
      </c>
      <c r="AJ310" s="8" t="s">
        <v>6273</v>
      </c>
      <c r="AK310" s="8" t="s">
        <v>683</v>
      </c>
      <c r="AL310" s="8"/>
      <c r="AM310" s="8" t="s">
        <v>75</v>
      </c>
      <c r="AN310" s="8">
        <v>2700000</v>
      </c>
      <c r="AO310" s="11">
        <v>54000</v>
      </c>
      <c r="AP310" s="8"/>
      <c r="AQ310" s="8"/>
      <c r="AR310" s="8"/>
      <c r="AS310" s="18" t="s">
        <v>6859</v>
      </c>
      <c r="AT310" s="18" t="s">
        <v>7017</v>
      </c>
      <c r="AU310" s="19">
        <v>57375</v>
      </c>
      <c r="AV310" s="20">
        <v>-3375</v>
      </c>
      <c r="AW310" s="18" t="s">
        <v>6555</v>
      </c>
      <c r="AX310" s="18">
        <v>-3375</v>
      </c>
      <c r="AY310" s="20">
        <v>0</v>
      </c>
    </row>
    <row r="311" spans="1:51" x14ac:dyDescent="0.25">
      <c r="A311" s="5">
        <v>309</v>
      </c>
      <c r="B311" s="6" t="s">
        <v>1305</v>
      </c>
      <c r="C311" s="6" t="s">
        <v>6274</v>
      </c>
      <c r="D311" s="6" t="s">
        <v>241</v>
      </c>
      <c r="E311" s="6" t="s">
        <v>47</v>
      </c>
      <c r="F311" s="6" t="s">
        <v>48</v>
      </c>
      <c r="G311" s="6" t="s">
        <v>104</v>
      </c>
      <c r="H311" s="6" t="s">
        <v>6275</v>
      </c>
      <c r="I311" s="6" t="s">
        <v>6276</v>
      </c>
      <c r="J311" s="6">
        <v>1.75</v>
      </c>
      <c r="K311" s="6">
        <v>25.95</v>
      </c>
      <c r="L311" s="6" t="s">
        <v>6277</v>
      </c>
      <c r="M311" s="6" t="s">
        <v>6278</v>
      </c>
      <c r="N311" s="6" t="s">
        <v>54</v>
      </c>
      <c r="O311" s="6" t="s">
        <v>6279</v>
      </c>
      <c r="P311" s="6" t="s">
        <v>65</v>
      </c>
      <c r="Q311" s="6" t="s">
        <v>6280</v>
      </c>
      <c r="R311" s="6" t="s">
        <v>65</v>
      </c>
      <c r="S311" s="6" t="s">
        <v>6281</v>
      </c>
      <c r="T311" s="6">
        <v>2869200</v>
      </c>
      <c r="U311" s="6">
        <v>4782000</v>
      </c>
      <c r="V311" s="6" t="s">
        <v>6282</v>
      </c>
      <c r="W311" s="6" t="s">
        <v>583</v>
      </c>
      <c r="X311" s="6" t="s">
        <v>6283</v>
      </c>
      <c r="Y311" s="6" t="s">
        <v>6284</v>
      </c>
      <c r="Z311" s="6" t="s">
        <v>64</v>
      </c>
      <c r="AA311" s="6" t="s">
        <v>65</v>
      </c>
      <c r="AB311" s="6" t="s">
        <v>6285</v>
      </c>
      <c r="AC311" s="6" t="s">
        <v>67</v>
      </c>
      <c r="AD311" s="6" t="s">
        <v>117</v>
      </c>
      <c r="AE311" s="6" t="s">
        <v>69</v>
      </c>
      <c r="AF311" s="6" t="s">
        <v>1007</v>
      </c>
      <c r="AG311" s="6" t="s">
        <v>6286</v>
      </c>
      <c r="AH311" s="6">
        <v>5</v>
      </c>
      <c r="AI311" s="6" t="s">
        <v>65</v>
      </c>
      <c r="AJ311" s="6" t="s">
        <v>65</v>
      </c>
      <c r="AK311" s="6" t="s">
        <v>65</v>
      </c>
      <c r="AL311" s="6"/>
      <c r="AM311" s="6" t="s">
        <v>102</v>
      </c>
      <c r="AN311" s="6">
        <v>3825600</v>
      </c>
      <c r="AO311" s="10">
        <v>66948</v>
      </c>
      <c r="AP311" s="6"/>
      <c r="AQ311" s="6"/>
      <c r="AR311" s="6"/>
      <c r="AS311" s="18" t="s">
        <v>6860</v>
      </c>
      <c r="AT311" s="18"/>
      <c r="AU311" s="19">
        <v>66948</v>
      </c>
      <c r="AV311" s="20">
        <v>0</v>
      </c>
      <c r="AW311" s="18" t="s">
        <v>6555</v>
      </c>
      <c r="AX311" s="18"/>
      <c r="AY311" s="18"/>
    </row>
    <row r="312" spans="1:51" x14ac:dyDescent="0.25">
      <c r="A312" s="7">
        <v>310</v>
      </c>
      <c r="B312" s="8" t="s">
        <v>6305</v>
      </c>
      <c r="C312" s="8" t="s">
        <v>6322</v>
      </c>
      <c r="D312" s="8" t="s">
        <v>46</v>
      </c>
      <c r="E312" s="8" t="s">
        <v>47</v>
      </c>
      <c r="F312" s="8" t="s">
        <v>48</v>
      </c>
      <c r="G312" s="8" t="s">
        <v>1371</v>
      </c>
      <c r="H312" s="8" t="s">
        <v>6323</v>
      </c>
      <c r="I312" s="8" t="s">
        <v>6324</v>
      </c>
      <c r="J312" s="8">
        <v>2</v>
      </c>
      <c r="K312" s="8">
        <v>25.8</v>
      </c>
      <c r="L312" s="8" t="s">
        <v>6325</v>
      </c>
      <c r="M312" s="8" t="s">
        <v>6326</v>
      </c>
      <c r="N312" s="8" t="s">
        <v>265</v>
      </c>
      <c r="O312" s="8" t="s">
        <v>6327</v>
      </c>
      <c r="P312" s="8" t="s">
        <v>6328</v>
      </c>
      <c r="Q312" s="8" t="s">
        <v>65</v>
      </c>
      <c r="R312" s="8" t="s">
        <v>6329</v>
      </c>
      <c r="S312" s="8" t="s">
        <v>6330</v>
      </c>
      <c r="T312" s="8">
        <v>2814500</v>
      </c>
      <c r="U312" s="8">
        <v>4330000</v>
      </c>
      <c r="V312" s="8" t="s">
        <v>6331</v>
      </c>
      <c r="W312" s="8" t="s">
        <v>97</v>
      </c>
      <c r="X312" s="8" t="s">
        <v>6332</v>
      </c>
      <c r="Y312" s="8" t="s">
        <v>6333</v>
      </c>
      <c r="Z312" s="8" t="s">
        <v>64</v>
      </c>
      <c r="AA312" s="8" t="s">
        <v>65</v>
      </c>
      <c r="AB312" s="8" t="s">
        <v>1368</v>
      </c>
      <c r="AC312" s="8" t="s">
        <v>67</v>
      </c>
      <c r="AD312" s="8" t="s">
        <v>6334</v>
      </c>
      <c r="AE312" s="8" t="s">
        <v>216</v>
      </c>
      <c r="AF312" s="8" t="s">
        <v>4937</v>
      </c>
      <c r="AG312" s="8" t="s">
        <v>65</v>
      </c>
      <c r="AH312" s="8">
        <v>7</v>
      </c>
      <c r="AI312" s="8" t="s">
        <v>65</v>
      </c>
      <c r="AJ312" s="8" t="s">
        <v>65</v>
      </c>
      <c r="AK312" s="8" t="s">
        <v>65</v>
      </c>
      <c r="AL312" s="8"/>
      <c r="AM312" s="8" t="s">
        <v>75</v>
      </c>
      <c r="AN312" s="8">
        <v>3464000</v>
      </c>
      <c r="AO312" s="11">
        <v>69280</v>
      </c>
      <c r="AP312" s="8"/>
      <c r="AQ312" s="8"/>
      <c r="AR312" s="8"/>
      <c r="AS312" s="18" t="s">
        <v>6861</v>
      </c>
      <c r="AT312" s="18"/>
      <c r="AU312" s="19">
        <v>69280</v>
      </c>
      <c r="AV312" s="20">
        <v>0</v>
      </c>
      <c r="AW312" s="18" t="s">
        <v>6555</v>
      </c>
      <c r="AX312" s="18"/>
      <c r="AY312" s="18"/>
    </row>
    <row r="313" spans="1:51" x14ac:dyDescent="0.25">
      <c r="A313" s="5">
        <v>311</v>
      </c>
      <c r="B313" s="6" t="s">
        <v>6305</v>
      </c>
      <c r="C313" s="6" t="s">
        <v>6335</v>
      </c>
      <c r="D313" s="6" t="s">
        <v>241</v>
      </c>
      <c r="E313" s="6" t="s">
        <v>47</v>
      </c>
      <c r="F313" s="6" t="s">
        <v>48</v>
      </c>
      <c r="G313" s="6" t="s">
        <v>6336</v>
      </c>
      <c r="H313" s="6" t="s">
        <v>6337</v>
      </c>
      <c r="I313" s="6" t="s">
        <v>6338</v>
      </c>
      <c r="J313" s="6">
        <v>2</v>
      </c>
      <c r="K313" s="6">
        <v>26.19</v>
      </c>
      <c r="L313" s="6" t="s">
        <v>6339</v>
      </c>
      <c r="M313" s="6" t="s">
        <v>6340</v>
      </c>
      <c r="N313" s="6" t="s">
        <v>6341</v>
      </c>
      <c r="O313" s="6" t="s">
        <v>6342</v>
      </c>
      <c r="P313" s="6" t="s">
        <v>65</v>
      </c>
      <c r="Q313" s="6" t="s">
        <v>6343</v>
      </c>
      <c r="R313" s="6" t="s">
        <v>65</v>
      </c>
      <c r="S313" s="6" t="s">
        <v>6344</v>
      </c>
      <c r="T313" s="6">
        <v>1591850</v>
      </c>
      <c r="U313" s="6">
        <v>2449000</v>
      </c>
      <c r="V313" s="6" t="s">
        <v>6345</v>
      </c>
      <c r="W313" s="6" t="s">
        <v>97</v>
      </c>
      <c r="X313" s="6" t="s">
        <v>6346</v>
      </c>
      <c r="Y313" s="6" t="s">
        <v>6347</v>
      </c>
      <c r="Z313" s="6" t="s">
        <v>64</v>
      </c>
      <c r="AA313" s="6" t="s">
        <v>65</v>
      </c>
      <c r="AB313" s="6" t="s">
        <v>1005</v>
      </c>
      <c r="AC313" s="6" t="s">
        <v>67</v>
      </c>
      <c r="AD313" s="6" t="s">
        <v>6348</v>
      </c>
      <c r="AE313" s="6" t="s">
        <v>4383</v>
      </c>
      <c r="AF313" s="6" t="s">
        <v>4384</v>
      </c>
      <c r="AG313" s="6" t="s">
        <v>6349</v>
      </c>
      <c r="AH313" s="6">
        <v>5</v>
      </c>
      <c r="AI313" s="6" t="s">
        <v>237</v>
      </c>
      <c r="AJ313" s="6" t="s">
        <v>6350</v>
      </c>
      <c r="AK313" s="6" t="s">
        <v>6351</v>
      </c>
      <c r="AL313" s="6"/>
      <c r="AM313" s="6" t="s">
        <v>75</v>
      </c>
      <c r="AN313" s="6">
        <v>1959200</v>
      </c>
      <c r="AO313" s="10">
        <v>39184</v>
      </c>
      <c r="AP313" s="6"/>
      <c r="AQ313" s="6"/>
      <c r="AR313" s="6"/>
      <c r="AS313" s="18" t="s">
        <v>6862</v>
      </c>
      <c r="AT313" s="18"/>
      <c r="AU313" s="19">
        <v>39184</v>
      </c>
      <c r="AV313" s="20">
        <v>0</v>
      </c>
      <c r="AW313" s="18" t="s">
        <v>6555</v>
      </c>
      <c r="AX313" s="18"/>
      <c r="AY313" s="18"/>
    </row>
    <row r="314" spans="1:51" x14ac:dyDescent="0.25">
      <c r="A314" s="7">
        <v>312</v>
      </c>
      <c r="B314" s="8" t="s">
        <v>6305</v>
      </c>
      <c r="C314" s="8" t="s">
        <v>6352</v>
      </c>
      <c r="D314" s="8" t="s">
        <v>1238</v>
      </c>
      <c r="E314" s="8" t="s">
        <v>47</v>
      </c>
      <c r="F314" s="8" t="s">
        <v>48</v>
      </c>
      <c r="G314" s="8" t="s">
        <v>1807</v>
      </c>
      <c r="H314" s="8" t="s">
        <v>6353</v>
      </c>
      <c r="I314" s="8" t="s">
        <v>6354</v>
      </c>
      <c r="J314" s="8">
        <v>2</v>
      </c>
      <c r="K314" s="8">
        <v>26.53</v>
      </c>
      <c r="L314" s="8" t="s">
        <v>6355</v>
      </c>
      <c r="M314" s="8" t="s">
        <v>6356</v>
      </c>
      <c r="N314" s="8" t="s">
        <v>901</v>
      </c>
      <c r="O314" s="8" t="s">
        <v>6357</v>
      </c>
      <c r="P314" s="8" t="s">
        <v>6358</v>
      </c>
      <c r="Q314" s="8" t="s">
        <v>6358</v>
      </c>
      <c r="R314" s="8" t="s">
        <v>6358</v>
      </c>
      <c r="S314" s="8" t="s">
        <v>6359</v>
      </c>
      <c r="T314" s="8">
        <v>1123500</v>
      </c>
      <c r="U314" s="8">
        <v>1605000</v>
      </c>
      <c r="V314" s="8" t="s">
        <v>6360</v>
      </c>
      <c r="W314" s="8" t="s">
        <v>147</v>
      </c>
      <c r="X314" s="8" t="s">
        <v>6361</v>
      </c>
      <c r="Y314" s="8" t="s">
        <v>6362</v>
      </c>
      <c r="Z314" s="8" t="s">
        <v>64</v>
      </c>
      <c r="AA314" s="8" t="s">
        <v>65</v>
      </c>
      <c r="AB314" s="8" t="s">
        <v>6363</v>
      </c>
      <c r="AC314" s="8" t="s">
        <v>151</v>
      </c>
      <c r="AD314" s="8" t="s">
        <v>156</v>
      </c>
      <c r="AE314" s="8" t="s">
        <v>153</v>
      </c>
      <c r="AF314" s="8" t="s">
        <v>2698</v>
      </c>
      <c r="AG314" s="8" t="s">
        <v>6364</v>
      </c>
      <c r="AH314" s="8">
        <v>7</v>
      </c>
      <c r="AI314" s="8" t="s">
        <v>237</v>
      </c>
      <c r="AJ314" s="8" t="s">
        <v>6365</v>
      </c>
      <c r="AK314" s="8" t="s">
        <v>156</v>
      </c>
      <c r="AL314" s="8"/>
      <c r="AM314" s="8" t="s">
        <v>75</v>
      </c>
      <c r="AN314" s="8">
        <v>1203750</v>
      </c>
      <c r="AO314" s="11">
        <v>24075</v>
      </c>
      <c r="AP314" s="8"/>
      <c r="AQ314" s="8"/>
      <c r="AR314" s="8"/>
      <c r="AS314" s="18" t="s">
        <v>6863</v>
      </c>
      <c r="AT314" s="18"/>
      <c r="AU314" s="19">
        <v>24075</v>
      </c>
      <c r="AV314" s="20">
        <v>0</v>
      </c>
      <c r="AW314" s="18" t="s">
        <v>6555</v>
      </c>
      <c r="AX314" s="18"/>
      <c r="AY314" s="18"/>
    </row>
    <row r="315" spans="1:51" x14ac:dyDescent="0.25">
      <c r="A315" s="5">
        <v>313</v>
      </c>
      <c r="B315" s="6" t="s">
        <v>6305</v>
      </c>
      <c r="C315" s="6" t="s">
        <v>6382</v>
      </c>
      <c r="D315" s="6" t="s">
        <v>46</v>
      </c>
      <c r="E315" s="6" t="s">
        <v>47</v>
      </c>
      <c r="F315" s="6" t="s">
        <v>48</v>
      </c>
      <c r="G315" s="6" t="s">
        <v>2951</v>
      </c>
      <c r="H315" s="6" t="s">
        <v>6383</v>
      </c>
      <c r="I315" s="6" t="s">
        <v>6384</v>
      </c>
      <c r="J315" s="6">
        <v>2</v>
      </c>
      <c r="K315" s="6">
        <v>22.02</v>
      </c>
      <c r="L315" s="6" t="s">
        <v>6385</v>
      </c>
      <c r="M315" s="6" t="s">
        <v>6386</v>
      </c>
      <c r="N315" s="6" t="s">
        <v>6387</v>
      </c>
      <c r="O315" s="6" t="s">
        <v>6388</v>
      </c>
      <c r="P315" s="6" t="s">
        <v>65</v>
      </c>
      <c r="Q315" s="6" t="s">
        <v>6389</v>
      </c>
      <c r="R315" s="6" t="s">
        <v>6390</v>
      </c>
      <c r="S315" s="6" t="s">
        <v>6391</v>
      </c>
      <c r="T315" s="6">
        <v>734300</v>
      </c>
      <c r="U315" s="6">
        <v>1049000</v>
      </c>
      <c r="V315" s="6" t="s">
        <v>6392</v>
      </c>
      <c r="W315" s="6" t="s">
        <v>1020</v>
      </c>
      <c r="X315" s="6" t="s">
        <v>6393</v>
      </c>
      <c r="Y315" s="6" t="s">
        <v>6394</v>
      </c>
      <c r="Z315" s="6" t="s">
        <v>64</v>
      </c>
      <c r="AA315" s="6" t="s">
        <v>65</v>
      </c>
      <c r="AB315" s="6" t="s">
        <v>1942</v>
      </c>
      <c r="AC315" s="6" t="s">
        <v>67</v>
      </c>
      <c r="AD315" s="6" t="s">
        <v>6172</v>
      </c>
      <c r="AE315" s="6" t="s">
        <v>1127</v>
      </c>
      <c r="AF315" s="6" t="s">
        <v>1162</v>
      </c>
      <c r="AG315" s="6" t="s">
        <v>6395</v>
      </c>
      <c r="AH315" s="6">
        <v>5</v>
      </c>
      <c r="AI315" s="6" t="s">
        <v>198</v>
      </c>
      <c r="AJ315" s="6" t="s">
        <v>6396</v>
      </c>
      <c r="AK315" s="6" t="s">
        <v>2049</v>
      </c>
      <c r="AL315" s="6"/>
      <c r="AM315" s="6" t="s">
        <v>75</v>
      </c>
      <c r="AN315" s="6">
        <v>839200</v>
      </c>
      <c r="AO315" s="10">
        <v>16784</v>
      </c>
      <c r="AP315" s="6"/>
      <c r="AQ315" s="6"/>
      <c r="AR315" s="6"/>
      <c r="AS315" s="18" t="s">
        <v>6864</v>
      </c>
      <c r="AT315" s="18"/>
      <c r="AU315" s="19">
        <v>16784</v>
      </c>
      <c r="AV315" s="20">
        <v>0</v>
      </c>
      <c r="AW315" s="18" t="s">
        <v>6555</v>
      </c>
      <c r="AX315" s="18"/>
      <c r="AY315" s="18"/>
    </row>
    <row r="316" spans="1:51" x14ac:dyDescent="0.25">
      <c r="A316" s="7">
        <v>314</v>
      </c>
      <c r="B316" s="8" t="s">
        <v>6305</v>
      </c>
      <c r="C316" s="8" t="s">
        <v>6397</v>
      </c>
      <c r="D316" s="8" t="s">
        <v>277</v>
      </c>
      <c r="E316" s="8" t="s">
        <v>47</v>
      </c>
      <c r="F316" s="8" t="s">
        <v>48</v>
      </c>
      <c r="G316" s="8" t="s">
        <v>1717</v>
      </c>
      <c r="H316" s="8" t="s">
        <v>6398</v>
      </c>
      <c r="I316" s="8" t="s">
        <v>6399</v>
      </c>
      <c r="J316" s="8">
        <v>2</v>
      </c>
      <c r="K316" s="8">
        <v>25.94</v>
      </c>
      <c r="L316" s="8" t="s">
        <v>6400</v>
      </c>
      <c r="M316" s="8" t="s">
        <v>6401</v>
      </c>
      <c r="N316" s="8" t="s">
        <v>187</v>
      </c>
      <c r="O316" s="8" t="s">
        <v>6402</v>
      </c>
      <c r="P316" s="8" t="s">
        <v>6403</v>
      </c>
      <c r="Q316" s="8" t="s">
        <v>6403</v>
      </c>
      <c r="R316" s="8" t="s">
        <v>6403</v>
      </c>
      <c r="S316" s="8" t="s">
        <v>6404</v>
      </c>
      <c r="T316" s="8">
        <v>2996000</v>
      </c>
      <c r="U316" s="8">
        <v>4280000</v>
      </c>
      <c r="V316" s="8" t="s">
        <v>6405</v>
      </c>
      <c r="W316" s="8" t="s">
        <v>971</v>
      </c>
      <c r="X316" s="8" t="s">
        <v>6406</v>
      </c>
      <c r="Y316" s="8" t="s">
        <v>6407</v>
      </c>
      <c r="Z316" s="8" t="s">
        <v>549</v>
      </c>
      <c r="AA316" s="8" t="s">
        <v>65</v>
      </c>
      <c r="AB316" s="8" t="s">
        <v>6408</v>
      </c>
      <c r="AC316" s="8" t="s">
        <v>175</v>
      </c>
      <c r="AD316" s="8" t="s">
        <v>781</v>
      </c>
      <c r="AE316" s="8" t="s">
        <v>604</v>
      </c>
      <c r="AF316" s="8" t="s">
        <v>974</v>
      </c>
      <c r="AG316" s="8" t="s">
        <v>6409</v>
      </c>
      <c r="AH316" s="8">
        <v>5</v>
      </c>
      <c r="AI316" s="8" t="s">
        <v>237</v>
      </c>
      <c r="AJ316" s="8" t="s">
        <v>6410</v>
      </c>
      <c r="AK316" s="8" t="s">
        <v>876</v>
      </c>
      <c r="AL316" s="8"/>
      <c r="AM316" s="8" t="s">
        <v>75</v>
      </c>
      <c r="AN316" s="8">
        <v>3424000</v>
      </c>
      <c r="AO316" s="11">
        <v>68480</v>
      </c>
      <c r="AP316" s="8"/>
      <c r="AQ316" s="8"/>
      <c r="AR316" s="8"/>
      <c r="AS316" s="18" t="s">
        <v>6865</v>
      </c>
      <c r="AT316" s="18"/>
      <c r="AU316" s="19">
        <v>68480</v>
      </c>
      <c r="AV316" s="20">
        <v>0</v>
      </c>
      <c r="AW316" s="18" t="s">
        <v>6555</v>
      </c>
      <c r="AX316" s="18"/>
      <c r="AY316" s="18"/>
    </row>
    <row r="317" spans="1:51" x14ac:dyDescent="0.25">
      <c r="A317" s="5">
        <v>315</v>
      </c>
      <c r="B317" s="6" t="s">
        <v>6305</v>
      </c>
      <c r="C317" s="6" t="s">
        <v>6411</v>
      </c>
      <c r="D317" s="6" t="s">
        <v>46</v>
      </c>
      <c r="E317" s="6" t="s">
        <v>47</v>
      </c>
      <c r="F317" s="6" t="s">
        <v>48</v>
      </c>
      <c r="G317" s="6" t="s">
        <v>3923</v>
      </c>
      <c r="H317" s="6" t="s">
        <v>6412</v>
      </c>
      <c r="I317" s="6" t="s">
        <v>6413</v>
      </c>
      <c r="J317" s="6">
        <v>2</v>
      </c>
      <c r="K317" s="6">
        <v>26.2</v>
      </c>
      <c r="L317" s="6" t="s">
        <v>6414</v>
      </c>
      <c r="M317" s="6" t="s">
        <v>6415</v>
      </c>
      <c r="N317" s="6" t="s">
        <v>54</v>
      </c>
      <c r="O317" s="6" t="s">
        <v>6416</v>
      </c>
      <c r="P317" s="6" t="s">
        <v>6417</v>
      </c>
      <c r="Q317" s="6" t="s">
        <v>6418</v>
      </c>
      <c r="R317" s="6" t="s">
        <v>6417</v>
      </c>
      <c r="S317" s="6" t="s">
        <v>6419</v>
      </c>
      <c r="T317" s="6">
        <v>2287600</v>
      </c>
      <c r="U317" s="6">
        <v>3268000</v>
      </c>
      <c r="V317" s="6" t="s">
        <v>6420</v>
      </c>
      <c r="W317" s="6" t="s">
        <v>3698</v>
      </c>
      <c r="X317" s="6" t="s">
        <v>6421</v>
      </c>
      <c r="Y317" s="6" t="s">
        <v>6422</v>
      </c>
      <c r="Z317" s="6" t="s">
        <v>64</v>
      </c>
      <c r="AA317" s="6" t="s">
        <v>65</v>
      </c>
      <c r="AB317" s="6" t="s">
        <v>326</v>
      </c>
      <c r="AC317" s="6" t="s">
        <v>531</v>
      </c>
      <c r="AD317" s="6" t="s">
        <v>6423</v>
      </c>
      <c r="AE317" s="6" t="s">
        <v>98</v>
      </c>
      <c r="AF317" s="6" t="s">
        <v>2533</v>
      </c>
      <c r="AG317" s="6" t="s">
        <v>6424</v>
      </c>
      <c r="AH317" s="6">
        <v>3</v>
      </c>
      <c r="AI317" s="6" t="s">
        <v>100</v>
      </c>
      <c r="AJ317" s="6" t="s">
        <v>6425</v>
      </c>
      <c r="AK317" s="6" t="s">
        <v>61</v>
      </c>
      <c r="AL317" s="6"/>
      <c r="AM317" s="6" t="s">
        <v>75</v>
      </c>
      <c r="AN317" s="6">
        <v>2777800</v>
      </c>
      <c r="AO317" s="10">
        <v>55556</v>
      </c>
      <c r="AP317" s="6"/>
      <c r="AQ317" s="6"/>
      <c r="AR317" s="6"/>
      <c r="AS317" s="18" t="s">
        <v>6866</v>
      </c>
      <c r="AT317" s="18"/>
      <c r="AU317" s="19">
        <v>55556</v>
      </c>
      <c r="AV317" s="20">
        <v>0</v>
      </c>
      <c r="AW317" s="18" t="s">
        <v>6555</v>
      </c>
      <c r="AX317" s="18"/>
      <c r="AY317" s="18"/>
    </row>
    <row r="318" spans="1:51" x14ac:dyDescent="0.25">
      <c r="A318" s="7">
        <v>316</v>
      </c>
      <c r="B318" s="8" t="s">
        <v>6305</v>
      </c>
      <c r="C318" s="8" t="s">
        <v>6426</v>
      </c>
      <c r="D318" s="8" t="s">
        <v>241</v>
      </c>
      <c r="E318" s="8" t="s">
        <v>47</v>
      </c>
      <c r="F318" s="8" t="s">
        <v>48</v>
      </c>
      <c r="G318" s="8" t="s">
        <v>278</v>
      </c>
      <c r="H318" s="8" t="s">
        <v>6427</v>
      </c>
      <c r="I318" s="8" t="s">
        <v>6428</v>
      </c>
      <c r="J318" s="8">
        <v>2</v>
      </c>
      <c r="K318" s="8">
        <v>26.35</v>
      </c>
      <c r="L318" s="8" t="s">
        <v>6429</v>
      </c>
      <c r="M318" s="8" t="s">
        <v>5003</v>
      </c>
      <c r="N318" s="8" t="s">
        <v>1048</v>
      </c>
      <c r="O318" s="8" t="s">
        <v>6430</v>
      </c>
      <c r="P318" s="8" t="s">
        <v>65</v>
      </c>
      <c r="Q318" s="8" t="s">
        <v>6431</v>
      </c>
      <c r="R318" s="8" t="s">
        <v>65</v>
      </c>
      <c r="S318" s="8" t="s">
        <v>6432</v>
      </c>
      <c r="T318" s="8">
        <v>915000</v>
      </c>
      <c r="U318" s="8">
        <v>1830000</v>
      </c>
      <c r="V318" s="8" t="s">
        <v>6433</v>
      </c>
      <c r="W318" s="8" t="s">
        <v>307</v>
      </c>
      <c r="X318" s="8" t="s">
        <v>6434</v>
      </c>
      <c r="Y318" s="8" t="s">
        <v>6435</v>
      </c>
      <c r="Z318" s="8" t="s">
        <v>64</v>
      </c>
      <c r="AA318" s="8" t="s">
        <v>65</v>
      </c>
      <c r="AB318" s="8" t="s">
        <v>489</v>
      </c>
      <c r="AC318" s="8" t="s">
        <v>67</v>
      </c>
      <c r="AD318" s="8" t="s">
        <v>990</v>
      </c>
      <c r="AE318" s="8" t="s">
        <v>69</v>
      </c>
      <c r="AF318" s="8" t="s">
        <v>1007</v>
      </c>
      <c r="AG318" s="8" t="s">
        <v>6436</v>
      </c>
      <c r="AH318" s="8">
        <v>5</v>
      </c>
      <c r="AI318" s="8" t="s">
        <v>198</v>
      </c>
      <c r="AJ318" s="8" t="s">
        <v>6437</v>
      </c>
      <c r="AK318" s="8" t="s">
        <v>239</v>
      </c>
      <c r="AL318" s="8"/>
      <c r="AM318" s="8" t="s">
        <v>75</v>
      </c>
      <c r="AN318" s="8">
        <v>1464000</v>
      </c>
      <c r="AO318" s="11">
        <v>29280</v>
      </c>
      <c r="AP318" s="8"/>
      <c r="AQ318" s="8"/>
      <c r="AR318" s="8"/>
      <c r="AS318" s="18" t="s">
        <v>6867</v>
      </c>
      <c r="AT318" s="18"/>
      <c r="AU318" s="19">
        <v>29280</v>
      </c>
      <c r="AV318" s="20">
        <v>0</v>
      </c>
      <c r="AW318" s="18" t="s">
        <v>6555</v>
      </c>
      <c r="AX318" s="18"/>
      <c r="AY318" s="18"/>
    </row>
    <row r="319" spans="1:51" x14ac:dyDescent="0.25">
      <c r="A319" s="5">
        <v>317</v>
      </c>
      <c r="B319" s="6" t="s">
        <v>6305</v>
      </c>
      <c r="C319" s="6" t="s">
        <v>6438</v>
      </c>
      <c r="D319" s="6" t="s">
        <v>77</v>
      </c>
      <c r="E319" s="6" t="s">
        <v>47</v>
      </c>
      <c r="F319" s="6" t="s">
        <v>48</v>
      </c>
      <c r="G319" s="6" t="s">
        <v>6191</v>
      </c>
      <c r="H319" s="6" t="s">
        <v>6439</v>
      </c>
      <c r="I319" s="6" t="s">
        <v>6440</v>
      </c>
      <c r="J319" s="6">
        <v>1.75</v>
      </c>
      <c r="K319" s="6">
        <v>25.44</v>
      </c>
      <c r="L319" s="6" t="s">
        <v>6441</v>
      </c>
      <c r="M319" s="6" t="s">
        <v>6442</v>
      </c>
      <c r="N319" s="6" t="s">
        <v>1843</v>
      </c>
      <c r="O319" s="6" t="s">
        <v>6443</v>
      </c>
      <c r="P319" s="6" t="s">
        <v>6444</v>
      </c>
      <c r="Q319" s="6" t="s">
        <v>6445</v>
      </c>
      <c r="R319" s="6" t="s">
        <v>6444</v>
      </c>
      <c r="S319" s="6" t="s">
        <v>6446</v>
      </c>
      <c r="T319" s="6">
        <v>455000</v>
      </c>
      <c r="U319" s="6">
        <v>700000</v>
      </c>
      <c r="V319" s="6" t="s">
        <v>6447</v>
      </c>
      <c r="W319" s="6" t="s">
        <v>3626</v>
      </c>
      <c r="X319" s="6" t="s">
        <v>6448</v>
      </c>
      <c r="Y319" s="6" t="s">
        <v>6449</v>
      </c>
      <c r="Z319" s="6" t="s">
        <v>93</v>
      </c>
      <c r="AA319" s="6" t="s">
        <v>6450</v>
      </c>
      <c r="AB319" s="6" t="s">
        <v>6451</v>
      </c>
      <c r="AC319" s="6" t="s">
        <v>96</v>
      </c>
      <c r="AD319" s="6" t="s">
        <v>394</v>
      </c>
      <c r="AE319" s="6" t="s">
        <v>231</v>
      </c>
      <c r="AF319" s="6" t="s">
        <v>4995</v>
      </c>
      <c r="AG319" s="6" t="s">
        <v>6452</v>
      </c>
      <c r="AH319" s="6">
        <v>5</v>
      </c>
      <c r="AI319" s="6" t="s">
        <v>100</v>
      </c>
      <c r="AJ319" s="6" t="s">
        <v>6453</v>
      </c>
      <c r="AK319" s="6" t="s">
        <v>677</v>
      </c>
      <c r="AL319" s="6"/>
      <c r="AM319" s="6" t="s">
        <v>102</v>
      </c>
      <c r="AN319" s="6">
        <v>595000</v>
      </c>
      <c r="AO319" s="10">
        <v>10412.500000000002</v>
      </c>
      <c r="AP319" s="6"/>
      <c r="AQ319" s="6"/>
      <c r="AR319" s="6"/>
      <c r="AS319" s="18" t="s">
        <v>6868</v>
      </c>
      <c r="AT319" s="18" t="s">
        <v>7018</v>
      </c>
      <c r="AU319" s="19">
        <v>9188</v>
      </c>
      <c r="AV319" s="20">
        <v>1224.5000000000018</v>
      </c>
      <c r="AW319" s="18" t="s">
        <v>6555</v>
      </c>
      <c r="AX319" s="18">
        <v>1225</v>
      </c>
      <c r="AY319" s="20">
        <v>-0.49999999999818101</v>
      </c>
    </row>
    <row r="320" spans="1:51" x14ac:dyDescent="0.25">
      <c r="A320" s="7">
        <v>318</v>
      </c>
      <c r="B320" s="8" t="s">
        <v>6305</v>
      </c>
      <c r="C320" s="8" t="s">
        <v>6454</v>
      </c>
      <c r="D320" s="8" t="s">
        <v>277</v>
      </c>
      <c r="E320" s="8" t="s">
        <v>47</v>
      </c>
      <c r="F320" s="8" t="s">
        <v>48</v>
      </c>
      <c r="G320" s="8" t="s">
        <v>516</v>
      </c>
      <c r="H320" s="8" t="s">
        <v>6455</v>
      </c>
      <c r="I320" s="8" t="s">
        <v>6456</v>
      </c>
      <c r="J320" s="8">
        <v>1.75</v>
      </c>
      <c r="K320" s="8">
        <v>26.19</v>
      </c>
      <c r="L320" s="8" t="s">
        <v>6457</v>
      </c>
      <c r="M320" s="8" t="s">
        <v>6458</v>
      </c>
      <c r="N320" s="8" t="s">
        <v>187</v>
      </c>
      <c r="O320" s="8" t="s">
        <v>6459</v>
      </c>
      <c r="P320" s="8" t="s">
        <v>65</v>
      </c>
      <c r="Q320" s="8" t="s">
        <v>6460</v>
      </c>
      <c r="R320" s="8" t="s">
        <v>65</v>
      </c>
      <c r="S320" s="8" t="s">
        <v>6461</v>
      </c>
      <c r="T320" s="8">
        <v>2992850</v>
      </c>
      <c r="U320" s="8">
        <v>4275500</v>
      </c>
      <c r="V320" s="8" t="s">
        <v>6462</v>
      </c>
      <c r="W320" s="8" t="s">
        <v>3626</v>
      </c>
      <c r="X320" s="8" t="s">
        <v>6463</v>
      </c>
      <c r="Y320" s="8" t="s">
        <v>6464</v>
      </c>
      <c r="Z320" s="8" t="s">
        <v>64</v>
      </c>
      <c r="AA320" s="8" t="s">
        <v>65</v>
      </c>
      <c r="AB320" s="8" t="s">
        <v>1959</v>
      </c>
      <c r="AC320" s="8" t="s">
        <v>531</v>
      </c>
      <c r="AD320" s="8" t="s">
        <v>375</v>
      </c>
      <c r="AE320" s="8" t="s">
        <v>231</v>
      </c>
      <c r="AF320" s="8" t="s">
        <v>2213</v>
      </c>
      <c r="AG320" s="8" t="s">
        <v>6465</v>
      </c>
      <c r="AH320" s="8">
        <v>3</v>
      </c>
      <c r="AI320" s="8" t="s">
        <v>100</v>
      </c>
      <c r="AJ320" s="8" t="s">
        <v>6466</v>
      </c>
      <c r="AK320" s="8" t="s">
        <v>693</v>
      </c>
      <c r="AL320" s="8"/>
      <c r="AM320" s="8" t="s">
        <v>102</v>
      </c>
      <c r="AN320" s="8">
        <v>3634175</v>
      </c>
      <c r="AO320" s="11">
        <v>63598.062500000007</v>
      </c>
      <c r="AP320" s="8"/>
      <c r="AQ320" s="8"/>
      <c r="AR320" s="8"/>
      <c r="AS320" s="18" t="s">
        <v>6869</v>
      </c>
      <c r="AT320" s="18"/>
      <c r="AU320" s="19">
        <v>63598</v>
      </c>
      <c r="AV320" s="20">
        <v>6.2500000007275958E-2</v>
      </c>
      <c r="AW320" s="18" t="s">
        <v>6555</v>
      </c>
      <c r="AX320" s="18"/>
      <c r="AY320" s="18"/>
    </row>
    <row r="321" spans="1:51" x14ac:dyDescent="0.25">
      <c r="A321" s="5">
        <v>319</v>
      </c>
      <c r="B321" s="6" t="s">
        <v>6305</v>
      </c>
      <c r="C321" s="6" t="s">
        <v>6476</v>
      </c>
      <c r="D321" s="6" t="s">
        <v>277</v>
      </c>
      <c r="E321" s="6" t="s">
        <v>47</v>
      </c>
      <c r="F321" s="6" t="s">
        <v>48</v>
      </c>
      <c r="G321" s="6" t="s">
        <v>516</v>
      </c>
      <c r="H321" s="6" t="s">
        <v>6477</v>
      </c>
      <c r="I321" s="6" t="s">
        <v>6478</v>
      </c>
      <c r="J321" s="6">
        <v>2</v>
      </c>
      <c r="K321" s="6">
        <v>25.95</v>
      </c>
      <c r="L321" s="6" t="s">
        <v>6479</v>
      </c>
      <c r="M321" s="6" t="s">
        <v>6480</v>
      </c>
      <c r="N321" s="6" t="s">
        <v>187</v>
      </c>
      <c r="O321" s="6" t="s">
        <v>6481</v>
      </c>
      <c r="P321" s="6" t="s">
        <v>6482</v>
      </c>
      <c r="Q321" s="6" t="s">
        <v>6483</v>
      </c>
      <c r="R321" s="6" t="s">
        <v>6484</v>
      </c>
      <c r="S321" s="6" t="s">
        <v>6485</v>
      </c>
      <c r="T321" s="6">
        <v>1682850</v>
      </c>
      <c r="U321" s="6">
        <v>2589000</v>
      </c>
      <c r="V321" s="6" t="s">
        <v>6486</v>
      </c>
      <c r="W321" s="6" t="s">
        <v>375</v>
      </c>
      <c r="X321" s="6" t="s">
        <v>6487</v>
      </c>
      <c r="Y321" s="6" t="s">
        <v>6488</v>
      </c>
      <c r="Z321" s="6" t="s">
        <v>64</v>
      </c>
      <c r="AA321" s="6" t="s">
        <v>65</v>
      </c>
      <c r="AB321" s="6" t="s">
        <v>6489</v>
      </c>
      <c r="AC321" s="6" t="s">
        <v>67</v>
      </c>
      <c r="AD321" s="6" t="s">
        <v>74</v>
      </c>
      <c r="AE321" s="6" t="s">
        <v>69</v>
      </c>
      <c r="AF321" s="6" t="s">
        <v>1007</v>
      </c>
      <c r="AG321" s="6" t="s">
        <v>6490</v>
      </c>
      <c r="AH321" s="6">
        <v>5</v>
      </c>
      <c r="AI321" s="6" t="s">
        <v>237</v>
      </c>
      <c r="AJ321" s="6" t="s">
        <v>6491</v>
      </c>
      <c r="AK321" s="6" t="s">
        <v>399</v>
      </c>
      <c r="AL321" s="6"/>
      <c r="AM321" s="6" t="s">
        <v>75</v>
      </c>
      <c r="AN321" s="6">
        <v>2071200</v>
      </c>
      <c r="AO321" s="10">
        <v>41424</v>
      </c>
      <c r="AP321" s="6"/>
      <c r="AQ321" s="6"/>
      <c r="AR321" s="6"/>
      <c r="AS321" s="18" t="s">
        <v>6870</v>
      </c>
      <c r="AT321" s="18"/>
      <c r="AU321" s="19">
        <v>41424</v>
      </c>
      <c r="AV321" s="20">
        <v>0</v>
      </c>
      <c r="AW321" s="18" t="s">
        <v>6555</v>
      </c>
      <c r="AX321" s="18"/>
      <c r="AY321" s="18"/>
    </row>
    <row r="322" spans="1:51" x14ac:dyDescent="0.25">
      <c r="A322" s="7">
        <v>320</v>
      </c>
      <c r="B322" s="8" t="s">
        <v>6305</v>
      </c>
      <c r="C322" s="8" t="s">
        <v>6492</v>
      </c>
      <c r="D322" s="8" t="s">
        <v>77</v>
      </c>
      <c r="E322" s="8" t="s">
        <v>47</v>
      </c>
      <c r="F322" s="8" t="s">
        <v>48</v>
      </c>
      <c r="G322" s="8" t="s">
        <v>2454</v>
      </c>
      <c r="H322" s="8" t="s">
        <v>6493</v>
      </c>
      <c r="I322" s="8" t="s">
        <v>6494</v>
      </c>
      <c r="J322" s="8">
        <v>2</v>
      </c>
      <c r="K322" s="8">
        <v>25.6</v>
      </c>
      <c r="L322" s="8" t="s">
        <v>6495</v>
      </c>
      <c r="M322" s="8" t="s">
        <v>6496</v>
      </c>
      <c r="N322" s="8" t="s">
        <v>83</v>
      </c>
      <c r="O322" s="8" t="s">
        <v>6497</v>
      </c>
      <c r="P322" s="8" t="s">
        <v>6498</v>
      </c>
      <c r="Q322" s="8" t="s">
        <v>6498</v>
      </c>
      <c r="R322" s="8" t="s">
        <v>6499</v>
      </c>
      <c r="S322" s="8" t="s">
        <v>6500</v>
      </c>
      <c r="T322" s="8">
        <v>1020000</v>
      </c>
      <c r="U322" s="8">
        <v>1275000</v>
      </c>
      <c r="V322" s="8" t="s">
        <v>6501</v>
      </c>
      <c r="W322" s="8" t="s">
        <v>453</v>
      </c>
      <c r="X322" s="8" t="s">
        <v>6502</v>
      </c>
      <c r="Y322" s="8" t="s">
        <v>6503</v>
      </c>
      <c r="Z322" s="8" t="s">
        <v>93</v>
      </c>
      <c r="AA322" s="8" t="s">
        <v>6504</v>
      </c>
      <c r="AB322" s="8" t="s">
        <v>939</v>
      </c>
      <c r="AC322" s="8" t="s">
        <v>552</v>
      </c>
      <c r="AD322" s="8" t="s">
        <v>258</v>
      </c>
      <c r="AE322" s="8" t="s">
        <v>399</v>
      </c>
      <c r="AF322" s="8" t="s">
        <v>1354</v>
      </c>
      <c r="AG322" s="8" t="s">
        <v>6505</v>
      </c>
      <c r="AH322" s="8">
        <v>5</v>
      </c>
      <c r="AI322" s="8" t="s">
        <v>237</v>
      </c>
      <c r="AJ322" s="8" t="s">
        <v>6506</v>
      </c>
      <c r="AK322" s="8" t="s">
        <v>258</v>
      </c>
      <c r="AL322" s="8"/>
      <c r="AM322" s="8" t="s">
        <v>75</v>
      </c>
      <c r="AN322" s="8">
        <v>1020000</v>
      </c>
      <c r="AO322" s="11">
        <v>20400</v>
      </c>
      <c r="AP322" s="8"/>
      <c r="AQ322" s="8"/>
      <c r="AR322" s="8"/>
      <c r="AS322" s="18" t="s">
        <v>6871</v>
      </c>
      <c r="AT322" s="18"/>
      <c r="AU322" s="19">
        <v>20400</v>
      </c>
      <c r="AV322" s="20">
        <v>0</v>
      </c>
      <c r="AW322" s="18" t="s">
        <v>6555</v>
      </c>
      <c r="AX322" s="18"/>
      <c r="AY322" s="18"/>
    </row>
    <row r="323" spans="1:51" x14ac:dyDescent="0.25">
      <c r="A323" s="5">
        <v>321</v>
      </c>
      <c r="B323" s="6" t="s">
        <v>6305</v>
      </c>
      <c r="C323" s="6" t="s">
        <v>6507</v>
      </c>
      <c r="D323" s="6" t="s">
        <v>77</v>
      </c>
      <c r="E323" s="6" t="s">
        <v>47</v>
      </c>
      <c r="F323" s="6" t="s">
        <v>48</v>
      </c>
      <c r="G323" s="6" t="s">
        <v>2393</v>
      </c>
      <c r="H323" s="6" t="s">
        <v>6508</v>
      </c>
      <c r="I323" s="6" t="s">
        <v>6509</v>
      </c>
      <c r="J323" s="6">
        <v>1.75</v>
      </c>
      <c r="K323" s="6">
        <v>25.19</v>
      </c>
      <c r="L323" s="6" t="s">
        <v>6510</v>
      </c>
      <c r="M323" s="6" t="s">
        <v>6511</v>
      </c>
      <c r="N323" s="6" t="s">
        <v>164</v>
      </c>
      <c r="O323" s="6" t="s">
        <v>6512</v>
      </c>
      <c r="P323" s="6" t="s">
        <v>65</v>
      </c>
      <c r="Q323" s="6" t="s">
        <v>6513</v>
      </c>
      <c r="R323" s="6" t="s">
        <v>65</v>
      </c>
      <c r="S323" s="6" t="s">
        <v>6514</v>
      </c>
      <c r="T323" s="6">
        <v>2938000</v>
      </c>
      <c r="U323" s="6">
        <v>4520000</v>
      </c>
      <c r="V323" s="6" t="s">
        <v>6515</v>
      </c>
      <c r="W323" s="6" t="s">
        <v>431</v>
      </c>
      <c r="X323" s="6" t="s">
        <v>6516</v>
      </c>
      <c r="Y323" s="6" t="s">
        <v>6517</v>
      </c>
      <c r="Z323" s="6" t="s">
        <v>93</v>
      </c>
      <c r="AA323" s="6" t="s">
        <v>6518</v>
      </c>
      <c r="AB323" s="6" t="s">
        <v>6519</v>
      </c>
      <c r="AC323" s="6" t="s">
        <v>175</v>
      </c>
      <c r="AD323" s="13">
        <v>45194</v>
      </c>
      <c r="AE323" s="6" t="s">
        <v>437</v>
      </c>
      <c r="AF323" s="6" t="s">
        <v>1354</v>
      </c>
      <c r="AG323" s="6" t="s">
        <v>6520</v>
      </c>
      <c r="AH323" s="6">
        <v>3</v>
      </c>
      <c r="AI323" s="6" t="s">
        <v>237</v>
      </c>
      <c r="AJ323" s="6" t="s">
        <v>6521</v>
      </c>
      <c r="AK323" s="6" t="s">
        <v>440</v>
      </c>
      <c r="AL323" s="6"/>
      <c r="AM323" s="6" t="s">
        <v>102</v>
      </c>
      <c r="AN323" s="6">
        <v>4068000</v>
      </c>
      <c r="AO323" s="10">
        <v>71190</v>
      </c>
      <c r="AP323" s="6"/>
      <c r="AQ323" s="6"/>
      <c r="AR323" s="6"/>
      <c r="AS323" s="18" t="s">
        <v>6872</v>
      </c>
      <c r="AT323" s="18" t="s">
        <v>7019</v>
      </c>
      <c r="AU323" s="19">
        <v>67235</v>
      </c>
      <c r="AV323" s="20">
        <v>3955</v>
      </c>
      <c r="AW323" s="18" t="s">
        <v>6555</v>
      </c>
      <c r="AX323" s="18">
        <v>3955</v>
      </c>
      <c r="AY323" s="20">
        <v>0</v>
      </c>
    </row>
    <row r="324" spans="1:51" x14ac:dyDescent="0.25">
      <c r="A324" s="7">
        <v>322</v>
      </c>
      <c r="B324" s="8" t="s">
        <v>6305</v>
      </c>
      <c r="C324" s="8" t="s">
        <v>6522</v>
      </c>
      <c r="D324" s="8" t="s">
        <v>77</v>
      </c>
      <c r="E324" s="8" t="s">
        <v>47</v>
      </c>
      <c r="F324" s="8" t="s">
        <v>48</v>
      </c>
      <c r="G324" s="8" t="s">
        <v>3582</v>
      </c>
      <c r="H324" s="8" t="s">
        <v>6523</v>
      </c>
      <c r="I324" s="8" t="s">
        <v>6524</v>
      </c>
      <c r="J324" s="8">
        <v>2</v>
      </c>
      <c r="K324" s="8">
        <v>25.68</v>
      </c>
      <c r="L324" s="8" t="s">
        <v>6525</v>
      </c>
      <c r="M324" s="8" t="s">
        <v>6526</v>
      </c>
      <c r="N324" s="8" t="s">
        <v>187</v>
      </c>
      <c r="O324" s="8" t="s">
        <v>6527</v>
      </c>
      <c r="P324" s="8" t="s">
        <v>6528</v>
      </c>
      <c r="Q324" s="8" t="s">
        <v>6528</v>
      </c>
      <c r="R324" s="8" t="s">
        <v>6529</v>
      </c>
      <c r="S324" s="8" t="s">
        <v>6530</v>
      </c>
      <c r="T324" s="8">
        <v>1207500</v>
      </c>
      <c r="U324" s="8">
        <v>1610000</v>
      </c>
      <c r="V324" s="8" t="s">
        <v>6531</v>
      </c>
      <c r="W324" s="8" t="s">
        <v>453</v>
      </c>
      <c r="X324" s="8" t="s">
        <v>6532</v>
      </c>
      <c r="Y324" s="8" t="s">
        <v>6533</v>
      </c>
      <c r="Z324" s="8" t="s">
        <v>64</v>
      </c>
      <c r="AA324" s="8" t="s">
        <v>65</v>
      </c>
      <c r="AB324" s="8" t="s">
        <v>5537</v>
      </c>
      <c r="AC324" s="8" t="s">
        <v>67</v>
      </c>
      <c r="AD324" s="8" t="s">
        <v>258</v>
      </c>
      <c r="AE324" s="8" t="s">
        <v>399</v>
      </c>
      <c r="AF324" s="8" t="s">
        <v>1354</v>
      </c>
      <c r="AG324" s="8" t="s">
        <v>6534</v>
      </c>
      <c r="AH324" s="8">
        <v>5</v>
      </c>
      <c r="AI324" s="8" t="s">
        <v>237</v>
      </c>
      <c r="AJ324" s="8" t="s">
        <v>6535</v>
      </c>
      <c r="AK324" s="8" t="s">
        <v>403</v>
      </c>
      <c r="AL324" s="8"/>
      <c r="AM324" s="8" t="s">
        <v>75</v>
      </c>
      <c r="AN324" s="8">
        <v>1288000</v>
      </c>
      <c r="AO324" s="11">
        <v>25760</v>
      </c>
      <c r="AP324" s="8"/>
      <c r="AQ324" s="8"/>
      <c r="AR324" s="8"/>
      <c r="AS324" s="18" t="s">
        <v>6873</v>
      </c>
      <c r="AT324" s="18"/>
      <c r="AU324" s="19">
        <v>25760</v>
      </c>
      <c r="AV324" s="20">
        <v>0</v>
      </c>
      <c r="AW324" s="18" t="s">
        <v>6555</v>
      </c>
      <c r="AX324" s="18"/>
      <c r="AY324" s="18"/>
    </row>
    <row r="325" spans="1:51" x14ac:dyDescent="0.25">
      <c r="A325" s="5">
        <v>323</v>
      </c>
      <c r="B325" s="6" t="s">
        <v>6305</v>
      </c>
      <c r="C325" s="6" t="s">
        <v>6536</v>
      </c>
      <c r="D325" s="6" t="s">
        <v>277</v>
      </c>
      <c r="E325" s="6" t="s">
        <v>47</v>
      </c>
      <c r="F325" s="6" t="s">
        <v>48</v>
      </c>
      <c r="G325" s="6" t="s">
        <v>1221</v>
      </c>
      <c r="H325" s="6" t="s">
        <v>6537</v>
      </c>
      <c r="I325" s="6" t="s">
        <v>6538</v>
      </c>
      <c r="J325" s="6">
        <v>2</v>
      </c>
      <c r="K325" s="6">
        <v>25.84</v>
      </c>
      <c r="L325" s="6" t="s">
        <v>6539</v>
      </c>
      <c r="M325" s="6" t="s">
        <v>6540</v>
      </c>
      <c r="N325" s="6" t="s">
        <v>83</v>
      </c>
      <c r="O325" s="6" t="s">
        <v>6541</v>
      </c>
      <c r="P325" s="6" t="s">
        <v>6542</v>
      </c>
      <c r="Q325" s="6" t="s">
        <v>6542</v>
      </c>
      <c r="R325" s="6" t="s">
        <v>167</v>
      </c>
      <c r="S325" s="6" t="s">
        <v>6543</v>
      </c>
      <c r="T325" s="6">
        <v>2240000</v>
      </c>
      <c r="U325" s="6">
        <v>3200000</v>
      </c>
      <c r="V325" s="6" t="s">
        <v>6544</v>
      </c>
      <c r="W325" s="6" t="s">
        <v>6059</v>
      </c>
      <c r="X325" s="6" t="s">
        <v>6545</v>
      </c>
      <c r="Y325" s="6" t="s">
        <v>6546</v>
      </c>
      <c r="Z325" s="6" t="s">
        <v>93</v>
      </c>
      <c r="AA325" s="6" t="s">
        <v>6547</v>
      </c>
      <c r="AB325" s="6" t="s">
        <v>3545</v>
      </c>
      <c r="AC325" s="6" t="s">
        <v>175</v>
      </c>
      <c r="AD325" s="6" t="s">
        <v>604</v>
      </c>
      <c r="AE325" s="6" t="s">
        <v>604</v>
      </c>
      <c r="AF325" s="6" t="s">
        <v>974</v>
      </c>
      <c r="AG325" s="6" t="s">
        <v>6548</v>
      </c>
      <c r="AH325" s="6">
        <v>5</v>
      </c>
      <c r="AI325" s="6" t="s">
        <v>237</v>
      </c>
      <c r="AJ325" s="6" t="s">
        <v>6549</v>
      </c>
      <c r="AK325" s="6" t="s">
        <v>604</v>
      </c>
      <c r="AL325" s="6"/>
      <c r="AM325" s="6" t="s">
        <v>75</v>
      </c>
      <c r="AN325" s="6">
        <v>2560000</v>
      </c>
      <c r="AO325" s="10">
        <v>51200</v>
      </c>
      <c r="AP325" s="6"/>
      <c r="AQ325" s="6"/>
      <c r="AR325" s="6"/>
      <c r="AS325" s="18" t="s">
        <v>6874</v>
      </c>
      <c r="AT325" s="18"/>
      <c r="AU325" s="19">
        <v>51200</v>
      </c>
      <c r="AV325" s="20">
        <v>0</v>
      </c>
      <c r="AW325" s="18" t="s">
        <v>6555</v>
      </c>
      <c r="AX325" s="18"/>
      <c r="AY325" s="18"/>
    </row>
    <row r="326" spans="1:51" x14ac:dyDescent="0.25">
      <c r="AS326" s="18" t="s">
        <v>6878</v>
      </c>
      <c r="AU326" s="20">
        <v>-4790</v>
      </c>
    </row>
    <row r="327" spans="1:51" x14ac:dyDescent="0.25">
      <c r="AS327" s="18" t="s">
        <v>6879</v>
      </c>
      <c r="AT327" s="25" t="s">
        <v>7025</v>
      </c>
      <c r="AU327" s="20">
        <v>-8098.25</v>
      </c>
      <c r="AW327" s="24"/>
    </row>
    <row r="328" spans="1:51" x14ac:dyDescent="0.25">
      <c r="AS328" s="18" t="s">
        <v>6880</v>
      </c>
      <c r="AU328" s="20">
        <v>-4803.5</v>
      </c>
    </row>
    <row r="329" spans="1:51" x14ac:dyDescent="0.25">
      <c r="AS329" s="18" t="s">
        <v>6881</v>
      </c>
      <c r="AU329" s="20">
        <v>-5148</v>
      </c>
    </row>
    <row r="330" spans="1:51" x14ac:dyDescent="0.25">
      <c r="AS330" s="18" t="s">
        <v>6882</v>
      </c>
      <c r="AU330" s="20">
        <v>-3237.5</v>
      </c>
    </row>
    <row r="331" spans="1:51" x14ac:dyDescent="0.25">
      <c r="AS331" s="18" t="s">
        <v>6883</v>
      </c>
      <c r="AU331" s="20">
        <v>4500</v>
      </c>
    </row>
    <row r="332" spans="1:51" x14ac:dyDescent="0.25">
      <c r="AS332" s="18" t="s">
        <v>6884</v>
      </c>
      <c r="AU332" s="20">
        <v>-3237.5</v>
      </c>
    </row>
    <row r="333" spans="1:51" x14ac:dyDescent="0.25">
      <c r="AS333" s="18" t="s">
        <v>6885</v>
      </c>
      <c r="AU333" s="20">
        <v>4754.4000000000015</v>
      </c>
    </row>
    <row r="334" spans="1:51" x14ac:dyDescent="0.25">
      <c r="AS334" s="18" t="s">
        <v>6886</v>
      </c>
      <c r="AU334" s="20">
        <v>3628</v>
      </c>
    </row>
    <row r="335" spans="1:51" x14ac:dyDescent="0.25">
      <c r="AS335" s="18" t="s">
        <v>6887</v>
      </c>
      <c r="AU335" s="20">
        <v>3395.0000000000036</v>
      </c>
    </row>
    <row r="336" spans="1:51" x14ac:dyDescent="0.25">
      <c r="AS336" s="18" t="s">
        <v>6888</v>
      </c>
      <c r="AU336" s="20">
        <v>2887.0000000000073</v>
      </c>
    </row>
    <row r="337" spans="45:47" x14ac:dyDescent="0.25">
      <c r="AS337" s="18" t="s">
        <v>6889</v>
      </c>
      <c r="AU337" s="20">
        <v>-2198</v>
      </c>
    </row>
    <row r="338" spans="45:47" x14ac:dyDescent="0.25">
      <c r="AS338" s="18" t="s">
        <v>6890</v>
      </c>
      <c r="AU338" s="20">
        <v>-5148</v>
      </c>
    </row>
    <row r="339" spans="45:47" x14ac:dyDescent="0.25">
      <c r="AS339" s="18" t="s">
        <v>6891</v>
      </c>
      <c r="AU339" s="20">
        <v>3674.5000000000036</v>
      </c>
    </row>
    <row r="340" spans="45:47" x14ac:dyDescent="0.25">
      <c r="AS340" s="18" t="s">
        <v>6892</v>
      </c>
      <c r="AU340" s="20">
        <v>3500.0000000000036</v>
      </c>
    </row>
    <row r="341" spans="45:47" x14ac:dyDescent="0.25">
      <c r="AS341" s="18" t="s">
        <v>6893</v>
      </c>
      <c r="AU341" s="20">
        <v>18535.250000000058</v>
      </c>
    </row>
    <row r="342" spans="45:47" x14ac:dyDescent="0.25">
      <c r="AS342" s="18" t="s">
        <v>6894</v>
      </c>
      <c r="AU342" s="20">
        <v>-2796</v>
      </c>
    </row>
    <row r="343" spans="45:47" x14ac:dyDescent="0.25">
      <c r="AS343" s="18" t="s">
        <v>6895</v>
      </c>
      <c r="AU343" s="20">
        <v>-5148</v>
      </c>
    </row>
    <row r="344" spans="45:47" x14ac:dyDescent="0.25">
      <c r="AS344" s="18" t="s">
        <v>6896</v>
      </c>
      <c r="AU344" s="20">
        <v>-7348.25</v>
      </c>
    </row>
    <row r="345" spans="45:47" x14ac:dyDescent="0.25">
      <c r="AS345" s="18" t="s">
        <v>6897</v>
      </c>
      <c r="AU345" s="20">
        <v>-8451</v>
      </c>
    </row>
    <row r="346" spans="45:47" x14ac:dyDescent="0.25">
      <c r="AS346" s="18" t="s">
        <v>6898</v>
      </c>
      <c r="AU346" s="20">
        <v>3074.5</v>
      </c>
    </row>
    <row r="347" spans="45:47" x14ac:dyDescent="0.25">
      <c r="AS347" s="18" t="s">
        <v>6899</v>
      </c>
      <c r="AU347" s="20">
        <v>2362.5000000000036</v>
      </c>
    </row>
    <row r="348" spans="45:47" x14ac:dyDescent="0.25">
      <c r="AS348" s="18" t="s">
        <v>6900</v>
      </c>
      <c r="AU348" s="20">
        <v>-2875</v>
      </c>
    </row>
    <row r="349" spans="45:47" x14ac:dyDescent="0.25">
      <c r="AS349" s="18" t="s">
        <v>6901</v>
      </c>
      <c r="AU349" s="20">
        <v>-3600</v>
      </c>
    </row>
    <row r="350" spans="45:47" x14ac:dyDescent="0.25">
      <c r="AS350" s="18" t="s">
        <v>6902</v>
      </c>
      <c r="AU350" s="20">
        <v>-1398</v>
      </c>
    </row>
    <row r="351" spans="45:47" x14ac:dyDescent="0.25">
      <c r="AS351" s="18" t="s">
        <v>6903</v>
      </c>
      <c r="AU351" s="20">
        <v>2568.2500000000073</v>
      </c>
    </row>
    <row r="352" spans="45:47" x14ac:dyDescent="0.25">
      <c r="AS352" s="18" t="s">
        <v>6904</v>
      </c>
      <c r="AU352" s="20">
        <v>-2268</v>
      </c>
    </row>
    <row r="353" spans="45:47" x14ac:dyDescent="0.25">
      <c r="AS353" s="18" t="s">
        <v>6905</v>
      </c>
      <c r="AU353" s="20">
        <v>-2933</v>
      </c>
    </row>
    <row r="354" spans="45:47" x14ac:dyDescent="0.25">
      <c r="AS354" s="18" t="s">
        <v>6906</v>
      </c>
      <c r="AU354" s="20">
        <v>3456.1250000000036</v>
      </c>
    </row>
    <row r="355" spans="45:47" x14ac:dyDescent="0.25">
      <c r="AS355" s="18" t="s">
        <v>6907</v>
      </c>
      <c r="AU355" s="20">
        <v>4138.375</v>
      </c>
    </row>
    <row r="356" spans="45:47" x14ac:dyDescent="0.25">
      <c r="AS356" s="18" t="s">
        <v>6908</v>
      </c>
      <c r="AU356" s="20">
        <v>4130</v>
      </c>
    </row>
    <row r="357" spans="45:47" x14ac:dyDescent="0.25">
      <c r="AS357" s="18" t="s">
        <v>6909</v>
      </c>
      <c r="AU357" s="20">
        <v>4486.5</v>
      </c>
    </row>
    <row r="358" spans="45:47" x14ac:dyDescent="0.25">
      <c r="AS358" s="18" t="s">
        <v>6910</v>
      </c>
      <c r="AU358" s="20">
        <v>4357.75</v>
      </c>
    </row>
    <row r="359" spans="45:47" x14ac:dyDescent="0.25">
      <c r="AS359" s="18" t="s">
        <v>6911</v>
      </c>
      <c r="AU359" s="20">
        <v>3324.5000000000036</v>
      </c>
    </row>
    <row r="360" spans="45:47" x14ac:dyDescent="0.25">
      <c r="AS360" s="18" t="s">
        <v>6912</v>
      </c>
      <c r="AU360" s="20">
        <v>-8145.5</v>
      </c>
    </row>
    <row r="361" spans="45:47" x14ac:dyDescent="0.25">
      <c r="AS361" s="18" t="s">
        <v>6913</v>
      </c>
      <c r="AU361" s="20">
        <v>-8140.25</v>
      </c>
    </row>
    <row r="362" spans="45:47" x14ac:dyDescent="0.25">
      <c r="AS362" s="18" t="s">
        <v>6914</v>
      </c>
      <c r="AU362" s="20">
        <v>-3324</v>
      </c>
    </row>
    <row r="363" spans="45:47" x14ac:dyDescent="0.25">
      <c r="AS363" s="18" t="s">
        <v>6915</v>
      </c>
      <c r="AU363" s="20">
        <v>-4790</v>
      </c>
    </row>
    <row r="364" spans="45:47" x14ac:dyDescent="0.25">
      <c r="AS364" s="18" t="s">
        <v>6916</v>
      </c>
      <c r="AU364" s="20">
        <v>-6190.25</v>
      </c>
    </row>
    <row r="365" spans="45:47" x14ac:dyDescent="0.25">
      <c r="AS365" s="18" t="s">
        <v>6917</v>
      </c>
      <c r="AU365" s="20">
        <v>-7810</v>
      </c>
    </row>
    <row r="366" spans="45:47" x14ac:dyDescent="0.25">
      <c r="AS366" s="18" t="s">
        <v>6918</v>
      </c>
      <c r="AU366" s="20">
        <v>-6500</v>
      </c>
    </row>
    <row r="367" spans="45:47" x14ac:dyDescent="0.25">
      <c r="AS367" s="18" t="s">
        <v>6919</v>
      </c>
      <c r="AU367" s="20">
        <v>-9157.75</v>
      </c>
    </row>
    <row r="368" spans="45:47" x14ac:dyDescent="0.25">
      <c r="AS368" s="18" t="s">
        <v>6920</v>
      </c>
      <c r="AU368" s="20">
        <v>-5820</v>
      </c>
    </row>
    <row r="369" spans="45:47" x14ac:dyDescent="0.25">
      <c r="AS369" s="18" t="s">
        <v>6921</v>
      </c>
      <c r="AU369" s="20">
        <v>-1700</v>
      </c>
    </row>
    <row r="370" spans="45:47" x14ac:dyDescent="0.25">
      <c r="AS370" s="18" t="s">
        <v>6922</v>
      </c>
      <c r="AU370" s="20">
        <v>-3730</v>
      </c>
    </row>
    <row r="371" spans="45:47" x14ac:dyDescent="0.25">
      <c r="AS371" s="18" t="s">
        <v>6923</v>
      </c>
      <c r="AU371" s="20">
        <v>-7390.25</v>
      </c>
    </row>
    <row r="372" spans="45:47" x14ac:dyDescent="0.25">
      <c r="AS372" s="18" t="s">
        <v>6924</v>
      </c>
      <c r="AU372" s="20">
        <v>2625.0000000000036</v>
      </c>
    </row>
    <row r="373" spans="45:47" x14ac:dyDescent="0.25">
      <c r="AS373" s="18" t="s">
        <v>6925</v>
      </c>
      <c r="AU373" s="20">
        <v>2625.0000000000073</v>
      </c>
    </row>
    <row r="374" spans="45:47" x14ac:dyDescent="0.25">
      <c r="AS374" s="18" t="s">
        <v>6926</v>
      </c>
      <c r="AU374" s="20">
        <v>7869.5</v>
      </c>
    </row>
    <row r="375" spans="45:47" x14ac:dyDescent="0.25">
      <c r="AS375" s="18" t="s">
        <v>6927</v>
      </c>
      <c r="AU375" s="20">
        <v>-5930</v>
      </c>
    </row>
    <row r="376" spans="45:47" x14ac:dyDescent="0.25">
      <c r="AS376" s="18" t="s">
        <v>6928</v>
      </c>
      <c r="AU376" s="20">
        <v>-7000</v>
      </c>
    </row>
    <row r="377" spans="45:47" x14ac:dyDescent="0.25">
      <c r="AS377" s="18" t="s">
        <v>6929</v>
      </c>
      <c r="AU377" s="20">
        <v>-4800</v>
      </c>
    </row>
    <row r="378" spans="45:47" x14ac:dyDescent="0.25">
      <c r="AS378" s="18" t="s">
        <v>6930</v>
      </c>
      <c r="AU378" s="20">
        <v>-5470</v>
      </c>
    </row>
    <row r="379" spans="45:47" x14ac:dyDescent="0.25">
      <c r="AS379" s="18" t="s">
        <v>6931</v>
      </c>
      <c r="AU379" s="20">
        <v>-3800</v>
      </c>
    </row>
    <row r="380" spans="45:47" x14ac:dyDescent="0.25">
      <c r="AS380" s="18" t="s">
        <v>6932</v>
      </c>
      <c r="AU380" s="20">
        <v>-3820</v>
      </c>
    </row>
    <row r="381" spans="45:47" x14ac:dyDescent="0.25">
      <c r="AS381" s="18" t="s">
        <v>6933</v>
      </c>
      <c r="AU381" s="20">
        <v>-1350</v>
      </c>
    </row>
    <row r="382" spans="45:47" x14ac:dyDescent="0.25">
      <c r="AS382" s="18" t="s">
        <v>6934</v>
      </c>
      <c r="AU382" s="20">
        <v>-3900</v>
      </c>
    </row>
    <row r="383" spans="45:47" x14ac:dyDescent="0.25">
      <c r="AS383" s="18" t="s">
        <v>6935</v>
      </c>
      <c r="AU383" s="20">
        <v>3631.6250000000036</v>
      </c>
    </row>
    <row r="384" spans="45:47" x14ac:dyDescent="0.25">
      <c r="AS384" s="18" t="s">
        <v>6936</v>
      </c>
      <c r="AU384" s="20">
        <v>-3000</v>
      </c>
    </row>
    <row r="385" spans="45:47" x14ac:dyDescent="0.25">
      <c r="AS385" s="18" t="s">
        <v>6937</v>
      </c>
      <c r="AU385" s="20">
        <v>-3210</v>
      </c>
    </row>
    <row r="386" spans="45:47" x14ac:dyDescent="0.25">
      <c r="AS386" s="18" t="s">
        <v>6938</v>
      </c>
      <c r="AU386" s="20">
        <v>7076</v>
      </c>
    </row>
    <row r="387" spans="45:47" x14ac:dyDescent="0.25">
      <c r="AS387" s="18" t="s">
        <v>6939</v>
      </c>
      <c r="AU387" s="20">
        <v>3972</v>
      </c>
    </row>
    <row r="388" spans="45:47" x14ac:dyDescent="0.25">
      <c r="AS388" s="18" t="s">
        <v>6940</v>
      </c>
      <c r="AU388" s="20">
        <v>-2400</v>
      </c>
    </row>
    <row r="389" spans="45:47" x14ac:dyDescent="0.25">
      <c r="AS389" s="18" t="s">
        <v>6941</v>
      </c>
      <c r="AU389" s="20">
        <v>-4125</v>
      </c>
    </row>
    <row r="390" spans="45:47" x14ac:dyDescent="0.25">
      <c r="AS390" s="18" t="s">
        <v>7024</v>
      </c>
      <c r="AU390" s="20">
        <v>-2500</v>
      </c>
    </row>
    <row r="391" spans="45:47" x14ac:dyDescent="0.25">
      <c r="AS391" s="18" t="s">
        <v>6942</v>
      </c>
      <c r="AU391" s="20">
        <v>-2700</v>
      </c>
    </row>
    <row r="392" spans="45:47" x14ac:dyDescent="0.25">
      <c r="AS392" s="18" t="s">
        <v>6943</v>
      </c>
      <c r="AU392" s="20">
        <v>-1530</v>
      </c>
    </row>
    <row r="393" spans="45:47" x14ac:dyDescent="0.25">
      <c r="AS393" s="18" t="s">
        <v>6944</v>
      </c>
      <c r="AU393" s="20">
        <v>2511.6250000000036</v>
      </c>
    </row>
    <row r="394" spans="45:47" x14ac:dyDescent="0.25">
      <c r="AS394" s="18" t="s">
        <v>6945</v>
      </c>
      <c r="AU394" s="20">
        <v>3500.0000000000036</v>
      </c>
    </row>
    <row r="395" spans="45:47" x14ac:dyDescent="0.25">
      <c r="AS395" s="18" t="s">
        <v>6946</v>
      </c>
      <c r="AU395" s="20">
        <v>-4798.9999999999854</v>
      </c>
    </row>
    <row r="396" spans="45:47" x14ac:dyDescent="0.25">
      <c r="AS396" s="18" t="s">
        <v>6947</v>
      </c>
      <c r="AU396" s="20">
        <v>3893.875</v>
      </c>
    </row>
    <row r="397" spans="45:47" x14ac:dyDescent="0.25">
      <c r="AS397" s="18" t="s">
        <v>6948</v>
      </c>
      <c r="AU397" s="20">
        <v>3092</v>
      </c>
    </row>
    <row r="398" spans="45:47" x14ac:dyDescent="0.25">
      <c r="AS398" s="18" t="s">
        <v>6949</v>
      </c>
      <c r="AU398" s="20">
        <v>5200</v>
      </c>
    </row>
    <row r="399" spans="45:47" x14ac:dyDescent="0.25">
      <c r="AS399" s="18" t="s">
        <v>6950</v>
      </c>
      <c r="AU399" s="20">
        <v>1546</v>
      </c>
    </row>
    <row r="400" spans="45:47" x14ac:dyDescent="0.25">
      <c r="AS400" s="18" t="s">
        <v>6951</v>
      </c>
      <c r="AU400" s="20">
        <v>-8039.9999999999854</v>
      </c>
    </row>
    <row r="401" spans="45:47" x14ac:dyDescent="0.25">
      <c r="AS401" s="18" t="s">
        <v>6952</v>
      </c>
      <c r="AU401" s="20">
        <v>-8098.25</v>
      </c>
    </row>
    <row r="402" spans="45:47" x14ac:dyDescent="0.25">
      <c r="AS402" s="18" t="s">
        <v>6953</v>
      </c>
      <c r="AU402" s="20">
        <v>4486.5</v>
      </c>
    </row>
    <row r="403" spans="45:47" x14ac:dyDescent="0.25">
      <c r="AS403" s="18" t="s">
        <v>6954</v>
      </c>
      <c r="AU403" s="20">
        <v>3193.5000000000073</v>
      </c>
    </row>
    <row r="404" spans="45:47" x14ac:dyDescent="0.25">
      <c r="AS404" s="18" t="s">
        <v>6955</v>
      </c>
      <c r="AU404" s="20">
        <v>2935</v>
      </c>
    </row>
    <row r="405" spans="45:47" x14ac:dyDescent="0.25">
      <c r="AS405" s="18" t="s">
        <v>6956</v>
      </c>
      <c r="AU405" s="20">
        <v>3745</v>
      </c>
    </row>
    <row r="406" spans="45:47" x14ac:dyDescent="0.25">
      <c r="AS406" s="18" t="s">
        <v>6957</v>
      </c>
      <c r="AU406" s="20">
        <v>3850</v>
      </c>
    </row>
    <row r="407" spans="45:47" x14ac:dyDescent="0.25">
      <c r="AS407" s="18" t="s">
        <v>6958</v>
      </c>
      <c r="AU407" s="20">
        <v>4486.5</v>
      </c>
    </row>
    <row r="408" spans="45:47" x14ac:dyDescent="0.25">
      <c r="AS408" s="18" t="s">
        <v>6959</v>
      </c>
      <c r="AU408" s="20">
        <v>-7412.25</v>
      </c>
    </row>
    <row r="409" spans="45:47" x14ac:dyDescent="0.25">
      <c r="AS409" s="18" t="s">
        <v>6960</v>
      </c>
      <c r="AU409" s="20">
        <v>-23250</v>
      </c>
    </row>
    <row r="410" spans="45:47" x14ac:dyDescent="0.25">
      <c r="AS410" s="18" t="s">
        <v>6961</v>
      </c>
      <c r="AU410" s="20">
        <v>-7800</v>
      </c>
    </row>
    <row r="411" spans="45:47" x14ac:dyDescent="0.25">
      <c r="AS411" s="18" t="s">
        <v>6962</v>
      </c>
      <c r="AU411" s="20">
        <v>-8098.25</v>
      </c>
    </row>
    <row r="412" spans="45:47" x14ac:dyDescent="0.25">
      <c r="AS412" s="18" t="s">
        <v>6963</v>
      </c>
      <c r="AU412" s="20">
        <v>-4480</v>
      </c>
    </row>
    <row r="413" spans="45:47" x14ac:dyDescent="0.25">
      <c r="AS413" s="18" t="s">
        <v>6964</v>
      </c>
      <c r="AU413" s="20">
        <v>-6983.5</v>
      </c>
    </row>
    <row r="414" spans="45:47" x14ac:dyDescent="0.25">
      <c r="AS414" s="18" t="s">
        <v>6965</v>
      </c>
      <c r="AU414" s="20">
        <v>-3375</v>
      </c>
    </row>
    <row r="415" spans="45:47" x14ac:dyDescent="0.25">
      <c r="AS415" s="18" t="s">
        <v>6966</v>
      </c>
      <c r="AU415" s="20">
        <v>5775.0000000000073</v>
      </c>
    </row>
    <row r="416" spans="45:47" x14ac:dyDescent="0.25">
      <c r="AS416" s="18" t="s">
        <v>6967</v>
      </c>
      <c r="AU416" s="20">
        <v>4637.0000000000146</v>
      </c>
    </row>
    <row r="417" spans="45:47" x14ac:dyDescent="0.25">
      <c r="AS417" s="18" t="s">
        <v>6968</v>
      </c>
      <c r="AU417" s="20">
        <v>4402.5</v>
      </c>
    </row>
    <row r="418" spans="45:47" x14ac:dyDescent="0.25">
      <c r="AS418" s="18" t="s">
        <v>6969</v>
      </c>
      <c r="AU418" s="20">
        <v>4112.5</v>
      </c>
    </row>
    <row r="419" spans="45:47" x14ac:dyDescent="0.25">
      <c r="AS419" s="18" t="s">
        <v>6970</v>
      </c>
      <c r="AU419" s="20">
        <v>4438</v>
      </c>
    </row>
    <row r="420" spans="45:47" x14ac:dyDescent="0.25">
      <c r="AS420" s="18" t="s">
        <v>6971</v>
      </c>
      <c r="AU420" s="20">
        <v>-3967.75</v>
      </c>
    </row>
    <row r="421" spans="45:47" x14ac:dyDescent="0.25">
      <c r="AS421" s="18" t="s">
        <v>6972</v>
      </c>
      <c r="AU421" s="20">
        <v>-2796</v>
      </c>
    </row>
    <row r="422" spans="45:47" x14ac:dyDescent="0.25">
      <c r="AS422" s="18" t="s">
        <v>6973</v>
      </c>
      <c r="AU422" s="20">
        <v>-1521</v>
      </c>
    </row>
    <row r="423" spans="45:47" x14ac:dyDescent="0.25">
      <c r="AS423" s="18" t="s">
        <v>6974</v>
      </c>
      <c r="AU423" s="20">
        <v>5256.1250000000146</v>
      </c>
    </row>
    <row r="424" spans="45:47" x14ac:dyDescent="0.25">
      <c r="AS424" s="18" t="s">
        <v>6975</v>
      </c>
      <c r="AU424" s="20">
        <v>-8098.25</v>
      </c>
    </row>
    <row r="425" spans="45:47" x14ac:dyDescent="0.25">
      <c r="AS425" s="18" t="s">
        <v>6976</v>
      </c>
      <c r="AU425" s="20">
        <v>-4062.5</v>
      </c>
    </row>
    <row r="426" spans="45:47" x14ac:dyDescent="0.25">
      <c r="AS426" s="18" t="s">
        <v>6977</v>
      </c>
      <c r="AU426" s="20">
        <v>3092</v>
      </c>
    </row>
    <row r="427" spans="45:47" x14ac:dyDescent="0.25">
      <c r="AS427" s="18" t="s">
        <v>6978</v>
      </c>
      <c r="AU427" s="20">
        <v>-3938</v>
      </c>
    </row>
    <row r="428" spans="45:47" x14ac:dyDescent="0.25">
      <c r="AS428" s="18" t="s">
        <v>6979</v>
      </c>
      <c r="AU428" s="20">
        <v>3016</v>
      </c>
    </row>
    <row r="429" spans="45:47" x14ac:dyDescent="0.25">
      <c r="AS429" s="18" t="s">
        <v>6980</v>
      </c>
      <c r="AU429" s="20">
        <v>-8145.5</v>
      </c>
    </row>
    <row r="430" spans="45:47" x14ac:dyDescent="0.25">
      <c r="AS430" s="18" t="s">
        <v>6981</v>
      </c>
      <c r="AU430" s="20">
        <v>-8287.75</v>
      </c>
    </row>
    <row r="431" spans="45:47" x14ac:dyDescent="0.25">
      <c r="AS431" s="18" t="s">
        <v>6982</v>
      </c>
      <c r="AU431" s="20">
        <v>-6298</v>
      </c>
    </row>
    <row r="432" spans="45:47" x14ac:dyDescent="0.25">
      <c r="AS432" s="18" t="s">
        <v>6983</v>
      </c>
      <c r="AU432" s="20">
        <v>-3095</v>
      </c>
    </row>
    <row r="433" spans="45:47" x14ac:dyDescent="0.25">
      <c r="AS433" s="18" t="s">
        <v>6984</v>
      </c>
      <c r="AU433" s="20">
        <v>-2747.75</v>
      </c>
    </row>
    <row r="434" spans="45:47" x14ac:dyDescent="0.25">
      <c r="AS434" s="18" t="s">
        <v>6985</v>
      </c>
      <c r="AU434" s="20">
        <v>1113</v>
      </c>
    </row>
    <row r="435" spans="45:47" x14ac:dyDescent="0.25">
      <c r="AS435" s="18" t="s">
        <v>6986</v>
      </c>
      <c r="AU435" s="20">
        <v>-4040</v>
      </c>
    </row>
    <row r="436" spans="45:47" x14ac:dyDescent="0.25">
      <c r="AS436" s="18" t="s">
        <v>6987</v>
      </c>
      <c r="AU436" s="20">
        <v>-2796</v>
      </c>
    </row>
    <row r="437" spans="45:47" x14ac:dyDescent="0.25">
      <c r="AS437" s="18" t="s">
        <v>6988</v>
      </c>
      <c r="AU437" s="20">
        <v>2140</v>
      </c>
    </row>
    <row r="438" spans="45:47" x14ac:dyDescent="0.25">
      <c r="AS438" s="18" t="s">
        <v>6989</v>
      </c>
      <c r="AU438" s="20">
        <v>-4210.25</v>
      </c>
    </row>
    <row r="439" spans="45:47" x14ac:dyDescent="0.25">
      <c r="AS439" s="18" t="s">
        <v>6990</v>
      </c>
      <c r="AU439" s="20">
        <v>-7395.5</v>
      </c>
    </row>
    <row r="440" spans="45:47" x14ac:dyDescent="0.25">
      <c r="AS440" s="18" t="s">
        <v>6991</v>
      </c>
      <c r="AU440" s="20">
        <v>-3600</v>
      </c>
    </row>
    <row r="441" spans="45:47" x14ac:dyDescent="0.25">
      <c r="AS441" s="18" t="s">
        <v>6992</v>
      </c>
      <c r="AU441" s="20">
        <v>4837.75</v>
      </c>
    </row>
    <row r="442" spans="45:47" x14ac:dyDescent="0.25">
      <c r="AS442" s="18" t="s">
        <v>6993</v>
      </c>
      <c r="AU442" s="20">
        <v>5798</v>
      </c>
    </row>
    <row r="443" spans="45:47" x14ac:dyDescent="0.25">
      <c r="AS443" s="18" t="s">
        <v>6994</v>
      </c>
      <c r="AU443" s="20">
        <v>3494</v>
      </c>
    </row>
    <row r="444" spans="45:47" x14ac:dyDescent="0.25">
      <c r="AS444" s="18" t="s">
        <v>6995</v>
      </c>
      <c r="AU444" s="20">
        <v>2992.2500000000036</v>
      </c>
    </row>
    <row r="445" spans="45:47" x14ac:dyDescent="0.25">
      <c r="AS445" s="18" t="s">
        <v>6996</v>
      </c>
      <c r="AU445" s="20">
        <v>-2678</v>
      </c>
    </row>
    <row r="446" spans="45:47" x14ac:dyDescent="0.25">
      <c r="AS446" s="18" t="s">
        <v>6997</v>
      </c>
      <c r="AU446" s="20">
        <v>2623</v>
      </c>
    </row>
    <row r="447" spans="45:47" x14ac:dyDescent="0.25">
      <c r="AS447" s="18" t="s">
        <v>6998</v>
      </c>
      <c r="AU447" s="20">
        <v>-3196</v>
      </c>
    </row>
    <row r="448" spans="45:47" x14ac:dyDescent="0.25">
      <c r="AS448" s="18" t="s">
        <v>6999</v>
      </c>
      <c r="AU448" s="20">
        <v>-3585</v>
      </c>
    </row>
    <row r="449" spans="45:47" x14ac:dyDescent="0.25">
      <c r="AS449" s="18" t="s">
        <v>7000</v>
      </c>
      <c r="AU449" s="20">
        <v>-3998</v>
      </c>
    </row>
    <row r="450" spans="45:47" x14ac:dyDescent="0.25">
      <c r="AS450" s="18" t="s">
        <v>7001</v>
      </c>
      <c r="AU450" s="20">
        <v>-2025</v>
      </c>
    </row>
    <row r="451" spans="45:47" x14ac:dyDescent="0.25">
      <c r="AS451" s="18" t="s">
        <v>7002</v>
      </c>
      <c r="AU451" s="20">
        <v>-4910</v>
      </c>
    </row>
    <row r="452" spans="45:47" x14ac:dyDescent="0.25">
      <c r="AS452" s="18" t="s">
        <v>7003</v>
      </c>
      <c r="AU452" s="20">
        <v>-4450</v>
      </c>
    </row>
    <row r="453" spans="45:47" x14ac:dyDescent="0.25">
      <c r="AS453" s="18" t="s">
        <v>7004</v>
      </c>
      <c r="AU453" s="20">
        <v>1450</v>
      </c>
    </row>
    <row r="454" spans="45:47" x14ac:dyDescent="0.25">
      <c r="AS454" s="18" t="s">
        <v>7005</v>
      </c>
      <c r="AU454" s="20">
        <v>4819.7500000000073</v>
      </c>
    </row>
    <row r="455" spans="45:47" x14ac:dyDescent="0.25">
      <c r="AS455" s="18" t="s">
        <v>7006</v>
      </c>
      <c r="AU455" s="20">
        <v>2450.0000000000036</v>
      </c>
    </row>
    <row r="456" spans="45:47" x14ac:dyDescent="0.25">
      <c r="AS456" s="18" t="s">
        <v>7007</v>
      </c>
      <c r="AU456" s="20">
        <v>3850.0000000000036</v>
      </c>
    </row>
    <row r="457" spans="45:47" x14ac:dyDescent="0.25">
      <c r="AS457" s="18" t="s">
        <v>7008</v>
      </c>
      <c r="AU457" s="20">
        <v>3237.7500000000036</v>
      </c>
    </row>
    <row r="458" spans="45:47" x14ac:dyDescent="0.25">
      <c r="AS458" s="18" t="s">
        <v>7009</v>
      </c>
      <c r="AU458" s="20">
        <v>-8254</v>
      </c>
    </row>
    <row r="459" spans="45:47" x14ac:dyDescent="0.25">
      <c r="AS459" s="18" t="s">
        <v>7010</v>
      </c>
      <c r="AU459" s="20">
        <v>-6190.25</v>
      </c>
    </row>
    <row r="460" spans="45:47" x14ac:dyDescent="0.25">
      <c r="AS460" s="18" t="s">
        <v>7011</v>
      </c>
      <c r="AU460" s="20">
        <v>-4280</v>
      </c>
    </row>
    <row r="461" spans="45:47" x14ac:dyDescent="0.25">
      <c r="AS461" s="18" t="s">
        <v>7012</v>
      </c>
      <c r="AU461" s="20">
        <v>-4237.75</v>
      </c>
    </row>
    <row r="462" spans="45:47" x14ac:dyDescent="0.25">
      <c r="AS462" s="18" t="s">
        <v>7013</v>
      </c>
      <c r="AU462" s="20">
        <v>2187.0000000000073</v>
      </c>
    </row>
    <row r="463" spans="45:47" x14ac:dyDescent="0.25">
      <c r="AS463" s="18" t="s">
        <v>7014</v>
      </c>
      <c r="AU463" s="20">
        <v>8400</v>
      </c>
    </row>
    <row r="464" spans="45:47" x14ac:dyDescent="0.25">
      <c r="AS464" s="18" t="s">
        <v>7015</v>
      </c>
      <c r="AU464" s="20">
        <v>-3920</v>
      </c>
    </row>
    <row r="465" spans="45:47" x14ac:dyDescent="0.25">
      <c r="AS465" s="18" t="s">
        <v>7016</v>
      </c>
      <c r="AU465" s="20">
        <v>2800.0000000000036</v>
      </c>
    </row>
    <row r="466" spans="45:47" x14ac:dyDescent="0.25">
      <c r="AS466" s="18" t="s">
        <v>7017</v>
      </c>
      <c r="AU466" s="20">
        <v>-3375</v>
      </c>
    </row>
    <row r="467" spans="45:47" x14ac:dyDescent="0.25">
      <c r="AS467" s="18" t="s">
        <v>7018</v>
      </c>
      <c r="AU467" s="20">
        <v>1224.5000000000018</v>
      </c>
    </row>
    <row r="468" spans="45:47" x14ac:dyDescent="0.25">
      <c r="AS468" s="18" t="s">
        <v>7019</v>
      </c>
      <c r="AU468" s="20">
        <v>3955</v>
      </c>
    </row>
    <row r="470" spans="45:47" x14ac:dyDescent="0.25">
      <c r="AU470" s="24" t="s">
        <v>7025</v>
      </c>
    </row>
  </sheetData>
  <autoFilter ref="A2:AY46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34D0-3E01-43F2-B446-AB3E74C9ABD7}">
  <dimension ref="A1:H471"/>
  <sheetViews>
    <sheetView tabSelected="1" topLeftCell="A232" workbookViewId="0">
      <selection activeCell="F234" sqref="F234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4.85546875" customWidth="1"/>
    <col min="7" max="7" width="82.85546875" customWidth="1"/>
    <col min="8" max="8" width="75.5703125" customWidth="1"/>
  </cols>
  <sheetData>
    <row r="1" spans="1:8" x14ac:dyDescent="0.25">
      <c r="A1" s="27" t="s">
        <v>7679</v>
      </c>
      <c r="B1" t="s">
        <v>7680</v>
      </c>
      <c r="D1" s="28" t="s">
        <v>40</v>
      </c>
      <c r="E1" s="36" t="s">
        <v>7824</v>
      </c>
    </row>
    <row r="2" spans="1:8" ht="114" customHeight="1" x14ac:dyDescent="0.25">
      <c r="A2" s="18" t="s">
        <v>6556</v>
      </c>
      <c r="B2" s="29" t="str">
        <f>VLOOKUP(A2,policy!B:C,2,0)</f>
        <v>070000165775</v>
      </c>
      <c r="C2" s="19">
        <v>21360</v>
      </c>
      <c r="D2" s="30">
        <f>ROUND(C2,0)</f>
        <v>21360</v>
      </c>
      <c r="E2" s="36" t="s">
        <v>7824</v>
      </c>
      <c r="F2" s="31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32" t="str">
        <f>"('"&amp;E2&amp;"','"&amp;B2&amp;"','"&amp;D2&amp;"',(select max(to_number(i.premium_rcv_detail_code))+1
from ins_premium_det i),'"&amp;D2&amp;"','"&amp;D2&amp;"','02', '11000003','00','Request by Mr. Saqib Saleem 30-Oct-2024');"</f>
        <v>('29Oct240041','070000165775','21360',(select max(to_number(i.premium_rcv_detail_code))+1
from ins_premium_det i),'21360','21360','02', '11000003','00','Request by Mr. Saqib Saleem 30-Oct-2024');</v>
      </c>
      <c r="H2" s="33" t="str">
        <f>F2&amp;G2</f>
        <v>insert into ins_premium_det (premium_rcv_code,assorted_code, rec_amount,premium_rcv_detail_code,remaining_amt, payrec, mode_code,coinsurance_code,class_cd,it_remarks) values('29Oct240041','070000165775','21360',(select max(to_number(i.premium_rcv_detail_code))+1
from ins_premium_det i),'21360','21360','02', '11000003','00','Request by Mr. Saqib Saleem 30-Oct-2024');</v>
      </c>
    </row>
    <row r="3" spans="1:8" ht="105" x14ac:dyDescent="0.25">
      <c r="A3" s="18" t="s">
        <v>6557</v>
      </c>
      <c r="B3" s="29" t="str">
        <f>VLOOKUP(A3,policy!B:C,2,0)</f>
        <v>070000165777</v>
      </c>
      <c r="C3" s="19">
        <v>40715</v>
      </c>
      <c r="D3" s="30">
        <f t="shared" ref="D3:D66" si="1">ROUND(C3,0)</f>
        <v>40715</v>
      </c>
      <c r="E3" s="36" t="s">
        <v>7824</v>
      </c>
      <c r="F3" s="31" t="str">
        <f t="shared" si="0"/>
        <v>insert into ins_premium_det (premium_rcv_code,assorted_code, rec_amount,premium_rcv_detail_code,remaining_amt, payrec, mode_code,coinsurance_code,class_cd,it_remarks) values</v>
      </c>
      <c r="G3" s="32" t="str">
        <f t="shared" ref="G3:G66" si="2">"('"&amp;E3&amp;"','"&amp;B3&amp;"','"&amp;D3&amp;"',(select max(to_number(i.premium_rcv_detail_code))+1
from ins_premium_det i),'"&amp;D3&amp;"','"&amp;D3&amp;"','02', '11000003','00','Request by Mr. Saqib Saleem 30-Oct-2024');"</f>
        <v>('29Oct240041','070000165777','40715',(select max(to_number(i.premium_rcv_detail_code))+1
from ins_premium_det i),'40715','40715','02', '11000003','00','Request by Mr. Saqib Saleem 30-Oct-2024');</v>
      </c>
      <c r="H3" s="33" t="str">
        <f t="shared" ref="H3:H66" si="3">F3&amp;G3</f>
        <v>insert into ins_premium_det (premium_rcv_code,assorted_code, rec_amount,premium_rcv_detail_code,remaining_amt, payrec, mode_code,coinsurance_code,class_cd,it_remarks) values('29Oct240041','070000165777','40715',(select max(to_number(i.premium_rcv_detail_code))+1
from ins_premium_det i),'40715','40715','02', '11000003','00','Request by Mr. Saqib Saleem 30-Oct-2024');</v>
      </c>
    </row>
    <row r="4" spans="1:8" ht="105" x14ac:dyDescent="0.25">
      <c r="A4" s="18" t="s">
        <v>6558</v>
      </c>
      <c r="B4" s="29" t="str">
        <f>VLOOKUP(A4,policy!B:C,2,0)</f>
        <v>070000165778</v>
      </c>
      <c r="C4" s="19">
        <v>70912</v>
      </c>
      <c r="D4" s="30">
        <f t="shared" si="1"/>
        <v>70912</v>
      </c>
      <c r="E4" s="36" t="s">
        <v>7824</v>
      </c>
      <c r="F4" s="31" t="str">
        <f t="shared" si="0"/>
        <v>insert into ins_premium_det (premium_rcv_code,assorted_code, rec_amount,premium_rcv_detail_code,remaining_amt, payrec, mode_code,coinsurance_code,class_cd,it_remarks) values</v>
      </c>
      <c r="G4" s="32" t="str">
        <f t="shared" si="2"/>
        <v>('29Oct240041','070000165778','70912',(select max(to_number(i.premium_rcv_detail_code))+1
from ins_premium_det i),'70912','70912','02', '11000003','00','Request by Mr. Saqib Saleem 30-Oct-2024');</v>
      </c>
      <c r="H4" s="33" t="str">
        <f t="shared" si="3"/>
        <v>insert into ins_premium_det (premium_rcv_code,assorted_code, rec_amount,premium_rcv_detail_code,remaining_amt, payrec, mode_code,coinsurance_code,class_cd,it_remarks) values('29Oct240041','070000165778','70912',(select max(to_number(i.premium_rcv_detail_code))+1
from ins_premium_det i),'70912','70912','02', '11000003','00','Request by Mr. Saqib Saleem 30-Oct-2024');</v>
      </c>
    </row>
    <row r="5" spans="1:8" ht="105" x14ac:dyDescent="0.25">
      <c r="A5" s="18" t="s">
        <v>6559</v>
      </c>
      <c r="B5" s="29" t="str">
        <f>VLOOKUP(A5,policy!B:C,2,0)</f>
        <v>070000165779</v>
      </c>
      <c r="C5" s="19">
        <v>70912</v>
      </c>
      <c r="D5" s="30">
        <f t="shared" si="1"/>
        <v>70912</v>
      </c>
      <c r="E5" s="36" t="s">
        <v>7824</v>
      </c>
      <c r="F5" s="31" t="str">
        <f t="shared" si="0"/>
        <v>insert into ins_premium_det (premium_rcv_code,assorted_code, rec_amount,premium_rcv_detail_code,remaining_amt, payrec, mode_code,coinsurance_code,class_cd,it_remarks) values</v>
      </c>
      <c r="G5" s="32" t="str">
        <f t="shared" si="2"/>
        <v>('29Oct240041','070000165779','70912',(select max(to_number(i.premium_rcv_detail_code))+1
from ins_premium_det i),'70912','70912','02', '11000003','00','Request by Mr. Saqib Saleem 30-Oct-2024');</v>
      </c>
      <c r="H5" s="33" t="str">
        <f t="shared" si="3"/>
        <v>insert into ins_premium_det (premium_rcv_code,assorted_code, rec_amount,premium_rcv_detail_code,remaining_amt, payrec, mode_code,coinsurance_code,class_cd,it_remarks) values('29Oct240041','070000165779','70912',(select max(to_number(i.premium_rcv_detail_code))+1
from ins_premium_det i),'70912','70912','02', '11000003','00','Request by Mr. Saqib Saleem 30-Oct-2024');</v>
      </c>
    </row>
    <row r="6" spans="1:8" ht="105" x14ac:dyDescent="0.25">
      <c r="A6" s="18" t="s">
        <v>6560</v>
      </c>
      <c r="B6" s="29" t="str">
        <f>VLOOKUP(A6,policy!B:C,2,0)</f>
        <v>070000165780</v>
      </c>
      <c r="C6" s="19">
        <v>68837</v>
      </c>
      <c r="D6" s="30">
        <f t="shared" si="1"/>
        <v>68837</v>
      </c>
      <c r="E6" s="36" t="s">
        <v>7824</v>
      </c>
      <c r="F6" s="31" t="str">
        <f t="shared" si="0"/>
        <v>insert into ins_premium_det (premium_rcv_code,assorted_code, rec_amount,premium_rcv_detail_code,remaining_amt, payrec, mode_code,coinsurance_code,class_cd,it_remarks) values</v>
      </c>
      <c r="G6" s="32" t="str">
        <f t="shared" si="2"/>
        <v>('29Oct240041','070000165780','68837',(select max(to_number(i.premium_rcv_detail_code))+1
from ins_premium_det i),'68837','68837','02', '11000003','00','Request by Mr. Saqib Saleem 30-Oct-2024');</v>
      </c>
      <c r="H6" s="33" t="str">
        <f t="shared" si="3"/>
        <v>insert into ins_premium_det (premium_rcv_code,assorted_code, rec_amount,premium_rcv_detail_code,remaining_amt, payrec, mode_code,coinsurance_code,class_cd,it_remarks) values('29Oct240041','070000165780','68837',(select max(to_number(i.premium_rcv_detail_code))+1
from ins_premium_det i),'68837','68837','02', '11000003','00','Request by Mr. Saqib Saleem 30-Oct-2024');</v>
      </c>
    </row>
    <row r="7" spans="1:8" ht="105" x14ac:dyDescent="0.25">
      <c r="A7" s="18" t="s">
        <v>6561</v>
      </c>
      <c r="B7" s="29" t="str">
        <f>VLOOKUP(A7,policy!B:C,2,0)</f>
        <v>070000165782</v>
      </c>
      <c r="C7" s="19">
        <v>99064</v>
      </c>
      <c r="D7" s="30">
        <f t="shared" si="1"/>
        <v>99064</v>
      </c>
      <c r="E7" s="36" t="s">
        <v>7824</v>
      </c>
      <c r="F7" s="31" t="str">
        <f t="shared" si="0"/>
        <v>insert into ins_premium_det (premium_rcv_code,assorted_code, rec_amount,premium_rcv_detail_code,remaining_amt, payrec, mode_code,coinsurance_code,class_cd,it_remarks) values</v>
      </c>
      <c r="G7" s="32" t="str">
        <f t="shared" si="2"/>
        <v>('29Oct240041','070000165782','99064',(select max(to_number(i.premium_rcv_detail_code))+1
from ins_premium_det i),'99064','99064','02', '11000003','00','Request by Mr. Saqib Saleem 30-Oct-2024');</v>
      </c>
      <c r="H7" s="33" t="str">
        <f t="shared" si="3"/>
        <v>insert into ins_premium_det (premium_rcv_code,assorted_code, rec_amount,premium_rcv_detail_code,remaining_amt, payrec, mode_code,coinsurance_code,class_cd,it_remarks) values('29Oct240041','070000165782','99064',(select max(to_number(i.premium_rcv_detail_code))+1
from ins_premium_det i),'99064','99064','02', '11000003','00','Request by Mr. Saqib Saleem 30-Oct-2024');</v>
      </c>
    </row>
    <row r="8" spans="1:8" ht="105" x14ac:dyDescent="0.25">
      <c r="A8" s="18" t="s">
        <v>6562</v>
      </c>
      <c r="B8" s="29" t="str">
        <f>VLOOKUP(A8,policy!B:C,2,0)</f>
        <v>070000165783</v>
      </c>
      <c r="C8" s="19">
        <v>44848</v>
      </c>
      <c r="D8" s="30">
        <f t="shared" si="1"/>
        <v>44848</v>
      </c>
      <c r="E8" s="36" t="s">
        <v>7824</v>
      </c>
      <c r="F8" s="31" t="str">
        <f t="shared" si="0"/>
        <v>insert into ins_premium_det (premium_rcv_code,assorted_code, rec_amount,premium_rcv_detail_code,remaining_amt, payrec, mode_code,coinsurance_code,class_cd,it_remarks) values</v>
      </c>
      <c r="G8" s="32" t="str">
        <f t="shared" si="2"/>
        <v>('29Oct240041','070000165783','44848',(select max(to_number(i.premium_rcv_detail_code))+1
from ins_premium_det i),'44848','44848','02', '11000003','00','Request by Mr. Saqib Saleem 30-Oct-2024');</v>
      </c>
      <c r="H8" s="33" t="str">
        <f t="shared" si="3"/>
        <v>insert into ins_premium_det (premium_rcv_code,assorted_code, rec_amount,premium_rcv_detail_code,remaining_amt, payrec, mode_code,coinsurance_code,class_cd,it_remarks) values('29Oct240041','070000165783','44848',(select max(to_number(i.premium_rcv_detail_code))+1
from ins_premium_det i),'44848','44848','02', '11000003','00','Request by Mr. Saqib Saleem 30-Oct-2024');</v>
      </c>
    </row>
    <row r="9" spans="1:8" ht="105" x14ac:dyDescent="0.25">
      <c r="A9" s="18" t="s">
        <v>6563</v>
      </c>
      <c r="B9" s="29" t="str">
        <f>VLOOKUP(A9,policy!B:C,2,0)</f>
        <v>070000165784</v>
      </c>
      <c r="C9" s="19">
        <v>44200</v>
      </c>
      <c r="D9" s="30">
        <f t="shared" si="1"/>
        <v>44200</v>
      </c>
      <c r="E9" s="36" t="s">
        <v>7824</v>
      </c>
      <c r="F9" s="31" t="str">
        <f t="shared" si="0"/>
        <v>insert into ins_premium_det (premium_rcv_code,assorted_code, rec_amount,premium_rcv_detail_code,remaining_amt, payrec, mode_code,coinsurance_code,class_cd,it_remarks) values</v>
      </c>
      <c r="G9" s="32" t="str">
        <f t="shared" si="2"/>
        <v>('29Oct240041','070000165784','44200',(select max(to_number(i.premium_rcv_detail_code))+1
from ins_premium_det i),'44200','44200','02', '11000003','00','Request by Mr. Saqib Saleem 30-Oct-2024');</v>
      </c>
      <c r="H9" s="33" t="str">
        <f t="shared" si="3"/>
        <v>insert into ins_premium_det (premium_rcv_code,assorted_code, rec_amount,premium_rcv_detail_code,remaining_amt, payrec, mode_code,coinsurance_code,class_cd,it_remarks) values('29Oct240041','070000165784','44200',(select max(to_number(i.premium_rcv_detail_code))+1
from ins_premium_det i),'44200','44200','02', '11000003','00','Request by Mr. Saqib Saleem 30-Oct-2024');</v>
      </c>
    </row>
    <row r="10" spans="1:8" ht="105" x14ac:dyDescent="0.25">
      <c r="A10" s="18" t="s">
        <v>6564</v>
      </c>
      <c r="B10" s="29" t="str">
        <f>VLOOKUP(A10,policy!B:C,2,0)</f>
        <v>070000165788</v>
      </c>
      <c r="C10" s="19">
        <v>22928</v>
      </c>
      <c r="D10" s="30">
        <f t="shared" si="1"/>
        <v>22928</v>
      </c>
      <c r="E10" s="36" t="s">
        <v>7824</v>
      </c>
      <c r="F10" s="31" t="str">
        <f t="shared" si="0"/>
        <v>insert into ins_premium_det (premium_rcv_code,assorted_code, rec_amount,premium_rcv_detail_code,remaining_amt, payrec, mode_code,coinsurance_code,class_cd,it_remarks) values</v>
      </c>
      <c r="G10" s="32" t="str">
        <f t="shared" si="2"/>
        <v>('29Oct240041','070000165788','22928',(select max(to_number(i.premium_rcv_detail_code))+1
from ins_premium_det i),'22928','22928','02', '11000003','00','Request by Mr. Saqib Saleem 30-Oct-2024');</v>
      </c>
      <c r="H10" s="33" t="str">
        <f t="shared" si="3"/>
        <v>insert into ins_premium_det (premium_rcv_code,assorted_code, rec_amount,premium_rcv_detail_code,remaining_amt, payrec, mode_code,coinsurance_code,class_cd,it_remarks) values('29Oct240041','070000165788','22928',(select max(to_number(i.premium_rcv_detail_code))+1
from ins_premium_det i),'22928','22928','02', '11000003','00','Request by Mr. Saqib Saleem 30-Oct-2024');</v>
      </c>
    </row>
    <row r="11" spans="1:8" ht="105" x14ac:dyDescent="0.25">
      <c r="A11" s="18" t="s">
        <v>6565</v>
      </c>
      <c r="B11" s="29" t="str">
        <f>VLOOKUP(A11,policy!B:C,2,0)</f>
        <v>070000165789</v>
      </c>
      <c r="C11" s="19">
        <v>28160</v>
      </c>
      <c r="D11" s="30">
        <f t="shared" si="1"/>
        <v>28160</v>
      </c>
      <c r="E11" s="36" t="s">
        <v>7824</v>
      </c>
      <c r="F11" s="31" t="str">
        <f t="shared" si="0"/>
        <v>insert into ins_premium_det (premium_rcv_code,assorted_code, rec_amount,premium_rcv_detail_code,remaining_amt, payrec, mode_code,coinsurance_code,class_cd,it_remarks) values</v>
      </c>
      <c r="G11" s="32" t="str">
        <f t="shared" si="2"/>
        <v>('29Oct240041','070000165789','28160',(select max(to_number(i.premium_rcv_detail_code))+1
from ins_premium_det i),'28160','28160','02', '11000003','00','Request by Mr. Saqib Saleem 30-Oct-2024');</v>
      </c>
      <c r="H11" s="33" t="str">
        <f t="shared" si="3"/>
        <v>insert into ins_premium_det (premium_rcv_code,assorted_code, rec_amount,premium_rcv_detail_code,remaining_amt, payrec, mode_code,coinsurance_code,class_cd,it_remarks) values('29Oct240041','070000165789','28160',(select max(to_number(i.premium_rcv_detail_code))+1
from ins_premium_det i),'28160','28160','02', '11000003','00','Request by Mr. Saqib Saleem 30-Oct-2024');</v>
      </c>
    </row>
    <row r="12" spans="1:8" ht="105" x14ac:dyDescent="0.25">
      <c r="A12" s="18" t="s">
        <v>6566</v>
      </c>
      <c r="B12" s="29" t="str">
        <f>VLOOKUP(A12,policy!B:C,2,0)</f>
        <v>070000165790</v>
      </c>
      <c r="C12" s="19">
        <v>40826</v>
      </c>
      <c r="D12" s="30">
        <f t="shared" si="1"/>
        <v>40826</v>
      </c>
      <c r="E12" s="36" t="s">
        <v>7824</v>
      </c>
      <c r="F12" s="31" t="str">
        <f t="shared" si="0"/>
        <v>insert into ins_premium_det (premium_rcv_code,assorted_code, rec_amount,premium_rcv_detail_code,remaining_amt, payrec, mode_code,coinsurance_code,class_cd,it_remarks) values</v>
      </c>
      <c r="G12" s="32" t="str">
        <f t="shared" si="2"/>
        <v>('29Oct240041','070000165790','40826',(select max(to_number(i.premium_rcv_detail_code))+1
from ins_premium_det i),'40826','40826','02', '11000003','00','Request by Mr. Saqib Saleem 30-Oct-2024');</v>
      </c>
      <c r="H12" s="33" t="str">
        <f t="shared" si="3"/>
        <v>insert into ins_premium_det (premium_rcv_code,assorted_code, rec_amount,premium_rcv_detail_code,remaining_amt, payrec, mode_code,coinsurance_code,class_cd,it_remarks) values('29Oct240041','070000165790','40826',(select max(to_number(i.premium_rcv_detail_code))+1
from ins_premium_det i),'40826','40826','02', '11000003','00','Request by Mr. Saqib Saleem 30-Oct-2024');</v>
      </c>
    </row>
    <row r="13" spans="1:8" ht="105" x14ac:dyDescent="0.25">
      <c r="A13" s="18" t="s">
        <v>6567</v>
      </c>
      <c r="B13" s="29" t="str">
        <f>VLOOKUP(A13,policy!B:C,2,0)</f>
        <v>070000165793</v>
      </c>
      <c r="C13" s="19">
        <v>34080</v>
      </c>
      <c r="D13" s="30">
        <f t="shared" si="1"/>
        <v>34080</v>
      </c>
      <c r="E13" s="36" t="s">
        <v>7824</v>
      </c>
      <c r="F13" s="31" t="str">
        <f t="shared" si="0"/>
        <v>insert into ins_premium_det (premium_rcv_code,assorted_code, rec_amount,premium_rcv_detail_code,remaining_amt, payrec, mode_code,coinsurance_code,class_cd,it_remarks) values</v>
      </c>
      <c r="G13" s="32" t="str">
        <f t="shared" si="2"/>
        <v>('29Oct240041','070000165793','34080',(select max(to_number(i.premium_rcv_detail_code))+1
from ins_premium_det i),'34080','34080','02', '11000003','00','Request by Mr. Saqib Saleem 30-Oct-2024');</v>
      </c>
      <c r="H13" s="33" t="str">
        <f t="shared" si="3"/>
        <v>insert into ins_premium_det (premium_rcv_code,assorted_code, rec_amount,premium_rcv_detail_code,remaining_amt, payrec, mode_code,coinsurance_code,class_cd,it_remarks) values('29Oct240041','070000165793','34080',(select max(to_number(i.premium_rcv_detail_code))+1
from ins_premium_det i),'34080','34080','02', '11000003','00','Request by Mr. Saqib Saleem 30-Oct-2024');</v>
      </c>
    </row>
    <row r="14" spans="1:8" ht="105" x14ac:dyDescent="0.25">
      <c r="A14" s="18" t="s">
        <v>6568</v>
      </c>
      <c r="B14" s="29" t="str">
        <f>VLOOKUP(A14,policy!B:C,2,0)</f>
        <v>070000165794</v>
      </c>
      <c r="C14" s="19">
        <v>43758</v>
      </c>
      <c r="D14" s="30">
        <f t="shared" si="1"/>
        <v>43758</v>
      </c>
      <c r="E14" s="36" t="s">
        <v>7824</v>
      </c>
      <c r="F14" s="31" t="str">
        <f t="shared" si="0"/>
        <v>insert into ins_premium_det (premium_rcv_code,assorted_code, rec_amount,premium_rcv_detail_code,remaining_amt, payrec, mode_code,coinsurance_code,class_cd,it_remarks) values</v>
      </c>
      <c r="G14" s="32" t="str">
        <f t="shared" si="2"/>
        <v>('29Oct240041','070000165794','43758',(select max(to_number(i.premium_rcv_detail_code))+1
from ins_premium_det i),'43758','43758','02', '11000003','00','Request by Mr. Saqib Saleem 30-Oct-2024');</v>
      </c>
      <c r="H14" s="33" t="str">
        <f t="shared" si="3"/>
        <v>insert into ins_premium_det (premium_rcv_code,assorted_code, rec_amount,premium_rcv_detail_code,remaining_amt, payrec, mode_code,coinsurance_code,class_cd,it_remarks) values('29Oct240041','070000165794','43758',(select max(to_number(i.premium_rcv_detail_code))+1
from ins_premium_det i),'43758','43758','02', '11000003','00','Request by Mr. Saqib Saleem 30-Oct-2024');</v>
      </c>
    </row>
    <row r="15" spans="1:8" ht="105" x14ac:dyDescent="0.25">
      <c r="A15" s="18" t="s">
        <v>6569</v>
      </c>
      <c r="B15" s="29" t="str">
        <f>VLOOKUP(A15,policy!B:C,2,0)</f>
        <v>070000165796</v>
      </c>
      <c r="C15" s="19">
        <v>44848</v>
      </c>
      <c r="D15" s="30">
        <f t="shared" si="1"/>
        <v>44848</v>
      </c>
      <c r="E15" s="36" t="s">
        <v>7824</v>
      </c>
      <c r="F15" s="31" t="str">
        <f t="shared" si="0"/>
        <v>insert into ins_premium_det (premium_rcv_code,assorted_code, rec_amount,premium_rcv_detail_code,remaining_amt, payrec, mode_code,coinsurance_code,class_cd,it_remarks) values</v>
      </c>
      <c r="G15" s="32" t="str">
        <f t="shared" si="2"/>
        <v>('29Oct240041','070000165796','44848',(select max(to_number(i.premium_rcv_detail_code))+1
from ins_premium_det i),'44848','44848','02', '11000003','00','Request by Mr. Saqib Saleem 30-Oct-2024');</v>
      </c>
      <c r="H15" s="33" t="str">
        <f t="shared" si="3"/>
        <v>insert into ins_premium_det (premium_rcv_code,assorted_code, rec_amount,premium_rcv_detail_code,remaining_amt, payrec, mode_code,coinsurance_code,class_cd,it_remarks) values('29Oct240041','070000165796','44848',(select max(to_number(i.premium_rcv_detail_code))+1
from ins_premium_det i),'44848','44848','02', '11000003','00','Request by Mr. Saqib Saleem 30-Oct-2024');</v>
      </c>
    </row>
    <row r="16" spans="1:8" ht="105" x14ac:dyDescent="0.25">
      <c r="A16" s="18" t="s">
        <v>6570</v>
      </c>
      <c r="B16" s="29" t="str">
        <f>VLOOKUP(A16,policy!B:C,2,0)</f>
        <v>070000165798</v>
      </c>
      <c r="C16" s="19">
        <v>72784</v>
      </c>
      <c r="D16" s="30">
        <f t="shared" si="1"/>
        <v>72784</v>
      </c>
      <c r="E16" s="36" t="s">
        <v>7824</v>
      </c>
      <c r="F16" s="31" t="str">
        <f t="shared" si="0"/>
        <v>insert into ins_premium_det (premium_rcv_code,assorted_code, rec_amount,premium_rcv_detail_code,remaining_amt, payrec, mode_code,coinsurance_code,class_cd,it_remarks) values</v>
      </c>
      <c r="G16" s="32" t="str">
        <f t="shared" si="2"/>
        <v>('29Oct240041','070000165798','72784',(select max(to_number(i.premium_rcv_detail_code))+1
from ins_premium_det i),'72784','72784','02', '11000003','00','Request by Mr. Saqib Saleem 30-Oct-2024');</v>
      </c>
      <c r="H16" s="33" t="str">
        <f t="shared" si="3"/>
        <v>insert into ins_premium_det (premium_rcv_code,assorted_code, rec_amount,premium_rcv_detail_code,remaining_amt, payrec, mode_code,coinsurance_code,class_cd,it_remarks) values('29Oct240041','070000165798','72784',(select max(to_number(i.premium_rcv_detail_code))+1
from ins_premium_det i),'72784','72784','02', '11000003','00','Request by Mr. Saqib Saleem 30-Oct-2024');</v>
      </c>
    </row>
    <row r="17" spans="1:8" ht="105" x14ac:dyDescent="0.25">
      <c r="A17" s="18" t="s">
        <v>6571</v>
      </c>
      <c r="B17" s="29" t="str">
        <f>VLOOKUP(A17,policy!B:C,2,0)</f>
        <v>070000165799</v>
      </c>
      <c r="C17" s="19">
        <v>66948</v>
      </c>
      <c r="D17" s="30">
        <f t="shared" si="1"/>
        <v>66948</v>
      </c>
      <c r="E17" s="36" t="s">
        <v>7824</v>
      </c>
      <c r="F17" s="31" t="str">
        <f t="shared" si="0"/>
        <v>insert into ins_premium_det (premium_rcv_code,assorted_code, rec_amount,premium_rcv_detail_code,remaining_amt, payrec, mode_code,coinsurance_code,class_cd,it_remarks) values</v>
      </c>
      <c r="G17" s="32" t="str">
        <f t="shared" si="2"/>
        <v>('29Oct240041','070000165799','66948',(select max(to_number(i.premium_rcv_detail_code))+1
from ins_premium_det i),'66948','66948','02', '11000003','00','Request by Mr. Saqib Saleem 30-Oct-2024');</v>
      </c>
      <c r="H17" s="33" t="str">
        <f t="shared" si="3"/>
        <v>insert into ins_premium_det (premium_rcv_code,assorted_code, rec_amount,premium_rcv_detail_code,remaining_amt, payrec, mode_code,coinsurance_code,class_cd,it_remarks) values('29Oct240041','070000165799','66948',(select max(to_number(i.premium_rcv_detail_code))+1
from ins_premium_det i),'66948','66948','02', '11000003','00','Request by Mr. Saqib Saleem 30-Oct-2024');</v>
      </c>
    </row>
    <row r="18" spans="1:8" ht="105" x14ac:dyDescent="0.25">
      <c r="A18" s="18" t="s">
        <v>6572</v>
      </c>
      <c r="B18" s="29" t="str">
        <f>VLOOKUP(A18,policy!B:C,2,0)</f>
        <v>070000165800</v>
      </c>
      <c r="C18" s="19">
        <v>76286</v>
      </c>
      <c r="D18" s="30">
        <f t="shared" si="1"/>
        <v>76286</v>
      </c>
      <c r="E18" s="36" t="s">
        <v>7824</v>
      </c>
      <c r="F18" s="31" t="str">
        <f t="shared" si="0"/>
        <v>insert into ins_premium_det (premium_rcv_code,assorted_code, rec_amount,premium_rcv_detail_code,remaining_amt, payrec, mode_code,coinsurance_code,class_cd,it_remarks) values</v>
      </c>
      <c r="G18" s="32" t="str">
        <f t="shared" si="2"/>
        <v>('29Oct240041','070000165800','76286',(select max(to_number(i.premium_rcv_detail_code))+1
from ins_premium_det i),'76286','76286','02', '11000003','00','Request by Mr. Saqib Saleem 30-Oct-2024');</v>
      </c>
      <c r="H18" s="33" t="str">
        <f t="shared" si="3"/>
        <v>insert into ins_premium_det (premium_rcv_code,assorted_code, rec_amount,premium_rcv_detail_code,remaining_amt, payrec, mode_code,coinsurance_code,class_cd,it_remarks) values('29Oct240041','070000165800','76286',(select max(to_number(i.premium_rcv_detail_code))+1
from ins_premium_det i),'76286','76286','02', '11000003','00','Request by Mr. Saqib Saleem 30-Oct-2024');</v>
      </c>
    </row>
    <row r="19" spans="1:8" ht="105" x14ac:dyDescent="0.25">
      <c r="A19" s="18" t="s">
        <v>6573</v>
      </c>
      <c r="B19" s="29" t="str">
        <f>VLOOKUP(A19,policy!B:C,2,0)</f>
        <v>070000165801</v>
      </c>
      <c r="C19" s="19">
        <v>32344</v>
      </c>
      <c r="D19" s="30">
        <f t="shared" si="1"/>
        <v>32344</v>
      </c>
      <c r="E19" s="36" t="s">
        <v>7824</v>
      </c>
      <c r="F19" s="31" t="str">
        <f t="shared" si="0"/>
        <v>insert into ins_premium_det (premium_rcv_code,assorted_code, rec_amount,premium_rcv_detail_code,remaining_amt, payrec, mode_code,coinsurance_code,class_cd,it_remarks) values</v>
      </c>
      <c r="G19" s="32" t="str">
        <f t="shared" si="2"/>
        <v>('29Oct240041','070000165801','32344',(select max(to_number(i.premium_rcv_detail_code))+1
from ins_premium_det i),'32344','32344','02', '11000003','00','Request by Mr. Saqib Saleem 30-Oct-2024');</v>
      </c>
      <c r="H19" s="33" t="str">
        <f t="shared" si="3"/>
        <v>insert into ins_premium_det (premium_rcv_code,assorted_code, rec_amount,premium_rcv_detail_code,remaining_amt, payrec, mode_code,coinsurance_code,class_cd,it_remarks) values('29Oct240041','070000165801','32344',(select max(to_number(i.premium_rcv_detail_code))+1
from ins_premium_det i),'32344','32344','02', '11000003','00','Request by Mr. Saqib Saleem 30-Oct-2024');</v>
      </c>
    </row>
    <row r="20" spans="1:8" ht="105" x14ac:dyDescent="0.25">
      <c r="A20" s="18" t="s">
        <v>6574</v>
      </c>
      <c r="B20" s="29" t="str">
        <f>VLOOKUP(A20,policy!B:C,2,0)</f>
        <v>070000165803</v>
      </c>
      <c r="C20" s="19">
        <v>25900</v>
      </c>
      <c r="D20" s="30">
        <f t="shared" si="1"/>
        <v>25900</v>
      </c>
      <c r="E20" s="36" t="s">
        <v>7824</v>
      </c>
      <c r="F20" s="31" t="str">
        <f t="shared" si="0"/>
        <v>insert into ins_premium_det (premium_rcv_code,assorted_code, rec_amount,premium_rcv_detail_code,remaining_amt, payrec, mode_code,coinsurance_code,class_cd,it_remarks) values</v>
      </c>
      <c r="G20" s="32" t="str">
        <f t="shared" si="2"/>
        <v>('29Oct240041','070000165803','25900',(select max(to_number(i.premium_rcv_detail_code))+1
from ins_premium_det i),'25900','25900','02', '11000003','00','Request by Mr. Saqib Saleem 30-Oct-2024');</v>
      </c>
      <c r="H20" s="33" t="str">
        <f t="shared" si="3"/>
        <v>insert into ins_premium_det (premium_rcv_code,assorted_code, rec_amount,premium_rcv_detail_code,remaining_amt, payrec, mode_code,coinsurance_code,class_cd,it_remarks) values('29Oct240041','070000165803','25900',(select max(to_number(i.premium_rcv_detail_code))+1
from ins_premium_det i),'25900','25900','02', '11000003','00','Request by Mr. Saqib Saleem 30-Oct-2024');</v>
      </c>
    </row>
    <row r="21" spans="1:8" ht="105" x14ac:dyDescent="0.25">
      <c r="A21" s="18" t="s">
        <v>6575</v>
      </c>
      <c r="B21" s="29" t="str">
        <f>VLOOKUP(A21,policy!B:C,2,0)</f>
        <v>070000165809</v>
      </c>
      <c r="C21" s="19">
        <v>76500</v>
      </c>
      <c r="D21" s="30">
        <f t="shared" si="1"/>
        <v>76500</v>
      </c>
      <c r="E21" s="36" t="s">
        <v>7824</v>
      </c>
      <c r="F21" s="31" t="str">
        <f t="shared" si="0"/>
        <v>insert into ins_premium_det (premium_rcv_code,assorted_code, rec_amount,premium_rcv_detail_code,remaining_amt, payrec, mode_code,coinsurance_code,class_cd,it_remarks) values</v>
      </c>
      <c r="G21" s="32" t="str">
        <f t="shared" si="2"/>
        <v>('29Oct240041','070000165809','76500',(select max(to_number(i.premium_rcv_detail_code))+1
from ins_premium_det i),'76500','76500','02', '11000003','00','Request by Mr. Saqib Saleem 30-Oct-2024');</v>
      </c>
      <c r="H21" s="33" t="str">
        <f t="shared" si="3"/>
        <v>insert into ins_premium_det (premium_rcv_code,assorted_code, rec_amount,premium_rcv_detail_code,remaining_amt, payrec, mode_code,coinsurance_code,class_cd,it_remarks) values('29Oct240041','070000165809','76500',(select max(to_number(i.premium_rcv_detail_code))+1
from ins_premium_det i),'76500','76500','02', '11000003','00','Request by Mr. Saqib Saleem 30-Oct-2024');</v>
      </c>
    </row>
    <row r="22" spans="1:8" ht="105" x14ac:dyDescent="0.25">
      <c r="A22" s="18" t="s">
        <v>6576</v>
      </c>
      <c r="B22" s="29" t="str">
        <f>VLOOKUP(A22,policy!B:C,2,0)</f>
        <v>070000165812</v>
      </c>
      <c r="C22" s="19">
        <v>25900</v>
      </c>
      <c r="D22" s="30">
        <f t="shared" si="1"/>
        <v>25900</v>
      </c>
      <c r="E22" s="36" t="s">
        <v>7824</v>
      </c>
      <c r="F22" s="31" t="str">
        <f t="shared" si="0"/>
        <v>insert into ins_premium_det (premium_rcv_code,assorted_code, rec_amount,premium_rcv_detail_code,remaining_amt, payrec, mode_code,coinsurance_code,class_cd,it_remarks) values</v>
      </c>
      <c r="G22" s="32" t="str">
        <f t="shared" si="2"/>
        <v>('29Oct240041','070000165812','25900',(select max(to_number(i.premium_rcv_detail_code))+1
from ins_premium_det i),'25900','25900','02', '11000003','00','Request by Mr. Saqib Saleem 30-Oct-2024');</v>
      </c>
      <c r="H22" s="33" t="str">
        <f t="shared" si="3"/>
        <v>insert into ins_premium_det (premium_rcv_code,assorted_code, rec_amount,premium_rcv_detail_code,remaining_amt, payrec, mode_code,coinsurance_code,class_cd,it_remarks) values('29Oct240041','070000165812','25900',(select max(to_number(i.premium_rcv_detail_code))+1
from ins_premium_det i),'25900','25900','02', '11000003','00','Request by Mr. Saqib Saleem 30-Oct-2024');</v>
      </c>
    </row>
    <row r="23" spans="1:8" ht="105" x14ac:dyDescent="0.25">
      <c r="A23" s="18" t="s">
        <v>6577</v>
      </c>
      <c r="B23" s="29" t="str">
        <f>VLOOKUP(A23,policy!B:C,2,0)</f>
        <v>070000165813</v>
      </c>
      <c r="C23" s="19">
        <v>35658</v>
      </c>
      <c r="D23" s="30">
        <f t="shared" si="1"/>
        <v>35658</v>
      </c>
      <c r="E23" s="36" t="s">
        <v>7824</v>
      </c>
      <c r="F23" s="31" t="str">
        <f t="shared" si="0"/>
        <v>insert into ins_premium_det (premium_rcv_code,assorted_code, rec_amount,premium_rcv_detail_code,remaining_amt, payrec, mode_code,coinsurance_code,class_cd,it_remarks) values</v>
      </c>
      <c r="G23" s="32" t="str">
        <f t="shared" si="2"/>
        <v>('29Oct240041','070000165813','35658',(select max(to_number(i.premium_rcv_detail_code))+1
from ins_premium_det i),'35658','35658','02', '11000003','00','Request by Mr. Saqib Saleem 30-Oct-2024');</v>
      </c>
      <c r="H23" s="33" t="str">
        <f t="shared" si="3"/>
        <v>insert into ins_premium_det (premium_rcv_code,assorted_code, rec_amount,premium_rcv_detail_code,remaining_amt, payrec, mode_code,coinsurance_code,class_cd,it_remarks) values('29Oct240041','070000165813','35658',(select max(to_number(i.premium_rcv_detail_code))+1
from ins_premium_det i),'35658','35658','02', '11000003','00','Request by Mr. Saqib Saleem 30-Oct-2024');</v>
      </c>
    </row>
    <row r="24" spans="1:8" ht="105" x14ac:dyDescent="0.25">
      <c r="A24" s="18" t="s">
        <v>6578</v>
      </c>
      <c r="B24" s="29" t="str">
        <f>VLOOKUP(A24,policy!B:C,2,0)</f>
        <v>070000165815</v>
      </c>
      <c r="C24" s="19">
        <v>29699</v>
      </c>
      <c r="D24" s="30">
        <f t="shared" si="1"/>
        <v>29699</v>
      </c>
      <c r="E24" s="36" t="s">
        <v>7824</v>
      </c>
      <c r="F24" s="31" t="str">
        <f t="shared" si="0"/>
        <v>insert into ins_premium_det (premium_rcv_code,assorted_code, rec_amount,premium_rcv_detail_code,remaining_amt, payrec, mode_code,coinsurance_code,class_cd,it_remarks) values</v>
      </c>
      <c r="G24" s="32" t="str">
        <f t="shared" si="2"/>
        <v>('29Oct240041','070000165815','29699',(select max(to_number(i.premium_rcv_detail_code))+1
from ins_premium_det i),'29699','29699','02', '11000003','00','Request by Mr. Saqib Saleem 30-Oct-2024');</v>
      </c>
      <c r="H24" s="33" t="str">
        <f t="shared" si="3"/>
        <v>insert into ins_premium_det (premium_rcv_code,assorted_code, rec_amount,premium_rcv_detail_code,remaining_amt, payrec, mode_code,coinsurance_code,class_cd,it_remarks) values('29Oct240041','070000165815','29699',(select max(to_number(i.premium_rcv_detail_code))+1
from ins_premium_det i),'29699','29699','02', '11000003','00','Request by Mr. Saqib Saleem 30-Oct-2024');</v>
      </c>
    </row>
    <row r="25" spans="1:8" ht="105" x14ac:dyDescent="0.25">
      <c r="A25" s="18" t="s">
        <v>6579</v>
      </c>
      <c r="B25" s="29" t="str">
        <f>VLOOKUP(A25,policy!B:C,2,0)</f>
        <v>070000165816</v>
      </c>
      <c r="C25" s="19">
        <v>82943</v>
      </c>
      <c r="D25" s="30">
        <f t="shared" si="1"/>
        <v>82943</v>
      </c>
      <c r="E25" s="36" t="s">
        <v>7824</v>
      </c>
      <c r="F25" s="31" t="str">
        <f t="shared" si="0"/>
        <v>insert into ins_premium_det (premium_rcv_code,assorted_code, rec_amount,premium_rcv_detail_code,remaining_amt, payrec, mode_code,coinsurance_code,class_cd,it_remarks) values</v>
      </c>
      <c r="G25" s="32" t="str">
        <f t="shared" si="2"/>
        <v>('29Oct240041','070000165816','82943',(select max(to_number(i.premium_rcv_detail_code))+1
from ins_premium_det i),'82943','82943','02', '11000003','00','Request by Mr. Saqib Saleem 30-Oct-2024');</v>
      </c>
      <c r="H25" s="33" t="str">
        <f t="shared" si="3"/>
        <v>insert into ins_premium_det (premium_rcv_code,assorted_code, rec_amount,premium_rcv_detail_code,remaining_amt, payrec, mode_code,coinsurance_code,class_cd,it_remarks) values('29Oct240041','070000165816','82943',(select max(to_number(i.premium_rcv_detail_code))+1
from ins_premium_det i),'82943','82943','02', '11000003','00','Request by Mr. Saqib Saleem 30-Oct-2024');</v>
      </c>
    </row>
    <row r="26" spans="1:8" ht="105" x14ac:dyDescent="0.25">
      <c r="A26" s="18" t="s">
        <v>6580</v>
      </c>
      <c r="B26" s="29" t="str">
        <f>VLOOKUP(A26,policy!B:C,2,0)</f>
        <v>070000165820</v>
      </c>
      <c r="C26" s="19">
        <v>123638</v>
      </c>
      <c r="D26" s="30">
        <f t="shared" si="1"/>
        <v>123638</v>
      </c>
      <c r="E26" s="36" t="s">
        <v>7824</v>
      </c>
      <c r="F26" s="31" t="str">
        <f t="shared" si="0"/>
        <v>insert into ins_premium_det (premium_rcv_code,assorted_code, rec_amount,premium_rcv_detail_code,remaining_amt, payrec, mode_code,coinsurance_code,class_cd,it_remarks) values</v>
      </c>
      <c r="G26" s="32" t="str">
        <f t="shared" si="2"/>
        <v>('29Oct240041','070000165820','123638',(select max(to_number(i.premium_rcv_detail_code))+1
from ins_premium_det i),'123638','123638','02', '11000003','00','Request by Mr. Saqib Saleem 30-Oct-2024');</v>
      </c>
      <c r="H26" s="33" t="str">
        <f t="shared" si="3"/>
        <v>insert into ins_premium_det (premium_rcv_code,assorted_code, rec_amount,premium_rcv_detail_code,remaining_amt, payrec, mode_code,coinsurance_code,class_cd,it_remarks) values('29Oct240041','070000165820','123638',(select max(to_number(i.premium_rcv_detail_code))+1
from ins_premium_det i),'123638','123638','02', '11000003','00','Request by Mr. Saqib Saleem 30-Oct-2024');</v>
      </c>
    </row>
    <row r="27" spans="1:8" ht="105" x14ac:dyDescent="0.25">
      <c r="A27" s="18" t="s">
        <v>6581</v>
      </c>
      <c r="B27" s="29" t="str">
        <f>VLOOKUP(A27,policy!B:C,2,0)</f>
        <v>070000165828</v>
      </c>
      <c r="C27" s="19">
        <v>19168</v>
      </c>
      <c r="D27" s="30">
        <f t="shared" si="1"/>
        <v>19168</v>
      </c>
      <c r="E27" s="36" t="s">
        <v>7824</v>
      </c>
      <c r="F27" s="31" t="str">
        <f t="shared" si="0"/>
        <v>insert into ins_premium_det (premium_rcv_code,assorted_code, rec_amount,premium_rcv_detail_code,remaining_amt, payrec, mode_code,coinsurance_code,class_cd,it_remarks) values</v>
      </c>
      <c r="G27" s="32" t="str">
        <f t="shared" si="2"/>
        <v>('29Oct240041','070000165828','19168',(select max(to_number(i.premium_rcv_detail_code))+1
from ins_premium_det i),'19168','19168','02', '11000003','00','Request by Mr. Saqib Saleem 30-Oct-2024');</v>
      </c>
      <c r="H27" s="33" t="str">
        <f t="shared" si="3"/>
        <v>insert into ins_premium_det (premium_rcv_code,assorted_code, rec_amount,premium_rcv_detail_code,remaining_amt, payrec, mode_code,coinsurance_code,class_cd,it_remarks) values('29Oct240041','070000165828','19168',(select max(to_number(i.premium_rcv_detail_code))+1
from ins_premium_det i),'19168','19168','02', '11000003','00','Request by Mr. Saqib Saleem 30-Oct-2024');</v>
      </c>
    </row>
    <row r="28" spans="1:8" ht="105" x14ac:dyDescent="0.25">
      <c r="A28" s="18" t="s">
        <v>6582</v>
      </c>
      <c r="B28" s="29" t="str">
        <f>VLOOKUP(A28,policy!B:C,2,0)</f>
        <v>070000165829</v>
      </c>
      <c r="C28" s="19">
        <v>19168</v>
      </c>
      <c r="D28" s="30">
        <f t="shared" si="1"/>
        <v>19168</v>
      </c>
      <c r="E28" s="36" t="s">
        <v>7824</v>
      </c>
      <c r="F28" s="31" t="str">
        <f t="shared" si="0"/>
        <v>insert into ins_premium_det (premium_rcv_code,assorted_code, rec_amount,premium_rcv_detail_code,remaining_amt, payrec, mode_code,coinsurance_code,class_cd,it_remarks) values</v>
      </c>
      <c r="G28" s="32" t="str">
        <f t="shared" si="2"/>
        <v>('29Oct240041','070000165829','19168',(select max(to_number(i.premium_rcv_detail_code))+1
from ins_premium_det i),'19168','19168','02', '11000003','00','Request by Mr. Saqib Saleem 30-Oct-2024');</v>
      </c>
      <c r="H28" s="33" t="str">
        <f t="shared" si="3"/>
        <v>insert into ins_premium_det (premium_rcv_code,assorted_code, rec_amount,premium_rcv_detail_code,remaining_amt, payrec, mode_code,coinsurance_code,class_cd,it_remarks) values('29Oct240041','070000165829','19168',(select max(to_number(i.premium_rcv_detail_code))+1
from ins_premium_det i),'19168','19168','02', '11000003','00','Request by Mr. Saqib Saleem 30-Oct-2024');</v>
      </c>
    </row>
    <row r="29" spans="1:8" ht="105" x14ac:dyDescent="0.25">
      <c r="A29" s="18" t="s">
        <v>6583</v>
      </c>
      <c r="B29" s="29" t="str">
        <f>VLOOKUP(A29,policy!B:C,2,0)</f>
        <v>070000165830</v>
      </c>
      <c r="C29" s="19">
        <v>26240</v>
      </c>
      <c r="D29" s="30">
        <f t="shared" si="1"/>
        <v>26240</v>
      </c>
      <c r="E29" s="36" t="s">
        <v>7824</v>
      </c>
      <c r="F29" s="31" t="str">
        <f t="shared" si="0"/>
        <v>insert into ins_premium_det (premium_rcv_code,assorted_code, rec_amount,premium_rcv_detail_code,remaining_amt, payrec, mode_code,coinsurance_code,class_cd,it_remarks) values</v>
      </c>
      <c r="G29" s="32" t="str">
        <f t="shared" si="2"/>
        <v>('29Oct240041','070000165830','26240',(select max(to_number(i.premium_rcv_detail_code))+1
from ins_premium_det i),'26240','26240','02', '11000003','00','Request by Mr. Saqib Saleem 30-Oct-2024');</v>
      </c>
      <c r="H29" s="33" t="str">
        <f t="shared" si="3"/>
        <v>insert into ins_premium_det (premium_rcv_code,assorted_code, rec_amount,premium_rcv_detail_code,remaining_amt, payrec, mode_code,coinsurance_code,class_cd,it_remarks) values('29Oct240041','070000165830','26240',(select max(to_number(i.premium_rcv_detail_code))+1
from ins_premium_det i),'26240','26240','02', '11000003','00','Request by Mr. Saqib Saleem 30-Oct-2024');</v>
      </c>
    </row>
    <row r="30" spans="1:8" ht="105" x14ac:dyDescent="0.25">
      <c r="A30" s="18" t="s">
        <v>6584</v>
      </c>
      <c r="B30" s="29" t="str">
        <f>VLOOKUP(A30,policy!B:C,2,0)</f>
        <v>070000165831</v>
      </c>
      <c r="C30" s="19">
        <v>31520</v>
      </c>
      <c r="D30" s="30">
        <f t="shared" si="1"/>
        <v>31520</v>
      </c>
      <c r="E30" s="36" t="s">
        <v>7824</v>
      </c>
      <c r="F30" s="31" t="str">
        <f t="shared" si="0"/>
        <v>insert into ins_premium_det (premium_rcv_code,assorted_code, rec_amount,premium_rcv_detail_code,remaining_amt, payrec, mode_code,coinsurance_code,class_cd,it_remarks) values</v>
      </c>
      <c r="G30" s="32" t="str">
        <f t="shared" si="2"/>
        <v>('29Oct240041','070000165831','31520',(select max(to_number(i.premium_rcv_detail_code))+1
from ins_premium_det i),'31520','31520','02', '11000003','00','Request by Mr. Saqib Saleem 30-Oct-2024');</v>
      </c>
      <c r="H30" s="33" t="str">
        <f t="shared" si="3"/>
        <v>insert into ins_premium_det (premium_rcv_code,assorted_code, rec_amount,premium_rcv_detail_code,remaining_amt, payrec, mode_code,coinsurance_code,class_cd,it_remarks) values('29Oct240041','070000165831','31520',(select max(to_number(i.premium_rcv_detail_code))+1
from ins_premium_det i),'31520','31520','02', '11000003','00','Request by Mr. Saqib Saleem 30-Oct-2024');</v>
      </c>
    </row>
    <row r="31" spans="1:8" ht="105" x14ac:dyDescent="0.25">
      <c r="A31" s="18" t="s">
        <v>6585</v>
      </c>
      <c r="B31" s="29" t="str">
        <f>VLOOKUP(A31,policy!B:C,2,0)</f>
        <v>070000165835</v>
      </c>
      <c r="C31" s="19">
        <v>202370</v>
      </c>
      <c r="D31" s="30">
        <f t="shared" si="1"/>
        <v>202370</v>
      </c>
      <c r="E31" s="36" t="s">
        <v>7824</v>
      </c>
      <c r="F31" s="31" t="str">
        <f t="shared" si="0"/>
        <v>insert into ins_premium_det (premium_rcv_code,assorted_code, rec_amount,premium_rcv_detail_code,remaining_amt, payrec, mode_code,coinsurance_code,class_cd,it_remarks) values</v>
      </c>
      <c r="G31" s="32" t="str">
        <f t="shared" si="2"/>
        <v>('29Oct240041','070000165835','202370',(select max(to_number(i.premium_rcv_detail_code))+1
from ins_premium_det i),'202370','202370','02', '11000003','00','Request by Mr. Saqib Saleem 30-Oct-2024');</v>
      </c>
      <c r="H31" s="33" t="str">
        <f t="shared" si="3"/>
        <v>insert into ins_premium_det (premium_rcv_code,assorted_code, rec_amount,premium_rcv_detail_code,remaining_amt, payrec, mode_code,coinsurance_code,class_cd,it_remarks) values('29Oct240041','070000165835','202370',(select max(to_number(i.premium_rcv_detail_code))+1
from ins_premium_det i),'202370','202370','02', '11000003','00','Request by Mr. Saqib Saleem 30-Oct-2024');</v>
      </c>
    </row>
    <row r="32" spans="1:8" ht="105" x14ac:dyDescent="0.25">
      <c r="A32" s="18" t="s">
        <v>6586</v>
      </c>
      <c r="B32" s="29" t="str">
        <f>VLOOKUP(A32,policy!B:C,2,0)</f>
        <v>070000165837</v>
      </c>
      <c r="C32" s="19">
        <v>27210</v>
      </c>
      <c r="D32" s="30">
        <f t="shared" si="1"/>
        <v>27210</v>
      </c>
      <c r="E32" s="36" t="s">
        <v>7824</v>
      </c>
      <c r="F32" s="31" t="str">
        <f t="shared" si="0"/>
        <v>insert into ins_premium_det (premium_rcv_code,assorted_code, rec_amount,premium_rcv_detail_code,remaining_amt, payrec, mode_code,coinsurance_code,class_cd,it_remarks) values</v>
      </c>
      <c r="G32" s="32" t="str">
        <f t="shared" si="2"/>
        <v>('29Oct240041','070000165837','27210',(select max(to_number(i.premium_rcv_detail_code))+1
from ins_premium_det i),'27210','27210','02', '11000003','00','Request by Mr. Saqib Saleem 30-Oct-2024');</v>
      </c>
      <c r="H32" s="33" t="str">
        <f t="shared" si="3"/>
        <v>insert into ins_premium_det (premium_rcv_code,assorted_code, rec_amount,premium_rcv_detail_code,remaining_amt, payrec, mode_code,coinsurance_code,class_cd,it_remarks) values('29Oct240041','070000165837','27210',(select max(to_number(i.premium_rcv_detail_code))+1
from ins_premium_det i),'27210','27210','02', '11000003','00','Request by Mr. Saqib Saleem 30-Oct-2024');</v>
      </c>
    </row>
    <row r="33" spans="1:8" ht="105" x14ac:dyDescent="0.25">
      <c r="A33" s="18" t="s">
        <v>6587</v>
      </c>
      <c r="B33" s="29" t="str">
        <f>VLOOKUP(A33,policy!B:C,2,0)</f>
        <v>070000165839</v>
      </c>
      <c r="C33" s="19">
        <v>25636</v>
      </c>
      <c r="D33" s="30">
        <f t="shared" si="1"/>
        <v>25636</v>
      </c>
      <c r="E33" s="36" t="s">
        <v>7824</v>
      </c>
      <c r="F33" s="31" t="str">
        <f t="shared" si="0"/>
        <v>insert into ins_premium_det (premium_rcv_code,assorted_code, rec_amount,premium_rcv_detail_code,remaining_amt, payrec, mode_code,coinsurance_code,class_cd,it_remarks) values</v>
      </c>
      <c r="G33" s="32" t="str">
        <f t="shared" si="2"/>
        <v>('29Oct240041','070000165839','25636',(select max(to_number(i.premium_rcv_detail_code))+1
from ins_premium_det i),'25636','25636','02', '11000003','00','Request by Mr. Saqib Saleem 30-Oct-2024');</v>
      </c>
      <c r="H33" s="33" t="str">
        <f t="shared" si="3"/>
        <v>insert into ins_premium_det (premium_rcv_code,assorted_code, rec_amount,premium_rcv_detail_code,remaining_amt, payrec, mode_code,coinsurance_code,class_cd,it_remarks) values('29Oct240041','070000165839','25636',(select max(to_number(i.premium_rcv_detail_code))+1
from ins_premium_det i),'25636','25636','02', '11000003','00','Request by Mr. Saqib Saleem 30-Oct-2024');</v>
      </c>
    </row>
    <row r="34" spans="1:8" ht="105" x14ac:dyDescent="0.25">
      <c r="A34" s="18" t="s">
        <v>6588</v>
      </c>
      <c r="B34" s="29" t="str">
        <f>VLOOKUP(A34,policy!B:C,2,0)</f>
        <v>070000165840</v>
      </c>
      <c r="C34" s="19">
        <v>43988</v>
      </c>
      <c r="D34" s="30">
        <f t="shared" si="1"/>
        <v>43988</v>
      </c>
      <c r="E34" s="36" t="s">
        <v>7824</v>
      </c>
      <c r="F34" s="31" t="str">
        <f t="shared" si="0"/>
        <v>insert into ins_premium_det (premium_rcv_code,assorted_code, rec_amount,premium_rcv_detail_code,remaining_amt, payrec, mode_code,coinsurance_code,class_cd,it_remarks) values</v>
      </c>
      <c r="G34" s="32" t="str">
        <f t="shared" si="2"/>
        <v>('29Oct240041','070000165840','43988',(select max(to_number(i.premium_rcv_detail_code))+1
from ins_premium_det i),'43988','43988','02', '11000003','00','Request by Mr. Saqib Saleem 30-Oct-2024');</v>
      </c>
      <c r="H34" s="33" t="str">
        <f t="shared" si="3"/>
        <v>insert into ins_premium_det (premium_rcv_code,assorted_code, rec_amount,premium_rcv_detail_code,remaining_amt, payrec, mode_code,coinsurance_code,class_cd,it_remarks) values('29Oct240041','070000165840','43988',(select max(to_number(i.premium_rcv_detail_code))+1
from ins_premium_det i),'43988','43988','02', '11000003','00','Request by Mr. Saqib Saleem 30-Oct-2024');</v>
      </c>
    </row>
    <row r="35" spans="1:8" ht="105" x14ac:dyDescent="0.25">
      <c r="A35" s="18" t="s">
        <v>6589</v>
      </c>
      <c r="B35" s="29" t="str">
        <f>VLOOKUP(A35,policy!B:C,2,0)</f>
        <v>070000165844</v>
      </c>
      <c r="C35" s="19">
        <v>35216</v>
      </c>
      <c r="D35" s="30">
        <f t="shared" si="1"/>
        <v>35216</v>
      </c>
      <c r="E35" s="36" t="s">
        <v>7824</v>
      </c>
      <c r="F35" s="31" t="str">
        <f t="shared" si="0"/>
        <v>insert into ins_premium_det (premium_rcv_code,assorted_code, rec_amount,premium_rcv_detail_code,remaining_amt, payrec, mode_code,coinsurance_code,class_cd,it_remarks) values</v>
      </c>
      <c r="G35" s="32" t="str">
        <f t="shared" si="2"/>
        <v>('29Oct240041','070000165844','35216',(select max(to_number(i.premium_rcv_detail_code))+1
from ins_premium_det i),'35216','35216','02', '11000003','00','Request by Mr. Saqib Saleem 30-Oct-2024');</v>
      </c>
      <c r="H35" s="33" t="str">
        <f t="shared" si="3"/>
        <v>insert into ins_premium_det (premium_rcv_code,assorted_code, rec_amount,premium_rcv_detail_code,remaining_amt, payrec, mode_code,coinsurance_code,class_cd,it_remarks) values('29Oct240041','070000165844','35216',(select max(to_number(i.premium_rcv_detail_code))+1
from ins_premium_det i),'35216','35216','02', '11000003','00','Request by Mr. Saqib Saleem 30-Oct-2024');</v>
      </c>
    </row>
    <row r="36" spans="1:8" ht="105" x14ac:dyDescent="0.25">
      <c r="A36" s="18" t="s">
        <v>6590</v>
      </c>
      <c r="B36" s="29" t="str">
        <f>VLOOKUP(A36,policy!B:C,2,0)</f>
        <v>070000165845</v>
      </c>
      <c r="C36" s="19">
        <v>19712</v>
      </c>
      <c r="D36" s="30">
        <f t="shared" si="1"/>
        <v>19712</v>
      </c>
      <c r="E36" s="36" t="s">
        <v>7824</v>
      </c>
      <c r="F36" s="31" t="str">
        <f t="shared" si="0"/>
        <v>insert into ins_premium_det (premium_rcv_code,assorted_code, rec_amount,premium_rcv_detail_code,remaining_amt, payrec, mode_code,coinsurance_code,class_cd,it_remarks) values</v>
      </c>
      <c r="G36" s="32" t="str">
        <f t="shared" si="2"/>
        <v>('29Oct240041','070000165845','19712',(select max(to_number(i.premium_rcv_detail_code))+1
from ins_premium_det i),'19712','19712','02', '11000003','00','Request by Mr. Saqib Saleem 30-Oct-2024');</v>
      </c>
      <c r="H36" s="33" t="str">
        <f t="shared" si="3"/>
        <v>insert into ins_premium_det (premium_rcv_code,assorted_code, rec_amount,premium_rcv_detail_code,remaining_amt, payrec, mode_code,coinsurance_code,class_cd,it_remarks) values('29Oct240041','070000165845','19712',(select max(to_number(i.premium_rcv_detail_code))+1
from ins_premium_det i),'19712','19712','02', '11000003','00','Request by Mr. Saqib Saleem 30-Oct-2024');</v>
      </c>
    </row>
    <row r="37" spans="1:8" ht="105" x14ac:dyDescent="0.25">
      <c r="A37" s="18" t="s">
        <v>6591</v>
      </c>
      <c r="B37" s="29" t="str">
        <f>VLOOKUP(A37,policy!B:C,2,0)</f>
        <v>070000165847</v>
      </c>
      <c r="C37" s="19">
        <v>44200</v>
      </c>
      <c r="D37" s="30">
        <f t="shared" si="1"/>
        <v>44200</v>
      </c>
      <c r="E37" s="36" t="s">
        <v>7824</v>
      </c>
      <c r="F37" s="31" t="str">
        <f t="shared" si="0"/>
        <v>insert into ins_premium_det (premium_rcv_code,assorted_code, rec_amount,premium_rcv_detail_code,remaining_amt, payrec, mode_code,coinsurance_code,class_cd,it_remarks) values</v>
      </c>
      <c r="G37" s="32" t="str">
        <f t="shared" si="2"/>
        <v>('29Oct240041','070000165847','44200',(select max(to_number(i.premium_rcv_detail_code))+1
from ins_premium_det i),'44200','44200','02', '11000003','00','Request by Mr. Saqib Saleem 30-Oct-2024');</v>
      </c>
      <c r="H37" s="33" t="str">
        <f t="shared" si="3"/>
        <v>insert into ins_premium_det (premium_rcv_code,assorted_code, rec_amount,premium_rcv_detail_code,remaining_amt, payrec, mode_code,coinsurance_code,class_cd,it_remarks) values('29Oct240041','070000165847','44200',(select max(to_number(i.premium_rcv_detail_code))+1
from ins_premium_det i),'44200','44200','02', '11000003','00','Request by Mr. Saqib Saleem 30-Oct-2024');</v>
      </c>
    </row>
    <row r="38" spans="1:8" ht="105" x14ac:dyDescent="0.25">
      <c r="A38" s="18" t="s">
        <v>6592</v>
      </c>
      <c r="B38" s="29" t="str">
        <f>VLOOKUP(A38,policy!B:C,2,0)</f>
        <v>070000165849</v>
      </c>
      <c r="C38" s="19">
        <v>27160</v>
      </c>
      <c r="D38" s="30">
        <f t="shared" si="1"/>
        <v>27160</v>
      </c>
      <c r="E38" s="36" t="s">
        <v>7824</v>
      </c>
      <c r="F38" s="31" t="str">
        <f t="shared" si="0"/>
        <v>insert into ins_premium_det (premium_rcv_code,assorted_code, rec_amount,premium_rcv_detail_code,remaining_amt, payrec, mode_code,coinsurance_code,class_cd,it_remarks) values</v>
      </c>
      <c r="G38" s="32" t="str">
        <f t="shared" si="2"/>
        <v>('29Oct240041','070000165849','27160',(select max(to_number(i.premium_rcv_detail_code))+1
from ins_premium_det i),'27160','27160','02', '11000003','00','Request by Mr. Saqib Saleem 30-Oct-2024');</v>
      </c>
      <c r="H38" s="33" t="str">
        <f t="shared" si="3"/>
        <v>insert into ins_premium_det (premium_rcv_code,assorted_code, rec_amount,premium_rcv_detail_code,remaining_amt, payrec, mode_code,coinsurance_code,class_cd,it_remarks) values('29Oct240041','070000165849','27160',(select max(to_number(i.premium_rcv_detail_code))+1
from ins_premium_det i),'27160','27160','02', '11000003','00','Request by Mr. Saqib Saleem 30-Oct-2024');</v>
      </c>
    </row>
    <row r="39" spans="1:8" ht="105" x14ac:dyDescent="0.25">
      <c r="A39" s="18" t="s">
        <v>6593</v>
      </c>
      <c r="B39" s="29" t="str">
        <f>VLOOKUP(A39,policy!B:C,2,0)</f>
        <v>070000165851</v>
      </c>
      <c r="C39" s="19">
        <v>49088</v>
      </c>
      <c r="D39" s="30">
        <f t="shared" si="1"/>
        <v>49088</v>
      </c>
      <c r="E39" s="36" t="s">
        <v>7824</v>
      </c>
      <c r="F39" s="31" t="str">
        <f t="shared" si="0"/>
        <v>insert into ins_premium_det (premium_rcv_code,assorted_code, rec_amount,premium_rcv_detail_code,remaining_amt, payrec, mode_code,coinsurance_code,class_cd,it_remarks) values</v>
      </c>
      <c r="G39" s="32" t="str">
        <f t="shared" si="2"/>
        <v>('29Oct240041','070000165851','49088',(select max(to_number(i.premium_rcv_detail_code))+1
from ins_premium_det i),'49088','49088','02', '11000003','00','Request by Mr. Saqib Saleem 30-Oct-2024');</v>
      </c>
      <c r="H39" s="33" t="str">
        <f t="shared" si="3"/>
        <v>insert into ins_premium_det (premium_rcv_code,assorted_code, rec_amount,premium_rcv_detail_code,remaining_amt, payrec, mode_code,coinsurance_code,class_cd,it_remarks) values('29Oct240041','070000165851','49088',(select max(to_number(i.premium_rcv_detail_code))+1
from ins_premium_det i),'49088','49088','02', '11000003','00','Request by Mr. Saqib Saleem 30-Oct-2024');</v>
      </c>
    </row>
    <row r="40" spans="1:8" ht="105" x14ac:dyDescent="0.25">
      <c r="A40" s="18" t="s">
        <v>6594</v>
      </c>
      <c r="B40" s="29" t="str">
        <f>VLOOKUP(A40,policy!B:C,2,0)</f>
        <v>070000165859</v>
      </c>
      <c r="C40" s="19">
        <v>18683</v>
      </c>
      <c r="D40" s="30">
        <f t="shared" si="1"/>
        <v>18683</v>
      </c>
      <c r="E40" s="36" t="s">
        <v>7824</v>
      </c>
      <c r="F40" s="31" t="str">
        <f t="shared" si="0"/>
        <v>insert into ins_premium_det (premium_rcv_code,assorted_code, rec_amount,premium_rcv_detail_code,remaining_amt, payrec, mode_code,coinsurance_code,class_cd,it_remarks) values</v>
      </c>
      <c r="G40" s="32" t="str">
        <f t="shared" si="2"/>
        <v>('29Oct240041','070000165859','18683',(select max(to_number(i.premium_rcv_detail_code))+1
from ins_premium_det i),'18683','18683','02', '11000003','00','Request by Mr. Saqib Saleem 30-Oct-2024');</v>
      </c>
      <c r="H40" s="33" t="str">
        <f t="shared" si="3"/>
        <v>insert into ins_premium_det (premium_rcv_code,assorted_code, rec_amount,premium_rcv_detail_code,remaining_amt, payrec, mode_code,coinsurance_code,class_cd,it_remarks) values('29Oct240041','070000165859','18683',(select max(to_number(i.premium_rcv_detail_code))+1
from ins_premium_det i),'18683','18683','02', '11000003','00','Request by Mr. Saqib Saleem 30-Oct-2024');</v>
      </c>
    </row>
    <row r="41" spans="1:8" ht="105" x14ac:dyDescent="0.25">
      <c r="A41" s="18" t="s">
        <v>6595</v>
      </c>
      <c r="B41" s="29" t="str">
        <f>VLOOKUP(A41,policy!B:C,2,0)</f>
        <v>070000165860</v>
      </c>
      <c r="C41" s="19">
        <v>17808</v>
      </c>
      <c r="D41" s="30">
        <f t="shared" si="1"/>
        <v>17808</v>
      </c>
      <c r="E41" s="36" t="s">
        <v>7824</v>
      </c>
      <c r="F41" s="31" t="str">
        <f t="shared" si="0"/>
        <v>insert into ins_premium_det (premium_rcv_code,assorted_code, rec_amount,premium_rcv_detail_code,remaining_amt, payrec, mode_code,coinsurance_code,class_cd,it_remarks) values</v>
      </c>
      <c r="G41" s="32" t="str">
        <f t="shared" si="2"/>
        <v>('29Oct240041','070000165860','17808',(select max(to_number(i.premium_rcv_detail_code))+1
from ins_premium_det i),'17808','17808','02', '11000003','00','Request by Mr. Saqib Saleem 30-Oct-2024');</v>
      </c>
      <c r="H41" s="33" t="str">
        <f t="shared" si="3"/>
        <v>insert into ins_premium_det (premium_rcv_code,assorted_code, rec_amount,premium_rcv_detail_code,remaining_amt, payrec, mode_code,coinsurance_code,class_cd,it_remarks) values('29Oct240041','070000165860','17808',(select max(to_number(i.premium_rcv_detail_code))+1
from ins_premium_det i),'17808','17808','02', '11000003','00','Request by Mr. Saqib Saleem 30-Oct-2024');</v>
      </c>
    </row>
    <row r="42" spans="1:8" ht="105" x14ac:dyDescent="0.25">
      <c r="A42" s="18" t="s">
        <v>6596</v>
      </c>
      <c r="B42" s="29" t="str">
        <f>VLOOKUP(A42,policy!B:C,2,0)</f>
        <v>070000165861</v>
      </c>
      <c r="C42" s="19">
        <v>27680</v>
      </c>
      <c r="D42" s="30">
        <f t="shared" si="1"/>
        <v>27680</v>
      </c>
      <c r="E42" s="36" t="s">
        <v>7824</v>
      </c>
      <c r="F42" s="31" t="str">
        <f t="shared" si="0"/>
        <v>insert into ins_premium_det (premium_rcv_code,assorted_code, rec_amount,premium_rcv_detail_code,remaining_amt, payrec, mode_code,coinsurance_code,class_cd,it_remarks) values</v>
      </c>
      <c r="G42" s="32" t="str">
        <f t="shared" si="2"/>
        <v>('29Oct240041','070000165861','27680',(select max(to_number(i.premium_rcv_detail_code))+1
from ins_premium_det i),'27680','27680','02', '11000003','00','Request by Mr. Saqib Saleem 30-Oct-2024');</v>
      </c>
      <c r="H42" s="33" t="str">
        <f t="shared" si="3"/>
        <v>insert into ins_premium_det (premium_rcv_code,assorted_code, rec_amount,premium_rcv_detail_code,remaining_amt, payrec, mode_code,coinsurance_code,class_cd,it_remarks) values('29Oct240041','070000165861','27680',(select max(to_number(i.premium_rcv_detail_code))+1
from ins_premium_det i),'27680','27680','02', '11000003','00','Request by Mr. Saqib Saleem 30-Oct-2024');</v>
      </c>
    </row>
    <row r="43" spans="1:8" ht="105" x14ac:dyDescent="0.25">
      <c r="A43" s="18" t="s">
        <v>6597</v>
      </c>
      <c r="B43" s="29" t="str">
        <f>VLOOKUP(A43,policy!B:C,2,0)</f>
        <v>070000165862</v>
      </c>
      <c r="C43" s="19">
        <v>29280</v>
      </c>
      <c r="D43" s="30">
        <f t="shared" si="1"/>
        <v>29280</v>
      </c>
      <c r="E43" s="36" t="s">
        <v>7824</v>
      </c>
      <c r="F43" s="31" t="str">
        <f t="shared" si="0"/>
        <v>insert into ins_premium_det (premium_rcv_code,assorted_code, rec_amount,premium_rcv_detail_code,remaining_amt, payrec, mode_code,coinsurance_code,class_cd,it_remarks) values</v>
      </c>
      <c r="G43" s="32" t="str">
        <f t="shared" si="2"/>
        <v>('29Oct240041','070000165862','29280',(select max(to_number(i.premium_rcv_detail_code))+1
from ins_premium_det i),'29280','29280','02', '11000003','00','Request by Mr. Saqib Saleem 30-Oct-2024');</v>
      </c>
      <c r="H43" s="33" t="str">
        <f t="shared" si="3"/>
        <v>insert into ins_premium_det (premium_rcv_code,assorted_code, rec_amount,premium_rcv_detail_code,remaining_amt, payrec, mode_code,coinsurance_code,class_cd,it_remarks) values('29Oct240041','070000165862','29280',(select max(to_number(i.premium_rcv_detail_code))+1
from ins_premium_det i),'29280','29280','02', '11000003','00','Request by Mr. Saqib Saleem 30-Oct-2024');</v>
      </c>
    </row>
    <row r="44" spans="1:8" ht="105" x14ac:dyDescent="0.25">
      <c r="A44" s="18" t="s">
        <v>6598</v>
      </c>
      <c r="B44" s="29" t="str">
        <f>VLOOKUP(A44,policy!B:C,2,0)</f>
        <v>070000165863</v>
      </c>
      <c r="C44" s="19">
        <v>28160</v>
      </c>
      <c r="D44" s="30">
        <f t="shared" si="1"/>
        <v>28160</v>
      </c>
      <c r="E44" s="36" t="s">
        <v>7824</v>
      </c>
      <c r="F44" s="31" t="str">
        <f t="shared" si="0"/>
        <v>insert into ins_premium_det (premium_rcv_code,assorted_code, rec_amount,premium_rcv_detail_code,remaining_amt, payrec, mode_code,coinsurance_code,class_cd,it_remarks) values</v>
      </c>
      <c r="G44" s="32" t="str">
        <f t="shared" si="2"/>
        <v>('29Oct240041','070000165863','28160',(select max(to_number(i.premium_rcv_detail_code))+1
from ins_premium_det i),'28160','28160','02', '11000003','00','Request by Mr. Saqib Saleem 30-Oct-2024');</v>
      </c>
      <c r="H44" s="33" t="str">
        <f t="shared" si="3"/>
        <v>insert into ins_premium_det (premium_rcv_code,assorted_code, rec_amount,premium_rcv_detail_code,remaining_amt, payrec, mode_code,coinsurance_code,class_cd,it_remarks) values('29Oct240041','070000165863','28160',(select max(to_number(i.premium_rcv_detail_code))+1
from ins_premium_det i),'28160','28160','02', '11000003','00','Request by Mr. Saqib Saleem 30-Oct-2024');</v>
      </c>
    </row>
    <row r="45" spans="1:8" ht="105" x14ac:dyDescent="0.25">
      <c r="A45" s="18" t="s">
        <v>6599</v>
      </c>
      <c r="B45" s="29" t="str">
        <f>VLOOKUP(A45,policy!B:C,2,0)</f>
        <v>070000165865</v>
      </c>
      <c r="C45" s="19">
        <v>43758</v>
      </c>
      <c r="D45" s="30">
        <f t="shared" si="1"/>
        <v>43758</v>
      </c>
      <c r="E45" s="36" t="s">
        <v>7824</v>
      </c>
      <c r="F45" s="31" t="str">
        <f t="shared" si="0"/>
        <v>insert into ins_premium_det (premium_rcv_code,assorted_code, rec_amount,premium_rcv_detail_code,remaining_amt, payrec, mode_code,coinsurance_code,class_cd,it_remarks) values</v>
      </c>
      <c r="G45" s="32" t="str">
        <f t="shared" si="2"/>
        <v>('29Oct240041','070000165865','43758',(select max(to_number(i.premium_rcv_detail_code))+1
from ins_premium_det i),'43758','43758','02', '11000003','00','Request by Mr. Saqib Saleem 30-Oct-2024');</v>
      </c>
      <c r="H45" s="33" t="str">
        <f t="shared" si="3"/>
        <v>insert into ins_premium_det (premium_rcv_code,assorted_code, rec_amount,premium_rcv_detail_code,remaining_amt, payrec, mode_code,coinsurance_code,class_cd,it_remarks) values('29Oct240041','070000165865','43758',(select max(to_number(i.premium_rcv_detail_code))+1
from ins_premium_det i),'43758','43758','02', '11000003','00','Request by Mr. Saqib Saleem 30-Oct-2024');</v>
      </c>
    </row>
    <row r="46" spans="1:8" ht="105" x14ac:dyDescent="0.25">
      <c r="A46" s="18" t="s">
        <v>6600</v>
      </c>
      <c r="B46" s="29" t="str">
        <f>VLOOKUP(A46,policy!B:C,2,0)</f>
        <v>070000165869</v>
      </c>
      <c r="C46" s="19">
        <v>52528</v>
      </c>
      <c r="D46" s="30">
        <f t="shared" si="1"/>
        <v>52528</v>
      </c>
      <c r="E46" s="36" t="s">
        <v>7824</v>
      </c>
      <c r="F46" s="31" t="str">
        <f t="shared" si="0"/>
        <v>insert into ins_premium_det (premium_rcv_code,assorted_code, rec_amount,premium_rcv_detail_code,remaining_amt, payrec, mode_code,coinsurance_code,class_cd,it_remarks) values</v>
      </c>
      <c r="G46" s="32" t="str">
        <f t="shared" si="2"/>
        <v>('29Oct240041','070000165869','52528',(select max(to_number(i.premium_rcv_detail_code))+1
from ins_premium_det i),'52528','52528','02', '11000003','00','Request by Mr. Saqib Saleem 30-Oct-2024');</v>
      </c>
      <c r="H46" s="33" t="str">
        <f t="shared" si="3"/>
        <v>insert into ins_premium_det (premium_rcv_code,assorted_code, rec_amount,premium_rcv_detail_code,remaining_amt, payrec, mode_code,coinsurance_code,class_cd,it_remarks) values('29Oct240041','070000165869','52528',(select max(to_number(i.premium_rcv_detail_code))+1
from ins_premium_det i),'52528','52528','02', '11000003','00','Request by Mr. Saqib Saleem 30-Oct-2024');</v>
      </c>
    </row>
    <row r="47" spans="1:8" ht="105" x14ac:dyDescent="0.25">
      <c r="A47" s="18" t="s">
        <v>6601</v>
      </c>
      <c r="B47" s="29" t="str">
        <f>VLOOKUP(A47,policy!B:C,2,0)</f>
        <v>070000165870</v>
      </c>
      <c r="C47" s="19">
        <v>64384</v>
      </c>
      <c r="D47" s="30">
        <f t="shared" si="1"/>
        <v>64384</v>
      </c>
      <c r="E47" s="36" t="s">
        <v>7824</v>
      </c>
      <c r="F47" s="31" t="str">
        <f t="shared" si="0"/>
        <v>insert into ins_premium_det (premium_rcv_code,assorted_code, rec_amount,premium_rcv_detail_code,remaining_amt, payrec, mode_code,coinsurance_code,class_cd,it_remarks) values</v>
      </c>
      <c r="G47" s="32" t="str">
        <f t="shared" si="2"/>
        <v>('29Oct240041','070000165870','64384',(select max(to_number(i.premium_rcv_detail_code))+1
from ins_premium_det i),'64384','64384','02', '11000003','00','Request by Mr. Saqib Saleem 30-Oct-2024');</v>
      </c>
      <c r="H47" s="33" t="str">
        <f t="shared" si="3"/>
        <v>insert into ins_premium_det (premium_rcv_code,assorted_code, rec_amount,premium_rcv_detail_code,remaining_amt, payrec, mode_code,coinsurance_code,class_cd,it_remarks) values('29Oct240041','070000165870','64384',(select max(to_number(i.premium_rcv_detail_code))+1
from ins_premium_det i),'64384','64384','02', '11000003','00','Request by Mr. Saqib Saleem 30-Oct-2024');</v>
      </c>
    </row>
    <row r="48" spans="1:8" ht="105" x14ac:dyDescent="0.25">
      <c r="A48" s="18" t="s">
        <v>6602</v>
      </c>
      <c r="B48" s="29" t="str">
        <f>VLOOKUP(A48,policy!B:C,2,0)</f>
        <v>070000165871</v>
      </c>
      <c r="C48" s="19">
        <v>64192</v>
      </c>
      <c r="D48" s="30">
        <f t="shared" si="1"/>
        <v>64192</v>
      </c>
      <c r="E48" s="36" t="s">
        <v>7824</v>
      </c>
      <c r="F48" s="31" t="str">
        <f t="shared" si="0"/>
        <v>insert into ins_premium_det (premium_rcv_code,assorted_code, rec_amount,premium_rcv_detail_code,remaining_amt, payrec, mode_code,coinsurance_code,class_cd,it_remarks) values</v>
      </c>
      <c r="G48" s="32" t="str">
        <f t="shared" si="2"/>
        <v>('29Oct240041','070000165871','64192',(select max(to_number(i.premium_rcv_detail_code))+1
from ins_premium_det i),'64192','64192','02', '11000003','00','Request by Mr. Saqib Saleem 30-Oct-2024');</v>
      </c>
      <c r="H48" s="33" t="str">
        <f t="shared" si="3"/>
        <v>insert into ins_premium_det (premium_rcv_code,assorted_code, rec_amount,premium_rcv_detail_code,remaining_amt, payrec, mode_code,coinsurance_code,class_cd,it_remarks) values('29Oct240041','070000165871','64192',(select max(to_number(i.premium_rcv_detail_code))+1
from ins_premium_det i),'64192','64192','02', '11000003','00','Request by Mr. Saqib Saleem 30-Oct-2024');</v>
      </c>
    </row>
    <row r="49" spans="1:8" ht="105" x14ac:dyDescent="0.25">
      <c r="A49" s="18" t="s">
        <v>6603</v>
      </c>
      <c r="B49" s="29" t="str">
        <f>VLOOKUP(A49,policy!B:C,2,0)</f>
        <v>070000165873</v>
      </c>
      <c r="C49" s="19">
        <v>27563</v>
      </c>
      <c r="D49" s="30">
        <f t="shared" si="1"/>
        <v>27563</v>
      </c>
      <c r="E49" s="36" t="s">
        <v>7824</v>
      </c>
      <c r="F49" s="31" t="str">
        <f t="shared" si="0"/>
        <v>insert into ins_premium_det (premium_rcv_code,assorted_code, rec_amount,premium_rcv_detail_code,remaining_amt, payrec, mode_code,coinsurance_code,class_cd,it_remarks) values</v>
      </c>
      <c r="G49" s="32" t="str">
        <f t="shared" si="2"/>
        <v>('29Oct240041','070000165873','27563',(select max(to_number(i.premium_rcv_detail_code))+1
from ins_premium_det i),'27563','27563','02', '11000003','00','Request by Mr. Saqib Saleem 30-Oct-2024');</v>
      </c>
      <c r="H49" s="33" t="str">
        <f t="shared" si="3"/>
        <v>insert into ins_premium_det (premium_rcv_code,assorted_code, rec_amount,premium_rcv_detail_code,remaining_amt, payrec, mode_code,coinsurance_code,class_cd,it_remarks) values('29Oct240041','070000165873','27563',(select max(to_number(i.premium_rcv_detail_code))+1
from ins_premium_det i),'27563','27563','02', '11000003','00','Request by Mr. Saqib Saleem 30-Oct-2024');</v>
      </c>
    </row>
    <row r="50" spans="1:8" ht="105" x14ac:dyDescent="0.25">
      <c r="A50" s="18" t="s">
        <v>6604</v>
      </c>
      <c r="B50" s="29" t="str">
        <f>VLOOKUP(A50,policy!B:C,2,0)</f>
        <v>070000165875</v>
      </c>
      <c r="C50" s="19">
        <v>99025</v>
      </c>
      <c r="D50" s="30">
        <f t="shared" si="1"/>
        <v>99025</v>
      </c>
      <c r="E50" s="36" t="s">
        <v>7824</v>
      </c>
      <c r="F50" s="31" t="str">
        <f t="shared" si="0"/>
        <v>insert into ins_premium_det (premium_rcv_code,assorted_code, rec_amount,premium_rcv_detail_code,remaining_amt, payrec, mode_code,coinsurance_code,class_cd,it_remarks) values</v>
      </c>
      <c r="G50" s="32" t="str">
        <f t="shared" si="2"/>
        <v>('29Oct240041','070000165875','99025',(select max(to_number(i.premium_rcv_detail_code))+1
from ins_premium_det i),'99025','99025','02', '11000003','00','Request by Mr. Saqib Saleem 30-Oct-2024');</v>
      </c>
      <c r="H50" s="33" t="str">
        <f t="shared" si="3"/>
        <v>insert into ins_premium_det (premium_rcv_code,assorted_code, rec_amount,premium_rcv_detail_code,remaining_amt, payrec, mode_code,coinsurance_code,class_cd,it_remarks) values('29Oct240041','070000165875','99025',(select max(to_number(i.premium_rcv_detail_code))+1
from ins_premium_det i),'99025','99025','02', '11000003','00','Request by Mr. Saqib Saleem 30-Oct-2024');</v>
      </c>
    </row>
    <row r="51" spans="1:8" ht="105" x14ac:dyDescent="0.25">
      <c r="A51" s="18" t="s">
        <v>6605</v>
      </c>
      <c r="B51" s="29" t="str">
        <f>VLOOKUP(A51,policy!B:C,2,0)</f>
        <v>070000165880</v>
      </c>
      <c r="C51" s="19">
        <v>64323</v>
      </c>
      <c r="D51" s="30">
        <f t="shared" si="1"/>
        <v>64323</v>
      </c>
      <c r="E51" s="36" t="s">
        <v>7824</v>
      </c>
      <c r="F51" s="31" t="str">
        <f t="shared" si="0"/>
        <v>insert into ins_premium_det (premium_rcv_code,assorted_code, rec_amount,premium_rcv_detail_code,remaining_amt, payrec, mode_code,coinsurance_code,class_cd,it_remarks) values</v>
      </c>
      <c r="G51" s="32" t="str">
        <f t="shared" si="2"/>
        <v>('29Oct240041','070000165880','64323',(select max(to_number(i.premium_rcv_detail_code))+1
from ins_premium_det i),'64323','64323','02', '11000003','00','Request by Mr. Saqib Saleem 30-Oct-2024');</v>
      </c>
      <c r="H51" s="33" t="str">
        <f t="shared" si="3"/>
        <v>insert into ins_premium_det (premium_rcv_code,assorted_code, rec_amount,premium_rcv_detail_code,remaining_amt, payrec, mode_code,coinsurance_code,class_cd,it_remarks) values('29Oct240041','070000165880','64323',(select max(to_number(i.premium_rcv_detail_code))+1
from ins_premium_det i),'64323','64323','02', '11000003','00','Request by Mr. Saqib Saleem 30-Oct-2024');</v>
      </c>
    </row>
    <row r="52" spans="1:8" ht="105" x14ac:dyDescent="0.25">
      <c r="A52" s="18" t="s">
        <v>6606</v>
      </c>
      <c r="B52" s="29" t="str">
        <f>VLOOKUP(A52,policy!B:C,2,0)</f>
        <v>070000165881</v>
      </c>
      <c r="C52" s="19">
        <v>28000</v>
      </c>
      <c r="D52" s="30">
        <f t="shared" si="1"/>
        <v>28000</v>
      </c>
      <c r="E52" s="36" t="s">
        <v>7824</v>
      </c>
      <c r="F52" s="31" t="str">
        <f t="shared" si="0"/>
        <v>insert into ins_premium_det (premium_rcv_code,assorted_code, rec_amount,premium_rcv_detail_code,remaining_amt, payrec, mode_code,coinsurance_code,class_cd,it_remarks) values</v>
      </c>
      <c r="G52" s="32" t="str">
        <f t="shared" si="2"/>
        <v>('29Oct240041','070000165881','28000',(select max(to_number(i.premium_rcv_detail_code))+1
from ins_premium_det i),'28000','28000','02', '11000003','00','Request by Mr. Saqib Saleem 30-Oct-2024');</v>
      </c>
      <c r="H52" s="33" t="str">
        <f t="shared" si="3"/>
        <v>insert into ins_premium_det (premium_rcv_code,assorted_code, rec_amount,premium_rcv_detail_code,remaining_amt, payrec, mode_code,coinsurance_code,class_cd,it_remarks) values('29Oct240041','070000165881','28000',(select max(to_number(i.premium_rcv_detail_code))+1
from ins_premium_det i),'28000','28000','02', '11000003','00','Request by Mr. Saqib Saleem 30-Oct-2024');</v>
      </c>
    </row>
    <row r="53" spans="1:8" ht="105" x14ac:dyDescent="0.25">
      <c r="A53" s="18" t="s">
        <v>6607</v>
      </c>
      <c r="B53" s="29" t="str">
        <f>VLOOKUP(A53,policy!B:C,2,0)</f>
        <v>070000165882</v>
      </c>
      <c r="C53" s="19">
        <v>315097</v>
      </c>
      <c r="D53" s="30">
        <f t="shared" si="1"/>
        <v>315097</v>
      </c>
      <c r="E53" s="36" t="s">
        <v>7824</v>
      </c>
      <c r="F53" s="31" t="str">
        <f t="shared" si="0"/>
        <v>insert into ins_premium_det (premium_rcv_code,assorted_code, rec_amount,premium_rcv_detail_code,remaining_amt, payrec, mode_code,coinsurance_code,class_cd,it_remarks) values</v>
      </c>
      <c r="G53" s="32" t="str">
        <f t="shared" si="2"/>
        <v>('29Oct240041','070000165882','315097',(select max(to_number(i.premium_rcv_detail_code))+1
from ins_premium_det i),'315097','315097','02', '11000003','00','Request by Mr. Saqib Saleem 30-Oct-2024');</v>
      </c>
      <c r="H53" s="33" t="str">
        <f t="shared" si="3"/>
        <v>insert into ins_premium_det (premium_rcv_code,assorted_code, rec_amount,premium_rcv_detail_code,remaining_amt, payrec, mode_code,coinsurance_code,class_cd,it_remarks) values('29Oct240041','070000165882','315097',(select max(to_number(i.premium_rcv_detail_code))+1
from ins_premium_det i),'315097','315097','02', '11000003','00','Request by Mr. Saqib Saleem 30-Oct-2024');</v>
      </c>
    </row>
    <row r="54" spans="1:8" ht="105" x14ac:dyDescent="0.25">
      <c r="A54" s="18" t="s">
        <v>6608</v>
      </c>
      <c r="B54" s="29" t="str">
        <f>VLOOKUP(A54,policy!B:C,2,0)</f>
        <v>070000165883</v>
      </c>
      <c r="C54" s="19">
        <v>52830</v>
      </c>
      <c r="D54" s="30">
        <f t="shared" si="1"/>
        <v>52830</v>
      </c>
      <c r="E54" s="36" t="s">
        <v>7824</v>
      </c>
      <c r="F54" s="31" t="str">
        <f t="shared" si="0"/>
        <v>insert into ins_premium_det (premium_rcv_code,assorted_code, rec_amount,premium_rcv_detail_code,remaining_amt, payrec, mode_code,coinsurance_code,class_cd,it_remarks) values</v>
      </c>
      <c r="G54" s="32" t="str">
        <f t="shared" si="2"/>
        <v>('29Oct240041','070000165883','52830',(select max(to_number(i.premium_rcv_detail_code))+1
from ins_premium_det i),'52830','52830','02', '11000003','00','Request by Mr. Saqib Saleem 30-Oct-2024');</v>
      </c>
      <c r="H54" s="33" t="str">
        <f t="shared" si="3"/>
        <v>insert into ins_premium_det (premium_rcv_code,assorted_code, rec_amount,premium_rcv_detail_code,remaining_amt, payrec, mode_code,coinsurance_code,class_cd,it_remarks) values('29Oct240041','070000165883','52830',(select max(to_number(i.premium_rcv_detail_code))+1
from ins_premium_det i),'52830','52830','02', '11000003','00','Request by Mr. Saqib Saleem 30-Oct-2024');</v>
      </c>
    </row>
    <row r="55" spans="1:8" ht="105" x14ac:dyDescent="0.25">
      <c r="A55" s="18" t="s">
        <v>6609</v>
      </c>
      <c r="B55" s="29" t="str">
        <f>VLOOKUP(A55,policy!B:C,2,0)</f>
        <v>070000165889</v>
      </c>
      <c r="C55" s="19">
        <v>23766</v>
      </c>
      <c r="D55" s="30">
        <f t="shared" si="1"/>
        <v>23766</v>
      </c>
      <c r="E55" s="36" t="s">
        <v>7824</v>
      </c>
      <c r="F55" s="31" t="str">
        <f t="shared" si="0"/>
        <v>insert into ins_premium_det (premium_rcv_code,assorted_code, rec_amount,premium_rcv_detail_code,remaining_amt, payrec, mode_code,coinsurance_code,class_cd,it_remarks) values</v>
      </c>
      <c r="G55" s="32" t="str">
        <f t="shared" si="2"/>
        <v>('29Oct240041','070000165889','23766',(select max(to_number(i.premium_rcv_detail_code))+1
from ins_premium_det i),'23766','23766','02', '11000003','00','Request by Mr. Saqib Saleem 30-Oct-2024');</v>
      </c>
      <c r="H55" s="33" t="str">
        <f t="shared" si="3"/>
        <v>insert into ins_premium_det (premium_rcv_code,assorted_code, rec_amount,premium_rcv_detail_code,remaining_amt, payrec, mode_code,coinsurance_code,class_cd,it_remarks) values('29Oct240041','070000165889','23766',(select max(to_number(i.premium_rcv_detail_code))+1
from ins_premium_det i),'23766','23766','02', '11000003','00','Request by Mr. Saqib Saleem 30-Oct-2024');</v>
      </c>
    </row>
    <row r="56" spans="1:8" ht="105" x14ac:dyDescent="0.25">
      <c r="A56" s="18" t="s">
        <v>6610</v>
      </c>
      <c r="B56" s="29" t="str">
        <f>VLOOKUP(A56,policy!B:C,2,0)</f>
        <v>070000165894</v>
      </c>
      <c r="C56" s="19">
        <v>43758</v>
      </c>
      <c r="D56" s="30">
        <f t="shared" si="1"/>
        <v>43758</v>
      </c>
      <c r="E56" s="36" t="s">
        <v>7824</v>
      </c>
      <c r="F56" s="31" t="str">
        <f t="shared" si="0"/>
        <v>insert into ins_premium_det (premium_rcv_code,assorted_code, rec_amount,premium_rcv_detail_code,remaining_amt, payrec, mode_code,coinsurance_code,class_cd,it_remarks) values</v>
      </c>
      <c r="G56" s="32" t="str">
        <f t="shared" si="2"/>
        <v>('29Oct240041','070000165894','43758',(select max(to_number(i.premium_rcv_detail_code))+1
from ins_premium_det i),'43758','43758','02', '11000003','00','Request by Mr. Saqib Saleem 30-Oct-2024');</v>
      </c>
      <c r="H56" s="33" t="str">
        <f t="shared" si="3"/>
        <v>insert into ins_premium_det (premium_rcv_code,assorted_code, rec_amount,premium_rcv_detail_code,remaining_amt, payrec, mode_code,coinsurance_code,class_cd,it_remarks) values('29Oct240041','070000165894','43758',(select max(to_number(i.premium_rcv_detail_code))+1
from ins_premium_det i),'43758','43758','02', '11000003','00','Request by Mr. Saqib Saleem 30-Oct-2024');</v>
      </c>
    </row>
    <row r="57" spans="1:8" ht="105" x14ac:dyDescent="0.25">
      <c r="A57" s="18" t="s">
        <v>6611</v>
      </c>
      <c r="B57" s="29" t="str">
        <f>VLOOKUP(A57,policy!B:C,2,0)</f>
        <v>070000165896</v>
      </c>
      <c r="C57" s="19">
        <v>38000</v>
      </c>
      <c r="D57" s="30">
        <f t="shared" si="1"/>
        <v>38000</v>
      </c>
      <c r="E57" s="36" t="s">
        <v>7824</v>
      </c>
      <c r="F57" s="31" t="str">
        <f t="shared" si="0"/>
        <v>insert into ins_premium_det (premium_rcv_code,assorted_code, rec_amount,premium_rcv_detail_code,remaining_amt, payrec, mode_code,coinsurance_code,class_cd,it_remarks) values</v>
      </c>
      <c r="G57" s="32" t="str">
        <f t="shared" si="2"/>
        <v>('29Oct240041','070000165896','38000',(select max(to_number(i.premium_rcv_detail_code))+1
from ins_premium_det i),'38000','38000','02', '11000003','00','Request by Mr. Saqib Saleem 30-Oct-2024');</v>
      </c>
      <c r="H57" s="33" t="str">
        <f t="shared" si="3"/>
        <v>insert into ins_premium_det (premium_rcv_code,assorted_code, rec_amount,premium_rcv_detail_code,remaining_amt, payrec, mode_code,coinsurance_code,class_cd,it_remarks) values('29Oct240041','070000165896','38000',(select max(to_number(i.premium_rcv_detail_code))+1
from ins_premium_det i),'38000','38000','02', '11000003','00','Request by Mr. Saqib Saleem 30-Oct-2024');</v>
      </c>
    </row>
    <row r="58" spans="1:8" ht="105" x14ac:dyDescent="0.25">
      <c r="A58" s="18" t="s">
        <v>6612</v>
      </c>
      <c r="B58" s="29" t="str">
        <f>VLOOKUP(A58,policy!B:C,2,0)</f>
        <v>070000165897</v>
      </c>
      <c r="C58" s="19">
        <v>38640</v>
      </c>
      <c r="D58" s="30">
        <f t="shared" si="1"/>
        <v>38640</v>
      </c>
      <c r="E58" s="36" t="s">
        <v>7824</v>
      </c>
      <c r="F58" s="31" t="str">
        <f t="shared" si="0"/>
        <v>insert into ins_premium_det (premium_rcv_code,assorted_code, rec_amount,premium_rcv_detail_code,remaining_amt, payrec, mode_code,coinsurance_code,class_cd,it_remarks) values</v>
      </c>
      <c r="G58" s="32" t="str">
        <f t="shared" si="2"/>
        <v>('29Oct240041','070000165897','38640',(select max(to_number(i.premium_rcv_detail_code))+1
from ins_premium_det i),'38640','38640','02', '11000003','00','Request by Mr. Saqib Saleem 30-Oct-2024');</v>
      </c>
      <c r="H58" s="33" t="str">
        <f t="shared" si="3"/>
        <v>insert into ins_premium_det (premium_rcv_code,assorted_code, rec_amount,premium_rcv_detail_code,remaining_amt, payrec, mode_code,coinsurance_code,class_cd,it_remarks) values('29Oct240041','070000165897','38640',(select max(to_number(i.premium_rcv_detail_code))+1
from ins_premium_det i),'38640','38640','02', '11000003','00','Request by Mr. Saqib Saleem 30-Oct-2024');</v>
      </c>
    </row>
    <row r="59" spans="1:8" ht="105" x14ac:dyDescent="0.25">
      <c r="A59" s="18" t="s">
        <v>6613</v>
      </c>
      <c r="B59" s="29" t="str">
        <f>VLOOKUP(A59,policy!B:C,2,0)</f>
        <v>070000165900</v>
      </c>
      <c r="C59" s="19">
        <v>36722</v>
      </c>
      <c r="D59" s="30">
        <f t="shared" si="1"/>
        <v>36722</v>
      </c>
      <c r="E59" s="36" t="s">
        <v>7824</v>
      </c>
      <c r="F59" s="31" t="str">
        <f t="shared" si="0"/>
        <v>insert into ins_premium_det (premium_rcv_code,assorted_code, rec_amount,premium_rcv_detail_code,remaining_amt, payrec, mode_code,coinsurance_code,class_cd,it_remarks) values</v>
      </c>
      <c r="G59" s="32" t="str">
        <f t="shared" si="2"/>
        <v>('29Oct240041','070000165900','36722',(select max(to_number(i.premium_rcv_detail_code))+1
from ins_premium_det i),'36722','36722','02', '11000003','00','Request by Mr. Saqib Saleem 30-Oct-2024');</v>
      </c>
      <c r="H59" s="33" t="str">
        <f t="shared" si="3"/>
        <v>insert into ins_premium_det (premium_rcv_code,assorted_code, rec_amount,premium_rcv_detail_code,remaining_amt, payrec, mode_code,coinsurance_code,class_cd,it_remarks) values('29Oct240041','070000165900','36722',(select max(to_number(i.premium_rcv_detail_code))+1
from ins_premium_det i),'36722','36722','02', '11000003','00','Request by Mr. Saqib Saleem 30-Oct-2024');</v>
      </c>
    </row>
    <row r="60" spans="1:8" ht="105" x14ac:dyDescent="0.25">
      <c r="A60" s="18" t="s">
        <v>6614</v>
      </c>
      <c r="B60" s="29" t="str">
        <f>VLOOKUP(A60,policy!B:C,2,0)</f>
        <v>070000165901</v>
      </c>
      <c r="C60" s="19">
        <v>62462</v>
      </c>
      <c r="D60" s="30">
        <f t="shared" si="1"/>
        <v>62462</v>
      </c>
      <c r="E60" s="36" t="s">
        <v>7824</v>
      </c>
      <c r="F60" s="31" t="str">
        <f t="shared" si="0"/>
        <v>insert into ins_premium_det (premium_rcv_code,assorted_code, rec_amount,premium_rcv_detail_code,remaining_amt, payrec, mode_code,coinsurance_code,class_cd,it_remarks) values</v>
      </c>
      <c r="G60" s="32" t="str">
        <f t="shared" si="2"/>
        <v>('29Oct240041','070000165901','62462',(select max(to_number(i.premium_rcv_detail_code))+1
from ins_premium_det i),'62462','62462','02', '11000003','00','Request by Mr. Saqib Saleem 30-Oct-2024');</v>
      </c>
      <c r="H60" s="33" t="str">
        <f t="shared" si="3"/>
        <v>insert into ins_premium_det (premium_rcv_code,assorted_code, rec_amount,premium_rcv_detail_code,remaining_amt, payrec, mode_code,coinsurance_code,class_cd,it_remarks) values('29Oct240041','070000165901','62462',(select max(to_number(i.premium_rcv_detail_code))+1
from ins_premium_det i),'62462','62462','02', '11000003','00','Request by Mr. Saqib Saleem 30-Oct-2024');</v>
      </c>
    </row>
    <row r="61" spans="1:8" ht="105" x14ac:dyDescent="0.25">
      <c r="A61" s="18" t="s">
        <v>6615</v>
      </c>
      <c r="B61" s="29" t="str">
        <f>VLOOKUP(A61,policy!B:C,2,0)</f>
        <v>070000165903</v>
      </c>
      <c r="C61" s="19">
        <v>66224</v>
      </c>
      <c r="D61" s="30">
        <f t="shared" si="1"/>
        <v>66224</v>
      </c>
      <c r="E61" s="36" t="s">
        <v>7824</v>
      </c>
      <c r="F61" s="31" t="str">
        <f t="shared" si="0"/>
        <v>insert into ins_premium_det (premium_rcv_code,assorted_code, rec_amount,premium_rcv_detail_code,remaining_amt, payrec, mode_code,coinsurance_code,class_cd,it_remarks) values</v>
      </c>
      <c r="G61" s="32" t="str">
        <f t="shared" si="2"/>
        <v>('29Oct240041','070000165903','66224',(select max(to_number(i.premium_rcv_detail_code))+1
from ins_premium_det i),'66224','66224','02', '11000003','00','Request by Mr. Saqib Saleem 30-Oct-2024');</v>
      </c>
      <c r="H61" s="33" t="str">
        <f t="shared" si="3"/>
        <v>insert into ins_premium_det (premium_rcv_code,assorted_code, rec_amount,premium_rcv_detail_code,remaining_amt, payrec, mode_code,coinsurance_code,class_cd,it_remarks) values('29Oct240041','070000165903','66224',(select max(to_number(i.premium_rcv_detail_code))+1
from ins_premium_det i),'66224','66224','02', '11000003','00','Request by Mr. Saqib Saleem 30-Oct-2024');</v>
      </c>
    </row>
    <row r="62" spans="1:8" ht="105" x14ac:dyDescent="0.25">
      <c r="A62" s="18" t="s">
        <v>6616</v>
      </c>
      <c r="B62" s="29" t="str">
        <f>VLOOKUP(A62,policy!B:C,2,0)</f>
        <v>070000165904</v>
      </c>
      <c r="C62" s="19">
        <v>143663</v>
      </c>
      <c r="D62" s="30">
        <f t="shared" si="1"/>
        <v>143663</v>
      </c>
      <c r="E62" s="36" t="s">
        <v>7824</v>
      </c>
      <c r="F62" s="31" t="str">
        <f t="shared" si="0"/>
        <v>insert into ins_premium_det (premium_rcv_code,assorted_code, rec_amount,premium_rcv_detail_code,remaining_amt, payrec, mode_code,coinsurance_code,class_cd,it_remarks) values</v>
      </c>
      <c r="G62" s="32" t="str">
        <f t="shared" si="2"/>
        <v>('29Oct240041','070000165904','143663',(select max(to_number(i.premium_rcv_detail_code))+1
from ins_premium_det i),'143663','143663','02', '11000003','00','Request by Mr. Saqib Saleem 30-Oct-2024');</v>
      </c>
      <c r="H62" s="33" t="str">
        <f t="shared" si="3"/>
        <v>insert into ins_premium_det (premium_rcv_code,assorted_code, rec_amount,premium_rcv_detail_code,remaining_amt, payrec, mode_code,coinsurance_code,class_cd,it_remarks) values('29Oct240041','070000165904','143663',(select max(to_number(i.premium_rcv_detail_code))+1
from ins_premium_det i),'143663','143663','02', '11000003','00','Request by Mr. Saqib Saleem 30-Oct-2024');</v>
      </c>
    </row>
    <row r="63" spans="1:8" ht="105" x14ac:dyDescent="0.25">
      <c r="A63" s="18" t="s">
        <v>6617</v>
      </c>
      <c r="B63" s="29" t="str">
        <f>VLOOKUP(A63,policy!B:C,2,0)</f>
        <v>070000165908</v>
      </c>
      <c r="C63" s="19">
        <v>63737</v>
      </c>
      <c r="D63" s="30">
        <f t="shared" si="1"/>
        <v>63737</v>
      </c>
      <c r="E63" s="36" t="s">
        <v>7824</v>
      </c>
      <c r="F63" s="31" t="str">
        <f t="shared" si="0"/>
        <v>insert into ins_premium_det (premium_rcv_code,assorted_code, rec_amount,premium_rcv_detail_code,remaining_amt, payrec, mode_code,coinsurance_code,class_cd,it_remarks) values</v>
      </c>
      <c r="G63" s="32" t="str">
        <f t="shared" si="2"/>
        <v>('29Oct240041','070000165908','63737',(select max(to_number(i.premium_rcv_detail_code))+1
from ins_premium_det i),'63737','63737','02', '11000003','00','Request by Mr. Saqib Saleem 30-Oct-2024');</v>
      </c>
      <c r="H63" s="33" t="str">
        <f t="shared" si="3"/>
        <v>insert into ins_premium_det (premium_rcv_code,assorted_code, rec_amount,premium_rcv_detail_code,remaining_amt, payrec, mode_code,coinsurance_code,class_cd,it_remarks) values('29Oct240041','070000165908','63737',(select max(to_number(i.premium_rcv_detail_code))+1
from ins_premium_det i),'63737','63737','02', '11000003','00','Request by Mr. Saqib Saleem 30-Oct-2024');</v>
      </c>
    </row>
    <row r="64" spans="1:8" ht="105" x14ac:dyDescent="0.25">
      <c r="A64" s="18" t="s">
        <v>6618</v>
      </c>
      <c r="B64" s="29" t="str">
        <f>VLOOKUP(A64,policy!B:C,2,0)</f>
        <v>070000165910</v>
      </c>
      <c r="C64" s="19">
        <v>23063</v>
      </c>
      <c r="D64" s="30">
        <f t="shared" si="1"/>
        <v>23063</v>
      </c>
      <c r="E64" s="36" t="s">
        <v>7824</v>
      </c>
      <c r="F64" s="31" t="str">
        <f t="shared" si="0"/>
        <v>insert into ins_premium_det (premium_rcv_code,assorted_code, rec_amount,premium_rcv_detail_code,remaining_amt, payrec, mode_code,coinsurance_code,class_cd,it_remarks) values</v>
      </c>
      <c r="G64" s="32" t="str">
        <f t="shared" si="2"/>
        <v>('29Oct240041','070000165910','23063',(select max(to_number(i.premium_rcv_detail_code))+1
from ins_premium_det i),'23063','23063','02', '11000003','00','Request by Mr. Saqib Saleem 30-Oct-2024');</v>
      </c>
      <c r="H64" s="33" t="str">
        <f t="shared" si="3"/>
        <v>insert into ins_premium_det (premium_rcv_code,assorted_code, rec_amount,premium_rcv_detail_code,remaining_amt, payrec, mode_code,coinsurance_code,class_cd,it_remarks) values('29Oct240041','070000165910','23063',(select max(to_number(i.premium_rcv_detail_code))+1
from ins_premium_det i),'23063','23063','02', '11000003','00','Request by Mr. Saqib Saleem 30-Oct-2024');</v>
      </c>
    </row>
    <row r="65" spans="1:8" ht="105" x14ac:dyDescent="0.25">
      <c r="A65" s="18" t="s">
        <v>6619</v>
      </c>
      <c r="B65" s="29" t="str">
        <f>VLOOKUP(A65,policy!B:C,2,0)</f>
        <v>070000165912</v>
      </c>
      <c r="C65" s="19">
        <v>18900</v>
      </c>
      <c r="D65" s="30">
        <f t="shared" si="1"/>
        <v>18900</v>
      </c>
      <c r="E65" s="36" t="s">
        <v>7824</v>
      </c>
      <c r="F65" s="31" t="str">
        <f t="shared" si="0"/>
        <v>insert into ins_premium_det (premium_rcv_code,assorted_code, rec_amount,premium_rcv_detail_code,remaining_amt, payrec, mode_code,coinsurance_code,class_cd,it_remarks) values</v>
      </c>
      <c r="G65" s="32" t="str">
        <f t="shared" si="2"/>
        <v>('29Oct240041','070000165912','18900',(select max(to_number(i.premium_rcv_detail_code))+1
from ins_premium_det i),'18900','18900','02', '11000003','00','Request by Mr. Saqib Saleem 30-Oct-2024');</v>
      </c>
      <c r="H65" s="33" t="str">
        <f t="shared" si="3"/>
        <v>insert into ins_premium_det (premium_rcv_code,assorted_code, rec_amount,premium_rcv_detail_code,remaining_amt, payrec, mode_code,coinsurance_code,class_cd,it_remarks) values('29Oct240041','070000165912','18900',(select max(to_number(i.premium_rcv_detail_code))+1
from ins_premium_det i),'18900','18900','02', '11000003','00','Request by Mr. Saqib Saleem 30-Oct-2024');</v>
      </c>
    </row>
    <row r="66" spans="1:8" ht="105" x14ac:dyDescent="0.25">
      <c r="A66" s="18" t="s">
        <v>6620</v>
      </c>
      <c r="B66" s="29" t="str">
        <f>VLOOKUP(A66,policy!B:C,2,0)</f>
        <v>070000165792</v>
      </c>
      <c r="C66" s="19">
        <v>23000</v>
      </c>
      <c r="D66" s="30">
        <f t="shared" si="1"/>
        <v>23000</v>
      </c>
      <c r="E66" s="36" t="s">
        <v>7824</v>
      </c>
      <c r="F66" s="31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32" t="str">
        <f t="shared" si="2"/>
        <v>('29Oct240041','070000165792','23000',(select max(to_number(i.premium_rcv_detail_code))+1
from ins_premium_det i),'23000','23000','02', '11000003','00','Request by Mr. Saqib Saleem 30-Oct-2024');</v>
      </c>
      <c r="H66" s="33" t="str">
        <f t="shared" si="3"/>
        <v>insert into ins_premium_det (premium_rcv_code,assorted_code, rec_amount,premium_rcv_detail_code,remaining_amt, payrec, mode_code,coinsurance_code,class_cd,it_remarks) values('29Oct240041','070000165792','23000',(select max(to_number(i.premium_rcv_detail_code))+1
from ins_premium_det i),'23000','23000','02', '11000003','00','Request by Mr. Saqib Saleem 30-Oct-2024');</v>
      </c>
    </row>
    <row r="67" spans="1:8" ht="105" x14ac:dyDescent="0.25">
      <c r="A67" s="18" t="s">
        <v>6621</v>
      </c>
      <c r="B67" s="29" t="str">
        <f>VLOOKUP(A67,policy!B:C,2,0)</f>
        <v>070000165795</v>
      </c>
      <c r="C67" s="19">
        <v>30600</v>
      </c>
      <c r="D67" s="30">
        <f t="shared" ref="D67:D130" si="5">ROUND(C67,0)</f>
        <v>30600</v>
      </c>
      <c r="E67" s="36" t="s">
        <v>7824</v>
      </c>
      <c r="F67" s="31" t="str">
        <f t="shared" si="4"/>
        <v>insert into ins_premium_det (premium_rcv_code,assorted_code, rec_amount,premium_rcv_detail_code,remaining_amt, payrec, mode_code,coinsurance_code,class_cd,it_remarks) values</v>
      </c>
      <c r="G67" s="32" t="str">
        <f t="shared" ref="G67:G130" si="6">"('"&amp;E67&amp;"','"&amp;B67&amp;"','"&amp;D67&amp;"',(select max(to_number(i.premium_rcv_detail_code))+1
from ins_premium_det i),'"&amp;D67&amp;"','"&amp;D67&amp;"','02', '11000003','00','Request by Mr. Saqib Saleem 30-Oct-2024');"</f>
        <v>('29Oct240041','070000165795','30600',(select max(to_number(i.premium_rcv_detail_code))+1
from ins_premium_det i),'30600','30600','02', '11000003','00','Request by Mr. Saqib Saleem 30-Oct-2024');</v>
      </c>
      <c r="H67" s="33" t="str">
        <f t="shared" ref="H67:H130" si="7">F67&amp;G67</f>
        <v>insert into ins_premium_det (premium_rcv_code,assorted_code, rec_amount,premium_rcv_detail_code,remaining_amt, payrec, mode_code,coinsurance_code,class_cd,it_remarks) values('29Oct240041','070000165795','30600',(select max(to_number(i.premium_rcv_detail_code))+1
from ins_premium_det i),'30600','30600','02', '11000003','00','Request by Mr. Saqib Saleem 30-Oct-2024');</v>
      </c>
    </row>
    <row r="68" spans="1:8" ht="105" x14ac:dyDescent="0.25">
      <c r="A68" s="18" t="s">
        <v>6622</v>
      </c>
      <c r="B68" s="29" t="str">
        <f>VLOOKUP(A68,policy!B:C,2,0)</f>
        <v>070000165917</v>
      </c>
      <c r="C68" s="19">
        <v>21360</v>
      </c>
      <c r="D68" s="30">
        <f t="shared" si="5"/>
        <v>21360</v>
      </c>
      <c r="E68" s="36" t="s">
        <v>7824</v>
      </c>
      <c r="F68" s="31" t="str">
        <f t="shared" si="4"/>
        <v>insert into ins_premium_det (premium_rcv_code,assorted_code, rec_amount,premium_rcv_detail_code,remaining_amt, payrec, mode_code,coinsurance_code,class_cd,it_remarks) values</v>
      </c>
      <c r="G68" s="32" t="str">
        <f t="shared" si="6"/>
        <v>('29Oct240041','070000165917','21360',(select max(to_number(i.premium_rcv_detail_code))+1
from ins_premium_det i),'21360','21360','02', '11000003','00','Request by Mr. Saqib Saleem 30-Oct-2024');</v>
      </c>
      <c r="H68" s="33" t="str">
        <f t="shared" si="7"/>
        <v>insert into ins_premium_det (premium_rcv_code,assorted_code, rec_amount,premium_rcv_detail_code,remaining_amt, payrec, mode_code,coinsurance_code,class_cd,it_remarks) values('29Oct240041','070000165917','21360',(select max(to_number(i.premium_rcv_detail_code))+1
from ins_premium_det i),'21360','21360','02', '11000003','00','Request by Mr. Saqib Saleem 30-Oct-2024');</v>
      </c>
    </row>
    <row r="69" spans="1:8" ht="105" x14ac:dyDescent="0.25">
      <c r="A69" s="18" t="s">
        <v>6623</v>
      </c>
      <c r="B69" s="29" t="str">
        <f>VLOOKUP(A69,policy!B:C,2,0)</f>
        <v>070000165802</v>
      </c>
      <c r="C69" s="19">
        <v>22368</v>
      </c>
      <c r="D69" s="30">
        <f t="shared" si="5"/>
        <v>22368</v>
      </c>
      <c r="E69" s="36" t="s">
        <v>7824</v>
      </c>
      <c r="F69" s="31" t="str">
        <f t="shared" si="4"/>
        <v>insert into ins_premium_det (premium_rcv_code,assorted_code, rec_amount,premium_rcv_detail_code,remaining_amt, payrec, mode_code,coinsurance_code,class_cd,it_remarks) values</v>
      </c>
      <c r="G69" s="32" t="str">
        <f t="shared" si="6"/>
        <v>('29Oct240041','070000165802','22368',(select max(to_number(i.premium_rcv_detail_code))+1
from ins_premium_det i),'22368','22368','02', '11000003','00','Request by Mr. Saqib Saleem 30-Oct-2024');</v>
      </c>
      <c r="H69" s="33" t="str">
        <f t="shared" si="7"/>
        <v>insert into ins_premium_det (premium_rcv_code,assorted_code, rec_amount,premium_rcv_detail_code,remaining_amt, payrec, mode_code,coinsurance_code,class_cd,it_remarks) values('29Oct240041','070000165802','22368',(select max(to_number(i.premium_rcv_detail_code))+1
from ins_premium_det i),'22368','22368','02', '11000003','00','Request by Mr. Saqib Saleem 30-Oct-2024');</v>
      </c>
    </row>
    <row r="70" spans="1:8" ht="105" x14ac:dyDescent="0.25">
      <c r="A70" s="18" t="s">
        <v>6624</v>
      </c>
      <c r="B70" s="29" t="str">
        <f>VLOOKUP(A70,policy!B:C,2,0)</f>
        <v>070000165804</v>
      </c>
      <c r="C70" s="19">
        <v>43658</v>
      </c>
      <c r="D70" s="30">
        <f t="shared" si="5"/>
        <v>43658</v>
      </c>
      <c r="E70" s="36" t="s">
        <v>7824</v>
      </c>
      <c r="F70" s="31" t="str">
        <f t="shared" si="4"/>
        <v>insert into ins_premium_det (premium_rcv_code,assorted_code, rec_amount,premium_rcv_detail_code,remaining_amt, payrec, mode_code,coinsurance_code,class_cd,it_remarks) values</v>
      </c>
      <c r="G70" s="32" t="str">
        <f t="shared" si="6"/>
        <v>('29Oct240041','070000165804','43658',(select max(to_number(i.premium_rcv_detail_code))+1
from ins_premium_det i),'43658','43658','02', '11000003','00','Request by Mr. Saqib Saleem 30-Oct-2024');</v>
      </c>
      <c r="H70" s="33" t="str">
        <f t="shared" si="7"/>
        <v>insert into ins_premium_det (premium_rcv_code,assorted_code, rec_amount,premium_rcv_detail_code,remaining_amt, payrec, mode_code,coinsurance_code,class_cd,it_remarks) values('29Oct240041','070000165804','43658',(select max(to_number(i.premium_rcv_detail_code))+1
from ins_premium_det i),'43658','43658','02', '11000003','00','Request by Mr. Saqib Saleem 30-Oct-2024');</v>
      </c>
    </row>
    <row r="71" spans="1:8" ht="105" x14ac:dyDescent="0.25">
      <c r="A71" s="18" t="s">
        <v>6625</v>
      </c>
      <c r="B71" s="29" t="str">
        <f>VLOOKUP(A71,policy!B:C,2,0)</f>
        <v>070000165806</v>
      </c>
      <c r="C71" s="19">
        <v>47600</v>
      </c>
      <c r="D71" s="30">
        <f t="shared" si="5"/>
        <v>47600</v>
      </c>
      <c r="E71" s="36" t="s">
        <v>7824</v>
      </c>
      <c r="F71" s="31" t="str">
        <f t="shared" si="4"/>
        <v>insert into ins_premium_det (premium_rcv_code,assorted_code, rec_amount,premium_rcv_detail_code,remaining_amt, payrec, mode_code,coinsurance_code,class_cd,it_remarks) values</v>
      </c>
      <c r="G71" s="32" t="str">
        <f t="shared" si="6"/>
        <v>('29Oct240041','070000165806','47600',(select max(to_number(i.premium_rcv_detail_code))+1
from ins_premium_det i),'47600','47600','02', '11000003','00','Request by Mr. Saqib Saleem 30-Oct-2024');</v>
      </c>
      <c r="H71" s="33" t="str">
        <f t="shared" si="7"/>
        <v>insert into ins_premium_det (premium_rcv_code,assorted_code, rec_amount,premium_rcv_detail_code,remaining_amt, payrec, mode_code,coinsurance_code,class_cd,it_remarks) values('29Oct240041','070000165806','47600',(select max(to_number(i.premium_rcv_detail_code))+1
from ins_premium_det i),'47600','47600','02', '11000003','00','Request by Mr. Saqib Saleem 30-Oct-2024');</v>
      </c>
    </row>
    <row r="72" spans="1:8" ht="105" x14ac:dyDescent="0.25">
      <c r="A72" s="18" t="s">
        <v>6626</v>
      </c>
      <c r="B72" s="29" t="str">
        <f>VLOOKUP(A72,policy!B:C,2,0)</f>
        <v>070000165807</v>
      </c>
      <c r="C72" s="19">
        <v>26480</v>
      </c>
      <c r="D72" s="30">
        <f t="shared" si="5"/>
        <v>26480</v>
      </c>
      <c r="E72" s="36" t="s">
        <v>7824</v>
      </c>
      <c r="F72" s="31" t="str">
        <f t="shared" si="4"/>
        <v>insert into ins_premium_det (premium_rcv_code,assorted_code, rec_amount,premium_rcv_detail_code,remaining_amt, payrec, mode_code,coinsurance_code,class_cd,it_remarks) values</v>
      </c>
      <c r="G72" s="32" t="str">
        <f t="shared" si="6"/>
        <v>('29Oct240041','070000165807','26480',(select max(to_number(i.premium_rcv_detail_code))+1
from ins_premium_det i),'26480','26480','02', '11000003','00','Request by Mr. Saqib Saleem 30-Oct-2024');</v>
      </c>
      <c r="H72" s="33" t="str">
        <f t="shared" si="7"/>
        <v>insert into ins_premium_det (premium_rcv_code,assorted_code, rec_amount,premium_rcv_detail_code,remaining_amt, payrec, mode_code,coinsurance_code,class_cd,it_remarks) values('29Oct240041','070000165807','26480',(select max(to_number(i.premium_rcv_detail_code))+1
from ins_premium_det i),'26480','26480','02', '11000003','00','Request by Mr. Saqib Saleem 30-Oct-2024');</v>
      </c>
    </row>
    <row r="73" spans="1:8" ht="105" x14ac:dyDescent="0.25">
      <c r="A73" s="18" t="s">
        <v>6627</v>
      </c>
      <c r="B73" s="29" t="str">
        <f>VLOOKUP(A73,policy!B:C,2,0)</f>
        <v>070000165808</v>
      </c>
      <c r="C73" s="19">
        <v>19278</v>
      </c>
      <c r="D73" s="30">
        <f t="shared" si="5"/>
        <v>19278</v>
      </c>
      <c r="E73" s="36" t="s">
        <v>7824</v>
      </c>
      <c r="F73" s="31" t="str">
        <f t="shared" si="4"/>
        <v>insert into ins_premium_det (premium_rcv_code,assorted_code, rec_amount,premium_rcv_detail_code,remaining_amt, payrec, mode_code,coinsurance_code,class_cd,it_remarks) values</v>
      </c>
      <c r="G73" s="32" t="str">
        <f t="shared" si="6"/>
        <v>('29Oct240041','070000165808','19278',(select max(to_number(i.premium_rcv_detail_code))+1
from ins_premium_det i),'19278','19278','02', '11000003','00','Request by Mr. Saqib Saleem 30-Oct-2024');</v>
      </c>
      <c r="H73" s="33" t="str">
        <f t="shared" si="7"/>
        <v>insert into ins_premium_det (premium_rcv_code,assorted_code, rec_amount,premium_rcv_detail_code,remaining_amt, payrec, mode_code,coinsurance_code,class_cd,it_remarks) values('29Oct240041','070000165808','19278',(select max(to_number(i.premium_rcv_detail_code))+1
from ins_premium_det i),'19278','19278','02', '11000003','00','Request by Mr. Saqib Saleem 30-Oct-2024');</v>
      </c>
    </row>
    <row r="74" spans="1:8" ht="105" x14ac:dyDescent="0.25">
      <c r="A74" s="18" t="s">
        <v>6628</v>
      </c>
      <c r="B74" s="29" t="str">
        <f>VLOOKUP(A74,policy!B:C,2,0)</f>
        <v>070000165923</v>
      </c>
      <c r="C74" s="19">
        <v>38400</v>
      </c>
      <c r="D74" s="30">
        <f t="shared" si="5"/>
        <v>38400</v>
      </c>
      <c r="E74" s="36" t="s">
        <v>7824</v>
      </c>
      <c r="F74" s="31" t="str">
        <f t="shared" si="4"/>
        <v>insert into ins_premium_det (premium_rcv_code,assorted_code, rec_amount,premium_rcv_detail_code,remaining_amt, payrec, mode_code,coinsurance_code,class_cd,it_remarks) values</v>
      </c>
      <c r="G74" s="32" t="str">
        <f t="shared" si="6"/>
        <v>('29Oct240041','070000165923','38400',(select max(to_number(i.premium_rcv_detail_code))+1
from ins_premium_det i),'38400','38400','02', '11000003','00','Request by Mr. Saqib Saleem 30-Oct-2024');</v>
      </c>
      <c r="H74" s="33" t="str">
        <f t="shared" si="7"/>
        <v>insert into ins_premium_det (premium_rcv_code,assorted_code, rec_amount,premium_rcv_detail_code,remaining_amt, payrec, mode_code,coinsurance_code,class_cd,it_remarks) values('29Oct240041','070000165923','38400',(select max(to_number(i.premium_rcv_detail_code))+1
from ins_premium_det i),'38400','38400','02', '11000003','00','Request by Mr. Saqib Saleem 30-Oct-2024');</v>
      </c>
    </row>
    <row r="75" spans="1:8" ht="105" x14ac:dyDescent="0.25">
      <c r="A75" s="18" t="s">
        <v>6629</v>
      </c>
      <c r="B75" s="29" t="str">
        <f>VLOOKUP(A75,policy!B:C,2,0)</f>
        <v>070000165810</v>
      </c>
      <c r="C75" s="19">
        <v>63113</v>
      </c>
      <c r="D75" s="30">
        <f t="shared" si="5"/>
        <v>63113</v>
      </c>
      <c r="E75" s="36" t="s">
        <v>7824</v>
      </c>
      <c r="F75" s="31" t="str">
        <f t="shared" si="4"/>
        <v>insert into ins_premium_det (premium_rcv_code,assorted_code, rec_amount,premium_rcv_detail_code,remaining_amt, payrec, mode_code,coinsurance_code,class_cd,it_remarks) values</v>
      </c>
      <c r="G75" s="32" t="str">
        <f t="shared" si="6"/>
        <v>('29Oct240041','070000165810','63113',(select max(to_number(i.premium_rcv_detail_code))+1
from ins_premium_det i),'63113','63113','02', '11000003','00','Request by Mr. Saqib Saleem 30-Oct-2024');</v>
      </c>
      <c r="H75" s="33" t="str">
        <f t="shared" si="7"/>
        <v>insert into ins_premium_det (premium_rcv_code,assorted_code, rec_amount,premium_rcv_detail_code,remaining_amt, payrec, mode_code,coinsurance_code,class_cd,it_remarks) values('29Oct240041','070000165810','63113',(select max(to_number(i.premium_rcv_detail_code))+1
from ins_premium_det i),'63113','63113','02', '11000003','00','Request by Mr. Saqib Saleem 30-Oct-2024');</v>
      </c>
    </row>
    <row r="76" spans="1:8" ht="105" x14ac:dyDescent="0.25">
      <c r="A76" s="18" t="s">
        <v>6630</v>
      </c>
      <c r="B76" s="29" t="str">
        <f>VLOOKUP(A76,policy!B:C,2,0)</f>
        <v>070000165925</v>
      </c>
      <c r="C76" s="19">
        <v>34080</v>
      </c>
      <c r="D76" s="30">
        <f t="shared" si="5"/>
        <v>34080</v>
      </c>
      <c r="E76" s="36" t="s">
        <v>7824</v>
      </c>
      <c r="F76" s="31" t="str">
        <f t="shared" si="4"/>
        <v>insert into ins_premium_det (premium_rcv_code,assorted_code, rec_amount,premium_rcv_detail_code,remaining_amt, payrec, mode_code,coinsurance_code,class_cd,it_remarks) values</v>
      </c>
      <c r="G76" s="32" t="str">
        <f t="shared" si="6"/>
        <v>('29Oct240041','070000165925','34080',(select max(to_number(i.premium_rcv_detail_code))+1
from ins_premium_det i),'34080','34080','02', '11000003','00','Request by Mr. Saqib Saleem 30-Oct-2024');</v>
      </c>
      <c r="H76" s="33" t="str">
        <f t="shared" si="7"/>
        <v>insert into ins_premium_det (premium_rcv_code,assorted_code, rec_amount,premium_rcv_detail_code,remaining_amt, payrec, mode_code,coinsurance_code,class_cd,it_remarks) values('29Oct240041','070000165925','34080',(select max(to_number(i.premium_rcv_detail_code))+1
from ins_premium_det i),'34080','34080','02', '11000003','00','Request by Mr. Saqib Saleem 30-Oct-2024');</v>
      </c>
    </row>
    <row r="77" spans="1:8" ht="105" x14ac:dyDescent="0.25">
      <c r="A77" s="18" t="s">
        <v>6631</v>
      </c>
      <c r="B77" s="29" t="str">
        <f>VLOOKUP(A77,policy!B:C,2,0)</f>
        <v>070000165926</v>
      </c>
      <c r="C77" s="19">
        <v>49861</v>
      </c>
      <c r="D77" s="30">
        <f t="shared" si="5"/>
        <v>49861</v>
      </c>
      <c r="E77" s="36" t="s">
        <v>7824</v>
      </c>
      <c r="F77" s="31" t="str">
        <f t="shared" si="4"/>
        <v>insert into ins_premium_det (premium_rcv_code,assorted_code, rec_amount,premium_rcv_detail_code,remaining_amt, payrec, mode_code,coinsurance_code,class_cd,it_remarks) values</v>
      </c>
      <c r="G77" s="32" t="str">
        <f t="shared" si="6"/>
        <v>('29Oct240041','070000165926','49861',(select max(to_number(i.premium_rcv_detail_code))+1
from ins_premium_det i),'49861','49861','02', '11000003','00','Request by Mr. Saqib Saleem 30-Oct-2024');</v>
      </c>
      <c r="H77" s="33" t="str">
        <f t="shared" si="7"/>
        <v>insert into ins_premium_det (premium_rcv_code,assorted_code, rec_amount,premium_rcv_detail_code,remaining_amt, payrec, mode_code,coinsurance_code,class_cd,it_remarks) values('29Oct240041','070000165926','49861',(select max(to_number(i.premium_rcv_detail_code))+1
from ins_premium_det i),'49861','49861','02', '11000003','00','Request by Mr. Saqib Saleem 30-Oct-2024');</v>
      </c>
    </row>
    <row r="78" spans="1:8" ht="105" x14ac:dyDescent="0.25">
      <c r="A78" s="18" t="s">
        <v>6632</v>
      </c>
      <c r="B78" s="29" t="str">
        <f>VLOOKUP(A78,policy!B:C,2,0)</f>
        <v>070000165927</v>
      </c>
      <c r="C78" s="19">
        <v>40848</v>
      </c>
      <c r="D78" s="30">
        <f t="shared" si="5"/>
        <v>40848</v>
      </c>
      <c r="E78" s="36" t="s">
        <v>7824</v>
      </c>
      <c r="F78" s="31" t="str">
        <f t="shared" si="4"/>
        <v>insert into ins_premium_det (premium_rcv_code,assorted_code, rec_amount,premium_rcv_detail_code,remaining_amt, payrec, mode_code,coinsurance_code,class_cd,it_remarks) values</v>
      </c>
      <c r="G78" s="32" t="str">
        <f t="shared" si="6"/>
        <v>('29Oct240041','070000165927','40848',(select max(to_number(i.premium_rcv_detail_code))+1
from ins_premium_det i),'40848','40848','02', '11000003','00','Request by Mr. Saqib Saleem 30-Oct-2024');</v>
      </c>
      <c r="H78" s="33" t="str">
        <f t="shared" si="7"/>
        <v>insert into ins_premium_det (premium_rcv_code,assorted_code, rec_amount,premium_rcv_detail_code,remaining_amt, payrec, mode_code,coinsurance_code,class_cd,it_remarks) values('29Oct240041','070000165927','40848',(select max(to_number(i.premium_rcv_detail_code))+1
from ins_premium_det i),'40848','40848','02', '11000003','00','Request by Mr. Saqib Saleem 30-Oct-2024');</v>
      </c>
    </row>
    <row r="79" spans="1:8" ht="105" x14ac:dyDescent="0.25">
      <c r="A79" s="18" t="s">
        <v>6633</v>
      </c>
      <c r="B79" s="29" t="str">
        <f>VLOOKUP(A79,policy!B:C,2,0)</f>
        <v>070000165811</v>
      </c>
      <c r="C79" s="19">
        <v>99450</v>
      </c>
      <c r="D79" s="30">
        <f t="shared" si="5"/>
        <v>99450</v>
      </c>
      <c r="E79" s="36" t="s">
        <v>7824</v>
      </c>
      <c r="F79" s="31" t="str">
        <f t="shared" si="4"/>
        <v>insert into ins_premium_det (premium_rcv_code,assorted_code, rec_amount,premium_rcv_detail_code,remaining_amt, payrec, mode_code,coinsurance_code,class_cd,it_remarks) values</v>
      </c>
      <c r="G79" s="32" t="str">
        <f t="shared" si="6"/>
        <v>('29Oct240041','070000165811','99450',(select max(to_number(i.premium_rcv_detail_code))+1
from ins_premium_det i),'99450','99450','02', '11000003','00','Request by Mr. Saqib Saleem 30-Oct-2024');</v>
      </c>
      <c r="H79" s="33" t="str">
        <f t="shared" si="7"/>
        <v>insert into ins_premium_det (premium_rcv_code,assorted_code, rec_amount,premium_rcv_detail_code,remaining_amt, payrec, mode_code,coinsurance_code,class_cd,it_remarks) values('29Oct240041','070000165811','99450',(select max(to_number(i.premium_rcv_detail_code))+1
from ins_premium_det i),'99450','99450','02', '11000003','00','Request by Mr. Saqib Saleem 30-Oct-2024');</v>
      </c>
    </row>
    <row r="80" spans="1:8" ht="105" x14ac:dyDescent="0.25">
      <c r="A80" s="18" t="s">
        <v>6634</v>
      </c>
      <c r="B80" s="29" t="str">
        <f>VLOOKUP(A80,policy!B:C,2,0)</f>
        <v>070000165814</v>
      </c>
      <c r="C80" s="19">
        <v>53550</v>
      </c>
      <c r="D80" s="30">
        <f t="shared" si="5"/>
        <v>53550</v>
      </c>
      <c r="E80" s="36" t="s">
        <v>7824</v>
      </c>
      <c r="F80" s="31" t="str">
        <f t="shared" si="4"/>
        <v>insert into ins_premium_det (premium_rcv_code,assorted_code, rec_amount,premium_rcv_detail_code,remaining_amt, payrec, mode_code,coinsurance_code,class_cd,it_remarks) values</v>
      </c>
      <c r="G80" s="32" t="str">
        <f t="shared" si="6"/>
        <v>('29Oct240041','070000165814','53550',(select max(to_number(i.premium_rcv_detail_code))+1
from ins_premium_det i),'53550','53550','02', '11000003','00','Request by Mr. Saqib Saleem 30-Oct-2024');</v>
      </c>
      <c r="H80" s="33" t="str">
        <f t="shared" si="7"/>
        <v>insert into ins_premium_det (premium_rcv_code,assorted_code, rec_amount,premium_rcv_detail_code,remaining_amt, payrec, mode_code,coinsurance_code,class_cd,it_remarks) values('29Oct240041','070000165814','53550',(select max(to_number(i.premium_rcv_detail_code))+1
from ins_premium_det i),'53550','53550','02', '11000003','00','Request by Mr. Saqib Saleem 30-Oct-2024');</v>
      </c>
    </row>
    <row r="81" spans="1:8" ht="105" x14ac:dyDescent="0.25">
      <c r="A81" s="18" t="s">
        <v>6635</v>
      </c>
      <c r="B81" s="29" t="str">
        <f>VLOOKUP(A81,policy!B:C,2,0)</f>
        <v>070000165929</v>
      </c>
      <c r="C81" s="19">
        <v>54000</v>
      </c>
      <c r="D81" s="30">
        <f t="shared" si="5"/>
        <v>54000</v>
      </c>
      <c r="E81" s="36" t="s">
        <v>7824</v>
      </c>
      <c r="F81" s="31" t="str">
        <f t="shared" si="4"/>
        <v>insert into ins_premium_det (premium_rcv_code,assorted_code, rec_amount,premium_rcv_detail_code,remaining_amt, payrec, mode_code,coinsurance_code,class_cd,it_remarks) values</v>
      </c>
      <c r="G81" s="32" t="str">
        <f t="shared" si="6"/>
        <v>('29Oct240041','070000165929','54000',(select max(to_number(i.premium_rcv_detail_code))+1
from ins_premium_det i),'54000','54000','02', '11000003','00','Request by Mr. Saqib Saleem 30-Oct-2024');</v>
      </c>
      <c r="H81" s="33" t="str">
        <f t="shared" si="7"/>
        <v>insert into ins_premium_det (premium_rcv_code,assorted_code, rec_amount,premium_rcv_detail_code,remaining_amt, payrec, mode_code,coinsurance_code,class_cd,it_remarks) values('29Oct240041','070000165929','54000',(select max(to_number(i.premium_rcv_detail_code))+1
from ins_premium_det i),'54000','54000','02', '11000003','00','Request by Mr. Saqib Saleem 30-Oct-2024');</v>
      </c>
    </row>
    <row r="82" spans="1:8" ht="105" x14ac:dyDescent="0.25">
      <c r="A82" s="18" t="s">
        <v>6636</v>
      </c>
      <c r="B82" s="29" t="str">
        <f>VLOOKUP(A82,policy!B:C,2,0)</f>
        <v>070000165817</v>
      </c>
      <c r="C82" s="19">
        <v>25922</v>
      </c>
      <c r="D82" s="30">
        <f t="shared" si="5"/>
        <v>25922</v>
      </c>
      <c r="E82" s="36" t="s">
        <v>7824</v>
      </c>
      <c r="F82" s="31" t="str">
        <f t="shared" si="4"/>
        <v>insert into ins_premium_det (premium_rcv_code,assorted_code, rec_amount,premium_rcv_detail_code,remaining_amt, payrec, mode_code,coinsurance_code,class_cd,it_remarks) values</v>
      </c>
      <c r="G82" s="32" t="str">
        <f t="shared" si="6"/>
        <v>('29Oct240041','070000165817','25922',(select max(to_number(i.premium_rcv_detail_code))+1
from ins_premium_det i),'25922','25922','02', '11000003','00','Request by Mr. Saqib Saleem 30-Oct-2024');</v>
      </c>
      <c r="H82" s="33" t="str">
        <f t="shared" si="7"/>
        <v>insert into ins_premium_det (premium_rcv_code,assorted_code, rec_amount,premium_rcv_detail_code,remaining_amt, payrec, mode_code,coinsurance_code,class_cd,it_remarks) values('29Oct240041','070000165817','25922',(select max(to_number(i.premium_rcv_detail_code))+1
from ins_premium_det i),'25922','25922','02', '11000003','00','Request by Mr. Saqib Saleem 30-Oct-2024');</v>
      </c>
    </row>
    <row r="83" spans="1:8" ht="105" x14ac:dyDescent="0.25">
      <c r="A83" s="18" t="s">
        <v>6637</v>
      </c>
      <c r="B83" s="29" t="str">
        <f>VLOOKUP(A83,policy!B:C,2,0)</f>
        <v>070000165931</v>
      </c>
      <c r="C83" s="19">
        <v>72784</v>
      </c>
      <c r="D83" s="30">
        <f t="shared" si="5"/>
        <v>72784</v>
      </c>
      <c r="E83" s="36" t="s">
        <v>7824</v>
      </c>
      <c r="F83" s="31" t="str">
        <f t="shared" si="4"/>
        <v>insert into ins_premium_det (premium_rcv_code,assorted_code, rec_amount,premium_rcv_detail_code,remaining_amt, payrec, mode_code,coinsurance_code,class_cd,it_remarks) values</v>
      </c>
      <c r="G83" s="32" t="str">
        <f t="shared" si="6"/>
        <v>('29Oct240041','070000165931','72784',(select max(to_number(i.premium_rcv_detail_code))+1
from ins_premium_det i),'72784','72784','02', '11000003','00','Request by Mr. Saqib Saleem 30-Oct-2024');</v>
      </c>
      <c r="H83" s="33" t="str">
        <f t="shared" si="7"/>
        <v>insert into ins_premium_det (premium_rcv_code,assorted_code, rec_amount,premium_rcv_detail_code,remaining_amt, payrec, mode_code,coinsurance_code,class_cd,it_remarks) values('29Oct240041','070000165931','72784',(select max(to_number(i.premium_rcv_detail_code))+1
from ins_premium_det i),'72784','72784','02', '11000003','00','Request by Mr. Saqib Saleem 30-Oct-2024');</v>
      </c>
    </row>
    <row r="84" spans="1:8" ht="105" x14ac:dyDescent="0.25">
      <c r="A84" s="18" t="s">
        <v>6638</v>
      </c>
      <c r="B84" s="29" t="str">
        <f>VLOOKUP(A84,policy!B:C,2,0)</f>
        <v>070000165818</v>
      </c>
      <c r="C84" s="19">
        <v>43138</v>
      </c>
      <c r="D84" s="30">
        <f t="shared" si="5"/>
        <v>43138</v>
      </c>
      <c r="E84" s="36" t="s">
        <v>7824</v>
      </c>
      <c r="F84" s="31" t="str">
        <f t="shared" si="4"/>
        <v>insert into ins_premium_det (premium_rcv_code,assorted_code, rec_amount,premium_rcv_detail_code,remaining_amt, payrec, mode_code,coinsurance_code,class_cd,it_remarks) values</v>
      </c>
      <c r="G84" s="32" t="str">
        <f t="shared" si="6"/>
        <v>('29Oct240041','070000165818','43138',(select max(to_number(i.premium_rcv_detail_code))+1
from ins_premium_det i),'43138','43138','02', '11000003','00','Request by Mr. Saqib Saleem 30-Oct-2024');</v>
      </c>
      <c r="H84" s="33" t="str">
        <f t="shared" si="7"/>
        <v>insert into ins_premium_det (premium_rcv_code,assorted_code, rec_amount,premium_rcv_detail_code,remaining_amt, payrec, mode_code,coinsurance_code,class_cd,it_remarks) values('29Oct240041','070000165818','43138',(select max(to_number(i.premium_rcv_detail_code))+1
from ins_premium_det i),'43138','43138','02', '11000003','00','Request by Mr. Saqib Saleem 30-Oct-2024');</v>
      </c>
    </row>
    <row r="85" spans="1:8" ht="105" x14ac:dyDescent="0.25">
      <c r="A85" s="18" t="s">
        <v>6639</v>
      </c>
      <c r="B85" s="29" t="str">
        <f>VLOOKUP(A85,policy!B:C,2,0)</f>
        <v>070000165933</v>
      </c>
      <c r="C85" s="19">
        <v>103320</v>
      </c>
      <c r="D85" s="30">
        <f t="shared" si="5"/>
        <v>103320</v>
      </c>
      <c r="E85" s="36" t="s">
        <v>7824</v>
      </c>
      <c r="F85" s="31" t="str">
        <f t="shared" si="4"/>
        <v>insert into ins_premium_det (premium_rcv_code,assorted_code, rec_amount,premium_rcv_detail_code,remaining_amt, payrec, mode_code,coinsurance_code,class_cd,it_remarks) values</v>
      </c>
      <c r="G85" s="32" t="str">
        <f t="shared" si="6"/>
        <v>('29Oct240041','070000165933','103320',(select max(to_number(i.premium_rcv_detail_code))+1
from ins_premium_det i),'103320','103320','02', '11000003','00','Request by Mr. Saqib Saleem 30-Oct-2024');</v>
      </c>
      <c r="H85" s="33" t="str">
        <f t="shared" si="7"/>
        <v>insert into ins_premium_det (premium_rcv_code,assorted_code, rec_amount,premium_rcv_detail_code,remaining_amt, payrec, mode_code,coinsurance_code,class_cd,it_remarks) values('29Oct240041','070000165933','103320',(select max(to_number(i.premium_rcv_detail_code))+1
from ins_premium_det i),'103320','103320','02', '11000003','00','Request by Mr. Saqib Saleem 30-Oct-2024');</v>
      </c>
    </row>
    <row r="86" spans="1:8" ht="105" x14ac:dyDescent="0.25">
      <c r="A86" s="18" t="s">
        <v>6640</v>
      </c>
      <c r="B86" s="29" t="str">
        <f>VLOOKUP(A86,policy!B:C,2,0)</f>
        <v>070000165819</v>
      </c>
      <c r="C86" s="19">
        <v>31041</v>
      </c>
      <c r="D86" s="30">
        <f t="shared" si="5"/>
        <v>31041</v>
      </c>
      <c r="E86" s="36" t="s">
        <v>7824</v>
      </c>
      <c r="F86" s="31" t="str">
        <f t="shared" si="4"/>
        <v>insert into ins_premium_det (premium_rcv_code,assorted_code, rec_amount,premium_rcv_detail_code,remaining_amt, payrec, mode_code,coinsurance_code,class_cd,it_remarks) values</v>
      </c>
      <c r="G86" s="32" t="str">
        <f t="shared" si="6"/>
        <v>('29Oct240041','070000165819','31041',(select max(to_number(i.premium_rcv_detail_code))+1
from ins_premium_det i),'31041','31041','02', '11000003','00','Request by Mr. Saqib Saleem 30-Oct-2024');</v>
      </c>
      <c r="H86" s="33" t="str">
        <f t="shared" si="7"/>
        <v>insert into ins_premium_det (premium_rcv_code,assorted_code, rec_amount,premium_rcv_detail_code,remaining_amt, payrec, mode_code,coinsurance_code,class_cd,it_remarks) values('29Oct240041','070000165819','31041',(select max(to_number(i.premium_rcv_detail_code))+1
from ins_premium_det i),'31041','31041','02', '11000003','00','Request by Mr. Saqib Saleem 30-Oct-2024');</v>
      </c>
    </row>
    <row r="87" spans="1:8" ht="105" x14ac:dyDescent="0.25">
      <c r="A87" s="18" t="s">
        <v>6641</v>
      </c>
      <c r="B87" s="29" t="str">
        <f>VLOOKUP(A87,policy!B:C,2,0)</f>
        <v>070000165934</v>
      </c>
      <c r="C87" s="19">
        <v>28263</v>
      </c>
      <c r="D87" s="30">
        <f t="shared" si="5"/>
        <v>28263</v>
      </c>
      <c r="E87" s="36" t="s">
        <v>7824</v>
      </c>
      <c r="F87" s="31" t="str">
        <f t="shared" si="4"/>
        <v>insert into ins_premium_det (premium_rcv_code,assorted_code, rec_amount,premium_rcv_detail_code,remaining_amt, payrec, mode_code,coinsurance_code,class_cd,it_remarks) values</v>
      </c>
      <c r="G87" s="32" t="str">
        <f t="shared" si="6"/>
        <v>('29Oct240041','070000165934','28263',(select max(to_number(i.premium_rcv_detail_code))+1
from ins_premium_det i),'28263','28263','02', '11000003','00','Request by Mr. Saqib Saleem 30-Oct-2024');</v>
      </c>
      <c r="H87" s="33" t="str">
        <f t="shared" si="7"/>
        <v>insert into ins_premium_det (premium_rcv_code,assorted_code, rec_amount,premium_rcv_detail_code,remaining_amt, payrec, mode_code,coinsurance_code,class_cd,it_remarks) values('29Oct240041','070000165934','28263',(select max(to_number(i.premium_rcv_detail_code))+1
from ins_premium_det i),'28263','28263','02', '11000003','00','Request by Mr. Saqib Saleem 30-Oct-2024');</v>
      </c>
    </row>
    <row r="88" spans="1:8" ht="105" x14ac:dyDescent="0.25">
      <c r="A88" s="18" t="s">
        <v>6642</v>
      </c>
      <c r="B88" s="29" t="str">
        <f>VLOOKUP(A88,policy!B:C,2,0)</f>
        <v>070000165935</v>
      </c>
      <c r="C88" s="19">
        <v>30975</v>
      </c>
      <c r="D88" s="30">
        <f t="shared" si="5"/>
        <v>30975</v>
      </c>
      <c r="E88" s="36" t="s">
        <v>7824</v>
      </c>
      <c r="F88" s="31" t="str">
        <f t="shared" si="4"/>
        <v>insert into ins_premium_det (premium_rcv_code,assorted_code, rec_amount,premium_rcv_detail_code,remaining_amt, payrec, mode_code,coinsurance_code,class_cd,it_remarks) values</v>
      </c>
      <c r="G88" s="32" t="str">
        <f t="shared" si="6"/>
        <v>('29Oct240041','070000165935','30975',(select max(to_number(i.premium_rcv_detail_code))+1
from ins_premium_det i),'30975','30975','02', '11000003','00','Request by Mr. Saqib Saleem 30-Oct-2024');</v>
      </c>
      <c r="H88" s="33" t="str">
        <f t="shared" si="7"/>
        <v>insert into ins_premium_det (premium_rcv_code,assorted_code, rec_amount,premium_rcv_detail_code,remaining_amt, payrec, mode_code,coinsurance_code,class_cd,it_remarks) values('29Oct240041','070000165935','30975',(select max(to_number(i.premium_rcv_detail_code))+1
from ins_premium_det i),'30975','30975','02', '11000003','00','Request by Mr. Saqib Saleem 30-Oct-2024');</v>
      </c>
    </row>
    <row r="89" spans="1:8" ht="105" x14ac:dyDescent="0.25">
      <c r="A89" s="18" t="s">
        <v>6643</v>
      </c>
      <c r="B89" s="29" t="str">
        <f>VLOOKUP(A89,policy!B:C,2,0)</f>
        <v>070000165821</v>
      </c>
      <c r="C89" s="19">
        <v>33653</v>
      </c>
      <c r="D89" s="30">
        <f t="shared" si="5"/>
        <v>33653</v>
      </c>
      <c r="E89" s="36" t="s">
        <v>7824</v>
      </c>
      <c r="F89" s="31" t="str">
        <f t="shared" si="4"/>
        <v>insert into ins_premium_det (premium_rcv_code,assorted_code, rec_amount,premium_rcv_detail_code,remaining_amt, payrec, mode_code,coinsurance_code,class_cd,it_remarks) values</v>
      </c>
      <c r="G89" s="32" t="str">
        <f t="shared" si="6"/>
        <v>('29Oct240041','070000165821','33653',(select max(to_number(i.premium_rcv_detail_code))+1
from ins_premium_det i),'33653','33653','02', '11000003','00','Request by Mr. Saqib Saleem 30-Oct-2024');</v>
      </c>
      <c r="H89" s="33" t="str">
        <f t="shared" si="7"/>
        <v>insert into ins_premium_det (premium_rcv_code,assorted_code, rec_amount,premium_rcv_detail_code,remaining_amt, payrec, mode_code,coinsurance_code,class_cd,it_remarks) values('29Oct240041','070000165821','33653',(select max(to_number(i.premium_rcv_detail_code))+1
from ins_premium_det i),'33653','33653','02', '11000003','00','Request by Mr. Saqib Saleem 30-Oct-2024');</v>
      </c>
    </row>
    <row r="90" spans="1:8" ht="105" x14ac:dyDescent="0.25">
      <c r="A90" s="18" t="s">
        <v>6644</v>
      </c>
      <c r="B90" s="29" t="str">
        <f>VLOOKUP(A90,policy!B:C,2,0)</f>
        <v>070000165822</v>
      </c>
      <c r="C90" s="19">
        <v>50873</v>
      </c>
      <c r="D90" s="30">
        <f t="shared" si="5"/>
        <v>50873</v>
      </c>
      <c r="E90" s="36" t="s">
        <v>7824</v>
      </c>
      <c r="F90" s="31" t="str">
        <f t="shared" si="4"/>
        <v>insert into ins_premium_det (premium_rcv_code,assorted_code, rec_amount,premium_rcv_detail_code,remaining_amt, payrec, mode_code,coinsurance_code,class_cd,it_remarks) values</v>
      </c>
      <c r="G90" s="32" t="str">
        <f t="shared" si="6"/>
        <v>('29Oct240041','070000165822','50873',(select max(to_number(i.premium_rcv_detail_code))+1
from ins_premium_det i),'50873','50873','02', '11000003','00','Request by Mr. Saqib Saleem 30-Oct-2024');</v>
      </c>
      <c r="H90" s="33" t="str">
        <f t="shared" si="7"/>
        <v>insert into ins_premium_det (premium_rcv_code,assorted_code, rec_amount,premium_rcv_detail_code,remaining_amt, payrec, mode_code,coinsurance_code,class_cd,it_remarks) values('29Oct240041','070000165822','50873',(select max(to_number(i.premium_rcv_detail_code))+1
from ins_premium_det i),'50873','50873','02', '11000003','00','Request by Mr. Saqib Saleem 30-Oct-2024');</v>
      </c>
    </row>
    <row r="91" spans="1:8" ht="105" x14ac:dyDescent="0.25">
      <c r="A91" s="18" t="s">
        <v>6645</v>
      </c>
      <c r="B91" s="29" t="str">
        <f>VLOOKUP(A91,policy!B:C,2,0)</f>
        <v>070000165823</v>
      </c>
      <c r="C91" s="19">
        <v>32681</v>
      </c>
      <c r="D91" s="30">
        <f t="shared" si="5"/>
        <v>32681</v>
      </c>
      <c r="E91" s="36" t="s">
        <v>7824</v>
      </c>
      <c r="F91" s="31" t="str">
        <f t="shared" si="4"/>
        <v>insert into ins_premium_det (premium_rcv_code,assorted_code, rec_amount,premium_rcv_detail_code,remaining_amt, payrec, mode_code,coinsurance_code,class_cd,it_remarks) values</v>
      </c>
      <c r="G91" s="32" t="str">
        <f t="shared" si="6"/>
        <v>('29Oct240041','070000165823','32681',(select max(to_number(i.premium_rcv_detail_code))+1
from ins_premium_det i),'32681','32681','02', '11000003','00','Request by Mr. Saqib Saleem 30-Oct-2024');</v>
      </c>
      <c r="H91" s="33" t="str">
        <f t="shared" si="7"/>
        <v>insert into ins_premium_det (premium_rcv_code,assorted_code, rec_amount,premium_rcv_detail_code,remaining_amt, payrec, mode_code,coinsurance_code,class_cd,it_remarks) values('29Oct240041','070000165823','32681',(select max(to_number(i.premium_rcv_detail_code))+1
from ins_premium_det i),'32681','32681','02', '11000003','00','Request by Mr. Saqib Saleem 30-Oct-2024');</v>
      </c>
    </row>
    <row r="92" spans="1:8" ht="105" x14ac:dyDescent="0.25">
      <c r="A92" s="18" t="s">
        <v>6646</v>
      </c>
      <c r="B92" s="29" t="str">
        <f>VLOOKUP(A92,policy!B:C,2,0)</f>
        <v>070000165824</v>
      </c>
      <c r="C92" s="19">
        <v>38140</v>
      </c>
      <c r="D92" s="30">
        <f t="shared" si="5"/>
        <v>38140</v>
      </c>
      <c r="E92" s="36" t="s">
        <v>7824</v>
      </c>
      <c r="F92" s="31" t="str">
        <f t="shared" si="4"/>
        <v>insert into ins_premium_det (premium_rcv_code,assorted_code, rec_amount,premium_rcv_detail_code,remaining_amt, payrec, mode_code,coinsurance_code,class_cd,it_remarks) values</v>
      </c>
      <c r="G92" s="32" t="str">
        <f t="shared" si="6"/>
        <v>('29Oct240041','070000165824','38140',(select max(to_number(i.premium_rcv_detail_code))+1
from ins_premium_det i),'38140','38140','02', '11000003','00','Request by Mr. Saqib Saleem 30-Oct-2024');</v>
      </c>
      <c r="H92" s="33" t="str">
        <f t="shared" si="7"/>
        <v>insert into ins_premium_det (premium_rcv_code,assorted_code, rec_amount,premium_rcv_detail_code,remaining_amt, payrec, mode_code,coinsurance_code,class_cd,it_remarks) values('29Oct240041','070000165824','38140',(select max(to_number(i.premium_rcv_detail_code))+1
from ins_premium_det i),'38140','38140','02', '11000003','00','Request by Mr. Saqib Saleem 30-Oct-2024');</v>
      </c>
    </row>
    <row r="93" spans="1:8" ht="105" x14ac:dyDescent="0.25">
      <c r="A93" s="18" t="s">
        <v>6647</v>
      </c>
      <c r="B93" s="29" t="str">
        <f>VLOOKUP(A93,policy!B:C,2,0)</f>
        <v>070000165825</v>
      </c>
      <c r="C93" s="19">
        <v>24938</v>
      </c>
      <c r="D93" s="30">
        <f t="shared" si="5"/>
        <v>24938</v>
      </c>
      <c r="E93" s="36" t="s">
        <v>7824</v>
      </c>
      <c r="F93" s="31" t="str">
        <f t="shared" si="4"/>
        <v>insert into ins_premium_det (premium_rcv_code,assorted_code, rec_amount,premium_rcv_detail_code,remaining_amt, payrec, mode_code,coinsurance_code,class_cd,it_remarks) values</v>
      </c>
      <c r="G93" s="32" t="str">
        <f t="shared" si="6"/>
        <v>('29Oct240041','070000165825','24938',(select max(to_number(i.premium_rcv_detail_code))+1
from ins_premium_det i),'24938','24938','02', '11000003','00','Request by Mr. Saqib Saleem 30-Oct-2024');</v>
      </c>
      <c r="H93" s="33" t="str">
        <f t="shared" si="7"/>
        <v>insert into ins_premium_det (premium_rcv_code,assorted_code, rec_amount,premium_rcv_detail_code,remaining_amt, payrec, mode_code,coinsurance_code,class_cd,it_remarks) values('29Oct240041','070000165825','24938',(select max(to_number(i.premium_rcv_detail_code))+1
from ins_premium_det i),'24938','24938','02', '11000003','00','Request by Mr. Saqib Saleem 30-Oct-2024');</v>
      </c>
    </row>
    <row r="94" spans="1:8" ht="105" x14ac:dyDescent="0.25">
      <c r="A94" s="18" t="s">
        <v>6648</v>
      </c>
      <c r="B94" s="29" t="str">
        <f>VLOOKUP(A94,policy!B:C,2,0)</f>
        <v>070000165826</v>
      </c>
      <c r="C94" s="19">
        <v>81584</v>
      </c>
      <c r="D94" s="30">
        <f t="shared" si="5"/>
        <v>81584</v>
      </c>
      <c r="E94" s="36" t="s">
        <v>7824</v>
      </c>
      <c r="F94" s="31" t="str">
        <f t="shared" si="4"/>
        <v>insert into ins_premium_det (premium_rcv_code,assorted_code, rec_amount,premium_rcv_detail_code,remaining_amt, payrec, mode_code,coinsurance_code,class_cd,it_remarks) values</v>
      </c>
      <c r="G94" s="32" t="str">
        <f t="shared" si="6"/>
        <v>('29Oct240041','070000165826','81584',(select max(to_number(i.premium_rcv_detail_code))+1
from ins_premium_det i),'81584','81584','02', '11000003','00','Request by Mr. Saqib Saleem 30-Oct-2024');</v>
      </c>
      <c r="H94" s="33" t="str">
        <f t="shared" si="7"/>
        <v>insert into ins_premium_det (premium_rcv_code,assorted_code, rec_amount,premium_rcv_detail_code,remaining_amt, payrec, mode_code,coinsurance_code,class_cd,it_remarks) values('29Oct240041','070000165826','81584',(select max(to_number(i.premium_rcv_detail_code))+1
from ins_premium_det i),'81584','81584','02', '11000003','00','Request by Mr. Saqib Saleem 30-Oct-2024');</v>
      </c>
    </row>
    <row r="95" spans="1:8" ht="105" x14ac:dyDescent="0.25">
      <c r="A95" s="18" t="s">
        <v>6876</v>
      </c>
      <c r="B95" s="29" t="str">
        <f>VLOOKUP(A95,policy!B:C,2,0)</f>
        <v>070000165943</v>
      </c>
      <c r="C95" s="21">
        <v>24336</v>
      </c>
      <c r="D95" s="30">
        <f t="shared" si="5"/>
        <v>24336</v>
      </c>
      <c r="E95" s="36" t="s">
        <v>7824</v>
      </c>
      <c r="F95" s="31" t="str">
        <f t="shared" si="4"/>
        <v>insert into ins_premium_det (premium_rcv_code,assorted_code, rec_amount,premium_rcv_detail_code,remaining_amt, payrec, mode_code,coinsurance_code,class_cd,it_remarks) values</v>
      </c>
      <c r="G95" s="32" t="str">
        <f t="shared" si="6"/>
        <v>('29Oct240041','070000165943','24336',(select max(to_number(i.premium_rcv_detail_code))+1
from ins_premium_det i),'24336','24336','02', '11000003','00','Request by Mr. Saqib Saleem 30-Oct-2024');</v>
      </c>
      <c r="H95" s="33" t="str">
        <f t="shared" si="7"/>
        <v>insert into ins_premium_det (premium_rcv_code,assorted_code, rec_amount,premium_rcv_detail_code,remaining_amt, payrec, mode_code,coinsurance_code,class_cd,it_remarks) values('29Oct240041','070000165943','24336',(select max(to_number(i.premium_rcv_detail_code))+1
from ins_premium_det i),'24336','24336','02', '11000003','00','Request by Mr. Saqib Saleem 30-Oct-2024');</v>
      </c>
    </row>
    <row r="96" spans="1:8" ht="105" x14ac:dyDescent="0.25">
      <c r="A96" s="18" t="s">
        <v>6649</v>
      </c>
      <c r="B96" s="29" t="str">
        <f>VLOOKUP(A96,policy!B:C,2,0)</f>
        <v>070000165944</v>
      </c>
      <c r="C96" s="19">
        <v>26240</v>
      </c>
      <c r="D96" s="30">
        <f t="shared" si="5"/>
        <v>26240</v>
      </c>
      <c r="E96" s="36" t="s">
        <v>7824</v>
      </c>
      <c r="F96" s="31" t="str">
        <f t="shared" si="4"/>
        <v>insert into ins_premium_det (premium_rcv_code,assorted_code, rec_amount,premium_rcv_detail_code,remaining_amt, payrec, mode_code,coinsurance_code,class_cd,it_remarks) values</v>
      </c>
      <c r="G96" s="32" t="str">
        <f t="shared" si="6"/>
        <v>('29Oct240041','070000165944','26240',(select max(to_number(i.premium_rcv_detail_code))+1
from ins_premium_det i),'26240','26240','02', '11000003','00','Request by Mr. Saqib Saleem 30-Oct-2024');</v>
      </c>
      <c r="H96" s="33" t="str">
        <f t="shared" si="7"/>
        <v>insert into ins_premium_det (premium_rcv_code,assorted_code, rec_amount,premium_rcv_detail_code,remaining_amt, payrec, mode_code,coinsurance_code,class_cd,it_remarks) values('29Oct240041','070000165944','26240',(select max(to_number(i.premium_rcv_detail_code))+1
from ins_premium_det i),'26240','26240','02', '11000003','00','Request by Mr. Saqib Saleem 30-Oct-2024');</v>
      </c>
    </row>
    <row r="97" spans="1:8" ht="105" x14ac:dyDescent="0.25">
      <c r="A97" s="18" t="s">
        <v>6650</v>
      </c>
      <c r="B97" s="29" t="str">
        <f>VLOOKUP(A97,policy!B:C,2,0)</f>
        <v>070000165827</v>
      </c>
      <c r="C97" s="19">
        <v>69233</v>
      </c>
      <c r="D97" s="30">
        <f t="shared" si="5"/>
        <v>69233</v>
      </c>
      <c r="E97" s="36" t="s">
        <v>7824</v>
      </c>
      <c r="F97" s="31" t="str">
        <f t="shared" si="4"/>
        <v>insert into ins_premium_det (premium_rcv_code,assorted_code, rec_amount,premium_rcv_detail_code,remaining_amt, payrec, mode_code,coinsurance_code,class_cd,it_remarks) values</v>
      </c>
      <c r="G97" s="32" t="str">
        <f t="shared" si="6"/>
        <v>('29Oct240041','070000165827','69233',(select max(to_number(i.premium_rcv_detail_code))+1
from ins_premium_det i),'69233','69233','02', '11000003','00','Request by Mr. Saqib Saleem 30-Oct-2024');</v>
      </c>
      <c r="H97" s="33" t="str">
        <f t="shared" si="7"/>
        <v>insert into ins_premium_det (premium_rcv_code,assorted_code, rec_amount,premium_rcv_detail_code,remaining_amt, payrec, mode_code,coinsurance_code,class_cd,it_remarks) values('29Oct240041','070000165827','69233',(select max(to_number(i.premium_rcv_detail_code))+1
from ins_premium_det i),'69233','69233','02', '11000003','00','Request by Mr. Saqib Saleem 30-Oct-2024');</v>
      </c>
    </row>
    <row r="98" spans="1:8" ht="105" x14ac:dyDescent="0.25">
      <c r="A98" s="18" t="s">
        <v>6651</v>
      </c>
      <c r="B98" s="29" t="str">
        <f>VLOOKUP(A98,policy!B:C,2,0)</f>
        <v>070000165834</v>
      </c>
      <c r="C98" s="19">
        <v>69194</v>
      </c>
      <c r="D98" s="30">
        <f t="shared" si="5"/>
        <v>69194</v>
      </c>
      <c r="E98" s="36" t="s">
        <v>7824</v>
      </c>
      <c r="F98" s="31" t="str">
        <f t="shared" si="4"/>
        <v>insert into ins_premium_det (premium_rcv_code,assorted_code, rec_amount,premium_rcv_detail_code,remaining_amt, payrec, mode_code,coinsurance_code,class_cd,it_remarks) values</v>
      </c>
      <c r="G98" s="32" t="str">
        <f t="shared" si="6"/>
        <v>('29Oct240041','070000165834','69194',(select max(to_number(i.premium_rcv_detail_code))+1
from ins_premium_det i),'69194','69194','02', '11000003','00','Request by Mr. Saqib Saleem 30-Oct-2024');</v>
      </c>
      <c r="H98" s="33" t="str">
        <f t="shared" si="7"/>
        <v>insert into ins_premium_det (premium_rcv_code,assorted_code, rec_amount,premium_rcv_detail_code,remaining_amt, payrec, mode_code,coinsurance_code,class_cd,it_remarks) values('29Oct240041','070000165834','69194',(select max(to_number(i.premium_rcv_detail_code))+1
from ins_premium_det i),'69194','69194','02', '11000003','00','Request by Mr. Saqib Saleem 30-Oct-2024');</v>
      </c>
    </row>
    <row r="99" spans="1:8" ht="105" x14ac:dyDescent="0.25">
      <c r="A99" s="18" t="s">
        <v>6652</v>
      </c>
      <c r="B99" s="29" t="str">
        <f>VLOOKUP(A99,policy!B:C,2,0)</f>
        <v>070000165947</v>
      </c>
      <c r="C99" s="19">
        <v>29280</v>
      </c>
      <c r="D99" s="30">
        <f t="shared" si="5"/>
        <v>29280</v>
      </c>
      <c r="E99" s="36" t="s">
        <v>7824</v>
      </c>
      <c r="F99" s="31" t="str">
        <f t="shared" si="4"/>
        <v>insert into ins_premium_det (premium_rcv_code,assorted_code, rec_amount,premium_rcv_detail_code,remaining_amt, payrec, mode_code,coinsurance_code,class_cd,it_remarks) values</v>
      </c>
      <c r="G99" s="32" t="str">
        <f t="shared" si="6"/>
        <v>('29Oct240041','070000165947','29280',(select max(to_number(i.premium_rcv_detail_code))+1
from ins_premium_det i),'29280','29280','02', '11000003','00','Request by Mr. Saqib Saleem 30-Oct-2024');</v>
      </c>
      <c r="H99" s="33" t="str">
        <f t="shared" si="7"/>
        <v>insert into ins_premium_det (premium_rcv_code,assorted_code, rec_amount,premium_rcv_detail_code,remaining_amt, payrec, mode_code,coinsurance_code,class_cd,it_remarks) values('29Oct240041','070000165947','29280',(select max(to_number(i.premium_rcv_detail_code))+1
from ins_premium_det i),'29280','29280','02', '11000003','00','Request by Mr. Saqib Saleem 30-Oct-2024');</v>
      </c>
    </row>
    <row r="100" spans="1:8" ht="105" x14ac:dyDescent="0.25">
      <c r="A100" s="18" t="s">
        <v>6653</v>
      </c>
      <c r="B100" s="29" t="str">
        <f>VLOOKUP(A100,policy!B:C,2,0)</f>
        <v>070000165948</v>
      </c>
      <c r="C100" s="19">
        <v>26128</v>
      </c>
      <c r="D100" s="30">
        <f t="shared" si="5"/>
        <v>26128</v>
      </c>
      <c r="E100" s="36" t="s">
        <v>7824</v>
      </c>
      <c r="F100" s="31" t="str">
        <f t="shared" si="4"/>
        <v>insert into ins_premium_det (premium_rcv_code,assorted_code, rec_amount,premium_rcv_detail_code,remaining_amt, payrec, mode_code,coinsurance_code,class_cd,it_remarks) values</v>
      </c>
      <c r="G100" s="32" t="str">
        <f t="shared" si="6"/>
        <v>('29Oct240041','070000165948','26128',(select max(to_number(i.premium_rcv_detail_code))+1
from ins_premium_det i),'26128','26128','02', '11000003','00','Request by Mr. Saqib Saleem 30-Oct-2024');</v>
      </c>
      <c r="H100" s="33" t="str">
        <f t="shared" si="7"/>
        <v>insert into ins_premium_det (premium_rcv_code,assorted_code, rec_amount,premium_rcv_detail_code,remaining_amt, payrec, mode_code,coinsurance_code,class_cd,it_remarks) values('29Oct240041','070000165948','26128',(select max(to_number(i.premium_rcv_detail_code))+1
from ins_premium_det i),'26128','26128','02', '11000003','00','Request by Mr. Saqib Saleem 30-Oct-2024');</v>
      </c>
    </row>
    <row r="101" spans="1:8" ht="105" x14ac:dyDescent="0.25">
      <c r="A101" s="18" t="s">
        <v>6654</v>
      </c>
      <c r="B101" s="29" t="str">
        <f>VLOOKUP(A101,policy!B:C,2,0)</f>
        <v>070000165836</v>
      </c>
      <c r="C101" s="19">
        <v>56508</v>
      </c>
      <c r="D101" s="30">
        <f t="shared" si="5"/>
        <v>56508</v>
      </c>
      <c r="E101" s="36" t="s">
        <v>7824</v>
      </c>
      <c r="F101" s="31" t="str">
        <f t="shared" si="4"/>
        <v>insert into ins_premium_det (premium_rcv_code,assorted_code, rec_amount,premium_rcv_detail_code,remaining_amt, payrec, mode_code,coinsurance_code,class_cd,it_remarks) values</v>
      </c>
      <c r="G101" s="32" t="str">
        <f t="shared" si="6"/>
        <v>('29Oct240041','070000165836','56508',(select max(to_number(i.premium_rcv_detail_code))+1
from ins_premium_det i),'56508','56508','02', '11000003','00','Request by Mr. Saqib Saleem 30-Oct-2024');</v>
      </c>
      <c r="H101" s="33" t="str">
        <f t="shared" si="7"/>
        <v>insert into ins_premium_det (premium_rcv_code,assorted_code, rec_amount,premium_rcv_detail_code,remaining_amt, payrec, mode_code,coinsurance_code,class_cd,it_remarks) values('29Oct240041','070000165836','56508',(select max(to_number(i.premium_rcv_detail_code))+1
from ins_premium_det i),'56508','56508','02', '11000003','00','Request by Mr. Saqib Saleem 30-Oct-2024');</v>
      </c>
    </row>
    <row r="102" spans="1:8" ht="105" x14ac:dyDescent="0.25">
      <c r="A102" s="18" t="s">
        <v>6655</v>
      </c>
      <c r="B102" s="29" t="str">
        <f>VLOOKUP(A102,policy!B:C,2,0)</f>
        <v>070000165949</v>
      </c>
      <c r="C102" s="19">
        <v>40715</v>
      </c>
      <c r="D102" s="30">
        <f t="shared" si="5"/>
        <v>40715</v>
      </c>
      <c r="E102" s="36" t="s">
        <v>7824</v>
      </c>
      <c r="F102" s="31" t="str">
        <f t="shared" si="4"/>
        <v>insert into ins_premium_det (premium_rcv_code,assorted_code, rec_amount,premium_rcv_detail_code,remaining_amt, payrec, mode_code,coinsurance_code,class_cd,it_remarks) values</v>
      </c>
      <c r="G102" s="32" t="str">
        <f t="shared" si="6"/>
        <v>('29Oct240041','070000165949','40715',(select max(to_number(i.premium_rcv_detail_code))+1
from ins_premium_det i),'40715','40715','02', '11000003','00','Request by Mr. Saqib Saleem 30-Oct-2024');</v>
      </c>
      <c r="H102" s="33" t="str">
        <f t="shared" si="7"/>
        <v>insert into ins_premium_det (premium_rcv_code,assorted_code, rec_amount,premium_rcv_detail_code,remaining_amt, payrec, mode_code,coinsurance_code,class_cd,it_remarks) values('29Oct240041','070000165949','40715',(select max(to_number(i.premium_rcv_detail_code))+1
from ins_premium_det i),'40715','40715','02', '11000003','00','Request by Mr. Saqib Saleem 30-Oct-2024');</v>
      </c>
    </row>
    <row r="103" spans="1:8" ht="105" x14ac:dyDescent="0.25">
      <c r="A103" s="18" t="s">
        <v>6656</v>
      </c>
      <c r="B103" s="29" t="str">
        <f>VLOOKUP(A103,policy!B:C,2,0)</f>
        <v>070000165838</v>
      </c>
      <c r="C103" s="19">
        <v>52619</v>
      </c>
      <c r="D103" s="30">
        <f t="shared" si="5"/>
        <v>52619</v>
      </c>
      <c r="E103" s="36" t="s">
        <v>7824</v>
      </c>
      <c r="F103" s="31" t="str">
        <f t="shared" si="4"/>
        <v>insert into ins_premium_det (premium_rcv_code,assorted_code, rec_amount,premium_rcv_detail_code,remaining_amt, payrec, mode_code,coinsurance_code,class_cd,it_remarks) values</v>
      </c>
      <c r="G103" s="32" t="str">
        <f t="shared" si="6"/>
        <v>('29Oct240041','070000165838','52619',(select max(to_number(i.premium_rcv_detail_code))+1
from ins_premium_det i),'52619','52619','02', '11000003','00','Request by Mr. Saqib Saleem 30-Oct-2024');</v>
      </c>
      <c r="H103" s="33" t="str">
        <f t="shared" si="7"/>
        <v>insert into ins_premium_det (premium_rcv_code,assorted_code, rec_amount,premium_rcv_detail_code,remaining_amt, payrec, mode_code,coinsurance_code,class_cd,it_remarks) values('29Oct240041','070000165838','52619',(select max(to_number(i.premium_rcv_detail_code))+1
from ins_premium_det i),'52619','52619','02', '11000003','00','Request by Mr. Saqib Saleem 30-Oct-2024');</v>
      </c>
    </row>
    <row r="104" spans="1:8" ht="105" x14ac:dyDescent="0.25">
      <c r="A104" s="18" t="s">
        <v>6657</v>
      </c>
      <c r="B104" s="29" t="str">
        <f>VLOOKUP(A104,policy!B:C,2,0)</f>
        <v>070000165842</v>
      </c>
      <c r="C104" s="19">
        <v>66385</v>
      </c>
      <c r="D104" s="30">
        <f t="shared" si="5"/>
        <v>66385</v>
      </c>
      <c r="E104" s="36" t="s">
        <v>7824</v>
      </c>
      <c r="F104" s="31" t="str">
        <f t="shared" si="4"/>
        <v>insert into ins_premium_det (premium_rcv_code,assorted_code, rec_amount,premium_rcv_detail_code,remaining_amt, payrec, mode_code,coinsurance_code,class_cd,it_remarks) values</v>
      </c>
      <c r="G104" s="32" t="str">
        <f t="shared" si="6"/>
        <v>('29Oct240041','070000165842','66385',(select max(to_number(i.premium_rcv_detail_code))+1
from ins_premium_det i),'66385','66385','02', '11000003','00','Request by Mr. Saqib Saleem 30-Oct-2024');</v>
      </c>
      <c r="H104" s="33" t="str">
        <f t="shared" si="7"/>
        <v>insert into ins_premium_det (premium_rcv_code,assorted_code, rec_amount,premium_rcv_detail_code,remaining_amt, payrec, mode_code,coinsurance_code,class_cd,it_remarks) values('29Oct240041','070000165842','66385',(select max(to_number(i.premium_rcv_detail_code))+1
from ins_premium_det i),'66385','66385','02', '11000003','00','Request by Mr. Saqib Saleem 30-Oct-2024');</v>
      </c>
    </row>
    <row r="105" spans="1:8" ht="105" x14ac:dyDescent="0.25">
      <c r="A105" s="18" t="s">
        <v>6658</v>
      </c>
      <c r="B105" s="29" t="str">
        <f>VLOOKUP(A105,policy!B:C,2,0)</f>
        <v>070000165954</v>
      </c>
      <c r="C105" s="19">
        <v>54000</v>
      </c>
      <c r="D105" s="30">
        <f t="shared" si="5"/>
        <v>54000</v>
      </c>
      <c r="E105" s="36" t="s">
        <v>7824</v>
      </c>
      <c r="F105" s="31" t="str">
        <f t="shared" si="4"/>
        <v>insert into ins_premium_det (premium_rcv_code,assorted_code, rec_amount,premium_rcv_detail_code,remaining_amt, payrec, mode_code,coinsurance_code,class_cd,it_remarks) values</v>
      </c>
      <c r="G105" s="32" t="str">
        <f t="shared" si="6"/>
        <v>('29Oct240041','070000165954','54000',(select max(to_number(i.premium_rcv_detail_code))+1
from ins_premium_det i),'54000','54000','02', '11000003','00','Request by Mr. Saqib Saleem 30-Oct-2024');</v>
      </c>
      <c r="H105" s="33" t="str">
        <f t="shared" si="7"/>
        <v>insert into ins_premium_det (premium_rcv_code,assorted_code, rec_amount,premium_rcv_detail_code,remaining_amt, payrec, mode_code,coinsurance_code,class_cd,it_remarks) values('29Oct240041','070000165954','54000',(select max(to_number(i.premium_rcv_detail_code))+1
from ins_premium_det i),'54000','54000','02', '11000003','00','Request by Mr. Saqib Saleem 30-Oct-2024');</v>
      </c>
    </row>
    <row r="106" spans="1:8" ht="105" x14ac:dyDescent="0.25">
      <c r="A106" s="18" t="s">
        <v>6659</v>
      </c>
      <c r="B106" s="29" t="str">
        <f>VLOOKUP(A106,policy!B:C,2,0)</f>
        <v>070000165843</v>
      </c>
      <c r="C106" s="19">
        <v>65600</v>
      </c>
      <c r="D106" s="30">
        <f t="shared" si="5"/>
        <v>65600</v>
      </c>
      <c r="E106" s="36" t="s">
        <v>7824</v>
      </c>
      <c r="F106" s="31" t="str">
        <f t="shared" si="4"/>
        <v>insert into ins_premium_det (premium_rcv_code,assorted_code, rec_amount,premium_rcv_detail_code,remaining_amt, payrec, mode_code,coinsurance_code,class_cd,it_remarks) values</v>
      </c>
      <c r="G106" s="32" t="str">
        <f t="shared" si="6"/>
        <v>('29Oct240041','070000165843','65600',(select max(to_number(i.premium_rcv_detail_code))+1
from ins_premium_det i),'65600','65600','02', '11000003','00','Request by Mr. Saqib Saleem 30-Oct-2024');</v>
      </c>
      <c r="H106" s="33" t="str">
        <f t="shared" si="7"/>
        <v>insert into ins_premium_det (premium_rcv_code,assorted_code, rec_amount,premium_rcv_detail_code,remaining_amt, payrec, mode_code,coinsurance_code,class_cd,it_remarks) values('29Oct240041','070000165843','65600',(select max(to_number(i.premium_rcv_detail_code))+1
from ins_premium_det i),'65600','65600','02', '11000003','00','Request by Mr. Saqib Saleem 30-Oct-2024');</v>
      </c>
    </row>
    <row r="107" spans="1:8" ht="105" x14ac:dyDescent="0.25">
      <c r="A107" s="18" t="s">
        <v>6660</v>
      </c>
      <c r="B107" s="29" t="str">
        <f>VLOOKUP(A107,policy!B:C,2,0)</f>
        <v>070000165956</v>
      </c>
      <c r="C107" s="19">
        <v>68586</v>
      </c>
      <c r="D107" s="30">
        <f t="shared" si="5"/>
        <v>68586</v>
      </c>
      <c r="E107" s="36" t="s">
        <v>7824</v>
      </c>
      <c r="F107" s="31" t="str">
        <f t="shared" si="4"/>
        <v>insert into ins_premium_det (premium_rcv_code,assorted_code, rec_amount,premium_rcv_detail_code,remaining_amt, payrec, mode_code,coinsurance_code,class_cd,it_remarks) values</v>
      </c>
      <c r="G107" s="32" t="str">
        <f t="shared" si="6"/>
        <v>('29Oct240041','070000165956','68586',(select max(to_number(i.premium_rcv_detail_code))+1
from ins_premium_det i),'68586','68586','02', '11000003','00','Request by Mr. Saqib Saleem 30-Oct-2024');</v>
      </c>
      <c r="H107" s="33" t="str">
        <f t="shared" si="7"/>
        <v>insert into ins_premium_det (premium_rcv_code,assorted_code, rec_amount,premium_rcv_detail_code,remaining_amt, payrec, mode_code,coinsurance_code,class_cd,it_remarks) values('29Oct240041','070000165956','68586',(select max(to_number(i.premium_rcv_detail_code))+1
from ins_premium_det i),'68586','68586','02', '11000003','00','Request by Mr. Saqib Saleem 30-Oct-2024');</v>
      </c>
    </row>
    <row r="108" spans="1:8" ht="105" x14ac:dyDescent="0.25">
      <c r="A108" s="18" t="s">
        <v>6661</v>
      </c>
      <c r="B108" s="29" t="str">
        <f>VLOOKUP(A108,policy!B:C,2,0)</f>
        <v>070000165846</v>
      </c>
      <c r="C108" s="19">
        <v>55250</v>
      </c>
      <c r="D108" s="30">
        <f t="shared" si="5"/>
        <v>55250</v>
      </c>
      <c r="E108" s="36" t="s">
        <v>7824</v>
      </c>
      <c r="F108" s="31" t="str">
        <f t="shared" si="4"/>
        <v>insert into ins_premium_det (premium_rcv_code,assorted_code, rec_amount,premium_rcv_detail_code,remaining_amt, payrec, mode_code,coinsurance_code,class_cd,it_remarks) values</v>
      </c>
      <c r="G108" s="32" t="str">
        <f t="shared" si="6"/>
        <v>('29Oct240041','070000165846','55250',(select max(to_number(i.premium_rcv_detail_code))+1
from ins_premium_det i),'55250','55250','02', '11000003','00','Request by Mr. Saqib Saleem 30-Oct-2024');</v>
      </c>
      <c r="H108" s="33" t="str">
        <f t="shared" si="7"/>
        <v>insert into ins_premium_det (premium_rcv_code,assorted_code, rec_amount,premium_rcv_detail_code,remaining_amt, payrec, mode_code,coinsurance_code,class_cd,it_remarks) values('29Oct240041','070000165846','55250',(select max(to_number(i.premium_rcv_detail_code))+1
from ins_premium_det i),'55250','55250','02', '11000003','00','Request by Mr. Saqib Saleem 30-Oct-2024');</v>
      </c>
    </row>
    <row r="109" spans="1:8" ht="105" x14ac:dyDescent="0.25">
      <c r="A109" s="18" t="s">
        <v>6662</v>
      </c>
      <c r="B109" s="29" t="str">
        <f>VLOOKUP(A109,policy!B:C,2,0)</f>
        <v>070000165960</v>
      </c>
      <c r="C109" s="19">
        <v>90400</v>
      </c>
      <c r="D109" s="30">
        <f t="shared" si="5"/>
        <v>90400</v>
      </c>
      <c r="E109" s="36" t="s">
        <v>7824</v>
      </c>
      <c r="F109" s="31" t="str">
        <f t="shared" si="4"/>
        <v>insert into ins_premium_det (premium_rcv_code,assorted_code, rec_amount,premium_rcv_detail_code,remaining_amt, payrec, mode_code,coinsurance_code,class_cd,it_remarks) values</v>
      </c>
      <c r="G109" s="32" t="str">
        <f t="shared" si="6"/>
        <v>('29Oct240041','070000165960','90400',(select max(to_number(i.premium_rcv_detail_code))+1
from ins_premium_det i),'90400','90400','02', '11000003','00','Request by Mr. Saqib Saleem 30-Oct-2024');</v>
      </c>
      <c r="H109" s="33" t="str">
        <f t="shared" si="7"/>
        <v>insert into ins_premium_det (premium_rcv_code,assorted_code, rec_amount,premium_rcv_detail_code,remaining_amt, payrec, mode_code,coinsurance_code,class_cd,it_remarks) values('29Oct240041','070000165960','90400',(select max(to_number(i.premium_rcv_detail_code))+1
from ins_premium_det i),'90400','90400','02', '11000003','00','Request by Mr. Saqib Saleem 30-Oct-2024');</v>
      </c>
    </row>
    <row r="110" spans="1:8" ht="105" x14ac:dyDescent="0.25">
      <c r="A110" s="18" t="s">
        <v>6663</v>
      </c>
      <c r="B110" s="29" t="str">
        <f>VLOOKUP(A110,policy!B:C,2,0)</f>
        <v>070000165961</v>
      </c>
      <c r="C110" s="19">
        <v>64192</v>
      </c>
      <c r="D110" s="30">
        <f t="shared" si="5"/>
        <v>64192</v>
      </c>
      <c r="E110" s="36" t="s">
        <v>7824</v>
      </c>
      <c r="F110" s="31" t="str">
        <f t="shared" si="4"/>
        <v>insert into ins_premium_det (premium_rcv_code,assorted_code, rec_amount,premium_rcv_detail_code,remaining_amt, payrec, mode_code,coinsurance_code,class_cd,it_remarks) values</v>
      </c>
      <c r="G110" s="32" t="str">
        <f t="shared" si="6"/>
        <v>('29Oct240041','070000165961','64192',(select max(to_number(i.premium_rcv_detail_code))+1
from ins_premium_det i),'64192','64192','02', '11000003','00','Request by Mr. Saqib Saleem 30-Oct-2024');</v>
      </c>
      <c r="H110" s="33" t="str">
        <f t="shared" si="7"/>
        <v>insert into ins_premium_det (premium_rcv_code,assorted_code, rec_amount,premium_rcv_detail_code,remaining_amt, payrec, mode_code,coinsurance_code,class_cd,it_remarks) values('29Oct240041','070000165961','64192',(select max(to_number(i.premium_rcv_detail_code))+1
from ins_premium_det i),'64192','64192','02', '11000003','00','Request by Mr. Saqib Saleem 30-Oct-2024');</v>
      </c>
    </row>
    <row r="111" spans="1:8" ht="105" x14ac:dyDescent="0.25">
      <c r="A111" s="18" t="s">
        <v>6664</v>
      </c>
      <c r="B111" s="29" t="str">
        <f>VLOOKUP(A111,policy!B:C,2,0)</f>
        <v>070000165962</v>
      </c>
      <c r="C111" s="19">
        <v>77839</v>
      </c>
      <c r="D111" s="30">
        <f t="shared" si="5"/>
        <v>77839</v>
      </c>
      <c r="E111" s="36" t="s">
        <v>7824</v>
      </c>
      <c r="F111" s="31" t="str">
        <f t="shared" si="4"/>
        <v>insert into ins_premium_det (premium_rcv_code,assorted_code, rec_amount,premium_rcv_detail_code,remaining_amt, payrec, mode_code,coinsurance_code,class_cd,it_remarks) values</v>
      </c>
      <c r="G111" s="32" t="str">
        <f t="shared" si="6"/>
        <v>('29Oct240041','070000165962','77839',(select max(to_number(i.premium_rcv_detail_code))+1
from ins_premium_det i),'77839','77839','02', '11000003','00','Request by Mr. Saqib Saleem 30-Oct-2024');</v>
      </c>
      <c r="H111" s="33" t="str">
        <f t="shared" si="7"/>
        <v>insert into ins_premium_det (premium_rcv_code,assorted_code, rec_amount,premium_rcv_detail_code,remaining_amt, payrec, mode_code,coinsurance_code,class_cd,it_remarks) values('29Oct240041','070000165962','77839',(select max(to_number(i.premium_rcv_detail_code))+1
from ins_premium_det i),'77839','77839','02', '11000003','00','Request by Mr. Saqib Saleem 30-Oct-2024');</v>
      </c>
    </row>
    <row r="112" spans="1:8" ht="105" x14ac:dyDescent="0.25">
      <c r="A112" s="18" t="s">
        <v>6665</v>
      </c>
      <c r="B112" s="29" t="str">
        <f>VLOOKUP(A112,policy!B:C,2,0)</f>
        <v>070000165963</v>
      </c>
      <c r="C112" s="19">
        <v>87760</v>
      </c>
      <c r="D112" s="30">
        <f t="shared" si="5"/>
        <v>87760</v>
      </c>
      <c r="E112" s="36" t="s">
        <v>7824</v>
      </c>
      <c r="F112" s="31" t="str">
        <f t="shared" si="4"/>
        <v>insert into ins_premium_det (premium_rcv_code,assorted_code, rec_amount,premium_rcv_detail_code,remaining_amt, payrec, mode_code,coinsurance_code,class_cd,it_remarks) values</v>
      </c>
      <c r="G112" s="32" t="str">
        <f t="shared" si="6"/>
        <v>('29Oct240041','070000165963','87760',(select max(to_number(i.premium_rcv_detail_code))+1
from ins_premium_det i),'87760','87760','02', '11000003','00','Request by Mr. Saqib Saleem 30-Oct-2024');</v>
      </c>
      <c r="H112" s="33" t="str">
        <f t="shared" si="7"/>
        <v>insert into ins_premium_det (premium_rcv_code,assorted_code, rec_amount,premium_rcv_detail_code,remaining_amt, payrec, mode_code,coinsurance_code,class_cd,it_remarks) values('29Oct240041','070000165963','87760',(select max(to_number(i.premium_rcv_detail_code))+1
from ins_premium_det i),'87760','87760','02', '11000003','00','Request by Mr. Saqib Saleem 30-Oct-2024');</v>
      </c>
    </row>
    <row r="113" spans="1:8" ht="105" x14ac:dyDescent="0.25">
      <c r="A113" s="18" t="s">
        <v>6666</v>
      </c>
      <c r="B113" s="29" t="str">
        <f>VLOOKUP(A113,policy!B:C,2,0)</f>
        <v>070000165964</v>
      </c>
      <c r="C113" s="19">
        <v>88640</v>
      </c>
      <c r="D113" s="30">
        <f t="shared" si="5"/>
        <v>88640</v>
      </c>
      <c r="E113" s="36" t="s">
        <v>7824</v>
      </c>
      <c r="F113" s="31" t="str">
        <f t="shared" si="4"/>
        <v>insert into ins_premium_det (premium_rcv_code,assorted_code, rec_amount,premium_rcv_detail_code,remaining_amt, payrec, mode_code,coinsurance_code,class_cd,it_remarks) values</v>
      </c>
      <c r="G113" s="32" t="str">
        <f t="shared" si="6"/>
        <v>('29Oct240041','070000165964','88640',(select max(to_number(i.premium_rcv_detail_code))+1
from ins_premium_det i),'88640','88640','02', '11000003','00','Request by Mr. Saqib Saleem 30-Oct-2024');</v>
      </c>
      <c r="H113" s="33" t="str">
        <f t="shared" si="7"/>
        <v>insert into ins_premium_det (premium_rcv_code,assorted_code, rec_amount,premium_rcv_detail_code,remaining_amt, payrec, mode_code,coinsurance_code,class_cd,it_remarks) values('29Oct240041','070000165964','88640',(select max(to_number(i.premium_rcv_detail_code))+1
from ins_premium_det i),'88640','88640','02', '11000003','00','Request by Mr. Saqib Saleem 30-Oct-2024');</v>
      </c>
    </row>
    <row r="114" spans="1:8" ht="105" x14ac:dyDescent="0.25">
      <c r="A114" s="18" t="s">
        <v>6667</v>
      </c>
      <c r="B114" s="29" t="str">
        <f>VLOOKUP(A114,policy!B:C,2,0)</f>
        <v>070000165967</v>
      </c>
      <c r="C114" s="19">
        <v>24735</v>
      </c>
      <c r="D114" s="30">
        <f t="shared" si="5"/>
        <v>24735</v>
      </c>
      <c r="E114" s="36" t="s">
        <v>7824</v>
      </c>
      <c r="F114" s="31" t="str">
        <f t="shared" si="4"/>
        <v>insert into ins_premium_det (premium_rcv_code,assorted_code, rec_amount,premium_rcv_detail_code,remaining_amt, payrec, mode_code,coinsurance_code,class_cd,it_remarks) values</v>
      </c>
      <c r="G114" s="32" t="str">
        <f t="shared" si="6"/>
        <v>('29Oct240041','070000165967','24735',(select max(to_number(i.premium_rcv_detail_code))+1
from ins_premium_det i),'24735','24735','02', '11000003','00','Request by Mr. Saqib Saleem 30-Oct-2024');</v>
      </c>
      <c r="H114" s="33" t="str">
        <f t="shared" si="7"/>
        <v>insert into ins_premium_det (premium_rcv_code,assorted_code, rec_amount,premium_rcv_detail_code,remaining_amt, payrec, mode_code,coinsurance_code,class_cd,it_remarks) values('29Oct240041','070000165967','24735',(select max(to_number(i.premium_rcv_detail_code))+1
from ins_premium_det i),'24735','24735','02', '11000003','00','Request by Mr. Saqib Saleem 30-Oct-2024');</v>
      </c>
    </row>
    <row r="115" spans="1:8" ht="105" x14ac:dyDescent="0.25">
      <c r="A115" s="18" t="s">
        <v>6668</v>
      </c>
      <c r="B115" s="29" t="str">
        <f>VLOOKUP(A115,policy!B:C,2,0)</f>
        <v>070000165968</v>
      </c>
      <c r="C115" s="19">
        <v>14450</v>
      </c>
      <c r="D115" s="30">
        <f t="shared" si="5"/>
        <v>14450</v>
      </c>
      <c r="E115" s="36" t="s">
        <v>7824</v>
      </c>
      <c r="F115" s="31" t="str">
        <f t="shared" si="4"/>
        <v>insert into ins_premium_det (premium_rcv_code,assorted_code, rec_amount,premium_rcv_detail_code,remaining_amt, payrec, mode_code,coinsurance_code,class_cd,it_remarks) values</v>
      </c>
      <c r="G115" s="32" t="str">
        <f t="shared" si="6"/>
        <v>('29Oct240041','070000165968','14450',(select max(to_number(i.premium_rcv_detail_code))+1
from ins_premium_det i),'14450','14450','02', '11000003','00','Request by Mr. Saqib Saleem 30-Oct-2024');</v>
      </c>
      <c r="H115" s="33" t="str">
        <f t="shared" si="7"/>
        <v>insert into ins_premium_det (premium_rcv_code,assorted_code, rec_amount,premium_rcv_detail_code,remaining_amt, payrec, mode_code,coinsurance_code,class_cd,it_remarks) values('29Oct240041','070000165968','14450',(select max(to_number(i.premium_rcv_detail_code))+1
from ins_premium_det i),'14450','14450','02', '11000003','00','Request by Mr. Saqib Saleem 30-Oct-2024');</v>
      </c>
    </row>
    <row r="116" spans="1:8" ht="105" x14ac:dyDescent="0.25">
      <c r="A116" s="18" t="s">
        <v>6669</v>
      </c>
      <c r="B116" s="29" t="str">
        <f>VLOOKUP(A116,policy!B:C,2,0)</f>
        <v>070000165969</v>
      </c>
      <c r="C116" s="19">
        <v>31705</v>
      </c>
      <c r="D116" s="30">
        <f t="shared" si="5"/>
        <v>31705</v>
      </c>
      <c r="E116" s="36" t="s">
        <v>7824</v>
      </c>
      <c r="F116" s="31" t="str">
        <f t="shared" si="4"/>
        <v>insert into ins_premium_det (premium_rcv_code,assorted_code, rec_amount,premium_rcv_detail_code,remaining_amt, payrec, mode_code,coinsurance_code,class_cd,it_remarks) values</v>
      </c>
      <c r="G116" s="32" t="str">
        <f t="shared" si="6"/>
        <v>('29Oct240041','070000165969','31705',(select max(to_number(i.premium_rcv_detail_code))+1
from ins_premium_det i),'31705','31705','02', '11000003','00','Request by Mr. Saqib Saleem 30-Oct-2024');</v>
      </c>
      <c r="H116" s="33" t="str">
        <f t="shared" si="7"/>
        <v>insert into ins_premium_det (premium_rcv_code,assorted_code, rec_amount,premium_rcv_detail_code,remaining_amt, payrec, mode_code,coinsurance_code,class_cd,it_remarks) values('29Oct240041','070000165969','31705',(select max(to_number(i.premium_rcv_detail_code))+1
from ins_premium_det i),'31705','31705','02', '11000003','00','Request by Mr. Saqib Saleem 30-Oct-2024');</v>
      </c>
    </row>
    <row r="117" spans="1:8" ht="105" x14ac:dyDescent="0.25">
      <c r="A117" s="18" t="s">
        <v>6670</v>
      </c>
      <c r="B117" s="29" t="str">
        <f>VLOOKUP(A117,policy!B:C,2,0)</f>
        <v>070000165848</v>
      </c>
      <c r="C117" s="19">
        <v>44984</v>
      </c>
      <c r="D117" s="30">
        <f t="shared" si="5"/>
        <v>44984</v>
      </c>
      <c r="E117" s="36" t="s">
        <v>7824</v>
      </c>
      <c r="F117" s="31" t="str">
        <f t="shared" si="4"/>
        <v>insert into ins_premium_det (premium_rcv_code,assorted_code, rec_amount,premium_rcv_detail_code,remaining_amt, payrec, mode_code,coinsurance_code,class_cd,it_remarks) values</v>
      </c>
      <c r="G117" s="32" t="str">
        <f t="shared" si="6"/>
        <v>('29Oct240041','070000165848','44984',(select max(to_number(i.premium_rcv_detail_code))+1
from ins_premium_det i),'44984','44984','02', '11000003','00','Request by Mr. Saqib Saleem 30-Oct-2024');</v>
      </c>
      <c r="H117" s="33" t="str">
        <f t="shared" si="7"/>
        <v>insert into ins_premium_det (premium_rcv_code,assorted_code, rec_amount,premium_rcv_detail_code,remaining_amt, payrec, mode_code,coinsurance_code,class_cd,it_remarks) values('29Oct240041','070000165848','44984',(select max(to_number(i.premium_rcv_detail_code))+1
from ins_premium_det i),'44984','44984','02', '11000003','00','Request by Mr. Saqib Saleem 30-Oct-2024');</v>
      </c>
    </row>
    <row r="118" spans="1:8" ht="105" x14ac:dyDescent="0.25">
      <c r="A118" s="18" t="s">
        <v>6671</v>
      </c>
      <c r="B118" s="29" t="str">
        <f>VLOOKUP(A118,policy!B:C,2,0)</f>
        <v>070000165850</v>
      </c>
      <c r="C118" s="19">
        <v>58500</v>
      </c>
      <c r="D118" s="30">
        <f t="shared" si="5"/>
        <v>58500</v>
      </c>
      <c r="E118" s="36" t="s">
        <v>7824</v>
      </c>
      <c r="F118" s="31" t="str">
        <f t="shared" si="4"/>
        <v>insert into ins_premium_det (premium_rcv_code,assorted_code, rec_amount,premium_rcv_detail_code,remaining_amt, payrec, mode_code,coinsurance_code,class_cd,it_remarks) values</v>
      </c>
      <c r="G118" s="32" t="str">
        <f t="shared" si="6"/>
        <v>('29Oct240041','070000165850','58500',(select max(to_number(i.premium_rcv_detail_code))+1
from ins_premium_det i),'58500','58500','02', '11000003','00','Request by Mr. Saqib Saleem 30-Oct-2024');</v>
      </c>
      <c r="H118" s="33" t="str">
        <f t="shared" si="7"/>
        <v>insert into ins_premium_det (premium_rcv_code,assorted_code, rec_amount,premium_rcv_detail_code,remaining_amt, payrec, mode_code,coinsurance_code,class_cd,it_remarks) values('29Oct240041','070000165850','58500',(select max(to_number(i.premium_rcv_detail_code))+1
from ins_premium_det i),'58500','58500','02', '11000003','00','Request by Mr. Saqib Saleem 30-Oct-2024');</v>
      </c>
    </row>
    <row r="119" spans="1:8" ht="105" x14ac:dyDescent="0.25">
      <c r="A119" s="18" t="s">
        <v>6672</v>
      </c>
      <c r="B119" s="29" t="str">
        <f>VLOOKUP(A119,policy!B:C,2,0)</f>
        <v>070000165972</v>
      </c>
      <c r="C119" s="19">
        <v>62819</v>
      </c>
      <c r="D119" s="30">
        <f t="shared" si="5"/>
        <v>62819</v>
      </c>
      <c r="E119" s="36" t="s">
        <v>7824</v>
      </c>
      <c r="F119" s="31" t="str">
        <f t="shared" si="4"/>
        <v>insert into ins_premium_det (premium_rcv_code,assorted_code, rec_amount,premium_rcv_detail_code,remaining_amt, payrec, mode_code,coinsurance_code,class_cd,it_remarks) values</v>
      </c>
      <c r="G119" s="32" t="str">
        <f t="shared" si="6"/>
        <v>('29Oct240041','070000165972','62819',(select max(to_number(i.premium_rcv_detail_code))+1
from ins_premium_det i),'62819','62819','02', '11000003','00','Request by Mr. Saqib Saleem 30-Oct-2024');</v>
      </c>
      <c r="H119" s="33" t="str">
        <f t="shared" si="7"/>
        <v>insert into ins_premium_det (premium_rcv_code,assorted_code, rec_amount,premium_rcv_detail_code,remaining_amt, payrec, mode_code,coinsurance_code,class_cd,it_remarks) values('29Oct240041','070000165972','62819',(select max(to_number(i.premium_rcv_detail_code))+1
from ins_premium_det i),'62819','62819','02', '11000003','00','Request by Mr. Saqib Saleem 30-Oct-2024');</v>
      </c>
    </row>
    <row r="120" spans="1:8" ht="105" x14ac:dyDescent="0.25">
      <c r="A120" s="18" t="s">
        <v>6673</v>
      </c>
      <c r="B120" s="29" t="str">
        <f>VLOOKUP(A120,policy!B:C,2,0)</f>
        <v>070000165973</v>
      </c>
      <c r="C120" s="19">
        <v>21000</v>
      </c>
      <c r="D120" s="30">
        <f t="shared" si="5"/>
        <v>21000</v>
      </c>
      <c r="E120" s="36" t="s">
        <v>7824</v>
      </c>
      <c r="F120" s="31" t="str">
        <f t="shared" si="4"/>
        <v>insert into ins_premium_det (premium_rcv_code,assorted_code, rec_amount,premium_rcv_detail_code,remaining_amt, payrec, mode_code,coinsurance_code,class_cd,it_remarks) values</v>
      </c>
      <c r="G120" s="32" t="str">
        <f t="shared" si="6"/>
        <v>('29Oct240041','070000165973','21000',(select max(to_number(i.premium_rcv_detail_code))+1
from ins_premium_det i),'21000','21000','02', '11000003','00','Request by Mr. Saqib Saleem 30-Oct-2024');</v>
      </c>
      <c r="H120" s="33" t="str">
        <f t="shared" si="7"/>
        <v>insert into ins_premium_det (premium_rcv_code,assorted_code, rec_amount,premium_rcv_detail_code,remaining_amt, payrec, mode_code,coinsurance_code,class_cd,it_remarks) values('29Oct240041','070000165973','21000',(select max(to_number(i.premium_rcv_detail_code))+1
from ins_premium_det i),'21000','21000','02', '11000003','00','Request by Mr. Saqib Saleem 30-Oct-2024');</v>
      </c>
    </row>
    <row r="121" spans="1:8" ht="105" x14ac:dyDescent="0.25">
      <c r="A121" s="18" t="s">
        <v>6674</v>
      </c>
      <c r="B121" s="29" t="str">
        <f>VLOOKUP(A121,policy!B:C,2,0)</f>
        <v>070000165974</v>
      </c>
      <c r="C121" s="19">
        <v>44625</v>
      </c>
      <c r="D121" s="30">
        <f t="shared" si="5"/>
        <v>44625</v>
      </c>
      <c r="E121" s="36" t="s">
        <v>7824</v>
      </c>
      <c r="F121" s="31" t="str">
        <f t="shared" si="4"/>
        <v>insert into ins_premium_det (premium_rcv_code,assorted_code, rec_amount,premium_rcv_detail_code,remaining_amt, payrec, mode_code,coinsurance_code,class_cd,it_remarks) values</v>
      </c>
      <c r="G121" s="32" t="str">
        <f t="shared" si="6"/>
        <v>('29Oct240041','070000165974','44625',(select max(to_number(i.premium_rcv_detail_code))+1
from ins_premium_det i),'44625','44625','02', '11000003','00','Request by Mr. Saqib Saleem 30-Oct-2024');</v>
      </c>
      <c r="H121" s="33" t="str">
        <f t="shared" si="7"/>
        <v>insert into ins_premium_det (premium_rcv_code,assorted_code, rec_amount,premium_rcv_detail_code,remaining_amt, payrec, mode_code,coinsurance_code,class_cd,it_remarks) values('29Oct240041','070000165974','44625',(select max(to_number(i.premium_rcv_detail_code))+1
from ins_premium_det i),'44625','44625','02', '11000003','00','Request by Mr. Saqib Saleem 30-Oct-2024');</v>
      </c>
    </row>
    <row r="122" spans="1:8" ht="105" x14ac:dyDescent="0.25">
      <c r="A122" s="18" t="s">
        <v>6675</v>
      </c>
      <c r="B122" s="29" t="str">
        <f>VLOOKUP(A122,policy!B:C,2,0)</f>
        <v>070000165975</v>
      </c>
      <c r="C122" s="19">
        <v>133786</v>
      </c>
      <c r="D122" s="30">
        <f t="shared" si="5"/>
        <v>133786</v>
      </c>
      <c r="E122" s="36" t="s">
        <v>7824</v>
      </c>
      <c r="F122" s="31" t="str">
        <f t="shared" si="4"/>
        <v>insert into ins_premium_det (premium_rcv_code,assorted_code, rec_amount,premium_rcv_detail_code,remaining_amt, payrec, mode_code,coinsurance_code,class_cd,it_remarks) values</v>
      </c>
      <c r="G122" s="32" t="str">
        <f t="shared" si="6"/>
        <v>('29Oct240041','070000165975','133786',(select max(to_number(i.premium_rcv_detail_code))+1
from ins_premium_det i),'133786','133786','02', '11000003','00','Request by Mr. Saqib Saleem 30-Oct-2024');</v>
      </c>
      <c r="H122" s="33" t="str">
        <f t="shared" si="7"/>
        <v>insert into ins_premium_det (premium_rcv_code,assorted_code, rec_amount,premium_rcv_detail_code,remaining_amt, payrec, mode_code,coinsurance_code,class_cd,it_remarks) values('29Oct240041','070000165975','133786',(select max(to_number(i.premium_rcv_detail_code))+1
from ins_premium_det i),'133786','133786','02', '11000003','00','Request by Mr. Saqib Saleem 30-Oct-2024');</v>
      </c>
    </row>
    <row r="123" spans="1:8" ht="105" x14ac:dyDescent="0.25">
      <c r="A123" s="18" t="s">
        <v>6676</v>
      </c>
      <c r="B123" s="29" t="str">
        <f>VLOOKUP(A123,policy!B:C,2,0)</f>
        <v>070000165852</v>
      </c>
      <c r="C123" s="19">
        <v>50405</v>
      </c>
      <c r="D123" s="30">
        <f t="shared" si="5"/>
        <v>50405</v>
      </c>
      <c r="E123" s="36" t="s">
        <v>7824</v>
      </c>
      <c r="F123" s="31" t="str">
        <f t="shared" si="4"/>
        <v>insert into ins_premium_det (premium_rcv_code,assorted_code, rec_amount,premium_rcv_detail_code,remaining_amt, payrec, mode_code,coinsurance_code,class_cd,it_remarks) values</v>
      </c>
      <c r="G123" s="32" t="str">
        <f t="shared" si="6"/>
        <v>('29Oct240041','070000165852','50405',(select max(to_number(i.premium_rcv_detail_code))+1
from ins_premium_det i),'50405','50405','02', '11000003','00','Request by Mr. Saqib Saleem 30-Oct-2024');</v>
      </c>
      <c r="H123" s="33" t="str">
        <f t="shared" si="7"/>
        <v>insert into ins_premium_det (premium_rcv_code,assorted_code, rec_amount,premium_rcv_detail_code,remaining_amt, payrec, mode_code,coinsurance_code,class_cd,it_remarks) values('29Oct240041','070000165852','50405',(select max(to_number(i.premium_rcv_detail_code))+1
from ins_premium_det i),'50405','50405','02', '11000003','00','Request by Mr. Saqib Saleem 30-Oct-2024');</v>
      </c>
    </row>
    <row r="124" spans="1:8" ht="105" x14ac:dyDescent="0.25">
      <c r="A124" s="18" t="s">
        <v>6677</v>
      </c>
      <c r="B124" s="29" t="str">
        <f>VLOOKUP(A124,policy!B:C,2,0)</f>
        <v>070000165853</v>
      </c>
      <c r="C124" s="19">
        <v>56000</v>
      </c>
      <c r="D124" s="30">
        <f t="shared" si="5"/>
        <v>56000</v>
      </c>
      <c r="E124" s="36" t="s">
        <v>7824</v>
      </c>
      <c r="F124" s="31" t="str">
        <f t="shared" si="4"/>
        <v>insert into ins_premium_det (premium_rcv_code,assorted_code, rec_amount,premium_rcv_detail_code,remaining_amt, payrec, mode_code,coinsurance_code,class_cd,it_remarks) values</v>
      </c>
      <c r="G124" s="32" t="str">
        <f t="shared" si="6"/>
        <v>('29Oct240041','070000165853','56000',(select max(to_number(i.premium_rcv_detail_code))+1
from ins_premium_det i),'56000','56000','02', '11000003','00','Request by Mr. Saqib Saleem 30-Oct-2024');</v>
      </c>
      <c r="H124" s="33" t="str">
        <f t="shared" si="7"/>
        <v>insert into ins_premium_det (premium_rcv_code,assorted_code, rec_amount,premium_rcv_detail_code,remaining_amt, payrec, mode_code,coinsurance_code,class_cd,it_remarks) values('29Oct240041','070000165853','56000',(select max(to_number(i.premium_rcv_detail_code))+1
from ins_premium_det i),'56000','56000','02', '11000003','00','Request by Mr. Saqib Saleem 30-Oct-2024');</v>
      </c>
    </row>
    <row r="125" spans="1:8" ht="105" x14ac:dyDescent="0.25">
      <c r="A125" s="18" t="s">
        <v>6678</v>
      </c>
      <c r="B125" s="29" t="str">
        <f>VLOOKUP(A125,policy!B:C,2,0)</f>
        <v>070000165854</v>
      </c>
      <c r="C125" s="19">
        <v>40800</v>
      </c>
      <c r="D125" s="30">
        <f t="shared" si="5"/>
        <v>40800</v>
      </c>
      <c r="E125" s="36" t="s">
        <v>7824</v>
      </c>
      <c r="F125" s="31" t="str">
        <f t="shared" si="4"/>
        <v>insert into ins_premium_det (premium_rcv_code,assorted_code, rec_amount,premium_rcv_detail_code,remaining_amt, payrec, mode_code,coinsurance_code,class_cd,it_remarks) values</v>
      </c>
      <c r="G125" s="32" t="str">
        <f t="shared" si="6"/>
        <v>('29Oct240041','070000165854','40800',(select max(to_number(i.premium_rcv_detail_code))+1
from ins_premium_det i),'40800','40800','02', '11000003','00','Request by Mr. Saqib Saleem 30-Oct-2024');</v>
      </c>
      <c r="H125" s="33" t="str">
        <f t="shared" si="7"/>
        <v>insert into ins_premium_det (premium_rcv_code,assorted_code, rec_amount,premium_rcv_detail_code,remaining_amt, payrec, mode_code,coinsurance_code,class_cd,it_remarks) values('29Oct240041','070000165854','40800',(select max(to_number(i.premium_rcv_detail_code))+1
from ins_premium_det i),'40800','40800','02', '11000003','00','Request by Mr. Saqib Saleem 30-Oct-2024');</v>
      </c>
    </row>
    <row r="126" spans="1:8" ht="105" x14ac:dyDescent="0.25">
      <c r="A126" s="18" t="s">
        <v>6679</v>
      </c>
      <c r="B126" s="29" t="str">
        <f>VLOOKUP(A126,policy!B:C,2,0)</f>
        <v>070000165855</v>
      </c>
      <c r="C126" s="19">
        <v>31200</v>
      </c>
      <c r="D126" s="30">
        <f t="shared" si="5"/>
        <v>31200</v>
      </c>
      <c r="E126" s="36" t="s">
        <v>7824</v>
      </c>
      <c r="F126" s="31" t="str">
        <f t="shared" si="4"/>
        <v>insert into ins_premium_det (premium_rcv_code,assorted_code, rec_amount,premium_rcv_detail_code,remaining_amt, payrec, mode_code,coinsurance_code,class_cd,it_remarks) values</v>
      </c>
      <c r="G126" s="32" t="str">
        <f t="shared" si="6"/>
        <v>('29Oct240041','070000165855','31200',(select max(to_number(i.premium_rcv_detail_code))+1
from ins_premium_det i),'31200','31200','02', '11000003','00','Request by Mr. Saqib Saleem 30-Oct-2024');</v>
      </c>
      <c r="H126" s="33" t="str">
        <f t="shared" si="7"/>
        <v>insert into ins_premium_det (premium_rcv_code,assorted_code, rec_amount,premium_rcv_detail_code,remaining_amt, payrec, mode_code,coinsurance_code,class_cd,it_remarks) values('29Oct240041','070000165855','31200',(select max(to_number(i.premium_rcv_detail_code))+1
from ins_premium_det i),'31200','31200','02', '11000003','00','Request by Mr. Saqib Saleem 30-Oct-2024');</v>
      </c>
    </row>
    <row r="127" spans="1:8" ht="105" x14ac:dyDescent="0.25">
      <c r="A127" s="18" t="s">
        <v>6680</v>
      </c>
      <c r="B127" s="29" t="str">
        <f>VLOOKUP(A127,policy!B:C,2,0)</f>
        <v>070000165856</v>
      </c>
      <c r="C127" s="19">
        <v>46495</v>
      </c>
      <c r="D127" s="30">
        <f t="shared" si="5"/>
        <v>46495</v>
      </c>
      <c r="E127" s="36" t="s">
        <v>7824</v>
      </c>
      <c r="F127" s="31" t="str">
        <f t="shared" si="4"/>
        <v>insert into ins_premium_det (premium_rcv_code,assorted_code, rec_amount,premium_rcv_detail_code,remaining_amt, payrec, mode_code,coinsurance_code,class_cd,it_remarks) values</v>
      </c>
      <c r="G127" s="32" t="str">
        <f t="shared" si="6"/>
        <v>('29Oct240041','070000165856','46495',(select max(to_number(i.premium_rcv_detail_code))+1
from ins_premium_det i),'46495','46495','02', '11000003','00','Request by Mr. Saqib Saleem 30-Oct-2024');</v>
      </c>
      <c r="H127" s="33" t="str">
        <f t="shared" si="7"/>
        <v>insert into ins_premium_det (premium_rcv_code,assorted_code, rec_amount,premium_rcv_detail_code,remaining_amt, payrec, mode_code,coinsurance_code,class_cd,it_remarks) values('29Oct240041','070000165856','46495',(select max(to_number(i.premium_rcv_detail_code))+1
from ins_premium_det i),'46495','46495','02', '11000003','00','Request by Mr. Saqib Saleem 30-Oct-2024');</v>
      </c>
    </row>
    <row r="128" spans="1:8" ht="105" x14ac:dyDescent="0.25">
      <c r="A128" s="18" t="s">
        <v>6681</v>
      </c>
      <c r="B128" s="29" t="str">
        <f>VLOOKUP(A128,policy!B:C,2,0)</f>
        <v>070000165857</v>
      </c>
      <c r="C128" s="19">
        <v>30400</v>
      </c>
      <c r="D128" s="30">
        <f t="shared" si="5"/>
        <v>30400</v>
      </c>
      <c r="E128" s="36" t="s">
        <v>7824</v>
      </c>
      <c r="F128" s="31" t="str">
        <f t="shared" si="4"/>
        <v>insert into ins_premium_det (premium_rcv_code,assorted_code, rec_amount,premium_rcv_detail_code,remaining_amt, payrec, mode_code,coinsurance_code,class_cd,it_remarks) values</v>
      </c>
      <c r="G128" s="32" t="str">
        <f t="shared" si="6"/>
        <v>('29Oct240041','070000165857','30400',(select max(to_number(i.premium_rcv_detail_code))+1
from ins_premium_det i),'30400','30400','02', '11000003','00','Request by Mr. Saqib Saleem 30-Oct-2024');</v>
      </c>
      <c r="H128" s="33" t="str">
        <f t="shared" si="7"/>
        <v>insert into ins_premium_det (premium_rcv_code,assorted_code, rec_amount,premium_rcv_detail_code,remaining_amt, payrec, mode_code,coinsurance_code,class_cd,it_remarks) values('29Oct240041','070000165857','30400',(select max(to_number(i.premium_rcv_detail_code))+1
from ins_premium_det i),'30400','30400','02', '11000003','00','Request by Mr. Saqib Saleem 30-Oct-2024');</v>
      </c>
    </row>
    <row r="129" spans="1:8" ht="105" x14ac:dyDescent="0.25">
      <c r="A129" s="18" t="s">
        <v>6682</v>
      </c>
      <c r="B129" s="29" t="str">
        <f>VLOOKUP(A129,policy!B:C,2,0)</f>
        <v>070000165858</v>
      </c>
      <c r="C129" s="19">
        <v>32300</v>
      </c>
      <c r="D129" s="30">
        <f t="shared" si="5"/>
        <v>32300</v>
      </c>
      <c r="E129" s="36" t="s">
        <v>7824</v>
      </c>
      <c r="F129" s="31" t="str">
        <f t="shared" si="4"/>
        <v>insert into ins_premium_det (premium_rcv_code,assorted_code, rec_amount,premium_rcv_detail_code,remaining_amt, payrec, mode_code,coinsurance_code,class_cd,it_remarks) values</v>
      </c>
      <c r="G129" s="32" t="str">
        <f t="shared" si="6"/>
        <v>('29Oct240041','070000165858','32300',(select max(to_number(i.premium_rcv_detail_code))+1
from ins_premium_det i),'32300','32300','02', '11000003','00','Request by Mr. Saqib Saleem 30-Oct-2024');</v>
      </c>
      <c r="H129" s="33" t="str">
        <f t="shared" si="7"/>
        <v>insert into ins_premium_det (premium_rcv_code,assorted_code, rec_amount,premium_rcv_detail_code,remaining_amt, payrec, mode_code,coinsurance_code,class_cd,it_remarks) values('29Oct240041','070000165858','32300',(select max(to_number(i.premium_rcv_detail_code))+1
from ins_premium_det i),'32300','32300','02', '11000003','00','Request by Mr. Saqib Saleem 30-Oct-2024');</v>
      </c>
    </row>
    <row r="130" spans="1:8" ht="105" x14ac:dyDescent="0.25">
      <c r="A130" s="18" t="s">
        <v>6683</v>
      </c>
      <c r="B130" s="29" t="str">
        <f>VLOOKUP(A130,policy!B:C,2,0)</f>
        <v>070000165864</v>
      </c>
      <c r="C130" s="19">
        <v>32470</v>
      </c>
      <c r="D130" s="30">
        <f t="shared" si="5"/>
        <v>32470</v>
      </c>
      <c r="E130" s="36" t="s">
        <v>7824</v>
      </c>
      <c r="F130" s="31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32" t="str">
        <f t="shared" si="6"/>
        <v>('29Oct240041','070000165864','32470',(select max(to_number(i.premium_rcv_detail_code))+1
from ins_premium_det i),'32470','32470','02', '11000003','00','Request by Mr. Saqib Saleem 30-Oct-2024');</v>
      </c>
      <c r="H130" s="33" t="str">
        <f t="shared" si="7"/>
        <v>insert into ins_premium_det (premium_rcv_code,assorted_code, rec_amount,premium_rcv_detail_code,remaining_amt, payrec, mode_code,coinsurance_code,class_cd,it_remarks) values('29Oct240041','070000165864','32470',(select max(to_number(i.premium_rcv_detail_code))+1
from ins_premium_det i),'32470','32470','02', '11000003','00','Request by Mr. Saqib Saleem 30-Oct-2024');</v>
      </c>
    </row>
    <row r="131" spans="1:8" ht="105" x14ac:dyDescent="0.25">
      <c r="A131" s="18" t="s">
        <v>6684</v>
      </c>
      <c r="B131" s="29" t="str">
        <f>VLOOKUP(A131,policy!B:C,2,0)</f>
        <v>070000165867</v>
      </c>
      <c r="C131" s="19">
        <v>22950</v>
      </c>
      <c r="D131" s="30">
        <f t="shared" ref="D131:D194" si="9">ROUND(C131,0)</f>
        <v>22950</v>
      </c>
      <c r="E131" s="36" t="s">
        <v>7824</v>
      </c>
      <c r="F131" s="31" t="str">
        <f t="shared" si="8"/>
        <v>insert into ins_premium_det (premium_rcv_code,assorted_code, rec_amount,premium_rcv_detail_code,remaining_amt, payrec, mode_code,coinsurance_code,class_cd,it_remarks) values</v>
      </c>
      <c r="G131" s="32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30-Oct-2024');"</f>
        <v>('29Oct240041','070000165867','22950',(select max(to_number(i.premium_rcv_detail_code))+1
from ins_premium_det i),'22950','22950','02', '11000003','00','Request by Mr. Saqib Saleem 30-Oct-2024');</v>
      </c>
      <c r="H131" s="33" t="str">
        <f t="shared" ref="H131:H194" si="11">F131&amp;G131</f>
        <v>insert into ins_premium_det (premium_rcv_code,assorted_code, rec_amount,premium_rcv_detail_code,remaining_amt, payrec, mode_code,coinsurance_code,class_cd,it_remarks) values('29Oct240041','070000165867','22950',(select max(to_number(i.premium_rcv_detail_code))+1
from ins_premium_det i),'22950','22950','02', '11000003','00','Request by Mr. Saqib Saleem 30-Oct-2024');</v>
      </c>
    </row>
    <row r="132" spans="1:8" ht="105" x14ac:dyDescent="0.25">
      <c r="A132" s="18" t="s">
        <v>6685</v>
      </c>
      <c r="B132" s="29" t="str">
        <f>VLOOKUP(A132,policy!B:C,2,0)</f>
        <v>070000165868</v>
      </c>
      <c r="C132" s="19">
        <v>33150</v>
      </c>
      <c r="D132" s="30">
        <f t="shared" si="9"/>
        <v>33150</v>
      </c>
      <c r="E132" s="36" t="s">
        <v>7824</v>
      </c>
      <c r="F132" s="31" t="str">
        <f t="shared" si="8"/>
        <v>insert into ins_premium_det (premium_rcv_code,assorted_code, rec_amount,premium_rcv_detail_code,remaining_amt, payrec, mode_code,coinsurance_code,class_cd,it_remarks) values</v>
      </c>
      <c r="G132" s="32" t="str">
        <f t="shared" si="10"/>
        <v>('29Oct240041','070000165868','33150',(select max(to_number(i.premium_rcv_detail_code))+1
from ins_premium_det i),'33150','33150','02', '11000003','00','Request by Mr. Saqib Saleem 30-Oct-2024');</v>
      </c>
      <c r="H132" s="33" t="str">
        <f t="shared" si="11"/>
        <v>insert into ins_premium_det (premium_rcv_code,assorted_code, rec_amount,premium_rcv_detail_code,remaining_amt, payrec, mode_code,coinsurance_code,class_cd,it_remarks) values('29Oct240041','070000165868','33150',(select max(to_number(i.premium_rcv_detail_code))+1
from ins_premium_det i),'33150','33150','02', '11000003','00','Request by Mr. Saqib Saleem 30-Oct-2024');</v>
      </c>
    </row>
    <row r="133" spans="1:8" ht="105" x14ac:dyDescent="0.25">
      <c r="A133" s="18" t="s">
        <v>6686</v>
      </c>
      <c r="B133" s="29" t="str">
        <f>VLOOKUP(A133,policy!B:C,2,0)</f>
        <v>070000165985</v>
      </c>
      <c r="C133" s="19">
        <v>27234</v>
      </c>
      <c r="D133" s="30">
        <f t="shared" si="9"/>
        <v>27234</v>
      </c>
      <c r="E133" s="36" t="s">
        <v>7824</v>
      </c>
      <c r="F133" s="31" t="str">
        <f t="shared" si="8"/>
        <v>insert into ins_premium_det (premium_rcv_code,assorted_code, rec_amount,premium_rcv_detail_code,remaining_amt, payrec, mode_code,coinsurance_code,class_cd,it_remarks) values</v>
      </c>
      <c r="G133" s="32" t="str">
        <f t="shared" si="10"/>
        <v>('29Oct240041','070000165985','27234',(select max(to_number(i.premium_rcv_detail_code))+1
from ins_premium_det i),'27234','27234','02', '11000003','00','Request by Mr. Saqib Saleem 30-Oct-2024');</v>
      </c>
      <c r="H133" s="33" t="str">
        <f t="shared" si="11"/>
        <v>insert into ins_premium_det (premium_rcv_code,assorted_code, rec_amount,premium_rcv_detail_code,remaining_amt, payrec, mode_code,coinsurance_code,class_cd,it_remarks) values('29Oct240041','070000165985','27234',(select max(to_number(i.premium_rcv_detail_code))+1
from ins_premium_det i),'27234','27234','02', '11000003','00','Request by Mr. Saqib Saleem 30-Oct-2024');</v>
      </c>
    </row>
    <row r="134" spans="1:8" ht="105" x14ac:dyDescent="0.25">
      <c r="A134" s="18" t="s">
        <v>6687</v>
      </c>
      <c r="B134" s="29" t="str">
        <f>VLOOKUP(A134,policy!B:C,2,0)</f>
        <v>070000165987</v>
      </c>
      <c r="C134" s="19">
        <v>37111</v>
      </c>
      <c r="D134" s="30">
        <f t="shared" si="9"/>
        <v>37111</v>
      </c>
      <c r="E134" s="36" t="s">
        <v>7824</v>
      </c>
      <c r="F134" s="31" t="str">
        <f t="shared" si="8"/>
        <v>insert into ins_premium_det (premium_rcv_code,assorted_code, rec_amount,premium_rcv_detail_code,remaining_amt, payrec, mode_code,coinsurance_code,class_cd,it_remarks) values</v>
      </c>
      <c r="G134" s="32" t="str">
        <f t="shared" si="10"/>
        <v>('29Oct240041','070000165987','37111',(select max(to_number(i.premium_rcv_detail_code))+1
from ins_premium_det i),'37111','37111','02', '11000003','00','Request by Mr. Saqib Saleem 30-Oct-2024');</v>
      </c>
      <c r="H134" s="33" t="str">
        <f t="shared" si="11"/>
        <v>insert into ins_premium_det (premium_rcv_code,assorted_code, rec_amount,premium_rcv_detail_code,remaining_amt, payrec, mode_code,coinsurance_code,class_cd,it_remarks) values('29Oct240041','070000165987','37111',(select max(to_number(i.premium_rcv_detail_code))+1
from ins_premium_det i),'37111','37111','02', '11000003','00','Request by Mr. Saqib Saleem 30-Oct-2024');</v>
      </c>
    </row>
    <row r="135" spans="1:8" ht="105" x14ac:dyDescent="0.25">
      <c r="A135" s="18" t="s">
        <v>6688</v>
      </c>
      <c r="B135" s="29" t="str">
        <f>VLOOKUP(A135,policy!B:C,2,0)</f>
        <v>070000165988</v>
      </c>
      <c r="C135" s="19">
        <v>65348</v>
      </c>
      <c r="D135" s="30">
        <f t="shared" si="9"/>
        <v>65348</v>
      </c>
      <c r="E135" s="36" t="s">
        <v>7824</v>
      </c>
      <c r="F135" s="31" t="str">
        <f t="shared" si="8"/>
        <v>insert into ins_premium_det (premium_rcv_code,assorted_code, rec_amount,premium_rcv_detail_code,remaining_amt, payrec, mode_code,coinsurance_code,class_cd,it_remarks) values</v>
      </c>
      <c r="G135" s="32" t="str">
        <f t="shared" si="10"/>
        <v>('29Oct240041','070000165988','65348',(select max(to_number(i.premium_rcv_detail_code))+1
from ins_premium_det i),'65348','65348','02', '11000003','00','Request by Mr. Saqib Saleem 30-Oct-2024');</v>
      </c>
      <c r="H135" s="33" t="str">
        <f t="shared" si="11"/>
        <v>insert into ins_premium_det (premium_rcv_code,assorted_code, rec_amount,premium_rcv_detail_code,remaining_amt, payrec, mode_code,coinsurance_code,class_cd,it_remarks) values('29Oct240041','070000165988','65348',(select max(to_number(i.premium_rcv_detail_code))+1
from ins_premium_det i),'65348','65348','02', '11000003','00','Request by Mr. Saqib Saleem 30-Oct-2024');</v>
      </c>
    </row>
    <row r="136" spans="1:8" ht="105" x14ac:dyDescent="0.25">
      <c r="A136" s="18" t="s">
        <v>6689</v>
      </c>
      <c r="B136" s="29" t="str">
        <f>VLOOKUP(A136,policy!B:C,2,0)</f>
        <v>070000165872</v>
      </c>
      <c r="C136" s="19">
        <v>25500</v>
      </c>
      <c r="D136" s="30">
        <f t="shared" si="9"/>
        <v>25500</v>
      </c>
      <c r="E136" s="36" t="s">
        <v>7824</v>
      </c>
      <c r="F136" s="31" t="str">
        <f t="shared" si="8"/>
        <v>insert into ins_premium_det (premium_rcv_code,assorted_code, rec_amount,premium_rcv_detail_code,remaining_amt, payrec, mode_code,coinsurance_code,class_cd,it_remarks) values</v>
      </c>
      <c r="G136" s="32" t="str">
        <f t="shared" si="10"/>
        <v>('29Oct240041','070000165872','25500',(select max(to_number(i.premium_rcv_detail_code))+1
from ins_premium_det i),'25500','25500','02', '11000003','00','Request by Mr. Saqib Saleem 30-Oct-2024');</v>
      </c>
      <c r="H136" s="33" t="str">
        <f t="shared" si="11"/>
        <v>insert into ins_premium_det (premium_rcv_code,assorted_code, rec_amount,premium_rcv_detail_code,remaining_amt, payrec, mode_code,coinsurance_code,class_cd,it_remarks) values('29Oct240041','070000165872','25500',(select max(to_number(i.premium_rcv_detail_code))+1
from ins_premium_det i),'25500','25500','02', '11000003','00','Request by Mr. Saqib Saleem 30-Oct-2024');</v>
      </c>
    </row>
    <row r="137" spans="1:8" ht="105" x14ac:dyDescent="0.25">
      <c r="A137" s="18" t="s">
        <v>6690</v>
      </c>
      <c r="B137" s="29" t="str">
        <f>VLOOKUP(A137,policy!B:C,2,0)</f>
        <v>070000165874</v>
      </c>
      <c r="C137" s="19">
        <v>27285</v>
      </c>
      <c r="D137" s="30">
        <f t="shared" si="9"/>
        <v>27285</v>
      </c>
      <c r="E137" s="36" t="s">
        <v>7824</v>
      </c>
      <c r="F137" s="31" t="str">
        <f t="shared" si="8"/>
        <v>insert into ins_premium_det (premium_rcv_code,assorted_code, rec_amount,premium_rcv_detail_code,remaining_amt, payrec, mode_code,coinsurance_code,class_cd,it_remarks) values</v>
      </c>
      <c r="G137" s="32" t="str">
        <f t="shared" si="10"/>
        <v>('29Oct240041','070000165874','27285',(select max(to_number(i.premium_rcv_detail_code))+1
from ins_premium_det i),'27285','27285','02', '11000003','00','Request by Mr. Saqib Saleem 30-Oct-2024');</v>
      </c>
      <c r="H137" s="33" t="str">
        <f t="shared" si="11"/>
        <v>insert into ins_premium_det (premium_rcv_code,assorted_code, rec_amount,premium_rcv_detail_code,remaining_amt, payrec, mode_code,coinsurance_code,class_cd,it_remarks) values('29Oct240041','070000165874','27285',(select max(to_number(i.premium_rcv_detail_code))+1
from ins_premium_det i),'27285','27285','02', '11000003','00','Request by Mr. Saqib Saleem 30-Oct-2024');</v>
      </c>
    </row>
    <row r="138" spans="1:8" ht="105" x14ac:dyDescent="0.25">
      <c r="A138" s="18" t="s">
        <v>6691</v>
      </c>
      <c r="B138" s="29" t="str">
        <f>VLOOKUP(A138,policy!B:C,2,0)</f>
        <v>070000165991</v>
      </c>
      <c r="C138" s="19">
        <v>53070</v>
      </c>
      <c r="D138" s="30">
        <f t="shared" si="9"/>
        <v>53070</v>
      </c>
      <c r="E138" s="36" t="s">
        <v>7824</v>
      </c>
      <c r="F138" s="31" t="str">
        <f t="shared" si="8"/>
        <v>insert into ins_premium_det (premium_rcv_code,assorted_code, rec_amount,premium_rcv_detail_code,remaining_amt, payrec, mode_code,coinsurance_code,class_cd,it_remarks) values</v>
      </c>
      <c r="G138" s="32" t="str">
        <f t="shared" si="10"/>
        <v>('29Oct240041','070000165991','53070',(select max(to_number(i.premium_rcv_detail_code))+1
from ins_premium_det i),'53070','53070','02', '11000003','00','Request by Mr. Saqib Saleem 30-Oct-2024');</v>
      </c>
      <c r="H138" s="33" t="str">
        <f t="shared" si="11"/>
        <v>insert into ins_premium_det (premium_rcv_code,assorted_code, rec_amount,premium_rcv_detail_code,remaining_amt, payrec, mode_code,coinsurance_code,class_cd,it_remarks) values('29Oct240041','070000165991','53070',(select max(to_number(i.premium_rcv_detail_code))+1
from ins_premium_det i),'53070','53070','02', '11000003','00','Request by Mr. Saqib Saleem 30-Oct-2024');</v>
      </c>
    </row>
    <row r="139" spans="1:8" ht="105" x14ac:dyDescent="0.25">
      <c r="A139" s="18" t="s">
        <v>6692</v>
      </c>
      <c r="B139" s="29" t="str">
        <f>VLOOKUP(A139,policy!B:C,2,0)</f>
        <v>070000165876</v>
      </c>
      <c r="C139" s="19">
        <v>24000</v>
      </c>
      <c r="D139" s="30">
        <f t="shared" si="9"/>
        <v>24000</v>
      </c>
      <c r="E139" s="36" t="s">
        <v>7824</v>
      </c>
      <c r="F139" s="31" t="str">
        <f t="shared" si="8"/>
        <v>insert into ins_premium_det (premium_rcv_code,assorted_code, rec_amount,premium_rcv_detail_code,remaining_amt, payrec, mode_code,coinsurance_code,class_cd,it_remarks) values</v>
      </c>
      <c r="G139" s="32" t="str">
        <f t="shared" si="10"/>
        <v>('29Oct240041','070000165876','24000',(select max(to_number(i.premium_rcv_detail_code))+1
from ins_premium_det i),'24000','24000','02', '11000003','00','Request by Mr. Saqib Saleem 30-Oct-2024');</v>
      </c>
      <c r="H139" s="33" t="str">
        <f t="shared" si="11"/>
        <v>insert into ins_premium_det (premium_rcv_code,assorted_code, rec_amount,premium_rcv_detail_code,remaining_amt, payrec, mode_code,coinsurance_code,class_cd,it_remarks) values('29Oct240041','070000165876','24000',(select max(to_number(i.premium_rcv_detail_code))+1
from ins_premium_det i),'24000','24000','02', '11000003','00','Request by Mr. Saqib Saleem 30-Oct-2024');</v>
      </c>
    </row>
    <row r="140" spans="1:8" ht="105" x14ac:dyDescent="0.25">
      <c r="A140" s="18" t="s">
        <v>6693</v>
      </c>
      <c r="B140" s="29" t="str">
        <f>VLOOKUP(A140,policy!B:C,2,0)</f>
        <v>070000165877</v>
      </c>
      <c r="C140" s="19">
        <v>14720</v>
      </c>
      <c r="D140" s="30">
        <f t="shared" si="9"/>
        <v>14720</v>
      </c>
      <c r="E140" s="36" t="s">
        <v>7824</v>
      </c>
      <c r="F140" s="31" t="str">
        <f t="shared" si="8"/>
        <v>insert into ins_premium_det (premium_rcv_code,assorted_code, rec_amount,premium_rcv_detail_code,remaining_amt, payrec, mode_code,coinsurance_code,class_cd,it_remarks) values</v>
      </c>
      <c r="G140" s="32" t="str">
        <f t="shared" si="10"/>
        <v>('29Oct240041','070000165877','14720',(select max(to_number(i.premium_rcv_detail_code))+1
from ins_premium_det i),'14720','14720','02', '11000003','00','Request by Mr. Saqib Saleem 30-Oct-2024');</v>
      </c>
      <c r="H140" s="33" t="str">
        <f t="shared" si="11"/>
        <v>insert into ins_premium_det (premium_rcv_code,assorted_code, rec_amount,premium_rcv_detail_code,remaining_amt, payrec, mode_code,coinsurance_code,class_cd,it_remarks) values('29Oct240041','070000165877','14720',(select max(to_number(i.premium_rcv_detail_code))+1
from ins_premium_det i),'14720','14720','02', '11000003','00','Request by Mr. Saqib Saleem 30-Oct-2024');</v>
      </c>
    </row>
    <row r="141" spans="1:8" ht="105" x14ac:dyDescent="0.25">
      <c r="A141" s="18" t="s">
        <v>6694</v>
      </c>
      <c r="B141" s="29" t="str">
        <f>VLOOKUP(A141,policy!B:C,2,0)</f>
        <v>070000165995</v>
      </c>
      <c r="C141" s="19">
        <v>67533</v>
      </c>
      <c r="D141" s="30">
        <f t="shared" si="9"/>
        <v>67533</v>
      </c>
      <c r="E141" s="36" t="s">
        <v>7824</v>
      </c>
      <c r="F141" s="31" t="str">
        <f t="shared" si="8"/>
        <v>insert into ins_premium_det (premium_rcv_code,assorted_code, rec_amount,premium_rcv_detail_code,remaining_amt, payrec, mode_code,coinsurance_code,class_cd,it_remarks) values</v>
      </c>
      <c r="G141" s="32" t="str">
        <f t="shared" si="10"/>
        <v>('29Oct240041','070000165995','67533',(select max(to_number(i.premium_rcv_detail_code))+1
from ins_premium_det i),'67533','67533','02', '11000003','00','Request by Mr. Saqib Saleem 30-Oct-2024');</v>
      </c>
      <c r="H141" s="33" t="str">
        <f t="shared" si="11"/>
        <v>insert into ins_premium_det (premium_rcv_code,assorted_code, rec_amount,premium_rcv_detail_code,remaining_amt, payrec, mode_code,coinsurance_code,class_cd,it_remarks) values('29Oct240041','070000165995','67533',(select max(to_number(i.premium_rcv_detail_code))+1
from ins_premium_det i),'67533','67533','02', '11000003','00','Request by Mr. Saqib Saleem 30-Oct-2024');</v>
      </c>
    </row>
    <row r="142" spans="1:8" ht="105" x14ac:dyDescent="0.25">
      <c r="A142" s="18" t="s">
        <v>6695</v>
      </c>
      <c r="B142" s="29" t="str">
        <f>VLOOKUP(A142,policy!B:C,2,0)</f>
        <v>070000165878</v>
      </c>
      <c r="C142" s="19">
        <v>20400</v>
      </c>
      <c r="D142" s="30">
        <f t="shared" si="9"/>
        <v>20400</v>
      </c>
      <c r="E142" s="36" t="s">
        <v>7824</v>
      </c>
      <c r="F142" s="31" t="str">
        <f t="shared" si="8"/>
        <v>insert into ins_premium_det (premium_rcv_code,assorted_code, rec_amount,premium_rcv_detail_code,remaining_amt, payrec, mode_code,coinsurance_code,class_cd,it_remarks) values</v>
      </c>
      <c r="G142" s="32" t="str">
        <f t="shared" si="10"/>
        <v>('29Oct240041','070000165878','20400',(select max(to_number(i.premium_rcv_detail_code))+1
from ins_premium_det i),'20400','20400','02', '11000003','00','Request by Mr. Saqib Saleem 30-Oct-2024');</v>
      </c>
      <c r="H142" s="33" t="str">
        <f t="shared" si="11"/>
        <v>insert into ins_premium_det (premium_rcv_code,assorted_code, rec_amount,premium_rcv_detail_code,remaining_amt, payrec, mode_code,coinsurance_code,class_cd,it_remarks) values('29Oct240041','070000165878','20400',(select max(to_number(i.premium_rcv_detail_code))+1
from ins_premium_det i),'20400','20400','02', '11000003','00','Request by Mr. Saqib Saleem 30-Oct-2024');</v>
      </c>
    </row>
    <row r="143" spans="1:8" ht="105" x14ac:dyDescent="0.25">
      <c r="A143" s="18" t="s">
        <v>6696</v>
      </c>
      <c r="B143" s="29" t="str">
        <f>VLOOKUP(A143,policy!B:C,2,0)</f>
        <v>070000165879</v>
      </c>
      <c r="C143" s="19">
        <v>23375</v>
      </c>
      <c r="D143" s="30">
        <f t="shared" si="9"/>
        <v>23375</v>
      </c>
      <c r="E143" s="36" t="s">
        <v>7824</v>
      </c>
      <c r="F143" s="31" t="str">
        <f t="shared" si="8"/>
        <v>insert into ins_premium_det (premium_rcv_code,assorted_code, rec_amount,premium_rcv_detail_code,remaining_amt, payrec, mode_code,coinsurance_code,class_cd,it_remarks) values</v>
      </c>
      <c r="G143" s="32" t="str">
        <f t="shared" si="10"/>
        <v>('29Oct240041','070000165879','23375',(select max(to_number(i.premium_rcv_detail_code))+1
from ins_premium_det i),'23375','23375','02', '11000003','00','Request by Mr. Saqib Saleem 30-Oct-2024');</v>
      </c>
      <c r="H143" s="33" t="str">
        <f t="shared" si="11"/>
        <v>insert into ins_premium_det (premium_rcv_code,assorted_code, rec_amount,premium_rcv_detail_code,remaining_amt, payrec, mode_code,coinsurance_code,class_cd,it_remarks) values('29Oct240041','070000165879','23375',(select max(to_number(i.premium_rcv_detail_code))+1
from ins_premium_det i),'23375','23375','02', '11000003','00','Request by Mr. Saqib Saleem 30-Oct-2024');</v>
      </c>
    </row>
    <row r="144" spans="1:8" ht="105" x14ac:dyDescent="0.25">
      <c r="A144" s="18" t="s">
        <v>6697</v>
      </c>
      <c r="B144" s="29" t="str">
        <f>VLOOKUP(A144,policy!B:C,2,0)</f>
        <v>070000165884</v>
      </c>
      <c r="C144" s="19">
        <v>21250</v>
      </c>
      <c r="D144" s="30">
        <f t="shared" si="9"/>
        <v>21250</v>
      </c>
      <c r="E144" s="36" t="s">
        <v>7824</v>
      </c>
      <c r="F144" s="31" t="str">
        <f t="shared" si="8"/>
        <v>insert into ins_premium_det (premium_rcv_code,assorted_code, rec_amount,premium_rcv_detail_code,remaining_amt, payrec, mode_code,coinsurance_code,class_cd,it_remarks) values</v>
      </c>
      <c r="G144" s="32" t="str">
        <f t="shared" si="10"/>
        <v>('29Oct240041','070000165884','21250',(select max(to_number(i.premium_rcv_detail_code))+1
from ins_premium_det i),'21250','21250','02', '11000003','00','Request by Mr. Saqib Saleem 30-Oct-2024');</v>
      </c>
      <c r="H144" s="33" t="str">
        <f t="shared" si="11"/>
        <v>insert into ins_premium_det (premium_rcv_code,assorted_code, rec_amount,premium_rcv_detail_code,remaining_amt, payrec, mode_code,coinsurance_code,class_cd,it_remarks) values('29Oct240041','070000165884','21250',(select max(to_number(i.premium_rcv_detail_code))+1
from ins_premium_det i),'21250','21250','02', '11000003','00','Request by Mr. Saqib Saleem 30-Oct-2024');</v>
      </c>
    </row>
    <row r="145" spans="1:8" ht="105" x14ac:dyDescent="0.25">
      <c r="A145" s="18" t="s">
        <v>6698</v>
      </c>
      <c r="B145" s="29" t="str">
        <f>VLOOKUP(A145,policy!B:C,2,0)</f>
        <v>070000165885</v>
      </c>
      <c r="C145" s="19">
        <v>22950</v>
      </c>
      <c r="D145" s="30">
        <f t="shared" si="9"/>
        <v>22950</v>
      </c>
      <c r="E145" s="36" t="s">
        <v>7824</v>
      </c>
      <c r="F145" s="31" t="str">
        <f t="shared" si="8"/>
        <v>insert into ins_premium_det (premium_rcv_code,assorted_code, rec_amount,premium_rcv_detail_code,remaining_amt, payrec, mode_code,coinsurance_code,class_cd,it_remarks) values</v>
      </c>
      <c r="G145" s="32" t="str">
        <f t="shared" si="10"/>
        <v>('29Oct240041','070000165885','22950',(select max(to_number(i.premium_rcv_detail_code))+1
from ins_premium_det i),'22950','22950','02', '11000003','00','Request by Mr. Saqib Saleem 30-Oct-2024');</v>
      </c>
      <c r="H145" s="33" t="str">
        <f t="shared" si="11"/>
        <v>insert into ins_premium_det (premium_rcv_code,assorted_code, rec_amount,premium_rcv_detail_code,remaining_amt, payrec, mode_code,coinsurance_code,class_cd,it_remarks) values('29Oct240041','070000165885','22950',(select max(to_number(i.premium_rcv_detail_code))+1
from ins_premium_det i),'22950','22950','02', '11000003','00','Request by Mr. Saqib Saleem 30-Oct-2024');</v>
      </c>
    </row>
    <row r="146" spans="1:8" ht="105" x14ac:dyDescent="0.25">
      <c r="A146" s="18" t="s">
        <v>6699</v>
      </c>
      <c r="B146" s="29" t="str">
        <f>VLOOKUP(A146,policy!B:C,2,0)</f>
        <v>070000165887</v>
      </c>
      <c r="C146" s="19">
        <v>75848</v>
      </c>
      <c r="D146" s="30">
        <f t="shared" si="9"/>
        <v>75848</v>
      </c>
      <c r="E146" s="36" t="s">
        <v>7824</v>
      </c>
      <c r="F146" s="31" t="str">
        <f t="shared" si="8"/>
        <v>insert into ins_premium_det (premium_rcv_code,assorted_code, rec_amount,premium_rcv_detail_code,remaining_amt, payrec, mode_code,coinsurance_code,class_cd,it_remarks) values</v>
      </c>
      <c r="G146" s="32" t="str">
        <f t="shared" si="10"/>
        <v>('29Oct240041','070000165887','75848',(select max(to_number(i.premium_rcv_detail_code))+1
from ins_premium_det i),'75848','75848','02', '11000003','00','Request by Mr. Saqib Saleem 30-Oct-2024');</v>
      </c>
      <c r="H146" s="33" t="str">
        <f t="shared" si="11"/>
        <v>insert into ins_premium_det (premium_rcv_code,assorted_code, rec_amount,premium_rcv_detail_code,remaining_amt, payrec, mode_code,coinsurance_code,class_cd,it_remarks) values('29Oct240041','070000165887','75848',(select max(to_number(i.premium_rcv_detail_code))+1
from ins_premium_det i),'75848','75848','02', '11000003','00','Request by Mr. Saqib Saleem 30-Oct-2024');</v>
      </c>
    </row>
    <row r="147" spans="1:8" ht="105" x14ac:dyDescent="0.25">
      <c r="A147" s="18" t="s">
        <v>6700</v>
      </c>
      <c r="B147" s="29" t="str">
        <f>VLOOKUP(A147,policy!B:C,2,0)</f>
        <v>070000166003</v>
      </c>
      <c r="C147" s="19">
        <v>26010</v>
      </c>
      <c r="D147" s="30">
        <f t="shared" si="9"/>
        <v>26010</v>
      </c>
      <c r="E147" s="36" t="s">
        <v>7824</v>
      </c>
      <c r="F147" s="31" t="str">
        <f t="shared" si="8"/>
        <v>insert into ins_premium_det (premium_rcv_code,assorted_code, rec_amount,premium_rcv_detail_code,remaining_amt, payrec, mode_code,coinsurance_code,class_cd,it_remarks) values</v>
      </c>
      <c r="G147" s="32" t="str">
        <f t="shared" si="10"/>
        <v>('29Oct240041','070000166003','26010',(select max(to_number(i.premium_rcv_detail_code))+1
from ins_premium_det i),'26010','26010','02', '11000003','00','Request by Mr. Saqib Saleem 30-Oct-2024');</v>
      </c>
      <c r="H147" s="33" t="str">
        <f t="shared" si="11"/>
        <v>insert into ins_premium_det (premium_rcv_code,assorted_code, rec_amount,premium_rcv_detail_code,remaining_amt, payrec, mode_code,coinsurance_code,class_cd,it_remarks) values('29Oct240041','070000166003','26010',(select max(to_number(i.premium_rcv_detail_code))+1
from ins_premium_det i),'26010','26010','02', '11000003','00','Request by Mr. Saqib Saleem 30-Oct-2024');</v>
      </c>
    </row>
    <row r="148" spans="1:8" ht="105" x14ac:dyDescent="0.25">
      <c r="A148" s="18" t="s">
        <v>6701</v>
      </c>
      <c r="B148" s="29" t="str">
        <f>VLOOKUP(A148,policy!B:C,2,0)</f>
        <v>070000166004</v>
      </c>
      <c r="C148" s="19">
        <v>29280</v>
      </c>
      <c r="D148" s="30">
        <f t="shared" si="9"/>
        <v>29280</v>
      </c>
      <c r="E148" s="36" t="s">
        <v>7824</v>
      </c>
      <c r="F148" s="31" t="str">
        <f t="shared" si="8"/>
        <v>insert into ins_premium_det (premium_rcv_code,assorted_code, rec_amount,premium_rcv_detail_code,remaining_amt, payrec, mode_code,coinsurance_code,class_cd,it_remarks) values</v>
      </c>
      <c r="G148" s="32" t="str">
        <f t="shared" si="10"/>
        <v>('29Oct240041','070000166004','29280',(select max(to_number(i.premium_rcv_detail_code))+1
from ins_premium_det i),'29280','29280','02', '11000003','00','Request by Mr. Saqib Saleem 30-Oct-2024');</v>
      </c>
      <c r="H148" s="33" t="str">
        <f t="shared" si="11"/>
        <v>insert into ins_premium_det (premium_rcv_code,assorted_code, rec_amount,premium_rcv_detail_code,remaining_amt, payrec, mode_code,coinsurance_code,class_cd,it_remarks) values('29Oct240041','070000166004','29280',(select max(to_number(i.premium_rcv_detail_code))+1
from ins_premium_det i),'29280','29280','02', '11000003','00','Request by Mr. Saqib Saleem 30-Oct-2024');</v>
      </c>
    </row>
    <row r="149" spans="1:8" ht="105" x14ac:dyDescent="0.25">
      <c r="A149" s="18" t="s">
        <v>6702</v>
      </c>
      <c r="B149" s="29" t="str">
        <f>VLOOKUP(A149,policy!B:C,2,0)</f>
        <v>070000165888</v>
      </c>
      <c r="C149" s="19">
        <v>18834</v>
      </c>
      <c r="D149" s="30">
        <f t="shared" si="9"/>
        <v>18834</v>
      </c>
      <c r="E149" s="36" t="s">
        <v>7824</v>
      </c>
      <c r="F149" s="31" t="str">
        <f t="shared" si="8"/>
        <v>insert into ins_premium_det (premium_rcv_code,assorted_code, rec_amount,premium_rcv_detail_code,remaining_amt, payrec, mode_code,coinsurance_code,class_cd,it_remarks) values</v>
      </c>
      <c r="G149" s="32" t="str">
        <f t="shared" si="10"/>
        <v>('29Oct240041','070000165888','18834',(select max(to_number(i.premium_rcv_detail_code))+1
from ins_premium_det i),'18834','18834','02', '11000003','00','Request by Mr. Saqib Saleem 30-Oct-2024');</v>
      </c>
      <c r="H149" s="33" t="str">
        <f t="shared" si="11"/>
        <v>insert into ins_premium_det (premium_rcv_code,assorted_code, rec_amount,premium_rcv_detail_code,remaining_amt, payrec, mode_code,coinsurance_code,class_cd,it_remarks) values('29Oct240041','070000165888','18834',(select max(to_number(i.premium_rcv_detail_code))+1
from ins_premium_det i),'18834','18834','02', '11000003','00','Request by Mr. Saqib Saleem 30-Oct-2024');</v>
      </c>
    </row>
    <row r="150" spans="1:8" ht="105" x14ac:dyDescent="0.25">
      <c r="A150" s="18" t="s">
        <v>6703</v>
      </c>
      <c r="B150" s="29" t="str">
        <f>VLOOKUP(A150,policy!B:C,2,0)</f>
        <v>070000165890</v>
      </c>
      <c r="C150" s="19">
        <v>26250</v>
      </c>
      <c r="D150" s="30">
        <f t="shared" si="9"/>
        <v>26250</v>
      </c>
      <c r="E150" s="36" t="s">
        <v>7824</v>
      </c>
      <c r="F150" s="31" t="str">
        <f t="shared" si="8"/>
        <v>insert into ins_premium_det (premium_rcv_code,assorted_code, rec_amount,premium_rcv_detail_code,remaining_amt, payrec, mode_code,coinsurance_code,class_cd,it_remarks) values</v>
      </c>
      <c r="G150" s="32" t="str">
        <f t="shared" si="10"/>
        <v>('29Oct240041','070000165890','26250',(select max(to_number(i.premium_rcv_detail_code))+1
from ins_premium_det i),'26250','26250','02', '11000003','00','Request by Mr. Saqib Saleem 30-Oct-2024');</v>
      </c>
      <c r="H150" s="33" t="str">
        <f t="shared" si="11"/>
        <v>insert into ins_premium_det (premium_rcv_code,assorted_code, rec_amount,premium_rcv_detail_code,remaining_amt, payrec, mode_code,coinsurance_code,class_cd,it_remarks) values('29Oct240041','070000165890','26250',(select max(to_number(i.premium_rcv_detail_code))+1
from ins_premium_det i),'26250','26250','02', '11000003','00','Request by Mr. Saqib Saleem 30-Oct-2024');</v>
      </c>
    </row>
    <row r="151" spans="1:8" ht="105" x14ac:dyDescent="0.25">
      <c r="A151" s="18" t="s">
        <v>6704</v>
      </c>
      <c r="B151" s="29" t="str">
        <f>VLOOKUP(A151,policy!B:C,2,0)</f>
        <v>070000165891</v>
      </c>
      <c r="C151" s="19">
        <v>23800</v>
      </c>
      <c r="D151" s="30">
        <f t="shared" si="9"/>
        <v>23800</v>
      </c>
      <c r="E151" s="36" t="s">
        <v>7824</v>
      </c>
      <c r="F151" s="31" t="str">
        <f t="shared" si="8"/>
        <v>insert into ins_premium_det (premium_rcv_code,assorted_code, rec_amount,premium_rcv_detail_code,remaining_amt, payrec, mode_code,coinsurance_code,class_cd,it_remarks) values</v>
      </c>
      <c r="G151" s="32" t="str">
        <f t="shared" si="10"/>
        <v>('29Oct240041','070000165891','23800',(select max(to_number(i.premium_rcv_detail_code))+1
from ins_premium_det i),'23800','23800','02', '11000003','00','Request by Mr. Saqib Saleem 30-Oct-2024');</v>
      </c>
      <c r="H151" s="33" t="str">
        <f t="shared" si="11"/>
        <v>insert into ins_premium_det (premium_rcv_code,assorted_code, rec_amount,premium_rcv_detail_code,remaining_amt, payrec, mode_code,coinsurance_code,class_cd,it_remarks) values('29Oct240041','070000165891','23800',(select max(to_number(i.premium_rcv_detail_code))+1
from ins_premium_det i),'23800','23800','02', '11000003','00','Request by Mr. Saqib Saleem 30-Oct-2024');</v>
      </c>
    </row>
    <row r="152" spans="1:8" ht="105" x14ac:dyDescent="0.25">
      <c r="A152" s="18" t="s">
        <v>6705</v>
      </c>
      <c r="B152" s="29" t="str">
        <f>VLOOKUP(A152,policy!B:C,2,0)</f>
        <v>070000165892</v>
      </c>
      <c r="C152" s="19">
        <v>94337</v>
      </c>
      <c r="D152" s="30">
        <f t="shared" si="9"/>
        <v>94337</v>
      </c>
      <c r="E152" s="36" t="s">
        <v>7824</v>
      </c>
      <c r="F152" s="31" t="str">
        <f t="shared" si="8"/>
        <v>insert into ins_premium_det (premium_rcv_code,assorted_code, rec_amount,premium_rcv_detail_code,remaining_amt, payrec, mode_code,coinsurance_code,class_cd,it_remarks) values</v>
      </c>
      <c r="G152" s="32" t="str">
        <f t="shared" si="10"/>
        <v>('29Oct240041','070000165892','94337',(select max(to_number(i.premium_rcv_detail_code))+1
from ins_premium_det i),'94337','94337','02', '11000003','00','Request by Mr. Saqib Saleem 30-Oct-2024');</v>
      </c>
      <c r="H152" s="33" t="str">
        <f t="shared" si="11"/>
        <v>insert into ins_premium_det (premium_rcv_code,assorted_code, rec_amount,premium_rcv_detail_code,remaining_amt, payrec, mode_code,coinsurance_code,class_cd,it_remarks) values('29Oct240041','070000165892','94337',(select max(to_number(i.premium_rcv_detail_code))+1
from ins_premium_det i),'94337','94337','02', '11000003','00','Request by Mr. Saqib Saleem 30-Oct-2024');</v>
      </c>
    </row>
    <row r="153" spans="1:8" ht="105" x14ac:dyDescent="0.25">
      <c r="A153" s="18" t="s">
        <v>6706</v>
      </c>
      <c r="B153" s="29" t="str">
        <f>VLOOKUP(A153,policy!B:C,2,0)</f>
        <v>070000166008</v>
      </c>
      <c r="C153" s="19">
        <v>69232</v>
      </c>
      <c r="D153" s="30">
        <f t="shared" si="9"/>
        <v>69232</v>
      </c>
      <c r="E153" s="36" t="s">
        <v>7824</v>
      </c>
      <c r="F153" s="31" t="str">
        <f t="shared" si="8"/>
        <v>insert into ins_premium_det (premium_rcv_code,assorted_code, rec_amount,premium_rcv_detail_code,remaining_amt, payrec, mode_code,coinsurance_code,class_cd,it_remarks) values</v>
      </c>
      <c r="G153" s="32" t="str">
        <f t="shared" si="10"/>
        <v>('29Oct240041','070000166008','69232',(select max(to_number(i.premium_rcv_detail_code))+1
from ins_premium_det i),'69232','69232','02', '11000003','00','Request by Mr. Saqib Saleem 30-Oct-2024');</v>
      </c>
      <c r="H153" s="33" t="str">
        <f t="shared" si="11"/>
        <v>insert into ins_premium_det (premium_rcv_code,assorted_code, rec_amount,premium_rcv_detail_code,remaining_amt, payrec, mode_code,coinsurance_code,class_cd,it_remarks) values('29Oct240041','070000166008','69232',(select max(to_number(i.premium_rcv_detail_code))+1
from ins_premium_det i),'69232','69232','02', '11000003','00','Request by Mr. Saqib Saleem 30-Oct-2024');</v>
      </c>
    </row>
    <row r="154" spans="1:8" ht="105" x14ac:dyDescent="0.25">
      <c r="A154" s="18" t="s">
        <v>6707</v>
      </c>
      <c r="B154" s="29" t="str">
        <f>VLOOKUP(A154,policy!B:C,2,0)</f>
        <v>070000166009</v>
      </c>
      <c r="C154" s="19">
        <v>71680</v>
      </c>
      <c r="D154" s="30">
        <f t="shared" si="9"/>
        <v>71680</v>
      </c>
      <c r="E154" s="36" t="s">
        <v>7824</v>
      </c>
      <c r="F154" s="31" t="str">
        <f t="shared" si="8"/>
        <v>insert into ins_premium_det (premium_rcv_code,assorted_code, rec_amount,premium_rcv_detail_code,remaining_amt, payrec, mode_code,coinsurance_code,class_cd,it_remarks) values</v>
      </c>
      <c r="G154" s="32" t="str">
        <f t="shared" si="10"/>
        <v>('29Oct240041','070000166009','71680',(select max(to_number(i.premium_rcv_detail_code))+1
from ins_premium_det i),'71680','71680','02', '11000003','00','Request by Mr. Saqib Saleem 30-Oct-2024');</v>
      </c>
      <c r="H154" s="33" t="str">
        <f t="shared" si="11"/>
        <v>insert into ins_premium_det (premium_rcv_code,assorted_code, rec_amount,premium_rcv_detail_code,remaining_amt, payrec, mode_code,coinsurance_code,class_cd,it_remarks) values('29Oct240041','070000166009','71680',(select max(to_number(i.premium_rcv_detail_code))+1
from ins_premium_det i),'71680','71680','02', '11000003','00','Request by Mr. Saqib Saleem 30-Oct-2024');</v>
      </c>
    </row>
    <row r="155" spans="1:8" ht="105" x14ac:dyDescent="0.25">
      <c r="A155" s="18" t="s">
        <v>6708</v>
      </c>
      <c r="B155" s="29" t="str">
        <f>VLOOKUP(A155,policy!B:C,2,0)</f>
        <v>070000166010</v>
      </c>
      <c r="C155" s="19">
        <v>81589</v>
      </c>
      <c r="D155" s="30">
        <f t="shared" si="9"/>
        <v>81589</v>
      </c>
      <c r="E155" s="36" t="s">
        <v>7824</v>
      </c>
      <c r="F155" s="31" t="str">
        <f t="shared" si="8"/>
        <v>insert into ins_premium_det (premium_rcv_code,assorted_code, rec_amount,premium_rcv_detail_code,remaining_amt, payrec, mode_code,coinsurance_code,class_cd,it_remarks) values</v>
      </c>
      <c r="G155" s="32" t="str">
        <f t="shared" si="10"/>
        <v>('29Oct240041','070000166010','81589',(select max(to_number(i.premium_rcv_detail_code))+1
from ins_premium_det i),'81589','81589','02', '11000003','00','Request by Mr. Saqib Saleem 30-Oct-2024');</v>
      </c>
      <c r="H155" s="33" t="str">
        <f t="shared" si="11"/>
        <v>insert into ins_premium_det (premium_rcv_code,assorted_code, rec_amount,premium_rcv_detail_code,remaining_amt, payrec, mode_code,coinsurance_code,class_cd,it_remarks) values('29Oct240041','070000166010','81589',(select max(to_number(i.premium_rcv_detail_code))+1
from ins_premium_det i),'81589','81589','02', '11000003','00','Request by Mr. Saqib Saleem 30-Oct-2024');</v>
      </c>
    </row>
    <row r="156" spans="1:8" ht="105" x14ac:dyDescent="0.25">
      <c r="A156" s="18" t="s">
        <v>6709</v>
      </c>
      <c r="B156" s="29" t="str">
        <f>VLOOKUP(A156,policy!B:C,2,0)</f>
        <v>070000166011</v>
      </c>
      <c r="C156" s="19">
        <v>16784</v>
      </c>
      <c r="D156" s="30">
        <f t="shared" si="9"/>
        <v>16784</v>
      </c>
      <c r="E156" s="36" t="s">
        <v>7824</v>
      </c>
      <c r="F156" s="31" t="str">
        <f t="shared" si="8"/>
        <v>insert into ins_premium_det (premium_rcv_code,assorted_code, rec_amount,premium_rcv_detail_code,remaining_amt, payrec, mode_code,coinsurance_code,class_cd,it_remarks) values</v>
      </c>
      <c r="G156" s="32" t="str">
        <f t="shared" si="10"/>
        <v>('29Oct240041','070000166011','16784',(select max(to_number(i.premium_rcv_detail_code))+1
from ins_premium_det i),'16784','16784','02', '11000003','00','Request by Mr. Saqib Saleem 30-Oct-2024');</v>
      </c>
      <c r="H156" s="33" t="str">
        <f t="shared" si="11"/>
        <v>insert into ins_premium_det (premium_rcv_code,assorted_code, rec_amount,premium_rcv_detail_code,remaining_amt, payrec, mode_code,coinsurance_code,class_cd,it_remarks) values('29Oct240041','070000166011','16784',(select max(to_number(i.premium_rcv_detail_code))+1
from ins_premium_det i),'16784','16784','02', '11000003','00','Request by Mr. Saqib Saleem 30-Oct-2024');</v>
      </c>
    </row>
    <row r="157" spans="1:8" ht="105" x14ac:dyDescent="0.25">
      <c r="A157" s="18" t="s">
        <v>6710</v>
      </c>
      <c r="B157" s="29" t="str">
        <f>VLOOKUP(A157,policy!B:C,2,0)</f>
        <v>070000165893</v>
      </c>
      <c r="C157" s="19">
        <v>46113</v>
      </c>
      <c r="D157" s="30">
        <f t="shared" si="9"/>
        <v>46113</v>
      </c>
      <c r="E157" s="36" t="s">
        <v>7824</v>
      </c>
      <c r="F157" s="31" t="str">
        <f t="shared" si="8"/>
        <v>insert into ins_premium_det (premium_rcv_code,assorted_code, rec_amount,premium_rcv_detail_code,remaining_amt, payrec, mode_code,coinsurance_code,class_cd,it_remarks) values</v>
      </c>
      <c r="G157" s="32" t="str">
        <f t="shared" si="10"/>
        <v>('29Oct240041','070000165893','46113',(select max(to_number(i.premium_rcv_detail_code))+1
from ins_premium_det i),'46113','46113','02', '11000003','00','Request by Mr. Saqib Saleem 30-Oct-2024');</v>
      </c>
      <c r="H157" s="33" t="str">
        <f t="shared" si="11"/>
        <v>insert into ins_premium_det (premium_rcv_code,assorted_code, rec_amount,premium_rcv_detail_code,remaining_amt, payrec, mode_code,coinsurance_code,class_cd,it_remarks) values('29Oct240041','070000165893','46113',(select max(to_number(i.premium_rcv_detail_code))+1
from ins_premium_det i),'46113','46113','02', '11000003','00','Request by Mr. Saqib Saleem 30-Oct-2024');</v>
      </c>
    </row>
    <row r="158" spans="1:8" ht="105" x14ac:dyDescent="0.25">
      <c r="A158" s="18" t="s">
        <v>6711</v>
      </c>
      <c r="B158" s="29" t="str">
        <f>VLOOKUP(A158,policy!B:C,2,0)</f>
        <v>070000166013</v>
      </c>
      <c r="C158" s="19">
        <v>29203</v>
      </c>
      <c r="D158" s="30">
        <f t="shared" si="9"/>
        <v>29203</v>
      </c>
      <c r="E158" s="36" t="s">
        <v>7824</v>
      </c>
      <c r="F158" s="31" t="str">
        <f t="shared" si="8"/>
        <v>insert into ins_premium_det (premium_rcv_code,assorted_code, rec_amount,premium_rcv_detail_code,remaining_amt, payrec, mode_code,coinsurance_code,class_cd,it_remarks) values</v>
      </c>
      <c r="G158" s="32" t="str">
        <f t="shared" si="10"/>
        <v>('29Oct240041','070000166013','29203',(select max(to_number(i.premium_rcv_detail_code))+1
from ins_premium_det i),'29203','29203','02', '11000003','00','Request by Mr. Saqib Saleem 30-Oct-2024');</v>
      </c>
      <c r="H158" s="33" t="str">
        <f t="shared" si="11"/>
        <v>insert into ins_premium_det (premium_rcv_code,assorted_code, rec_amount,premium_rcv_detail_code,remaining_amt, payrec, mode_code,coinsurance_code,class_cd,it_remarks) values('29Oct240041','070000166013','29203',(select max(to_number(i.premium_rcv_detail_code))+1
from ins_premium_det i),'29203','29203','02', '11000003','00','Request by Mr. Saqib Saleem 30-Oct-2024');</v>
      </c>
    </row>
    <row r="159" spans="1:8" ht="105" x14ac:dyDescent="0.25">
      <c r="A159" s="18" t="s">
        <v>6712</v>
      </c>
      <c r="B159" s="29" t="str">
        <f>VLOOKUP(A159,policy!B:C,2,0)</f>
        <v>070000166014</v>
      </c>
      <c r="C159" s="19">
        <v>23190</v>
      </c>
      <c r="D159" s="30">
        <f t="shared" si="9"/>
        <v>23190</v>
      </c>
      <c r="E159" s="36" t="s">
        <v>7824</v>
      </c>
      <c r="F159" s="31" t="str">
        <f t="shared" si="8"/>
        <v>insert into ins_premium_det (premium_rcv_code,assorted_code, rec_amount,premium_rcv_detail_code,remaining_amt, payrec, mode_code,coinsurance_code,class_cd,it_remarks) values</v>
      </c>
      <c r="G159" s="32" t="str">
        <f t="shared" si="10"/>
        <v>('29Oct240041','070000166014','23190',(select max(to_number(i.premium_rcv_detail_code))+1
from ins_premium_det i),'23190','23190','02', '11000003','00','Request by Mr. Saqib Saleem 30-Oct-2024');</v>
      </c>
      <c r="H159" s="33" t="str">
        <f t="shared" si="11"/>
        <v>insert into ins_premium_det (premium_rcv_code,assorted_code, rec_amount,premium_rcv_detail_code,remaining_amt, payrec, mode_code,coinsurance_code,class_cd,it_remarks) values('29Oct240041','070000166014','23190',(select max(to_number(i.premium_rcv_detail_code))+1
from ins_premium_det i),'23190','23190','02', '11000003','00','Request by Mr. Saqib Saleem 30-Oct-2024');</v>
      </c>
    </row>
    <row r="160" spans="1:8" ht="105" x14ac:dyDescent="0.25">
      <c r="A160" s="18" t="s">
        <v>6713</v>
      </c>
      <c r="B160" s="29" t="str">
        <f>VLOOKUP(A160,policy!B:C,2,0)</f>
        <v>070000166015</v>
      </c>
      <c r="C160" s="19">
        <v>39000</v>
      </c>
      <c r="D160" s="30">
        <f t="shared" si="9"/>
        <v>39000</v>
      </c>
      <c r="E160" s="36" t="s">
        <v>7824</v>
      </c>
      <c r="F160" s="31" t="str">
        <f t="shared" si="8"/>
        <v>insert into ins_premium_det (premium_rcv_code,assorted_code, rec_amount,premium_rcv_detail_code,remaining_amt, payrec, mode_code,coinsurance_code,class_cd,it_remarks) values</v>
      </c>
      <c r="G160" s="32" t="str">
        <f t="shared" si="10"/>
        <v>('29Oct240041','070000166015','39000',(select max(to_number(i.premium_rcv_detail_code))+1
from ins_premium_det i),'39000','39000','02', '11000003','00','Request by Mr. Saqib Saleem 30-Oct-2024');</v>
      </c>
      <c r="H160" s="33" t="str">
        <f t="shared" si="11"/>
        <v>insert into ins_premium_det (premium_rcv_code,assorted_code, rec_amount,premium_rcv_detail_code,remaining_amt, payrec, mode_code,coinsurance_code,class_cd,it_remarks) values('29Oct240041','070000166015','39000',(select max(to_number(i.premium_rcv_detail_code))+1
from ins_premium_det i),'39000','39000','02', '11000003','00','Request by Mr. Saqib Saleem 30-Oct-2024');</v>
      </c>
    </row>
    <row r="161" spans="1:8" ht="105" x14ac:dyDescent="0.25">
      <c r="A161" s="18" t="s">
        <v>6714</v>
      </c>
      <c r="B161" s="29" t="str">
        <f>VLOOKUP(A161,policy!B:C,2,0)</f>
        <v>070000166016</v>
      </c>
      <c r="C161" s="19">
        <v>24736</v>
      </c>
      <c r="D161" s="30">
        <f t="shared" si="9"/>
        <v>24736</v>
      </c>
      <c r="E161" s="36" t="s">
        <v>7824</v>
      </c>
      <c r="F161" s="31" t="str">
        <f t="shared" si="8"/>
        <v>insert into ins_premium_det (premium_rcv_code,assorted_code, rec_amount,premium_rcv_detail_code,remaining_amt, payrec, mode_code,coinsurance_code,class_cd,it_remarks) values</v>
      </c>
      <c r="G161" s="32" t="str">
        <f t="shared" si="10"/>
        <v>('29Oct240041','070000166016','24736',(select max(to_number(i.premium_rcv_detail_code))+1
from ins_premium_det i),'24736','24736','02', '11000003','00','Request by Mr. Saqib Saleem 30-Oct-2024');</v>
      </c>
      <c r="H161" s="33" t="str">
        <f t="shared" si="11"/>
        <v>insert into ins_premium_det (premium_rcv_code,assorted_code, rec_amount,premium_rcv_detail_code,remaining_amt, payrec, mode_code,coinsurance_code,class_cd,it_remarks) values('29Oct240041','070000166016','24736',(select max(to_number(i.premium_rcv_detail_code))+1
from ins_premium_det i),'24736','24736','02', '11000003','00','Request by Mr. Saqib Saleem 30-Oct-2024');</v>
      </c>
    </row>
    <row r="162" spans="1:8" ht="105" x14ac:dyDescent="0.25">
      <c r="A162" s="18" t="s">
        <v>6715</v>
      </c>
      <c r="B162" s="29" t="str">
        <f>VLOOKUP(A162,policy!B:C,2,0)</f>
        <v>070000165895</v>
      </c>
      <c r="C162" s="19">
        <v>136686</v>
      </c>
      <c r="D162" s="30">
        <f t="shared" si="9"/>
        <v>136686</v>
      </c>
      <c r="E162" s="36" t="s">
        <v>7824</v>
      </c>
      <c r="F162" s="31" t="str">
        <f t="shared" si="8"/>
        <v>insert into ins_premium_det (premium_rcv_code,assorted_code, rec_amount,premium_rcv_detail_code,remaining_amt, payrec, mode_code,coinsurance_code,class_cd,it_remarks) values</v>
      </c>
      <c r="G162" s="32" t="str">
        <f t="shared" si="10"/>
        <v>('29Oct240041','070000165895','136686',(select max(to_number(i.premium_rcv_detail_code))+1
from ins_premium_det i),'136686','136686','02', '11000003','00','Request by Mr. Saqib Saleem 30-Oct-2024');</v>
      </c>
      <c r="H162" s="33" t="str">
        <f t="shared" si="11"/>
        <v>insert into ins_premium_det (premium_rcv_code,assorted_code, rec_amount,premium_rcv_detail_code,remaining_amt, payrec, mode_code,coinsurance_code,class_cd,it_remarks) values('29Oct240041','070000165895','136686',(select max(to_number(i.premium_rcv_detail_code))+1
from ins_premium_det i),'136686','136686','02', '11000003','00','Request by Mr. Saqib Saleem 30-Oct-2024');</v>
      </c>
    </row>
    <row r="163" spans="1:8" ht="105" x14ac:dyDescent="0.25">
      <c r="A163" s="18" t="s">
        <v>6716</v>
      </c>
      <c r="B163" s="29" t="str">
        <f>VLOOKUP(A163,policy!B:C,2,0)</f>
        <v>070000165898</v>
      </c>
      <c r="C163" s="19">
        <v>68837</v>
      </c>
      <c r="D163" s="30">
        <f t="shared" si="9"/>
        <v>68837</v>
      </c>
      <c r="E163" s="36" t="s">
        <v>7824</v>
      </c>
      <c r="F163" s="31" t="str">
        <f t="shared" si="8"/>
        <v>insert into ins_premium_det (premium_rcv_code,assorted_code, rec_amount,premium_rcv_detail_code,remaining_amt, payrec, mode_code,coinsurance_code,class_cd,it_remarks) values</v>
      </c>
      <c r="G163" s="32" t="str">
        <f t="shared" si="10"/>
        <v>('29Oct240041','070000165898','68837',(select max(to_number(i.premium_rcv_detail_code))+1
from ins_premium_det i),'68837','68837','02', '11000003','00','Request by Mr. Saqib Saleem 30-Oct-2024');</v>
      </c>
      <c r="H163" s="33" t="str">
        <f t="shared" si="11"/>
        <v>insert into ins_premium_det (premium_rcv_code,assorted_code, rec_amount,premium_rcv_detail_code,remaining_amt, payrec, mode_code,coinsurance_code,class_cd,it_remarks) values('29Oct240041','070000165898','68837',(select max(to_number(i.premium_rcv_detail_code))+1
from ins_premium_det i),'68837','68837','02', '11000003','00','Request by Mr. Saqib Saleem 30-Oct-2024');</v>
      </c>
    </row>
    <row r="164" spans="1:8" ht="105" x14ac:dyDescent="0.25">
      <c r="A164" s="18" t="s">
        <v>6717</v>
      </c>
      <c r="B164" s="29" t="str">
        <f>VLOOKUP(A164,policy!B:C,2,0)</f>
        <v>070000165899</v>
      </c>
      <c r="C164" s="19">
        <v>44880</v>
      </c>
      <c r="D164" s="30">
        <f t="shared" si="9"/>
        <v>44880</v>
      </c>
      <c r="E164" s="36" t="s">
        <v>7824</v>
      </c>
      <c r="F164" s="31" t="str">
        <f t="shared" si="8"/>
        <v>insert into ins_premium_det (premium_rcv_code,assorted_code, rec_amount,premium_rcv_detail_code,remaining_amt, payrec, mode_code,coinsurance_code,class_cd,it_remarks) values</v>
      </c>
      <c r="G164" s="32" t="str">
        <f t="shared" si="10"/>
        <v>('29Oct240041','070000165899','44880',(select max(to_number(i.premium_rcv_detail_code))+1
from ins_premium_det i),'44880','44880','02', '11000003','00','Request by Mr. Saqib Saleem 30-Oct-2024');</v>
      </c>
      <c r="H164" s="33" t="str">
        <f t="shared" si="11"/>
        <v>insert into ins_premium_det (premium_rcv_code,assorted_code, rec_amount,premium_rcv_detail_code,remaining_amt, payrec, mode_code,coinsurance_code,class_cd,it_remarks) values('29Oct240041','070000165899','44880',(select max(to_number(i.premium_rcv_detail_code))+1
from ins_premium_det i),'44880','44880','02', '11000003','00','Request by Mr. Saqib Saleem 30-Oct-2024');</v>
      </c>
    </row>
    <row r="165" spans="1:8" ht="105" x14ac:dyDescent="0.25">
      <c r="A165" s="18" t="s">
        <v>6718</v>
      </c>
      <c r="B165" s="29" t="str">
        <f>VLOOKUP(A165,policy!B:C,2,0)</f>
        <v>070000165902</v>
      </c>
      <c r="C165" s="19">
        <v>38306</v>
      </c>
      <c r="D165" s="30">
        <f t="shared" si="9"/>
        <v>38306</v>
      </c>
      <c r="E165" s="36" t="s">
        <v>7824</v>
      </c>
      <c r="F165" s="31" t="str">
        <f t="shared" si="8"/>
        <v>insert into ins_premium_det (premium_rcv_code,assorted_code, rec_amount,premium_rcv_detail_code,remaining_amt, payrec, mode_code,coinsurance_code,class_cd,it_remarks) values</v>
      </c>
      <c r="G165" s="32" t="str">
        <f t="shared" si="10"/>
        <v>('29Oct240041','070000165902','38306',(select max(to_number(i.premium_rcv_detail_code))+1
from ins_premium_det i),'38306','38306','02', '11000003','00','Request by Mr. Saqib Saleem 30-Oct-2024');</v>
      </c>
      <c r="H165" s="33" t="str">
        <f t="shared" si="11"/>
        <v>insert into ins_premium_det (premium_rcv_code,assorted_code, rec_amount,premium_rcv_detail_code,remaining_amt, payrec, mode_code,coinsurance_code,class_cd,it_remarks) values('29Oct240041','070000165902','38306',(select max(to_number(i.premium_rcv_detail_code))+1
from ins_premium_det i),'38306','38306','02', '11000003','00','Request by Mr. Saqib Saleem 30-Oct-2024');</v>
      </c>
    </row>
    <row r="166" spans="1:8" ht="105" x14ac:dyDescent="0.25">
      <c r="A166" s="18" t="s">
        <v>6719</v>
      </c>
      <c r="B166" s="29" t="str">
        <f>VLOOKUP(A166,policy!B:C,2,0)</f>
        <v>070000165905</v>
      </c>
      <c r="C166" s="19">
        <v>33653</v>
      </c>
      <c r="D166" s="30">
        <f t="shared" si="9"/>
        <v>33653</v>
      </c>
      <c r="E166" s="36" t="s">
        <v>7824</v>
      </c>
      <c r="F166" s="31" t="str">
        <f t="shared" si="8"/>
        <v>insert into ins_premium_det (premium_rcv_code,assorted_code, rec_amount,premium_rcv_detail_code,remaining_amt, payrec, mode_code,coinsurance_code,class_cd,it_remarks) values</v>
      </c>
      <c r="G166" s="32" t="str">
        <f t="shared" si="10"/>
        <v>('29Oct240041','070000165905','33653',(select max(to_number(i.premium_rcv_detail_code))+1
from ins_premium_det i),'33653','33653','02', '11000003','00','Request by Mr. Saqib Saleem 30-Oct-2024');</v>
      </c>
      <c r="H166" s="33" t="str">
        <f t="shared" si="11"/>
        <v>insert into ins_premium_det (premium_rcv_code,assorted_code, rec_amount,premium_rcv_detail_code,remaining_amt, payrec, mode_code,coinsurance_code,class_cd,it_remarks) values('29Oct240041','070000165905','33653',(select max(to_number(i.premium_rcv_detail_code))+1
from ins_premium_det i),'33653','33653','02', '11000003','00','Request by Mr. Saqib Saleem 30-Oct-2024');</v>
      </c>
    </row>
    <row r="167" spans="1:8" ht="105" x14ac:dyDescent="0.25">
      <c r="A167" s="18" t="s">
        <v>6720</v>
      </c>
      <c r="B167" s="29" t="str">
        <f>VLOOKUP(A167,policy!B:C,2,0)</f>
        <v>070000165906</v>
      </c>
      <c r="C167" s="19">
        <v>68425</v>
      </c>
      <c r="D167" s="30">
        <f t="shared" si="9"/>
        <v>68425</v>
      </c>
      <c r="E167" s="36" t="s">
        <v>7824</v>
      </c>
      <c r="F167" s="31" t="str">
        <f t="shared" si="8"/>
        <v>insert into ins_premium_det (premium_rcv_code,assorted_code, rec_amount,premium_rcv_detail_code,remaining_amt, payrec, mode_code,coinsurance_code,class_cd,it_remarks) values</v>
      </c>
      <c r="G167" s="32" t="str">
        <f t="shared" si="10"/>
        <v>('29Oct240041','070000165906','68425',(select max(to_number(i.premium_rcv_detail_code))+1
from ins_premium_det i),'68425','68425','02', '11000003','00','Request by Mr. Saqib Saleem 30-Oct-2024');</v>
      </c>
      <c r="H167" s="33" t="str">
        <f t="shared" si="11"/>
        <v>insert into ins_premium_det (premium_rcv_code,assorted_code, rec_amount,premium_rcv_detail_code,remaining_amt, payrec, mode_code,coinsurance_code,class_cd,it_remarks) values('29Oct240041','070000165906','68425',(select max(to_number(i.premium_rcv_detail_code))+1
from ins_premium_det i),'68425','68425','02', '11000003','00','Request by Mr. Saqib Saleem 30-Oct-2024');</v>
      </c>
    </row>
    <row r="168" spans="1:8" ht="105" x14ac:dyDescent="0.25">
      <c r="A168" s="18" t="s">
        <v>6721</v>
      </c>
      <c r="B168" s="29" t="str">
        <f>VLOOKUP(A168,policy!B:C,2,0)</f>
        <v>070000165907</v>
      </c>
      <c r="C168" s="19">
        <v>54294</v>
      </c>
      <c r="D168" s="30">
        <f t="shared" si="9"/>
        <v>54294</v>
      </c>
      <c r="E168" s="36" t="s">
        <v>7824</v>
      </c>
      <c r="F168" s="31" t="str">
        <f t="shared" si="8"/>
        <v>insert into ins_premium_det (premium_rcv_code,assorted_code, rec_amount,premium_rcv_detail_code,remaining_amt, payrec, mode_code,coinsurance_code,class_cd,it_remarks) values</v>
      </c>
      <c r="G168" s="32" t="str">
        <f t="shared" si="10"/>
        <v>('29Oct240041','070000165907','54294',(select max(to_number(i.premium_rcv_detail_code))+1
from ins_premium_det i),'54294','54294','02', '11000003','00','Request by Mr. Saqib Saleem 30-Oct-2024');</v>
      </c>
      <c r="H168" s="33" t="str">
        <f t="shared" si="11"/>
        <v>insert into ins_premium_det (premium_rcv_code,assorted_code, rec_amount,premium_rcv_detail_code,remaining_amt, payrec, mode_code,coinsurance_code,class_cd,it_remarks) values('29Oct240041','070000165907','54294',(select max(to_number(i.premium_rcv_detail_code))+1
from ins_premium_det i),'54294','54294','02', '11000003','00','Request by Mr. Saqib Saleem 30-Oct-2024');</v>
      </c>
    </row>
    <row r="169" spans="1:8" ht="105" x14ac:dyDescent="0.25">
      <c r="A169" s="18" t="s">
        <v>6722</v>
      </c>
      <c r="B169" s="29" t="str">
        <f>VLOOKUP(A169,policy!B:C,2,0)</f>
        <v>070000165909</v>
      </c>
      <c r="C169" s="19">
        <v>24480</v>
      </c>
      <c r="D169" s="30">
        <f t="shared" si="9"/>
        <v>24480</v>
      </c>
      <c r="E169" s="36" t="s">
        <v>7824</v>
      </c>
      <c r="F169" s="31" t="str">
        <f t="shared" si="8"/>
        <v>insert into ins_premium_det (premium_rcv_code,assorted_code, rec_amount,premium_rcv_detail_code,remaining_amt, payrec, mode_code,coinsurance_code,class_cd,it_remarks) values</v>
      </c>
      <c r="G169" s="32" t="str">
        <f t="shared" si="10"/>
        <v>('29Oct240041','070000165909','24480',(select max(to_number(i.premium_rcv_detail_code))+1
from ins_premium_det i),'24480','24480','02', '11000003','00','Request by Mr. Saqib Saleem 30-Oct-2024');</v>
      </c>
      <c r="H169" s="33" t="str">
        <f t="shared" si="11"/>
        <v>insert into ins_premium_det (premium_rcv_code,assorted_code, rec_amount,premium_rcv_detail_code,remaining_amt, payrec, mode_code,coinsurance_code,class_cd,it_remarks) values('29Oct240041','070000165909','24480',(select max(to_number(i.premium_rcv_detail_code))+1
from ins_premium_det i),'24480','24480','02', '11000003','00','Request by Mr. Saqib Saleem 30-Oct-2024');</v>
      </c>
    </row>
    <row r="170" spans="1:8" ht="105" x14ac:dyDescent="0.25">
      <c r="A170" s="18" t="s">
        <v>6723</v>
      </c>
      <c r="B170" s="29" t="str">
        <f>VLOOKUP(A170,policy!B:C,2,0)</f>
        <v>070000165911</v>
      </c>
      <c r="C170" s="19">
        <v>49895</v>
      </c>
      <c r="D170" s="30">
        <f t="shared" si="9"/>
        <v>49895</v>
      </c>
      <c r="E170" s="36" t="s">
        <v>7824</v>
      </c>
      <c r="F170" s="31" t="str">
        <f t="shared" si="8"/>
        <v>insert into ins_premium_det (premium_rcv_code,assorted_code, rec_amount,premium_rcv_detail_code,remaining_amt, payrec, mode_code,coinsurance_code,class_cd,it_remarks) values</v>
      </c>
      <c r="G170" s="32" t="str">
        <f t="shared" si="10"/>
        <v>('29Oct240041','070000165911','49895',(select max(to_number(i.premium_rcv_detail_code))+1
from ins_premium_det i),'49895','49895','02', '11000003','00','Request by Mr. Saqib Saleem 30-Oct-2024');</v>
      </c>
      <c r="H170" s="33" t="str">
        <f t="shared" si="11"/>
        <v>insert into ins_premium_det (premium_rcv_code,assorted_code, rec_amount,premium_rcv_detail_code,remaining_amt, payrec, mode_code,coinsurance_code,class_cd,it_remarks) values('29Oct240041','070000165911','49895',(select max(to_number(i.premium_rcv_detail_code))+1
from ins_premium_det i),'49895','49895','02', '11000003','00','Request by Mr. Saqib Saleem 30-Oct-2024');</v>
      </c>
    </row>
    <row r="171" spans="1:8" ht="105" x14ac:dyDescent="0.25">
      <c r="A171" s="18" t="s">
        <v>6724</v>
      </c>
      <c r="B171" s="29" t="str">
        <f>VLOOKUP(A171,policy!B:C,2,0)</f>
        <v>070000166029</v>
      </c>
      <c r="C171" s="19">
        <v>24624</v>
      </c>
      <c r="D171" s="30">
        <f t="shared" si="9"/>
        <v>24624</v>
      </c>
      <c r="E171" s="36" t="s">
        <v>7824</v>
      </c>
      <c r="F171" s="31" t="str">
        <f t="shared" si="8"/>
        <v>insert into ins_premium_det (premium_rcv_code,assorted_code, rec_amount,premium_rcv_detail_code,remaining_amt, payrec, mode_code,coinsurance_code,class_cd,it_remarks) values</v>
      </c>
      <c r="G171" s="32" t="str">
        <f t="shared" si="10"/>
        <v>('29Oct240041','070000166029','24624',(select max(to_number(i.premium_rcv_detail_code))+1
from ins_premium_det i),'24624','24624','02', '11000003','00','Request by Mr. Saqib Saleem 30-Oct-2024');</v>
      </c>
      <c r="H171" s="33" t="str">
        <f t="shared" si="11"/>
        <v>insert into ins_premium_det (premium_rcv_code,assorted_code, rec_amount,premium_rcv_detail_code,remaining_amt, payrec, mode_code,coinsurance_code,class_cd,it_remarks) values('29Oct240041','070000166029','24624',(select max(to_number(i.premium_rcv_detail_code))+1
from ins_premium_det i),'24624','24624','02', '11000003','00','Request by Mr. Saqib Saleem 30-Oct-2024');</v>
      </c>
    </row>
    <row r="172" spans="1:8" ht="105" x14ac:dyDescent="0.25">
      <c r="A172" s="18" t="s">
        <v>6725</v>
      </c>
      <c r="B172" s="29" t="str">
        <f>VLOOKUP(A172,policy!B:C,2,0)</f>
        <v>070000165913</v>
      </c>
      <c r="C172" s="19">
        <v>63665</v>
      </c>
      <c r="D172" s="30">
        <f t="shared" si="9"/>
        <v>63665</v>
      </c>
      <c r="E172" s="36" t="s">
        <v>7824</v>
      </c>
      <c r="F172" s="31" t="str">
        <f t="shared" si="8"/>
        <v>insert into ins_premium_det (premium_rcv_code,assorted_code, rec_amount,premium_rcv_detail_code,remaining_amt, payrec, mode_code,coinsurance_code,class_cd,it_remarks) values</v>
      </c>
      <c r="G172" s="32" t="str">
        <f t="shared" si="10"/>
        <v>('29Oct240041','070000165913','63665',(select max(to_number(i.premium_rcv_detail_code))+1
from ins_premium_det i),'63665','63665','02', '11000003','00','Request by Mr. Saqib Saleem 30-Oct-2024');</v>
      </c>
      <c r="H172" s="33" t="str">
        <f t="shared" si="11"/>
        <v>insert into ins_premium_det (premium_rcv_code,assorted_code, rec_amount,premium_rcv_detail_code,remaining_amt, payrec, mode_code,coinsurance_code,class_cd,it_remarks) values('29Oct240041','070000165913','63665',(select max(to_number(i.premium_rcv_detail_code))+1
from ins_premium_det i),'63665','63665','02', '11000003','00','Request by Mr. Saqib Saleem 30-Oct-2024');</v>
      </c>
    </row>
    <row r="173" spans="1:8" ht="105" x14ac:dyDescent="0.25">
      <c r="A173" s="18" t="s">
        <v>6726</v>
      </c>
      <c r="B173" s="29" t="str">
        <f>VLOOKUP(A173,policy!B:C,2,0)</f>
        <v>070000166031</v>
      </c>
      <c r="C173" s="19">
        <v>26240</v>
      </c>
      <c r="D173" s="30">
        <f t="shared" si="9"/>
        <v>26240</v>
      </c>
      <c r="E173" s="36" t="s">
        <v>7824</v>
      </c>
      <c r="F173" s="31" t="str">
        <f t="shared" si="8"/>
        <v>insert into ins_premium_det (premium_rcv_code,assorted_code, rec_amount,premium_rcv_detail_code,remaining_amt, payrec, mode_code,coinsurance_code,class_cd,it_remarks) values</v>
      </c>
      <c r="G173" s="32" t="str">
        <f t="shared" si="10"/>
        <v>('29Oct240041','070000166031','26240',(select max(to_number(i.premium_rcv_detail_code))+1
from ins_premium_det i),'26240','26240','02', '11000003','00','Request by Mr. Saqib Saleem 30-Oct-2024');</v>
      </c>
      <c r="H173" s="33" t="str">
        <f t="shared" si="11"/>
        <v>insert into ins_premium_det (premium_rcv_code,assorted_code, rec_amount,premium_rcv_detail_code,remaining_amt, payrec, mode_code,coinsurance_code,class_cd,it_remarks) values('29Oct240041','070000166031','26240',(select max(to_number(i.premium_rcv_detail_code))+1
from ins_premium_det i),'26240','26240','02', '11000003','00','Request by Mr. Saqib Saleem 30-Oct-2024');</v>
      </c>
    </row>
    <row r="174" spans="1:8" ht="105" x14ac:dyDescent="0.25">
      <c r="A174" s="18" t="s">
        <v>6727</v>
      </c>
      <c r="B174" s="29" t="str">
        <f>VLOOKUP(A174,policy!B:C,2,0)</f>
        <v>070000165914</v>
      </c>
      <c r="C174" s="19">
        <v>30800</v>
      </c>
      <c r="D174" s="30">
        <f t="shared" si="9"/>
        <v>30800</v>
      </c>
      <c r="E174" s="36" t="s">
        <v>7824</v>
      </c>
      <c r="F174" s="31" t="str">
        <f t="shared" si="8"/>
        <v>insert into ins_premium_det (premium_rcv_code,assorted_code, rec_amount,premium_rcv_detail_code,remaining_amt, payrec, mode_code,coinsurance_code,class_cd,it_remarks) values</v>
      </c>
      <c r="G174" s="32" t="str">
        <f t="shared" si="10"/>
        <v>('29Oct240041','070000165914','30800',(select max(to_number(i.premium_rcv_detail_code))+1
from ins_premium_det i),'30800','30800','02', '11000003','00','Request by Mr. Saqib Saleem 30-Oct-2024');</v>
      </c>
      <c r="H174" s="33" t="str">
        <f t="shared" si="11"/>
        <v>insert into ins_premium_det (premium_rcv_code,assorted_code, rec_amount,premium_rcv_detail_code,remaining_amt, payrec, mode_code,coinsurance_code,class_cd,it_remarks) values('29Oct240041','070000165914','30800',(select max(to_number(i.premium_rcv_detail_code))+1
from ins_premium_det i),'30800','30800','02', '11000003','00','Request by Mr. Saqib Saleem 30-Oct-2024');</v>
      </c>
    </row>
    <row r="175" spans="1:8" ht="105" x14ac:dyDescent="0.25">
      <c r="A175" s="18" t="s">
        <v>6728</v>
      </c>
      <c r="B175" s="29" t="str">
        <f>VLOOKUP(A175,policy!B:C,2,0)</f>
        <v>070000165915</v>
      </c>
      <c r="C175" s="19">
        <v>33653</v>
      </c>
      <c r="D175" s="30">
        <f t="shared" si="9"/>
        <v>33653</v>
      </c>
      <c r="E175" s="36" t="s">
        <v>7824</v>
      </c>
      <c r="F175" s="31" t="str">
        <f t="shared" si="8"/>
        <v>insert into ins_premium_det (premium_rcv_code,assorted_code, rec_amount,premium_rcv_detail_code,remaining_amt, payrec, mode_code,coinsurance_code,class_cd,it_remarks) values</v>
      </c>
      <c r="G175" s="32" t="str">
        <f t="shared" si="10"/>
        <v>('29Oct240041','070000165915','33653',(select max(to_number(i.premium_rcv_detail_code))+1
from ins_premium_det i),'33653','33653','02', '11000003','00','Request by Mr. Saqib Saleem 30-Oct-2024');</v>
      </c>
      <c r="H175" s="33" t="str">
        <f t="shared" si="11"/>
        <v>insert into ins_premium_det (premium_rcv_code,assorted_code, rec_amount,premium_rcv_detail_code,remaining_amt, payrec, mode_code,coinsurance_code,class_cd,it_remarks) values('29Oct240041','070000165915','33653',(select max(to_number(i.premium_rcv_detail_code))+1
from ins_premium_det i),'33653','33653','02', '11000003','00','Request by Mr. Saqib Saleem 30-Oct-2024');</v>
      </c>
    </row>
    <row r="176" spans="1:8" ht="105" x14ac:dyDescent="0.25">
      <c r="A176" s="18" t="s">
        <v>6729</v>
      </c>
      <c r="B176" s="29" t="str">
        <f>VLOOKUP(A176,policy!B:C,2,0)</f>
        <v>070000166033</v>
      </c>
      <c r="C176" s="19">
        <v>34080</v>
      </c>
      <c r="D176" s="30">
        <f t="shared" si="9"/>
        <v>34080</v>
      </c>
      <c r="E176" s="36" t="s">
        <v>7824</v>
      </c>
      <c r="F176" s="31" t="str">
        <f t="shared" si="8"/>
        <v>insert into ins_premium_det (premium_rcv_code,assorted_code, rec_amount,premium_rcv_detail_code,remaining_amt, payrec, mode_code,coinsurance_code,class_cd,it_remarks) values</v>
      </c>
      <c r="G176" s="32" t="str">
        <f t="shared" si="10"/>
        <v>('29Oct240041','070000166033','34080',(select max(to_number(i.premium_rcv_detail_code))+1
from ins_premium_det i),'34080','34080','02', '11000003','00','Request by Mr. Saqib Saleem 30-Oct-2024');</v>
      </c>
      <c r="H176" s="33" t="str">
        <f t="shared" si="11"/>
        <v>insert into ins_premium_det (premium_rcv_code,assorted_code, rec_amount,premium_rcv_detail_code,remaining_amt, payrec, mode_code,coinsurance_code,class_cd,it_remarks) values('29Oct240041','070000166033','34080',(select max(to_number(i.premium_rcv_detail_code))+1
from ins_premium_det i),'34080','34080','02', '11000003','00','Request by Mr. Saqib Saleem 30-Oct-2024');</v>
      </c>
    </row>
    <row r="177" spans="1:8" ht="105" x14ac:dyDescent="0.25">
      <c r="A177" s="18" t="s">
        <v>6730</v>
      </c>
      <c r="B177" s="29" t="str">
        <f>VLOOKUP(A177,policy!B:C,2,0)</f>
        <v>070000166034</v>
      </c>
      <c r="C177" s="19">
        <v>41968</v>
      </c>
      <c r="D177" s="30">
        <f t="shared" si="9"/>
        <v>41968</v>
      </c>
      <c r="E177" s="36" t="s">
        <v>7824</v>
      </c>
      <c r="F177" s="31" t="str">
        <f t="shared" si="8"/>
        <v>insert into ins_premium_det (premium_rcv_code,assorted_code, rec_amount,premium_rcv_detail_code,remaining_amt, payrec, mode_code,coinsurance_code,class_cd,it_remarks) values</v>
      </c>
      <c r="G177" s="32" t="str">
        <f t="shared" si="10"/>
        <v>('29Oct240041','070000166034','41968',(select max(to_number(i.premium_rcv_detail_code))+1
from ins_premium_det i),'41968','41968','02', '11000003','00','Request by Mr. Saqib Saleem 30-Oct-2024');</v>
      </c>
      <c r="H177" s="33" t="str">
        <f t="shared" si="11"/>
        <v>insert into ins_premium_det (premium_rcv_code,assorted_code, rec_amount,premium_rcv_detail_code,remaining_amt, payrec, mode_code,coinsurance_code,class_cd,it_remarks) values('29Oct240041','070000166034','41968',(select max(to_number(i.premium_rcv_detail_code))+1
from ins_premium_det i),'41968','41968','02', '11000003','00','Request by Mr. Saqib Saleem 30-Oct-2024');</v>
      </c>
    </row>
    <row r="178" spans="1:8" ht="105" x14ac:dyDescent="0.25">
      <c r="A178" s="18" t="s">
        <v>6731</v>
      </c>
      <c r="B178" s="29" t="str">
        <f>VLOOKUP(A178,policy!B:C,2,0)</f>
        <v>070000166035</v>
      </c>
      <c r="C178" s="19">
        <v>63006</v>
      </c>
      <c r="D178" s="30">
        <f t="shared" si="9"/>
        <v>63006</v>
      </c>
      <c r="E178" s="36" t="s">
        <v>7824</v>
      </c>
      <c r="F178" s="31" t="str">
        <f t="shared" si="8"/>
        <v>insert into ins_premium_det (premium_rcv_code,assorted_code, rec_amount,premium_rcv_detail_code,remaining_amt, payrec, mode_code,coinsurance_code,class_cd,it_remarks) values</v>
      </c>
      <c r="G178" s="32" t="str">
        <f t="shared" si="10"/>
        <v>('29Oct240041','070000166035','63006',(select max(to_number(i.premium_rcv_detail_code))+1
from ins_premium_det i),'63006','63006','02', '11000003','00','Request by Mr. Saqib Saleem 30-Oct-2024');</v>
      </c>
      <c r="H178" s="33" t="str">
        <f t="shared" si="11"/>
        <v>insert into ins_premium_det (premium_rcv_code,assorted_code, rec_amount,premium_rcv_detail_code,remaining_amt, payrec, mode_code,coinsurance_code,class_cd,it_remarks) values('29Oct240041','070000166035','63006',(select max(to_number(i.premium_rcv_detail_code))+1
from ins_premium_det i),'63006','63006','02', '11000003','00','Request by Mr. Saqib Saleem 30-Oct-2024');</v>
      </c>
    </row>
    <row r="179" spans="1:8" ht="105" x14ac:dyDescent="0.25">
      <c r="A179" s="18" t="s">
        <v>6732</v>
      </c>
      <c r="B179" s="29" t="str">
        <f>VLOOKUP(A179,policy!B:C,2,0)</f>
        <v>070000165916</v>
      </c>
      <c r="C179" s="19">
        <v>197625</v>
      </c>
      <c r="D179" s="30">
        <f t="shared" si="9"/>
        <v>197625</v>
      </c>
      <c r="E179" s="36" t="s">
        <v>7824</v>
      </c>
      <c r="F179" s="31" t="str">
        <f t="shared" si="8"/>
        <v>insert into ins_premium_det (premium_rcv_code,assorted_code, rec_amount,premium_rcv_detail_code,remaining_amt, payrec, mode_code,coinsurance_code,class_cd,it_remarks) values</v>
      </c>
      <c r="G179" s="32" t="str">
        <f t="shared" si="10"/>
        <v>('29Oct240041','070000165916','197625',(select max(to_number(i.premium_rcv_detail_code))+1
from ins_premium_det i),'197625','197625','02', '11000003','00','Request by Mr. Saqib Saleem 30-Oct-2024');</v>
      </c>
      <c r="H179" s="33" t="str">
        <f t="shared" si="11"/>
        <v>insert into ins_premium_det (premium_rcv_code,assorted_code, rec_amount,premium_rcv_detail_code,remaining_amt, payrec, mode_code,coinsurance_code,class_cd,it_remarks) values('29Oct240041','070000165916','197625',(select max(to_number(i.premium_rcv_detail_code))+1
from ins_premium_det i),'197625','197625','02', '11000003','00','Request by Mr. Saqib Saleem 30-Oct-2024');</v>
      </c>
    </row>
    <row r="180" spans="1:8" ht="105" x14ac:dyDescent="0.25">
      <c r="A180" s="18" t="s">
        <v>6733</v>
      </c>
      <c r="B180" s="29" t="str">
        <f>VLOOKUP(A180,policy!B:C,2,0)</f>
        <v>070000166036</v>
      </c>
      <c r="C180" s="19">
        <v>38850</v>
      </c>
      <c r="D180" s="30">
        <f t="shared" si="9"/>
        <v>38850</v>
      </c>
      <c r="E180" s="36" t="s">
        <v>7824</v>
      </c>
      <c r="F180" s="31" t="str">
        <f t="shared" si="8"/>
        <v>insert into ins_premium_det (premium_rcv_code,assorted_code, rec_amount,premium_rcv_detail_code,remaining_amt, payrec, mode_code,coinsurance_code,class_cd,it_remarks) values</v>
      </c>
      <c r="G180" s="32" t="str">
        <f t="shared" si="10"/>
        <v>('29Oct240041','070000166036','38850',(select max(to_number(i.premium_rcv_detail_code))+1
from ins_premium_det i),'38850','38850','02', '11000003','00','Request by Mr. Saqib Saleem 30-Oct-2024');</v>
      </c>
      <c r="H180" s="33" t="str">
        <f t="shared" si="11"/>
        <v>insert into ins_premium_det (premium_rcv_code,assorted_code, rec_amount,premium_rcv_detail_code,remaining_amt, payrec, mode_code,coinsurance_code,class_cd,it_remarks) values('29Oct240041','070000166036','38850',(select max(to_number(i.premium_rcv_detail_code))+1
from ins_premium_det i),'38850','38850','02', '11000003','00','Request by Mr. Saqib Saleem 30-Oct-2024');</v>
      </c>
    </row>
    <row r="181" spans="1:8" ht="105" x14ac:dyDescent="0.25">
      <c r="A181" s="18" t="s">
        <v>6734</v>
      </c>
      <c r="B181" s="29" t="str">
        <f>VLOOKUP(A181,policy!B:C,2,0)</f>
        <v>070000165918</v>
      </c>
      <c r="C181" s="19">
        <v>62112</v>
      </c>
      <c r="D181" s="30">
        <f t="shared" si="9"/>
        <v>62112</v>
      </c>
      <c r="E181" s="36" t="s">
        <v>7824</v>
      </c>
      <c r="F181" s="31" t="str">
        <f t="shared" si="8"/>
        <v>insert into ins_premium_det (premium_rcv_code,assorted_code, rec_amount,premium_rcv_detail_code,remaining_amt, payrec, mode_code,coinsurance_code,class_cd,it_remarks) values</v>
      </c>
      <c r="G181" s="32" t="str">
        <f t="shared" si="10"/>
        <v>('29Oct240041','070000165918','62112',(select max(to_number(i.premium_rcv_detail_code))+1
from ins_premium_det i),'62112','62112','02', '11000003','00','Request by Mr. Saqib Saleem 30-Oct-2024');</v>
      </c>
      <c r="H181" s="33" t="str">
        <f t="shared" si="11"/>
        <v>insert into ins_premium_det (premium_rcv_code,assorted_code, rec_amount,premium_rcv_detail_code,remaining_amt, payrec, mode_code,coinsurance_code,class_cd,it_remarks) values('29Oct240041','070000165918','62112',(select max(to_number(i.premium_rcv_detail_code))+1
from ins_premium_det i),'62112','62112','02', '11000003','00','Request by Mr. Saqib Saleem 30-Oct-2024');</v>
      </c>
    </row>
    <row r="182" spans="1:8" ht="105" x14ac:dyDescent="0.25">
      <c r="A182" s="18" t="s">
        <v>6735</v>
      </c>
      <c r="B182" s="29" t="str">
        <f>VLOOKUP(A182,policy!B:C,2,0)</f>
        <v>070000165919</v>
      </c>
      <c r="C182" s="19">
        <v>66300</v>
      </c>
      <c r="D182" s="30">
        <f t="shared" si="9"/>
        <v>66300</v>
      </c>
      <c r="E182" s="36" t="s">
        <v>7824</v>
      </c>
      <c r="F182" s="31" t="str">
        <f t="shared" si="8"/>
        <v>insert into ins_premium_det (premium_rcv_code,assorted_code, rec_amount,premium_rcv_detail_code,remaining_amt, payrec, mode_code,coinsurance_code,class_cd,it_remarks) values</v>
      </c>
      <c r="G182" s="32" t="str">
        <f t="shared" si="10"/>
        <v>('29Oct240041','070000165919','66300',(select max(to_number(i.premium_rcv_detail_code))+1
from ins_premium_det i),'66300','66300','02', '11000003','00','Request by Mr. Saqib Saleem 30-Oct-2024');</v>
      </c>
      <c r="H182" s="33" t="str">
        <f t="shared" si="11"/>
        <v>insert into ins_premium_det (premium_rcv_code,assorted_code, rec_amount,premium_rcv_detail_code,remaining_amt, payrec, mode_code,coinsurance_code,class_cd,it_remarks) values('29Oct240041','070000165919','66300',(select max(to_number(i.premium_rcv_detail_code))+1
from ins_premium_det i),'66300','66300','02', '11000003','00','Request by Mr. Saqib Saleem 30-Oct-2024');</v>
      </c>
    </row>
    <row r="183" spans="1:8" ht="105" x14ac:dyDescent="0.25">
      <c r="A183" s="18" t="s">
        <v>6736</v>
      </c>
      <c r="B183" s="29" t="str">
        <f>VLOOKUP(A183,policy!B:C,2,0)</f>
        <v>070000165920</v>
      </c>
      <c r="C183" s="19">
        <v>44000</v>
      </c>
      <c r="D183" s="30">
        <f t="shared" si="9"/>
        <v>44000</v>
      </c>
      <c r="E183" s="36" t="s">
        <v>7824</v>
      </c>
      <c r="F183" s="31" t="str">
        <f t="shared" si="8"/>
        <v>insert into ins_premium_det (premium_rcv_code,assorted_code, rec_amount,premium_rcv_detail_code,remaining_amt, payrec, mode_code,coinsurance_code,class_cd,it_remarks) values</v>
      </c>
      <c r="G183" s="32" t="str">
        <f t="shared" si="10"/>
        <v>('29Oct240041','070000165920','44000',(select max(to_number(i.premium_rcv_detail_code))+1
from ins_premium_det i),'44000','44000','02', '11000003','00','Request by Mr. Saqib Saleem 30-Oct-2024');</v>
      </c>
      <c r="H183" s="33" t="str">
        <f t="shared" si="11"/>
        <v>insert into ins_premium_det (premium_rcv_code,assorted_code, rec_amount,premium_rcv_detail_code,remaining_amt, payrec, mode_code,coinsurance_code,class_cd,it_remarks) values('29Oct240041','070000165920','44000',(select max(to_number(i.premium_rcv_detail_code))+1
from ins_premium_det i),'44000','44000','02', '11000003','00','Request by Mr. Saqib Saleem 30-Oct-2024');</v>
      </c>
    </row>
    <row r="184" spans="1:8" ht="105" x14ac:dyDescent="0.25">
      <c r="A184" s="18" t="s">
        <v>6737</v>
      </c>
      <c r="B184" s="29" t="str">
        <f>VLOOKUP(A184,policy!B:C,2,0)</f>
        <v>070000166040</v>
      </c>
      <c r="C184" s="19">
        <v>68837</v>
      </c>
      <c r="D184" s="30">
        <f t="shared" si="9"/>
        <v>68837</v>
      </c>
      <c r="E184" s="36" t="s">
        <v>7824</v>
      </c>
      <c r="F184" s="31" t="str">
        <f t="shared" si="8"/>
        <v>insert into ins_premium_det (premium_rcv_code,assorted_code, rec_amount,premium_rcv_detail_code,remaining_amt, payrec, mode_code,coinsurance_code,class_cd,it_remarks) values</v>
      </c>
      <c r="G184" s="32" t="str">
        <f t="shared" si="10"/>
        <v>('29Oct240041','070000166040','68837',(select max(to_number(i.premium_rcv_detail_code))+1
from ins_premium_det i),'68837','68837','02', '11000003','00','Request by Mr. Saqib Saleem 30-Oct-2024');</v>
      </c>
      <c r="H184" s="33" t="str">
        <f t="shared" si="11"/>
        <v>insert into ins_premium_det (premium_rcv_code,assorted_code, rec_amount,premium_rcv_detail_code,remaining_amt, payrec, mode_code,coinsurance_code,class_cd,it_remarks) values('29Oct240041','070000166040','68837',(select max(to_number(i.premium_rcv_detail_code))+1
from ins_premium_det i),'68837','68837','02', '11000003','00','Request by Mr. Saqib Saleem 30-Oct-2024');</v>
      </c>
    </row>
    <row r="185" spans="1:8" ht="105" x14ac:dyDescent="0.25">
      <c r="A185" s="18" t="s">
        <v>6738</v>
      </c>
      <c r="B185" s="29" t="str">
        <f>VLOOKUP(A185,policy!B:C,2,0)</f>
        <v>070000166041</v>
      </c>
      <c r="C185" s="19">
        <v>76160</v>
      </c>
      <c r="D185" s="30">
        <f t="shared" si="9"/>
        <v>76160</v>
      </c>
      <c r="E185" s="36" t="s">
        <v>7824</v>
      </c>
      <c r="F185" s="31" t="str">
        <f t="shared" si="8"/>
        <v>insert into ins_premium_det (premium_rcv_code,assorted_code, rec_amount,premium_rcv_detail_code,remaining_amt, payrec, mode_code,coinsurance_code,class_cd,it_remarks) values</v>
      </c>
      <c r="G185" s="32" t="str">
        <f t="shared" si="10"/>
        <v>('29Oct240041','070000166041','76160',(select max(to_number(i.premium_rcv_detail_code))+1
from ins_premium_det i),'76160','76160','02', '11000003','00','Request by Mr. Saqib Saleem 30-Oct-2024');</v>
      </c>
      <c r="H185" s="33" t="str">
        <f t="shared" si="11"/>
        <v>insert into ins_premium_det (premium_rcv_code,assorted_code, rec_amount,premium_rcv_detail_code,remaining_amt, payrec, mode_code,coinsurance_code,class_cd,it_remarks) values('29Oct240041','070000166041','76160',(select max(to_number(i.premium_rcv_detail_code))+1
from ins_premium_det i),'76160','76160','02', '11000003','00','Request by Mr. Saqib Saleem 30-Oct-2024');</v>
      </c>
    </row>
    <row r="186" spans="1:8" ht="105" x14ac:dyDescent="0.25">
      <c r="A186" s="18" t="s">
        <v>6739</v>
      </c>
      <c r="B186" s="29" t="str">
        <f>VLOOKUP(A186,policy!B:C,2,0)</f>
        <v>070000165921</v>
      </c>
      <c r="C186" s="19">
        <v>59356</v>
      </c>
      <c r="D186" s="30">
        <f t="shared" si="9"/>
        <v>59356</v>
      </c>
      <c r="E186" s="36" t="s">
        <v>7824</v>
      </c>
      <c r="F186" s="31" t="str">
        <f t="shared" si="8"/>
        <v>insert into ins_premium_det (premium_rcv_code,assorted_code, rec_amount,premium_rcv_detail_code,remaining_amt, payrec, mode_code,coinsurance_code,class_cd,it_remarks) values</v>
      </c>
      <c r="G186" s="32" t="str">
        <f t="shared" si="10"/>
        <v>('29Oct240041','070000165921','59356',(select max(to_number(i.premium_rcv_detail_code))+1
from ins_premium_det i),'59356','59356','02', '11000003','00','Request by Mr. Saqib Saleem 30-Oct-2024');</v>
      </c>
      <c r="H186" s="33" t="str">
        <f t="shared" si="11"/>
        <v>insert into ins_premium_det (premium_rcv_code,assorted_code, rec_amount,premium_rcv_detail_code,remaining_amt, payrec, mode_code,coinsurance_code,class_cd,it_remarks) values('29Oct240041','070000165921','59356',(select max(to_number(i.premium_rcv_detail_code))+1
from ins_premium_det i),'59356','59356','02', '11000003','00','Request by Mr. Saqib Saleem 30-Oct-2024');</v>
      </c>
    </row>
    <row r="187" spans="1:8" ht="105" x14ac:dyDescent="0.25">
      <c r="A187" s="18" t="s">
        <v>6740</v>
      </c>
      <c r="B187" s="29" t="str">
        <f>VLOOKUP(A187,policy!B:C,2,0)</f>
        <v>070000166043</v>
      </c>
      <c r="C187" s="19">
        <v>80846</v>
      </c>
      <c r="D187" s="30">
        <f t="shared" si="9"/>
        <v>80846</v>
      </c>
      <c r="E187" s="36" t="s">
        <v>7824</v>
      </c>
      <c r="F187" s="31" t="str">
        <f t="shared" si="8"/>
        <v>insert into ins_premium_det (premium_rcv_code,assorted_code, rec_amount,premium_rcv_detail_code,remaining_amt, payrec, mode_code,coinsurance_code,class_cd,it_remarks) values</v>
      </c>
      <c r="G187" s="32" t="str">
        <f t="shared" si="10"/>
        <v>('29Oct240041','070000166043','80846',(select max(to_number(i.premium_rcv_detail_code))+1
from ins_premium_det i),'80846','80846','02', '11000003','00','Request by Mr. Saqib Saleem 30-Oct-2024');</v>
      </c>
      <c r="H187" s="33" t="str">
        <f t="shared" si="11"/>
        <v>insert into ins_premium_det (premium_rcv_code,assorted_code, rec_amount,premium_rcv_detail_code,remaining_amt, payrec, mode_code,coinsurance_code,class_cd,it_remarks) values('29Oct240041','070000166043','80846',(select max(to_number(i.premium_rcv_detail_code))+1
from ins_premium_det i),'80846','80846','02', '11000003','00','Request by Mr. Saqib Saleem 30-Oct-2024');</v>
      </c>
    </row>
    <row r="188" spans="1:8" ht="105" x14ac:dyDescent="0.25">
      <c r="A188" s="18" t="s">
        <v>6741</v>
      </c>
      <c r="B188" s="29" t="str">
        <f>VLOOKUP(A188,policy!B:C,2,0)</f>
        <v>070000165922</v>
      </c>
      <c r="C188" s="19">
        <v>41520</v>
      </c>
      <c r="D188" s="30">
        <f t="shared" si="9"/>
        <v>41520</v>
      </c>
      <c r="E188" s="36" t="s">
        <v>7824</v>
      </c>
      <c r="F188" s="31" t="str">
        <f t="shared" si="8"/>
        <v>insert into ins_premium_det (premium_rcv_code,assorted_code, rec_amount,premium_rcv_detail_code,remaining_amt, payrec, mode_code,coinsurance_code,class_cd,it_remarks) values</v>
      </c>
      <c r="G188" s="32" t="str">
        <f t="shared" si="10"/>
        <v>('29Oct240041','070000165922','41520',(select max(to_number(i.premium_rcv_detail_code))+1
from ins_premium_det i),'41520','41520','02', '11000003','00','Request by Mr. Saqib Saleem 30-Oct-2024');</v>
      </c>
      <c r="H188" s="33" t="str">
        <f t="shared" si="11"/>
        <v>insert into ins_premium_det (premium_rcv_code,assorted_code, rec_amount,premium_rcv_detail_code,remaining_amt, payrec, mode_code,coinsurance_code,class_cd,it_remarks) values('29Oct240041','070000165922','41520',(select max(to_number(i.premium_rcv_detail_code))+1
from ins_premium_det i),'41520','41520','02', '11000003','00','Request by Mr. Saqib Saleem 30-Oct-2024');</v>
      </c>
    </row>
    <row r="189" spans="1:8" ht="105" x14ac:dyDescent="0.25">
      <c r="A189" s="18" t="s">
        <v>6742</v>
      </c>
      <c r="B189" s="29" t="str">
        <f>VLOOKUP(A189,policy!B:C,2,0)</f>
        <v>070000166045</v>
      </c>
      <c r="C189" s="19">
        <v>44880</v>
      </c>
      <c r="D189" s="30">
        <f t="shared" si="9"/>
        <v>44880</v>
      </c>
      <c r="E189" s="36" t="s">
        <v>7824</v>
      </c>
      <c r="F189" s="31" t="str">
        <f t="shared" si="8"/>
        <v>insert into ins_premium_det (premium_rcv_code,assorted_code, rec_amount,premium_rcv_detail_code,remaining_amt, payrec, mode_code,coinsurance_code,class_cd,it_remarks) values</v>
      </c>
      <c r="G189" s="32" t="str">
        <f t="shared" si="10"/>
        <v>('29Oct240041','070000166045','44880',(select max(to_number(i.premium_rcv_detail_code))+1
from ins_premium_det i),'44880','44880','02', '11000003','00','Request by Mr. Saqib Saleem 30-Oct-2024');</v>
      </c>
      <c r="H189" s="33" t="str">
        <f t="shared" si="11"/>
        <v>insert into ins_premium_det (premium_rcv_code,assorted_code, rec_amount,premium_rcv_detail_code,remaining_amt, payrec, mode_code,coinsurance_code,class_cd,it_remarks) values('29Oct240041','070000166045','44880',(select max(to_number(i.premium_rcv_detail_code))+1
from ins_premium_det i),'44880','44880','02', '11000003','00','Request by Mr. Saqib Saleem 30-Oct-2024');</v>
      </c>
    </row>
    <row r="190" spans="1:8" ht="105" x14ac:dyDescent="0.25">
      <c r="A190" s="18" t="s">
        <v>6743</v>
      </c>
      <c r="B190" s="29" t="str">
        <f>VLOOKUP(A190,policy!B:C,2,0)</f>
        <v>070000165924</v>
      </c>
      <c r="C190" s="19">
        <v>41424</v>
      </c>
      <c r="D190" s="30">
        <f t="shared" si="9"/>
        <v>41424</v>
      </c>
      <c r="E190" s="36" t="s">
        <v>7824</v>
      </c>
      <c r="F190" s="31" t="str">
        <f t="shared" si="8"/>
        <v>insert into ins_premium_det (premium_rcv_code,assorted_code, rec_amount,premium_rcv_detail_code,remaining_amt, payrec, mode_code,coinsurance_code,class_cd,it_remarks) values</v>
      </c>
      <c r="G190" s="32" t="str">
        <f t="shared" si="10"/>
        <v>('29Oct240041','070000165924','41424',(select max(to_number(i.premium_rcv_detail_code))+1
from ins_premium_det i),'41424','41424','02', '11000003','00','Request by Mr. Saqib Saleem 30-Oct-2024');</v>
      </c>
      <c r="H190" s="33" t="str">
        <f t="shared" si="11"/>
        <v>insert into ins_premium_det (premium_rcv_code,assorted_code, rec_amount,premium_rcv_detail_code,remaining_amt, payrec, mode_code,coinsurance_code,class_cd,it_remarks) values('29Oct240041','070000165924','41424',(select max(to_number(i.premium_rcv_detail_code))+1
from ins_premium_det i),'41424','41424','02', '11000003','00','Request by Mr. Saqib Saleem 30-Oct-2024');</v>
      </c>
    </row>
    <row r="191" spans="1:8" ht="105" x14ac:dyDescent="0.25">
      <c r="A191" s="18" t="s">
        <v>6744</v>
      </c>
      <c r="B191" s="29" t="str">
        <f>VLOOKUP(A191,policy!B:C,2,0)</f>
        <v>070000165928</v>
      </c>
      <c r="C191" s="19">
        <v>39472</v>
      </c>
      <c r="D191" s="30">
        <f t="shared" si="9"/>
        <v>39472</v>
      </c>
      <c r="E191" s="36" t="s">
        <v>7824</v>
      </c>
      <c r="F191" s="31" t="str">
        <f t="shared" si="8"/>
        <v>insert into ins_premium_det (premium_rcv_code,assorted_code, rec_amount,premium_rcv_detail_code,remaining_amt, payrec, mode_code,coinsurance_code,class_cd,it_remarks) values</v>
      </c>
      <c r="G191" s="32" t="str">
        <f t="shared" si="10"/>
        <v>('29Oct240041','070000165928','39472',(select max(to_number(i.premium_rcv_detail_code))+1
from ins_premium_det i),'39472','39472','02', '11000003','00','Request by Mr. Saqib Saleem 30-Oct-2024');</v>
      </c>
      <c r="H191" s="33" t="str">
        <f t="shared" si="11"/>
        <v>insert into ins_premium_det (premium_rcv_code,assorted_code, rec_amount,premium_rcv_detail_code,remaining_amt, payrec, mode_code,coinsurance_code,class_cd,it_remarks) values('29Oct240041','070000165928','39472',(select max(to_number(i.premium_rcv_detail_code))+1
from ins_premium_det i),'39472','39472','02', '11000003','00','Request by Mr. Saqib Saleem 30-Oct-2024');</v>
      </c>
    </row>
    <row r="192" spans="1:8" ht="105" x14ac:dyDescent="0.25">
      <c r="A192" s="18" t="s">
        <v>6745</v>
      </c>
      <c r="B192" s="29" t="str">
        <f>VLOOKUP(A192,policy!B:C,2,0)</f>
        <v>070000166047</v>
      </c>
      <c r="C192" s="19">
        <v>52063</v>
      </c>
      <c r="D192" s="30">
        <f t="shared" si="9"/>
        <v>52063</v>
      </c>
      <c r="E192" s="36" t="s">
        <v>7824</v>
      </c>
      <c r="F192" s="31" t="str">
        <f t="shared" si="8"/>
        <v>insert into ins_premium_det (premium_rcv_code,assorted_code, rec_amount,premium_rcv_detail_code,remaining_amt, payrec, mode_code,coinsurance_code,class_cd,it_remarks) values</v>
      </c>
      <c r="G192" s="32" t="str">
        <f t="shared" si="10"/>
        <v>('29Oct240041','070000166047','52063',(select max(to_number(i.premium_rcv_detail_code))+1
from ins_premium_det i),'52063','52063','02', '11000003','00','Request by Mr. Saqib Saleem 30-Oct-2024');</v>
      </c>
      <c r="H192" s="33" t="str">
        <f t="shared" si="11"/>
        <v>insert into ins_premium_det (premium_rcv_code,assorted_code, rec_amount,premium_rcv_detail_code,remaining_amt, payrec, mode_code,coinsurance_code,class_cd,it_remarks) values('29Oct240041','070000166047','52063',(select max(to_number(i.premium_rcv_detail_code))+1
from ins_premium_det i),'52063','52063','02', '11000003','00','Request by Mr. Saqib Saleem 30-Oct-2024');</v>
      </c>
    </row>
    <row r="193" spans="1:8" ht="105" x14ac:dyDescent="0.25">
      <c r="A193" s="18" t="s">
        <v>6746</v>
      </c>
      <c r="B193" s="29" t="str">
        <f>VLOOKUP(A193,policy!B:C,2,0)</f>
        <v>070000165932</v>
      </c>
      <c r="C193" s="19">
        <v>22928</v>
      </c>
      <c r="D193" s="30">
        <f t="shared" si="9"/>
        <v>22928</v>
      </c>
      <c r="E193" s="36" t="s">
        <v>7824</v>
      </c>
      <c r="F193" s="31" t="str">
        <f t="shared" si="8"/>
        <v>insert into ins_premium_det (premium_rcv_code,assorted_code, rec_amount,premium_rcv_detail_code,remaining_amt, payrec, mode_code,coinsurance_code,class_cd,it_remarks) values</v>
      </c>
      <c r="G193" s="32" t="str">
        <f t="shared" si="10"/>
        <v>('29Oct240041','070000165932','22928',(select max(to_number(i.premium_rcv_detail_code))+1
from ins_premium_det i),'22928','22928','02', '11000003','00','Request by Mr. Saqib Saleem 30-Oct-2024');</v>
      </c>
      <c r="H193" s="33" t="str">
        <f t="shared" si="11"/>
        <v>insert into ins_premium_det (premium_rcv_code,assorted_code, rec_amount,premium_rcv_detail_code,remaining_amt, payrec, mode_code,coinsurance_code,class_cd,it_remarks) values('29Oct240041','070000165932','22928',(select max(to_number(i.premium_rcv_detail_code))+1
from ins_premium_det i),'22928','22928','02', '11000003','00','Request by Mr. Saqib Saleem 30-Oct-2024');</v>
      </c>
    </row>
    <row r="194" spans="1:8" ht="105" x14ac:dyDescent="0.25">
      <c r="A194" s="18" t="s">
        <v>6747</v>
      </c>
      <c r="B194" s="29" t="str">
        <f>VLOOKUP(A194,policy!B:C,2,0)</f>
        <v>070000165936</v>
      </c>
      <c r="C194" s="19">
        <v>19125</v>
      </c>
      <c r="D194" s="30">
        <f t="shared" si="9"/>
        <v>19125</v>
      </c>
      <c r="E194" s="36" t="s">
        <v>7824</v>
      </c>
      <c r="F194" s="31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32" t="str">
        <f t="shared" si="10"/>
        <v>('29Oct240041','070000165936','19125',(select max(to_number(i.premium_rcv_detail_code))+1
from ins_premium_det i),'19125','19125','02', '11000003','00','Request by Mr. Saqib Saleem 30-Oct-2024');</v>
      </c>
      <c r="H194" s="33" t="str">
        <f t="shared" si="11"/>
        <v>insert into ins_premium_det (premium_rcv_code,assorted_code, rec_amount,premium_rcv_detail_code,remaining_amt, payrec, mode_code,coinsurance_code,class_cd,it_remarks) values('29Oct240041','070000165936','19125',(select max(to_number(i.premium_rcv_detail_code))+1
from ins_premium_det i),'19125','19125','02', '11000003','00','Request by Mr. Saqib Saleem 30-Oct-2024');</v>
      </c>
    </row>
    <row r="195" spans="1:8" ht="105" x14ac:dyDescent="0.25">
      <c r="A195" s="18" t="s">
        <v>6748</v>
      </c>
      <c r="B195" s="29" t="str">
        <f>VLOOKUP(A195,policy!B:C,2,0)</f>
        <v>070000165938</v>
      </c>
      <c r="C195" s="19">
        <v>46200</v>
      </c>
      <c r="D195" s="30">
        <f t="shared" ref="D195:D258" si="13">ROUND(C195,0)</f>
        <v>46200</v>
      </c>
      <c r="E195" s="36" t="s">
        <v>7824</v>
      </c>
      <c r="F195" s="31" t="str">
        <f t="shared" si="12"/>
        <v>insert into ins_premium_det (premium_rcv_code,assorted_code, rec_amount,premium_rcv_detail_code,remaining_amt, payrec, mode_code,coinsurance_code,class_cd,it_remarks) values</v>
      </c>
      <c r="G195" s="32" t="str">
        <f t="shared" ref="G195:G258" si="14">"('"&amp;E195&amp;"','"&amp;B195&amp;"','"&amp;D195&amp;"',(select max(to_number(i.premium_rcv_detail_code))+1
from ins_premium_det i),'"&amp;D195&amp;"','"&amp;D195&amp;"','02', '11000003','00','Request by Mr. Saqib Saleem 30-Oct-2024');"</f>
        <v>('29Oct240041','070000165938','46200',(select max(to_number(i.premium_rcv_detail_code))+1
from ins_premium_det i),'46200','46200','02', '11000003','00','Request by Mr. Saqib Saleem 30-Oct-2024');</v>
      </c>
      <c r="H195" s="33" t="str">
        <f t="shared" ref="H195:H258" si="15">F195&amp;G195</f>
        <v>insert into ins_premium_det (premium_rcv_code,assorted_code, rec_amount,premium_rcv_detail_code,remaining_amt, payrec, mode_code,coinsurance_code,class_cd,it_remarks) values('29Oct240041','070000165938','46200',(select max(to_number(i.premium_rcv_detail_code))+1
from ins_premium_det i),'46200','46200','02', '11000003','00','Request by Mr. Saqib Saleem 30-Oct-2024');</v>
      </c>
    </row>
    <row r="196" spans="1:8" ht="105" x14ac:dyDescent="0.25">
      <c r="A196" s="18" t="s">
        <v>6749</v>
      </c>
      <c r="B196" s="29" t="str">
        <f>VLOOKUP(A196,policy!B:C,2,0)</f>
        <v>070000166053</v>
      </c>
      <c r="C196" s="19">
        <v>78838</v>
      </c>
      <c r="D196" s="30">
        <f t="shared" si="13"/>
        <v>78838</v>
      </c>
      <c r="E196" s="36" t="s">
        <v>7824</v>
      </c>
      <c r="F196" s="31" t="str">
        <f t="shared" si="12"/>
        <v>insert into ins_premium_det (premium_rcv_code,assorted_code, rec_amount,premium_rcv_detail_code,remaining_amt, payrec, mode_code,coinsurance_code,class_cd,it_remarks) values</v>
      </c>
      <c r="G196" s="32" t="str">
        <f t="shared" si="14"/>
        <v>('29Oct240041','070000166053','78838',(select max(to_number(i.premium_rcv_detail_code))+1
from ins_premium_det i),'78838','78838','02', '11000003','00','Request by Mr. Saqib Saleem 30-Oct-2024');</v>
      </c>
      <c r="H196" s="33" t="str">
        <f t="shared" si="15"/>
        <v>insert into ins_premium_det (premium_rcv_code,assorted_code, rec_amount,premium_rcv_detail_code,remaining_amt, payrec, mode_code,coinsurance_code,class_cd,it_remarks) values('29Oct240041','070000166053','78838',(select max(to_number(i.premium_rcv_detail_code))+1
from ins_premium_det i),'78838','78838','02', '11000003','00','Request by Mr. Saqib Saleem 30-Oct-2024');</v>
      </c>
    </row>
    <row r="197" spans="1:8" ht="105" x14ac:dyDescent="0.25">
      <c r="A197" s="18" t="s">
        <v>6750</v>
      </c>
      <c r="B197" s="29" t="str">
        <f>VLOOKUP(A197,policy!B:C,2,0)</f>
        <v>070000166054</v>
      </c>
      <c r="C197" s="19">
        <v>35220</v>
      </c>
      <c r="D197" s="30">
        <f t="shared" si="13"/>
        <v>35220</v>
      </c>
      <c r="E197" s="36" t="s">
        <v>7824</v>
      </c>
      <c r="F197" s="31" t="str">
        <f t="shared" si="12"/>
        <v>insert into ins_premium_det (premium_rcv_code,assorted_code, rec_amount,premium_rcv_detail_code,remaining_amt, payrec, mode_code,coinsurance_code,class_cd,it_remarks) values</v>
      </c>
      <c r="G197" s="32" t="str">
        <f t="shared" si="14"/>
        <v>('29Oct240041','070000166054','35220',(select max(to_number(i.premium_rcv_detail_code))+1
from ins_premium_det i),'35220','35220','02', '11000003','00','Request by Mr. Saqib Saleem 30-Oct-2024');</v>
      </c>
      <c r="H197" s="33" t="str">
        <f t="shared" si="15"/>
        <v>insert into ins_premium_det (premium_rcv_code,assorted_code, rec_amount,premium_rcv_detail_code,remaining_amt, payrec, mode_code,coinsurance_code,class_cd,it_remarks) values('29Oct240041','070000166054','35220',(select max(to_number(i.premium_rcv_detail_code))+1
from ins_premium_det i),'35220','35220','02', '11000003','00','Request by Mr. Saqib Saleem 30-Oct-2024');</v>
      </c>
    </row>
    <row r="198" spans="1:8" ht="105" x14ac:dyDescent="0.25">
      <c r="A198" s="18" t="s">
        <v>6751</v>
      </c>
      <c r="B198" s="29" t="str">
        <f>VLOOKUP(A198,policy!B:C,2,0)</f>
        <v>070000165939</v>
      </c>
      <c r="C198" s="19">
        <v>32900</v>
      </c>
      <c r="D198" s="30">
        <f t="shared" si="13"/>
        <v>32900</v>
      </c>
      <c r="E198" s="36" t="s">
        <v>7824</v>
      </c>
      <c r="F198" s="31" t="str">
        <f t="shared" si="12"/>
        <v>insert into ins_premium_det (premium_rcv_code,assorted_code, rec_amount,premium_rcv_detail_code,remaining_amt, payrec, mode_code,coinsurance_code,class_cd,it_remarks) values</v>
      </c>
      <c r="G198" s="32" t="str">
        <f t="shared" si="14"/>
        <v>('29Oct240041','070000165939','32900',(select max(to_number(i.premium_rcv_detail_code))+1
from ins_premium_det i),'32900','32900','02', '11000003','00','Request by Mr. Saqib Saleem 30-Oct-2024');</v>
      </c>
      <c r="H198" s="33" t="str">
        <f t="shared" si="15"/>
        <v>insert into ins_premium_det (premium_rcv_code,assorted_code, rec_amount,premium_rcv_detail_code,remaining_amt, payrec, mode_code,coinsurance_code,class_cd,it_remarks) values('29Oct240041','070000165939','32900',(select max(to_number(i.premium_rcv_detail_code))+1
from ins_premium_det i),'32900','32900','02', '11000003','00','Request by Mr. Saqib Saleem 30-Oct-2024');</v>
      </c>
    </row>
    <row r="199" spans="1:8" ht="105" x14ac:dyDescent="0.25">
      <c r="A199" s="18" t="s">
        <v>6752</v>
      </c>
      <c r="B199" s="29" t="str">
        <f>VLOOKUP(A199,policy!B:C,2,0)</f>
        <v>070000165940</v>
      </c>
      <c r="C199" s="19">
        <v>33285</v>
      </c>
      <c r="D199" s="30">
        <f t="shared" si="13"/>
        <v>33285</v>
      </c>
      <c r="E199" s="36" t="s">
        <v>7824</v>
      </c>
      <c r="F199" s="31" t="str">
        <f t="shared" si="12"/>
        <v>insert into ins_premium_det (premium_rcv_code,assorted_code, rec_amount,premium_rcv_detail_code,remaining_amt, payrec, mode_code,coinsurance_code,class_cd,it_remarks) values</v>
      </c>
      <c r="G199" s="32" t="str">
        <f t="shared" si="14"/>
        <v>('29Oct240041','070000165940','33285',(select max(to_number(i.premium_rcv_detail_code))+1
from ins_premium_det i),'33285','33285','02', '11000003','00','Request by Mr. Saqib Saleem 30-Oct-2024');</v>
      </c>
      <c r="H199" s="33" t="str">
        <f t="shared" si="15"/>
        <v>insert into ins_premium_det (premium_rcv_code,assorted_code, rec_amount,premium_rcv_detail_code,remaining_amt, payrec, mode_code,coinsurance_code,class_cd,it_remarks) values('29Oct240041','070000165940','33285',(select max(to_number(i.premium_rcv_detail_code))+1
from ins_premium_det i),'33285','33285','02', '11000003','00','Request by Mr. Saqib Saleem 30-Oct-2024');</v>
      </c>
    </row>
    <row r="200" spans="1:8" ht="105" x14ac:dyDescent="0.25">
      <c r="A200" s="18" t="s">
        <v>6753</v>
      </c>
      <c r="B200" s="29" t="str">
        <f>VLOOKUP(A200,policy!B:C,2,0)</f>
        <v>070000165945</v>
      </c>
      <c r="C200" s="19">
        <v>46928</v>
      </c>
      <c r="D200" s="30">
        <f t="shared" si="13"/>
        <v>46928</v>
      </c>
      <c r="E200" s="36" t="s">
        <v>7824</v>
      </c>
      <c r="F200" s="31" t="str">
        <f t="shared" si="12"/>
        <v>insert into ins_premium_det (premium_rcv_code,assorted_code, rec_amount,premium_rcv_detail_code,remaining_amt, payrec, mode_code,coinsurance_code,class_cd,it_remarks) values</v>
      </c>
      <c r="G200" s="32" t="str">
        <f t="shared" si="14"/>
        <v>('29Oct240041','070000165945','46928',(select max(to_number(i.premium_rcv_detail_code))+1
from ins_premium_det i),'46928','46928','02', '11000003','00','Request by Mr. Saqib Saleem 30-Oct-2024');</v>
      </c>
      <c r="H200" s="33" t="str">
        <f t="shared" si="15"/>
        <v>insert into ins_premium_det (premium_rcv_code,assorted_code, rec_amount,premium_rcv_detail_code,remaining_amt, payrec, mode_code,coinsurance_code,class_cd,it_remarks) values('29Oct240041','070000165945','46928',(select max(to_number(i.premium_rcv_detail_code))+1
from ins_premium_det i),'46928','46928','02', '11000003','00','Request by Mr. Saqib Saleem 30-Oct-2024');</v>
      </c>
    </row>
    <row r="201" spans="1:8" ht="105" x14ac:dyDescent="0.25">
      <c r="A201" s="18" t="s">
        <v>6754</v>
      </c>
      <c r="B201" s="29" t="str">
        <f>VLOOKUP(A201,policy!B:C,2,0)</f>
        <v>070000165946</v>
      </c>
      <c r="C201" s="19">
        <v>39088</v>
      </c>
      <c r="D201" s="30">
        <f t="shared" si="13"/>
        <v>39088</v>
      </c>
      <c r="E201" s="36" t="s">
        <v>7824</v>
      </c>
      <c r="F201" s="31" t="str">
        <f t="shared" si="12"/>
        <v>insert into ins_premium_det (premium_rcv_code,assorted_code, rec_amount,premium_rcv_detail_code,remaining_amt, payrec, mode_code,coinsurance_code,class_cd,it_remarks) values</v>
      </c>
      <c r="G201" s="32" t="str">
        <f t="shared" si="14"/>
        <v>('29Oct240041','070000165946','39088',(select max(to_number(i.premium_rcv_detail_code))+1
from ins_premium_det i),'39088','39088','02', '11000003','00','Request by Mr. Saqib Saleem 30-Oct-2024');</v>
      </c>
      <c r="H201" s="33" t="str">
        <f t="shared" si="15"/>
        <v>insert into ins_premium_det (premium_rcv_code,assorted_code, rec_amount,premium_rcv_detail_code,remaining_amt, payrec, mode_code,coinsurance_code,class_cd,it_remarks) values('29Oct240041','070000165946','39088',(select max(to_number(i.premium_rcv_detail_code))+1
from ins_premium_det i),'39088','39088','02', '11000003','00','Request by Mr. Saqib Saleem 30-Oct-2024');</v>
      </c>
    </row>
    <row r="202" spans="1:8" ht="105" x14ac:dyDescent="0.25">
      <c r="A202" s="18" t="s">
        <v>6755</v>
      </c>
      <c r="B202" s="29" t="str">
        <f>VLOOKUP(A202,policy!B:C,2,0)</f>
        <v>070000165951</v>
      </c>
      <c r="C202" s="19">
        <v>33724</v>
      </c>
      <c r="D202" s="30">
        <f t="shared" si="13"/>
        <v>33724</v>
      </c>
      <c r="E202" s="36" t="s">
        <v>7824</v>
      </c>
      <c r="F202" s="31" t="str">
        <f t="shared" si="12"/>
        <v>insert into ins_premium_det (premium_rcv_code,assorted_code, rec_amount,premium_rcv_detail_code,remaining_amt, payrec, mode_code,coinsurance_code,class_cd,it_remarks) values</v>
      </c>
      <c r="G202" s="32" t="str">
        <f t="shared" si="14"/>
        <v>('29Oct240041','070000165951','33724',(select max(to_number(i.premium_rcv_detail_code))+1
from ins_premium_det i),'33724','33724','02', '11000003','00','Request by Mr. Saqib Saleem 30-Oct-2024');</v>
      </c>
      <c r="H202" s="33" t="str">
        <f t="shared" si="15"/>
        <v>insert into ins_premium_det (premium_rcv_code,assorted_code, rec_amount,premium_rcv_detail_code,remaining_amt, payrec, mode_code,coinsurance_code,class_cd,it_remarks) values('29Oct240041','070000165951','33724',(select max(to_number(i.premium_rcv_detail_code))+1
from ins_premium_det i),'33724','33724','02', '11000003','00','Request by Mr. Saqib Saleem 30-Oct-2024');</v>
      </c>
    </row>
    <row r="203" spans="1:8" ht="105" x14ac:dyDescent="0.25">
      <c r="A203" s="18" t="s">
        <v>6756</v>
      </c>
      <c r="B203" s="29" t="str">
        <f>VLOOKUP(A203,policy!B:C,2,0)</f>
        <v>070000166061</v>
      </c>
      <c r="C203" s="19">
        <v>18384</v>
      </c>
      <c r="D203" s="30">
        <f t="shared" si="13"/>
        <v>18384</v>
      </c>
      <c r="E203" s="36" t="s">
        <v>7824</v>
      </c>
      <c r="F203" s="31" t="str">
        <f t="shared" si="12"/>
        <v>insert into ins_premium_det (premium_rcv_code,assorted_code, rec_amount,premium_rcv_detail_code,remaining_amt, payrec, mode_code,coinsurance_code,class_cd,it_remarks) values</v>
      </c>
      <c r="G203" s="32" t="str">
        <f t="shared" si="14"/>
        <v>('29Oct240041','070000166061','18384',(select max(to_number(i.premium_rcv_detail_code))+1
from ins_premium_det i),'18384','18384','02', '11000003','00','Request by Mr. Saqib Saleem 30-Oct-2024');</v>
      </c>
      <c r="H203" s="33" t="str">
        <f t="shared" si="15"/>
        <v>insert into ins_premium_det (premium_rcv_code,assorted_code, rec_amount,premium_rcv_detail_code,remaining_amt, payrec, mode_code,coinsurance_code,class_cd,it_remarks) values('29Oct240041','070000166061','18384',(select max(to_number(i.premium_rcv_detail_code))+1
from ins_premium_det i),'18384','18384','02', '11000003','00','Request by Mr. Saqib Saleem 30-Oct-2024');</v>
      </c>
    </row>
    <row r="204" spans="1:8" ht="105" x14ac:dyDescent="0.25">
      <c r="A204" s="18" t="s">
        <v>6757</v>
      </c>
      <c r="B204" s="29" t="str">
        <f>VLOOKUP(A204,policy!B:C,2,0)</f>
        <v>070000166062</v>
      </c>
      <c r="C204" s="19">
        <v>16784</v>
      </c>
      <c r="D204" s="30">
        <f t="shared" si="13"/>
        <v>16784</v>
      </c>
      <c r="E204" s="36" t="s">
        <v>7824</v>
      </c>
      <c r="F204" s="31" t="str">
        <f t="shared" si="12"/>
        <v>insert into ins_premium_det (premium_rcv_code,assorted_code, rec_amount,premium_rcv_detail_code,remaining_amt, payrec, mode_code,coinsurance_code,class_cd,it_remarks) values</v>
      </c>
      <c r="G204" s="32" t="str">
        <f t="shared" si="14"/>
        <v>('29Oct240041','070000166062','16784',(select max(to_number(i.premium_rcv_detail_code))+1
from ins_premium_det i),'16784','16784','02', '11000003','00','Request by Mr. Saqib Saleem 30-Oct-2024');</v>
      </c>
      <c r="H204" s="33" t="str">
        <f t="shared" si="15"/>
        <v>insert into ins_premium_det (premium_rcv_code,assorted_code, rec_amount,premium_rcv_detail_code,remaining_amt, payrec, mode_code,coinsurance_code,class_cd,it_remarks) values('29Oct240041','070000166062','16784',(select max(to_number(i.premium_rcv_detail_code))+1
from ins_premium_det i),'16784','16784','02', '11000003','00','Request by Mr. Saqib Saleem 30-Oct-2024');</v>
      </c>
    </row>
    <row r="205" spans="1:8" ht="105" x14ac:dyDescent="0.25">
      <c r="A205" s="18" t="s">
        <v>6758</v>
      </c>
      <c r="B205" s="29" t="str">
        <f>VLOOKUP(A205,policy!B:C,2,0)</f>
        <v>070000166063</v>
      </c>
      <c r="C205" s="19">
        <v>23766</v>
      </c>
      <c r="D205" s="30">
        <f t="shared" si="13"/>
        <v>23766</v>
      </c>
      <c r="E205" s="36" t="s">
        <v>7824</v>
      </c>
      <c r="F205" s="31" t="str">
        <f t="shared" si="12"/>
        <v>insert into ins_premium_det (premium_rcv_code,assorted_code, rec_amount,premium_rcv_detail_code,remaining_amt, payrec, mode_code,coinsurance_code,class_cd,it_remarks) values</v>
      </c>
      <c r="G205" s="32" t="str">
        <f t="shared" si="14"/>
        <v>('29Oct240041','070000166063','23766',(select max(to_number(i.premium_rcv_detail_code))+1
from ins_premium_det i),'23766','23766','02', '11000003','00','Request by Mr. Saqib Saleem 30-Oct-2024');</v>
      </c>
      <c r="H205" s="33" t="str">
        <f t="shared" si="15"/>
        <v>insert into ins_premium_det (premium_rcv_code,assorted_code, rec_amount,premium_rcv_detail_code,remaining_amt, payrec, mode_code,coinsurance_code,class_cd,it_remarks) values('29Oct240041','070000166063','23766',(select max(to_number(i.premium_rcv_detail_code))+1
from ins_premium_det i),'23766','23766','02', '11000003','00','Request by Mr. Saqib Saleem 30-Oct-2024');</v>
      </c>
    </row>
    <row r="206" spans="1:8" ht="105" x14ac:dyDescent="0.25">
      <c r="A206" s="18" t="s">
        <v>6759</v>
      </c>
      <c r="B206" s="29" t="str">
        <f>VLOOKUP(A206,policy!B:C,2,0)</f>
        <v>070000165952</v>
      </c>
      <c r="C206" s="19">
        <v>25760</v>
      </c>
      <c r="D206" s="30">
        <f t="shared" si="13"/>
        <v>25760</v>
      </c>
      <c r="E206" s="36" t="s">
        <v>7824</v>
      </c>
      <c r="F206" s="31" t="str">
        <f t="shared" si="12"/>
        <v>insert into ins_premium_det (premium_rcv_code,assorted_code, rec_amount,premium_rcv_detail_code,remaining_amt, payrec, mode_code,coinsurance_code,class_cd,it_remarks) values</v>
      </c>
      <c r="G206" s="32" t="str">
        <f t="shared" si="14"/>
        <v>('29Oct240041','070000165952','25760',(select max(to_number(i.premium_rcv_detail_code))+1
from ins_premium_det i),'25760','25760','02', '11000003','00','Request by Mr. Saqib Saleem 30-Oct-2024');</v>
      </c>
      <c r="H206" s="33" t="str">
        <f t="shared" si="15"/>
        <v>insert into ins_premium_det (premium_rcv_code,assorted_code, rec_amount,premium_rcv_detail_code,remaining_amt, payrec, mode_code,coinsurance_code,class_cd,it_remarks) values('29Oct240041','070000165952','25760',(select max(to_number(i.premium_rcv_detail_code))+1
from ins_premium_det i),'25760','25760','02', '11000003','00','Request by Mr. Saqib Saleem 30-Oct-2024');</v>
      </c>
    </row>
    <row r="207" spans="1:8" ht="105" x14ac:dyDescent="0.25">
      <c r="A207" s="18" t="s">
        <v>6760</v>
      </c>
      <c r="B207" s="29" t="str">
        <f>VLOOKUP(A207,policy!B:C,2,0)</f>
        <v>070000165953</v>
      </c>
      <c r="C207" s="19">
        <v>25857</v>
      </c>
      <c r="D207" s="30">
        <f t="shared" si="13"/>
        <v>25857</v>
      </c>
      <c r="E207" s="36" t="s">
        <v>7824</v>
      </c>
      <c r="F207" s="31" t="str">
        <f t="shared" si="12"/>
        <v>insert into ins_premium_det (premium_rcv_code,assorted_code, rec_amount,premium_rcv_detail_code,remaining_amt, payrec, mode_code,coinsurance_code,class_cd,it_remarks) values</v>
      </c>
      <c r="G207" s="32" t="str">
        <f t="shared" si="14"/>
        <v>('29Oct240041','070000165953','25857',(select max(to_number(i.premium_rcv_detail_code))+1
from ins_premium_det i),'25857','25857','02', '11000003','00','Request by Mr. Saqib Saleem 30-Oct-2024');</v>
      </c>
      <c r="H207" s="33" t="str">
        <f t="shared" si="15"/>
        <v>insert into ins_premium_det (premium_rcv_code,assorted_code, rec_amount,premium_rcv_detail_code,remaining_amt, payrec, mode_code,coinsurance_code,class_cd,it_remarks) values('29Oct240041','070000165953','25857',(select max(to_number(i.premium_rcv_detail_code))+1
from ins_premium_det i),'25857','25857','02', '11000003','00','Request by Mr. Saqib Saleem 30-Oct-2024');</v>
      </c>
    </row>
    <row r="208" spans="1:8" ht="105" x14ac:dyDescent="0.25">
      <c r="A208" s="18" t="s">
        <v>6761</v>
      </c>
      <c r="B208" s="29" t="str">
        <f>VLOOKUP(A208,policy!B:C,2,0)</f>
        <v>070000166066</v>
      </c>
      <c r="C208" s="19">
        <v>26480</v>
      </c>
      <c r="D208" s="30">
        <f t="shared" si="13"/>
        <v>26480</v>
      </c>
      <c r="E208" s="36" t="s">
        <v>7824</v>
      </c>
      <c r="F208" s="31" t="str">
        <f t="shared" si="12"/>
        <v>insert into ins_premium_det (premium_rcv_code,assorted_code, rec_amount,premium_rcv_detail_code,remaining_amt, payrec, mode_code,coinsurance_code,class_cd,it_remarks) values</v>
      </c>
      <c r="G208" s="32" t="str">
        <f t="shared" si="14"/>
        <v>('29Oct240041','070000166066','26480',(select max(to_number(i.premium_rcv_detail_code))+1
from ins_premium_det i),'26480','26480','02', '11000003','00','Request by Mr. Saqib Saleem 30-Oct-2024');</v>
      </c>
      <c r="H208" s="33" t="str">
        <f t="shared" si="15"/>
        <v>insert into ins_premium_det (premium_rcv_code,assorted_code, rec_amount,premium_rcv_detail_code,remaining_amt, payrec, mode_code,coinsurance_code,class_cd,it_remarks) values('29Oct240041','070000166066','26480',(select max(to_number(i.premium_rcv_detail_code))+1
from ins_premium_det i),'26480','26480','02', '11000003','00','Request by Mr. Saqib Saleem 30-Oct-2024');</v>
      </c>
    </row>
    <row r="209" spans="1:8" ht="105" x14ac:dyDescent="0.25">
      <c r="A209" s="18" t="s">
        <v>6762</v>
      </c>
      <c r="B209" s="29" t="str">
        <f>VLOOKUP(A209,policy!B:C,2,0)</f>
        <v>070000165955</v>
      </c>
      <c r="C209" s="19">
        <v>89362</v>
      </c>
      <c r="D209" s="30">
        <f t="shared" si="13"/>
        <v>89362</v>
      </c>
      <c r="E209" s="36" t="s">
        <v>7824</v>
      </c>
      <c r="F209" s="31" t="str">
        <f t="shared" si="12"/>
        <v>insert into ins_premium_det (premium_rcv_code,assorted_code, rec_amount,premium_rcv_detail_code,remaining_amt, payrec, mode_code,coinsurance_code,class_cd,it_remarks) values</v>
      </c>
      <c r="G209" s="32" t="str">
        <f t="shared" si="14"/>
        <v>('29Oct240041','070000165955','89362',(select max(to_number(i.premium_rcv_detail_code))+1
from ins_premium_det i),'89362','89362','02', '11000003','00','Request by Mr. Saqib Saleem 30-Oct-2024');</v>
      </c>
      <c r="H209" s="33" t="str">
        <f t="shared" si="15"/>
        <v>insert into ins_premium_det (premium_rcv_code,assorted_code, rec_amount,premium_rcv_detail_code,remaining_amt, payrec, mode_code,coinsurance_code,class_cd,it_remarks) values('29Oct240041','070000165955','89362',(select max(to_number(i.premium_rcv_detail_code))+1
from ins_premium_det i),'89362','89362','02', '11000003','00','Request by Mr. Saqib Saleem 30-Oct-2024');</v>
      </c>
    </row>
    <row r="210" spans="1:8" ht="105" x14ac:dyDescent="0.25">
      <c r="A210" s="18" t="s">
        <v>6763</v>
      </c>
      <c r="B210" s="29" t="str">
        <f>VLOOKUP(A210,policy!B:C,2,0)</f>
        <v>070000166068</v>
      </c>
      <c r="C210" s="19">
        <v>40784</v>
      </c>
      <c r="D210" s="30">
        <f t="shared" si="13"/>
        <v>40784</v>
      </c>
      <c r="E210" s="36" t="s">
        <v>7824</v>
      </c>
      <c r="F210" s="31" t="str">
        <f t="shared" si="12"/>
        <v>insert into ins_premium_det (premium_rcv_code,assorted_code, rec_amount,premium_rcv_detail_code,remaining_amt, payrec, mode_code,coinsurance_code,class_cd,it_remarks) values</v>
      </c>
      <c r="G210" s="32" t="str">
        <f t="shared" si="14"/>
        <v>('29Oct240041','070000166068','40784',(select max(to_number(i.premium_rcv_detail_code))+1
from ins_premium_det i),'40784','40784','02', '11000003','00','Request by Mr. Saqib Saleem 30-Oct-2024');</v>
      </c>
      <c r="H210" s="33" t="str">
        <f t="shared" si="15"/>
        <v>insert into ins_premium_det (premium_rcv_code,assorted_code, rec_amount,premium_rcv_detail_code,remaining_amt, payrec, mode_code,coinsurance_code,class_cd,it_remarks) values('29Oct240041','070000166068','40784',(select max(to_number(i.premium_rcv_detail_code))+1
from ins_premium_det i),'40784','40784','02', '11000003','00','Request by Mr. Saqib Saleem 30-Oct-2024');</v>
      </c>
    </row>
    <row r="211" spans="1:8" ht="105" x14ac:dyDescent="0.25">
      <c r="A211" s="18" t="s">
        <v>6764</v>
      </c>
      <c r="B211" s="29" t="str">
        <f>VLOOKUP(A211,policy!B:C,2,0)</f>
        <v>070000165957</v>
      </c>
      <c r="C211" s="19">
        <v>84996</v>
      </c>
      <c r="D211" s="30">
        <f t="shared" si="13"/>
        <v>84996</v>
      </c>
      <c r="E211" s="36" t="s">
        <v>7824</v>
      </c>
      <c r="F211" s="31" t="str">
        <f t="shared" si="12"/>
        <v>insert into ins_premium_det (premium_rcv_code,assorted_code, rec_amount,premium_rcv_detail_code,remaining_amt, payrec, mode_code,coinsurance_code,class_cd,it_remarks) values</v>
      </c>
      <c r="G211" s="32" t="str">
        <f t="shared" si="14"/>
        <v>('29Oct240041','070000165957','84996',(select max(to_number(i.premium_rcv_detail_code))+1
from ins_premium_det i),'84996','84996','02', '11000003','00','Request by Mr. Saqib Saleem 30-Oct-2024');</v>
      </c>
      <c r="H211" s="33" t="str">
        <f t="shared" si="15"/>
        <v>insert into ins_premium_det (premium_rcv_code,assorted_code, rec_amount,premium_rcv_detail_code,remaining_amt, payrec, mode_code,coinsurance_code,class_cd,it_remarks) values('29Oct240041','070000165957','84996',(select max(to_number(i.premium_rcv_detail_code))+1
from ins_premium_det i),'84996','84996','02', '11000003','00','Request by Mr. Saqib Saleem 30-Oct-2024');</v>
      </c>
    </row>
    <row r="212" spans="1:8" ht="105" x14ac:dyDescent="0.25">
      <c r="A212" s="18" t="s">
        <v>6765</v>
      </c>
      <c r="B212" s="29" t="str">
        <f>VLOOKUP(A212,policy!B:C,2,0)</f>
        <v>070000166071</v>
      </c>
      <c r="C212" s="19">
        <v>68837</v>
      </c>
      <c r="D212" s="30">
        <f t="shared" si="13"/>
        <v>68837</v>
      </c>
      <c r="E212" s="36" t="s">
        <v>7824</v>
      </c>
      <c r="F212" s="31" t="str">
        <f t="shared" si="12"/>
        <v>insert into ins_premium_det (premium_rcv_code,assorted_code, rec_amount,premium_rcv_detail_code,remaining_amt, payrec, mode_code,coinsurance_code,class_cd,it_remarks) values</v>
      </c>
      <c r="G212" s="32" t="str">
        <f t="shared" si="14"/>
        <v>('29Oct240041','070000166071','68837',(select max(to_number(i.premium_rcv_detail_code))+1
from ins_premium_det i),'68837','68837','02', '11000003','00','Request by Mr. Saqib Saleem 30-Oct-2024');</v>
      </c>
      <c r="H212" s="33" t="str">
        <f t="shared" si="15"/>
        <v>insert into ins_premium_det (premium_rcv_code,assorted_code, rec_amount,premium_rcv_detail_code,remaining_amt, payrec, mode_code,coinsurance_code,class_cd,it_remarks) values('29Oct240041','070000166071','68837',(select max(to_number(i.premium_rcv_detail_code))+1
from ins_premium_det i),'68837','68837','02', '11000003','00','Request by Mr. Saqib Saleem 30-Oct-2024');</v>
      </c>
    </row>
    <row r="213" spans="1:8" ht="105" x14ac:dyDescent="0.25">
      <c r="A213" s="18" t="s">
        <v>7021</v>
      </c>
      <c r="B213" s="29" t="str">
        <f>VLOOKUP(A213,policy!B:C,2,0)</f>
        <v>070000164431</v>
      </c>
      <c r="C213" s="19">
        <v>32500</v>
      </c>
      <c r="D213" s="30">
        <f t="shared" si="13"/>
        <v>32500</v>
      </c>
      <c r="E213" s="36" t="s">
        <v>7824</v>
      </c>
      <c r="F213" s="31" t="str">
        <f t="shared" si="12"/>
        <v>insert into ins_premium_det (premium_rcv_code,assorted_code, rec_amount,premium_rcv_detail_code,remaining_amt, payrec, mode_code,coinsurance_code,class_cd,it_remarks) values</v>
      </c>
      <c r="G213" s="32" t="str">
        <f t="shared" si="14"/>
        <v>('29Oct240041','070000164431','32500',(select max(to_number(i.premium_rcv_detail_code))+1
from ins_premium_det i),'32500','32500','02', '11000003','00','Request by Mr. Saqib Saleem 30-Oct-2024');</v>
      </c>
      <c r="H213" s="33" t="str">
        <f t="shared" si="15"/>
        <v>insert into ins_premium_det (premium_rcv_code,assorted_code, rec_amount,premium_rcv_detail_code,remaining_amt, payrec, mode_code,coinsurance_code,class_cd,it_remarks) values('29Oct240041','070000164431','32500',(select max(to_number(i.premium_rcv_detail_code))+1
from ins_premium_det i),'32500','32500','02', '11000003','00','Request by Mr. Saqib Saleem 30-Oct-2024');</v>
      </c>
    </row>
    <row r="214" spans="1:8" ht="105" x14ac:dyDescent="0.25">
      <c r="A214" s="18" t="s">
        <v>6766</v>
      </c>
      <c r="B214" s="29" t="str">
        <f>VLOOKUP(A214,policy!B:C,2,0)</f>
        <v>070000166073</v>
      </c>
      <c r="C214" s="19">
        <v>23190</v>
      </c>
      <c r="D214" s="30">
        <f t="shared" si="13"/>
        <v>23190</v>
      </c>
      <c r="E214" s="36" t="s">
        <v>7824</v>
      </c>
      <c r="F214" s="31" t="str">
        <f t="shared" si="12"/>
        <v>insert into ins_premium_det (premium_rcv_code,assorted_code, rec_amount,premium_rcv_detail_code,remaining_amt, payrec, mode_code,coinsurance_code,class_cd,it_remarks) values</v>
      </c>
      <c r="G214" s="32" t="str">
        <f t="shared" si="14"/>
        <v>('29Oct240041','070000166073','23190',(select max(to_number(i.premium_rcv_detail_code))+1
from ins_premium_det i),'23190','23190','02', '11000003','00','Request by Mr. Saqib Saleem 30-Oct-2024');</v>
      </c>
      <c r="H214" s="33" t="str">
        <f t="shared" si="15"/>
        <v>insert into ins_premium_det (premium_rcv_code,assorted_code, rec_amount,premium_rcv_detail_code,remaining_amt, payrec, mode_code,coinsurance_code,class_cd,it_remarks) values('29Oct240041','070000166073','23190',(select max(to_number(i.premium_rcv_detail_code))+1
from ins_premium_det i),'23190','23190','02', '11000003','00','Request by Mr. Saqib Saleem 30-Oct-2024');</v>
      </c>
    </row>
    <row r="215" spans="1:8" ht="105" x14ac:dyDescent="0.25">
      <c r="A215" s="18" t="s">
        <v>6767</v>
      </c>
      <c r="B215" s="29" t="str">
        <f>VLOOKUP(A215,policy!B:C,2,0)</f>
        <v>070000165966</v>
      </c>
      <c r="C215" s="19">
        <v>22313</v>
      </c>
      <c r="D215" s="30">
        <f t="shared" si="13"/>
        <v>22313</v>
      </c>
      <c r="E215" s="36" t="s">
        <v>7824</v>
      </c>
      <c r="F215" s="31" t="str">
        <f t="shared" si="12"/>
        <v>insert into ins_premium_det (premium_rcv_code,assorted_code, rec_amount,premium_rcv_detail_code,remaining_amt, payrec, mode_code,coinsurance_code,class_cd,it_remarks) values</v>
      </c>
      <c r="G215" s="32" t="str">
        <f t="shared" si="14"/>
        <v>('29Oct240041','070000165966','22313',(select max(to_number(i.premium_rcv_detail_code))+1
from ins_premium_det i),'22313','22313','02', '11000003','00','Request by Mr. Saqib Saleem 30-Oct-2024');</v>
      </c>
      <c r="H215" s="33" t="str">
        <f t="shared" si="15"/>
        <v>insert into ins_premium_det (premium_rcv_code,assorted_code, rec_amount,premium_rcv_detail_code,remaining_amt, payrec, mode_code,coinsurance_code,class_cd,it_remarks) values('29Oct240041','070000165966','22313',(select max(to_number(i.premium_rcv_detail_code))+1
from ins_premium_det i),'22313','22313','02', '11000003','00','Request by Mr. Saqib Saleem 30-Oct-2024');</v>
      </c>
    </row>
    <row r="216" spans="1:8" ht="105" x14ac:dyDescent="0.25">
      <c r="A216" s="18" t="s">
        <v>6768</v>
      </c>
      <c r="B216" s="29" t="str">
        <f>VLOOKUP(A216,policy!B:C,2,0)</f>
        <v>070000166074</v>
      </c>
      <c r="C216" s="19">
        <v>22620</v>
      </c>
      <c r="D216" s="30">
        <f t="shared" si="13"/>
        <v>22620</v>
      </c>
      <c r="E216" s="36" t="s">
        <v>7824</v>
      </c>
      <c r="F216" s="31" t="str">
        <f t="shared" si="12"/>
        <v>insert into ins_premium_det (premium_rcv_code,assorted_code, rec_amount,premium_rcv_detail_code,remaining_amt, payrec, mode_code,coinsurance_code,class_cd,it_remarks) values</v>
      </c>
      <c r="G216" s="32" t="str">
        <f t="shared" si="14"/>
        <v>('29Oct240041','070000166074','22620',(select max(to_number(i.premium_rcv_detail_code))+1
from ins_premium_det i),'22620','22620','02', '11000003','00','Request by Mr. Saqib Saleem 30-Oct-2024');</v>
      </c>
      <c r="H216" s="33" t="str">
        <f t="shared" si="15"/>
        <v>insert into ins_premium_det (premium_rcv_code,assorted_code, rec_amount,premium_rcv_detail_code,remaining_amt, payrec, mode_code,coinsurance_code,class_cd,it_remarks) values('29Oct240041','070000166074','22620',(select max(to_number(i.premium_rcv_detail_code))+1
from ins_premium_det i),'22620','22620','02', '11000003','00','Request by Mr. Saqib Saleem 30-Oct-2024');</v>
      </c>
    </row>
    <row r="217" spans="1:8" ht="105" x14ac:dyDescent="0.25">
      <c r="A217" s="18" t="s">
        <v>6769</v>
      </c>
      <c r="B217" s="29" t="str">
        <f>VLOOKUP(A217,policy!B:C,2,0)</f>
        <v>070000165970</v>
      </c>
      <c r="C217" s="19">
        <v>69233</v>
      </c>
      <c r="D217" s="30">
        <f t="shared" si="13"/>
        <v>69233</v>
      </c>
      <c r="E217" s="36" t="s">
        <v>7824</v>
      </c>
      <c r="F217" s="31" t="str">
        <f t="shared" si="12"/>
        <v>insert into ins_premium_det (premium_rcv_code,assorted_code, rec_amount,premium_rcv_detail_code,remaining_amt, payrec, mode_code,coinsurance_code,class_cd,it_remarks) values</v>
      </c>
      <c r="G217" s="32" t="str">
        <f t="shared" si="14"/>
        <v>('29Oct240041','070000165970','69233',(select max(to_number(i.premium_rcv_detail_code))+1
from ins_premium_det i),'69233','69233','02', '11000003','00','Request by Mr. Saqib Saleem 30-Oct-2024');</v>
      </c>
      <c r="H217" s="33" t="str">
        <f t="shared" si="15"/>
        <v>insert into ins_premium_det (premium_rcv_code,assorted_code, rec_amount,premium_rcv_detail_code,remaining_amt, payrec, mode_code,coinsurance_code,class_cd,it_remarks) values('29Oct240041','070000165970','69233',(select max(to_number(i.premium_rcv_detail_code))+1
from ins_premium_det i),'69233','69233','02', '11000003','00','Request by Mr. Saqib Saleem 30-Oct-2024');</v>
      </c>
    </row>
    <row r="218" spans="1:8" ht="105" x14ac:dyDescent="0.25">
      <c r="A218" s="18" t="s">
        <v>6770</v>
      </c>
      <c r="B218" s="29" t="str">
        <f>VLOOKUP(A218,policy!B:C,2,0)</f>
        <v>070000165971</v>
      </c>
      <c r="C218" s="19">
        <v>70444</v>
      </c>
      <c r="D218" s="30">
        <f t="shared" si="13"/>
        <v>70444</v>
      </c>
      <c r="E218" s="36" t="s">
        <v>7824</v>
      </c>
      <c r="F218" s="31" t="str">
        <f t="shared" si="12"/>
        <v>insert into ins_premium_det (premium_rcv_code,assorted_code, rec_amount,premium_rcv_detail_code,remaining_amt, payrec, mode_code,coinsurance_code,class_cd,it_remarks) values</v>
      </c>
      <c r="G218" s="32" t="str">
        <f t="shared" si="14"/>
        <v>('29Oct240041','070000165971','70444',(select max(to_number(i.premium_rcv_detail_code))+1
from ins_premium_det i),'70444','70444','02', '11000003','00','Request by Mr. Saqib Saleem 30-Oct-2024');</v>
      </c>
      <c r="H218" s="33" t="str">
        <f t="shared" si="15"/>
        <v>insert into ins_premium_det (premium_rcv_code,assorted_code, rec_amount,premium_rcv_detail_code,remaining_amt, payrec, mode_code,coinsurance_code,class_cd,it_remarks) values('29Oct240041','070000165971','70444',(select max(to_number(i.premium_rcv_detail_code))+1
from ins_premium_det i),'70444','70444','02', '11000003','00','Request by Mr. Saqib Saleem 30-Oct-2024');</v>
      </c>
    </row>
    <row r="219" spans="1:8" ht="105" x14ac:dyDescent="0.25">
      <c r="A219" s="18" t="s">
        <v>6771</v>
      </c>
      <c r="B219" s="29" t="str">
        <f>VLOOKUP(A219,policy!B:C,2,0)</f>
        <v>070000165976</v>
      </c>
      <c r="C219" s="19">
        <v>53533</v>
      </c>
      <c r="D219" s="30">
        <f t="shared" si="13"/>
        <v>53533</v>
      </c>
      <c r="E219" s="36" t="s">
        <v>7824</v>
      </c>
      <c r="F219" s="31" t="str">
        <f t="shared" si="12"/>
        <v>insert into ins_premium_det (premium_rcv_code,assorted_code, rec_amount,premium_rcv_detail_code,remaining_amt, payrec, mode_code,coinsurance_code,class_cd,it_remarks) values</v>
      </c>
      <c r="G219" s="32" t="str">
        <f t="shared" si="14"/>
        <v>('29Oct240041','070000165976','53533',(select max(to_number(i.premium_rcv_detail_code))+1
from ins_premium_det i),'53533','53533','02', '11000003','00','Request by Mr. Saqib Saleem 30-Oct-2024');</v>
      </c>
      <c r="H219" s="33" t="str">
        <f t="shared" si="15"/>
        <v>insert into ins_premium_det (premium_rcv_code,assorted_code, rec_amount,premium_rcv_detail_code,remaining_amt, payrec, mode_code,coinsurance_code,class_cd,it_remarks) values('29Oct240041','070000165976','53533',(select max(to_number(i.premium_rcv_detail_code))+1
from ins_premium_det i),'53533','53533','02', '11000003','00','Request by Mr. Saqib Saleem 30-Oct-2024');</v>
      </c>
    </row>
    <row r="220" spans="1:8" ht="105" x14ac:dyDescent="0.25">
      <c r="A220" s="18" t="s">
        <v>6772</v>
      </c>
      <c r="B220" s="29" t="str">
        <f>VLOOKUP(A220,policy!B:C,2,0)</f>
        <v>070000165977</v>
      </c>
      <c r="C220" s="19">
        <v>24760</v>
      </c>
      <c r="D220" s="30">
        <f t="shared" si="13"/>
        <v>24760</v>
      </c>
      <c r="E220" s="36" t="s">
        <v>7824</v>
      </c>
      <c r="F220" s="31" t="str">
        <f t="shared" si="12"/>
        <v>insert into ins_premium_det (premium_rcv_code,assorted_code, rec_amount,premium_rcv_detail_code,remaining_amt, payrec, mode_code,coinsurance_code,class_cd,it_remarks) values</v>
      </c>
      <c r="G220" s="32" t="str">
        <f t="shared" si="14"/>
        <v>('29Oct240041','070000165977','24760',(select max(to_number(i.premium_rcv_detail_code))+1
from ins_premium_det i),'24760','24760','02', '11000003','00','Request by Mr. Saqib Saleem 30-Oct-2024');</v>
      </c>
      <c r="H220" s="33" t="str">
        <f t="shared" si="15"/>
        <v>insert into ins_premium_det (premium_rcv_code,assorted_code, rec_amount,premium_rcv_detail_code,remaining_amt, payrec, mode_code,coinsurance_code,class_cd,it_remarks) values('29Oct240041','070000165977','24760',(select max(to_number(i.premium_rcv_detail_code))+1
from ins_premium_det i),'24760','24760','02', '11000003','00','Request by Mr. Saqib Saleem 30-Oct-2024');</v>
      </c>
    </row>
    <row r="221" spans="1:8" ht="105" x14ac:dyDescent="0.25">
      <c r="A221" s="18" t="s">
        <v>6773</v>
      </c>
      <c r="B221" s="29" t="str">
        <f>VLOOKUP(A221,policy!B:C,2,0)</f>
        <v>070000165979</v>
      </c>
      <c r="C221" s="19">
        <v>55952</v>
      </c>
      <c r="D221" s="30">
        <f t="shared" si="13"/>
        <v>55952</v>
      </c>
      <c r="E221" s="36" t="s">
        <v>7824</v>
      </c>
      <c r="F221" s="31" t="str">
        <f t="shared" si="12"/>
        <v>insert into ins_premium_det (premium_rcv_code,assorted_code, rec_amount,premium_rcv_detail_code,remaining_amt, payrec, mode_code,coinsurance_code,class_cd,it_remarks) values</v>
      </c>
      <c r="G221" s="32" t="str">
        <f t="shared" si="14"/>
        <v>('29Oct240041','070000165979','55952',(select max(to_number(i.premium_rcv_detail_code))+1
from ins_premium_det i),'55952','55952','02', '11000003','00','Request by Mr. Saqib Saleem 30-Oct-2024');</v>
      </c>
      <c r="H221" s="33" t="str">
        <f t="shared" si="15"/>
        <v>insert into ins_premium_det (premium_rcv_code,assorted_code, rec_amount,premium_rcv_detail_code,remaining_amt, payrec, mode_code,coinsurance_code,class_cd,it_remarks) values('29Oct240041','070000165979','55952',(select max(to_number(i.premium_rcv_detail_code))+1
from ins_premium_det i),'55952','55952','02', '11000003','00','Request by Mr. Saqib Saleem 30-Oct-2024');</v>
      </c>
    </row>
    <row r="222" spans="1:8" ht="105" x14ac:dyDescent="0.25">
      <c r="A222" s="18" t="s">
        <v>6774</v>
      </c>
      <c r="B222" s="29" t="str">
        <f>VLOOKUP(A222,policy!B:C,2,0)</f>
        <v>070000165980</v>
      </c>
      <c r="C222" s="19">
        <v>106800</v>
      </c>
      <c r="D222" s="30">
        <f t="shared" si="13"/>
        <v>106800</v>
      </c>
      <c r="E222" s="36" t="s">
        <v>7824</v>
      </c>
      <c r="F222" s="31" t="str">
        <f t="shared" si="12"/>
        <v>insert into ins_premium_det (premium_rcv_code,assorted_code, rec_amount,premium_rcv_detail_code,remaining_amt, payrec, mode_code,coinsurance_code,class_cd,it_remarks) values</v>
      </c>
      <c r="G222" s="32" t="str">
        <f t="shared" si="14"/>
        <v>('29Oct240041','070000165980','106800',(select max(to_number(i.premium_rcv_detail_code))+1
from ins_premium_det i),'106800','106800','02', '11000003','00','Request by Mr. Saqib Saleem 30-Oct-2024');</v>
      </c>
      <c r="H222" s="33" t="str">
        <f t="shared" si="15"/>
        <v>insert into ins_premium_det (premium_rcv_code,assorted_code, rec_amount,premium_rcv_detail_code,remaining_amt, payrec, mode_code,coinsurance_code,class_cd,it_remarks) values('29Oct240041','070000165980','106800',(select max(to_number(i.premium_rcv_detail_code))+1
from ins_premium_det i),'106800','106800','02', '11000003','00','Request by Mr. Saqib Saleem 30-Oct-2024');</v>
      </c>
    </row>
    <row r="223" spans="1:8" ht="105" x14ac:dyDescent="0.25">
      <c r="A223" s="18" t="s">
        <v>6775</v>
      </c>
      <c r="B223" s="29" t="str">
        <f>VLOOKUP(A223,policy!B:C,2,0)</f>
        <v>070000165981</v>
      </c>
      <c r="C223" s="19">
        <v>44848</v>
      </c>
      <c r="D223" s="30">
        <f t="shared" si="13"/>
        <v>44848</v>
      </c>
      <c r="E223" s="36" t="s">
        <v>7824</v>
      </c>
      <c r="F223" s="31" t="str">
        <f t="shared" si="12"/>
        <v>insert into ins_premium_det (premium_rcv_code,assorted_code, rec_amount,premium_rcv_detail_code,remaining_amt, payrec, mode_code,coinsurance_code,class_cd,it_remarks) values</v>
      </c>
      <c r="G223" s="32" t="str">
        <f t="shared" si="14"/>
        <v>('29Oct240041','070000165981','44848',(select max(to_number(i.premium_rcv_detail_code))+1
from ins_premium_det i),'44848','44848','02', '11000003','00','Request by Mr. Saqib Saleem 30-Oct-2024');</v>
      </c>
      <c r="H223" s="33" t="str">
        <f t="shared" si="15"/>
        <v>insert into ins_premium_det (premium_rcv_code,assorted_code, rec_amount,premium_rcv_detail_code,remaining_amt, payrec, mode_code,coinsurance_code,class_cd,it_remarks) values('29Oct240041','070000165981','44848',(select max(to_number(i.premium_rcv_detail_code))+1
from ins_premium_det i),'44848','44848','02', '11000003','00','Request by Mr. Saqib Saleem 30-Oct-2024');</v>
      </c>
    </row>
    <row r="224" spans="1:8" ht="105" x14ac:dyDescent="0.25">
      <c r="A224" s="18" t="s">
        <v>6776</v>
      </c>
      <c r="B224" s="29" t="str">
        <f>VLOOKUP(A224,policy!B:C,2,0)</f>
        <v>070000166087</v>
      </c>
      <c r="C224" s="19">
        <v>23354</v>
      </c>
      <c r="D224" s="30">
        <f t="shared" si="13"/>
        <v>23354</v>
      </c>
      <c r="E224" s="36" t="s">
        <v>7824</v>
      </c>
      <c r="F224" s="31" t="str">
        <f t="shared" si="12"/>
        <v>insert into ins_premium_det (premium_rcv_code,assorted_code, rec_amount,premium_rcv_detail_code,remaining_amt, payrec, mode_code,coinsurance_code,class_cd,it_remarks) values</v>
      </c>
      <c r="G224" s="32" t="str">
        <f t="shared" si="14"/>
        <v>('29Oct240041','070000166087','23354',(select max(to_number(i.premium_rcv_detail_code))+1
from ins_premium_det i),'23354','23354','02', '11000003','00','Request by Mr. Saqib Saleem 30-Oct-2024');</v>
      </c>
      <c r="H224" s="33" t="str">
        <f t="shared" si="15"/>
        <v>insert into ins_premium_det (premium_rcv_code,assorted_code, rec_amount,premium_rcv_detail_code,remaining_amt, payrec, mode_code,coinsurance_code,class_cd,it_remarks) values('29Oct240041','070000166087','23354',(select max(to_number(i.premium_rcv_detail_code))+1
from ins_premium_det i),'23354','23354','02', '11000003','00','Request by Mr. Saqib Saleem 30-Oct-2024');</v>
      </c>
    </row>
    <row r="225" spans="1:8" ht="105" x14ac:dyDescent="0.25">
      <c r="A225" s="18" t="s">
        <v>6777</v>
      </c>
      <c r="B225" s="29" t="str">
        <f>VLOOKUP(A225,policy!B:C,2,0)</f>
        <v>070000166088</v>
      </c>
      <c r="C225" s="19">
        <v>17808</v>
      </c>
      <c r="D225" s="30">
        <f t="shared" si="13"/>
        <v>17808</v>
      </c>
      <c r="E225" s="36" t="s">
        <v>7824</v>
      </c>
      <c r="F225" s="31" t="str">
        <f t="shared" si="12"/>
        <v>insert into ins_premium_det (premium_rcv_code,assorted_code, rec_amount,premium_rcv_detail_code,remaining_amt, payrec, mode_code,coinsurance_code,class_cd,it_remarks) values</v>
      </c>
      <c r="G225" s="32" t="str">
        <f t="shared" si="14"/>
        <v>('29Oct240041','070000166088','17808',(select max(to_number(i.premium_rcv_detail_code))+1
from ins_premium_det i),'17808','17808','02', '11000003','00','Request by Mr. Saqib Saleem 30-Oct-2024');</v>
      </c>
      <c r="H225" s="33" t="str">
        <f t="shared" si="15"/>
        <v>insert into ins_premium_det (premium_rcv_code,assorted_code, rec_amount,premium_rcv_detail_code,remaining_amt, payrec, mode_code,coinsurance_code,class_cd,it_remarks) values('29Oct240041','070000166088','17808',(select max(to_number(i.premium_rcv_detail_code))+1
from ins_premium_det i),'17808','17808','02', '11000003','00','Request by Mr. Saqib Saleem 30-Oct-2024');</v>
      </c>
    </row>
    <row r="226" spans="1:8" ht="105" x14ac:dyDescent="0.25">
      <c r="A226" s="18" t="s">
        <v>6778</v>
      </c>
      <c r="B226" s="29" t="str">
        <f>VLOOKUP(A226,policy!B:C,2,0)</f>
        <v>070000165982</v>
      </c>
      <c r="C226" s="19">
        <v>42400</v>
      </c>
      <c r="D226" s="30">
        <f t="shared" si="13"/>
        <v>42400</v>
      </c>
      <c r="E226" s="36" t="s">
        <v>7824</v>
      </c>
      <c r="F226" s="31" t="str">
        <f t="shared" si="12"/>
        <v>insert into ins_premium_det (premium_rcv_code,assorted_code, rec_amount,premium_rcv_detail_code,remaining_amt, payrec, mode_code,coinsurance_code,class_cd,it_remarks) values</v>
      </c>
      <c r="G226" s="32" t="str">
        <f t="shared" si="14"/>
        <v>('29Oct240041','070000165982','42400',(select max(to_number(i.premium_rcv_detail_code))+1
from ins_premium_det i),'42400','42400','02', '11000003','00','Request by Mr. Saqib Saleem 30-Oct-2024');</v>
      </c>
      <c r="H226" s="33" t="str">
        <f t="shared" si="15"/>
        <v>insert into ins_premium_det (premium_rcv_code,assorted_code, rec_amount,premium_rcv_detail_code,remaining_amt, payrec, mode_code,coinsurance_code,class_cd,it_remarks) values('29Oct240041','070000165982','42400',(select max(to_number(i.premium_rcv_detail_code))+1
from ins_premium_det i),'42400','42400','02', '11000003','00','Request by Mr. Saqib Saleem 30-Oct-2024');</v>
      </c>
    </row>
    <row r="227" spans="1:8" ht="105" x14ac:dyDescent="0.25">
      <c r="A227" s="18" t="s">
        <v>6779</v>
      </c>
      <c r="B227" s="29" t="str">
        <f>VLOOKUP(A227,policy!B:C,2,0)</f>
        <v>070000166090</v>
      </c>
      <c r="C227" s="19">
        <v>16695</v>
      </c>
      <c r="D227" s="30">
        <f t="shared" si="13"/>
        <v>16695</v>
      </c>
      <c r="E227" s="36" t="s">
        <v>7824</v>
      </c>
      <c r="F227" s="31" t="str">
        <f t="shared" si="12"/>
        <v>insert into ins_premium_det (premium_rcv_code,assorted_code, rec_amount,premium_rcv_detail_code,remaining_amt, payrec, mode_code,coinsurance_code,class_cd,it_remarks) values</v>
      </c>
      <c r="G227" s="32" t="str">
        <f t="shared" si="14"/>
        <v>('29Oct240041','070000166090','16695',(select max(to_number(i.premium_rcv_detail_code))+1
from ins_premium_det i),'16695','16695','02', '11000003','00','Request by Mr. Saqib Saleem 30-Oct-2024');</v>
      </c>
      <c r="H227" s="33" t="str">
        <f t="shared" si="15"/>
        <v>insert into ins_premium_det (premium_rcv_code,assorted_code, rec_amount,premium_rcv_detail_code,remaining_amt, payrec, mode_code,coinsurance_code,class_cd,it_remarks) values('29Oct240041','070000166090','16695',(select max(to_number(i.premium_rcv_detail_code))+1
from ins_premium_det i),'16695','16695','02', '11000003','00','Request by Mr. Saqib Saleem 30-Oct-2024');</v>
      </c>
    </row>
    <row r="228" spans="1:8" ht="105" x14ac:dyDescent="0.25">
      <c r="A228" s="18" t="s">
        <v>6780</v>
      </c>
      <c r="B228" s="29" t="str">
        <f>VLOOKUP(A228,policy!B:C,2,0)</f>
        <v>070000165983</v>
      </c>
      <c r="C228" s="19">
        <v>41968</v>
      </c>
      <c r="D228" s="30">
        <f t="shared" si="13"/>
        <v>41968</v>
      </c>
      <c r="E228" s="36" t="s">
        <v>7824</v>
      </c>
      <c r="F228" s="31" t="str">
        <f t="shared" si="12"/>
        <v>insert into ins_premium_det (premium_rcv_code,assorted_code, rec_amount,premium_rcv_detail_code,remaining_amt, payrec, mode_code,coinsurance_code,class_cd,it_remarks) values</v>
      </c>
      <c r="G228" s="32" t="str">
        <f t="shared" si="14"/>
        <v>('29Oct240041','070000165983','41968',(select max(to_number(i.premium_rcv_detail_code))+1
from ins_premium_det i),'41968','41968','02', '11000003','00','Request by Mr. Saqib Saleem 30-Oct-2024');</v>
      </c>
      <c r="H228" s="33" t="str">
        <f t="shared" si="15"/>
        <v>insert into ins_premium_det (premium_rcv_code,assorted_code, rec_amount,premium_rcv_detail_code,remaining_amt, payrec, mode_code,coinsurance_code,class_cd,it_remarks) values('29Oct240041','070000165983','41968',(select max(to_number(i.premium_rcv_detail_code))+1
from ins_premium_det i),'41968','41968','02', '11000003','00','Request by Mr. Saqib Saleem 30-Oct-2024');</v>
      </c>
    </row>
    <row r="229" spans="1:8" ht="105" x14ac:dyDescent="0.25">
      <c r="A229" s="18" t="s">
        <v>6781</v>
      </c>
      <c r="B229" s="29" t="str">
        <f>VLOOKUP(A229,policy!B:C,2,0)</f>
        <v>070000165984</v>
      </c>
      <c r="C229" s="19">
        <v>34340</v>
      </c>
      <c r="D229" s="30">
        <f t="shared" si="13"/>
        <v>34340</v>
      </c>
      <c r="E229" s="36" t="s">
        <v>7824</v>
      </c>
      <c r="F229" s="31" t="str">
        <f t="shared" si="12"/>
        <v>insert into ins_premium_det (premium_rcv_code,assorted_code, rec_amount,premium_rcv_detail_code,remaining_amt, payrec, mode_code,coinsurance_code,class_cd,it_remarks) values</v>
      </c>
      <c r="G229" s="32" t="str">
        <f t="shared" si="14"/>
        <v>('29Oct240041','070000165984','34340',(select max(to_number(i.premium_rcv_detail_code))+1
from ins_premium_det i),'34340','34340','02', '11000003','00','Request by Mr. Saqib Saleem 30-Oct-2024');</v>
      </c>
      <c r="H229" s="33" t="str">
        <f t="shared" si="15"/>
        <v>insert into ins_premium_det (premium_rcv_code,assorted_code, rec_amount,premium_rcv_detail_code,remaining_amt, payrec, mode_code,coinsurance_code,class_cd,it_remarks) values('29Oct240041','070000165984','34340',(select max(to_number(i.premium_rcv_detail_code))+1
from ins_premium_det i),'34340','34340','02', '11000003','00','Request by Mr. Saqib Saleem 30-Oct-2024');</v>
      </c>
    </row>
    <row r="230" spans="1:8" ht="105" x14ac:dyDescent="0.25">
      <c r="A230" s="18" t="s">
        <v>6782</v>
      </c>
      <c r="B230" s="29" t="str">
        <f>VLOOKUP(A230,policy!B:C,2,0)</f>
        <v>070000165986</v>
      </c>
      <c r="C230" s="19">
        <v>23766</v>
      </c>
      <c r="D230" s="30">
        <f t="shared" si="13"/>
        <v>23766</v>
      </c>
      <c r="E230" s="36" t="s">
        <v>7824</v>
      </c>
      <c r="F230" s="31" t="str">
        <f t="shared" si="12"/>
        <v>insert into ins_premium_det (premium_rcv_code,assorted_code, rec_amount,premium_rcv_detail_code,remaining_amt, payrec, mode_code,coinsurance_code,class_cd,it_remarks) values</v>
      </c>
      <c r="G230" s="32" t="str">
        <f t="shared" si="14"/>
        <v>('29Oct240041','070000165986','23766',(select max(to_number(i.premium_rcv_detail_code))+1
from ins_premium_det i),'23766','23766','02', '11000003','00','Request by Mr. Saqib Saleem 30-Oct-2024');</v>
      </c>
      <c r="H230" s="33" t="str">
        <f t="shared" si="15"/>
        <v>insert into ins_premium_det (premium_rcv_code,assorted_code, rec_amount,premium_rcv_detail_code,remaining_amt, payrec, mode_code,coinsurance_code,class_cd,it_remarks) values('29Oct240041','070000165986','23766',(select max(to_number(i.premium_rcv_detail_code))+1
from ins_premium_det i),'23766','23766','02', '11000003','00','Request by Mr. Saqib Saleem 30-Oct-2024');</v>
      </c>
    </row>
    <row r="231" spans="1:8" ht="105" x14ac:dyDescent="0.25">
      <c r="A231" s="18" t="s">
        <v>6783</v>
      </c>
      <c r="B231" s="29" t="str">
        <f>VLOOKUP(A231,policy!B:C,2,0)</f>
        <v>070000166093</v>
      </c>
      <c r="C231" s="19">
        <v>32100</v>
      </c>
      <c r="D231" s="30">
        <f t="shared" si="13"/>
        <v>32100</v>
      </c>
      <c r="E231" s="36" t="s">
        <v>7824</v>
      </c>
      <c r="F231" s="31" t="str">
        <f t="shared" si="12"/>
        <v>insert into ins_premium_det (premium_rcv_code,assorted_code, rec_amount,premium_rcv_detail_code,remaining_amt, payrec, mode_code,coinsurance_code,class_cd,it_remarks) values</v>
      </c>
      <c r="G231" s="32" t="str">
        <f t="shared" si="14"/>
        <v>('29Oct240041','070000166093','32100',(select max(to_number(i.premium_rcv_detail_code))+1
from ins_premium_det i),'32100','32100','02', '11000003','00','Request by Mr. Saqib Saleem 30-Oct-2024');</v>
      </c>
      <c r="H231" s="33" t="str">
        <f t="shared" si="15"/>
        <v>insert into ins_premium_det (premium_rcv_code,assorted_code, rec_amount,premium_rcv_detail_code,remaining_amt, payrec, mode_code,coinsurance_code,class_cd,it_remarks) values('29Oct240041','070000166093','32100',(select max(to_number(i.premium_rcv_detail_code))+1
from ins_premium_det i),'32100','32100','02', '11000003','00','Request by Mr. Saqib Saleem 30-Oct-2024');</v>
      </c>
    </row>
    <row r="232" spans="1:8" ht="105" x14ac:dyDescent="0.25">
      <c r="A232" s="18" t="s">
        <v>6784</v>
      </c>
      <c r="B232" s="29" t="str">
        <f>VLOOKUP(A232,policy!B:C,2,0)</f>
        <v>070000166094</v>
      </c>
      <c r="C232" s="19">
        <v>40960</v>
      </c>
      <c r="D232" s="30">
        <f t="shared" si="13"/>
        <v>40960</v>
      </c>
      <c r="E232" s="36" t="s">
        <v>7824</v>
      </c>
      <c r="F232" s="31" t="str">
        <f t="shared" si="12"/>
        <v>insert into ins_premium_det (premium_rcv_code,assorted_code, rec_amount,premium_rcv_detail_code,remaining_amt, payrec, mode_code,coinsurance_code,class_cd,it_remarks) values</v>
      </c>
      <c r="G232" s="32" t="str">
        <f t="shared" si="14"/>
        <v>('29Oct240041','070000166094','40960',(select max(to_number(i.premium_rcv_detail_code))+1
from ins_premium_det i),'40960','40960','02', '11000003','00','Request by Mr. Saqib Saleem 30-Oct-2024');</v>
      </c>
      <c r="H232" s="33" t="str">
        <f t="shared" si="15"/>
        <v>insert into ins_premium_det (premium_rcv_code,assorted_code, rec_amount,premium_rcv_detail_code,remaining_amt, payrec, mode_code,coinsurance_code,class_cd,it_remarks) values('29Oct240041','070000166094','40960',(select max(to_number(i.premium_rcv_detail_code))+1
from ins_premium_det i),'40960','40960','02', '11000003','00','Request by Mr. Saqib Saleem 30-Oct-2024');</v>
      </c>
    </row>
    <row r="233" spans="1:8" ht="105" x14ac:dyDescent="0.25">
      <c r="A233" s="18" t="s">
        <v>6785</v>
      </c>
      <c r="B233" s="29" t="str">
        <f>VLOOKUP(A233,policy!B:C,2,0)</f>
        <v>070000166095</v>
      </c>
      <c r="C233" s="19">
        <v>35789</v>
      </c>
      <c r="D233" s="30">
        <f t="shared" si="13"/>
        <v>35789</v>
      </c>
      <c r="E233" s="36" t="s">
        <v>7824</v>
      </c>
      <c r="F233" s="31" t="str">
        <f t="shared" si="12"/>
        <v>insert into ins_premium_det (premium_rcv_code,assorted_code, rec_amount,premium_rcv_detail_code,remaining_amt, payrec, mode_code,coinsurance_code,class_cd,it_remarks) values</v>
      </c>
      <c r="G233" s="32" t="str">
        <f t="shared" si="14"/>
        <v>('29Oct240041','070000166095','35789',(select max(to_number(i.premium_rcv_detail_code))+1
from ins_premium_det i),'35789','35789','02', '11000003','00','Request by Mr. Saqib Saleem 30-Oct-2024');</v>
      </c>
      <c r="H233" s="33" t="str">
        <f t="shared" si="15"/>
        <v>insert into ins_premium_det (premium_rcv_code,assorted_code, rec_amount,premium_rcv_detail_code,remaining_amt, payrec, mode_code,coinsurance_code,class_cd,it_remarks) values('29Oct240041','070000166095','35789',(select max(to_number(i.premium_rcv_detail_code))+1
from ins_premium_det i),'35789','35789','02', '11000003','00','Request by Mr. Saqib Saleem 30-Oct-2024');</v>
      </c>
    </row>
    <row r="234" spans="1:8" ht="45" x14ac:dyDescent="0.25">
      <c r="A234" s="22" t="s">
        <v>7022</v>
      </c>
      <c r="B234" s="29" t="e">
        <f>VLOOKUP(A234,policy!B:C,2,0)</f>
        <v>#N/A</v>
      </c>
      <c r="C234" s="23">
        <v>19560</v>
      </c>
      <c r="D234" s="30">
        <f t="shared" si="13"/>
        <v>19560</v>
      </c>
      <c r="E234" s="36" t="s">
        <v>7824</v>
      </c>
      <c r="F234" s="31" t="str">
        <f t="shared" si="12"/>
        <v>insert into ins_premium_det (premium_rcv_code,assorted_code, rec_amount,premium_rcv_detail_code,remaining_amt, payrec, mode_code,coinsurance_code,class_cd,it_remarks) values</v>
      </c>
      <c r="G234" s="32" t="e">
        <f t="shared" si="14"/>
        <v>#N/A</v>
      </c>
      <c r="H234" s="33" t="s">
        <v>7025</v>
      </c>
    </row>
    <row r="235" spans="1:8" ht="105" x14ac:dyDescent="0.25">
      <c r="A235" s="18" t="s">
        <v>6786</v>
      </c>
      <c r="B235" s="29" t="str">
        <f>VLOOKUP(A235,policy!B:C,2,0)</f>
        <v>070000166096</v>
      </c>
      <c r="C235" s="19">
        <v>61600</v>
      </c>
      <c r="D235" s="30">
        <f t="shared" si="13"/>
        <v>61600</v>
      </c>
      <c r="E235" s="36" t="s">
        <v>7824</v>
      </c>
      <c r="F235" s="31" t="str">
        <f t="shared" si="12"/>
        <v>insert into ins_premium_det (premium_rcv_code,assorted_code, rec_amount,premium_rcv_detail_code,remaining_amt, payrec, mode_code,coinsurance_code,class_cd,it_remarks) values</v>
      </c>
      <c r="G235" s="32" t="str">
        <f t="shared" si="14"/>
        <v>('29Oct240041','070000166096','61600',(select max(to_number(i.premium_rcv_detail_code))+1
from ins_premium_det i),'61600','61600','02', '11000003','00','Request by Mr. Saqib Saleem 30-Oct-2024');</v>
      </c>
      <c r="H235" s="33" t="str">
        <f t="shared" si="15"/>
        <v>insert into ins_premium_det (premium_rcv_code,assorted_code, rec_amount,premium_rcv_detail_code,remaining_amt, payrec, mode_code,coinsurance_code,class_cd,it_remarks) values('29Oct240041','070000166096','61600',(select max(to_number(i.premium_rcv_detail_code))+1
from ins_premium_det i),'61600','61600','02', '11000003','00','Request by Mr. Saqib Saleem 30-Oct-2024');</v>
      </c>
    </row>
    <row r="236" spans="1:8" ht="105" x14ac:dyDescent="0.25">
      <c r="A236" s="18" t="s">
        <v>6787</v>
      </c>
      <c r="B236" s="29" t="str">
        <f>VLOOKUP(A236,policy!B:C,2,0)</f>
        <v>070000166097</v>
      </c>
      <c r="C236" s="19">
        <v>62858</v>
      </c>
      <c r="D236" s="30">
        <f t="shared" si="13"/>
        <v>62858</v>
      </c>
      <c r="E236" s="36" t="s">
        <v>7824</v>
      </c>
      <c r="F236" s="31" t="str">
        <f t="shared" si="12"/>
        <v>insert into ins_premium_det (premium_rcv_code,assorted_code, rec_amount,premium_rcv_detail_code,remaining_amt, payrec, mode_code,coinsurance_code,class_cd,it_remarks) values</v>
      </c>
      <c r="G236" s="32" t="str">
        <f t="shared" si="14"/>
        <v>('29Oct240041','070000166097','62858',(select max(to_number(i.premium_rcv_detail_code))+1
from ins_premium_det i),'62858','62858','02', '11000003','00','Request by Mr. Saqib Saleem 30-Oct-2024');</v>
      </c>
      <c r="H236" s="33" t="str">
        <f t="shared" si="15"/>
        <v>insert into ins_premium_det (premium_rcv_code,assorted_code, rec_amount,premium_rcv_detail_code,remaining_amt, payrec, mode_code,coinsurance_code,class_cd,it_remarks) values('29Oct240041','070000166097','62858',(select max(to_number(i.premium_rcv_detail_code))+1
from ins_premium_det i),'62858','62858','02', '11000003','00','Request by Mr. Saqib Saleem 30-Oct-2024');</v>
      </c>
    </row>
    <row r="237" spans="1:8" ht="105" x14ac:dyDescent="0.25">
      <c r="A237" s="18" t="s">
        <v>6788</v>
      </c>
      <c r="B237" s="29" t="str">
        <f>VLOOKUP(A237,policy!B:C,2,0)</f>
        <v>070000165989</v>
      </c>
      <c r="C237" s="19">
        <v>20400</v>
      </c>
      <c r="D237" s="30">
        <f t="shared" si="13"/>
        <v>20400</v>
      </c>
      <c r="E237" s="36" t="s">
        <v>7824</v>
      </c>
      <c r="F237" s="31" t="str">
        <f t="shared" si="12"/>
        <v>insert into ins_premium_det (premium_rcv_code,assorted_code, rec_amount,premium_rcv_detail_code,remaining_amt, payrec, mode_code,coinsurance_code,class_cd,it_remarks) values</v>
      </c>
      <c r="G237" s="32" t="str">
        <f t="shared" si="14"/>
        <v>('29Oct240041','070000165989','20400',(select max(to_number(i.premium_rcv_detail_code))+1
from ins_premium_det i),'20400','20400','02', '11000003','00','Request by Mr. Saqib Saleem 30-Oct-2024');</v>
      </c>
      <c r="H237" s="33" t="str">
        <f t="shared" si="15"/>
        <v>insert into ins_premium_det (premium_rcv_code,assorted_code, rec_amount,premium_rcv_detail_code,remaining_amt, payrec, mode_code,coinsurance_code,class_cd,it_remarks) values('29Oct240041','070000165989','20400',(select max(to_number(i.premium_rcv_detail_code))+1
from ins_premium_det i),'20400','20400','02', '11000003','00','Request by Mr. Saqib Saleem 30-Oct-2024');</v>
      </c>
    </row>
    <row r="238" spans="1:8" ht="105" x14ac:dyDescent="0.25">
      <c r="A238" s="18" t="s">
        <v>6789</v>
      </c>
      <c r="B238" s="29" t="str">
        <f>VLOOKUP(A238,policy!B:C,2,0)</f>
        <v>070000166098</v>
      </c>
      <c r="C238" s="19">
        <v>75586</v>
      </c>
      <c r="D238" s="30">
        <f t="shared" si="13"/>
        <v>75586</v>
      </c>
      <c r="E238" s="36" t="s">
        <v>7824</v>
      </c>
      <c r="F238" s="31" t="str">
        <f t="shared" si="12"/>
        <v>insert into ins_premium_det (premium_rcv_code,assorted_code, rec_amount,premium_rcv_detail_code,remaining_amt, payrec, mode_code,coinsurance_code,class_cd,it_remarks) values</v>
      </c>
      <c r="G238" s="32" t="str">
        <f t="shared" si="14"/>
        <v>('29Oct240041','070000166098','75586',(select max(to_number(i.premium_rcv_detail_code))+1
from ins_premium_det i),'75586','75586','02', '11000003','00','Request by Mr. Saqib Saleem 30-Oct-2024');</v>
      </c>
      <c r="H238" s="33" t="str">
        <f t="shared" si="15"/>
        <v>insert into ins_premium_det (premium_rcv_code,assorted_code, rec_amount,premium_rcv_detail_code,remaining_amt, payrec, mode_code,coinsurance_code,class_cd,it_remarks) values('29Oct240041','070000166098','75586',(select max(to_number(i.premium_rcv_detail_code))+1
from ins_premium_det i),'75586','75586','02', '11000003','00','Request by Mr. Saqib Saleem 30-Oct-2024');</v>
      </c>
    </row>
    <row r="239" spans="1:8" ht="105" x14ac:dyDescent="0.25">
      <c r="A239" s="18" t="s">
        <v>6790</v>
      </c>
      <c r="B239" s="29" t="str">
        <f>VLOOKUP(A239,policy!B:C,2,0)</f>
        <v>070000165990</v>
      </c>
      <c r="C239" s="19">
        <v>38140</v>
      </c>
      <c r="D239" s="30">
        <f t="shared" si="13"/>
        <v>38140</v>
      </c>
      <c r="E239" s="36" t="s">
        <v>7824</v>
      </c>
      <c r="F239" s="31" t="str">
        <f t="shared" si="12"/>
        <v>insert into ins_premium_det (premium_rcv_code,assorted_code, rec_amount,premium_rcv_detail_code,remaining_amt, payrec, mode_code,coinsurance_code,class_cd,it_remarks) values</v>
      </c>
      <c r="G239" s="32" t="str">
        <f t="shared" si="14"/>
        <v>('29Oct240041','070000165990','38140',(select max(to_number(i.premium_rcv_detail_code))+1
from ins_premium_det i),'38140','38140','02', '11000003','00','Request by Mr. Saqib Saleem 30-Oct-2024');</v>
      </c>
      <c r="H239" s="33" t="str">
        <f t="shared" si="15"/>
        <v>insert into ins_premium_det (premium_rcv_code,assorted_code, rec_amount,premium_rcv_detail_code,remaining_amt, payrec, mode_code,coinsurance_code,class_cd,it_remarks) values('29Oct240041','070000165990','38140',(select max(to_number(i.premium_rcv_detail_code))+1
from ins_premium_det i),'38140','38140','02', '11000003','00','Request by Mr. Saqib Saleem 30-Oct-2024');</v>
      </c>
    </row>
    <row r="240" spans="1:8" ht="105" x14ac:dyDescent="0.25">
      <c r="A240" s="18" t="s">
        <v>6791</v>
      </c>
      <c r="B240" s="29" t="str">
        <f>VLOOKUP(A240,policy!B:C,2,0)</f>
        <v>070000165992</v>
      </c>
      <c r="C240" s="19">
        <v>37931</v>
      </c>
      <c r="D240" s="30">
        <f t="shared" si="13"/>
        <v>37931</v>
      </c>
      <c r="E240" s="36" t="s">
        <v>7824</v>
      </c>
      <c r="F240" s="31" t="str">
        <f t="shared" si="12"/>
        <v>insert into ins_premium_det (premium_rcv_code,assorted_code, rec_amount,premium_rcv_detail_code,remaining_amt, payrec, mode_code,coinsurance_code,class_cd,it_remarks) values</v>
      </c>
      <c r="G240" s="32" t="str">
        <f t="shared" si="14"/>
        <v>('29Oct240041','070000165992','37931',(select max(to_number(i.premium_rcv_detail_code))+1
from ins_premium_det i),'37931','37931','02', '11000003','00','Request by Mr. Saqib Saleem 30-Oct-2024');</v>
      </c>
      <c r="H240" s="33" t="str">
        <f t="shared" si="15"/>
        <v>insert into ins_premium_det (premium_rcv_code,assorted_code, rec_amount,premium_rcv_detail_code,remaining_amt, payrec, mode_code,coinsurance_code,class_cd,it_remarks) values('29Oct240041','070000165992','37931',(select max(to_number(i.premium_rcv_detail_code))+1
from ins_premium_det i),'37931','37931','02', '11000003','00','Request by Mr. Saqib Saleem 30-Oct-2024');</v>
      </c>
    </row>
    <row r="241" spans="1:8" ht="105" x14ac:dyDescent="0.25">
      <c r="A241" s="18" t="s">
        <v>6792</v>
      </c>
      <c r="B241" s="29" t="str">
        <f>VLOOKUP(A241,policy!B:C,2,0)</f>
        <v>070000165993</v>
      </c>
      <c r="C241" s="19">
        <v>44625</v>
      </c>
      <c r="D241" s="30">
        <f t="shared" si="13"/>
        <v>44625</v>
      </c>
      <c r="E241" s="36" t="s">
        <v>7824</v>
      </c>
      <c r="F241" s="31" t="str">
        <f t="shared" si="12"/>
        <v>insert into ins_premium_det (premium_rcv_code,assorted_code, rec_amount,premium_rcv_detail_code,remaining_amt, payrec, mode_code,coinsurance_code,class_cd,it_remarks) values</v>
      </c>
      <c r="G241" s="32" t="str">
        <f t="shared" si="14"/>
        <v>('29Oct240041','070000165993','44625',(select max(to_number(i.premium_rcv_detail_code))+1
from ins_premium_det i),'44625','44625','02', '11000003','00','Request by Mr. Saqib Saleem 30-Oct-2024');</v>
      </c>
      <c r="H241" s="33" t="str">
        <f t="shared" si="15"/>
        <v>insert into ins_premium_det (premium_rcv_code,assorted_code, rec_amount,premium_rcv_detail_code,remaining_amt, payrec, mode_code,coinsurance_code,class_cd,it_remarks) values('29Oct240041','070000165993','44625',(select max(to_number(i.premium_rcv_detail_code))+1
from ins_premium_det i),'44625','44625','02', '11000003','00','Request by Mr. Saqib Saleem 30-Oct-2024');</v>
      </c>
    </row>
    <row r="242" spans="1:8" ht="105" x14ac:dyDescent="0.25">
      <c r="A242" s="18" t="s">
        <v>6793</v>
      </c>
      <c r="B242" s="29" t="str">
        <f>VLOOKUP(A242,policy!B:C,2,0)</f>
        <v>070000165994</v>
      </c>
      <c r="C242" s="19">
        <v>36281</v>
      </c>
      <c r="D242" s="30">
        <f t="shared" si="13"/>
        <v>36281</v>
      </c>
      <c r="E242" s="36" t="s">
        <v>7824</v>
      </c>
      <c r="F242" s="31" t="str">
        <f t="shared" si="12"/>
        <v>insert into ins_premium_det (premium_rcv_code,assorted_code, rec_amount,premium_rcv_detail_code,remaining_amt, payrec, mode_code,coinsurance_code,class_cd,it_remarks) values</v>
      </c>
      <c r="G242" s="32" t="str">
        <f t="shared" si="14"/>
        <v>('29Oct240041','070000165994','36281',(select max(to_number(i.premium_rcv_detail_code))+1
from ins_premium_det i),'36281','36281','02', '11000003','00','Request by Mr. Saqib Saleem 30-Oct-2024');</v>
      </c>
      <c r="H242" s="33" t="str">
        <f t="shared" si="15"/>
        <v>insert into ins_premium_det (premium_rcv_code,assorted_code, rec_amount,premium_rcv_detail_code,remaining_amt, payrec, mode_code,coinsurance_code,class_cd,it_remarks) values('29Oct240041','070000165994','36281',(select max(to_number(i.premium_rcv_detail_code))+1
from ins_premium_det i),'36281','36281','02', '11000003','00','Request by Mr. Saqib Saleem 30-Oct-2024');</v>
      </c>
    </row>
    <row r="243" spans="1:8" ht="105" x14ac:dyDescent="0.25">
      <c r="A243" s="18" t="s">
        <v>6794</v>
      </c>
      <c r="B243" s="29" t="str">
        <f>VLOOKUP(A243,policy!B:C,2,0)</f>
        <v>070000165996</v>
      </c>
      <c r="C243" s="19">
        <v>43485</v>
      </c>
      <c r="D243" s="30">
        <f t="shared" si="13"/>
        <v>43485</v>
      </c>
      <c r="E243" s="36" t="s">
        <v>7824</v>
      </c>
      <c r="F243" s="31" t="str">
        <f t="shared" si="12"/>
        <v>insert into ins_premium_det (premium_rcv_code,assorted_code, rec_amount,premium_rcv_detail_code,remaining_amt, payrec, mode_code,coinsurance_code,class_cd,it_remarks) values</v>
      </c>
      <c r="G243" s="32" t="str">
        <f t="shared" si="14"/>
        <v>('29Oct240041','070000165996','43485',(select max(to_number(i.premium_rcv_detail_code))+1
from ins_premium_det i),'43485','43485','02', '11000003','00','Request by Mr. Saqib Saleem 30-Oct-2024');</v>
      </c>
      <c r="H243" s="33" t="str">
        <f t="shared" si="15"/>
        <v>insert into ins_premium_det (premium_rcv_code,assorted_code, rec_amount,premium_rcv_detail_code,remaining_amt, payrec, mode_code,coinsurance_code,class_cd,it_remarks) values('29Oct240041','070000165996','43485',(select max(to_number(i.premium_rcv_detail_code))+1
from ins_premium_det i),'43485','43485','02', '11000003','00','Request by Mr. Saqib Saleem 30-Oct-2024');</v>
      </c>
    </row>
    <row r="244" spans="1:8" ht="105" x14ac:dyDescent="0.25">
      <c r="A244" s="18" t="s">
        <v>6795</v>
      </c>
      <c r="B244" s="29" t="str">
        <f>VLOOKUP(A244,policy!B:C,2,0)</f>
        <v>070000165997</v>
      </c>
      <c r="C244" s="19">
        <v>26205</v>
      </c>
      <c r="D244" s="30">
        <f t="shared" si="13"/>
        <v>26205</v>
      </c>
      <c r="E244" s="36" t="s">
        <v>7824</v>
      </c>
      <c r="F244" s="31" t="str">
        <f t="shared" si="12"/>
        <v>insert into ins_premium_det (premium_rcv_code,assorted_code, rec_amount,premium_rcv_detail_code,remaining_amt, payrec, mode_code,coinsurance_code,class_cd,it_remarks) values</v>
      </c>
      <c r="G244" s="32" t="str">
        <f t="shared" si="14"/>
        <v>('29Oct240041','070000165997','26205',(select max(to_number(i.premium_rcv_detail_code))+1
from ins_premium_det i),'26205','26205','02', '11000003','00','Request by Mr. Saqib Saleem 30-Oct-2024');</v>
      </c>
      <c r="H244" s="33" t="str">
        <f t="shared" si="15"/>
        <v>insert into ins_premium_det (premium_rcv_code,assorted_code, rec_amount,premium_rcv_detail_code,remaining_amt, payrec, mode_code,coinsurance_code,class_cd,it_remarks) values('29Oct240041','070000165997','26205',(select max(to_number(i.premium_rcv_detail_code))+1
from ins_premium_det i),'26205','26205','02', '11000003','00','Request by Mr. Saqib Saleem 30-Oct-2024');</v>
      </c>
    </row>
    <row r="245" spans="1:8" ht="105" x14ac:dyDescent="0.25">
      <c r="A245" s="18" t="s">
        <v>6796</v>
      </c>
      <c r="B245" s="29" t="str">
        <f>VLOOKUP(A245,policy!B:C,2,0)</f>
        <v>070000165998</v>
      </c>
      <c r="C245" s="19">
        <v>22444</v>
      </c>
      <c r="D245" s="30">
        <f t="shared" si="13"/>
        <v>22444</v>
      </c>
      <c r="E245" s="36" t="s">
        <v>7824</v>
      </c>
      <c r="F245" s="31" t="str">
        <f t="shared" si="12"/>
        <v>insert into ins_premium_det (premium_rcv_code,assorted_code, rec_amount,premium_rcv_detail_code,remaining_amt, payrec, mode_code,coinsurance_code,class_cd,it_remarks) values</v>
      </c>
      <c r="G245" s="32" t="str">
        <f t="shared" si="14"/>
        <v>('29Oct240041','070000165998','22444',(select max(to_number(i.premium_rcv_detail_code))+1
from ins_premium_det i),'22444','22444','02', '11000003','00','Request by Mr. Saqib Saleem 30-Oct-2024');</v>
      </c>
      <c r="H245" s="33" t="str">
        <f t="shared" si="15"/>
        <v>insert into ins_premium_det (premium_rcv_code,assorted_code, rec_amount,premium_rcv_detail_code,remaining_amt, payrec, mode_code,coinsurance_code,class_cd,it_remarks) values('29Oct240041','070000165998','22444',(select max(to_number(i.premium_rcv_detail_code))+1
from ins_premium_det i),'22444','22444','02', '11000003','00','Request by Mr. Saqib Saleem 30-Oct-2024');</v>
      </c>
    </row>
    <row r="246" spans="1:8" ht="105" x14ac:dyDescent="0.25">
      <c r="A246" s="18" t="s">
        <v>6797</v>
      </c>
      <c r="B246" s="29" t="str">
        <f>VLOOKUP(A246,policy!B:C,2,0)</f>
        <v>070000166106</v>
      </c>
      <c r="C246" s="19">
        <v>66032</v>
      </c>
      <c r="D246" s="30">
        <f t="shared" si="13"/>
        <v>66032</v>
      </c>
      <c r="E246" s="36" t="s">
        <v>7824</v>
      </c>
      <c r="F246" s="31" t="str">
        <f t="shared" si="12"/>
        <v>insert into ins_premium_det (premium_rcv_code,assorted_code, rec_amount,premium_rcv_detail_code,remaining_amt, payrec, mode_code,coinsurance_code,class_cd,it_remarks) values</v>
      </c>
      <c r="G246" s="32" t="str">
        <f t="shared" si="14"/>
        <v>('29Oct240041','070000166106','66032',(select max(to_number(i.premium_rcv_detail_code))+1
from ins_premium_det i),'66032','66032','02', '11000003','00','Request by Mr. Saqib Saleem 30-Oct-2024');</v>
      </c>
      <c r="H246" s="33" t="str">
        <f t="shared" si="15"/>
        <v>insert into ins_premium_det (premium_rcv_code,assorted_code, rec_amount,premium_rcv_detail_code,remaining_amt, payrec, mode_code,coinsurance_code,class_cd,it_remarks) values('29Oct240041','070000166106','66032',(select max(to_number(i.premium_rcv_detail_code))+1
from ins_premium_det i),'66032','66032','02', '11000003','00','Request by Mr. Saqib Saleem 30-Oct-2024');</v>
      </c>
    </row>
    <row r="247" spans="1:8" ht="105" x14ac:dyDescent="0.25">
      <c r="A247" s="18" t="s">
        <v>6798</v>
      </c>
      <c r="B247" s="29" t="str">
        <f>VLOOKUP(A247,policy!B:C,2,0)</f>
        <v>070000165999</v>
      </c>
      <c r="C247" s="19">
        <v>24469</v>
      </c>
      <c r="D247" s="30">
        <f t="shared" si="13"/>
        <v>24469</v>
      </c>
      <c r="E247" s="36" t="s">
        <v>7824</v>
      </c>
      <c r="F247" s="31" t="str">
        <f t="shared" si="12"/>
        <v>insert into ins_premium_det (premium_rcv_code,assorted_code, rec_amount,premium_rcv_detail_code,remaining_amt, payrec, mode_code,coinsurance_code,class_cd,it_remarks) values</v>
      </c>
      <c r="G247" s="32" t="str">
        <f t="shared" si="14"/>
        <v>('29Oct240041','070000165999','24469',(select max(to_number(i.premium_rcv_detail_code))+1
from ins_premium_det i),'24469','24469','02', '11000003','00','Request by Mr. Saqib Saleem 30-Oct-2024');</v>
      </c>
      <c r="H247" s="33" t="str">
        <f t="shared" si="15"/>
        <v>insert into ins_premium_det (premium_rcv_code,assorted_code, rec_amount,premium_rcv_detail_code,remaining_amt, payrec, mode_code,coinsurance_code,class_cd,it_remarks) values('29Oct240041','070000165999','24469',(select max(to_number(i.premium_rcv_detail_code))+1
from ins_premium_det i),'24469','24469','02', '11000003','00','Request by Mr. Saqib Saleem 30-Oct-2024');</v>
      </c>
    </row>
    <row r="248" spans="1:8" ht="105" x14ac:dyDescent="0.25">
      <c r="A248" s="18" t="s">
        <v>6799</v>
      </c>
      <c r="B248" s="29" t="str">
        <f>VLOOKUP(A248,policy!B:C,2,0)</f>
        <v>070000166000</v>
      </c>
      <c r="C248" s="19">
        <v>56525</v>
      </c>
      <c r="D248" s="30">
        <f t="shared" si="13"/>
        <v>56525</v>
      </c>
      <c r="E248" s="36" t="s">
        <v>7824</v>
      </c>
      <c r="F248" s="31" t="str">
        <f t="shared" si="12"/>
        <v>insert into ins_premium_det (premium_rcv_code,assorted_code, rec_amount,premium_rcv_detail_code,remaining_amt, payrec, mode_code,coinsurance_code,class_cd,it_remarks) values</v>
      </c>
      <c r="G248" s="32" t="str">
        <f t="shared" si="14"/>
        <v>('29Oct240041','070000166000','56525',(select max(to_number(i.premium_rcv_detail_code))+1
from ins_premium_det i),'56525','56525','02', '11000003','00','Request by Mr. Saqib Saleem 30-Oct-2024');</v>
      </c>
      <c r="H248" s="33" t="str">
        <f t="shared" si="15"/>
        <v>insert into ins_premium_det (premium_rcv_code,assorted_code, rec_amount,premium_rcv_detail_code,remaining_amt, payrec, mode_code,coinsurance_code,class_cd,it_remarks) values('29Oct240041','070000166000','56525',(select max(to_number(i.premium_rcv_detail_code))+1
from ins_premium_det i),'56525','56525','02', '11000003','00','Request by Mr. Saqib Saleem 30-Oct-2024');</v>
      </c>
    </row>
    <row r="249" spans="1:8" ht="105" x14ac:dyDescent="0.25">
      <c r="A249" s="18" t="s">
        <v>6800</v>
      </c>
      <c r="B249" s="29" t="str">
        <f>VLOOKUP(A249,policy!B:C,2,0)</f>
        <v>070000166002</v>
      </c>
      <c r="C249" s="19">
        <v>62541</v>
      </c>
      <c r="D249" s="30">
        <f t="shared" si="13"/>
        <v>62541</v>
      </c>
      <c r="E249" s="36" t="s">
        <v>7824</v>
      </c>
      <c r="F249" s="31" t="str">
        <f t="shared" si="12"/>
        <v>insert into ins_premium_det (premium_rcv_code,assorted_code, rec_amount,premium_rcv_detail_code,remaining_amt, payrec, mode_code,coinsurance_code,class_cd,it_remarks) values</v>
      </c>
      <c r="G249" s="32" t="str">
        <f t="shared" si="14"/>
        <v>('29Oct240041','070000166002','62541',(select max(to_number(i.premium_rcv_detail_code))+1
from ins_premium_det i),'62541','62541','02', '11000003','00','Request by Mr. Saqib Saleem 30-Oct-2024');</v>
      </c>
      <c r="H249" s="33" t="str">
        <f t="shared" si="15"/>
        <v>insert into ins_premium_det (premium_rcv_code,assorted_code, rec_amount,premium_rcv_detail_code,remaining_amt, payrec, mode_code,coinsurance_code,class_cd,it_remarks) values('29Oct240041','070000166002','62541',(select max(to_number(i.premium_rcv_detail_code))+1
from ins_premium_det i),'62541','62541','02', '11000003','00','Request by Mr. Saqib Saleem 30-Oct-2024');</v>
      </c>
    </row>
    <row r="250" spans="1:8" ht="105" x14ac:dyDescent="0.25">
      <c r="A250" s="18" t="s">
        <v>6801</v>
      </c>
      <c r="B250" s="29" t="str">
        <f>VLOOKUP(A250,policy!B:C,2,0)</f>
        <v>070000166112</v>
      </c>
      <c r="C250" s="19">
        <v>22763</v>
      </c>
      <c r="D250" s="30">
        <f t="shared" si="13"/>
        <v>22763</v>
      </c>
      <c r="E250" s="36" t="s">
        <v>7824</v>
      </c>
      <c r="F250" s="31" t="str">
        <f t="shared" si="12"/>
        <v>insert into ins_premium_det (premium_rcv_code,assorted_code, rec_amount,premium_rcv_detail_code,remaining_amt, payrec, mode_code,coinsurance_code,class_cd,it_remarks) values</v>
      </c>
      <c r="G250" s="32" t="str">
        <f t="shared" si="14"/>
        <v>('29Oct240041','070000166112','22763',(select max(to_number(i.premium_rcv_detail_code))+1
from ins_premium_det i),'22763','22763','02', '11000003','00','Request by Mr. Saqib Saleem 30-Oct-2024');</v>
      </c>
      <c r="H250" s="33" t="str">
        <f t="shared" si="15"/>
        <v>insert into ins_premium_det (premium_rcv_code,assorted_code, rec_amount,premium_rcv_detail_code,remaining_amt, payrec, mode_code,coinsurance_code,class_cd,it_remarks) values('29Oct240041','070000166112','22763',(select max(to_number(i.premium_rcv_detail_code))+1
from ins_premium_det i),'22763','22763','02', '11000003','00','Request by Mr. Saqib Saleem 30-Oct-2024');</v>
      </c>
    </row>
    <row r="251" spans="1:8" ht="105" x14ac:dyDescent="0.25">
      <c r="A251" s="18" t="s">
        <v>6802</v>
      </c>
      <c r="B251" s="29" t="str">
        <f>VLOOKUP(A251,policy!B:C,2,0)</f>
        <v>070000166005</v>
      </c>
      <c r="C251" s="19">
        <v>51600</v>
      </c>
      <c r="D251" s="30">
        <f t="shared" si="13"/>
        <v>51600</v>
      </c>
      <c r="E251" s="36" t="s">
        <v>7824</v>
      </c>
      <c r="F251" s="31" t="str">
        <f t="shared" si="12"/>
        <v>insert into ins_premium_det (premium_rcv_code,assorted_code, rec_amount,premium_rcv_detail_code,remaining_amt, payrec, mode_code,coinsurance_code,class_cd,it_remarks) values</v>
      </c>
      <c r="G251" s="32" t="str">
        <f t="shared" si="14"/>
        <v>('29Oct240041','070000166005','51600',(select max(to_number(i.premium_rcv_detail_code))+1
from ins_premium_det i),'51600','51600','02', '11000003','00','Request by Mr. Saqib Saleem 30-Oct-2024');</v>
      </c>
      <c r="H251" s="33" t="str">
        <f t="shared" si="15"/>
        <v>insert into ins_premium_det (premium_rcv_code,assorted_code, rec_amount,premium_rcv_detail_code,remaining_amt, payrec, mode_code,coinsurance_code,class_cd,it_remarks) values('29Oct240041','070000166005','51600',(select max(to_number(i.premium_rcv_detail_code))+1
from ins_premium_det i),'51600','51600','02', '11000003','00','Request by Mr. Saqib Saleem 30-Oct-2024');</v>
      </c>
    </row>
    <row r="252" spans="1:8" ht="105" x14ac:dyDescent="0.25">
      <c r="A252" s="18" t="s">
        <v>6803</v>
      </c>
      <c r="B252" s="29" t="str">
        <f>VLOOKUP(A252,policy!B:C,2,0)</f>
        <v>070000166006</v>
      </c>
      <c r="C252" s="19">
        <v>39345</v>
      </c>
      <c r="D252" s="30">
        <f t="shared" si="13"/>
        <v>39345</v>
      </c>
      <c r="E252" s="36" t="s">
        <v>7824</v>
      </c>
      <c r="F252" s="31" t="str">
        <f t="shared" si="12"/>
        <v>insert into ins_premium_det (premium_rcv_code,assorted_code, rec_amount,premium_rcv_detail_code,remaining_amt, payrec, mode_code,coinsurance_code,class_cd,it_remarks) values</v>
      </c>
      <c r="G252" s="32" t="str">
        <f t="shared" si="14"/>
        <v>('29Oct240041','070000166006','39345',(select max(to_number(i.premium_rcv_detail_code))+1
from ins_premium_det i),'39345','39345','02', '11000003','00','Request by Mr. Saqib Saleem 30-Oct-2024');</v>
      </c>
      <c r="H252" s="33" t="str">
        <f t="shared" si="15"/>
        <v>insert into ins_premium_det (premium_rcv_code,assorted_code, rec_amount,premium_rcv_detail_code,remaining_amt, payrec, mode_code,coinsurance_code,class_cd,it_remarks) values('29Oct240041','070000166006','39345',(select max(to_number(i.premium_rcv_detail_code))+1
from ins_premium_det i),'39345','39345','02', '11000003','00','Request by Mr. Saqib Saleem 30-Oct-2024');</v>
      </c>
    </row>
    <row r="253" spans="1:8" ht="105" x14ac:dyDescent="0.25">
      <c r="A253" s="18" t="s">
        <v>6804</v>
      </c>
      <c r="B253" s="29" t="str">
        <f>VLOOKUP(A253,policy!B:C,2,0)</f>
        <v>070000166111</v>
      </c>
      <c r="C253" s="19">
        <v>27166</v>
      </c>
      <c r="D253" s="30">
        <f t="shared" si="13"/>
        <v>27166</v>
      </c>
      <c r="E253" s="36" t="s">
        <v>7824</v>
      </c>
      <c r="F253" s="31" t="str">
        <f t="shared" si="12"/>
        <v>insert into ins_premium_det (premium_rcv_code,assorted_code, rec_amount,premium_rcv_detail_code,remaining_amt, payrec, mode_code,coinsurance_code,class_cd,it_remarks) values</v>
      </c>
      <c r="G253" s="32" t="str">
        <f t="shared" si="14"/>
        <v>('29Oct240041','070000166111','27166',(select max(to_number(i.premium_rcv_detail_code))+1
from ins_premium_det i),'27166','27166','02', '11000003','00','Request by Mr. Saqib Saleem 30-Oct-2024');</v>
      </c>
      <c r="H253" s="33" t="str">
        <f t="shared" si="15"/>
        <v>insert into ins_premium_det (premium_rcv_code,assorted_code, rec_amount,premium_rcv_detail_code,remaining_amt, payrec, mode_code,coinsurance_code,class_cd,it_remarks) values('29Oct240041','070000166111','27166',(select max(to_number(i.premium_rcv_detail_code))+1
from ins_premium_det i),'27166','27166','02', '11000003','00','Request by Mr. Saqib Saleem 30-Oct-2024');</v>
      </c>
    </row>
    <row r="254" spans="1:8" ht="105" x14ac:dyDescent="0.25">
      <c r="A254" s="18" t="s">
        <v>6805</v>
      </c>
      <c r="B254" s="29" t="str">
        <f>VLOOKUP(A254,policy!B:C,2,0)</f>
        <v>070000166007</v>
      </c>
      <c r="C254" s="19">
        <v>36800</v>
      </c>
      <c r="D254" s="30">
        <f t="shared" si="13"/>
        <v>36800</v>
      </c>
      <c r="E254" s="36" t="s">
        <v>7824</v>
      </c>
      <c r="F254" s="31" t="str">
        <f t="shared" si="12"/>
        <v>insert into ins_premium_det (premium_rcv_code,assorted_code, rec_amount,premium_rcv_detail_code,remaining_amt, payrec, mode_code,coinsurance_code,class_cd,it_remarks) values</v>
      </c>
      <c r="G254" s="32" t="str">
        <f t="shared" si="14"/>
        <v>('29Oct240041','070000166007','36800',(select max(to_number(i.premium_rcv_detail_code))+1
from ins_premium_det i),'36800','36800','02', '11000003','00','Request by Mr. Saqib Saleem 30-Oct-2024');</v>
      </c>
      <c r="H254" s="33" t="str">
        <f t="shared" si="15"/>
        <v>insert into ins_premium_det (premium_rcv_code,assorted_code, rec_amount,premium_rcv_detail_code,remaining_amt, payrec, mode_code,coinsurance_code,class_cd,it_remarks) values('29Oct240041','070000166007','36800',(select max(to_number(i.premium_rcv_detail_code))+1
from ins_premium_det i),'36800','36800','02', '11000003','00','Request by Mr. Saqib Saleem 30-Oct-2024');</v>
      </c>
    </row>
    <row r="255" spans="1:8" ht="105" x14ac:dyDescent="0.25">
      <c r="A255" s="18" t="s">
        <v>6806</v>
      </c>
      <c r="B255" s="29" t="str">
        <f>VLOOKUP(A255,policy!B:C,2,0)</f>
        <v>070000166012</v>
      </c>
      <c r="C255" s="19">
        <v>60945</v>
      </c>
      <c r="D255" s="30">
        <f t="shared" si="13"/>
        <v>60945</v>
      </c>
      <c r="E255" s="36" t="s">
        <v>7824</v>
      </c>
      <c r="F255" s="31" t="str">
        <f t="shared" si="12"/>
        <v>insert into ins_premium_det (premium_rcv_code,assorted_code, rec_amount,premium_rcv_detail_code,remaining_amt, payrec, mode_code,coinsurance_code,class_cd,it_remarks) values</v>
      </c>
      <c r="G255" s="32" t="str">
        <f t="shared" si="14"/>
        <v>('29Oct240041','070000166012','60945',(select max(to_number(i.premium_rcv_detail_code))+1
from ins_premium_det i),'60945','60945','02', '11000003','00','Request by Mr. Saqib Saleem 30-Oct-2024');</v>
      </c>
      <c r="H255" s="33" t="str">
        <f t="shared" si="15"/>
        <v>insert into ins_premium_det (premium_rcv_code,assorted_code, rec_amount,premium_rcv_detail_code,remaining_amt, payrec, mode_code,coinsurance_code,class_cd,it_remarks) values('29Oct240041','070000166012','60945',(select max(to_number(i.premium_rcv_detail_code))+1
from ins_premium_det i),'60945','60945','02', '11000003','00','Request by Mr. Saqib Saleem 30-Oct-2024');</v>
      </c>
    </row>
    <row r="256" spans="1:8" ht="105" x14ac:dyDescent="0.25">
      <c r="A256" s="18" t="s">
        <v>6807</v>
      </c>
      <c r="B256" s="29" t="str">
        <f>VLOOKUP(A256,policy!B:C,2,0)</f>
        <v>070000166017</v>
      </c>
      <c r="C256" s="19">
        <v>29280</v>
      </c>
      <c r="D256" s="30">
        <f t="shared" si="13"/>
        <v>29280</v>
      </c>
      <c r="E256" s="36" t="s">
        <v>7824</v>
      </c>
      <c r="F256" s="31" t="str">
        <f t="shared" si="12"/>
        <v>insert into ins_premium_det (premium_rcv_code,assorted_code, rec_amount,premium_rcv_detail_code,remaining_amt, payrec, mode_code,coinsurance_code,class_cd,it_remarks) values</v>
      </c>
      <c r="G256" s="32" t="str">
        <f t="shared" si="14"/>
        <v>('29Oct240041','070000166017','29280',(select max(to_number(i.premium_rcv_detail_code))+1
from ins_premium_det i),'29280','29280','02', '11000003','00','Request by Mr. Saqib Saleem 30-Oct-2024');</v>
      </c>
      <c r="H256" s="33" t="str">
        <f t="shared" si="15"/>
        <v>insert into ins_premium_det (premium_rcv_code,assorted_code, rec_amount,premium_rcv_detail_code,remaining_amt, payrec, mode_code,coinsurance_code,class_cd,it_remarks) values('29Oct240041','070000166017','29280',(select max(to_number(i.premium_rcv_detail_code))+1
from ins_premium_det i),'29280','29280','02', '11000003','00','Request by Mr. Saqib Saleem 30-Oct-2024');</v>
      </c>
    </row>
    <row r="257" spans="1:8" ht="105" x14ac:dyDescent="0.25">
      <c r="A257" s="18" t="s">
        <v>6808</v>
      </c>
      <c r="B257" s="29" t="str">
        <f>VLOOKUP(A257,policy!B:C,2,0)</f>
        <v>070000166110</v>
      </c>
      <c r="C257" s="19">
        <v>33983</v>
      </c>
      <c r="D257" s="30">
        <f t="shared" si="13"/>
        <v>33983</v>
      </c>
      <c r="E257" s="36" t="s">
        <v>7824</v>
      </c>
      <c r="F257" s="31" t="str">
        <f t="shared" si="12"/>
        <v>insert into ins_premium_det (premium_rcv_code,assorted_code, rec_amount,premium_rcv_detail_code,remaining_amt, payrec, mode_code,coinsurance_code,class_cd,it_remarks) values</v>
      </c>
      <c r="G257" s="32" t="str">
        <f t="shared" si="14"/>
        <v>('29Oct240041','070000166110','33983',(select max(to_number(i.premium_rcv_detail_code))+1
from ins_premium_det i),'33983','33983','02', '11000003','00','Request by Mr. Saqib Saleem 30-Oct-2024');</v>
      </c>
      <c r="H257" s="33" t="str">
        <f t="shared" si="15"/>
        <v>insert into ins_premium_det (premium_rcv_code,assorted_code, rec_amount,premium_rcv_detail_code,remaining_amt, payrec, mode_code,coinsurance_code,class_cd,it_remarks) values('29Oct240041','070000166110','33983',(select max(to_number(i.premium_rcv_detail_code))+1
from ins_premium_det i),'33983','33983','02', '11000003','00','Request by Mr. Saqib Saleem 30-Oct-2024');</v>
      </c>
    </row>
    <row r="258" spans="1:8" ht="105" x14ac:dyDescent="0.25">
      <c r="A258" s="18" t="s">
        <v>6809</v>
      </c>
      <c r="B258" s="29" t="str">
        <f>VLOOKUP(A258,policy!B:C,2,0)</f>
        <v>070000166109</v>
      </c>
      <c r="C258" s="19">
        <v>32400</v>
      </c>
      <c r="D258" s="30">
        <f t="shared" si="13"/>
        <v>32400</v>
      </c>
      <c r="E258" s="36" t="s">
        <v>7824</v>
      </c>
      <c r="F258" s="31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32" t="str">
        <f t="shared" si="14"/>
        <v>('29Oct240041','070000166109','32400',(select max(to_number(i.premium_rcv_detail_code))+1
from ins_premium_det i),'32400','32400','02', '11000003','00','Request by Mr. Saqib Saleem 30-Oct-2024');</v>
      </c>
      <c r="H258" s="33" t="str">
        <f t="shared" si="15"/>
        <v>insert into ins_premium_det (premium_rcv_code,assorted_code, rec_amount,premium_rcv_detail_code,remaining_amt, payrec, mode_code,coinsurance_code,class_cd,it_remarks) values('29Oct240041','070000166109','32400',(select max(to_number(i.premium_rcv_detail_code))+1
from ins_premium_det i),'32400','32400','02', '11000003','00','Request by Mr. Saqib Saleem 30-Oct-2024');</v>
      </c>
    </row>
    <row r="259" spans="1:8" ht="105" x14ac:dyDescent="0.25">
      <c r="A259" s="18" t="s">
        <v>6810</v>
      </c>
      <c r="B259" s="29" t="str">
        <f>VLOOKUP(A259,policy!B:C,2,0)</f>
        <v>070000166108</v>
      </c>
      <c r="C259" s="19">
        <v>41735</v>
      </c>
      <c r="D259" s="30">
        <f t="shared" ref="D259:D322" si="17">ROUND(C259,0)</f>
        <v>41735</v>
      </c>
      <c r="E259" s="36" t="s">
        <v>7824</v>
      </c>
      <c r="F259" s="31" t="str">
        <f t="shared" si="16"/>
        <v>insert into ins_premium_det (premium_rcv_code,assorted_code, rec_amount,premium_rcv_detail_code,remaining_amt, payrec, mode_code,coinsurance_code,class_cd,it_remarks) values</v>
      </c>
      <c r="G259" s="32" t="str">
        <f t="shared" ref="G259:G322" si="18">"('"&amp;E259&amp;"','"&amp;B259&amp;"','"&amp;D259&amp;"',(select max(to_number(i.premium_rcv_detail_code))+1
from ins_premium_det i),'"&amp;D259&amp;"','"&amp;D259&amp;"','02', '11000003','00','Request by Mr. Saqib Saleem 30-Oct-2024');"</f>
        <v>('29Oct240041','070000166108','41735',(select max(to_number(i.premium_rcv_detail_code))+1
from ins_premium_det i),'41735','41735','02', '11000003','00','Request by Mr. Saqib Saleem 30-Oct-2024');</v>
      </c>
      <c r="H259" s="33" t="str">
        <f t="shared" ref="H259:H322" si="19">F259&amp;G259</f>
        <v>insert into ins_premium_det (premium_rcv_code,assorted_code, rec_amount,premium_rcv_detail_code,remaining_amt, payrec, mode_code,coinsurance_code,class_cd,it_remarks) values('29Oct240041','070000166108','41735',(select max(to_number(i.premium_rcv_detail_code))+1
from ins_premium_det i),'41735','41735','02', '11000003','00','Request by Mr. Saqib Saleem 30-Oct-2024');</v>
      </c>
    </row>
    <row r="260" spans="1:8" ht="105" x14ac:dyDescent="0.25">
      <c r="A260" s="18" t="s">
        <v>6811</v>
      </c>
      <c r="B260" s="29" t="str">
        <f>VLOOKUP(A260,policy!B:C,2,0)</f>
        <v>070000166018</v>
      </c>
      <c r="C260" s="19">
        <v>37825</v>
      </c>
      <c r="D260" s="30">
        <f t="shared" si="17"/>
        <v>37825</v>
      </c>
      <c r="E260" s="36" t="s">
        <v>7824</v>
      </c>
      <c r="F260" s="31" t="str">
        <f t="shared" si="16"/>
        <v>insert into ins_premium_det (premium_rcv_code,assorted_code, rec_amount,premium_rcv_detail_code,remaining_amt, payrec, mode_code,coinsurance_code,class_cd,it_remarks) values</v>
      </c>
      <c r="G260" s="32" t="str">
        <f t="shared" si="18"/>
        <v>('29Oct240041','070000166018','37825',(select max(to_number(i.premium_rcv_detail_code))+1
from ins_premium_det i),'37825','37825','02', '11000003','00','Request by Mr. Saqib Saleem 30-Oct-2024');</v>
      </c>
      <c r="H260" s="33" t="str">
        <f t="shared" si="19"/>
        <v>insert into ins_premium_det (premium_rcv_code,assorted_code, rec_amount,premium_rcv_detail_code,remaining_amt, payrec, mode_code,coinsurance_code,class_cd,it_remarks) values('29Oct240041','070000166018','37825',(select max(to_number(i.premium_rcv_detail_code))+1
from ins_premium_det i),'37825','37825','02', '11000003','00','Request by Mr. Saqib Saleem 30-Oct-2024');</v>
      </c>
    </row>
    <row r="261" spans="1:8" ht="105" x14ac:dyDescent="0.25">
      <c r="A261" s="18" t="s">
        <v>6812</v>
      </c>
      <c r="B261" s="29" t="str">
        <f>VLOOKUP(A261,policy!B:C,2,0)</f>
        <v>070000166107</v>
      </c>
      <c r="C261" s="19">
        <v>43248</v>
      </c>
      <c r="D261" s="30">
        <f t="shared" si="17"/>
        <v>43248</v>
      </c>
      <c r="E261" s="36" t="s">
        <v>7824</v>
      </c>
      <c r="F261" s="31" t="str">
        <f t="shared" si="16"/>
        <v>insert into ins_premium_det (premium_rcv_code,assorted_code, rec_amount,premium_rcv_detail_code,remaining_amt, payrec, mode_code,coinsurance_code,class_cd,it_remarks) values</v>
      </c>
      <c r="G261" s="32" t="str">
        <f t="shared" si="18"/>
        <v>('29Oct240041','070000166107','43248',(select max(to_number(i.premium_rcv_detail_code))+1
from ins_premium_det i),'43248','43248','02', '11000003','00','Request by Mr. Saqib Saleem 30-Oct-2024');</v>
      </c>
      <c r="H261" s="33" t="str">
        <f t="shared" si="19"/>
        <v>insert into ins_premium_det (premium_rcv_code,assorted_code, rec_amount,premium_rcv_detail_code,remaining_amt, payrec, mode_code,coinsurance_code,class_cd,it_remarks) values('29Oct240041','070000166107','43248',(select max(to_number(i.premium_rcv_detail_code))+1
from ins_premium_det i),'43248','43248','02', '11000003','00','Request by Mr. Saqib Saleem 30-Oct-2024');</v>
      </c>
    </row>
    <row r="262" spans="1:8" ht="105" x14ac:dyDescent="0.25">
      <c r="A262" s="18" t="s">
        <v>6813</v>
      </c>
      <c r="B262" s="29" t="str">
        <f>VLOOKUP(A262,policy!B:C,2,0)</f>
        <v>070000166019</v>
      </c>
      <c r="C262" s="19">
        <v>21750</v>
      </c>
      <c r="D262" s="30">
        <f t="shared" si="17"/>
        <v>21750</v>
      </c>
      <c r="E262" s="36" t="s">
        <v>7824</v>
      </c>
      <c r="F262" s="31" t="str">
        <f t="shared" si="16"/>
        <v>insert into ins_premium_det (premium_rcv_code,assorted_code, rec_amount,premium_rcv_detail_code,remaining_amt, payrec, mode_code,coinsurance_code,class_cd,it_remarks) values</v>
      </c>
      <c r="G262" s="32" t="str">
        <f t="shared" si="18"/>
        <v>('29Oct240041','070000166019','21750',(select max(to_number(i.premium_rcv_detail_code))+1
from ins_premium_det i),'21750','21750','02', '11000003','00','Request by Mr. Saqib Saleem 30-Oct-2024');</v>
      </c>
      <c r="H262" s="33" t="str">
        <f t="shared" si="19"/>
        <v>insert into ins_premium_det (premium_rcv_code,assorted_code, rec_amount,premium_rcv_detail_code,remaining_amt, payrec, mode_code,coinsurance_code,class_cd,it_remarks) values('29Oct240041','070000166019','21750',(select max(to_number(i.premium_rcv_detail_code))+1
from ins_premium_det i),'21750','21750','02', '11000003','00','Request by Mr. Saqib Saleem 30-Oct-2024');</v>
      </c>
    </row>
    <row r="263" spans="1:8" ht="105" x14ac:dyDescent="0.25">
      <c r="A263" s="18" t="s">
        <v>6814</v>
      </c>
      <c r="B263" s="29" t="str">
        <f>VLOOKUP(A263,policy!B:C,2,0)</f>
        <v>070000166105</v>
      </c>
      <c r="C263" s="19">
        <v>43248</v>
      </c>
      <c r="D263" s="30">
        <f t="shared" si="17"/>
        <v>43248</v>
      </c>
      <c r="E263" s="36" t="s">
        <v>7824</v>
      </c>
      <c r="F263" s="31" t="str">
        <f t="shared" si="16"/>
        <v>insert into ins_premium_det (premium_rcv_code,assorted_code, rec_amount,premium_rcv_detail_code,remaining_amt, payrec, mode_code,coinsurance_code,class_cd,it_remarks) values</v>
      </c>
      <c r="G263" s="32" t="str">
        <f t="shared" si="18"/>
        <v>('29Oct240041','070000166105','43248',(select max(to_number(i.premium_rcv_detail_code))+1
from ins_premium_det i),'43248','43248','02', '11000003','00','Request by Mr. Saqib Saleem 30-Oct-2024');</v>
      </c>
      <c r="H263" s="33" t="str">
        <f t="shared" si="19"/>
        <v>insert into ins_premium_det (premium_rcv_code,assorted_code, rec_amount,premium_rcv_detail_code,remaining_amt, payrec, mode_code,coinsurance_code,class_cd,it_remarks) values('29Oct240041','070000166105','43248',(select max(to_number(i.premium_rcv_detail_code))+1
from ins_premium_det i),'43248','43248','02', '11000003','00','Request by Mr. Saqib Saleem 30-Oct-2024');</v>
      </c>
    </row>
    <row r="264" spans="1:8" ht="105" x14ac:dyDescent="0.25">
      <c r="A264" s="18" t="s">
        <v>6877</v>
      </c>
      <c r="B264" s="29" t="str">
        <f>VLOOKUP(A264,policy!B:C,2,0)</f>
        <v>070000166104</v>
      </c>
      <c r="C264" s="21">
        <v>62541</v>
      </c>
      <c r="D264" s="30">
        <f t="shared" si="17"/>
        <v>62541</v>
      </c>
      <c r="E264" s="36" t="s">
        <v>7824</v>
      </c>
      <c r="F264" s="31" t="str">
        <f t="shared" si="16"/>
        <v>insert into ins_premium_det (premium_rcv_code,assorted_code, rec_amount,premium_rcv_detail_code,remaining_amt, payrec, mode_code,coinsurance_code,class_cd,it_remarks) values</v>
      </c>
      <c r="G264" s="32" t="str">
        <f t="shared" si="18"/>
        <v>('29Oct240041','070000166104','62541',(select max(to_number(i.premium_rcv_detail_code))+1
from ins_premium_det i),'62541','62541','02', '11000003','00','Request by Mr. Saqib Saleem 30-Oct-2024');</v>
      </c>
      <c r="H264" s="33" t="str">
        <f t="shared" si="19"/>
        <v>insert into ins_premium_det (premium_rcv_code,assorted_code, rec_amount,premium_rcv_detail_code,remaining_amt, payrec, mode_code,coinsurance_code,class_cd,it_remarks) values('29Oct240041','070000166104','62541',(select max(to_number(i.premium_rcv_detail_code))+1
from ins_premium_det i),'62541','62541','02', '11000003','00','Request by Mr. Saqib Saleem 30-Oct-2024');</v>
      </c>
    </row>
    <row r="265" spans="1:8" ht="105" x14ac:dyDescent="0.25">
      <c r="A265" s="18" t="s">
        <v>6815</v>
      </c>
      <c r="B265" s="29" t="str">
        <f>VLOOKUP(A265,policy!B:C,2,0)</f>
        <v>070000166103</v>
      </c>
      <c r="C265" s="19">
        <v>60739</v>
      </c>
      <c r="D265" s="30">
        <f t="shared" si="17"/>
        <v>60739</v>
      </c>
      <c r="E265" s="36" t="s">
        <v>7824</v>
      </c>
      <c r="F265" s="31" t="str">
        <f t="shared" si="16"/>
        <v>insert into ins_premium_det (premium_rcv_code,assorted_code, rec_amount,premium_rcv_detail_code,remaining_amt, payrec, mode_code,coinsurance_code,class_cd,it_remarks) values</v>
      </c>
      <c r="G265" s="32" t="str">
        <f t="shared" si="18"/>
        <v>('29Oct240041','070000166103','60739',(select max(to_number(i.premium_rcv_detail_code))+1
from ins_premium_det i),'60739','60739','02', '11000003','00','Request by Mr. Saqib Saleem 30-Oct-2024');</v>
      </c>
      <c r="H265" s="33" t="str">
        <f t="shared" si="19"/>
        <v>insert into ins_premium_det (premium_rcv_code,assorted_code, rec_amount,premium_rcv_detail_code,remaining_amt, payrec, mode_code,coinsurance_code,class_cd,it_remarks) values('29Oct240041','070000166103','60739',(select max(to_number(i.premium_rcv_detail_code))+1
from ins_premium_det i),'60739','60739','02', '11000003','00','Request by Mr. Saqib Saleem 30-Oct-2024');</v>
      </c>
    </row>
    <row r="266" spans="1:8" ht="105" x14ac:dyDescent="0.25">
      <c r="A266" s="18" t="s">
        <v>6816</v>
      </c>
      <c r="B266" s="29" t="str">
        <f>VLOOKUP(A266,policy!B:C,2,0)</f>
        <v>070000166023</v>
      </c>
      <c r="C266" s="19">
        <v>36146</v>
      </c>
      <c r="D266" s="30">
        <f t="shared" si="17"/>
        <v>36146</v>
      </c>
      <c r="E266" s="36" t="s">
        <v>7824</v>
      </c>
      <c r="F266" s="31" t="str">
        <f t="shared" si="16"/>
        <v>insert into ins_premium_det (premium_rcv_code,assorted_code, rec_amount,premium_rcv_detail_code,remaining_amt, payrec, mode_code,coinsurance_code,class_cd,it_remarks) values</v>
      </c>
      <c r="G266" s="32" t="str">
        <f t="shared" si="18"/>
        <v>('29Oct240041','070000166023','36146',(select max(to_number(i.premium_rcv_detail_code))+1
from ins_premium_det i),'36146','36146','02', '11000003','00','Request by Mr. Saqib Saleem 30-Oct-2024');</v>
      </c>
      <c r="H266" s="33" t="str">
        <f t="shared" si="19"/>
        <v>insert into ins_premium_det (premium_rcv_code,assorted_code, rec_amount,premium_rcv_detail_code,remaining_amt, payrec, mode_code,coinsurance_code,class_cd,it_remarks) values('29Oct240041','070000166023','36146',(select max(to_number(i.premium_rcv_detail_code))+1
from ins_premium_det i),'36146','36146','02', '11000003','00','Request by Mr. Saqib Saleem 30-Oct-2024');</v>
      </c>
    </row>
    <row r="267" spans="1:8" ht="105" x14ac:dyDescent="0.25">
      <c r="A267" s="18" t="s">
        <v>6817</v>
      </c>
      <c r="B267" s="29" t="str">
        <f>VLOOKUP(A267,policy!B:C,2,0)</f>
        <v>070000166024</v>
      </c>
      <c r="C267" s="19">
        <v>19600</v>
      </c>
      <c r="D267" s="30">
        <f t="shared" si="17"/>
        <v>19600</v>
      </c>
      <c r="E267" s="36" t="s">
        <v>7824</v>
      </c>
      <c r="F267" s="31" t="str">
        <f t="shared" si="16"/>
        <v>insert into ins_premium_det (premium_rcv_code,assorted_code, rec_amount,premium_rcv_detail_code,remaining_amt, payrec, mode_code,coinsurance_code,class_cd,it_remarks) values</v>
      </c>
      <c r="G267" s="32" t="str">
        <f t="shared" si="18"/>
        <v>('29Oct240041','070000166024','19600',(select max(to_number(i.premium_rcv_detail_code))+1
from ins_premium_det i),'19600','19600','02', '11000003','00','Request by Mr. Saqib Saleem 30-Oct-2024');</v>
      </c>
      <c r="H267" s="33" t="str">
        <f t="shared" si="19"/>
        <v>insert into ins_premium_det (premium_rcv_code,assorted_code, rec_amount,premium_rcv_detail_code,remaining_amt, payrec, mode_code,coinsurance_code,class_cd,it_remarks) values('29Oct240041','070000166024','19600',(select max(to_number(i.premium_rcv_detail_code))+1
from ins_premium_det i),'19600','19600','02', '11000003','00','Request by Mr. Saqib Saleem 30-Oct-2024');</v>
      </c>
    </row>
    <row r="268" spans="1:8" ht="105" x14ac:dyDescent="0.25">
      <c r="A268" s="18" t="s">
        <v>6818</v>
      </c>
      <c r="B268" s="29" t="str">
        <f>VLOOKUP(A268,policy!B:C,2,0)</f>
        <v>070000166025</v>
      </c>
      <c r="C268" s="19">
        <v>50880</v>
      </c>
      <c r="D268" s="30">
        <f t="shared" si="17"/>
        <v>50880</v>
      </c>
      <c r="E268" s="36" t="s">
        <v>7824</v>
      </c>
      <c r="F268" s="31" t="str">
        <f t="shared" si="16"/>
        <v>insert into ins_premium_det (premium_rcv_code,assorted_code, rec_amount,premium_rcv_detail_code,remaining_amt, payrec, mode_code,coinsurance_code,class_cd,it_remarks) values</v>
      </c>
      <c r="G268" s="32" t="str">
        <f t="shared" si="18"/>
        <v>('29Oct240041','070000166025','50880',(select max(to_number(i.premium_rcv_detail_code))+1
from ins_premium_det i),'50880','50880','02', '11000003','00','Request by Mr. Saqib Saleem 30-Oct-2024');</v>
      </c>
      <c r="H268" s="33" t="str">
        <f t="shared" si="19"/>
        <v>insert into ins_premium_det (premium_rcv_code,assorted_code, rec_amount,premium_rcv_detail_code,remaining_amt, payrec, mode_code,coinsurance_code,class_cd,it_remarks) values('29Oct240041','070000166025','50880',(select max(to_number(i.premium_rcv_detail_code))+1
from ins_premium_det i),'50880','50880','02', '11000003','00','Request by Mr. Saqib Saleem 30-Oct-2024');</v>
      </c>
    </row>
    <row r="269" spans="1:8" ht="105" x14ac:dyDescent="0.25">
      <c r="A269" s="18" t="s">
        <v>6819</v>
      </c>
      <c r="B269" s="29" t="str">
        <f>VLOOKUP(A269,policy!B:C,2,0)</f>
        <v>070000166026</v>
      </c>
      <c r="C269" s="19">
        <v>28875</v>
      </c>
      <c r="D269" s="30">
        <f t="shared" si="17"/>
        <v>28875</v>
      </c>
      <c r="E269" s="36" t="s">
        <v>7824</v>
      </c>
      <c r="F269" s="31" t="str">
        <f t="shared" si="16"/>
        <v>insert into ins_premium_det (premium_rcv_code,assorted_code, rec_amount,premium_rcv_detail_code,remaining_amt, payrec, mode_code,coinsurance_code,class_cd,it_remarks) values</v>
      </c>
      <c r="G269" s="32" t="str">
        <f t="shared" si="18"/>
        <v>('29Oct240041','070000166026','28875',(select max(to_number(i.premium_rcv_detail_code))+1
from ins_premium_det i),'28875','28875','02', '11000003','00','Request by Mr. Saqib Saleem 30-Oct-2024');</v>
      </c>
      <c r="H269" s="33" t="str">
        <f t="shared" si="19"/>
        <v>insert into ins_premium_det (premium_rcv_code,assorted_code, rec_amount,premium_rcv_detail_code,remaining_amt, payrec, mode_code,coinsurance_code,class_cd,it_remarks) values('29Oct240041','070000166026','28875',(select max(to_number(i.premium_rcv_detail_code))+1
from ins_premium_det i),'28875','28875','02', '11000003','00','Request by Mr. Saqib Saleem 30-Oct-2024');</v>
      </c>
    </row>
    <row r="270" spans="1:8" ht="105" x14ac:dyDescent="0.25">
      <c r="A270" s="18" t="s">
        <v>6820</v>
      </c>
      <c r="B270" s="29" t="str">
        <f>VLOOKUP(A270,policy!B:C,2,0)</f>
        <v>070000166027</v>
      </c>
      <c r="C270" s="19">
        <v>53550</v>
      </c>
      <c r="D270" s="30">
        <f t="shared" si="17"/>
        <v>53550</v>
      </c>
      <c r="E270" s="36" t="s">
        <v>7824</v>
      </c>
      <c r="F270" s="31" t="str">
        <f t="shared" si="16"/>
        <v>insert into ins_premium_det (premium_rcv_code,assorted_code, rec_amount,premium_rcv_detail_code,remaining_amt, payrec, mode_code,coinsurance_code,class_cd,it_remarks) values</v>
      </c>
      <c r="G270" s="32" t="str">
        <f t="shared" si="18"/>
        <v>('29Oct240041','070000166027','53550',(select max(to_number(i.premium_rcv_detail_code))+1
from ins_premium_det i),'53550','53550','02', '11000003','00','Request by Mr. Saqib Saleem 30-Oct-2024');</v>
      </c>
      <c r="H270" s="33" t="str">
        <f t="shared" si="19"/>
        <v>insert into ins_premium_det (premium_rcv_code,assorted_code, rec_amount,premium_rcv_detail_code,remaining_amt, payrec, mode_code,coinsurance_code,class_cd,it_remarks) values('29Oct240041','070000166027','53550',(select max(to_number(i.premium_rcv_detail_code))+1
from ins_premium_det i),'53550','53550','02', '11000003','00','Request by Mr. Saqib Saleem 30-Oct-2024');</v>
      </c>
    </row>
    <row r="271" spans="1:8" ht="105" x14ac:dyDescent="0.25">
      <c r="A271" s="18" t="s">
        <v>6821</v>
      </c>
      <c r="B271" s="29" t="str">
        <f>VLOOKUP(A271,policy!B:C,2,0)</f>
        <v>070000166028</v>
      </c>
      <c r="C271" s="19">
        <v>62603</v>
      </c>
      <c r="D271" s="30">
        <f t="shared" si="17"/>
        <v>62603</v>
      </c>
      <c r="E271" s="36" t="s">
        <v>7824</v>
      </c>
      <c r="F271" s="31" t="str">
        <f t="shared" si="16"/>
        <v>insert into ins_premium_det (premium_rcv_code,assorted_code, rec_amount,premium_rcv_detail_code,remaining_amt, payrec, mode_code,coinsurance_code,class_cd,it_remarks) values</v>
      </c>
      <c r="G271" s="32" t="str">
        <f t="shared" si="18"/>
        <v>('29Oct240041','070000166028','62603',(select max(to_number(i.premium_rcv_detail_code))+1
from ins_premium_det i),'62603','62603','02', '11000003','00','Request by Mr. Saqib Saleem 30-Oct-2024');</v>
      </c>
      <c r="H271" s="33" t="str">
        <f t="shared" si="19"/>
        <v>insert into ins_premium_det (premium_rcv_code,assorted_code, rec_amount,premium_rcv_detail_code,remaining_amt, payrec, mode_code,coinsurance_code,class_cd,it_remarks) values('29Oct240041','070000166028','62603',(select max(to_number(i.premium_rcv_detail_code))+1
from ins_premium_det i),'62603','62603','02', '11000003','00','Request by Mr. Saqib Saleem 30-Oct-2024');</v>
      </c>
    </row>
    <row r="272" spans="1:8" ht="105" x14ac:dyDescent="0.25">
      <c r="A272" s="18" t="s">
        <v>6822</v>
      </c>
      <c r="B272" s="29" t="str">
        <f>VLOOKUP(A272,policy!B:C,2,0)</f>
        <v>070000166030</v>
      </c>
      <c r="C272" s="19">
        <v>58146</v>
      </c>
      <c r="D272" s="30">
        <f t="shared" si="17"/>
        <v>58146</v>
      </c>
      <c r="E272" s="36" t="s">
        <v>7824</v>
      </c>
      <c r="F272" s="31" t="str">
        <f t="shared" si="16"/>
        <v>insert into ins_premium_det (premium_rcv_code,assorted_code, rec_amount,premium_rcv_detail_code,remaining_amt, payrec, mode_code,coinsurance_code,class_cd,it_remarks) values</v>
      </c>
      <c r="G272" s="32" t="str">
        <f t="shared" si="18"/>
        <v>('29Oct240041','070000166030','58146',(select max(to_number(i.premium_rcv_detail_code))+1
from ins_premium_det i),'58146','58146','02', '11000003','00','Request by Mr. Saqib Saleem 30-Oct-2024');</v>
      </c>
      <c r="H272" s="33" t="str">
        <f t="shared" si="19"/>
        <v>insert into ins_premium_det (premium_rcv_code,assorted_code, rec_amount,premium_rcv_detail_code,remaining_amt, payrec, mode_code,coinsurance_code,class_cd,it_remarks) values('29Oct240041','070000166030','58146',(select max(to_number(i.premium_rcv_detail_code))+1
from ins_premium_det i),'58146','58146','02', '11000003','00','Request by Mr. Saqib Saleem 30-Oct-2024');</v>
      </c>
    </row>
    <row r="273" spans="1:8" ht="105" x14ac:dyDescent="0.25">
      <c r="A273" s="18" t="s">
        <v>6823</v>
      </c>
      <c r="B273" s="29" t="str">
        <f>VLOOKUP(A273,policy!B:C,2,0)</f>
        <v>070000166032</v>
      </c>
      <c r="C273" s="19">
        <v>24281</v>
      </c>
      <c r="D273" s="30">
        <f t="shared" si="17"/>
        <v>24281</v>
      </c>
      <c r="E273" s="36" t="s">
        <v>7824</v>
      </c>
      <c r="F273" s="31" t="str">
        <f t="shared" si="16"/>
        <v>insert into ins_premium_det (premium_rcv_code,assorted_code, rec_amount,premium_rcv_detail_code,remaining_amt, payrec, mode_code,coinsurance_code,class_cd,it_remarks) values</v>
      </c>
      <c r="G273" s="32" t="str">
        <f t="shared" si="18"/>
        <v>('29Oct240041','070000166032','24281',(select max(to_number(i.premium_rcv_detail_code))+1
from ins_premium_det i),'24281','24281','02', '11000003','00','Request by Mr. Saqib Saleem 30-Oct-2024');</v>
      </c>
      <c r="H273" s="33" t="str">
        <f t="shared" si="19"/>
        <v>insert into ins_premium_det (premium_rcv_code,assorted_code, rec_amount,premium_rcv_detail_code,remaining_amt, payrec, mode_code,coinsurance_code,class_cd,it_remarks) values('29Oct240041','070000166032','24281',(select max(to_number(i.premium_rcv_detail_code))+1
from ins_premium_det i),'24281','24281','02', '11000003','00','Request by Mr. Saqib Saleem 30-Oct-2024');</v>
      </c>
    </row>
    <row r="274" spans="1:8" ht="105" x14ac:dyDescent="0.25">
      <c r="A274" s="18" t="s">
        <v>6824</v>
      </c>
      <c r="B274" s="29" t="str">
        <f>VLOOKUP(A274,policy!B:C,2,0)</f>
        <v>070000166037</v>
      </c>
      <c r="C274" s="19">
        <v>63200</v>
      </c>
      <c r="D274" s="30">
        <f t="shared" si="17"/>
        <v>63200</v>
      </c>
      <c r="E274" s="36" t="s">
        <v>7824</v>
      </c>
      <c r="F274" s="31" t="str">
        <f t="shared" si="16"/>
        <v>insert into ins_premium_det (premium_rcv_code,assorted_code, rec_amount,premium_rcv_detail_code,remaining_amt, payrec, mode_code,coinsurance_code,class_cd,it_remarks) values</v>
      </c>
      <c r="G274" s="32" t="str">
        <f t="shared" si="18"/>
        <v>('29Oct240041','070000166037','63200',(select max(to_number(i.premium_rcv_detail_code))+1
from ins_premium_det i),'63200','63200','02', '11000003','00','Request by Mr. Saqib Saleem 30-Oct-2024');</v>
      </c>
      <c r="H274" s="33" t="str">
        <f t="shared" si="19"/>
        <v>insert into ins_premium_det (premium_rcv_code,assorted_code, rec_amount,premium_rcv_detail_code,remaining_amt, payrec, mode_code,coinsurance_code,class_cd,it_remarks) values('29Oct240041','070000166037','63200',(select max(to_number(i.premium_rcv_detail_code))+1
from ins_premium_det i),'63200','63200','02', '11000003','00','Request by Mr. Saqib Saleem 30-Oct-2024');</v>
      </c>
    </row>
    <row r="275" spans="1:8" ht="105" x14ac:dyDescent="0.25">
      <c r="A275" s="18" t="s">
        <v>6825</v>
      </c>
      <c r="B275" s="29" t="str">
        <f>VLOOKUP(A275,policy!B:C,2,0)</f>
        <v>070000166038</v>
      </c>
      <c r="C275" s="19">
        <v>69152</v>
      </c>
      <c r="D275" s="30">
        <f t="shared" si="17"/>
        <v>69152</v>
      </c>
      <c r="E275" s="36" t="s">
        <v>7824</v>
      </c>
      <c r="F275" s="31" t="str">
        <f t="shared" si="16"/>
        <v>insert into ins_premium_det (premium_rcv_code,assorted_code, rec_amount,premium_rcv_detail_code,remaining_amt, payrec, mode_code,coinsurance_code,class_cd,it_remarks) values</v>
      </c>
      <c r="G275" s="32" t="str">
        <f t="shared" si="18"/>
        <v>('29Oct240041','070000166038','69152',(select max(to_number(i.premium_rcv_detail_code))+1
from ins_premium_det i),'69152','69152','02', '11000003','00','Request by Mr. Saqib Saleem 30-Oct-2024');</v>
      </c>
      <c r="H275" s="33" t="str">
        <f t="shared" si="19"/>
        <v>insert into ins_premium_det (premium_rcv_code,assorted_code, rec_amount,premium_rcv_detail_code,remaining_amt, payrec, mode_code,coinsurance_code,class_cd,it_remarks) values('29Oct240041','070000166038','69152',(select max(to_number(i.premium_rcv_detail_code))+1
from ins_premium_det i),'69152','69152','02', '11000003','00','Request by Mr. Saqib Saleem 30-Oct-2024');</v>
      </c>
    </row>
    <row r="276" spans="1:8" ht="105" x14ac:dyDescent="0.25">
      <c r="A276" s="18" t="s">
        <v>6826</v>
      </c>
      <c r="B276" s="29" t="str">
        <f>VLOOKUP(A276,policy!B:C,2,0)</f>
        <v>070000166102</v>
      </c>
      <c r="C276" s="19">
        <v>25425</v>
      </c>
      <c r="D276" s="30">
        <f t="shared" si="17"/>
        <v>25425</v>
      </c>
      <c r="E276" s="36" t="s">
        <v>7824</v>
      </c>
      <c r="F276" s="31" t="str">
        <f t="shared" si="16"/>
        <v>insert into ins_premium_det (premium_rcv_code,assorted_code, rec_amount,premium_rcv_detail_code,remaining_amt, payrec, mode_code,coinsurance_code,class_cd,it_remarks) values</v>
      </c>
      <c r="G276" s="32" t="str">
        <f t="shared" si="18"/>
        <v>('29Oct240041','070000166102','25425',(select max(to_number(i.premium_rcv_detail_code))+1
from ins_premium_det i),'25425','25425','02', '11000003','00','Request by Mr. Saqib Saleem 30-Oct-2024');</v>
      </c>
      <c r="H276" s="33" t="str">
        <f t="shared" si="19"/>
        <v>insert into ins_premium_det (premium_rcv_code,assorted_code, rec_amount,premium_rcv_detail_code,remaining_amt, payrec, mode_code,coinsurance_code,class_cd,it_remarks) values('29Oct240041','070000166102','25425',(select max(to_number(i.premium_rcv_detail_code))+1
from ins_premium_det i),'25425','25425','02', '11000003','00','Request by Mr. Saqib Saleem 30-Oct-2024');</v>
      </c>
    </row>
    <row r="277" spans="1:8" ht="105" x14ac:dyDescent="0.25">
      <c r="A277" s="18" t="s">
        <v>6827</v>
      </c>
      <c r="B277" s="29" t="str">
        <f>VLOOKUP(A277,policy!B:C,2,0)</f>
        <v>070000166039</v>
      </c>
      <c r="C277" s="19">
        <v>70159</v>
      </c>
      <c r="D277" s="30">
        <f t="shared" si="17"/>
        <v>70159</v>
      </c>
      <c r="E277" s="36" t="s">
        <v>7824</v>
      </c>
      <c r="F277" s="31" t="str">
        <f t="shared" si="16"/>
        <v>insert into ins_premium_det (premium_rcv_code,assorted_code, rec_amount,premium_rcv_detail_code,remaining_amt, payrec, mode_code,coinsurance_code,class_cd,it_remarks) values</v>
      </c>
      <c r="G277" s="32" t="str">
        <f t="shared" si="18"/>
        <v>('29Oct240041','070000166039','70159',(select max(to_number(i.premium_rcv_detail_code))+1
from ins_premium_det i),'70159','70159','02', '11000003','00','Request by Mr. Saqib Saleem 30-Oct-2024');</v>
      </c>
      <c r="H277" s="33" t="str">
        <f t="shared" si="19"/>
        <v>insert into ins_premium_det (premium_rcv_code,assorted_code, rec_amount,premium_rcv_detail_code,remaining_amt, payrec, mode_code,coinsurance_code,class_cd,it_remarks) values('29Oct240041','070000166039','70159',(select max(to_number(i.premium_rcv_detail_code))+1
from ins_premium_det i),'70159','70159','02', '11000003','00','Request by Mr. Saqib Saleem 30-Oct-2024');</v>
      </c>
    </row>
    <row r="278" spans="1:8" ht="105" x14ac:dyDescent="0.25">
      <c r="A278" s="18" t="s">
        <v>6828</v>
      </c>
      <c r="B278" s="29" t="str">
        <f>VLOOKUP(A278,policy!B:C,2,0)</f>
        <v>070000166042</v>
      </c>
      <c r="C278" s="19">
        <v>41968</v>
      </c>
      <c r="D278" s="30">
        <f t="shared" si="17"/>
        <v>41968</v>
      </c>
      <c r="E278" s="36" t="s">
        <v>7824</v>
      </c>
      <c r="F278" s="31" t="str">
        <f t="shared" si="16"/>
        <v>insert into ins_premium_det (premium_rcv_code,assorted_code, rec_amount,premium_rcv_detail_code,remaining_amt, payrec, mode_code,coinsurance_code,class_cd,it_remarks) values</v>
      </c>
      <c r="G278" s="32" t="str">
        <f t="shared" si="18"/>
        <v>('29Oct240041','070000166042','41968',(select max(to_number(i.premium_rcv_detail_code))+1
from ins_premium_det i),'41968','41968','02', '11000003','00','Request by Mr. Saqib Saleem 30-Oct-2024');</v>
      </c>
      <c r="H278" s="33" t="str">
        <f t="shared" si="19"/>
        <v>insert into ins_premium_det (premium_rcv_code,assorted_code, rec_amount,premium_rcv_detail_code,remaining_amt, payrec, mode_code,coinsurance_code,class_cd,it_remarks) values('29Oct240041','070000166042','41968',(select max(to_number(i.premium_rcv_detail_code))+1
from ins_premium_det i),'41968','41968','02', '11000003','00','Request by Mr. Saqib Saleem 30-Oct-2024');</v>
      </c>
    </row>
    <row r="279" spans="1:8" ht="105" x14ac:dyDescent="0.25">
      <c r="A279" s="18" t="s">
        <v>6829</v>
      </c>
      <c r="B279" s="29" t="str">
        <f>VLOOKUP(A279,policy!B:C,2,0)</f>
        <v>070000166044</v>
      </c>
      <c r="C279" s="19">
        <v>41062</v>
      </c>
      <c r="D279" s="30">
        <f t="shared" si="17"/>
        <v>41062</v>
      </c>
      <c r="E279" s="36" t="s">
        <v>7824</v>
      </c>
      <c r="F279" s="31" t="str">
        <f t="shared" si="16"/>
        <v>insert into ins_premium_det (premium_rcv_code,assorted_code, rec_amount,premium_rcv_detail_code,remaining_amt, payrec, mode_code,coinsurance_code,class_cd,it_remarks) values</v>
      </c>
      <c r="G279" s="32" t="str">
        <f t="shared" si="18"/>
        <v>('29Oct240041','070000166044','41062',(select max(to_number(i.premium_rcv_detail_code))+1
from ins_premium_det i),'41062','41062','02', '11000003','00','Request by Mr. Saqib Saleem 30-Oct-2024');</v>
      </c>
      <c r="H279" s="33" t="str">
        <f t="shared" si="19"/>
        <v>insert into ins_premium_det (premium_rcv_code,assorted_code, rec_amount,premium_rcv_detail_code,remaining_amt, payrec, mode_code,coinsurance_code,class_cd,it_remarks) values('29Oct240041','070000166044','41062',(select max(to_number(i.premium_rcv_detail_code))+1
from ins_premium_det i),'41062','41062','02', '11000003','00','Request by Mr. Saqib Saleem 30-Oct-2024');</v>
      </c>
    </row>
    <row r="280" spans="1:8" ht="105" x14ac:dyDescent="0.25">
      <c r="A280" s="18" t="s">
        <v>6830</v>
      </c>
      <c r="B280" s="29" t="str">
        <f>VLOOKUP(A280,policy!B:C,2,0)</f>
        <v>070000166101</v>
      </c>
      <c r="C280" s="19">
        <v>52619</v>
      </c>
      <c r="D280" s="30">
        <f t="shared" si="17"/>
        <v>52619</v>
      </c>
      <c r="E280" s="36" t="s">
        <v>7824</v>
      </c>
      <c r="F280" s="31" t="str">
        <f t="shared" si="16"/>
        <v>insert into ins_premium_det (premium_rcv_code,assorted_code, rec_amount,premium_rcv_detail_code,remaining_amt, payrec, mode_code,coinsurance_code,class_cd,it_remarks) values</v>
      </c>
      <c r="G280" s="32" t="str">
        <f t="shared" si="18"/>
        <v>('29Oct240041','070000166101','52619',(select max(to_number(i.premium_rcv_detail_code))+1
from ins_premium_det i),'52619','52619','02', '11000003','00','Request by Mr. Saqib Saleem 30-Oct-2024');</v>
      </c>
      <c r="H280" s="33" t="str">
        <f t="shared" si="19"/>
        <v>insert into ins_premium_det (premium_rcv_code,assorted_code, rec_amount,premium_rcv_detail_code,remaining_amt, payrec, mode_code,coinsurance_code,class_cd,it_remarks) values('29Oct240041','070000166101','52619',(select max(to_number(i.premium_rcv_detail_code))+1
from ins_premium_det i),'52619','52619','02', '11000003','00','Request by Mr. Saqib Saleem 30-Oct-2024');</v>
      </c>
    </row>
    <row r="281" spans="1:8" ht="105" x14ac:dyDescent="0.25">
      <c r="A281" s="18" t="s">
        <v>6831</v>
      </c>
      <c r="B281" s="29" t="str">
        <f>VLOOKUP(A281,policy!B:C,2,0)</f>
        <v>070000166046</v>
      </c>
      <c r="C281" s="19">
        <v>31520</v>
      </c>
      <c r="D281" s="30">
        <f t="shared" si="17"/>
        <v>31520</v>
      </c>
      <c r="E281" s="36" t="s">
        <v>7824</v>
      </c>
      <c r="F281" s="31" t="str">
        <f t="shared" si="16"/>
        <v>insert into ins_premium_det (premium_rcv_code,assorted_code, rec_amount,premium_rcv_detail_code,remaining_amt, payrec, mode_code,coinsurance_code,class_cd,it_remarks) values</v>
      </c>
      <c r="G281" s="32" t="str">
        <f t="shared" si="18"/>
        <v>('29Oct240041','070000166046','31520',(select max(to_number(i.premium_rcv_detail_code))+1
from ins_premium_det i),'31520','31520','02', '11000003','00','Request by Mr. Saqib Saleem 30-Oct-2024');</v>
      </c>
      <c r="H281" s="33" t="str">
        <f t="shared" si="19"/>
        <v>insert into ins_premium_det (premium_rcv_code,assorted_code, rec_amount,premium_rcv_detail_code,remaining_amt, payrec, mode_code,coinsurance_code,class_cd,it_remarks) values('29Oct240041','070000166046','31520',(select max(to_number(i.premium_rcv_detail_code))+1
from ins_premium_det i),'31520','31520','02', '11000003','00','Request by Mr. Saqib Saleem 30-Oct-2024');</v>
      </c>
    </row>
    <row r="282" spans="1:8" ht="105" x14ac:dyDescent="0.25">
      <c r="A282" s="18" t="s">
        <v>6832</v>
      </c>
      <c r="B282" s="29" t="str">
        <f>VLOOKUP(A282,policy!B:C,2,0)</f>
        <v>070000166048</v>
      </c>
      <c r="C282" s="19">
        <v>36380</v>
      </c>
      <c r="D282" s="30">
        <f t="shared" si="17"/>
        <v>36380</v>
      </c>
      <c r="E282" s="36" t="s">
        <v>7824</v>
      </c>
      <c r="F282" s="31" t="str">
        <f t="shared" si="16"/>
        <v>insert into ins_premium_det (premium_rcv_code,assorted_code, rec_amount,premium_rcv_detail_code,remaining_amt, payrec, mode_code,coinsurance_code,class_cd,it_remarks) values</v>
      </c>
      <c r="G282" s="32" t="str">
        <f t="shared" si="18"/>
        <v>('29Oct240041','070000166048','36380',(select max(to_number(i.premium_rcv_detail_code))+1
from ins_premium_det i),'36380','36380','02', '11000003','00','Request by Mr. Saqib Saleem 30-Oct-2024');</v>
      </c>
      <c r="H282" s="33" t="str">
        <f t="shared" si="19"/>
        <v>insert into ins_premium_det (premium_rcv_code,assorted_code, rec_amount,premium_rcv_detail_code,remaining_amt, payrec, mode_code,coinsurance_code,class_cd,it_remarks) values('29Oct240041','070000166048','36380',(select max(to_number(i.premium_rcv_detail_code))+1
from ins_premium_det i),'36380','36380','02', '11000003','00','Request by Mr. Saqib Saleem 30-Oct-2024');</v>
      </c>
    </row>
    <row r="283" spans="1:8" ht="105" x14ac:dyDescent="0.25">
      <c r="A283" s="18" t="s">
        <v>6833</v>
      </c>
      <c r="B283" s="29" t="str">
        <f>VLOOKUP(A283,policy!B:C,2,0)</f>
        <v>070000166100</v>
      </c>
      <c r="C283" s="19">
        <v>79326</v>
      </c>
      <c r="D283" s="30">
        <f t="shared" si="17"/>
        <v>79326</v>
      </c>
      <c r="E283" s="36" t="s">
        <v>7824</v>
      </c>
      <c r="F283" s="31" t="str">
        <f t="shared" si="16"/>
        <v>insert into ins_premium_det (premium_rcv_code,assorted_code, rec_amount,premium_rcv_detail_code,remaining_amt, payrec, mode_code,coinsurance_code,class_cd,it_remarks) values</v>
      </c>
      <c r="G283" s="32" t="str">
        <f t="shared" si="18"/>
        <v>('29Oct240041','070000166100','79326',(select max(to_number(i.premium_rcv_detail_code))+1
from ins_premium_det i),'79326','79326','02', '11000003','00','Request by Mr. Saqib Saleem 30-Oct-2024');</v>
      </c>
      <c r="H283" s="33" t="str">
        <f t="shared" si="19"/>
        <v>insert into ins_premium_det (premium_rcv_code,assorted_code, rec_amount,premium_rcv_detail_code,remaining_amt, payrec, mode_code,coinsurance_code,class_cd,it_remarks) values('29Oct240041','070000166100','79326',(select max(to_number(i.premium_rcv_detail_code))+1
from ins_premium_det i),'79326','79326','02', '11000003','00','Request by Mr. Saqib Saleem 30-Oct-2024');</v>
      </c>
    </row>
    <row r="284" spans="1:8" ht="105" x14ac:dyDescent="0.25">
      <c r="A284" s="18" t="s">
        <v>6834</v>
      </c>
      <c r="B284" s="29" t="str">
        <f>VLOOKUP(A284,policy!B:C,2,0)</f>
        <v>070000166049</v>
      </c>
      <c r="C284" s="19">
        <v>26400</v>
      </c>
      <c r="D284" s="30">
        <f t="shared" si="17"/>
        <v>26400</v>
      </c>
      <c r="E284" s="36" t="s">
        <v>7824</v>
      </c>
      <c r="F284" s="31" t="str">
        <f t="shared" si="16"/>
        <v>insert into ins_premium_det (premium_rcv_code,assorted_code, rec_amount,premium_rcv_detail_code,remaining_amt, payrec, mode_code,coinsurance_code,class_cd,it_remarks) values</v>
      </c>
      <c r="G284" s="32" t="str">
        <f t="shared" si="18"/>
        <v>('29Oct240041','070000166049','26400',(select max(to_number(i.premium_rcv_detail_code))+1
from ins_premium_det i),'26400','26400','02', '11000003','00','Request by Mr. Saqib Saleem 30-Oct-2024');</v>
      </c>
      <c r="H284" s="33" t="str">
        <f t="shared" si="19"/>
        <v>insert into ins_premium_det (premium_rcv_code,assorted_code, rec_amount,premium_rcv_detail_code,remaining_amt, payrec, mode_code,coinsurance_code,class_cd,it_remarks) values('29Oct240041','070000166049','26400',(select max(to_number(i.premium_rcv_detail_code))+1
from ins_premium_det i),'26400','26400','02', '11000003','00','Request by Mr. Saqib Saleem 30-Oct-2024');</v>
      </c>
    </row>
    <row r="285" spans="1:8" ht="105" x14ac:dyDescent="0.25">
      <c r="A285" s="18" t="s">
        <v>6835</v>
      </c>
      <c r="B285" s="29" t="str">
        <f>VLOOKUP(A285,policy!B:C,2,0)</f>
        <v>070000166050</v>
      </c>
      <c r="C285" s="19">
        <v>28160</v>
      </c>
      <c r="D285" s="30">
        <f t="shared" si="17"/>
        <v>28160</v>
      </c>
      <c r="E285" s="36" t="s">
        <v>7824</v>
      </c>
      <c r="F285" s="31" t="str">
        <f t="shared" si="16"/>
        <v>insert into ins_premium_det (premium_rcv_code,assorted_code, rec_amount,premium_rcv_detail_code,remaining_amt, payrec, mode_code,coinsurance_code,class_cd,it_remarks) values</v>
      </c>
      <c r="G285" s="32" t="str">
        <f t="shared" si="18"/>
        <v>('29Oct240041','070000166050','28160',(select max(to_number(i.premium_rcv_detail_code))+1
from ins_premium_det i),'28160','28160','02', '11000003','00','Request by Mr. Saqib Saleem 30-Oct-2024');</v>
      </c>
      <c r="H285" s="33" t="str">
        <f t="shared" si="19"/>
        <v>insert into ins_premium_det (premium_rcv_code,assorted_code, rec_amount,premium_rcv_detail_code,remaining_amt, payrec, mode_code,coinsurance_code,class_cd,it_remarks) values('29Oct240041','070000166050','28160',(select max(to_number(i.premium_rcv_detail_code))+1
from ins_premium_det i),'28160','28160','02', '11000003','00','Request by Mr. Saqib Saleem 30-Oct-2024');</v>
      </c>
    </row>
    <row r="286" spans="1:8" ht="105" x14ac:dyDescent="0.25">
      <c r="A286" s="18" t="s">
        <v>6836</v>
      </c>
      <c r="B286" s="29" t="str">
        <f>VLOOKUP(A286,policy!B:C,2,0)</f>
        <v>070000166051</v>
      </c>
      <c r="C286" s="19">
        <v>21600</v>
      </c>
      <c r="D286" s="30">
        <f t="shared" si="17"/>
        <v>21600</v>
      </c>
      <c r="E286" s="36" t="s">
        <v>7824</v>
      </c>
      <c r="F286" s="31" t="str">
        <f t="shared" si="16"/>
        <v>insert into ins_premium_det (premium_rcv_code,assorted_code, rec_amount,premium_rcv_detail_code,remaining_amt, payrec, mode_code,coinsurance_code,class_cd,it_remarks) values</v>
      </c>
      <c r="G286" s="32" t="str">
        <f t="shared" si="18"/>
        <v>('29Oct240041','070000166051','21600',(select max(to_number(i.premium_rcv_detail_code))+1
from ins_premium_det i),'21600','21600','02', '11000003','00','Request by Mr. Saqib Saleem 30-Oct-2024');</v>
      </c>
      <c r="H286" s="33" t="str">
        <f t="shared" si="19"/>
        <v>insert into ins_premium_det (premium_rcv_code,assorted_code, rec_amount,premium_rcv_detail_code,remaining_amt, payrec, mode_code,coinsurance_code,class_cd,it_remarks) values('29Oct240041','070000166051','21600',(select max(to_number(i.premium_rcv_detail_code))+1
from ins_premium_det i),'21600','21600','02', '11000003','00','Request by Mr. Saqib Saleem 30-Oct-2024');</v>
      </c>
    </row>
    <row r="287" spans="1:8" ht="105" x14ac:dyDescent="0.25">
      <c r="A287" s="18" t="s">
        <v>6837</v>
      </c>
      <c r="B287" s="29" t="str">
        <f>VLOOKUP(A287,policy!B:C,2,0)</f>
        <v>070000166052</v>
      </c>
      <c r="C287" s="19">
        <v>36019</v>
      </c>
      <c r="D287" s="30">
        <f t="shared" si="17"/>
        <v>36019</v>
      </c>
      <c r="E287" s="36" t="s">
        <v>7824</v>
      </c>
      <c r="F287" s="31" t="str">
        <f t="shared" si="16"/>
        <v>insert into ins_premium_det (premium_rcv_code,assorted_code, rec_amount,premium_rcv_detail_code,remaining_amt, payrec, mode_code,coinsurance_code,class_cd,it_remarks) values</v>
      </c>
      <c r="G287" s="32" t="str">
        <f t="shared" si="18"/>
        <v>('29Oct240041','070000166052','36019',(select max(to_number(i.premium_rcv_detail_code))+1
from ins_premium_det i),'36019','36019','02', '11000003','00','Request by Mr. Saqib Saleem 30-Oct-2024');</v>
      </c>
      <c r="H287" s="33" t="str">
        <f t="shared" si="19"/>
        <v>insert into ins_premium_det (premium_rcv_code,assorted_code, rec_amount,premium_rcv_detail_code,remaining_amt, payrec, mode_code,coinsurance_code,class_cd,it_remarks) values('29Oct240041','070000166052','36019',(select max(to_number(i.premium_rcv_detail_code))+1
from ins_premium_det i),'36019','36019','02', '11000003','00','Request by Mr. Saqib Saleem 30-Oct-2024');</v>
      </c>
    </row>
    <row r="288" spans="1:8" ht="105" x14ac:dyDescent="0.25">
      <c r="A288" s="18" t="s">
        <v>6838</v>
      </c>
      <c r="B288" s="29" t="str">
        <f>VLOOKUP(A288,policy!B:C,2,0)</f>
        <v>070000166055</v>
      </c>
      <c r="C288" s="19">
        <v>37188</v>
      </c>
      <c r="D288" s="30">
        <f t="shared" si="17"/>
        <v>37188</v>
      </c>
      <c r="E288" s="36" t="s">
        <v>7824</v>
      </c>
      <c r="F288" s="31" t="str">
        <f t="shared" si="16"/>
        <v>insert into ins_premium_det (premium_rcv_code,assorted_code, rec_amount,premium_rcv_detail_code,remaining_amt, payrec, mode_code,coinsurance_code,class_cd,it_remarks) values</v>
      </c>
      <c r="G288" s="32" t="str">
        <f t="shared" si="18"/>
        <v>('29Oct240041','070000166055','37188',(select max(to_number(i.premium_rcv_detail_code))+1
from ins_premium_det i),'37188','37188','02', '11000003','00','Request by Mr. Saqib Saleem 30-Oct-2024');</v>
      </c>
      <c r="H288" s="33" t="str">
        <f t="shared" si="19"/>
        <v>insert into ins_premium_det (premium_rcv_code,assorted_code, rec_amount,premium_rcv_detail_code,remaining_amt, payrec, mode_code,coinsurance_code,class_cd,it_remarks) values('29Oct240041','070000166055','37188',(select max(to_number(i.premium_rcv_detail_code))+1
from ins_premium_det i),'37188','37188','02', '11000003','00','Request by Mr. Saqib Saleem 30-Oct-2024');</v>
      </c>
    </row>
    <row r="289" spans="1:8" ht="105" x14ac:dyDescent="0.25">
      <c r="A289" s="18" t="s">
        <v>6839</v>
      </c>
      <c r="B289" s="29" t="str">
        <f>VLOOKUP(A289,policy!B:C,2,0)</f>
        <v>070000166056</v>
      </c>
      <c r="C289" s="19">
        <v>64323</v>
      </c>
      <c r="D289" s="30">
        <f t="shared" si="17"/>
        <v>64323</v>
      </c>
      <c r="E289" s="36" t="s">
        <v>7824</v>
      </c>
      <c r="F289" s="31" t="str">
        <f t="shared" si="16"/>
        <v>insert into ins_premium_det (premium_rcv_code,assorted_code, rec_amount,premium_rcv_detail_code,remaining_amt, payrec, mode_code,coinsurance_code,class_cd,it_remarks) values</v>
      </c>
      <c r="G289" s="32" t="str">
        <f t="shared" si="18"/>
        <v>('29Oct240041','070000166056','64323',(select max(to_number(i.premium_rcv_detail_code))+1
from ins_premium_det i),'64323','64323','02', '11000003','00','Request by Mr. Saqib Saleem 30-Oct-2024');</v>
      </c>
      <c r="H289" s="33" t="str">
        <f t="shared" si="19"/>
        <v>insert into ins_premium_det (premium_rcv_code,assorted_code, rec_amount,premium_rcv_detail_code,remaining_amt, payrec, mode_code,coinsurance_code,class_cd,it_remarks) values('29Oct240041','070000166056','64323',(select max(to_number(i.premium_rcv_detail_code))+1
from ins_premium_det i),'64323','64323','02', '11000003','00','Request by Mr. Saqib Saleem 30-Oct-2024');</v>
      </c>
    </row>
    <row r="290" spans="1:8" ht="105" x14ac:dyDescent="0.25">
      <c r="A290" s="18" t="s">
        <v>6840</v>
      </c>
      <c r="B290" s="29" t="str">
        <f>VLOOKUP(A290,policy!B:C,2,0)</f>
        <v>070000166059</v>
      </c>
      <c r="C290" s="19">
        <v>100283</v>
      </c>
      <c r="D290" s="30">
        <f t="shared" si="17"/>
        <v>100283</v>
      </c>
      <c r="E290" s="36" t="s">
        <v>7824</v>
      </c>
      <c r="F290" s="31" t="str">
        <f t="shared" si="16"/>
        <v>insert into ins_premium_det (premium_rcv_code,assorted_code, rec_amount,premium_rcv_detail_code,remaining_amt, payrec, mode_code,coinsurance_code,class_cd,it_remarks) values</v>
      </c>
      <c r="G290" s="32" t="str">
        <f t="shared" si="18"/>
        <v>('29Oct240041','070000166059','100283',(select max(to_number(i.premium_rcv_detail_code))+1
from ins_premium_det i),'100283','100283','02', '11000003','00','Request by Mr. Saqib Saleem 30-Oct-2024');</v>
      </c>
      <c r="H290" s="33" t="str">
        <f t="shared" si="19"/>
        <v>insert into ins_premium_det (premium_rcv_code,assorted_code, rec_amount,premium_rcv_detail_code,remaining_amt, payrec, mode_code,coinsurance_code,class_cd,it_remarks) values('29Oct240041','070000166059','100283',(select max(to_number(i.premium_rcv_detail_code))+1
from ins_premium_det i),'100283','100283','02', '11000003','00','Request by Mr. Saqib Saleem 30-Oct-2024');</v>
      </c>
    </row>
    <row r="291" spans="1:8" ht="105" x14ac:dyDescent="0.25">
      <c r="A291" s="18" t="s">
        <v>6841</v>
      </c>
      <c r="B291" s="29" t="str">
        <f>VLOOKUP(A291,policy!B:C,2,0)</f>
        <v>070000166060</v>
      </c>
      <c r="C291" s="19">
        <v>68704</v>
      </c>
      <c r="D291" s="30">
        <f t="shared" si="17"/>
        <v>68704</v>
      </c>
      <c r="E291" s="36" t="s">
        <v>7824</v>
      </c>
      <c r="F291" s="31" t="str">
        <f t="shared" si="16"/>
        <v>insert into ins_premium_det (premium_rcv_code,assorted_code, rec_amount,premium_rcv_detail_code,remaining_amt, payrec, mode_code,coinsurance_code,class_cd,it_remarks) values</v>
      </c>
      <c r="G291" s="32" t="str">
        <f t="shared" si="18"/>
        <v>('29Oct240041','070000166060','68704',(select max(to_number(i.premium_rcv_detail_code))+1
from ins_premium_det i),'68704','68704','02', '11000003','00','Request by Mr. Saqib Saleem 30-Oct-2024');</v>
      </c>
      <c r="H291" s="33" t="str">
        <f t="shared" si="19"/>
        <v>insert into ins_premium_det (premium_rcv_code,assorted_code, rec_amount,premium_rcv_detail_code,remaining_amt, payrec, mode_code,coinsurance_code,class_cd,it_remarks) values('29Oct240041','070000166060','68704',(select max(to_number(i.premium_rcv_detail_code))+1
from ins_premium_det i),'68704','68704','02', '11000003','00','Request by Mr. Saqib Saleem 30-Oct-2024');</v>
      </c>
    </row>
    <row r="292" spans="1:8" ht="105" x14ac:dyDescent="0.25">
      <c r="A292" s="18" t="s">
        <v>6842</v>
      </c>
      <c r="B292" s="29" t="str">
        <f>VLOOKUP(A292,policy!B:C,2,0)</f>
        <v>070000166064</v>
      </c>
      <c r="C292" s="19">
        <v>56000</v>
      </c>
      <c r="D292" s="30">
        <f t="shared" si="17"/>
        <v>56000</v>
      </c>
      <c r="E292" s="36" t="s">
        <v>7824</v>
      </c>
      <c r="F292" s="31" t="str">
        <f t="shared" si="16"/>
        <v>insert into ins_premium_det (premium_rcv_code,assorted_code, rec_amount,premium_rcv_detail_code,remaining_amt, payrec, mode_code,coinsurance_code,class_cd,it_remarks) values</v>
      </c>
      <c r="G292" s="32" t="str">
        <f t="shared" si="18"/>
        <v>('29Oct240041','070000166064','56000',(select max(to_number(i.premium_rcv_detail_code))+1
from ins_premium_det i),'56000','56000','02', '11000003','00','Request by Mr. Saqib Saleem 30-Oct-2024');</v>
      </c>
      <c r="H292" s="33" t="str">
        <f t="shared" si="19"/>
        <v>insert into ins_premium_det (premium_rcv_code,assorted_code, rec_amount,premium_rcv_detail_code,remaining_amt, payrec, mode_code,coinsurance_code,class_cd,it_remarks) values('29Oct240041','070000166064','56000',(select max(to_number(i.premium_rcv_detail_code))+1
from ins_premium_det i),'56000','56000','02', '11000003','00','Request by Mr. Saqib Saleem 30-Oct-2024');</v>
      </c>
    </row>
    <row r="293" spans="1:8" ht="105" x14ac:dyDescent="0.25">
      <c r="A293" s="18" t="s">
        <v>6843</v>
      </c>
      <c r="B293" s="29" t="str">
        <f>VLOOKUP(A293,policy!B:C,2,0)</f>
        <v>070000166065</v>
      </c>
      <c r="C293" s="19">
        <v>47642</v>
      </c>
      <c r="D293" s="30">
        <f t="shared" si="17"/>
        <v>47642</v>
      </c>
      <c r="E293" s="36" t="s">
        <v>7824</v>
      </c>
      <c r="F293" s="31" t="str">
        <f t="shared" si="16"/>
        <v>insert into ins_premium_det (premium_rcv_code,assorted_code, rec_amount,premium_rcv_detail_code,remaining_amt, payrec, mode_code,coinsurance_code,class_cd,it_remarks) values</v>
      </c>
      <c r="G293" s="32" t="str">
        <f t="shared" si="18"/>
        <v>('29Oct240041','070000166065','47642',(select max(to_number(i.premium_rcv_detail_code))+1
from ins_premium_det i),'47642','47642','02', '11000003','00','Request by Mr. Saqib Saleem 30-Oct-2024');</v>
      </c>
      <c r="H293" s="33" t="str">
        <f t="shared" si="19"/>
        <v>insert into ins_premium_det (premium_rcv_code,assorted_code, rec_amount,premium_rcv_detail_code,remaining_amt, payrec, mode_code,coinsurance_code,class_cd,it_remarks) values('29Oct240041','070000166065','47642',(select max(to_number(i.premium_rcv_detail_code))+1
from ins_premium_det i),'47642','47642','02', '11000003','00','Request by Mr. Saqib Saleem 30-Oct-2024');</v>
      </c>
    </row>
    <row r="294" spans="1:8" ht="105" x14ac:dyDescent="0.25">
      <c r="A294" s="18" t="s">
        <v>6844</v>
      </c>
      <c r="B294" s="29" t="str">
        <f>VLOOKUP(A294,policy!B:C,2,0)</f>
        <v>070000166092</v>
      </c>
      <c r="C294" s="19">
        <v>142800</v>
      </c>
      <c r="D294" s="30">
        <f t="shared" si="17"/>
        <v>142800</v>
      </c>
      <c r="E294" s="36" t="s">
        <v>7824</v>
      </c>
      <c r="F294" s="31" t="str">
        <f t="shared" si="16"/>
        <v>insert into ins_premium_det (premium_rcv_code,assorted_code, rec_amount,premium_rcv_detail_code,remaining_amt, payrec, mode_code,coinsurance_code,class_cd,it_remarks) values</v>
      </c>
      <c r="G294" s="32" t="str">
        <f t="shared" si="18"/>
        <v>('29Oct240041','070000166092','142800',(select max(to_number(i.premium_rcv_detail_code))+1
from ins_premium_det i),'142800','142800','02', '11000003','00','Request by Mr. Saqib Saleem 30-Oct-2024');</v>
      </c>
      <c r="H294" s="33" t="str">
        <f t="shared" si="19"/>
        <v>insert into ins_premium_det (premium_rcv_code,assorted_code, rec_amount,premium_rcv_detail_code,remaining_amt, payrec, mode_code,coinsurance_code,class_cd,it_remarks) values('29Oct240041','070000166092','142800',(select max(to_number(i.premium_rcv_detail_code))+1
from ins_premium_det i),'142800','142800','02', '11000003','00','Request by Mr. Saqib Saleem 30-Oct-2024');</v>
      </c>
    </row>
    <row r="295" spans="1:8" ht="105" x14ac:dyDescent="0.25">
      <c r="A295" s="18" t="s">
        <v>6845</v>
      </c>
      <c r="B295" s="29" t="str">
        <f>VLOOKUP(A295,policy!B:C,2,0)</f>
        <v>070000166091</v>
      </c>
      <c r="C295" s="19">
        <v>43881</v>
      </c>
      <c r="D295" s="30">
        <f t="shared" si="17"/>
        <v>43881</v>
      </c>
      <c r="E295" s="36" t="s">
        <v>7824</v>
      </c>
      <c r="F295" s="31" t="str">
        <f t="shared" si="16"/>
        <v>insert into ins_premium_det (premium_rcv_code,assorted_code, rec_amount,premium_rcv_detail_code,remaining_amt, payrec, mode_code,coinsurance_code,class_cd,it_remarks) values</v>
      </c>
      <c r="G295" s="32" t="str">
        <f t="shared" si="18"/>
        <v>('29Oct240041','070000166091','43881',(select max(to_number(i.premium_rcv_detail_code))+1
from ins_premium_det i),'43881','43881','02', '11000003','00','Request by Mr. Saqib Saleem 30-Oct-2024');</v>
      </c>
      <c r="H295" s="33" t="str">
        <f t="shared" si="19"/>
        <v>insert into ins_premium_det (premium_rcv_code,assorted_code, rec_amount,premium_rcv_detail_code,remaining_amt, payrec, mode_code,coinsurance_code,class_cd,it_remarks) values('29Oct240041','070000166091','43881',(select max(to_number(i.premium_rcv_detail_code))+1
from ins_premium_det i),'43881','43881','02', '11000003','00','Request by Mr. Saqib Saleem 30-Oct-2024');</v>
      </c>
    </row>
    <row r="296" spans="1:8" ht="105" x14ac:dyDescent="0.25">
      <c r="A296" s="18" t="s">
        <v>6846</v>
      </c>
      <c r="B296" s="29" t="str">
        <f>VLOOKUP(A296,policy!B:C,2,0)</f>
        <v>070000166069</v>
      </c>
      <c r="C296" s="19">
        <v>34368</v>
      </c>
      <c r="D296" s="30">
        <f t="shared" si="17"/>
        <v>34368</v>
      </c>
      <c r="E296" s="36" t="s">
        <v>7824</v>
      </c>
      <c r="F296" s="31" t="str">
        <f t="shared" si="16"/>
        <v>insert into ins_premium_det (premium_rcv_code,assorted_code, rec_amount,premium_rcv_detail_code,remaining_amt, payrec, mode_code,coinsurance_code,class_cd,it_remarks) values</v>
      </c>
      <c r="G296" s="32" t="str">
        <f t="shared" si="18"/>
        <v>('29Oct240041','070000166069','34368',(select max(to_number(i.premium_rcv_detail_code))+1
from ins_premium_det i),'34368','34368','02', '11000003','00','Request by Mr. Saqib Saleem 30-Oct-2024');</v>
      </c>
      <c r="H296" s="33" t="str">
        <f t="shared" si="19"/>
        <v>insert into ins_premium_det (premium_rcv_code,assorted_code, rec_amount,premium_rcv_detail_code,remaining_amt, payrec, mode_code,coinsurance_code,class_cd,it_remarks) values('29Oct240041','070000166069','34368',(select max(to_number(i.premium_rcv_detail_code))+1
from ins_premium_det i),'34368','34368','02', '11000003','00','Request by Mr. Saqib Saleem 30-Oct-2024');</v>
      </c>
    </row>
    <row r="297" spans="1:8" ht="105" x14ac:dyDescent="0.25">
      <c r="A297" s="18" t="s">
        <v>6847</v>
      </c>
      <c r="B297" s="29" t="str">
        <f>VLOOKUP(A297,policy!B:C,2,0)</f>
        <v>070000166070</v>
      </c>
      <c r="C297" s="19">
        <v>31152</v>
      </c>
      <c r="D297" s="30">
        <f t="shared" si="17"/>
        <v>31152</v>
      </c>
      <c r="E297" s="36" t="s">
        <v>7824</v>
      </c>
      <c r="F297" s="31" t="str">
        <f t="shared" si="16"/>
        <v>insert into ins_premium_det (premium_rcv_code,assorted_code, rec_amount,premium_rcv_detail_code,remaining_amt, payrec, mode_code,coinsurance_code,class_cd,it_remarks) values</v>
      </c>
      <c r="G297" s="32" t="str">
        <f t="shared" si="18"/>
        <v>('29Oct240041','070000166070','31152',(select max(to_number(i.premium_rcv_detail_code))+1
from ins_premium_det i),'31152','31152','02', '11000003','00','Request by Mr. Saqib Saleem 30-Oct-2024');</v>
      </c>
      <c r="H297" s="33" t="str">
        <f t="shared" si="19"/>
        <v>insert into ins_premium_det (premium_rcv_code,assorted_code, rec_amount,premium_rcv_detail_code,remaining_amt, payrec, mode_code,coinsurance_code,class_cd,it_remarks) values('29Oct240041','070000166070','31152',(select max(to_number(i.premium_rcv_detail_code))+1
from ins_premium_det i),'31152','31152','02', '11000003','00','Request by Mr. Saqib Saleem 30-Oct-2024');</v>
      </c>
    </row>
    <row r="298" spans="1:8" ht="105" x14ac:dyDescent="0.25">
      <c r="A298" s="18" t="s">
        <v>6848</v>
      </c>
      <c r="B298" s="29" t="str">
        <f>VLOOKUP(A298,policy!B:C,2,0)</f>
        <v>070000166072</v>
      </c>
      <c r="C298" s="19">
        <v>33320</v>
      </c>
      <c r="D298" s="30">
        <f t="shared" si="17"/>
        <v>33320</v>
      </c>
      <c r="E298" s="36" t="s">
        <v>7824</v>
      </c>
      <c r="F298" s="31" t="str">
        <f t="shared" si="16"/>
        <v>insert into ins_premium_det (premium_rcv_code,assorted_code, rec_amount,premium_rcv_detail_code,remaining_amt, payrec, mode_code,coinsurance_code,class_cd,it_remarks) values</v>
      </c>
      <c r="G298" s="32" t="str">
        <f t="shared" si="18"/>
        <v>('29Oct240041','070000166072','33320',(select max(to_number(i.premium_rcv_detail_code))+1
from ins_premium_det i),'33320','33320','02', '11000003','00','Request by Mr. Saqib Saleem 30-Oct-2024');</v>
      </c>
      <c r="H298" s="33" t="str">
        <f t="shared" si="19"/>
        <v>insert into ins_premium_det (premium_rcv_code,assorted_code, rec_amount,premium_rcv_detail_code,remaining_amt, payrec, mode_code,coinsurance_code,class_cd,it_remarks) values('29Oct240041','070000166072','33320',(select max(to_number(i.premium_rcv_detail_code))+1
from ins_premium_det i),'33320','33320','02', '11000003','00','Request by Mr. Saqib Saleem 30-Oct-2024');</v>
      </c>
    </row>
    <row r="299" spans="1:8" ht="105" x14ac:dyDescent="0.25">
      <c r="A299" s="18" t="s">
        <v>6849</v>
      </c>
      <c r="B299" s="29" t="str">
        <f>VLOOKUP(A299,policy!B:C,2,0)</f>
        <v>070000166075</v>
      </c>
      <c r="C299" s="19">
        <v>25425</v>
      </c>
      <c r="D299" s="30">
        <f t="shared" si="17"/>
        <v>25425</v>
      </c>
      <c r="E299" s="36" t="s">
        <v>7824</v>
      </c>
      <c r="F299" s="31" t="str">
        <f t="shared" si="16"/>
        <v>insert into ins_premium_det (premium_rcv_code,assorted_code, rec_amount,premium_rcv_detail_code,remaining_amt, payrec, mode_code,coinsurance_code,class_cd,it_remarks) values</v>
      </c>
      <c r="G299" s="32" t="str">
        <f t="shared" si="18"/>
        <v>('29Oct240041','070000166075','25425',(select max(to_number(i.premium_rcv_detail_code))+1
from ins_premium_det i),'25425','25425','02', '11000003','00','Request by Mr. Saqib Saleem 30-Oct-2024');</v>
      </c>
      <c r="H299" s="33" t="str">
        <f t="shared" si="19"/>
        <v>insert into ins_premium_det (premium_rcv_code,assorted_code, rec_amount,premium_rcv_detail_code,remaining_amt, payrec, mode_code,coinsurance_code,class_cd,it_remarks) values('29Oct240041','070000166075','25425',(select max(to_number(i.premium_rcv_detail_code))+1
from ins_premium_det i),'25425','25425','02', '11000003','00','Request by Mr. Saqib Saleem 30-Oct-2024');</v>
      </c>
    </row>
    <row r="300" spans="1:8" ht="105" x14ac:dyDescent="0.25">
      <c r="A300" s="18" t="s">
        <v>6850</v>
      </c>
      <c r="B300" s="29" t="str">
        <f>VLOOKUP(A300,policy!B:C,2,0)</f>
        <v>070000166076</v>
      </c>
      <c r="C300" s="19">
        <v>25760</v>
      </c>
      <c r="D300" s="30">
        <f t="shared" si="17"/>
        <v>25760</v>
      </c>
      <c r="E300" s="36" t="s">
        <v>7824</v>
      </c>
      <c r="F300" s="31" t="str">
        <f t="shared" si="16"/>
        <v>insert into ins_premium_det (premium_rcv_code,assorted_code, rec_amount,premium_rcv_detail_code,remaining_amt, payrec, mode_code,coinsurance_code,class_cd,it_remarks) values</v>
      </c>
      <c r="G300" s="32" t="str">
        <f t="shared" si="18"/>
        <v>('29Oct240041','070000166076','25760',(select max(to_number(i.premium_rcv_detail_code))+1
from ins_premium_det i),'25760','25760','02', '11000003','00','Request by Mr. Saqib Saleem 30-Oct-2024');</v>
      </c>
      <c r="H300" s="33" t="str">
        <f t="shared" si="19"/>
        <v>insert into ins_premium_det (premium_rcv_code,assorted_code, rec_amount,premium_rcv_detail_code,remaining_amt, payrec, mode_code,coinsurance_code,class_cd,it_remarks) values('29Oct240041','070000166076','25760',(select max(to_number(i.premium_rcv_detail_code))+1
from ins_premium_det i),'25760','25760','02', '11000003','00','Request by Mr. Saqib Saleem 30-Oct-2024');</v>
      </c>
    </row>
    <row r="301" spans="1:8" ht="105" x14ac:dyDescent="0.25">
      <c r="A301" s="18" t="s">
        <v>6851</v>
      </c>
      <c r="B301" s="29" t="str">
        <f>VLOOKUP(A301,policy!B:C,2,0)</f>
        <v>070000166086</v>
      </c>
      <c r="C301" s="19">
        <v>21360</v>
      </c>
      <c r="D301" s="30">
        <f t="shared" si="17"/>
        <v>21360</v>
      </c>
      <c r="E301" s="36" t="s">
        <v>7824</v>
      </c>
      <c r="F301" s="31" t="str">
        <f t="shared" si="16"/>
        <v>insert into ins_premium_det (premium_rcv_code,assorted_code, rec_amount,premium_rcv_detail_code,remaining_amt, payrec, mode_code,coinsurance_code,class_cd,it_remarks) values</v>
      </c>
      <c r="G301" s="32" t="str">
        <f t="shared" si="18"/>
        <v>('29Oct240041','070000166086','21360',(select max(to_number(i.premium_rcv_detail_code))+1
from ins_premium_det i),'21360','21360','02', '11000003','00','Request by Mr. Saqib Saleem 30-Oct-2024');</v>
      </c>
      <c r="H301" s="33" t="str">
        <f t="shared" si="19"/>
        <v>insert into ins_premium_det (premium_rcv_code,assorted_code, rec_amount,premium_rcv_detail_code,remaining_amt, payrec, mode_code,coinsurance_code,class_cd,it_remarks) values('29Oct240041','070000166086','21360',(select max(to_number(i.premium_rcv_detail_code))+1
from ins_premium_det i),'21360','21360','02', '11000003','00','Request by Mr. Saqib Saleem 30-Oct-2024');</v>
      </c>
    </row>
    <row r="302" spans="1:8" ht="105" x14ac:dyDescent="0.25">
      <c r="A302" s="18" t="s">
        <v>6852</v>
      </c>
      <c r="B302" s="29" t="str">
        <f>VLOOKUP(A302,policy!B:C,2,0)</f>
        <v>070000166085</v>
      </c>
      <c r="C302" s="19">
        <v>24336</v>
      </c>
      <c r="D302" s="30">
        <f t="shared" si="17"/>
        <v>24336</v>
      </c>
      <c r="E302" s="36" t="s">
        <v>7824</v>
      </c>
      <c r="F302" s="31" t="str">
        <f t="shared" si="16"/>
        <v>insert into ins_premium_det (premium_rcv_code,assorted_code, rec_amount,premium_rcv_detail_code,remaining_amt, payrec, mode_code,coinsurance_code,class_cd,it_remarks) values</v>
      </c>
      <c r="G302" s="32" t="str">
        <f t="shared" si="18"/>
        <v>('29Oct240041','070000166085','24336',(select max(to_number(i.premium_rcv_detail_code))+1
from ins_premium_det i),'24336','24336','02', '11000003','00','Request by Mr. Saqib Saleem 30-Oct-2024');</v>
      </c>
      <c r="H302" s="33" t="str">
        <f t="shared" si="19"/>
        <v>insert into ins_premium_det (premium_rcv_code,assorted_code, rec_amount,premium_rcv_detail_code,remaining_amt, payrec, mode_code,coinsurance_code,class_cd,it_remarks) values('29Oct240041','070000166085','24336',(select max(to_number(i.premium_rcv_detail_code))+1
from ins_premium_det i),'24336','24336','02', '11000003','00','Request by Mr. Saqib Saleem 30-Oct-2024');</v>
      </c>
    </row>
    <row r="303" spans="1:8" ht="105" x14ac:dyDescent="0.25">
      <c r="A303" s="18" t="s">
        <v>6853</v>
      </c>
      <c r="B303" s="29" t="str">
        <f>VLOOKUP(A303,policy!B:C,2,0)</f>
        <v>070000166077</v>
      </c>
      <c r="C303" s="19">
        <v>52830</v>
      </c>
      <c r="D303" s="30">
        <f t="shared" si="17"/>
        <v>52830</v>
      </c>
      <c r="E303" s="36" t="s">
        <v>7824</v>
      </c>
      <c r="F303" s="31" t="str">
        <f t="shared" si="16"/>
        <v>insert into ins_premium_det (premium_rcv_code,assorted_code, rec_amount,premium_rcv_detail_code,remaining_amt, payrec, mode_code,coinsurance_code,class_cd,it_remarks) values</v>
      </c>
      <c r="G303" s="32" t="str">
        <f t="shared" si="18"/>
        <v>('29Oct240041','070000166077','52830',(select max(to_number(i.premium_rcv_detail_code))+1
from ins_premium_det i),'52830','52830','02', '11000003','00','Request by Mr. Saqib Saleem 30-Oct-2024');</v>
      </c>
      <c r="H303" s="33" t="str">
        <f t="shared" si="19"/>
        <v>insert into ins_premium_det (premium_rcv_code,assorted_code, rec_amount,premium_rcv_detail_code,remaining_amt, payrec, mode_code,coinsurance_code,class_cd,it_remarks) values('29Oct240041','070000166077','52830',(select max(to_number(i.premium_rcv_detail_code))+1
from ins_premium_det i),'52830','52830','02', '11000003','00','Request by Mr. Saqib Saleem 30-Oct-2024');</v>
      </c>
    </row>
    <row r="304" spans="1:8" ht="105" x14ac:dyDescent="0.25">
      <c r="A304" s="18" t="s">
        <v>6854</v>
      </c>
      <c r="B304" s="29" t="str">
        <f>VLOOKUP(A304,policy!B:C,2,0)</f>
        <v>070000166078</v>
      </c>
      <c r="C304" s="19">
        <v>21000</v>
      </c>
      <c r="D304" s="30">
        <f t="shared" si="17"/>
        <v>21000</v>
      </c>
      <c r="E304" s="36" t="s">
        <v>7824</v>
      </c>
      <c r="F304" s="31" t="str">
        <f t="shared" si="16"/>
        <v>insert into ins_premium_det (premium_rcv_code,assorted_code, rec_amount,premium_rcv_detail_code,remaining_amt, payrec, mode_code,coinsurance_code,class_cd,it_remarks) values</v>
      </c>
      <c r="G304" s="32" t="str">
        <f t="shared" si="18"/>
        <v>('29Oct240041','070000166078','21000',(select max(to_number(i.premium_rcv_detail_code))+1
from ins_premium_det i),'21000','21000','02', '11000003','00','Request by Mr. Saqib Saleem 30-Oct-2024');</v>
      </c>
      <c r="H304" s="33" t="str">
        <f t="shared" si="19"/>
        <v>insert into ins_premium_det (premium_rcv_code,assorted_code, rec_amount,premium_rcv_detail_code,remaining_amt, payrec, mode_code,coinsurance_code,class_cd,it_remarks) values('29Oct240041','070000166078','21000',(select max(to_number(i.premium_rcv_detail_code))+1
from ins_premium_det i),'21000','21000','02', '11000003','00','Request by Mr. Saqib Saleem 30-Oct-2024');</v>
      </c>
    </row>
    <row r="305" spans="1:8" ht="105" x14ac:dyDescent="0.25">
      <c r="A305" s="18" t="s">
        <v>6855</v>
      </c>
      <c r="B305" s="29" t="str">
        <f>VLOOKUP(A305,policy!B:C,2,0)</f>
        <v>070000166084</v>
      </c>
      <c r="C305" s="19">
        <v>28480</v>
      </c>
      <c r="D305" s="30">
        <f t="shared" si="17"/>
        <v>28480</v>
      </c>
      <c r="E305" s="36" t="s">
        <v>7824</v>
      </c>
      <c r="F305" s="31" t="str">
        <f t="shared" si="16"/>
        <v>insert into ins_premium_det (premium_rcv_code,assorted_code, rec_amount,premium_rcv_detail_code,remaining_amt, payrec, mode_code,coinsurance_code,class_cd,it_remarks) values</v>
      </c>
      <c r="G305" s="32" t="str">
        <f t="shared" si="18"/>
        <v>('29Oct240041','070000166084','28480',(select max(to_number(i.premium_rcv_detail_code))+1
from ins_premium_det i),'28480','28480','02', '11000003','00','Request by Mr. Saqib Saleem 30-Oct-2024');</v>
      </c>
      <c r="H305" s="33" t="str">
        <f t="shared" si="19"/>
        <v>insert into ins_premium_det (premium_rcv_code,assorted_code, rec_amount,premium_rcv_detail_code,remaining_amt, payrec, mode_code,coinsurance_code,class_cd,it_remarks) values('29Oct240041','070000166084','28480',(select max(to_number(i.premium_rcv_detail_code))+1
from ins_premium_det i),'28480','28480','02', '11000003','00','Request by Mr. Saqib Saleem 30-Oct-2024');</v>
      </c>
    </row>
    <row r="306" spans="1:8" ht="105" x14ac:dyDescent="0.25">
      <c r="A306" s="18" t="s">
        <v>6856</v>
      </c>
      <c r="B306" s="29" t="str">
        <f>VLOOKUP(A306,policy!B:C,2,0)</f>
        <v>070000166083</v>
      </c>
      <c r="C306" s="19">
        <v>44240</v>
      </c>
      <c r="D306" s="30">
        <f t="shared" si="17"/>
        <v>44240</v>
      </c>
      <c r="E306" s="36" t="s">
        <v>7824</v>
      </c>
      <c r="F306" s="31" t="str">
        <f t="shared" si="16"/>
        <v>insert into ins_premium_det (premium_rcv_code,assorted_code, rec_amount,premium_rcv_detail_code,remaining_amt, payrec, mode_code,coinsurance_code,class_cd,it_remarks) values</v>
      </c>
      <c r="G306" s="32" t="str">
        <f t="shared" si="18"/>
        <v>('29Oct240041','070000166083','44240',(select max(to_number(i.premium_rcv_detail_code))+1
from ins_premium_det i),'44240','44240','02', '11000003','00','Request by Mr. Saqib Saleem 30-Oct-2024');</v>
      </c>
      <c r="H306" s="33" t="str">
        <f t="shared" si="19"/>
        <v>insert into ins_premium_det (premium_rcv_code,assorted_code, rec_amount,premium_rcv_detail_code,remaining_amt, payrec, mode_code,coinsurance_code,class_cd,it_remarks) values('29Oct240041','070000166083','44240',(select max(to_number(i.premium_rcv_detail_code))+1
from ins_premium_det i),'44240','44240','02', '11000003','00','Request by Mr. Saqib Saleem 30-Oct-2024');</v>
      </c>
    </row>
    <row r="307" spans="1:8" ht="105" x14ac:dyDescent="0.25">
      <c r="A307" s="18" t="s">
        <v>6857</v>
      </c>
      <c r="B307" s="29" t="str">
        <f>VLOOKUP(A307,policy!B:C,2,0)</f>
        <v>070000166079</v>
      </c>
      <c r="C307" s="19">
        <v>98498</v>
      </c>
      <c r="D307" s="30">
        <f t="shared" si="17"/>
        <v>98498</v>
      </c>
      <c r="E307" s="36" t="s">
        <v>7824</v>
      </c>
      <c r="F307" s="31" t="str">
        <f t="shared" si="16"/>
        <v>insert into ins_premium_det (premium_rcv_code,assorted_code, rec_amount,premium_rcv_detail_code,remaining_amt, payrec, mode_code,coinsurance_code,class_cd,it_remarks) values</v>
      </c>
      <c r="G307" s="32" t="str">
        <f t="shared" si="18"/>
        <v>('29Oct240041','070000166079','98498',(select max(to_number(i.premium_rcv_detail_code))+1
from ins_premium_det i),'98498','98498','02', '11000003','00','Request by Mr. Saqib Saleem 30-Oct-2024');</v>
      </c>
      <c r="H307" s="33" t="str">
        <f t="shared" si="19"/>
        <v>insert into ins_premium_det (premium_rcv_code,assorted_code, rec_amount,premium_rcv_detail_code,remaining_amt, payrec, mode_code,coinsurance_code,class_cd,it_remarks) values('29Oct240041','070000166079','98498',(select max(to_number(i.premium_rcv_detail_code))+1
from ins_premium_det i),'98498','98498','02', '11000003','00','Request by Mr. Saqib Saleem 30-Oct-2024');</v>
      </c>
    </row>
    <row r="308" spans="1:8" ht="105" x14ac:dyDescent="0.25">
      <c r="A308" s="18" t="s">
        <v>6858</v>
      </c>
      <c r="B308" s="29" t="str">
        <f>VLOOKUP(A308,policy!B:C,2,0)</f>
        <v>070000166080</v>
      </c>
      <c r="C308" s="19">
        <v>55930</v>
      </c>
      <c r="D308" s="30">
        <f t="shared" si="17"/>
        <v>55930</v>
      </c>
      <c r="E308" s="36" t="s">
        <v>7824</v>
      </c>
      <c r="F308" s="31" t="str">
        <f t="shared" si="16"/>
        <v>insert into ins_premium_det (premium_rcv_code,assorted_code, rec_amount,premium_rcv_detail_code,remaining_amt, payrec, mode_code,coinsurance_code,class_cd,it_remarks) values</v>
      </c>
      <c r="G308" s="32" t="str">
        <f t="shared" si="18"/>
        <v>('29Oct240041','070000166080','55930',(select max(to_number(i.premium_rcv_detail_code))+1
from ins_premium_det i),'55930','55930','02', '11000003','00','Request by Mr. Saqib Saleem 30-Oct-2024');</v>
      </c>
      <c r="H308" s="33" t="str">
        <f t="shared" si="19"/>
        <v>insert into ins_premium_det (premium_rcv_code,assorted_code, rec_amount,premium_rcv_detail_code,remaining_amt, payrec, mode_code,coinsurance_code,class_cd,it_remarks) values('29Oct240041','070000166080','55930',(select max(to_number(i.premium_rcv_detail_code))+1
from ins_premium_det i),'55930','55930','02', '11000003','00','Request by Mr. Saqib Saleem 30-Oct-2024');</v>
      </c>
    </row>
    <row r="309" spans="1:8" ht="105" x14ac:dyDescent="0.25">
      <c r="A309" s="18" t="s">
        <v>6859</v>
      </c>
      <c r="B309" s="29" t="str">
        <f>VLOOKUP(A309,policy!B:C,2,0)</f>
        <v>070000166082</v>
      </c>
      <c r="C309" s="19">
        <v>57375</v>
      </c>
      <c r="D309" s="30">
        <f t="shared" si="17"/>
        <v>57375</v>
      </c>
      <c r="E309" s="36" t="s">
        <v>7824</v>
      </c>
      <c r="F309" s="31" t="str">
        <f t="shared" si="16"/>
        <v>insert into ins_premium_det (premium_rcv_code,assorted_code, rec_amount,premium_rcv_detail_code,remaining_amt, payrec, mode_code,coinsurance_code,class_cd,it_remarks) values</v>
      </c>
      <c r="G309" s="32" t="str">
        <f t="shared" si="18"/>
        <v>('29Oct240041','070000166082','57375',(select max(to_number(i.premium_rcv_detail_code))+1
from ins_premium_det i),'57375','57375','02', '11000003','00','Request by Mr. Saqib Saleem 30-Oct-2024');</v>
      </c>
      <c r="H309" s="33" t="str">
        <f t="shared" si="19"/>
        <v>insert into ins_premium_det (premium_rcv_code,assorted_code, rec_amount,premium_rcv_detail_code,remaining_amt, payrec, mode_code,coinsurance_code,class_cd,it_remarks) values('29Oct240041','070000166082','57375',(select max(to_number(i.premium_rcv_detail_code))+1
from ins_premium_det i),'57375','57375','02', '11000003','00','Request by Mr. Saqib Saleem 30-Oct-2024');</v>
      </c>
    </row>
    <row r="310" spans="1:8" ht="105" x14ac:dyDescent="0.25">
      <c r="A310" s="18" t="s">
        <v>6860</v>
      </c>
      <c r="B310" s="29" t="str">
        <f>VLOOKUP(A310,policy!B:C,2,0)</f>
        <v>070000166081</v>
      </c>
      <c r="C310" s="19">
        <v>66948</v>
      </c>
      <c r="D310" s="30">
        <f t="shared" si="17"/>
        <v>66948</v>
      </c>
      <c r="E310" s="36" t="s">
        <v>7824</v>
      </c>
      <c r="F310" s="31" t="str">
        <f t="shared" si="16"/>
        <v>insert into ins_premium_det (premium_rcv_code,assorted_code, rec_amount,premium_rcv_detail_code,remaining_amt, payrec, mode_code,coinsurance_code,class_cd,it_remarks) values</v>
      </c>
      <c r="G310" s="32" t="str">
        <f t="shared" si="18"/>
        <v>('29Oct240041','070000166081','66948',(select max(to_number(i.premium_rcv_detail_code))+1
from ins_premium_det i),'66948','66948','02', '11000003','00','Request by Mr. Saqib Saleem 30-Oct-2024');</v>
      </c>
      <c r="H310" s="33" t="str">
        <f t="shared" si="19"/>
        <v>insert into ins_premium_det (premium_rcv_code,assorted_code, rec_amount,premium_rcv_detail_code,remaining_amt, payrec, mode_code,coinsurance_code,class_cd,it_remarks) values('29Oct240041','070000166081','66948',(select max(to_number(i.premium_rcv_detail_code))+1
from ins_premium_det i),'66948','66948','02', '11000003','00','Request by Mr. Saqib Saleem 30-Oct-2024');</v>
      </c>
    </row>
    <row r="311" spans="1:8" ht="105" x14ac:dyDescent="0.25">
      <c r="A311" s="18" t="s">
        <v>6861</v>
      </c>
      <c r="B311" s="29" t="str">
        <f>VLOOKUP(A311,policy!B:C,2,0)</f>
        <v>070000165787</v>
      </c>
      <c r="C311" s="19">
        <v>69280</v>
      </c>
      <c r="D311" s="30">
        <f t="shared" si="17"/>
        <v>69280</v>
      </c>
      <c r="E311" s="36" t="s">
        <v>7824</v>
      </c>
      <c r="F311" s="31" t="str">
        <f t="shared" si="16"/>
        <v>insert into ins_premium_det (premium_rcv_code,assorted_code, rec_amount,premium_rcv_detail_code,remaining_amt, payrec, mode_code,coinsurance_code,class_cd,it_remarks) values</v>
      </c>
      <c r="G311" s="32" t="str">
        <f t="shared" si="18"/>
        <v>('29Oct240041','070000165787','69280',(select max(to_number(i.premium_rcv_detail_code))+1
from ins_premium_det i),'69280','69280','02', '11000003','00','Request by Mr. Saqib Saleem 30-Oct-2024');</v>
      </c>
      <c r="H311" s="33" t="str">
        <f t="shared" si="19"/>
        <v>insert into ins_premium_det (premium_rcv_code,assorted_code, rec_amount,premium_rcv_detail_code,remaining_amt, payrec, mode_code,coinsurance_code,class_cd,it_remarks) values('29Oct240041','070000165787','69280',(select max(to_number(i.premium_rcv_detail_code))+1
from ins_premium_det i),'69280','69280','02', '11000003','00','Request by Mr. Saqib Saleem 30-Oct-2024');</v>
      </c>
    </row>
    <row r="312" spans="1:8" ht="105" x14ac:dyDescent="0.25">
      <c r="A312" s="18" t="s">
        <v>6862</v>
      </c>
      <c r="B312" s="29" t="str">
        <f>VLOOKUP(A312,policy!B:C,2,0)</f>
        <v>070000165791</v>
      </c>
      <c r="C312" s="19">
        <v>39184</v>
      </c>
      <c r="D312" s="30">
        <f t="shared" si="17"/>
        <v>39184</v>
      </c>
      <c r="E312" s="36" t="s">
        <v>7824</v>
      </c>
      <c r="F312" s="31" t="str">
        <f t="shared" si="16"/>
        <v>insert into ins_premium_det (premium_rcv_code,assorted_code, rec_amount,premium_rcv_detail_code,remaining_amt, payrec, mode_code,coinsurance_code,class_cd,it_remarks) values</v>
      </c>
      <c r="G312" s="32" t="str">
        <f t="shared" si="18"/>
        <v>('29Oct240041','070000165791','39184',(select max(to_number(i.premium_rcv_detail_code))+1
from ins_premium_det i),'39184','39184','02', '11000003','00','Request by Mr. Saqib Saleem 30-Oct-2024');</v>
      </c>
      <c r="H312" s="33" t="str">
        <f t="shared" si="19"/>
        <v>insert into ins_premium_det (premium_rcv_code,assorted_code, rec_amount,premium_rcv_detail_code,remaining_amt, payrec, mode_code,coinsurance_code,class_cd,it_remarks) values('29Oct240041','070000165791','39184',(select max(to_number(i.premium_rcv_detail_code))+1
from ins_premium_det i),'39184','39184','02', '11000003','00','Request by Mr. Saqib Saleem 30-Oct-2024');</v>
      </c>
    </row>
    <row r="313" spans="1:8" ht="105" x14ac:dyDescent="0.25">
      <c r="A313" s="18" t="s">
        <v>6863</v>
      </c>
      <c r="B313" s="29" t="str">
        <f>VLOOKUP(A313,policy!B:C,2,0)</f>
        <v>070000165797</v>
      </c>
      <c r="C313" s="19">
        <v>24075</v>
      </c>
      <c r="D313" s="30">
        <f t="shared" si="17"/>
        <v>24075</v>
      </c>
      <c r="E313" s="36" t="s">
        <v>7824</v>
      </c>
      <c r="F313" s="31" t="str">
        <f t="shared" si="16"/>
        <v>insert into ins_premium_det (premium_rcv_code,assorted_code, rec_amount,premium_rcv_detail_code,remaining_amt, payrec, mode_code,coinsurance_code,class_cd,it_remarks) values</v>
      </c>
      <c r="G313" s="32" t="str">
        <f t="shared" si="18"/>
        <v>('29Oct240041','070000165797','24075',(select max(to_number(i.premium_rcv_detail_code))+1
from ins_premium_det i),'24075','24075','02', '11000003','00','Request by Mr. Saqib Saleem 30-Oct-2024');</v>
      </c>
      <c r="H313" s="33" t="str">
        <f t="shared" si="19"/>
        <v>insert into ins_premium_det (premium_rcv_code,assorted_code, rec_amount,premium_rcv_detail_code,remaining_amt, payrec, mode_code,coinsurance_code,class_cd,it_remarks) values('29Oct240041','070000165797','24075',(select max(to_number(i.premium_rcv_detail_code))+1
from ins_premium_det i),'24075','24075','02', '11000003','00','Request by Mr. Saqib Saleem 30-Oct-2024');</v>
      </c>
    </row>
    <row r="314" spans="1:8" ht="105" x14ac:dyDescent="0.25">
      <c r="A314" s="18" t="s">
        <v>6864</v>
      </c>
      <c r="B314" s="29" t="str">
        <f>VLOOKUP(A314,policy!B:C,2,0)</f>
        <v>070000165941</v>
      </c>
      <c r="C314" s="19">
        <v>16784</v>
      </c>
      <c r="D314" s="30">
        <f t="shared" si="17"/>
        <v>16784</v>
      </c>
      <c r="E314" s="36" t="s">
        <v>7824</v>
      </c>
      <c r="F314" s="31" t="str">
        <f t="shared" si="16"/>
        <v>insert into ins_premium_det (premium_rcv_code,assorted_code, rec_amount,premium_rcv_detail_code,remaining_amt, payrec, mode_code,coinsurance_code,class_cd,it_remarks) values</v>
      </c>
      <c r="G314" s="32" t="str">
        <f t="shared" si="18"/>
        <v>('29Oct240041','070000165941','16784',(select max(to_number(i.premium_rcv_detail_code))+1
from ins_premium_det i),'16784','16784','02', '11000003','00','Request by Mr. Saqib Saleem 30-Oct-2024');</v>
      </c>
      <c r="H314" s="33" t="str">
        <f t="shared" si="19"/>
        <v>insert into ins_premium_det (premium_rcv_code,assorted_code, rec_amount,premium_rcv_detail_code,remaining_amt, payrec, mode_code,coinsurance_code,class_cd,it_remarks) values('29Oct240041','070000165941','16784',(select max(to_number(i.premium_rcv_detail_code))+1
from ins_premium_det i),'16784','16784','02', '11000003','00','Request by Mr. Saqib Saleem 30-Oct-2024');</v>
      </c>
    </row>
    <row r="315" spans="1:8" ht="105" x14ac:dyDescent="0.25">
      <c r="A315" s="18" t="s">
        <v>6865</v>
      </c>
      <c r="B315" s="29" t="str">
        <f>VLOOKUP(A315,policy!B:C,2,0)</f>
        <v>070000165965</v>
      </c>
      <c r="C315" s="19">
        <v>68480</v>
      </c>
      <c r="D315" s="30">
        <f t="shared" si="17"/>
        <v>68480</v>
      </c>
      <c r="E315" s="36" t="s">
        <v>7824</v>
      </c>
      <c r="F315" s="31" t="str">
        <f t="shared" si="16"/>
        <v>insert into ins_premium_det (premium_rcv_code,assorted_code, rec_amount,premium_rcv_detail_code,remaining_amt, payrec, mode_code,coinsurance_code,class_cd,it_remarks) values</v>
      </c>
      <c r="G315" s="32" t="str">
        <f t="shared" si="18"/>
        <v>('29Oct240041','070000165965','68480',(select max(to_number(i.premium_rcv_detail_code))+1
from ins_premium_det i),'68480','68480','02', '11000003','00','Request by Mr. Saqib Saleem 30-Oct-2024');</v>
      </c>
      <c r="H315" s="33" t="str">
        <f t="shared" si="19"/>
        <v>insert into ins_premium_det (premium_rcv_code,assorted_code, rec_amount,premium_rcv_detail_code,remaining_amt, payrec, mode_code,coinsurance_code,class_cd,it_remarks) values('29Oct240041','070000165965','68480',(select max(to_number(i.premium_rcv_detail_code))+1
from ins_premium_det i),'68480','68480','02', '11000003','00','Request by Mr. Saqib Saleem 30-Oct-2024');</v>
      </c>
    </row>
    <row r="316" spans="1:8" ht="105" x14ac:dyDescent="0.25">
      <c r="A316" s="18" t="s">
        <v>6866</v>
      </c>
      <c r="B316" s="29" t="str">
        <f>VLOOKUP(A316,policy!B:C,2,0)</f>
        <v>070000165886</v>
      </c>
      <c r="C316" s="19">
        <v>55556</v>
      </c>
      <c r="D316" s="30">
        <f t="shared" si="17"/>
        <v>55556</v>
      </c>
      <c r="E316" s="36" t="s">
        <v>7824</v>
      </c>
      <c r="F316" s="31" t="str">
        <f t="shared" si="16"/>
        <v>insert into ins_premium_det (premium_rcv_code,assorted_code, rec_amount,premium_rcv_detail_code,remaining_amt, payrec, mode_code,coinsurance_code,class_cd,it_remarks) values</v>
      </c>
      <c r="G316" s="32" t="str">
        <f t="shared" si="18"/>
        <v>('29Oct240041','070000165886','55556',(select max(to_number(i.premium_rcv_detail_code))+1
from ins_premium_det i),'55556','55556','02', '11000003','00','Request by Mr. Saqib Saleem 30-Oct-2024');</v>
      </c>
      <c r="H316" s="33" t="str">
        <f t="shared" si="19"/>
        <v>insert into ins_premium_det (premium_rcv_code,assorted_code, rec_amount,premium_rcv_detail_code,remaining_amt, payrec, mode_code,coinsurance_code,class_cd,it_remarks) values('29Oct240041','070000165886','55556',(select max(to_number(i.premium_rcv_detail_code))+1
from ins_premium_det i),'55556','55556','02', '11000003','00','Request by Mr. Saqib Saleem 30-Oct-2024');</v>
      </c>
    </row>
    <row r="317" spans="1:8" ht="105" x14ac:dyDescent="0.25">
      <c r="A317" s="18" t="s">
        <v>6867</v>
      </c>
      <c r="B317" s="29" t="str">
        <f>VLOOKUP(A317,policy!B:C,2,0)</f>
        <v>070000165937</v>
      </c>
      <c r="C317" s="19">
        <v>29280</v>
      </c>
      <c r="D317" s="30">
        <f t="shared" si="17"/>
        <v>29280</v>
      </c>
      <c r="E317" s="36" t="s">
        <v>7824</v>
      </c>
      <c r="F317" s="31" t="str">
        <f t="shared" si="16"/>
        <v>insert into ins_premium_det (premium_rcv_code,assorted_code, rec_amount,premium_rcv_detail_code,remaining_amt, payrec, mode_code,coinsurance_code,class_cd,it_remarks) values</v>
      </c>
      <c r="G317" s="32" t="str">
        <f t="shared" si="18"/>
        <v>('29Oct240041','070000165937','29280',(select max(to_number(i.premium_rcv_detail_code))+1
from ins_premium_det i),'29280','29280','02', '11000003','00','Request by Mr. Saqib Saleem 30-Oct-2024');</v>
      </c>
      <c r="H317" s="33" t="str">
        <f t="shared" si="19"/>
        <v>insert into ins_premium_det (premium_rcv_code,assorted_code, rec_amount,premium_rcv_detail_code,remaining_amt, payrec, mode_code,coinsurance_code,class_cd,it_remarks) values('29Oct240041','070000165937','29280',(select max(to_number(i.premium_rcv_detail_code))+1
from ins_premium_det i),'29280','29280','02', '11000003','00','Request by Mr. Saqib Saleem 30-Oct-2024');</v>
      </c>
    </row>
    <row r="318" spans="1:8" ht="105" x14ac:dyDescent="0.25">
      <c r="A318" s="18" t="s">
        <v>6868</v>
      </c>
      <c r="B318" s="29" t="str">
        <f>VLOOKUP(A318,policy!B:C,2,0)</f>
        <v>070000166057</v>
      </c>
      <c r="C318" s="19">
        <v>9188</v>
      </c>
      <c r="D318" s="30">
        <f t="shared" si="17"/>
        <v>9188</v>
      </c>
      <c r="E318" s="36" t="s">
        <v>7824</v>
      </c>
      <c r="F318" s="31" t="str">
        <f t="shared" si="16"/>
        <v>insert into ins_premium_det (premium_rcv_code,assorted_code, rec_amount,premium_rcv_detail_code,remaining_amt, payrec, mode_code,coinsurance_code,class_cd,it_remarks) values</v>
      </c>
      <c r="G318" s="32" t="str">
        <f t="shared" si="18"/>
        <v>('29Oct240041','070000166057','9188',(select max(to_number(i.premium_rcv_detail_code))+1
from ins_premium_det i),'9188','9188','02', '11000003','00','Request by Mr. Saqib Saleem 30-Oct-2024');</v>
      </c>
      <c r="H318" s="33" t="str">
        <f t="shared" si="19"/>
        <v>insert into ins_premium_det (premium_rcv_code,assorted_code, rec_amount,premium_rcv_detail_code,remaining_amt, payrec, mode_code,coinsurance_code,class_cd,it_remarks) values('29Oct240041','070000166057','9188',(select max(to_number(i.premium_rcv_detail_code))+1
from ins_premium_det i),'9188','9188','02', '11000003','00','Request by Mr. Saqib Saleem 30-Oct-2024');</v>
      </c>
    </row>
    <row r="319" spans="1:8" ht="105" x14ac:dyDescent="0.25">
      <c r="A319" s="18" t="s">
        <v>6869</v>
      </c>
      <c r="B319" s="29" t="str">
        <f>VLOOKUP(A319,policy!B:C,2,0)</f>
        <v>070000166058</v>
      </c>
      <c r="C319" s="19">
        <v>63598</v>
      </c>
      <c r="D319" s="30">
        <f t="shared" si="17"/>
        <v>63598</v>
      </c>
      <c r="E319" s="36" t="s">
        <v>7824</v>
      </c>
      <c r="F319" s="31" t="str">
        <f t="shared" si="16"/>
        <v>insert into ins_premium_det (premium_rcv_code,assorted_code, rec_amount,premium_rcv_detail_code,remaining_amt, payrec, mode_code,coinsurance_code,class_cd,it_remarks) values</v>
      </c>
      <c r="G319" s="32" t="str">
        <f t="shared" si="18"/>
        <v>('29Oct240041','070000166058','63598',(select max(to_number(i.premium_rcv_detail_code))+1
from ins_premium_det i),'63598','63598','02', '11000003','00','Request by Mr. Saqib Saleem 30-Oct-2024');</v>
      </c>
      <c r="H319" s="33" t="str">
        <f t="shared" si="19"/>
        <v>insert into ins_premium_det (premium_rcv_code,assorted_code, rec_amount,premium_rcv_detail_code,remaining_amt, payrec, mode_code,coinsurance_code,class_cd,it_remarks) values('29Oct240041','070000166058','63598',(select max(to_number(i.premium_rcv_detail_code))+1
from ins_premium_det i),'63598','63598','02', '11000003','00','Request by Mr. Saqib Saleem 30-Oct-2024');</v>
      </c>
    </row>
    <row r="320" spans="1:8" ht="105" x14ac:dyDescent="0.25">
      <c r="A320" s="18" t="s">
        <v>6870</v>
      </c>
      <c r="B320" s="29" t="str">
        <f>VLOOKUP(A320,policy!B:C,2,0)</f>
        <v>070000165978</v>
      </c>
      <c r="C320" s="19">
        <v>41424</v>
      </c>
      <c r="D320" s="30">
        <f t="shared" si="17"/>
        <v>41424</v>
      </c>
      <c r="E320" s="36" t="s">
        <v>7824</v>
      </c>
      <c r="F320" s="31" t="str">
        <f t="shared" si="16"/>
        <v>insert into ins_premium_det (premium_rcv_code,assorted_code, rec_amount,premium_rcv_detail_code,remaining_amt, payrec, mode_code,coinsurance_code,class_cd,it_remarks) values</v>
      </c>
      <c r="G320" s="32" t="str">
        <f t="shared" si="18"/>
        <v>('29Oct240041','070000165978','41424',(select max(to_number(i.premium_rcv_detail_code))+1
from ins_premium_det i),'41424','41424','02', '11000003','00','Request by Mr. Saqib Saleem 30-Oct-2024');</v>
      </c>
      <c r="H320" s="33" t="str">
        <f t="shared" si="19"/>
        <v>insert into ins_premium_det (premium_rcv_code,assorted_code, rec_amount,premium_rcv_detail_code,remaining_amt, payrec, mode_code,coinsurance_code,class_cd,it_remarks) values('29Oct240041','070000165978','41424',(select max(to_number(i.premium_rcv_detail_code))+1
from ins_premium_det i),'41424','41424','02', '11000003','00','Request by Mr. Saqib Saleem 30-Oct-2024');</v>
      </c>
    </row>
    <row r="321" spans="1:8" ht="105" x14ac:dyDescent="0.25">
      <c r="A321" s="18" t="s">
        <v>6871</v>
      </c>
      <c r="B321" s="29" t="str">
        <f>VLOOKUP(A321,policy!B:C,2,0)</f>
        <v>070000166020</v>
      </c>
      <c r="C321" s="19">
        <v>20400</v>
      </c>
      <c r="D321" s="30">
        <f t="shared" si="17"/>
        <v>20400</v>
      </c>
      <c r="E321" s="36" t="s">
        <v>7824</v>
      </c>
      <c r="F321" s="31" t="str">
        <f t="shared" si="16"/>
        <v>insert into ins_premium_det (premium_rcv_code,assorted_code, rec_amount,premium_rcv_detail_code,remaining_amt, payrec, mode_code,coinsurance_code,class_cd,it_remarks) values</v>
      </c>
      <c r="G321" s="32" t="str">
        <f t="shared" si="18"/>
        <v>('29Oct240041','070000166020','20400',(select max(to_number(i.premium_rcv_detail_code))+1
from ins_premium_det i),'20400','20400','02', '11000003','00','Request by Mr. Saqib Saleem 30-Oct-2024');</v>
      </c>
      <c r="H321" s="33" t="str">
        <f t="shared" si="19"/>
        <v>insert into ins_premium_det (premium_rcv_code,assorted_code, rec_amount,premium_rcv_detail_code,remaining_amt, payrec, mode_code,coinsurance_code,class_cd,it_remarks) values('29Oct240041','070000166020','20400',(select max(to_number(i.premium_rcv_detail_code))+1
from ins_premium_det i),'20400','20400','02', '11000003','00','Request by Mr. Saqib Saleem 30-Oct-2024');</v>
      </c>
    </row>
    <row r="322" spans="1:8" ht="105" x14ac:dyDescent="0.25">
      <c r="A322" s="18" t="s">
        <v>6872</v>
      </c>
      <c r="B322" s="29" t="str">
        <f>VLOOKUP(A322,policy!B:C,2,0)</f>
        <v>070000166021</v>
      </c>
      <c r="C322" s="19">
        <v>67235</v>
      </c>
      <c r="D322" s="30">
        <f t="shared" si="17"/>
        <v>67235</v>
      </c>
      <c r="E322" s="36" t="s">
        <v>7824</v>
      </c>
      <c r="F322" s="31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32" t="str">
        <f t="shared" si="18"/>
        <v>('29Oct240041','070000166021','67235',(select max(to_number(i.premium_rcv_detail_code))+1
from ins_premium_det i),'67235','67235','02', '11000003','00','Request by Mr. Saqib Saleem 30-Oct-2024');</v>
      </c>
      <c r="H322" s="33" t="str">
        <f t="shared" si="19"/>
        <v>insert into ins_premium_det (premium_rcv_code,assorted_code, rec_amount,premium_rcv_detail_code,remaining_amt, payrec, mode_code,coinsurance_code,class_cd,it_remarks) values('29Oct240041','070000166021','67235',(select max(to_number(i.premium_rcv_detail_code))+1
from ins_premium_det i),'67235','67235','02', '11000003','00','Request by Mr. Saqib Saleem 30-Oct-2024');</v>
      </c>
    </row>
    <row r="323" spans="1:8" ht="105" x14ac:dyDescent="0.25">
      <c r="A323" s="18" t="s">
        <v>6873</v>
      </c>
      <c r="B323" s="29" t="str">
        <f>VLOOKUP(A323,policy!B:C,2,0)</f>
        <v>070000166022</v>
      </c>
      <c r="C323" s="19">
        <v>25760</v>
      </c>
      <c r="D323" s="30">
        <f t="shared" ref="D323:D386" si="21">ROUND(C323,0)</f>
        <v>25760</v>
      </c>
      <c r="E323" s="36" t="s">
        <v>7824</v>
      </c>
      <c r="F323" s="31" t="str">
        <f t="shared" si="20"/>
        <v>insert into ins_premium_det (premium_rcv_code,assorted_code, rec_amount,premium_rcv_detail_code,remaining_amt, payrec, mode_code,coinsurance_code,class_cd,it_remarks) values</v>
      </c>
      <c r="G323" s="32" t="str">
        <f t="shared" ref="G323:G386" si="22">"('"&amp;E323&amp;"','"&amp;B323&amp;"','"&amp;D323&amp;"',(select max(to_number(i.premium_rcv_detail_code))+1
from ins_premium_det i),'"&amp;D323&amp;"','"&amp;D323&amp;"','02', '11000003','00','Request by Mr. Saqib Saleem 30-Oct-2024');"</f>
        <v>('29Oct240041','070000166022','25760',(select max(to_number(i.premium_rcv_detail_code))+1
from ins_premium_det i),'25760','25760','02', '11000003','00','Request by Mr. Saqib Saleem 30-Oct-2024');</v>
      </c>
      <c r="H323" s="33" t="str">
        <f t="shared" ref="H323:H386" si="23">F323&amp;G323</f>
        <v>insert into ins_premium_det (premium_rcv_code,assorted_code, rec_amount,premium_rcv_detail_code,remaining_amt, payrec, mode_code,coinsurance_code,class_cd,it_remarks) values('29Oct240041','070000166022','25760',(select max(to_number(i.premium_rcv_detail_code))+1
from ins_premium_det i),'25760','25760','02', '11000003','00','Request by Mr. Saqib Saleem 30-Oct-2024');</v>
      </c>
    </row>
    <row r="324" spans="1:8" ht="105" x14ac:dyDescent="0.25">
      <c r="A324" s="18" t="s">
        <v>6874</v>
      </c>
      <c r="B324" s="29" t="str">
        <f>VLOOKUP(A324,policy!B:C,2,0)</f>
        <v>070000166099</v>
      </c>
      <c r="C324" s="19">
        <v>51200</v>
      </c>
      <c r="D324" s="30">
        <f t="shared" si="21"/>
        <v>51200</v>
      </c>
      <c r="E324" s="36" t="s">
        <v>7824</v>
      </c>
      <c r="F324" s="31" t="str">
        <f t="shared" si="20"/>
        <v>insert into ins_premium_det (premium_rcv_code,assorted_code, rec_amount,premium_rcv_detail_code,remaining_amt, payrec, mode_code,coinsurance_code,class_cd,it_remarks) values</v>
      </c>
      <c r="G324" s="32" t="str">
        <f t="shared" si="22"/>
        <v>('29Oct240041','070000166099','51200',(select max(to_number(i.premium_rcv_detail_code))+1
from ins_premium_det i),'51200','51200','02', '11000003','00','Request by Mr. Saqib Saleem 30-Oct-2024');</v>
      </c>
      <c r="H324" s="33" t="str">
        <f t="shared" si="23"/>
        <v>insert into ins_premium_det (premium_rcv_code,assorted_code, rec_amount,premium_rcv_detail_code,remaining_amt, payrec, mode_code,coinsurance_code,class_cd,it_remarks) values('29Oct240041','070000166099','51200',(select max(to_number(i.premium_rcv_detail_code))+1
from ins_premium_det i),'51200','51200','02', '11000003','00','Request by Mr. Saqib Saleem 30-Oct-2024');</v>
      </c>
    </row>
    <row r="325" spans="1:8" ht="105" x14ac:dyDescent="0.25">
      <c r="A325" s="18" t="s">
        <v>6878</v>
      </c>
      <c r="B325" s="29" t="str">
        <f>VLOOKUP(A325,Sheet5!B:C,2,0)</f>
        <v>050000812208</v>
      </c>
      <c r="C325" s="20">
        <v>-4790</v>
      </c>
      <c r="D325" s="30">
        <f t="shared" si="21"/>
        <v>-4790</v>
      </c>
      <c r="E325" s="36" t="s">
        <v>7824</v>
      </c>
      <c r="F325" s="31" t="str">
        <f t="shared" si="20"/>
        <v>insert into ins_premium_det (premium_rcv_code,assorted_code, rec_amount,premium_rcv_detail_code,remaining_amt, payrec, mode_code,coinsurance_code,class_cd,it_remarks) values</v>
      </c>
      <c r="G325" s="32" t="str">
        <f t="shared" si="22"/>
        <v>('29Oct240041','050000812208','-4790',(select max(to_number(i.premium_rcv_detail_code))+1
from ins_premium_det i),'-4790','-4790','02', '11000003','00','Request by Mr. Saqib Saleem 30-Oct-2024');</v>
      </c>
      <c r="H325" s="33" t="str">
        <f t="shared" si="23"/>
        <v>insert into ins_premium_det (premium_rcv_code,assorted_code, rec_amount,premium_rcv_detail_code,remaining_amt, payrec, mode_code,coinsurance_code,class_cd,it_remarks) values('29Oct240041','050000812208','-4790',(select max(to_number(i.premium_rcv_detail_code))+1
from ins_premium_det i),'-4790','-4790','02', '11000003','00','Request by Mr. Saqib Saleem 30-Oct-2024');</v>
      </c>
    </row>
    <row r="326" spans="1:8" ht="105" x14ac:dyDescent="0.25">
      <c r="A326" s="18" t="s">
        <v>6879</v>
      </c>
      <c r="B326" s="29" t="str">
        <f>VLOOKUP(A326,Sheet5!B:C,2,0)</f>
        <v>050000812211</v>
      </c>
      <c r="C326" s="20">
        <v>-8098.25</v>
      </c>
      <c r="D326" s="30">
        <f t="shared" si="21"/>
        <v>-8098</v>
      </c>
      <c r="E326" s="36" t="s">
        <v>7824</v>
      </c>
      <c r="F326" s="31" t="str">
        <f t="shared" si="20"/>
        <v>insert into ins_premium_det (premium_rcv_code,assorted_code, rec_amount,premium_rcv_detail_code,remaining_amt, payrec, mode_code,coinsurance_code,class_cd,it_remarks) values</v>
      </c>
      <c r="G326" s="32" t="str">
        <f t="shared" si="22"/>
        <v>('29Oct240041','050000812211','-8098',(select max(to_number(i.premium_rcv_detail_code))+1
from ins_premium_det i),'-8098','-8098','02', '11000003','00','Request by Mr. Saqib Saleem 30-Oct-2024');</v>
      </c>
      <c r="H326" s="33" t="str">
        <f t="shared" si="23"/>
        <v>insert into ins_premium_det (premium_rcv_code,assorted_code, rec_amount,premium_rcv_detail_code,remaining_amt, payrec, mode_code,coinsurance_code,class_cd,it_remarks) values('29Oct240041','050000812211','-8098',(select max(to_number(i.premium_rcv_detail_code))+1
from ins_premium_det i),'-8098','-8098','02', '11000003','00','Request by Mr. Saqib Saleem 30-Oct-2024');</v>
      </c>
    </row>
    <row r="327" spans="1:8" ht="105" x14ac:dyDescent="0.25">
      <c r="A327" s="18" t="s">
        <v>6880</v>
      </c>
      <c r="B327" s="29" t="str">
        <f>VLOOKUP(A327,Sheet5!B:C,2,0)</f>
        <v>050000812221</v>
      </c>
      <c r="C327" s="20">
        <v>-4803.5</v>
      </c>
      <c r="D327" s="30">
        <f t="shared" si="21"/>
        <v>-4804</v>
      </c>
      <c r="E327" s="36" t="s">
        <v>7824</v>
      </c>
      <c r="F327" s="31" t="str">
        <f t="shared" si="20"/>
        <v>insert into ins_premium_det (premium_rcv_code,assorted_code, rec_amount,premium_rcv_detail_code,remaining_amt, payrec, mode_code,coinsurance_code,class_cd,it_remarks) values</v>
      </c>
      <c r="G327" s="32" t="str">
        <f t="shared" si="22"/>
        <v>('29Oct240041','050000812221','-4804',(select max(to_number(i.premium_rcv_detail_code))+1
from ins_premium_det i),'-4804','-4804','02', '11000003','00','Request by Mr. Saqib Saleem 30-Oct-2024');</v>
      </c>
      <c r="H327" s="33" t="str">
        <f t="shared" si="23"/>
        <v>insert into ins_premium_det (premium_rcv_code,assorted_code, rec_amount,premium_rcv_detail_code,remaining_amt, payrec, mode_code,coinsurance_code,class_cd,it_remarks) values('29Oct240041','050000812221','-4804',(select max(to_number(i.premium_rcv_detail_code))+1
from ins_premium_det i),'-4804','-4804','02', '11000003','00','Request by Mr. Saqib Saleem 30-Oct-2024');</v>
      </c>
    </row>
    <row r="328" spans="1:8" ht="105" x14ac:dyDescent="0.25">
      <c r="A328" s="18" t="s">
        <v>6881</v>
      </c>
      <c r="B328" s="29" t="str">
        <f>VLOOKUP(A328,Sheet5!B:C,2,0)</f>
        <v>050000812225</v>
      </c>
      <c r="C328" s="20">
        <v>-5148</v>
      </c>
      <c r="D328" s="30">
        <f t="shared" si="21"/>
        <v>-5148</v>
      </c>
      <c r="E328" s="36" t="s">
        <v>7824</v>
      </c>
      <c r="F328" s="31" t="str">
        <f t="shared" si="20"/>
        <v>insert into ins_premium_det (premium_rcv_code,assorted_code, rec_amount,premium_rcv_detail_code,remaining_amt, payrec, mode_code,coinsurance_code,class_cd,it_remarks) values</v>
      </c>
      <c r="G328" s="32" t="str">
        <f t="shared" si="22"/>
        <v>('29Oct240041','050000812225','-5148',(select max(to_number(i.premium_rcv_detail_code))+1
from ins_premium_det i),'-5148','-5148','02', '11000003','00','Request by Mr. Saqib Saleem 30-Oct-2024');</v>
      </c>
      <c r="H328" s="33" t="str">
        <f t="shared" si="23"/>
        <v>insert into ins_premium_det (premium_rcv_code,assorted_code, rec_amount,premium_rcv_detail_code,remaining_amt, payrec, mode_code,coinsurance_code,class_cd,it_remarks) values('29Oct240041','050000812225','-5148',(select max(to_number(i.premium_rcv_detail_code))+1
from ins_premium_det i),'-5148','-5148','02', '11000003','00','Request by Mr. Saqib Saleem 30-Oct-2024');</v>
      </c>
    </row>
    <row r="329" spans="1:8" ht="105" x14ac:dyDescent="0.25">
      <c r="A329" s="18" t="s">
        <v>6882</v>
      </c>
      <c r="B329" s="29" t="str">
        <f>VLOOKUP(A329,Sheet5!B:C,2,0)</f>
        <v>050000812234</v>
      </c>
      <c r="C329" s="20">
        <v>-3237.5</v>
      </c>
      <c r="D329" s="30">
        <f t="shared" si="21"/>
        <v>-3238</v>
      </c>
      <c r="E329" s="36" t="s">
        <v>7824</v>
      </c>
      <c r="F329" s="31" t="str">
        <f t="shared" si="20"/>
        <v>insert into ins_premium_det (premium_rcv_code,assorted_code, rec_amount,premium_rcv_detail_code,remaining_amt, payrec, mode_code,coinsurance_code,class_cd,it_remarks) values</v>
      </c>
      <c r="G329" s="32" t="str">
        <f t="shared" si="22"/>
        <v>('29Oct240041','050000812234','-3238',(select max(to_number(i.premium_rcv_detail_code))+1
from ins_premium_det i),'-3238','-3238','02', '11000003','00','Request by Mr. Saqib Saleem 30-Oct-2024');</v>
      </c>
      <c r="H329" s="33" t="str">
        <f t="shared" si="23"/>
        <v>insert into ins_premium_det (premium_rcv_code,assorted_code, rec_amount,premium_rcv_detail_code,remaining_amt, payrec, mode_code,coinsurance_code,class_cd,it_remarks) values('29Oct240041','050000812234','-3238',(select max(to_number(i.premium_rcv_detail_code))+1
from ins_premium_det i),'-3238','-3238','02', '11000003','00','Request by Mr. Saqib Saleem 30-Oct-2024');</v>
      </c>
    </row>
    <row r="330" spans="1:8" ht="105" x14ac:dyDescent="0.25">
      <c r="A330" s="18" t="s">
        <v>6883</v>
      </c>
      <c r="B330" s="29" t="str">
        <f>VLOOKUP(A330,Sheet5!B:C,2,0)</f>
        <v>050000812240</v>
      </c>
      <c r="C330" s="20">
        <v>4500</v>
      </c>
      <c r="D330" s="30">
        <f t="shared" si="21"/>
        <v>4500</v>
      </c>
      <c r="E330" s="36" t="s">
        <v>7824</v>
      </c>
      <c r="F330" s="31" t="str">
        <f t="shared" si="20"/>
        <v>insert into ins_premium_det (premium_rcv_code,assorted_code, rec_amount,premium_rcv_detail_code,remaining_amt, payrec, mode_code,coinsurance_code,class_cd,it_remarks) values</v>
      </c>
      <c r="G330" s="32" t="str">
        <f t="shared" si="22"/>
        <v>('29Oct240041','050000812240','4500',(select max(to_number(i.premium_rcv_detail_code))+1
from ins_premium_det i),'4500','4500','02', '11000003','00','Request by Mr. Saqib Saleem 30-Oct-2024');</v>
      </c>
      <c r="H330" s="33" t="str">
        <f t="shared" si="23"/>
        <v>insert into ins_premium_det (premium_rcv_code,assorted_code, rec_amount,premium_rcv_detail_code,remaining_amt, payrec, mode_code,coinsurance_code,class_cd,it_remarks) values('29Oct240041','050000812240','4500',(select max(to_number(i.premium_rcv_detail_code))+1
from ins_premium_det i),'4500','4500','02', '11000003','00','Request by Mr. Saqib Saleem 30-Oct-2024');</v>
      </c>
    </row>
    <row r="331" spans="1:8" ht="105" x14ac:dyDescent="0.25">
      <c r="A331" s="18" t="s">
        <v>6884</v>
      </c>
      <c r="B331" s="29" t="str">
        <f>VLOOKUP(A331,Sheet5!B:C,2,0)</f>
        <v>050000812243</v>
      </c>
      <c r="C331" s="20">
        <v>-3237.5</v>
      </c>
      <c r="D331" s="30">
        <f t="shared" si="21"/>
        <v>-3238</v>
      </c>
      <c r="E331" s="36" t="s">
        <v>7824</v>
      </c>
      <c r="F331" s="31" t="str">
        <f t="shared" si="20"/>
        <v>insert into ins_premium_det (premium_rcv_code,assorted_code, rec_amount,premium_rcv_detail_code,remaining_amt, payrec, mode_code,coinsurance_code,class_cd,it_remarks) values</v>
      </c>
      <c r="G331" s="32" t="str">
        <f t="shared" si="22"/>
        <v>('29Oct240041','050000812243','-3238',(select max(to_number(i.premium_rcv_detail_code))+1
from ins_premium_det i),'-3238','-3238','02', '11000003','00','Request by Mr. Saqib Saleem 30-Oct-2024');</v>
      </c>
      <c r="H331" s="33" t="str">
        <f t="shared" si="23"/>
        <v>insert into ins_premium_det (premium_rcv_code,assorted_code, rec_amount,premium_rcv_detail_code,remaining_amt, payrec, mode_code,coinsurance_code,class_cd,it_remarks) values('29Oct240041','050000812243','-3238',(select max(to_number(i.premium_rcv_detail_code))+1
from ins_premium_det i),'-3238','-3238','02', '11000003','00','Request by Mr. Saqib Saleem 30-Oct-2024');</v>
      </c>
    </row>
    <row r="332" spans="1:8" ht="105" x14ac:dyDescent="0.25">
      <c r="A332" s="18" t="s">
        <v>6885</v>
      </c>
      <c r="B332" s="29" t="str">
        <f>VLOOKUP(A332,Sheet5!B:C,2,0)</f>
        <v>050000812244</v>
      </c>
      <c r="C332" s="20">
        <v>4754.4000000000015</v>
      </c>
      <c r="D332" s="30">
        <f t="shared" si="21"/>
        <v>4754</v>
      </c>
      <c r="E332" s="36" t="s">
        <v>7824</v>
      </c>
      <c r="F332" s="31" t="str">
        <f t="shared" si="20"/>
        <v>insert into ins_premium_det (premium_rcv_code,assorted_code, rec_amount,premium_rcv_detail_code,remaining_amt, payrec, mode_code,coinsurance_code,class_cd,it_remarks) values</v>
      </c>
      <c r="G332" s="32" t="str">
        <f t="shared" si="22"/>
        <v>('29Oct240041','050000812244','4754',(select max(to_number(i.premium_rcv_detail_code))+1
from ins_premium_det i),'4754','4754','02', '11000003','00','Request by Mr. Saqib Saleem 30-Oct-2024');</v>
      </c>
      <c r="H332" s="33" t="str">
        <f t="shared" si="23"/>
        <v>insert into ins_premium_det (premium_rcv_code,assorted_code, rec_amount,premium_rcv_detail_code,remaining_amt, payrec, mode_code,coinsurance_code,class_cd,it_remarks) values('29Oct240041','050000812244','4754',(select max(to_number(i.premium_rcv_detail_code))+1
from ins_premium_det i),'4754','4754','02', '11000003','00','Request by Mr. Saqib Saleem 30-Oct-2024');</v>
      </c>
    </row>
    <row r="333" spans="1:8" ht="105" x14ac:dyDescent="0.25">
      <c r="A333" s="18" t="s">
        <v>6886</v>
      </c>
      <c r="B333" s="29" t="str">
        <f>VLOOKUP(A333,Sheet5!B:C,2,0)</f>
        <v>050000812268</v>
      </c>
      <c r="C333" s="20">
        <v>3628</v>
      </c>
      <c r="D333" s="30">
        <f t="shared" si="21"/>
        <v>3628</v>
      </c>
      <c r="E333" s="36" t="s">
        <v>7824</v>
      </c>
      <c r="F333" s="31" t="str">
        <f t="shared" si="20"/>
        <v>insert into ins_premium_det (premium_rcv_code,assorted_code, rec_amount,premium_rcv_detail_code,remaining_amt, payrec, mode_code,coinsurance_code,class_cd,it_remarks) values</v>
      </c>
      <c r="G333" s="32" t="str">
        <f t="shared" si="22"/>
        <v>('29Oct240041','050000812268','3628',(select max(to_number(i.premium_rcv_detail_code))+1
from ins_premium_det i),'3628','3628','02', '11000003','00','Request by Mr. Saqib Saleem 30-Oct-2024');</v>
      </c>
      <c r="H333" s="33" t="str">
        <f t="shared" si="23"/>
        <v>insert into ins_premium_det (premium_rcv_code,assorted_code, rec_amount,premium_rcv_detail_code,remaining_amt, payrec, mode_code,coinsurance_code,class_cd,it_remarks) values('29Oct240041','050000812268','3628',(select max(to_number(i.premium_rcv_detail_code))+1
from ins_premium_det i),'3628','3628','02', '11000003','00','Request by Mr. Saqib Saleem 30-Oct-2024');</v>
      </c>
    </row>
    <row r="334" spans="1:8" ht="105" x14ac:dyDescent="0.25">
      <c r="A334" s="18" t="s">
        <v>6887</v>
      </c>
      <c r="B334" s="29" t="str">
        <f>VLOOKUP(A334,Sheet5!B:C,2,0)</f>
        <v>050000812280</v>
      </c>
      <c r="C334" s="20">
        <v>3395.0000000000036</v>
      </c>
      <c r="D334" s="30">
        <f t="shared" si="21"/>
        <v>3395</v>
      </c>
      <c r="E334" s="36" t="s">
        <v>7824</v>
      </c>
      <c r="F334" s="31" t="str">
        <f t="shared" si="20"/>
        <v>insert into ins_premium_det (premium_rcv_code,assorted_code, rec_amount,premium_rcv_detail_code,remaining_amt, payrec, mode_code,coinsurance_code,class_cd,it_remarks) values</v>
      </c>
      <c r="G334" s="32" t="str">
        <f t="shared" si="22"/>
        <v>('29Oct240041','050000812280','3395',(select max(to_number(i.premium_rcv_detail_code))+1
from ins_premium_det i),'3395','3395','02', '11000003','00','Request by Mr. Saqib Saleem 30-Oct-2024');</v>
      </c>
      <c r="H334" s="33" t="str">
        <f t="shared" si="23"/>
        <v>insert into ins_premium_det (premium_rcv_code,assorted_code, rec_amount,premium_rcv_detail_code,remaining_amt, payrec, mode_code,coinsurance_code,class_cd,it_remarks) values('29Oct240041','050000812280','3395',(select max(to_number(i.premium_rcv_detail_code))+1
from ins_premium_det i),'3395','3395','02', '11000003','00','Request by Mr. Saqib Saleem 30-Oct-2024');</v>
      </c>
    </row>
    <row r="335" spans="1:8" ht="105" x14ac:dyDescent="0.25">
      <c r="A335" s="18" t="s">
        <v>6888</v>
      </c>
      <c r="B335" s="29" t="str">
        <f>VLOOKUP(A335,Sheet5!B:C,2,0)</f>
        <v>050000812282</v>
      </c>
      <c r="C335" s="20">
        <v>2887.0000000000073</v>
      </c>
      <c r="D335" s="30">
        <f t="shared" si="21"/>
        <v>2887</v>
      </c>
      <c r="E335" s="36" t="s">
        <v>7824</v>
      </c>
      <c r="F335" s="31" t="str">
        <f t="shared" si="20"/>
        <v>insert into ins_premium_det (premium_rcv_code,assorted_code, rec_amount,premium_rcv_detail_code,remaining_amt, payrec, mode_code,coinsurance_code,class_cd,it_remarks) values</v>
      </c>
      <c r="G335" s="32" t="str">
        <f t="shared" si="22"/>
        <v>('29Oct240041','050000812282','2887',(select max(to_number(i.premium_rcv_detail_code))+1
from ins_premium_det i),'2887','2887','02', '11000003','00','Request by Mr. Saqib Saleem 30-Oct-2024');</v>
      </c>
      <c r="H335" s="33" t="str">
        <f t="shared" si="23"/>
        <v>insert into ins_premium_det (premium_rcv_code,assorted_code, rec_amount,premium_rcv_detail_code,remaining_amt, payrec, mode_code,coinsurance_code,class_cd,it_remarks) values('29Oct240041','050000812282','2887',(select max(to_number(i.premium_rcv_detail_code))+1
from ins_premium_det i),'2887','2887','02', '11000003','00','Request by Mr. Saqib Saleem 30-Oct-2024');</v>
      </c>
    </row>
    <row r="336" spans="1:8" ht="105" x14ac:dyDescent="0.25">
      <c r="A336" s="18" t="s">
        <v>6889</v>
      </c>
      <c r="B336" s="29" t="str">
        <f>VLOOKUP(A336,Sheet5!B:C,2,0)</f>
        <v>050000812290</v>
      </c>
      <c r="C336" s="20">
        <v>-2198</v>
      </c>
      <c r="D336" s="30">
        <f t="shared" si="21"/>
        <v>-2198</v>
      </c>
      <c r="E336" s="36" t="s">
        <v>7824</v>
      </c>
      <c r="F336" s="31" t="str">
        <f t="shared" si="20"/>
        <v>insert into ins_premium_det (premium_rcv_code,assorted_code, rec_amount,premium_rcv_detail_code,remaining_amt, payrec, mode_code,coinsurance_code,class_cd,it_remarks) values</v>
      </c>
      <c r="G336" s="32" t="str">
        <f t="shared" si="22"/>
        <v>('29Oct240041','050000812290','-2198',(select max(to_number(i.premium_rcv_detail_code))+1
from ins_premium_det i),'-2198','-2198','02', '11000003','00','Request by Mr. Saqib Saleem 30-Oct-2024');</v>
      </c>
      <c r="H336" s="33" t="str">
        <f t="shared" si="23"/>
        <v>insert into ins_premium_det (premium_rcv_code,assorted_code, rec_amount,premium_rcv_detail_code,remaining_amt, payrec, mode_code,coinsurance_code,class_cd,it_remarks) values('29Oct240041','050000812290','-2198',(select max(to_number(i.premium_rcv_detail_code))+1
from ins_premium_det i),'-2198','-2198','02', '11000003','00','Request by Mr. Saqib Saleem 30-Oct-2024');</v>
      </c>
    </row>
    <row r="337" spans="1:8" ht="105" x14ac:dyDescent="0.25">
      <c r="A337" s="18" t="s">
        <v>6890</v>
      </c>
      <c r="B337" s="29" t="str">
        <f>VLOOKUP(A337,Sheet5!B:C,2,0)</f>
        <v>050000812296</v>
      </c>
      <c r="C337" s="20">
        <v>-5148</v>
      </c>
      <c r="D337" s="30">
        <f t="shared" si="21"/>
        <v>-5148</v>
      </c>
      <c r="E337" s="36" t="s">
        <v>7824</v>
      </c>
      <c r="F337" s="31" t="str">
        <f t="shared" si="20"/>
        <v>insert into ins_premium_det (premium_rcv_code,assorted_code, rec_amount,premium_rcv_detail_code,remaining_amt, payrec, mode_code,coinsurance_code,class_cd,it_remarks) values</v>
      </c>
      <c r="G337" s="32" t="str">
        <f t="shared" si="22"/>
        <v>('29Oct240041','050000812296','-5148',(select max(to_number(i.premium_rcv_detail_code))+1
from ins_premium_det i),'-5148','-5148','02', '11000003','00','Request by Mr. Saqib Saleem 30-Oct-2024');</v>
      </c>
      <c r="H337" s="33" t="str">
        <f t="shared" si="23"/>
        <v>insert into ins_premium_det (premium_rcv_code,assorted_code, rec_amount,premium_rcv_detail_code,remaining_amt, payrec, mode_code,coinsurance_code,class_cd,it_remarks) values('29Oct240041','050000812296','-5148',(select max(to_number(i.premium_rcv_detail_code))+1
from ins_premium_det i),'-5148','-5148','02', '11000003','00','Request by Mr. Saqib Saleem 30-Oct-2024');</v>
      </c>
    </row>
    <row r="338" spans="1:8" ht="105" x14ac:dyDescent="0.25">
      <c r="A338" s="18" t="s">
        <v>6891</v>
      </c>
      <c r="B338" s="29" t="str">
        <f>VLOOKUP(A338,Sheet5!B:C,2,0)</f>
        <v>050000812304</v>
      </c>
      <c r="C338" s="20">
        <v>3674.5000000000036</v>
      </c>
      <c r="D338" s="30">
        <f t="shared" si="21"/>
        <v>3675</v>
      </c>
      <c r="E338" s="36" t="s">
        <v>7824</v>
      </c>
      <c r="F338" s="31" t="str">
        <f t="shared" si="20"/>
        <v>insert into ins_premium_det (premium_rcv_code,assorted_code, rec_amount,premium_rcv_detail_code,remaining_amt, payrec, mode_code,coinsurance_code,class_cd,it_remarks) values</v>
      </c>
      <c r="G338" s="32" t="str">
        <f t="shared" si="22"/>
        <v>('29Oct240041','050000812304','3675',(select max(to_number(i.premium_rcv_detail_code))+1
from ins_premium_det i),'3675','3675','02', '11000003','00','Request by Mr. Saqib Saleem 30-Oct-2024');</v>
      </c>
      <c r="H338" s="33" t="str">
        <f t="shared" si="23"/>
        <v>insert into ins_premium_det (premium_rcv_code,assorted_code, rec_amount,premium_rcv_detail_code,remaining_amt, payrec, mode_code,coinsurance_code,class_cd,it_remarks) values('29Oct240041','050000812304','3675',(select max(to_number(i.premium_rcv_detail_code))+1
from ins_premium_det i),'3675','3675','02', '11000003','00','Request by Mr. Saqib Saleem 30-Oct-2024');</v>
      </c>
    </row>
    <row r="339" spans="1:8" ht="105" x14ac:dyDescent="0.25">
      <c r="A339" s="18" t="s">
        <v>6892</v>
      </c>
      <c r="B339" s="29" t="str">
        <f>VLOOKUP(A339,Sheet5!B:C,2,0)</f>
        <v>050000812312</v>
      </c>
      <c r="C339" s="20">
        <v>3500.0000000000036</v>
      </c>
      <c r="D339" s="30">
        <f t="shared" si="21"/>
        <v>3500</v>
      </c>
      <c r="E339" s="36" t="s">
        <v>7824</v>
      </c>
      <c r="F339" s="31" t="str">
        <f t="shared" si="20"/>
        <v>insert into ins_premium_det (premium_rcv_code,assorted_code, rec_amount,premium_rcv_detail_code,remaining_amt, payrec, mode_code,coinsurance_code,class_cd,it_remarks) values</v>
      </c>
      <c r="G339" s="32" t="str">
        <f t="shared" si="22"/>
        <v>('29Oct240041','050000812312','3500',(select max(to_number(i.premium_rcv_detail_code))+1
from ins_premium_det i),'3500','3500','02', '11000003','00','Request by Mr. Saqib Saleem 30-Oct-2024');</v>
      </c>
      <c r="H339" s="33" t="str">
        <f t="shared" si="23"/>
        <v>insert into ins_premium_det (premium_rcv_code,assorted_code, rec_amount,premium_rcv_detail_code,remaining_amt, payrec, mode_code,coinsurance_code,class_cd,it_remarks) values('29Oct240041','050000812312','3500',(select max(to_number(i.premium_rcv_detail_code))+1
from ins_premium_det i),'3500','3500','02', '11000003','00','Request by Mr. Saqib Saleem 30-Oct-2024');</v>
      </c>
    </row>
    <row r="340" spans="1:8" ht="105" x14ac:dyDescent="0.25">
      <c r="A340" s="18" t="s">
        <v>6893</v>
      </c>
      <c r="B340" s="29" t="str">
        <f>VLOOKUP(A340,Sheet5!B:C,2,0)</f>
        <v>050000812313</v>
      </c>
      <c r="C340" s="20">
        <v>18535.250000000058</v>
      </c>
      <c r="D340" s="30">
        <f t="shared" si="21"/>
        <v>18535</v>
      </c>
      <c r="E340" s="36" t="s">
        <v>7824</v>
      </c>
      <c r="F340" s="31" t="str">
        <f t="shared" si="20"/>
        <v>insert into ins_premium_det (premium_rcv_code,assorted_code, rec_amount,premium_rcv_detail_code,remaining_amt, payrec, mode_code,coinsurance_code,class_cd,it_remarks) values</v>
      </c>
      <c r="G340" s="32" t="str">
        <f t="shared" si="22"/>
        <v>('29Oct240041','050000812313','18535',(select max(to_number(i.premium_rcv_detail_code))+1
from ins_premium_det i),'18535','18535','02', '11000003','00','Request by Mr. Saqib Saleem 30-Oct-2024');</v>
      </c>
      <c r="H340" s="33" t="str">
        <f t="shared" si="23"/>
        <v>insert into ins_premium_det (premium_rcv_code,assorted_code, rec_amount,premium_rcv_detail_code,remaining_amt, payrec, mode_code,coinsurance_code,class_cd,it_remarks) values('29Oct240041','050000812313','18535',(select max(to_number(i.premium_rcv_detail_code))+1
from ins_premium_det i),'18535','18535','02', '11000003','00','Request by Mr. Saqib Saleem 30-Oct-2024');</v>
      </c>
    </row>
    <row r="341" spans="1:8" ht="105" x14ac:dyDescent="0.25">
      <c r="A341" s="18" t="s">
        <v>6894</v>
      </c>
      <c r="B341" s="29" t="str">
        <f>VLOOKUP(A341,Sheet5!B:C,2,0)</f>
        <v>050000812320</v>
      </c>
      <c r="C341" s="20">
        <v>-2796</v>
      </c>
      <c r="D341" s="30">
        <f t="shared" si="21"/>
        <v>-2796</v>
      </c>
      <c r="E341" s="36" t="s">
        <v>7824</v>
      </c>
      <c r="F341" s="31" t="str">
        <f t="shared" si="20"/>
        <v>insert into ins_premium_det (premium_rcv_code,assorted_code, rec_amount,premium_rcv_detail_code,remaining_amt, payrec, mode_code,coinsurance_code,class_cd,it_remarks) values</v>
      </c>
      <c r="G341" s="32" t="str">
        <f t="shared" si="22"/>
        <v>('29Oct240041','050000812320','-2796',(select max(to_number(i.premium_rcv_detail_code))+1
from ins_premium_det i),'-2796','-2796','02', '11000003','00','Request by Mr. Saqib Saleem 30-Oct-2024');</v>
      </c>
      <c r="H341" s="33" t="str">
        <f t="shared" si="23"/>
        <v>insert into ins_premium_det (premium_rcv_code,assorted_code, rec_amount,premium_rcv_detail_code,remaining_amt, payrec, mode_code,coinsurance_code,class_cd,it_remarks) values('29Oct240041','050000812320','-2796',(select max(to_number(i.premium_rcv_detail_code))+1
from ins_premium_det i),'-2796','-2796','02', '11000003','00','Request by Mr. Saqib Saleem 30-Oct-2024');</v>
      </c>
    </row>
    <row r="342" spans="1:8" ht="105" x14ac:dyDescent="0.25">
      <c r="A342" s="18" t="s">
        <v>6895</v>
      </c>
      <c r="B342" s="29" t="str">
        <f>VLOOKUP(A342,Sheet5!B:C,2,0)</f>
        <v>050000812325</v>
      </c>
      <c r="C342" s="20">
        <v>-5148</v>
      </c>
      <c r="D342" s="30">
        <f t="shared" si="21"/>
        <v>-5148</v>
      </c>
      <c r="E342" s="36" t="s">
        <v>7824</v>
      </c>
      <c r="F342" s="31" t="str">
        <f t="shared" si="20"/>
        <v>insert into ins_premium_det (premium_rcv_code,assorted_code, rec_amount,premium_rcv_detail_code,remaining_amt, payrec, mode_code,coinsurance_code,class_cd,it_remarks) values</v>
      </c>
      <c r="G342" s="32" t="str">
        <f t="shared" si="22"/>
        <v>('29Oct240041','050000812325','-5148',(select max(to_number(i.premium_rcv_detail_code))+1
from ins_premium_det i),'-5148','-5148','02', '11000003','00','Request by Mr. Saqib Saleem 30-Oct-2024');</v>
      </c>
      <c r="H342" s="33" t="str">
        <f t="shared" si="23"/>
        <v>insert into ins_premium_det (premium_rcv_code,assorted_code, rec_amount,premium_rcv_detail_code,remaining_amt, payrec, mode_code,coinsurance_code,class_cd,it_remarks) values('29Oct240041','050000812325','-5148',(select max(to_number(i.premium_rcv_detail_code))+1
from ins_premium_det i),'-5148','-5148','02', '11000003','00','Request by Mr. Saqib Saleem 30-Oct-2024');</v>
      </c>
    </row>
    <row r="343" spans="1:8" ht="105" x14ac:dyDescent="0.25">
      <c r="A343" s="18" t="s">
        <v>6896</v>
      </c>
      <c r="B343" s="29" t="str">
        <f>VLOOKUP(A343,Sheet5!B:C,2,0)</f>
        <v>050000812332</v>
      </c>
      <c r="C343" s="20">
        <v>-7348.25</v>
      </c>
      <c r="D343" s="30">
        <f t="shared" si="21"/>
        <v>-7348</v>
      </c>
      <c r="E343" s="36" t="s">
        <v>7824</v>
      </c>
      <c r="F343" s="31" t="str">
        <f t="shared" si="20"/>
        <v>insert into ins_premium_det (premium_rcv_code,assorted_code, rec_amount,premium_rcv_detail_code,remaining_amt, payrec, mode_code,coinsurance_code,class_cd,it_remarks) values</v>
      </c>
      <c r="G343" s="32" t="str">
        <f t="shared" si="22"/>
        <v>('29Oct240041','050000812332','-7348',(select max(to_number(i.premium_rcv_detail_code))+1
from ins_premium_det i),'-7348','-7348','02', '11000003','00','Request by Mr. Saqib Saleem 30-Oct-2024');</v>
      </c>
      <c r="H343" s="33" t="str">
        <f t="shared" si="23"/>
        <v>insert into ins_premium_det (premium_rcv_code,assorted_code, rec_amount,premium_rcv_detail_code,remaining_amt, payrec, mode_code,coinsurance_code,class_cd,it_remarks) values('29Oct240041','050000812332','-7348',(select max(to_number(i.premium_rcv_detail_code))+1
from ins_premium_det i),'-7348','-7348','02', '11000003','00','Request by Mr. Saqib Saleem 30-Oct-2024');</v>
      </c>
    </row>
    <row r="344" spans="1:8" ht="105" x14ac:dyDescent="0.25">
      <c r="A344" s="18" t="s">
        <v>6897</v>
      </c>
      <c r="B344" s="29" t="str">
        <f>VLOOKUP(A344,Sheet5!B:C,2,0)</f>
        <v>050000812335</v>
      </c>
      <c r="C344" s="20">
        <v>-8451</v>
      </c>
      <c r="D344" s="30">
        <f t="shared" si="21"/>
        <v>-8451</v>
      </c>
      <c r="E344" s="36" t="s">
        <v>7824</v>
      </c>
      <c r="F344" s="31" t="str">
        <f t="shared" si="20"/>
        <v>insert into ins_premium_det (premium_rcv_code,assorted_code, rec_amount,premium_rcv_detail_code,remaining_amt, payrec, mode_code,coinsurance_code,class_cd,it_remarks) values</v>
      </c>
      <c r="G344" s="32" t="str">
        <f t="shared" si="22"/>
        <v>('29Oct240041','050000812335','-8451',(select max(to_number(i.premium_rcv_detail_code))+1
from ins_premium_det i),'-8451','-8451','02', '11000003','00','Request by Mr. Saqib Saleem 30-Oct-2024');</v>
      </c>
      <c r="H344" s="33" t="str">
        <f t="shared" si="23"/>
        <v>insert into ins_premium_det (premium_rcv_code,assorted_code, rec_amount,premium_rcv_detail_code,remaining_amt, payrec, mode_code,coinsurance_code,class_cd,it_remarks) values('29Oct240041','050000812335','-8451',(select max(to_number(i.premium_rcv_detail_code))+1
from ins_premium_det i),'-8451','-8451','02', '11000003','00','Request by Mr. Saqib Saleem 30-Oct-2024');</v>
      </c>
    </row>
    <row r="345" spans="1:8" ht="105" x14ac:dyDescent="0.25">
      <c r="A345" s="18" t="s">
        <v>6898</v>
      </c>
      <c r="B345" s="29" t="str">
        <f>VLOOKUP(A345,Sheet5!B:C,2,0)</f>
        <v>050000812341</v>
      </c>
      <c r="C345" s="20">
        <v>3074.5</v>
      </c>
      <c r="D345" s="30">
        <f t="shared" si="21"/>
        <v>3075</v>
      </c>
      <c r="E345" s="36" t="s">
        <v>7824</v>
      </c>
      <c r="F345" s="31" t="str">
        <f t="shared" si="20"/>
        <v>insert into ins_premium_det (premium_rcv_code,assorted_code, rec_amount,premium_rcv_detail_code,remaining_amt, payrec, mode_code,coinsurance_code,class_cd,it_remarks) values</v>
      </c>
      <c r="G345" s="32" t="str">
        <f t="shared" si="22"/>
        <v>('29Oct240041','050000812341','3075',(select max(to_number(i.premium_rcv_detail_code))+1
from ins_premium_det i),'3075','3075','02', '11000003','00','Request by Mr. Saqib Saleem 30-Oct-2024');</v>
      </c>
      <c r="H345" s="33" t="str">
        <f t="shared" si="23"/>
        <v>insert into ins_premium_det (premium_rcv_code,assorted_code, rec_amount,premium_rcv_detail_code,remaining_amt, payrec, mode_code,coinsurance_code,class_cd,it_remarks) values('29Oct240041','050000812341','3075',(select max(to_number(i.premium_rcv_detail_code))+1
from ins_premium_det i),'3075','3075','02', '11000003','00','Request by Mr. Saqib Saleem 30-Oct-2024');</v>
      </c>
    </row>
    <row r="346" spans="1:8" ht="105" x14ac:dyDescent="0.25">
      <c r="A346" s="18" t="s">
        <v>6899</v>
      </c>
      <c r="B346" s="29" t="str">
        <f>VLOOKUP(A346,Sheet5!B:C,2,0)</f>
        <v>050000812343</v>
      </c>
      <c r="C346" s="20">
        <v>2362.5000000000036</v>
      </c>
      <c r="D346" s="30">
        <f t="shared" si="21"/>
        <v>2363</v>
      </c>
      <c r="E346" s="36" t="s">
        <v>7824</v>
      </c>
      <c r="F346" s="31" t="str">
        <f t="shared" si="20"/>
        <v>insert into ins_premium_det (premium_rcv_code,assorted_code, rec_amount,premium_rcv_detail_code,remaining_amt, payrec, mode_code,coinsurance_code,class_cd,it_remarks) values</v>
      </c>
      <c r="G346" s="32" t="str">
        <f t="shared" si="22"/>
        <v>('29Oct240041','050000812343','2363',(select max(to_number(i.premium_rcv_detail_code))+1
from ins_premium_det i),'2363','2363','02', '11000003','00','Request by Mr. Saqib Saleem 30-Oct-2024');</v>
      </c>
      <c r="H346" s="33" t="str">
        <f t="shared" si="23"/>
        <v>insert into ins_premium_det (premium_rcv_code,assorted_code, rec_amount,premium_rcv_detail_code,remaining_amt, payrec, mode_code,coinsurance_code,class_cd,it_remarks) values('29Oct240041','050000812343','2363',(select max(to_number(i.premium_rcv_detail_code))+1
from ins_premium_det i),'2363','2363','02', '11000003','00','Request by Mr. Saqib Saleem 30-Oct-2024');</v>
      </c>
    </row>
    <row r="347" spans="1:8" ht="105" x14ac:dyDescent="0.25">
      <c r="A347" s="18" t="s">
        <v>6900</v>
      </c>
      <c r="B347" s="29" t="str">
        <f>VLOOKUP(A347,Sheet5!B:C,2,0)</f>
        <v>050000812223</v>
      </c>
      <c r="C347" s="20">
        <v>-2875</v>
      </c>
      <c r="D347" s="30">
        <f t="shared" si="21"/>
        <v>-2875</v>
      </c>
      <c r="E347" s="36" t="s">
        <v>7824</v>
      </c>
      <c r="F347" s="31" t="str">
        <f t="shared" si="20"/>
        <v>insert into ins_premium_det (premium_rcv_code,assorted_code, rec_amount,premium_rcv_detail_code,remaining_amt, payrec, mode_code,coinsurance_code,class_cd,it_remarks) values</v>
      </c>
      <c r="G347" s="32" t="str">
        <f t="shared" si="22"/>
        <v>('29Oct240041','050000812223','-2875',(select max(to_number(i.premium_rcv_detail_code))+1
from ins_premium_det i),'-2875','-2875','02', '11000003','00','Request by Mr. Saqib Saleem 30-Oct-2024');</v>
      </c>
      <c r="H347" s="33" t="str">
        <f t="shared" si="23"/>
        <v>insert into ins_premium_det (premium_rcv_code,assorted_code, rec_amount,premium_rcv_detail_code,remaining_amt, payrec, mode_code,coinsurance_code,class_cd,it_remarks) values('29Oct240041','050000812223','-2875',(select max(to_number(i.premium_rcv_detail_code))+1
from ins_premium_det i),'-2875','-2875','02', '11000003','00','Request by Mr. Saqib Saleem 30-Oct-2024');</v>
      </c>
    </row>
    <row r="348" spans="1:8" ht="105" x14ac:dyDescent="0.25">
      <c r="A348" s="18" t="s">
        <v>6901</v>
      </c>
      <c r="B348" s="29" t="str">
        <f>VLOOKUP(A348,Sheet5!B:C,2,0)</f>
        <v>050000812226</v>
      </c>
      <c r="C348" s="20">
        <v>-3600</v>
      </c>
      <c r="D348" s="30">
        <f t="shared" si="21"/>
        <v>-3600</v>
      </c>
      <c r="E348" s="36" t="s">
        <v>7824</v>
      </c>
      <c r="F348" s="31" t="str">
        <f t="shared" si="20"/>
        <v>insert into ins_premium_det (premium_rcv_code,assorted_code, rec_amount,premium_rcv_detail_code,remaining_amt, payrec, mode_code,coinsurance_code,class_cd,it_remarks) values</v>
      </c>
      <c r="G348" s="32" t="str">
        <f t="shared" si="22"/>
        <v>('29Oct240041','050000812226','-3600',(select max(to_number(i.premium_rcv_detail_code))+1
from ins_premium_det i),'-3600','-3600','02', '11000003','00','Request by Mr. Saqib Saleem 30-Oct-2024');</v>
      </c>
      <c r="H348" s="33" t="str">
        <f t="shared" si="23"/>
        <v>insert into ins_premium_det (premium_rcv_code,assorted_code, rec_amount,premium_rcv_detail_code,remaining_amt, payrec, mode_code,coinsurance_code,class_cd,it_remarks) values('29Oct240041','050000812226','-3600',(select max(to_number(i.premium_rcv_detail_code))+1
from ins_premium_det i),'-3600','-3600','02', '11000003','00','Request by Mr. Saqib Saleem 30-Oct-2024');</v>
      </c>
    </row>
    <row r="349" spans="1:8" ht="105" x14ac:dyDescent="0.25">
      <c r="A349" s="18" t="s">
        <v>6902</v>
      </c>
      <c r="B349" s="29" t="str">
        <f>VLOOKUP(A349,Sheet5!B:C,2,0)</f>
        <v>050000812233</v>
      </c>
      <c r="C349" s="20">
        <v>-1398</v>
      </c>
      <c r="D349" s="30">
        <f t="shared" si="21"/>
        <v>-1398</v>
      </c>
      <c r="E349" s="36" t="s">
        <v>7824</v>
      </c>
      <c r="F349" s="31" t="str">
        <f t="shared" si="20"/>
        <v>insert into ins_premium_det (premium_rcv_code,assorted_code, rec_amount,premium_rcv_detail_code,remaining_amt, payrec, mode_code,coinsurance_code,class_cd,it_remarks) values</v>
      </c>
      <c r="G349" s="32" t="str">
        <f t="shared" si="22"/>
        <v>('29Oct240041','050000812233','-1398',(select max(to_number(i.premium_rcv_detail_code))+1
from ins_premium_det i),'-1398','-1398','02', '11000003','00','Request by Mr. Saqib Saleem 30-Oct-2024');</v>
      </c>
      <c r="H349" s="33" t="str">
        <f t="shared" si="23"/>
        <v>insert into ins_premium_det (premium_rcv_code,assorted_code, rec_amount,premium_rcv_detail_code,remaining_amt, payrec, mode_code,coinsurance_code,class_cd,it_remarks) values('29Oct240041','050000812233','-1398',(select max(to_number(i.premium_rcv_detail_code))+1
from ins_premium_det i),'-1398','-1398','02', '11000003','00','Request by Mr. Saqib Saleem 30-Oct-2024');</v>
      </c>
    </row>
    <row r="350" spans="1:8" ht="105" x14ac:dyDescent="0.25">
      <c r="A350" s="18" t="s">
        <v>6903</v>
      </c>
      <c r="B350" s="29" t="str">
        <f>VLOOKUP(A350,Sheet5!B:C,2,0)</f>
        <v>050000812235</v>
      </c>
      <c r="C350" s="20">
        <v>2568.2500000000073</v>
      </c>
      <c r="D350" s="30">
        <f t="shared" si="21"/>
        <v>2568</v>
      </c>
      <c r="E350" s="36" t="s">
        <v>7824</v>
      </c>
      <c r="F350" s="31" t="str">
        <f t="shared" si="20"/>
        <v>insert into ins_premium_det (premium_rcv_code,assorted_code, rec_amount,premium_rcv_detail_code,remaining_amt, payrec, mode_code,coinsurance_code,class_cd,it_remarks) values</v>
      </c>
      <c r="G350" s="32" t="str">
        <f t="shared" si="22"/>
        <v>('29Oct240041','050000812235','2568',(select max(to_number(i.premium_rcv_detail_code))+1
from ins_premium_det i),'2568','2568','02', '11000003','00','Request by Mr. Saqib Saleem 30-Oct-2024');</v>
      </c>
      <c r="H350" s="33" t="str">
        <f t="shared" si="23"/>
        <v>insert into ins_premium_det (premium_rcv_code,assorted_code, rec_amount,premium_rcv_detail_code,remaining_amt, payrec, mode_code,coinsurance_code,class_cd,it_remarks) values('29Oct240041','050000812235','2568',(select max(to_number(i.premium_rcv_detail_code))+1
from ins_premium_det i),'2568','2568','02', '11000003','00','Request by Mr. Saqib Saleem 30-Oct-2024');</v>
      </c>
    </row>
    <row r="351" spans="1:8" ht="105" x14ac:dyDescent="0.25">
      <c r="A351" s="18" t="s">
        <v>6904</v>
      </c>
      <c r="B351" s="29" t="str">
        <f>VLOOKUP(A351,Sheet5!B:C,2,0)</f>
        <v>050000812239</v>
      </c>
      <c r="C351" s="20">
        <v>-2268</v>
      </c>
      <c r="D351" s="30">
        <f t="shared" si="21"/>
        <v>-2268</v>
      </c>
      <c r="E351" s="36" t="s">
        <v>7824</v>
      </c>
      <c r="F351" s="31" t="str">
        <f t="shared" si="20"/>
        <v>insert into ins_premium_det (premium_rcv_code,assorted_code, rec_amount,premium_rcv_detail_code,remaining_amt, payrec, mode_code,coinsurance_code,class_cd,it_remarks) values</v>
      </c>
      <c r="G351" s="32" t="str">
        <f t="shared" si="22"/>
        <v>('29Oct240041','050000812239','-2268',(select max(to_number(i.premium_rcv_detail_code))+1
from ins_premium_det i),'-2268','-2268','02', '11000003','00','Request by Mr. Saqib Saleem 30-Oct-2024');</v>
      </c>
      <c r="H351" s="33" t="str">
        <f t="shared" si="23"/>
        <v>insert into ins_premium_det (premium_rcv_code,assorted_code, rec_amount,premium_rcv_detail_code,remaining_amt, payrec, mode_code,coinsurance_code,class_cd,it_remarks) values('29Oct240041','050000812239','-2268',(select max(to_number(i.premium_rcv_detail_code))+1
from ins_premium_det i),'-2268','-2268','02', '11000003','00','Request by Mr. Saqib Saleem 30-Oct-2024');</v>
      </c>
    </row>
    <row r="352" spans="1:8" ht="105" x14ac:dyDescent="0.25">
      <c r="A352" s="18" t="s">
        <v>6905</v>
      </c>
      <c r="B352" s="29" t="str">
        <f>VLOOKUP(A352,Sheet5!B:C,2,0)</f>
        <v>050000812357</v>
      </c>
      <c r="C352" s="20">
        <v>-2933</v>
      </c>
      <c r="D352" s="30">
        <f t="shared" si="21"/>
        <v>-2933</v>
      </c>
      <c r="E352" s="36" t="s">
        <v>7824</v>
      </c>
      <c r="F352" s="31" t="str">
        <f t="shared" si="20"/>
        <v>insert into ins_premium_det (premium_rcv_code,assorted_code, rec_amount,premium_rcv_detail_code,remaining_amt, payrec, mode_code,coinsurance_code,class_cd,it_remarks) values</v>
      </c>
      <c r="G352" s="32" t="str">
        <f t="shared" si="22"/>
        <v>('29Oct240041','050000812357','-2933',(select max(to_number(i.premium_rcv_detail_code))+1
from ins_premium_det i),'-2933','-2933','02', '11000003','00','Request by Mr. Saqib Saleem 30-Oct-2024');</v>
      </c>
      <c r="H352" s="33" t="str">
        <f t="shared" si="23"/>
        <v>insert into ins_premium_det (premium_rcv_code,assorted_code, rec_amount,premium_rcv_detail_code,remaining_amt, payrec, mode_code,coinsurance_code,class_cd,it_remarks) values('29Oct240041','050000812357','-2933',(select max(to_number(i.premium_rcv_detail_code))+1
from ins_premium_det i),'-2933','-2933','02', '11000003','00','Request by Mr. Saqib Saleem 30-Oct-2024');</v>
      </c>
    </row>
    <row r="353" spans="1:8" ht="105" x14ac:dyDescent="0.25">
      <c r="A353" s="18" t="s">
        <v>6906</v>
      </c>
      <c r="B353" s="29" t="str">
        <f>VLOOKUP(A353,Sheet5!B:C,2,0)</f>
        <v>050000812248</v>
      </c>
      <c r="C353" s="20">
        <v>3456.1250000000036</v>
      </c>
      <c r="D353" s="30">
        <f t="shared" si="21"/>
        <v>3456</v>
      </c>
      <c r="E353" s="36" t="s">
        <v>7824</v>
      </c>
      <c r="F353" s="31" t="str">
        <f t="shared" si="20"/>
        <v>insert into ins_premium_det (premium_rcv_code,assorted_code, rec_amount,premium_rcv_detail_code,remaining_amt, payrec, mode_code,coinsurance_code,class_cd,it_remarks) values</v>
      </c>
      <c r="G353" s="32" t="str">
        <f t="shared" si="22"/>
        <v>('29Oct240041','050000812248','3456',(select max(to_number(i.premium_rcv_detail_code))+1
from ins_premium_det i),'3456','3456','02', '11000003','00','Request by Mr. Saqib Saleem 30-Oct-2024');</v>
      </c>
      <c r="H353" s="33" t="str">
        <f t="shared" si="23"/>
        <v>insert into ins_premium_det (premium_rcv_code,assorted_code, rec_amount,premium_rcv_detail_code,remaining_amt, payrec, mode_code,coinsurance_code,class_cd,it_remarks) values('29Oct240041','050000812248','3456',(select max(to_number(i.premium_rcv_detail_code))+1
from ins_premium_det i),'3456','3456','02', '11000003','00','Request by Mr. Saqib Saleem 30-Oct-2024');</v>
      </c>
    </row>
    <row r="354" spans="1:8" ht="105" x14ac:dyDescent="0.25">
      <c r="A354" s="18" t="s">
        <v>6907</v>
      </c>
      <c r="B354" s="29" t="str">
        <f>VLOOKUP(A354,Sheet5!B:C,2,0)</f>
        <v>050000812250</v>
      </c>
      <c r="C354" s="20">
        <v>4138.375</v>
      </c>
      <c r="D354" s="30">
        <f t="shared" si="21"/>
        <v>4138</v>
      </c>
      <c r="E354" s="36" t="s">
        <v>7824</v>
      </c>
      <c r="F354" s="31" t="str">
        <f t="shared" si="20"/>
        <v>insert into ins_premium_det (premium_rcv_code,assorted_code, rec_amount,premium_rcv_detail_code,remaining_amt, payrec, mode_code,coinsurance_code,class_cd,it_remarks) values</v>
      </c>
      <c r="G354" s="32" t="str">
        <f t="shared" si="22"/>
        <v>('29Oct240041','050000812250','4138',(select max(to_number(i.premium_rcv_detail_code))+1
from ins_premium_det i),'4138','4138','02', '11000003','00','Request by Mr. Saqib Saleem 30-Oct-2024');</v>
      </c>
      <c r="H354" s="33" t="str">
        <f t="shared" si="23"/>
        <v>insert into ins_premium_det (premium_rcv_code,assorted_code, rec_amount,premium_rcv_detail_code,remaining_amt, payrec, mode_code,coinsurance_code,class_cd,it_remarks) values('29Oct240041','050000812250','4138',(select max(to_number(i.premium_rcv_detail_code))+1
from ins_premium_det i),'4138','4138','02', '11000003','00','Request by Mr. Saqib Saleem 30-Oct-2024');</v>
      </c>
    </row>
    <row r="355" spans="1:8" ht="105" x14ac:dyDescent="0.25">
      <c r="A355" s="18" t="s">
        <v>6908</v>
      </c>
      <c r="B355" s="29" t="str">
        <f>VLOOKUP(A355,Sheet5!B:C,2,0)</f>
        <v>050000812366</v>
      </c>
      <c r="C355" s="20">
        <v>4130</v>
      </c>
      <c r="D355" s="30">
        <f t="shared" si="21"/>
        <v>4130</v>
      </c>
      <c r="E355" s="36" t="s">
        <v>7824</v>
      </c>
      <c r="F355" s="31" t="str">
        <f t="shared" si="20"/>
        <v>insert into ins_premium_det (premium_rcv_code,assorted_code, rec_amount,premium_rcv_detail_code,remaining_amt, payrec, mode_code,coinsurance_code,class_cd,it_remarks) values</v>
      </c>
      <c r="G355" s="32" t="str">
        <f t="shared" si="22"/>
        <v>('29Oct240041','050000812366','4130',(select max(to_number(i.premium_rcv_detail_code))+1
from ins_premium_det i),'4130','4130','02', '11000003','00','Request by Mr. Saqib Saleem 30-Oct-2024');</v>
      </c>
      <c r="H355" s="33" t="str">
        <f t="shared" si="23"/>
        <v>insert into ins_premium_det (premium_rcv_code,assorted_code, rec_amount,premium_rcv_detail_code,remaining_amt, payrec, mode_code,coinsurance_code,class_cd,it_remarks) values('29Oct240041','050000812366','4130',(select max(to_number(i.premium_rcv_detail_code))+1
from ins_premium_det i),'4130','4130','02', '11000003','00','Request by Mr. Saqib Saleem 30-Oct-2024');</v>
      </c>
    </row>
    <row r="356" spans="1:8" ht="105" x14ac:dyDescent="0.25">
      <c r="A356" s="18" t="s">
        <v>6909</v>
      </c>
      <c r="B356" s="29" t="str">
        <f>VLOOKUP(A356,Sheet5!B:C,2,0)</f>
        <v>050000812252</v>
      </c>
      <c r="C356" s="20">
        <v>4486.5</v>
      </c>
      <c r="D356" s="30">
        <f t="shared" si="21"/>
        <v>4487</v>
      </c>
      <c r="E356" s="36" t="s">
        <v>7824</v>
      </c>
      <c r="F356" s="31" t="str">
        <f t="shared" si="20"/>
        <v>insert into ins_premium_det (premium_rcv_code,assorted_code, rec_amount,premium_rcv_detail_code,remaining_amt, payrec, mode_code,coinsurance_code,class_cd,it_remarks) values</v>
      </c>
      <c r="G356" s="32" t="str">
        <f t="shared" si="22"/>
        <v>('29Oct240041','050000812252','4487',(select max(to_number(i.premium_rcv_detail_code))+1
from ins_premium_det i),'4487','4487','02', '11000003','00','Request by Mr. Saqib Saleem 30-Oct-2024');</v>
      </c>
      <c r="H356" s="33" t="str">
        <f t="shared" si="23"/>
        <v>insert into ins_premium_det (premium_rcv_code,assorted_code, rec_amount,premium_rcv_detail_code,remaining_amt, payrec, mode_code,coinsurance_code,class_cd,it_remarks) values('29Oct240041','050000812252','4487',(select max(to_number(i.premium_rcv_detail_code))+1
from ins_premium_det i),'4487','4487','02', '11000003','00','Request by Mr. Saqib Saleem 30-Oct-2024');</v>
      </c>
    </row>
    <row r="357" spans="1:8" ht="105" x14ac:dyDescent="0.25">
      <c r="A357" s="18" t="s">
        <v>6910</v>
      </c>
      <c r="B357" s="29" t="str">
        <f>VLOOKUP(A357,Sheet5!B:C,2,0)</f>
        <v>050000812254</v>
      </c>
      <c r="C357" s="20">
        <v>4357.75</v>
      </c>
      <c r="D357" s="30">
        <f t="shared" si="21"/>
        <v>4358</v>
      </c>
      <c r="E357" s="36" t="s">
        <v>7824</v>
      </c>
      <c r="F357" s="31" t="str">
        <f t="shared" si="20"/>
        <v>insert into ins_premium_det (premium_rcv_code,assorted_code, rec_amount,premium_rcv_detail_code,remaining_amt, payrec, mode_code,coinsurance_code,class_cd,it_remarks) values</v>
      </c>
      <c r="G357" s="32" t="str">
        <f t="shared" si="22"/>
        <v>('29Oct240041','050000812254','4358',(select max(to_number(i.premium_rcv_detail_code))+1
from ins_premium_det i),'4358','4358','02', '11000003','00','Request by Mr. Saqib Saleem 30-Oct-2024');</v>
      </c>
      <c r="H357" s="33" t="str">
        <f t="shared" si="23"/>
        <v>insert into ins_premium_det (premium_rcv_code,assorted_code, rec_amount,premium_rcv_detail_code,remaining_amt, payrec, mode_code,coinsurance_code,class_cd,it_remarks) values('29Oct240041','050000812254','4358',(select max(to_number(i.premium_rcv_detail_code))+1
from ins_premium_det i),'4358','4358','02', '11000003','00','Request by Mr. Saqib Saleem 30-Oct-2024');</v>
      </c>
    </row>
    <row r="358" spans="1:8" ht="105" x14ac:dyDescent="0.25">
      <c r="A358" s="18" t="s">
        <v>6911</v>
      </c>
      <c r="B358" s="29" t="str">
        <f>VLOOKUP(A358,Sheet5!B:C,2,0)</f>
        <v>050000812256</v>
      </c>
      <c r="C358" s="20">
        <v>3324.5000000000036</v>
      </c>
      <c r="D358" s="30">
        <f t="shared" si="21"/>
        <v>3325</v>
      </c>
      <c r="E358" s="36" t="s">
        <v>7824</v>
      </c>
      <c r="F358" s="31" t="str">
        <f t="shared" si="20"/>
        <v>insert into ins_premium_det (premium_rcv_code,assorted_code, rec_amount,premium_rcv_detail_code,remaining_amt, payrec, mode_code,coinsurance_code,class_cd,it_remarks) values</v>
      </c>
      <c r="G358" s="32" t="str">
        <f t="shared" si="22"/>
        <v>('29Oct240041','050000812256','3325',(select max(to_number(i.premium_rcv_detail_code))+1
from ins_premium_det i),'3325','3325','02', '11000003','00','Request by Mr. Saqib Saleem 30-Oct-2024');</v>
      </c>
      <c r="H358" s="33" t="str">
        <f t="shared" si="23"/>
        <v>insert into ins_premium_det (premium_rcv_code,assorted_code, rec_amount,premium_rcv_detail_code,remaining_amt, payrec, mode_code,coinsurance_code,class_cd,it_remarks) values('29Oct240041','050000812256','3325',(select max(to_number(i.premium_rcv_detail_code))+1
from ins_premium_det i),'3325','3325','02', '11000003','00','Request by Mr. Saqib Saleem 30-Oct-2024');</v>
      </c>
    </row>
    <row r="359" spans="1:8" ht="105" x14ac:dyDescent="0.25">
      <c r="A359" s="18" t="s">
        <v>6912</v>
      </c>
      <c r="B359" s="29" t="str">
        <f>VLOOKUP(A359,Sheet5!B:C,2,0)</f>
        <v>050000812258</v>
      </c>
      <c r="C359" s="20">
        <v>-8145.5</v>
      </c>
      <c r="D359" s="30">
        <f t="shared" si="21"/>
        <v>-8146</v>
      </c>
      <c r="E359" s="36" t="s">
        <v>7824</v>
      </c>
      <c r="F359" s="31" t="str">
        <f t="shared" si="20"/>
        <v>insert into ins_premium_det (premium_rcv_code,assorted_code, rec_amount,premium_rcv_detail_code,remaining_amt, payrec, mode_code,coinsurance_code,class_cd,it_remarks) values</v>
      </c>
      <c r="G359" s="32" t="str">
        <f t="shared" si="22"/>
        <v>('29Oct240041','050000812258','-8146',(select max(to_number(i.premium_rcv_detail_code))+1
from ins_premium_det i),'-8146','-8146','02', '11000003','00','Request by Mr. Saqib Saleem 30-Oct-2024');</v>
      </c>
      <c r="H359" s="33" t="str">
        <f t="shared" si="23"/>
        <v>insert into ins_premium_det (premium_rcv_code,assorted_code, rec_amount,premium_rcv_detail_code,remaining_amt, payrec, mode_code,coinsurance_code,class_cd,it_remarks) values('29Oct240041','050000812258','-8146',(select max(to_number(i.premium_rcv_detail_code))+1
from ins_premium_det i),'-8146','-8146','02', '11000003','00','Request by Mr. Saqib Saleem 30-Oct-2024');</v>
      </c>
    </row>
    <row r="360" spans="1:8" ht="105" x14ac:dyDescent="0.25">
      <c r="A360" s="18" t="s">
        <v>6913</v>
      </c>
      <c r="B360" s="29" t="str">
        <f>VLOOKUP(A360,Sheet5!B:C,2,0)</f>
        <v>050000812265</v>
      </c>
      <c r="C360" s="20">
        <v>-8140.25</v>
      </c>
      <c r="D360" s="30">
        <f t="shared" si="21"/>
        <v>-8140</v>
      </c>
      <c r="E360" s="36" t="s">
        <v>7824</v>
      </c>
      <c r="F360" s="31" t="str">
        <f t="shared" si="20"/>
        <v>insert into ins_premium_det (premium_rcv_code,assorted_code, rec_amount,premium_rcv_detail_code,remaining_amt, payrec, mode_code,coinsurance_code,class_cd,it_remarks) values</v>
      </c>
      <c r="G360" s="32" t="str">
        <f t="shared" si="22"/>
        <v>('29Oct240041','050000812265','-8140',(select max(to_number(i.premium_rcv_detail_code))+1
from ins_premium_det i),'-8140','-8140','02', '11000003','00','Request by Mr. Saqib Saleem 30-Oct-2024');</v>
      </c>
      <c r="H360" s="33" t="str">
        <f t="shared" si="23"/>
        <v>insert into ins_premium_det (premium_rcv_code,assorted_code, rec_amount,premium_rcv_detail_code,remaining_amt, payrec, mode_code,coinsurance_code,class_cd,it_remarks) values('29Oct240041','050000812265','-8140',(select max(to_number(i.premium_rcv_detail_code))+1
from ins_premium_det i),'-8140','-8140','02', '11000003','00','Request by Mr. Saqib Saleem 30-Oct-2024');</v>
      </c>
    </row>
    <row r="361" spans="1:8" ht="105" x14ac:dyDescent="0.25">
      <c r="A361" s="18" t="s">
        <v>6914</v>
      </c>
      <c r="B361" s="29" t="str">
        <f>VLOOKUP(A361,Sheet5!B:C,2,0)</f>
        <v>050000812267</v>
      </c>
      <c r="C361" s="20">
        <v>-3324</v>
      </c>
      <c r="D361" s="30">
        <f t="shared" si="21"/>
        <v>-3324</v>
      </c>
      <c r="E361" s="36" t="s">
        <v>7824</v>
      </c>
      <c r="F361" s="31" t="str">
        <f t="shared" si="20"/>
        <v>insert into ins_premium_det (premium_rcv_code,assorted_code, rec_amount,premium_rcv_detail_code,remaining_amt, payrec, mode_code,coinsurance_code,class_cd,it_remarks) values</v>
      </c>
      <c r="G361" s="32" t="str">
        <f t="shared" si="22"/>
        <v>('29Oct240041','050000812267','-3324',(select max(to_number(i.premium_rcv_detail_code))+1
from ins_premium_det i),'-3324','-3324','02', '11000003','00','Request by Mr. Saqib Saleem 30-Oct-2024');</v>
      </c>
      <c r="H361" s="33" t="str">
        <f t="shared" si="23"/>
        <v>insert into ins_premium_det (premium_rcv_code,assorted_code, rec_amount,premium_rcv_detail_code,remaining_amt, payrec, mode_code,coinsurance_code,class_cd,it_remarks) values('29Oct240041','050000812267','-3324',(select max(to_number(i.premium_rcv_detail_code))+1
from ins_premium_det i),'-3324','-3324','02', '11000003','00','Request by Mr. Saqib Saleem 30-Oct-2024');</v>
      </c>
    </row>
    <row r="362" spans="1:8" ht="105" x14ac:dyDescent="0.25">
      <c r="A362" s="18" t="s">
        <v>6915</v>
      </c>
      <c r="B362" s="29" t="str">
        <f>VLOOKUP(A362,Sheet5!B:C,2,0)</f>
        <v>050000812380</v>
      </c>
      <c r="C362" s="20">
        <v>-4790</v>
      </c>
      <c r="D362" s="30">
        <f t="shared" si="21"/>
        <v>-4790</v>
      </c>
      <c r="E362" s="36" t="s">
        <v>7824</v>
      </c>
      <c r="F362" s="31" t="str">
        <f t="shared" si="20"/>
        <v>insert into ins_premium_det (premium_rcv_code,assorted_code, rec_amount,premium_rcv_detail_code,remaining_amt, payrec, mode_code,coinsurance_code,class_cd,it_remarks) values</v>
      </c>
      <c r="G362" s="32" t="str">
        <f t="shared" si="22"/>
        <v>('29Oct240041','050000812380','-4790',(select max(to_number(i.premium_rcv_detail_code))+1
from ins_premium_det i),'-4790','-4790','02', '11000003','00','Request by Mr. Saqib Saleem 30-Oct-2024');</v>
      </c>
      <c r="H362" s="33" t="str">
        <f t="shared" si="23"/>
        <v>insert into ins_premium_det (premium_rcv_code,assorted_code, rec_amount,premium_rcv_detail_code,remaining_amt, payrec, mode_code,coinsurance_code,class_cd,it_remarks) values('29Oct240041','050000812380','-4790',(select max(to_number(i.premium_rcv_detail_code))+1
from ins_premium_det i),'-4790','-4790','02', '11000003','00','Request by Mr. Saqib Saleem 30-Oct-2024');</v>
      </c>
    </row>
    <row r="363" spans="1:8" ht="105" x14ac:dyDescent="0.25">
      <c r="A363" s="18" t="s">
        <v>6916</v>
      </c>
      <c r="B363" s="29" t="str">
        <f>VLOOKUP(A363,Sheet5!B:C,2,0)</f>
        <v>050000812269</v>
      </c>
      <c r="C363" s="20">
        <v>-6190.25</v>
      </c>
      <c r="D363" s="30">
        <f t="shared" si="21"/>
        <v>-6190</v>
      </c>
      <c r="E363" s="36" t="s">
        <v>7824</v>
      </c>
      <c r="F363" s="31" t="str">
        <f t="shared" si="20"/>
        <v>insert into ins_premium_det (premium_rcv_code,assorted_code, rec_amount,premium_rcv_detail_code,remaining_amt, payrec, mode_code,coinsurance_code,class_cd,it_remarks) values</v>
      </c>
      <c r="G363" s="32" t="str">
        <f t="shared" si="22"/>
        <v>('29Oct240041','050000812269','-6190',(select max(to_number(i.premium_rcv_detail_code))+1
from ins_premium_det i),'-6190','-6190','02', '11000003','00','Request by Mr. Saqib Saleem 30-Oct-2024');</v>
      </c>
      <c r="H363" s="33" t="str">
        <f t="shared" si="23"/>
        <v>insert into ins_premium_det (premium_rcv_code,assorted_code, rec_amount,premium_rcv_detail_code,remaining_amt, payrec, mode_code,coinsurance_code,class_cd,it_remarks) values('29Oct240041','050000812269','-6190',(select max(to_number(i.premium_rcv_detail_code))+1
from ins_premium_det i),'-6190','-6190','02', '11000003','00','Request by Mr. Saqib Saleem 30-Oct-2024');</v>
      </c>
    </row>
    <row r="364" spans="1:8" ht="105" x14ac:dyDescent="0.25">
      <c r="A364" s="18" t="s">
        <v>6917</v>
      </c>
      <c r="B364" s="29" t="str">
        <f>VLOOKUP(A364,Sheet5!B:C,2,0)</f>
        <v>050000812273</v>
      </c>
      <c r="C364" s="20">
        <v>-7810</v>
      </c>
      <c r="D364" s="30">
        <f t="shared" si="21"/>
        <v>-7810</v>
      </c>
      <c r="E364" s="36" t="s">
        <v>7824</v>
      </c>
      <c r="F364" s="31" t="str">
        <f t="shared" si="20"/>
        <v>insert into ins_premium_det (premium_rcv_code,assorted_code, rec_amount,premium_rcv_detail_code,remaining_amt, payrec, mode_code,coinsurance_code,class_cd,it_remarks) values</v>
      </c>
      <c r="G364" s="32" t="str">
        <f t="shared" si="22"/>
        <v>('29Oct240041','050000812273','-7810',(select max(to_number(i.premium_rcv_detail_code))+1
from ins_premium_det i),'-7810','-7810','02', '11000003','00','Request by Mr. Saqib Saleem 30-Oct-2024');</v>
      </c>
      <c r="H364" s="33" t="str">
        <f t="shared" si="23"/>
        <v>insert into ins_premium_det (premium_rcv_code,assorted_code, rec_amount,premium_rcv_detail_code,remaining_amt, payrec, mode_code,coinsurance_code,class_cd,it_remarks) values('29Oct240041','050000812273','-7810',(select max(to_number(i.premium_rcv_detail_code))+1
from ins_premium_det i),'-7810','-7810','02', '11000003','00','Request by Mr. Saqib Saleem 30-Oct-2024');</v>
      </c>
    </row>
    <row r="365" spans="1:8" ht="105" x14ac:dyDescent="0.25">
      <c r="A365" s="18" t="s">
        <v>6918</v>
      </c>
      <c r="B365" s="29" t="str">
        <f>VLOOKUP(A365,Sheet5!B:C,2,0)</f>
        <v>050000812277</v>
      </c>
      <c r="C365" s="20">
        <v>-6500</v>
      </c>
      <c r="D365" s="30">
        <f t="shared" si="21"/>
        <v>-6500</v>
      </c>
      <c r="E365" s="36" t="s">
        <v>7824</v>
      </c>
      <c r="F365" s="31" t="str">
        <f t="shared" si="20"/>
        <v>insert into ins_premium_det (premium_rcv_code,assorted_code, rec_amount,premium_rcv_detail_code,remaining_amt, payrec, mode_code,coinsurance_code,class_cd,it_remarks) values</v>
      </c>
      <c r="G365" s="32" t="str">
        <f t="shared" si="22"/>
        <v>('29Oct240041','050000812277','-6500',(select max(to_number(i.premium_rcv_detail_code))+1
from ins_premium_det i),'-6500','-6500','02', '11000003','00','Request by Mr. Saqib Saleem 30-Oct-2024');</v>
      </c>
      <c r="H365" s="33" t="str">
        <f t="shared" si="23"/>
        <v>insert into ins_premium_det (premium_rcv_code,assorted_code, rec_amount,premium_rcv_detail_code,remaining_amt, payrec, mode_code,coinsurance_code,class_cd,it_remarks) values('29Oct240041','050000812277','-6500',(select max(to_number(i.premium_rcv_detail_code))+1
from ins_premium_det i),'-6500','-6500','02', '11000003','00','Request by Mr. Saqib Saleem 30-Oct-2024');</v>
      </c>
    </row>
    <row r="366" spans="1:8" ht="105" x14ac:dyDescent="0.25">
      <c r="A366" s="18" t="s">
        <v>6919</v>
      </c>
      <c r="B366" s="29" t="str">
        <f>VLOOKUP(A366,Sheet5!B:C,2,0)</f>
        <v>050000812393</v>
      </c>
      <c r="C366" s="20">
        <v>-9157.75</v>
      </c>
      <c r="D366" s="30">
        <f t="shared" si="21"/>
        <v>-9158</v>
      </c>
      <c r="E366" s="36" t="s">
        <v>7824</v>
      </c>
      <c r="F366" s="31" t="str">
        <f t="shared" si="20"/>
        <v>insert into ins_premium_det (premium_rcv_code,assorted_code, rec_amount,premium_rcv_detail_code,remaining_amt, payrec, mode_code,coinsurance_code,class_cd,it_remarks) values</v>
      </c>
      <c r="G366" s="32" t="str">
        <f t="shared" si="22"/>
        <v>('29Oct240041','050000812393','-9158',(select max(to_number(i.premium_rcv_detail_code))+1
from ins_premium_det i),'-9158','-9158','02', '11000003','00','Request by Mr. Saqib Saleem 30-Oct-2024');</v>
      </c>
      <c r="H366" s="33" t="str">
        <f t="shared" si="23"/>
        <v>insert into ins_premium_det (premium_rcv_code,assorted_code, rec_amount,premium_rcv_detail_code,remaining_amt, payrec, mode_code,coinsurance_code,class_cd,it_remarks) values('29Oct240041','050000812393','-9158',(select max(to_number(i.premium_rcv_detail_code))+1
from ins_premium_det i),'-9158','-9158','02', '11000003','00','Request by Mr. Saqib Saleem 30-Oct-2024');</v>
      </c>
    </row>
    <row r="367" spans="1:8" ht="105" x14ac:dyDescent="0.25">
      <c r="A367" s="18" t="s">
        <v>6920</v>
      </c>
      <c r="B367" s="29" t="str">
        <f>VLOOKUP(A367,Sheet5!B:C,2,0)</f>
        <v>050000812398</v>
      </c>
      <c r="C367" s="20">
        <v>-5820</v>
      </c>
      <c r="D367" s="30">
        <f t="shared" si="21"/>
        <v>-5820</v>
      </c>
      <c r="E367" s="36" t="s">
        <v>7824</v>
      </c>
      <c r="F367" s="31" t="str">
        <f t="shared" si="20"/>
        <v>insert into ins_premium_det (premium_rcv_code,assorted_code, rec_amount,premium_rcv_detail_code,remaining_amt, payrec, mode_code,coinsurance_code,class_cd,it_remarks) values</v>
      </c>
      <c r="G367" s="32" t="str">
        <f t="shared" si="22"/>
        <v>('29Oct240041','050000812398','-5820',(select max(to_number(i.premium_rcv_detail_code))+1
from ins_premium_det i),'-5820','-5820','02', '11000003','00','Request by Mr. Saqib Saleem 30-Oct-2024');</v>
      </c>
      <c r="H367" s="33" t="str">
        <f t="shared" si="23"/>
        <v>insert into ins_premium_det (premium_rcv_code,assorted_code, rec_amount,premium_rcv_detail_code,remaining_amt, payrec, mode_code,coinsurance_code,class_cd,it_remarks) values('29Oct240041','050000812398','-5820',(select max(to_number(i.premium_rcv_detail_code))+1
from ins_premium_det i),'-5820','-5820','02', '11000003','00','Request by Mr. Saqib Saleem 30-Oct-2024');</v>
      </c>
    </row>
    <row r="368" spans="1:8" ht="105" x14ac:dyDescent="0.25">
      <c r="A368" s="18" t="s">
        <v>6921</v>
      </c>
      <c r="B368" s="29" t="str">
        <f>VLOOKUP(A368,Sheet5!B:C,2,0)</f>
        <v>050000812399</v>
      </c>
      <c r="C368" s="20">
        <v>-1700</v>
      </c>
      <c r="D368" s="30">
        <f t="shared" si="21"/>
        <v>-1700</v>
      </c>
      <c r="E368" s="36" t="s">
        <v>7824</v>
      </c>
      <c r="F368" s="31" t="str">
        <f t="shared" si="20"/>
        <v>insert into ins_premium_det (premium_rcv_code,assorted_code, rec_amount,premium_rcv_detail_code,remaining_amt, payrec, mode_code,coinsurance_code,class_cd,it_remarks) values</v>
      </c>
      <c r="G368" s="32" t="str">
        <f t="shared" si="22"/>
        <v>('29Oct240041','050000812399','-1700',(select max(to_number(i.premium_rcv_detail_code))+1
from ins_premium_det i),'-1700','-1700','02', '11000003','00','Request by Mr. Saqib Saleem 30-Oct-2024');</v>
      </c>
      <c r="H368" s="33" t="str">
        <f t="shared" si="23"/>
        <v>insert into ins_premium_det (premium_rcv_code,assorted_code, rec_amount,premium_rcv_detail_code,remaining_amt, payrec, mode_code,coinsurance_code,class_cd,it_remarks) values('29Oct240041','050000812399','-1700',(select max(to_number(i.premium_rcv_detail_code))+1
from ins_premium_det i),'-1700','-1700','02', '11000003','00','Request by Mr. Saqib Saleem 30-Oct-2024');</v>
      </c>
    </row>
    <row r="369" spans="1:8" ht="105" x14ac:dyDescent="0.25">
      <c r="A369" s="18" t="s">
        <v>6922</v>
      </c>
      <c r="B369" s="29" t="str">
        <f>VLOOKUP(A369,Sheet5!B:C,2,0)</f>
        <v>050000812400</v>
      </c>
      <c r="C369" s="20">
        <v>-3730</v>
      </c>
      <c r="D369" s="30">
        <f t="shared" si="21"/>
        <v>-3730</v>
      </c>
      <c r="E369" s="36" t="s">
        <v>7824</v>
      </c>
      <c r="F369" s="31" t="str">
        <f t="shared" si="20"/>
        <v>insert into ins_premium_det (premium_rcv_code,assorted_code, rec_amount,premium_rcv_detail_code,remaining_amt, payrec, mode_code,coinsurance_code,class_cd,it_remarks) values</v>
      </c>
      <c r="G369" s="32" t="str">
        <f t="shared" si="22"/>
        <v>('29Oct240041','050000812400','-3730',(select max(to_number(i.premium_rcv_detail_code))+1
from ins_premium_det i),'-3730','-3730','02', '11000003','00','Request by Mr. Saqib Saleem 30-Oct-2024');</v>
      </c>
      <c r="H369" s="33" t="str">
        <f t="shared" si="23"/>
        <v>insert into ins_premium_det (premium_rcv_code,assorted_code, rec_amount,premium_rcv_detail_code,remaining_amt, payrec, mode_code,coinsurance_code,class_cd,it_remarks) values('29Oct240041','050000812400','-3730',(select max(to_number(i.premium_rcv_detail_code))+1
from ins_premium_det i),'-3730','-3730','02', '11000003','00','Request by Mr. Saqib Saleem 30-Oct-2024');</v>
      </c>
    </row>
    <row r="370" spans="1:8" ht="105" x14ac:dyDescent="0.25">
      <c r="A370" s="18" t="s">
        <v>6923</v>
      </c>
      <c r="B370" s="29" t="str">
        <f>VLOOKUP(A370,Sheet5!B:C,2,0)</f>
        <v>050000812403</v>
      </c>
      <c r="C370" s="20">
        <v>-7390.25</v>
      </c>
      <c r="D370" s="30">
        <f t="shared" si="21"/>
        <v>-7390</v>
      </c>
      <c r="E370" s="36" t="s">
        <v>7824</v>
      </c>
      <c r="F370" s="31" t="str">
        <f t="shared" si="20"/>
        <v>insert into ins_premium_det (premium_rcv_code,assorted_code, rec_amount,premium_rcv_detail_code,remaining_amt, payrec, mode_code,coinsurance_code,class_cd,it_remarks) values</v>
      </c>
      <c r="G370" s="32" t="str">
        <f t="shared" si="22"/>
        <v>('29Oct240041','050000812403','-7390',(select max(to_number(i.premium_rcv_detail_code))+1
from ins_premium_det i),'-7390','-7390','02', '11000003','00','Request by Mr. Saqib Saleem 30-Oct-2024');</v>
      </c>
      <c r="H370" s="33" t="str">
        <f t="shared" si="23"/>
        <v>insert into ins_premium_det (premium_rcv_code,assorted_code, rec_amount,premium_rcv_detail_code,remaining_amt, payrec, mode_code,coinsurance_code,class_cd,it_remarks) values('29Oct240041','050000812403','-7390',(select max(to_number(i.premium_rcv_detail_code))+1
from ins_premium_det i),'-7390','-7390','02', '11000003','00','Request by Mr. Saqib Saleem 30-Oct-2024');</v>
      </c>
    </row>
    <row r="371" spans="1:8" ht="105" x14ac:dyDescent="0.25">
      <c r="A371" s="18" t="s">
        <v>6924</v>
      </c>
      <c r="B371" s="29" t="str">
        <f>VLOOKUP(A371,Sheet5!B:C,2,0)</f>
        <v>050000812404</v>
      </c>
      <c r="C371" s="20">
        <v>2625.0000000000036</v>
      </c>
      <c r="D371" s="30">
        <f t="shared" si="21"/>
        <v>2625</v>
      </c>
      <c r="E371" s="36" t="s">
        <v>7824</v>
      </c>
      <c r="F371" s="31" t="str">
        <f t="shared" si="20"/>
        <v>insert into ins_premium_det (premium_rcv_code,assorted_code, rec_amount,premium_rcv_detail_code,remaining_amt, payrec, mode_code,coinsurance_code,class_cd,it_remarks) values</v>
      </c>
      <c r="G371" s="32" t="str">
        <f t="shared" si="22"/>
        <v>('29Oct240041','050000812404','2625',(select max(to_number(i.premium_rcv_detail_code))+1
from ins_premium_det i),'2625','2625','02', '11000003','00','Request by Mr. Saqib Saleem 30-Oct-2024');</v>
      </c>
      <c r="H371" s="33" t="str">
        <f t="shared" si="23"/>
        <v>insert into ins_premium_det (premium_rcv_code,assorted_code, rec_amount,premium_rcv_detail_code,remaining_amt, payrec, mode_code,coinsurance_code,class_cd,it_remarks) values('29Oct240041','050000812404','2625',(select max(to_number(i.premium_rcv_detail_code))+1
from ins_premium_det i),'2625','2625','02', '11000003','00','Request by Mr. Saqib Saleem 30-Oct-2024');</v>
      </c>
    </row>
    <row r="372" spans="1:8" ht="105" x14ac:dyDescent="0.25">
      <c r="A372" s="18" t="s">
        <v>6925</v>
      </c>
      <c r="B372" s="29" t="str">
        <f>VLOOKUP(A372,Sheet5!B:C,2,0)</f>
        <v>050000812405</v>
      </c>
      <c r="C372" s="20">
        <v>2625.0000000000073</v>
      </c>
      <c r="D372" s="30">
        <f t="shared" si="21"/>
        <v>2625</v>
      </c>
      <c r="E372" s="36" t="s">
        <v>7824</v>
      </c>
      <c r="F372" s="31" t="str">
        <f t="shared" si="20"/>
        <v>insert into ins_premium_det (premium_rcv_code,assorted_code, rec_amount,premium_rcv_detail_code,remaining_amt, payrec, mode_code,coinsurance_code,class_cd,it_remarks) values</v>
      </c>
      <c r="G372" s="32" t="str">
        <f t="shared" si="22"/>
        <v>('29Oct240041','050000812405','2625',(select max(to_number(i.premium_rcv_detail_code))+1
from ins_premium_det i),'2625','2625','02', '11000003','00','Request by Mr. Saqib Saleem 30-Oct-2024');</v>
      </c>
      <c r="H372" s="33" t="str">
        <f t="shared" si="23"/>
        <v>insert into ins_premium_det (premium_rcv_code,assorted_code, rec_amount,premium_rcv_detail_code,remaining_amt, payrec, mode_code,coinsurance_code,class_cd,it_remarks) values('29Oct240041','050000812405','2625',(select max(to_number(i.premium_rcv_detail_code))+1
from ins_premium_det i),'2625','2625','02', '11000003','00','Request by Mr. Saqib Saleem 30-Oct-2024');</v>
      </c>
    </row>
    <row r="373" spans="1:8" ht="105" x14ac:dyDescent="0.25">
      <c r="A373" s="18" t="s">
        <v>6926</v>
      </c>
      <c r="B373" s="29" t="str">
        <f>VLOOKUP(A373,Sheet5!B:C,2,0)</f>
        <v>050000812406</v>
      </c>
      <c r="C373" s="20">
        <v>7869.5</v>
      </c>
      <c r="D373" s="30">
        <f t="shared" si="21"/>
        <v>7870</v>
      </c>
      <c r="E373" s="36" t="s">
        <v>7824</v>
      </c>
      <c r="F373" s="31" t="str">
        <f t="shared" si="20"/>
        <v>insert into ins_premium_det (premium_rcv_code,assorted_code, rec_amount,premium_rcv_detail_code,remaining_amt, payrec, mode_code,coinsurance_code,class_cd,it_remarks) values</v>
      </c>
      <c r="G373" s="32" t="str">
        <f t="shared" si="22"/>
        <v>('29Oct240041','050000812406','7870',(select max(to_number(i.premium_rcv_detail_code))+1
from ins_premium_det i),'7870','7870','02', '11000003','00','Request by Mr. Saqib Saleem 30-Oct-2024');</v>
      </c>
      <c r="H373" s="33" t="str">
        <f t="shared" si="23"/>
        <v>insert into ins_premium_det (premium_rcv_code,assorted_code, rec_amount,premium_rcv_detail_code,remaining_amt, payrec, mode_code,coinsurance_code,class_cd,it_remarks) values('29Oct240041','050000812406','7870',(select max(to_number(i.premium_rcv_detail_code))+1
from ins_premium_det i),'7870','7870','02', '11000003','00','Request by Mr. Saqib Saleem 30-Oct-2024');</v>
      </c>
    </row>
    <row r="374" spans="1:8" ht="105" x14ac:dyDescent="0.25">
      <c r="A374" s="18" t="s">
        <v>6927</v>
      </c>
      <c r="B374" s="29" t="str">
        <f>VLOOKUP(A374,Sheet5!B:C,2,0)</f>
        <v>050000812283</v>
      </c>
      <c r="C374" s="20">
        <v>-5930</v>
      </c>
      <c r="D374" s="30">
        <f t="shared" si="21"/>
        <v>-5930</v>
      </c>
      <c r="E374" s="36" t="s">
        <v>7824</v>
      </c>
      <c r="F374" s="31" t="str">
        <f t="shared" si="20"/>
        <v>insert into ins_premium_det (premium_rcv_code,assorted_code, rec_amount,premium_rcv_detail_code,remaining_amt, payrec, mode_code,coinsurance_code,class_cd,it_remarks) values</v>
      </c>
      <c r="G374" s="32" t="str">
        <f t="shared" si="22"/>
        <v>('29Oct240041','050000812283','-5930',(select max(to_number(i.premium_rcv_detail_code))+1
from ins_premium_det i),'-5930','-5930','02', '11000003','00','Request by Mr. Saqib Saleem 30-Oct-2024');</v>
      </c>
      <c r="H374" s="33" t="str">
        <f t="shared" si="23"/>
        <v>insert into ins_premium_det (premium_rcv_code,assorted_code, rec_amount,premium_rcv_detail_code,remaining_amt, payrec, mode_code,coinsurance_code,class_cd,it_remarks) values('29Oct240041','050000812283','-5930',(select max(to_number(i.premium_rcv_detail_code))+1
from ins_premium_det i),'-5930','-5930','02', '11000003','00','Request by Mr. Saqib Saleem 30-Oct-2024');</v>
      </c>
    </row>
    <row r="375" spans="1:8" ht="105" x14ac:dyDescent="0.25">
      <c r="A375" s="18" t="s">
        <v>6928</v>
      </c>
      <c r="B375" s="29" t="str">
        <f>VLOOKUP(A375,Sheet5!B:C,2,0)</f>
        <v>050000812284</v>
      </c>
      <c r="C375" s="20">
        <v>-7000</v>
      </c>
      <c r="D375" s="30">
        <f t="shared" si="21"/>
        <v>-7000</v>
      </c>
      <c r="E375" s="36" t="s">
        <v>7824</v>
      </c>
      <c r="F375" s="31" t="str">
        <f t="shared" si="20"/>
        <v>insert into ins_premium_det (premium_rcv_code,assorted_code, rec_amount,premium_rcv_detail_code,remaining_amt, payrec, mode_code,coinsurance_code,class_cd,it_remarks) values</v>
      </c>
      <c r="G375" s="32" t="str">
        <f t="shared" si="22"/>
        <v>('29Oct240041','050000812284','-7000',(select max(to_number(i.premium_rcv_detail_code))+1
from ins_premium_det i),'-7000','-7000','02', '11000003','00','Request by Mr. Saqib Saleem 30-Oct-2024');</v>
      </c>
      <c r="H375" s="33" t="str">
        <f t="shared" si="23"/>
        <v>insert into ins_premium_det (premium_rcv_code,assorted_code, rec_amount,premium_rcv_detail_code,remaining_amt, payrec, mode_code,coinsurance_code,class_cd,it_remarks) values('29Oct240041','050000812284','-7000',(select max(to_number(i.premium_rcv_detail_code))+1
from ins_premium_det i),'-7000','-7000','02', '11000003','00','Request by Mr. Saqib Saleem 30-Oct-2024');</v>
      </c>
    </row>
    <row r="376" spans="1:8" ht="105" x14ac:dyDescent="0.25">
      <c r="A376" s="18" t="s">
        <v>6929</v>
      </c>
      <c r="B376" s="29" t="str">
        <f>VLOOKUP(A376,Sheet5!B:C,2,0)</f>
        <v>050000812285</v>
      </c>
      <c r="C376" s="20">
        <v>-4800</v>
      </c>
      <c r="D376" s="30">
        <f t="shared" si="21"/>
        <v>-4800</v>
      </c>
      <c r="E376" s="36" t="s">
        <v>7824</v>
      </c>
      <c r="F376" s="31" t="str">
        <f t="shared" si="20"/>
        <v>insert into ins_premium_det (premium_rcv_code,assorted_code, rec_amount,premium_rcv_detail_code,remaining_amt, payrec, mode_code,coinsurance_code,class_cd,it_remarks) values</v>
      </c>
      <c r="G376" s="32" t="str">
        <f t="shared" si="22"/>
        <v>('29Oct240041','050000812285','-4800',(select max(to_number(i.premium_rcv_detail_code))+1
from ins_premium_det i),'-4800','-4800','02', '11000003','00','Request by Mr. Saqib Saleem 30-Oct-2024');</v>
      </c>
      <c r="H376" s="33" t="str">
        <f t="shared" si="23"/>
        <v>insert into ins_premium_det (premium_rcv_code,assorted_code, rec_amount,premium_rcv_detail_code,remaining_amt, payrec, mode_code,coinsurance_code,class_cd,it_remarks) values('29Oct240041','050000812285','-4800',(select max(to_number(i.premium_rcv_detail_code))+1
from ins_premium_det i),'-4800','-4800','02', '11000003','00','Request by Mr. Saqib Saleem 30-Oct-2024');</v>
      </c>
    </row>
    <row r="377" spans="1:8" ht="105" x14ac:dyDescent="0.25">
      <c r="A377" s="18" t="s">
        <v>6930</v>
      </c>
      <c r="B377" s="29" t="str">
        <f>VLOOKUP(A377,Sheet5!B:C,2,0)</f>
        <v>050000812287</v>
      </c>
      <c r="C377" s="20">
        <v>-5470</v>
      </c>
      <c r="D377" s="30">
        <f t="shared" si="21"/>
        <v>-5470</v>
      </c>
      <c r="E377" s="36" t="s">
        <v>7824</v>
      </c>
      <c r="F377" s="31" t="str">
        <f t="shared" si="20"/>
        <v>insert into ins_premium_det (premium_rcv_code,assorted_code, rec_amount,premium_rcv_detail_code,remaining_amt, payrec, mode_code,coinsurance_code,class_cd,it_remarks) values</v>
      </c>
      <c r="G377" s="32" t="str">
        <f t="shared" si="22"/>
        <v>('29Oct240041','050000812287','-5470',(select max(to_number(i.premium_rcv_detail_code))+1
from ins_premium_det i),'-5470','-5470','02', '11000003','00','Request by Mr. Saqib Saleem 30-Oct-2024');</v>
      </c>
      <c r="H377" s="33" t="str">
        <f t="shared" si="23"/>
        <v>insert into ins_premium_det (premium_rcv_code,assorted_code, rec_amount,premium_rcv_detail_code,remaining_amt, payrec, mode_code,coinsurance_code,class_cd,it_remarks) values('29Oct240041','050000812287','-5470',(select max(to_number(i.premium_rcv_detail_code))+1
from ins_premium_det i),'-5470','-5470','02', '11000003','00','Request by Mr. Saqib Saleem 30-Oct-2024');</v>
      </c>
    </row>
    <row r="378" spans="1:8" ht="105" x14ac:dyDescent="0.25">
      <c r="A378" s="18" t="s">
        <v>6931</v>
      </c>
      <c r="B378" s="29" t="str">
        <f>VLOOKUP(A378,Sheet5!B:C,2,0)</f>
        <v>050000812289</v>
      </c>
      <c r="C378" s="20">
        <v>-3800</v>
      </c>
      <c r="D378" s="30">
        <f t="shared" si="21"/>
        <v>-3800</v>
      </c>
      <c r="E378" s="36" t="s">
        <v>7824</v>
      </c>
      <c r="F378" s="31" t="str">
        <f t="shared" si="20"/>
        <v>insert into ins_premium_det (premium_rcv_code,assorted_code, rec_amount,premium_rcv_detail_code,remaining_amt, payrec, mode_code,coinsurance_code,class_cd,it_remarks) values</v>
      </c>
      <c r="G378" s="32" t="str">
        <f t="shared" si="22"/>
        <v>('29Oct240041','050000812289','-3800',(select max(to_number(i.premium_rcv_detail_code))+1
from ins_premium_det i),'-3800','-3800','02', '11000003','00','Request by Mr. Saqib Saleem 30-Oct-2024');</v>
      </c>
      <c r="H378" s="33" t="str">
        <f t="shared" si="23"/>
        <v>insert into ins_premium_det (premium_rcv_code,assorted_code, rec_amount,premium_rcv_detail_code,remaining_amt, payrec, mode_code,coinsurance_code,class_cd,it_remarks) values('29Oct240041','050000812289','-3800',(select max(to_number(i.premium_rcv_detail_code))+1
from ins_premium_det i),'-3800','-3800','02', '11000003','00','Request by Mr. Saqib Saleem 30-Oct-2024');</v>
      </c>
    </row>
    <row r="379" spans="1:8" ht="105" x14ac:dyDescent="0.25">
      <c r="A379" s="18" t="s">
        <v>6932</v>
      </c>
      <c r="B379" s="29" t="str">
        <f>VLOOKUP(A379,Sheet5!B:C,2,0)</f>
        <v>050000812295</v>
      </c>
      <c r="C379" s="20">
        <v>-3820</v>
      </c>
      <c r="D379" s="30">
        <f t="shared" si="21"/>
        <v>-3820</v>
      </c>
      <c r="E379" s="36" t="s">
        <v>7824</v>
      </c>
      <c r="F379" s="31" t="str">
        <f t="shared" si="20"/>
        <v>insert into ins_premium_det (premium_rcv_code,assorted_code, rec_amount,premium_rcv_detail_code,remaining_amt, payrec, mode_code,coinsurance_code,class_cd,it_remarks) values</v>
      </c>
      <c r="G379" s="32" t="str">
        <f t="shared" si="22"/>
        <v>('29Oct240041','050000812295','-3820',(select max(to_number(i.premium_rcv_detail_code))+1
from ins_premium_det i),'-3820','-3820','02', '11000003','00','Request by Mr. Saqib Saleem 30-Oct-2024');</v>
      </c>
      <c r="H379" s="33" t="str">
        <f t="shared" si="23"/>
        <v>insert into ins_premium_det (premium_rcv_code,assorted_code, rec_amount,premium_rcv_detail_code,remaining_amt, payrec, mode_code,coinsurance_code,class_cd,it_remarks) values('29Oct240041','050000812295','-3820',(select max(to_number(i.premium_rcv_detail_code))+1
from ins_premium_det i),'-3820','-3820','02', '11000003','00','Request by Mr. Saqib Saleem 30-Oct-2024');</v>
      </c>
    </row>
    <row r="380" spans="1:8" ht="105" x14ac:dyDescent="0.25">
      <c r="A380" s="18" t="s">
        <v>6933</v>
      </c>
      <c r="B380" s="29" t="str">
        <f>VLOOKUP(A380,Sheet5!B:C,2,0)</f>
        <v>050000812298</v>
      </c>
      <c r="C380" s="20">
        <v>-1350</v>
      </c>
      <c r="D380" s="30">
        <f t="shared" si="21"/>
        <v>-1350</v>
      </c>
      <c r="E380" s="36" t="s">
        <v>7824</v>
      </c>
      <c r="F380" s="31" t="str">
        <f t="shared" si="20"/>
        <v>insert into ins_premium_det (premium_rcv_code,assorted_code, rec_amount,premium_rcv_detail_code,remaining_amt, payrec, mode_code,coinsurance_code,class_cd,it_remarks) values</v>
      </c>
      <c r="G380" s="32" t="str">
        <f t="shared" si="22"/>
        <v>('29Oct240041','050000812298','-1350',(select max(to_number(i.premium_rcv_detail_code))+1
from ins_premium_det i),'-1350','-1350','02', '11000003','00','Request by Mr. Saqib Saleem 30-Oct-2024');</v>
      </c>
      <c r="H380" s="33" t="str">
        <f t="shared" si="23"/>
        <v>insert into ins_premium_det (premium_rcv_code,assorted_code, rec_amount,premium_rcv_detail_code,remaining_amt, payrec, mode_code,coinsurance_code,class_cd,it_remarks) values('29Oct240041','050000812298','-1350',(select max(to_number(i.premium_rcv_detail_code))+1
from ins_premium_det i),'-1350','-1350','02', '11000003','00','Request by Mr. Saqib Saleem 30-Oct-2024');</v>
      </c>
    </row>
    <row r="381" spans="1:8" ht="105" x14ac:dyDescent="0.25">
      <c r="A381" s="18" t="s">
        <v>6934</v>
      </c>
      <c r="B381" s="29" t="str">
        <f>VLOOKUP(A381,Sheet5!B:C,2,0)</f>
        <v>050000812299</v>
      </c>
      <c r="C381" s="20">
        <v>-3900</v>
      </c>
      <c r="D381" s="30">
        <f t="shared" si="21"/>
        <v>-3900</v>
      </c>
      <c r="E381" s="36" t="s">
        <v>7824</v>
      </c>
      <c r="F381" s="31" t="str">
        <f t="shared" si="20"/>
        <v>insert into ins_premium_det (premium_rcv_code,assorted_code, rec_amount,premium_rcv_detail_code,remaining_amt, payrec, mode_code,coinsurance_code,class_cd,it_remarks) values</v>
      </c>
      <c r="G381" s="32" t="str">
        <f t="shared" si="22"/>
        <v>('29Oct240041','050000812299','-3900',(select max(to_number(i.premium_rcv_detail_code))+1
from ins_premium_det i),'-3900','-3900','02', '11000003','00','Request by Mr. Saqib Saleem 30-Oct-2024');</v>
      </c>
      <c r="H381" s="33" t="str">
        <f t="shared" si="23"/>
        <v>insert into ins_premium_det (premium_rcv_code,assorted_code, rec_amount,premium_rcv_detail_code,remaining_amt, payrec, mode_code,coinsurance_code,class_cd,it_remarks) values('29Oct240041','050000812299','-3900',(select max(to_number(i.premium_rcv_detail_code))+1
from ins_premium_det i),'-3900','-3900','02', '11000003','00','Request by Mr. Saqib Saleem 30-Oct-2024');</v>
      </c>
    </row>
    <row r="382" spans="1:8" ht="105" x14ac:dyDescent="0.25">
      <c r="A382" s="18" t="s">
        <v>6935</v>
      </c>
      <c r="B382" s="29" t="str">
        <f>VLOOKUP(A382,Sheet5!B:C,2,0)</f>
        <v>050000812416</v>
      </c>
      <c r="C382" s="20">
        <v>3631.6250000000036</v>
      </c>
      <c r="D382" s="30">
        <f t="shared" si="21"/>
        <v>3632</v>
      </c>
      <c r="E382" s="36" t="s">
        <v>7824</v>
      </c>
      <c r="F382" s="31" t="str">
        <f t="shared" si="20"/>
        <v>insert into ins_premium_det (premium_rcv_code,assorted_code, rec_amount,premium_rcv_detail_code,remaining_amt, payrec, mode_code,coinsurance_code,class_cd,it_remarks) values</v>
      </c>
      <c r="G382" s="32" t="str">
        <f t="shared" si="22"/>
        <v>('29Oct240041','050000812416','3632',(select max(to_number(i.premium_rcv_detail_code))+1
from ins_premium_det i),'3632','3632','02', '11000003','00','Request by Mr. Saqib Saleem 30-Oct-2024');</v>
      </c>
      <c r="H382" s="33" t="str">
        <f t="shared" si="23"/>
        <v>insert into ins_premium_det (premium_rcv_code,assorted_code, rec_amount,premium_rcv_detail_code,remaining_amt, payrec, mode_code,coinsurance_code,class_cd,it_remarks) values('29Oct240041','050000812416','3632',(select max(to_number(i.premium_rcv_detail_code))+1
from ins_premium_det i),'3632','3632','02', '11000003','00','Request by Mr. Saqib Saleem 30-Oct-2024');</v>
      </c>
    </row>
    <row r="383" spans="1:8" ht="105" x14ac:dyDescent="0.25">
      <c r="A383" s="18" t="s">
        <v>6936</v>
      </c>
      <c r="B383" s="29" t="str">
        <f>VLOOKUP(A383,Sheet5!B:C,2,0)</f>
        <v>050000812303</v>
      </c>
      <c r="C383" s="20">
        <v>-3000</v>
      </c>
      <c r="D383" s="30">
        <f t="shared" si="21"/>
        <v>-3000</v>
      </c>
      <c r="E383" s="36" t="s">
        <v>7824</v>
      </c>
      <c r="F383" s="31" t="str">
        <f t="shared" si="20"/>
        <v>insert into ins_premium_det (premium_rcv_code,assorted_code, rec_amount,premium_rcv_detail_code,remaining_amt, payrec, mode_code,coinsurance_code,class_cd,it_remarks) values</v>
      </c>
      <c r="G383" s="32" t="str">
        <f t="shared" si="22"/>
        <v>('29Oct240041','050000812303','-3000',(select max(to_number(i.premium_rcv_detail_code))+1
from ins_premium_det i),'-3000','-3000','02', '11000003','00','Request by Mr. Saqib Saleem 30-Oct-2024');</v>
      </c>
      <c r="H383" s="33" t="str">
        <f t="shared" si="23"/>
        <v>insert into ins_premium_det (premium_rcv_code,assorted_code, rec_amount,premium_rcv_detail_code,remaining_amt, payrec, mode_code,coinsurance_code,class_cd,it_remarks) values('29Oct240041','050000812303','-3000',(select max(to_number(i.premium_rcv_detail_code))+1
from ins_premium_det i),'-3000','-3000','02', '11000003','00','Request by Mr. Saqib Saleem 30-Oct-2024');</v>
      </c>
    </row>
    <row r="384" spans="1:8" ht="105" x14ac:dyDescent="0.25">
      <c r="A384" s="18" t="s">
        <v>6937</v>
      </c>
      <c r="B384" s="29" t="str">
        <f>VLOOKUP(A384,Sheet5!B:C,2,0)</f>
        <v>050000812305</v>
      </c>
      <c r="C384" s="20">
        <v>-3210</v>
      </c>
      <c r="D384" s="30">
        <f t="shared" si="21"/>
        <v>-3210</v>
      </c>
      <c r="E384" s="36" t="s">
        <v>7824</v>
      </c>
      <c r="F384" s="31" t="str">
        <f t="shared" si="20"/>
        <v>insert into ins_premium_det (premium_rcv_code,assorted_code, rec_amount,premium_rcv_detail_code,remaining_amt, payrec, mode_code,coinsurance_code,class_cd,it_remarks) values</v>
      </c>
      <c r="G384" s="32" t="str">
        <f t="shared" si="22"/>
        <v>('29Oct240041','050000812305','-3210',(select max(to_number(i.premium_rcv_detail_code))+1
from ins_premium_det i),'-3210','-3210','02', '11000003','00','Request by Mr. Saqib Saleem 30-Oct-2024');</v>
      </c>
      <c r="H384" s="33" t="str">
        <f t="shared" si="23"/>
        <v>insert into ins_premium_det (premium_rcv_code,assorted_code, rec_amount,premium_rcv_detail_code,remaining_amt, payrec, mode_code,coinsurance_code,class_cd,it_remarks) values('29Oct240041','050000812305','-3210',(select max(to_number(i.premium_rcv_detail_code))+1
from ins_premium_det i),'-3210','-3210','02', '11000003','00','Request by Mr. Saqib Saleem 30-Oct-2024');</v>
      </c>
    </row>
    <row r="385" spans="1:8" ht="105" x14ac:dyDescent="0.25">
      <c r="A385" s="18" t="s">
        <v>6938</v>
      </c>
      <c r="B385" s="29" t="str">
        <f>VLOOKUP(A385,Sheet5!B:C,2,0)</f>
        <v>050000812422</v>
      </c>
      <c r="C385" s="20">
        <v>7076</v>
      </c>
      <c r="D385" s="30">
        <f t="shared" si="21"/>
        <v>7076</v>
      </c>
      <c r="E385" s="36" t="s">
        <v>7824</v>
      </c>
      <c r="F385" s="31" t="str">
        <f t="shared" si="20"/>
        <v>insert into ins_premium_det (premium_rcv_code,assorted_code, rec_amount,premium_rcv_detail_code,remaining_amt, payrec, mode_code,coinsurance_code,class_cd,it_remarks) values</v>
      </c>
      <c r="G385" s="32" t="str">
        <f t="shared" si="22"/>
        <v>('29Oct240041','050000812422','7076',(select max(to_number(i.premium_rcv_detail_code))+1
from ins_premium_det i),'7076','7076','02', '11000003','00','Request by Mr. Saqib Saleem 30-Oct-2024');</v>
      </c>
      <c r="H385" s="33" t="str">
        <f t="shared" si="23"/>
        <v>insert into ins_premium_det (premium_rcv_code,assorted_code, rec_amount,premium_rcv_detail_code,remaining_amt, payrec, mode_code,coinsurance_code,class_cd,it_remarks) values('29Oct240041','050000812422','7076',(select max(to_number(i.premium_rcv_detail_code))+1
from ins_premium_det i),'7076','7076','02', '11000003','00','Request by Mr. Saqib Saleem 30-Oct-2024');</v>
      </c>
    </row>
    <row r="386" spans="1:8" ht="105" x14ac:dyDescent="0.25">
      <c r="A386" s="18" t="s">
        <v>6939</v>
      </c>
      <c r="B386" s="29" t="str">
        <f>VLOOKUP(A386,Sheet5!B:C,2,0)</f>
        <v>050000812426</v>
      </c>
      <c r="C386" s="20">
        <v>3972</v>
      </c>
      <c r="D386" s="30">
        <f t="shared" si="21"/>
        <v>3972</v>
      </c>
      <c r="E386" s="36" t="s">
        <v>7824</v>
      </c>
      <c r="F386" s="31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32" t="str">
        <f t="shared" si="22"/>
        <v>('29Oct240041','050000812426','3972',(select max(to_number(i.premium_rcv_detail_code))+1
from ins_premium_det i),'3972','3972','02', '11000003','00','Request by Mr. Saqib Saleem 30-Oct-2024');</v>
      </c>
      <c r="H386" s="33" t="str">
        <f t="shared" si="23"/>
        <v>insert into ins_premium_det (premium_rcv_code,assorted_code, rec_amount,premium_rcv_detail_code,remaining_amt, payrec, mode_code,coinsurance_code,class_cd,it_remarks) values('29Oct240041','050000812426','3972',(select max(to_number(i.premium_rcv_detail_code))+1
from ins_premium_det i),'3972','3972','02', '11000003','00','Request by Mr. Saqib Saleem 30-Oct-2024');</v>
      </c>
    </row>
    <row r="387" spans="1:8" ht="105" x14ac:dyDescent="0.25">
      <c r="A387" s="18" t="s">
        <v>6940</v>
      </c>
      <c r="B387" s="29" t="str">
        <f>VLOOKUP(A387,Sheet5!B:C,2,0)</f>
        <v>050000812309</v>
      </c>
      <c r="C387" s="20">
        <v>-2400</v>
      </c>
      <c r="D387" s="30">
        <f t="shared" ref="D387:D450" si="25">ROUND(C387,0)</f>
        <v>-2400</v>
      </c>
      <c r="E387" s="36" t="s">
        <v>7824</v>
      </c>
      <c r="F387" s="31" t="str">
        <f t="shared" si="24"/>
        <v>insert into ins_premium_det (premium_rcv_code,assorted_code, rec_amount,premium_rcv_detail_code,remaining_amt, payrec, mode_code,coinsurance_code,class_cd,it_remarks) values</v>
      </c>
      <c r="G387" s="32" t="str">
        <f t="shared" ref="G387:G450" si="26">"('"&amp;E387&amp;"','"&amp;B387&amp;"','"&amp;D387&amp;"',(select max(to_number(i.premium_rcv_detail_code))+1
from ins_premium_det i),'"&amp;D387&amp;"','"&amp;D387&amp;"','02', '11000003','00','Request by Mr. Saqib Saleem 30-Oct-2024');"</f>
        <v>('29Oct240041','050000812309','-2400',(select max(to_number(i.premium_rcv_detail_code))+1
from ins_premium_det i),'-2400','-2400','02', '11000003','00','Request by Mr. Saqib Saleem 30-Oct-2024');</v>
      </c>
      <c r="H387" s="33" t="str">
        <f t="shared" ref="H387:H450" si="27">F387&amp;G387</f>
        <v>insert into ins_premium_det (premium_rcv_code,assorted_code, rec_amount,premium_rcv_detail_code,remaining_amt, payrec, mode_code,coinsurance_code,class_cd,it_remarks) values('29Oct240041','050000812309','-2400',(select max(to_number(i.premium_rcv_detail_code))+1
from ins_premium_det i),'-2400','-2400','02', '11000003','00','Request by Mr. Saqib Saleem 30-Oct-2024');</v>
      </c>
    </row>
    <row r="388" spans="1:8" ht="105" x14ac:dyDescent="0.25">
      <c r="A388" s="18" t="s">
        <v>6941</v>
      </c>
      <c r="B388" s="29" t="str">
        <f>VLOOKUP(A388,Sheet5!B:C,2,0)</f>
        <v>050000812310</v>
      </c>
      <c r="C388" s="20">
        <v>-4125</v>
      </c>
      <c r="D388" s="30">
        <f t="shared" si="25"/>
        <v>-4125</v>
      </c>
      <c r="E388" s="36" t="s">
        <v>7824</v>
      </c>
      <c r="F388" s="31" t="str">
        <f t="shared" si="24"/>
        <v>insert into ins_premium_det (premium_rcv_code,assorted_code, rec_amount,premium_rcv_detail_code,remaining_amt, payrec, mode_code,coinsurance_code,class_cd,it_remarks) values</v>
      </c>
      <c r="G388" s="32" t="str">
        <f t="shared" si="26"/>
        <v>('29Oct240041','050000812310','-4125',(select max(to_number(i.premium_rcv_detail_code))+1
from ins_premium_det i),'-4125','-4125','02', '11000003','00','Request by Mr. Saqib Saleem 30-Oct-2024');</v>
      </c>
      <c r="H388" s="33" t="str">
        <f t="shared" si="27"/>
        <v>insert into ins_premium_det (premium_rcv_code,assorted_code, rec_amount,premium_rcv_detail_code,remaining_amt, payrec, mode_code,coinsurance_code,class_cd,it_remarks) values('29Oct240041','050000812310','-4125',(select max(to_number(i.premium_rcv_detail_code))+1
from ins_premium_det i),'-4125','-4125','02', '11000003','00','Request by Mr. Saqib Saleem 30-Oct-2024');</v>
      </c>
    </row>
    <row r="389" spans="1:8" ht="105" x14ac:dyDescent="0.25">
      <c r="A389" s="18" t="s">
        <v>7024</v>
      </c>
      <c r="B389" s="29" t="str">
        <f>VLOOKUP(A389,Sheet5!B:C,2,0)</f>
        <v>050000812315</v>
      </c>
      <c r="C389" s="20">
        <v>-2500</v>
      </c>
      <c r="D389" s="30">
        <f t="shared" si="25"/>
        <v>-2500</v>
      </c>
      <c r="E389" s="36" t="s">
        <v>7824</v>
      </c>
      <c r="F389" s="31" t="str">
        <f t="shared" si="24"/>
        <v>insert into ins_premium_det (premium_rcv_code,assorted_code, rec_amount,premium_rcv_detail_code,remaining_amt, payrec, mode_code,coinsurance_code,class_cd,it_remarks) values</v>
      </c>
      <c r="G389" s="32" t="str">
        <f t="shared" si="26"/>
        <v>('29Oct240041','050000812315','-2500',(select max(to_number(i.premium_rcv_detail_code))+1
from ins_premium_det i),'-2500','-2500','02', '11000003','00','Request by Mr. Saqib Saleem 30-Oct-2024');</v>
      </c>
      <c r="H389" s="33" t="str">
        <f t="shared" si="27"/>
        <v>insert into ins_premium_det (premium_rcv_code,assorted_code, rec_amount,premium_rcv_detail_code,remaining_amt, payrec, mode_code,coinsurance_code,class_cd,it_remarks) values('29Oct240041','050000812315','-2500',(select max(to_number(i.premium_rcv_detail_code))+1
from ins_premium_det i),'-2500','-2500','02', '11000003','00','Request by Mr. Saqib Saleem 30-Oct-2024');</v>
      </c>
    </row>
    <row r="390" spans="1:8" ht="105" x14ac:dyDescent="0.25">
      <c r="A390" s="18" t="s">
        <v>6942</v>
      </c>
      <c r="B390" s="29" t="str">
        <f>VLOOKUP(A390,Sheet5!B:C,2,0)</f>
        <v>050000812316</v>
      </c>
      <c r="C390" s="20">
        <v>-2700</v>
      </c>
      <c r="D390" s="30">
        <f t="shared" si="25"/>
        <v>-2700</v>
      </c>
      <c r="E390" s="36" t="s">
        <v>7824</v>
      </c>
      <c r="F390" s="31" t="str">
        <f t="shared" si="24"/>
        <v>insert into ins_premium_det (premium_rcv_code,assorted_code, rec_amount,premium_rcv_detail_code,remaining_amt, payrec, mode_code,coinsurance_code,class_cd,it_remarks) values</v>
      </c>
      <c r="G390" s="32" t="str">
        <f t="shared" si="26"/>
        <v>('29Oct240041','050000812316','-2700',(select max(to_number(i.premium_rcv_detail_code))+1
from ins_premium_det i),'-2700','-2700','02', '11000003','00','Request by Mr. Saqib Saleem 30-Oct-2024');</v>
      </c>
      <c r="H390" s="33" t="str">
        <f t="shared" si="27"/>
        <v>insert into ins_premium_det (premium_rcv_code,assorted_code, rec_amount,premium_rcv_detail_code,remaining_amt, payrec, mode_code,coinsurance_code,class_cd,it_remarks) values('29Oct240041','050000812316','-2700',(select max(to_number(i.premium_rcv_detail_code))+1
from ins_premium_det i),'-2700','-2700','02', '11000003','00','Request by Mr. Saqib Saleem 30-Oct-2024');</v>
      </c>
    </row>
    <row r="391" spans="1:8" ht="105" x14ac:dyDescent="0.25">
      <c r="A391" s="18" t="s">
        <v>6943</v>
      </c>
      <c r="B391" s="29" t="str">
        <f>VLOOKUP(A391,Sheet5!B:C,2,0)</f>
        <v>050000812434</v>
      </c>
      <c r="C391" s="20">
        <v>-1530</v>
      </c>
      <c r="D391" s="30">
        <f t="shared" si="25"/>
        <v>-1530</v>
      </c>
      <c r="E391" s="36" t="s">
        <v>7824</v>
      </c>
      <c r="F391" s="31" t="str">
        <f t="shared" si="24"/>
        <v>insert into ins_premium_det (premium_rcv_code,assorted_code, rec_amount,premium_rcv_detail_code,remaining_amt, payrec, mode_code,coinsurance_code,class_cd,it_remarks) values</v>
      </c>
      <c r="G391" s="32" t="str">
        <f t="shared" si="26"/>
        <v>('29Oct240041','050000812434','-1530',(select max(to_number(i.premium_rcv_detail_code))+1
from ins_premium_det i),'-1530','-1530','02', '11000003','00','Request by Mr. Saqib Saleem 30-Oct-2024');</v>
      </c>
      <c r="H391" s="33" t="str">
        <f t="shared" si="27"/>
        <v>insert into ins_premium_det (premium_rcv_code,assorted_code, rec_amount,premium_rcv_detail_code,remaining_amt, payrec, mode_code,coinsurance_code,class_cd,it_remarks) values('29Oct240041','050000812434','-1530',(select max(to_number(i.premium_rcv_detail_code))+1
from ins_premium_det i),'-1530','-1530','02', '11000003','00','Request by Mr. Saqib Saleem 30-Oct-2024');</v>
      </c>
    </row>
    <row r="392" spans="1:8" ht="105" x14ac:dyDescent="0.25">
      <c r="A392" s="18" t="s">
        <v>6944</v>
      </c>
      <c r="B392" s="29" t="str">
        <f>VLOOKUP(A392,Sheet5!B:C,2,0)</f>
        <v>050000812319</v>
      </c>
      <c r="C392" s="20">
        <v>2511.6250000000036</v>
      </c>
      <c r="D392" s="30">
        <f t="shared" si="25"/>
        <v>2512</v>
      </c>
      <c r="E392" s="36" t="s">
        <v>7824</v>
      </c>
      <c r="F392" s="31" t="str">
        <f t="shared" si="24"/>
        <v>insert into ins_premium_det (premium_rcv_code,assorted_code, rec_amount,premium_rcv_detail_code,remaining_amt, payrec, mode_code,coinsurance_code,class_cd,it_remarks) values</v>
      </c>
      <c r="G392" s="32" t="str">
        <f t="shared" si="26"/>
        <v>('29Oct240041','050000812319','2512',(select max(to_number(i.premium_rcv_detail_code))+1
from ins_premium_det i),'2512','2512','02', '11000003','00','Request by Mr. Saqib Saleem 30-Oct-2024');</v>
      </c>
      <c r="H392" s="33" t="str">
        <f t="shared" si="27"/>
        <v>insert into ins_premium_det (premium_rcv_code,assorted_code, rec_amount,premium_rcv_detail_code,remaining_amt, payrec, mode_code,coinsurance_code,class_cd,it_remarks) values('29Oct240041','050000812319','2512',(select max(to_number(i.premium_rcv_detail_code))+1
from ins_premium_det i),'2512','2512','02', '11000003','00','Request by Mr. Saqib Saleem 30-Oct-2024');</v>
      </c>
    </row>
    <row r="393" spans="1:8" ht="105" x14ac:dyDescent="0.25">
      <c r="A393" s="18" t="s">
        <v>6945</v>
      </c>
      <c r="B393" s="29" t="str">
        <f>VLOOKUP(A393,Sheet5!B:C,2,0)</f>
        <v>050000812321</v>
      </c>
      <c r="C393" s="20">
        <v>3500.0000000000036</v>
      </c>
      <c r="D393" s="30">
        <f t="shared" si="25"/>
        <v>3500</v>
      </c>
      <c r="E393" s="36" t="s">
        <v>7824</v>
      </c>
      <c r="F393" s="31" t="str">
        <f t="shared" si="24"/>
        <v>insert into ins_premium_det (premium_rcv_code,assorted_code, rec_amount,premium_rcv_detail_code,remaining_amt, payrec, mode_code,coinsurance_code,class_cd,it_remarks) values</v>
      </c>
      <c r="G393" s="32" t="str">
        <f t="shared" si="26"/>
        <v>('29Oct240041','050000812321','3500',(select max(to_number(i.premium_rcv_detail_code))+1
from ins_premium_det i),'3500','3500','02', '11000003','00','Request by Mr. Saqib Saleem 30-Oct-2024');</v>
      </c>
      <c r="H393" s="33" t="str">
        <f t="shared" si="27"/>
        <v>insert into ins_premium_det (premium_rcv_code,assorted_code, rec_amount,premium_rcv_detail_code,remaining_amt, payrec, mode_code,coinsurance_code,class_cd,it_remarks) values('29Oct240041','050000812321','3500',(select max(to_number(i.premium_rcv_detail_code))+1
from ins_premium_det i),'3500','3500','02', '11000003','00','Request by Mr. Saqib Saleem 30-Oct-2024');</v>
      </c>
    </row>
    <row r="394" spans="1:8" ht="105" x14ac:dyDescent="0.25">
      <c r="A394" s="18" t="s">
        <v>6946</v>
      </c>
      <c r="B394" s="29" t="str">
        <f>VLOOKUP(A394,Sheet5!B:C,2,0)</f>
        <v>050000812441</v>
      </c>
      <c r="C394" s="20">
        <v>-4798.9999999999854</v>
      </c>
      <c r="D394" s="30">
        <f t="shared" si="25"/>
        <v>-4799</v>
      </c>
      <c r="E394" s="36" t="s">
        <v>7824</v>
      </c>
      <c r="F394" s="31" t="str">
        <f t="shared" si="24"/>
        <v>insert into ins_premium_det (premium_rcv_code,assorted_code, rec_amount,premium_rcv_detail_code,remaining_amt, payrec, mode_code,coinsurance_code,class_cd,it_remarks) values</v>
      </c>
      <c r="G394" s="32" t="str">
        <f t="shared" si="26"/>
        <v>('29Oct240041','050000812441','-4799',(select max(to_number(i.premium_rcv_detail_code))+1
from ins_premium_det i),'-4799','-4799','02', '11000003','00','Request by Mr. Saqib Saleem 30-Oct-2024');</v>
      </c>
      <c r="H394" s="33" t="str">
        <f t="shared" si="27"/>
        <v>insert into ins_premium_det (premium_rcv_code,assorted_code, rec_amount,premium_rcv_detail_code,remaining_amt, payrec, mode_code,coinsurance_code,class_cd,it_remarks) values('29Oct240041','050000812441','-4799',(select max(to_number(i.premium_rcv_detail_code))+1
from ins_premium_det i),'-4799','-4799','02', '11000003','00','Request by Mr. Saqib Saleem 30-Oct-2024');</v>
      </c>
    </row>
    <row r="395" spans="1:8" ht="105" x14ac:dyDescent="0.25">
      <c r="A395" s="18" t="s">
        <v>6947</v>
      </c>
      <c r="B395" s="29" t="str">
        <f>VLOOKUP(A395,Sheet5!B:C,2,0)</f>
        <v>050000812444</v>
      </c>
      <c r="C395" s="20">
        <v>3893.875</v>
      </c>
      <c r="D395" s="30">
        <f t="shared" si="25"/>
        <v>3894</v>
      </c>
      <c r="E395" s="36" t="s">
        <v>7824</v>
      </c>
      <c r="F395" s="31" t="str">
        <f t="shared" si="24"/>
        <v>insert into ins_premium_det (premium_rcv_code,assorted_code, rec_amount,premium_rcv_detail_code,remaining_amt, payrec, mode_code,coinsurance_code,class_cd,it_remarks) values</v>
      </c>
      <c r="G395" s="32" t="str">
        <f t="shared" si="26"/>
        <v>('29Oct240041','050000812444','3894',(select max(to_number(i.premium_rcv_detail_code))+1
from ins_premium_det i),'3894','3894','02', '11000003','00','Request by Mr. Saqib Saleem 30-Oct-2024');</v>
      </c>
      <c r="H395" s="33" t="str">
        <f t="shared" si="27"/>
        <v>insert into ins_premium_det (premium_rcv_code,assorted_code, rec_amount,premium_rcv_detail_code,remaining_amt, payrec, mode_code,coinsurance_code,class_cd,it_remarks) values('29Oct240041','050000812444','3894',(select max(to_number(i.premium_rcv_detail_code))+1
from ins_premium_det i),'3894','3894','02', '11000003','00','Request by Mr. Saqib Saleem 30-Oct-2024');</v>
      </c>
    </row>
    <row r="396" spans="1:8" ht="105" x14ac:dyDescent="0.25">
      <c r="A396" s="18" t="s">
        <v>6948</v>
      </c>
      <c r="B396" s="29" t="str">
        <f>VLOOKUP(A396,Sheet5!B:C,2,0)</f>
        <v>050000812445</v>
      </c>
      <c r="C396" s="20">
        <v>3092</v>
      </c>
      <c r="D396" s="30">
        <f t="shared" si="25"/>
        <v>3092</v>
      </c>
      <c r="E396" s="36" t="s">
        <v>7824</v>
      </c>
      <c r="F396" s="31" t="str">
        <f t="shared" si="24"/>
        <v>insert into ins_premium_det (premium_rcv_code,assorted_code, rec_amount,premium_rcv_detail_code,remaining_amt, payrec, mode_code,coinsurance_code,class_cd,it_remarks) values</v>
      </c>
      <c r="G396" s="32" t="str">
        <f t="shared" si="26"/>
        <v>('29Oct240041','050000812445','3092',(select max(to_number(i.premium_rcv_detail_code))+1
from ins_premium_det i),'3092','3092','02', '11000003','00','Request by Mr. Saqib Saleem 30-Oct-2024');</v>
      </c>
      <c r="H396" s="33" t="str">
        <f t="shared" si="27"/>
        <v>insert into ins_premium_det (premium_rcv_code,assorted_code, rec_amount,premium_rcv_detail_code,remaining_amt, payrec, mode_code,coinsurance_code,class_cd,it_remarks) values('29Oct240041','050000812445','3092',(select max(to_number(i.premium_rcv_detail_code))+1
from ins_premium_det i),'3092','3092','02', '11000003','00','Request by Mr. Saqib Saleem 30-Oct-2024');</v>
      </c>
    </row>
    <row r="397" spans="1:8" ht="105" x14ac:dyDescent="0.25">
      <c r="A397" s="18" t="s">
        <v>6949</v>
      </c>
      <c r="B397" s="29" t="str">
        <f>VLOOKUP(A397,Sheet5!B:C,2,0)</f>
        <v>050000812446</v>
      </c>
      <c r="C397" s="20">
        <v>5200</v>
      </c>
      <c r="D397" s="30">
        <f t="shared" si="25"/>
        <v>5200</v>
      </c>
      <c r="E397" s="36" t="s">
        <v>7824</v>
      </c>
      <c r="F397" s="31" t="str">
        <f t="shared" si="24"/>
        <v>insert into ins_premium_det (premium_rcv_code,assorted_code, rec_amount,premium_rcv_detail_code,remaining_amt, payrec, mode_code,coinsurance_code,class_cd,it_remarks) values</v>
      </c>
      <c r="G397" s="32" t="str">
        <f t="shared" si="26"/>
        <v>('29Oct240041','050000812446','5200',(select max(to_number(i.premium_rcv_detail_code))+1
from ins_premium_det i),'5200','5200','02', '11000003','00','Request by Mr. Saqib Saleem 30-Oct-2024');</v>
      </c>
      <c r="H397" s="33" t="str">
        <f t="shared" si="27"/>
        <v>insert into ins_premium_det (premium_rcv_code,assorted_code, rec_amount,premium_rcv_detail_code,remaining_amt, payrec, mode_code,coinsurance_code,class_cd,it_remarks) values('29Oct240041','050000812446','5200',(select max(to_number(i.premium_rcv_detail_code))+1
from ins_premium_det i),'5200','5200','02', '11000003','00','Request by Mr. Saqib Saleem 30-Oct-2024');</v>
      </c>
    </row>
    <row r="398" spans="1:8" ht="105" x14ac:dyDescent="0.25">
      <c r="A398" s="18" t="s">
        <v>6950</v>
      </c>
      <c r="B398" s="29" t="str">
        <f>VLOOKUP(A398,Sheet5!B:C,2,0)</f>
        <v>050000812447</v>
      </c>
      <c r="C398" s="20">
        <v>1546</v>
      </c>
      <c r="D398" s="30">
        <f t="shared" si="25"/>
        <v>1546</v>
      </c>
      <c r="E398" s="36" t="s">
        <v>7824</v>
      </c>
      <c r="F398" s="31" t="str">
        <f t="shared" si="24"/>
        <v>insert into ins_premium_det (premium_rcv_code,assorted_code, rec_amount,premium_rcv_detail_code,remaining_amt, payrec, mode_code,coinsurance_code,class_cd,it_remarks) values</v>
      </c>
      <c r="G398" s="32" t="str">
        <f t="shared" si="26"/>
        <v>('29Oct240041','050000812447','1546',(select max(to_number(i.premium_rcv_detail_code))+1
from ins_premium_det i),'1546','1546','02', '11000003','00','Request by Mr. Saqib Saleem 30-Oct-2024');</v>
      </c>
      <c r="H398" s="33" t="str">
        <f t="shared" si="27"/>
        <v>insert into ins_premium_det (premium_rcv_code,assorted_code, rec_amount,premium_rcv_detail_code,remaining_amt, payrec, mode_code,coinsurance_code,class_cd,it_remarks) values('29Oct240041','050000812447','1546',(select max(to_number(i.premium_rcv_detail_code))+1
from ins_premium_det i),'1546','1546','02', '11000003','00','Request by Mr. Saqib Saleem 30-Oct-2024');</v>
      </c>
    </row>
    <row r="399" spans="1:8" ht="105" x14ac:dyDescent="0.25">
      <c r="A399" s="18" t="s">
        <v>6951</v>
      </c>
      <c r="B399" s="29" t="str">
        <f>VLOOKUP(A399,Sheet5!B:C,2,0)</f>
        <v>050000812326</v>
      </c>
      <c r="C399" s="20">
        <v>-8039.9999999999854</v>
      </c>
      <c r="D399" s="30">
        <f t="shared" si="25"/>
        <v>-8040</v>
      </c>
      <c r="E399" s="36" t="s">
        <v>7824</v>
      </c>
      <c r="F399" s="31" t="str">
        <f t="shared" si="24"/>
        <v>insert into ins_premium_det (premium_rcv_code,assorted_code, rec_amount,premium_rcv_detail_code,remaining_amt, payrec, mode_code,coinsurance_code,class_cd,it_remarks) values</v>
      </c>
      <c r="G399" s="32" t="str">
        <f t="shared" si="26"/>
        <v>('29Oct240041','050000812326','-8040',(select max(to_number(i.premium_rcv_detail_code))+1
from ins_premium_det i),'-8040','-8040','02', '11000003','00','Request by Mr. Saqib Saleem 30-Oct-2024');</v>
      </c>
      <c r="H399" s="33" t="str">
        <f t="shared" si="27"/>
        <v>insert into ins_premium_det (premium_rcv_code,assorted_code, rec_amount,premium_rcv_detail_code,remaining_amt, payrec, mode_code,coinsurance_code,class_cd,it_remarks) values('29Oct240041','050000812326','-8040',(select max(to_number(i.premium_rcv_detail_code))+1
from ins_premium_det i),'-8040','-8040','02', '11000003','00','Request by Mr. Saqib Saleem 30-Oct-2024');</v>
      </c>
    </row>
    <row r="400" spans="1:8" ht="105" x14ac:dyDescent="0.25">
      <c r="A400" s="18" t="s">
        <v>6952</v>
      </c>
      <c r="B400" s="29" t="str">
        <f>VLOOKUP(A400,Sheet5!B:C,2,0)</f>
        <v>050000812329</v>
      </c>
      <c r="C400" s="20">
        <v>-8098.25</v>
      </c>
      <c r="D400" s="30">
        <f t="shared" si="25"/>
        <v>-8098</v>
      </c>
      <c r="E400" s="36" t="s">
        <v>7824</v>
      </c>
      <c r="F400" s="31" t="str">
        <f t="shared" si="24"/>
        <v>insert into ins_premium_det (premium_rcv_code,assorted_code, rec_amount,premium_rcv_detail_code,remaining_amt, payrec, mode_code,coinsurance_code,class_cd,it_remarks) values</v>
      </c>
      <c r="G400" s="32" t="str">
        <f t="shared" si="26"/>
        <v>('29Oct240041','050000812329','-8098',(select max(to_number(i.premium_rcv_detail_code))+1
from ins_premium_det i),'-8098','-8098','02', '11000003','00','Request by Mr. Saqib Saleem 30-Oct-2024');</v>
      </c>
      <c r="H400" s="33" t="str">
        <f t="shared" si="27"/>
        <v>insert into ins_premium_det (premium_rcv_code,assorted_code, rec_amount,premium_rcv_detail_code,remaining_amt, payrec, mode_code,coinsurance_code,class_cd,it_remarks) values('29Oct240041','050000812329','-8098',(select max(to_number(i.premium_rcv_detail_code))+1
from ins_premium_det i),'-8098','-8098','02', '11000003','00','Request by Mr. Saqib Saleem 30-Oct-2024');</v>
      </c>
    </row>
    <row r="401" spans="1:8" ht="105" x14ac:dyDescent="0.25">
      <c r="A401" s="18" t="s">
        <v>6953</v>
      </c>
      <c r="B401" s="29" t="str">
        <f>VLOOKUP(A401,Sheet5!B:C,2,0)</f>
        <v>050000812336</v>
      </c>
      <c r="C401" s="20">
        <v>4486.5</v>
      </c>
      <c r="D401" s="30">
        <f t="shared" si="25"/>
        <v>4487</v>
      </c>
      <c r="E401" s="36" t="s">
        <v>7824</v>
      </c>
      <c r="F401" s="31" t="str">
        <f t="shared" si="24"/>
        <v>insert into ins_premium_det (premium_rcv_code,assorted_code, rec_amount,premium_rcv_detail_code,remaining_amt, payrec, mode_code,coinsurance_code,class_cd,it_remarks) values</v>
      </c>
      <c r="G401" s="32" t="str">
        <f t="shared" si="26"/>
        <v>('29Oct240041','050000812336','4487',(select max(to_number(i.premium_rcv_detail_code))+1
from ins_premium_det i),'4487','4487','02', '11000003','00','Request by Mr. Saqib Saleem 30-Oct-2024');</v>
      </c>
      <c r="H401" s="33" t="str">
        <f t="shared" si="27"/>
        <v>insert into ins_premium_det (premium_rcv_code,assorted_code, rec_amount,premium_rcv_detail_code,remaining_amt, payrec, mode_code,coinsurance_code,class_cd,it_remarks) values('29Oct240041','050000812336','4487',(select max(to_number(i.premium_rcv_detail_code))+1
from ins_premium_det i),'4487','4487','02', '11000003','00','Request by Mr. Saqib Saleem 30-Oct-2024');</v>
      </c>
    </row>
    <row r="402" spans="1:8" ht="105" x14ac:dyDescent="0.25">
      <c r="A402" s="18" t="s">
        <v>6954</v>
      </c>
      <c r="B402" s="29" t="str">
        <f>VLOOKUP(A402,Sheet5!B:C,2,0)</f>
        <v>050000812338</v>
      </c>
      <c r="C402" s="20">
        <v>3193.5000000000073</v>
      </c>
      <c r="D402" s="30">
        <f t="shared" si="25"/>
        <v>3194</v>
      </c>
      <c r="E402" s="36" t="s">
        <v>7824</v>
      </c>
      <c r="F402" s="31" t="str">
        <f t="shared" si="24"/>
        <v>insert into ins_premium_det (premium_rcv_code,assorted_code, rec_amount,premium_rcv_detail_code,remaining_amt, payrec, mode_code,coinsurance_code,class_cd,it_remarks) values</v>
      </c>
      <c r="G402" s="32" t="str">
        <f t="shared" si="26"/>
        <v>('29Oct240041','050000812338','3194',(select max(to_number(i.premium_rcv_detail_code))+1
from ins_premium_det i),'3194','3194','02', '11000003','00','Request by Mr. Saqib Saleem 30-Oct-2024');</v>
      </c>
      <c r="H402" s="33" t="str">
        <f t="shared" si="27"/>
        <v>insert into ins_premium_det (premium_rcv_code,assorted_code, rec_amount,premium_rcv_detail_code,remaining_amt, payrec, mode_code,coinsurance_code,class_cd,it_remarks) values('29Oct240041','050000812338','3194',(select max(to_number(i.premium_rcv_detail_code))+1
from ins_premium_det i),'3194','3194','02', '11000003','00','Request by Mr. Saqib Saleem 30-Oct-2024');</v>
      </c>
    </row>
    <row r="403" spans="1:8" ht="105" x14ac:dyDescent="0.25">
      <c r="A403" s="18" t="s">
        <v>6955</v>
      </c>
      <c r="B403" s="29" t="str">
        <f>VLOOKUP(A403,Sheet5!B:C,2,0)</f>
        <v>050000812342</v>
      </c>
      <c r="C403" s="20">
        <v>2935</v>
      </c>
      <c r="D403" s="30">
        <f t="shared" si="25"/>
        <v>2935</v>
      </c>
      <c r="E403" s="36" t="s">
        <v>7824</v>
      </c>
      <c r="F403" s="31" t="str">
        <f t="shared" si="24"/>
        <v>insert into ins_premium_det (premium_rcv_code,assorted_code, rec_amount,premium_rcv_detail_code,remaining_amt, payrec, mode_code,coinsurance_code,class_cd,it_remarks) values</v>
      </c>
      <c r="G403" s="32" t="str">
        <f t="shared" si="26"/>
        <v>('29Oct240041','050000812342','2935',(select max(to_number(i.premium_rcv_detail_code))+1
from ins_premium_det i),'2935','2935','02', '11000003','00','Request by Mr. Saqib Saleem 30-Oct-2024');</v>
      </c>
      <c r="H403" s="33" t="str">
        <f t="shared" si="27"/>
        <v>insert into ins_premium_det (premium_rcv_code,assorted_code, rec_amount,premium_rcv_detail_code,remaining_amt, payrec, mode_code,coinsurance_code,class_cd,it_remarks) values('29Oct240041','050000812342','2935',(select max(to_number(i.premium_rcv_detail_code))+1
from ins_premium_det i),'2935','2935','02', '11000003','00','Request by Mr. Saqib Saleem 30-Oct-2024');</v>
      </c>
    </row>
    <row r="404" spans="1:8" ht="105" x14ac:dyDescent="0.25">
      <c r="A404" s="18" t="s">
        <v>6956</v>
      </c>
      <c r="B404" s="29" t="str">
        <f>VLOOKUP(A404,Sheet5!B:C,2,0)</f>
        <v>050000812344</v>
      </c>
      <c r="C404" s="20">
        <v>3745</v>
      </c>
      <c r="D404" s="30">
        <f t="shared" si="25"/>
        <v>3745</v>
      </c>
      <c r="E404" s="36" t="s">
        <v>7824</v>
      </c>
      <c r="F404" s="31" t="str">
        <f t="shared" si="24"/>
        <v>insert into ins_premium_det (premium_rcv_code,assorted_code, rec_amount,premium_rcv_detail_code,remaining_amt, payrec, mode_code,coinsurance_code,class_cd,it_remarks) values</v>
      </c>
      <c r="G404" s="32" t="str">
        <f t="shared" si="26"/>
        <v>('29Oct240041','050000812344','3745',(select max(to_number(i.premium_rcv_detail_code))+1
from ins_premium_det i),'3745','3745','02', '11000003','00','Request by Mr. Saqib Saleem 30-Oct-2024');</v>
      </c>
      <c r="H404" s="33" t="str">
        <f t="shared" si="27"/>
        <v>insert into ins_premium_det (premium_rcv_code,assorted_code, rec_amount,premium_rcv_detail_code,remaining_amt, payrec, mode_code,coinsurance_code,class_cd,it_remarks) values('29Oct240041','050000812344','3745',(select max(to_number(i.premium_rcv_detail_code))+1
from ins_premium_det i),'3745','3745','02', '11000003','00','Request by Mr. Saqib Saleem 30-Oct-2024');</v>
      </c>
    </row>
    <row r="405" spans="1:8" ht="105" x14ac:dyDescent="0.25">
      <c r="A405" s="18" t="s">
        <v>6957</v>
      </c>
      <c r="B405" s="29" t="str">
        <f>VLOOKUP(A405,Sheet5!B:C,2,0)</f>
        <v>050000812345</v>
      </c>
      <c r="C405" s="20">
        <v>3850</v>
      </c>
      <c r="D405" s="30">
        <f t="shared" si="25"/>
        <v>3850</v>
      </c>
      <c r="E405" s="36" t="s">
        <v>7824</v>
      </c>
      <c r="F405" s="31" t="str">
        <f t="shared" si="24"/>
        <v>insert into ins_premium_det (premium_rcv_code,assorted_code, rec_amount,premium_rcv_detail_code,remaining_amt, payrec, mode_code,coinsurance_code,class_cd,it_remarks) values</v>
      </c>
      <c r="G405" s="32" t="str">
        <f t="shared" si="26"/>
        <v>('29Oct240041','050000812345','3850',(select max(to_number(i.premium_rcv_detail_code))+1
from ins_premium_det i),'3850','3850','02', '11000003','00','Request by Mr. Saqib Saleem 30-Oct-2024');</v>
      </c>
      <c r="H405" s="33" t="str">
        <f t="shared" si="27"/>
        <v>insert into ins_premium_det (premium_rcv_code,assorted_code, rec_amount,premium_rcv_detail_code,remaining_amt, payrec, mode_code,coinsurance_code,class_cd,it_remarks) values('29Oct240041','050000812345','3850',(select max(to_number(i.premium_rcv_detail_code))+1
from ins_premium_det i),'3850','3850','02', '11000003','00','Request by Mr. Saqib Saleem 30-Oct-2024');</v>
      </c>
    </row>
    <row r="406" spans="1:8" ht="105" x14ac:dyDescent="0.25">
      <c r="A406" s="18" t="s">
        <v>6958</v>
      </c>
      <c r="B406" s="29" t="str">
        <f>VLOOKUP(A406,Sheet5!B:C,2,0)</f>
        <v>050000812346</v>
      </c>
      <c r="C406" s="20">
        <v>4486.5</v>
      </c>
      <c r="D406" s="30">
        <f t="shared" si="25"/>
        <v>4487</v>
      </c>
      <c r="E406" s="36" t="s">
        <v>7824</v>
      </c>
      <c r="F406" s="31" t="str">
        <f t="shared" si="24"/>
        <v>insert into ins_premium_det (premium_rcv_code,assorted_code, rec_amount,premium_rcv_detail_code,remaining_amt, payrec, mode_code,coinsurance_code,class_cd,it_remarks) values</v>
      </c>
      <c r="G406" s="32" t="str">
        <f t="shared" si="26"/>
        <v>('29Oct240041','050000812346','4487',(select max(to_number(i.premium_rcv_detail_code))+1
from ins_premium_det i),'4487','4487','02', '11000003','00','Request by Mr. Saqib Saleem 30-Oct-2024');</v>
      </c>
      <c r="H406" s="33" t="str">
        <f t="shared" si="27"/>
        <v>insert into ins_premium_det (premium_rcv_code,assorted_code, rec_amount,premium_rcv_detail_code,remaining_amt, payrec, mode_code,coinsurance_code,class_cd,it_remarks) values('29Oct240041','050000812346','4487',(select max(to_number(i.premium_rcv_detail_code))+1
from ins_premium_det i),'4487','4487','02', '11000003','00','Request by Mr. Saqib Saleem 30-Oct-2024');</v>
      </c>
    </row>
    <row r="407" spans="1:8" ht="105" x14ac:dyDescent="0.25">
      <c r="A407" s="18" t="s">
        <v>6959</v>
      </c>
      <c r="B407" s="29" t="str">
        <f>VLOOKUP(A407,Sheet5!B:C,2,0)</f>
        <v>050000812466</v>
      </c>
      <c r="C407" s="20">
        <v>-7412.25</v>
      </c>
      <c r="D407" s="30">
        <f t="shared" si="25"/>
        <v>-7412</v>
      </c>
      <c r="E407" s="36" t="s">
        <v>7824</v>
      </c>
      <c r="F407" s="31" t="str">
        <f t="shared" si="24"/>
        <v>insert into ins_premium_det (premium_rcv_code,assorted_code, rec_amount,premium_rcv_detail_code,remaining_amt, payrec, mode_code,coinsurance_code,class_cd,it_remarks) values</v>
      </c>
      <c r="G407" s="32" t="str">
        <f t="shared" si="26"/>
        <v>('29Oct240041','050000812466','-7412',(select max(to_number(i.premium_rcv_detail_code))+1
from ins_premium_det i),'-7412','-7412','02', '11000003','00','Request by Mr. Saqib Saleem 30-Oct-2024');</v>
      </c>
      <c r="H407" s="33" t="str">
        <f t="shared" si="27"/>
        <v>insert into ins_premium_det (premium_rcv_code,assorted_code, rec_amount,premium_rcv_detail_code,remaining_amt, payrec, mode_code,coinsurance_code,class_cd,it_remarks) values('29Oct240041','050000812466','-7412',(select max(to_number(i.premium_rcv_detail_code))+1
from ins_premium_det i),'-7412','-7412','02', '11000003','00','Request by Mr. Saqib Saleem 30-Oct-2024');</v>
      </c>
    </row>
    <row r="408" spans="1:8" ht="105" x14ac:dyDescent="0.25">
      <c r="A408" s="18" t="s">
        <v>6960</v>
      </c>
      <c r="B408" s="29" t="str">
        <f>VLOOKUP(A408,Sheet5!B:C,2,0)</f>
        <v>050000812347</v>
      </c>
      <c r="C408" s="20">
        <v>-23250</v>
      </c>
      <c r="D408" s="30">
        <f t="shared" si="25"/>
        <v>-23250</v>
      </c>
      <c r="E408" s="36" t="s">
        <v>7824</v>
      </c>
      <c r="F408" s="31" t="str">
        <f t="shared" si="24"/>
        <v>insert into ins_premium_det (premium_rcv_code,assorted_code, rec_amount,premium_rcv_detail_code,remaining_amt, payrec, mode_code,coinsurance_code,class_cd,it_remarks) values</v>
      </c>
      <c r="G408" s="32" t="str">
        <f t="shared" si="26"/>
        <v>('29Oct240041','050000812347','-23250',(select max(to_number(i.premium_rcv_detail_code))+1
from ins_premium_det i),'-23250','-23250','02', '11000003','00','Request by Mr. Saqib Saleem 30-Oct-2024');</v>
      </c>
      <c r="H408" s="33" t="str">
        <f t="shared" si="27"/>
        <v>insert into ins_premium_det (premium_rcv_code,assorted_code, rec_amount,premium_rcv_detail_code,remaining_amt, payrec, mode_code,coinsurance_code,class_cd,it_remarks) values('29Oct240041','050000812347','-23250',(select max(to_number(i.premium_rcv_detail_code))+1
from ins_premium_det i),'-23250','-23250','02', '11000003','00','Request by Mr. Saqib Saleem 30-Oct-2024');</v>
      </c>
    </row>
    <row r="409" spans="1:8" ht="105" x14ac:dyDescent="0.25">
      <c r="A409" s="18" t="s">
        <v>6961</v>
      </c>
      <c r="B409" s="29" t="str">
        <f>VLOOKUP(A409,Sheet5!B:C,2,0)</f>
        <v>050000812350</v>
      </c>
      <c r="C409" s="20">
        <v>-7800</v>
      </c>
      <c r="D409" s="30">
        <f t="shared" si="25"/>
        <v>-7800</v>
      </c>
      <c r="E409" s="36" t="s">
        <v>7824</v>
      </c>
      <c r="F409" s="31" t="str">
        <f t="shared" si="24"/>
        <v>insert into ins_premium_det (premium_rcv_code,assorted_code, rec_amount,premium_rcv_detail_code,remaining_amt, payrec, mode_code,coinsurance_code,class_cd,it_remarks) values</v>
      </c>
      <c r="G409" s="32" t="str">
        <f t="shared" si="26"/>
        <v>('29Oct240041','050000812350','-7800',(select max(to_number(i.premium_rcv_detail_code))+1
from ins_premium_det i),'-7800','-7800','02', '11000003','00','Request by Mr. Saqib Saleem 30-Oct-2024');</v>
      </c>
      <c r="H409" s="33" t="str">
        <f t="shared" si="27"/>
        <v>insert into ins_premium_det (premium_rcv_code,assorted_code, rec_amount,premium_rcv_detail_code,remaining_amt, payrec, mode_code,coinsurance_code,class_cd,it_remarks) values('29Oct240041','050000812350','-7800',(select max(to_number(i.premium_rcv_detail_code))+1
from ins_premium_det i),'-7800','-7800','02', '11000003','00','Request by Mr. Saqib Saleem 30-Oct-2024');</v>
      </c>
    </row>
    <row r="410" spans="1:8" ht="105" x14ac:dyDescent="0.25">
      <c r="A410" s="18" t="s">
        <v>6962</v>
      </c>
      <c r="B410" s="29" t="str">
        <f>VLOOKUP(A410,Sheet5!B:C,2,0)</f>
        <v>050000812471</v>
      </c>
      <c r="C410" s="20">
        <v>-8098.25</v>
      </c>
      <c r="D410" s="30">
        <f t="shared" si="25"/>
        <v>-8098</v>
      </c>
      <c r="E410" s="36" t="s">
        <v>7824</v>
      </c>
      <c r="F410" s="31" t="str">
        <f t="shared" si="24"/>
        <v>insert into ins_premium_det (premium_rcv_code,assorted_code, rec_amount,premium_rcv_detail_code,remaining_amt, payrec, mode_code,coinsurance_code,class_cd,it_remarks) values</v>
      </c>
      <c r="G410" s="32" t="str">
        <f t="shared" si="26"/>
        <v>('29Oct240041','050000812471','-8098',(select max(to_number(i.premium_rcv_detail_code))+1
from ins_premium_det i),'-8098','-8098','02', '11000003','00','Request by Mr. Saqib Saleem 30-Oct-2024');</v>
      </c>
      <c r="H410" s="33" t="str">
        <f t="shared" si="27"/>
        <v>insert into ins_premium_det (premium_rcv_code,assorted_code, rec_amount,premium_rcv_detail_code,remaining_amt, payrec, mode_code,coinsurance_code,class_cd,it_remarks) values('29Oct240041','050000812471','-8098',(select max(to_number(i.premium_rcv_detail_code))+1
from ins_premium_det i),'-8098','-8098','02', '11000003','00','Request by Mr. Saqib Saleem 30-Oct-2024');</v>
      </c>
    </row>
    <row r="411" spans="1:8" ht="105" x14ac:dyDescent="0.25">
      <c r="A411" s="18" t="s">
        <v>6963</v>
      </c>
      <c r="B411" s="29" t="str">
        <f>VLOOKUP(A411,Sheet5!B:C,2,0)</f>
        <v>050000812472</v>
      </c>
      <c r="C411" s="20">
        <v>-4480</v>
      </c>
      <c r="D411" s="30">
        <f t="shared" si="25"/>
        <v>-4480</v>
      </c>
      <c r="E411" s="36" t="s">
        <v>7824</v>
      </c>
      <c r="F411" s="31" t="str">
        <f t="shared" si="24"/>
        <v>insert into ins_premium_det (premium_rcv_code,assorted_code, rec_amount,premium_rcv_detail_code,remaining_amt, payrec, mode_code,coinsurance_code,class_cd,it_remarks) values</v>
      </c>
      <c r="G411" s="32" t="str">
        <f t="shared" si="26"/>
        <v>('29Oct240041','050000812472','-4480',(select max(to_number(i.premium_rcv_detail_code))+1
from ins_premium_det i),'-4480','-4480','02', '11000003','00','Request by Mr. Saqib Saleem 30-Oct-2024');</v>
      </c>
      <c r="H411" s="33" t="str">
        <f t="shared" si="27"/>
        <v>insert into ins_premium_det (premium_rcv_code,assorted_code, rec_amount,premium_rcv_detail_code,remaining_amt, payrec, mode_code,coinsurance_code,class_cd,it_remarks) values('29Oct240041','050000812472','-4480',(select max(to_number(i.premium_rcv_detail_code))+1
from ins_premium_det i),'-4480','-4480','02', '11000003','00','Request by Mr. Saqib Saleem 30-Oct-2024');</v>
      </c>
    </row>
    <row r="412" spans="1:8" ht="105" x14ac:dyDescent="0.25">
      <c r="A412" s="18" t="s">
        <v>6964</v>
      </c>
      <c r="B412" s="29" t="str">
        <f>VLOOKUP(A412,Sheet5!B:C,2,0)</f>
        <v>050000812352</v>
      </c>
      <c r="C412" s="20">
        <v>-6983.5</v>
      </c>
      <c r="D412" s="30">
        <f t="shared" si="25"/>
        <v>-6984</v>
      </c>
      <c r="E412" s="36" t="s">
        <v>7824</v>
      </c>
      <c r="F412" s="31" t="str">
        <f t="shared" si="24"/>
        <v>insert into ins_premium_det (premium_rcv_code,assorted_code, rec_amount,premium_rcv_detail_code,remaining_amt, payrec, mode_code,coinsurance_code,class_cd,it_remarks) values</v>
      </c>
      <c r="G412" s="32" t="str">
        <f t="shared" si="26"/>
        <v>('29Oct240041','050000812352','-6984',(select max(to_number(i.premium_rcv_detail_code))+1
from ins_premium_det i),'-6984','-6984','02', '11000003','00','Request by Mr. Saqib Saleem 30-Oct-2024');</v>
      </c>
      <c r="H412" s="33" t="str">
        <f t="shared" si="27"/>
        <v>insert into ins_premium_det (premium_rcv_code,assorted_code, rec_amount,premium_rcv_detail_code,remaining_amt, payrec, mode_code,coinsurance_code,class_cd,it_remarks) values('29Oct240041','050000812352','-6984',(select max(to_number(i.premium_rcv_detail_code))+1
from ins_premium_det i),'-6984','-6984','02', '11000003','00','Request by Mr. Saqib Saleem 30-Oct-2024');</v>
      </c>
    </row>
    <row r="413" spans="1:8" ht="105" x14ac:dyDescent="0.25">
      <c r="A413" s="18" t="s">
        <v>6965</v>
      </c>
      <c r="B413" s="29" t="str">
        <f>VLOOKUP(A413,Sheet5!B:C,2,0)</f>
        <v>050000812367</v>
      </c>
      <c r="C413" s="20">
        <v>-3375</v>
      </c>
      <c r="D413" s="30">
        <f t="shared" si="25"/>
        <v>-3375</v>
      </c>
      <c r="E413" s="36" t="s">
        <v>7824</v>
      </c>
      <c r="F413" s="31" t="str">
        <f t="shared" si="24"/>
        <v>insert into ins_premium_det (premium_rcv_code,assorted_code, rec_amount,premium_rcv_detail_code,remaining_amt, payrec, mode_code,coinsurance_code,class_cd,it_remarks) values</v>
      </c>
      <c r="G413" s="32" t="str">
        <f t="shared" si="26"/>
        <v>('29Oct240041','050000812367','-3375',(select max(to_number(i.premium_rcv_detail_code))+1
from ins_premium_det i),'-3375','-3375','02', '11000003','00','Request by Mr. Saqib Saleem 30-Oct-2024');</v>
      </c>
      <c r="H413" s="33" t="str">
        <f t="shared" si="27"/>
        <v>insert into ins_premium_det (premium_rcv_code,assorted_code, rec_amount,premium_rcv_detail_code,remaining_amt, payrec, mode_code,coinsurance_code,class_cd,it_remarks) values('29Oct240041','050000812367','-3375',(select max(to_number(i.premium_rcv_detail_code))+1
from ins_premium_det i),'-3375','-3375','02', '11000003','00','Request by Mr. Saqib Saleem 30-Oct-2024');</v>
      </c>
    </row>
    <row r="414" spans="1:8" ht="105" x14ac:dyDescent="0.25">
      <c r="A414" s="18" t="s">
        <v>6966</v>
      </c>
      <c r="B414" s="29" t="str">
        <f>VLOOKUP(A414,Sheet5!B:C,2,0)</f>
        <v>050000812369</v>
      </c>
      <c r="C414" s="20">
        <v>5775.0000000000073</v>
      </c>
      <c r="D414" s="30">
        <f t="shared" si="25"/>
        <v>5775</v>
      </c>
      <c r="E414" s="36" t="s">
        <v>7824</v>
      </c>
      <c r="F414" s="31" t="str">
        <f t="shared" si="24"/>
        <v>insert into ins_premium_det (premium_rcv_code,assorted_code, rec_amount,premium_rcv_detail_code,remaining_amt, payrec, mode_code,coinsurance_code,class_cd,it_remarks) values</v>
      </c>
      <c r="G414" s="32" t="str">
        <f t="shared" si="26"/>
        <v>('29Oct240041','050000812369','5775',(select max(to_number(i.premium_rcv_detail_code))+1
from ins_premium_det i),'5775','5775','02', '11000003','00','Request by Mr. Saqib Saleem 30-Oct-2024');</v>
      </c>
      <c r="H414" s="33" t="str">
        <f t="shared" si="27"/>
        <v>insert into ins_premium_det (premium_rcv_code,assorted_code, rec_amount,premium_rcv_detail_code,remaining_amt, payrec, mode_code,coinsurance_code,class_cd,it_remarks) values('29Oct240041','050000812369','5775',(select max(to_number(i.premium_rcv_detail_code))+1
from ins_premium_det i),'5775','5775','02', '11000003','00','Request by Mr. Saqib Saleem 30-Oct-2024');</v>
      </c>
    </row>
    <row r="415" spans="1:8" ht="105" x14ac:dyDescent="0.25">
      <c r="A415" s="18" t="s">
        <v>6967</v>
      </c>
      <c r="B415" s="29" t="str">
        <f>VLOOKUP(A415,Sheet5!B:C,2,0)</f>
        <v>050000812484</v>
      </c>
      <c r="C415" s="20">
        <v>4637.0000000000146</v>
      </c>
      <c r="D415" s="30">
        <f t="shared" si="25"/>
        <v>4637</v>
      </c>
      <c r="E415" s="36" t="s">
        <v>7824</v>
      </c>
      <c r="F415" s="31" t="str">
        <f t="shared" si="24"/>
        <v>insert into ins_premium_det (premium_rcv_code,assorted_code, rec_amount,premium_rcv_detail_code,remaining_amt, payrec, mode_code,coinsurance_code,class_cd,it_remarks) values</v>
      </c>
      <c r="G415" s="32" t="str">
        <f t="shared" si="26"/>
        <v>('29Oct240041','050000812484','4637',(select max(to_number(i.premium_rcv_detail_code))+1
from ins_premium_det i),'4637','4637','02', '11000003','00','Request by Mr. Saqib Saleem 30-Oct-2024');</v>
      </c>
      <c r="H415" s="33" t="str">
        <f t="shared" si="27"/>
        <v>insert into ins_premium_det (premium_rcv_code,assorted_code, rec_amount,premium_rcv_detail_code,remaining_amt, payrec, mode_code,coinsurance_code,class_cd,it_remarks) values('29Oct240041','050000812484','4637',(select max(to_number(i.premium_rcv_detail_code))+1
from ins_premium_det i),'4637','4637','02', '11000003','00','Request by Mr. Saqib Saleem 30-Oct-2024');</v>
      </c>
    </row>
    <row r="416" spans="1:8" ht="105" x14ac:dyDescent="0.25">
      <c r="A416" s="18" t="s">
        <v>6968</v>
      </c>
      <c r="B416" s="29" t="str">
        <f>VLOOKUP(A416,Sheet5!B:C,2,0)</f>
        <v>050000812485</v>
      </c>
      <c r="C416" s="20">
        <v>4402.5</v>
      </c>
      <c r="D416" s="30">
        <f t="shared" si="25"/>
        <v>4403</v>
      </c>
      <c r="E416" s="36" t="s">
        <v>7824</v>
      </c>
      <c r="F416" s="31" t="str">
        <f t="shared" si="24"/>
        <v>insert into ins_premium_det (premium_rcv_code,assorted_code, rec_amount,premium_rcv_detail_code,remaining_amt, payrec, mode_code,coinsurance_code,class_cd,it_remarks) values</v>
      </c>
      <c r="G416" s="32" t="str">
        <f t="shared" si="26"/>
        <v>('29Oct240041','050000812485','4403',(select max(to_number(i.premium_rcv_detail_code))+1
from ins_premium_det i),'4403','4403','02', '11000003','00','Request by Mr. Saqib Saleem 30-Oct-2024');</v>
      </c>
      <c r="H416" s="33" t="str">
        <f t="shared" si="27"/>
        <v>insert into ins_premium_det (premium_rcv_code,assorted_code, rec_amount,premium_rcv_detail_code,remaining_amt, payrec, mode_code,coinsurance_code,class_cd,it_remarks) values('29Oct240041','050000812485','4403',(select max(to_number(i.premium_rcv_detail_code))+1
from ins_premium_det i),'4403','4403','02', '11000003','00','Request by Mr. Saqib Saleem 30-Oct-2024');</v>
      </c>
    </row>
    <row r="417" spans="1:8" ht="105" x14ac:dyDescent="0.25">
      <c r="A417" s="18" t="s">
        <v>6969</v>
      </c>
      <c r="B417" s="29" t="str">
        <f>VLOOKUP(A417,Sheet5!B:C,2,0)</f>
        <v>050000812370</v>
      </c>
      <c r="C417" s="20">
        <v>4112.5</v>
      </c>
      <c r="D417" s="30">
        <f t="shared" si="25"/>
        <v>4113</v>
      </c>
      <c r="E417" s="36" t="s">
        <v>7824</v>
      </c>
      <c r="F417" s="31" t="str">
        <f t="shared" si="24"/>
        <v>insert into ins_premium_det (premium_rcv_code,assorted_code, rec_amount,premium_rcv_detail_code,remaining_amt, payrec, mode_code,coinsurance_code,class_cd,it_remarks) values</v>
      </c>
      <c r="G417" s="32" t="str">
        <f t="shared" si="26"/>
        <v>('29Oct240041','050000812370','4113',(select max(to_number(i.premium_rcv_detail_code))+1
from ins_premium_det i),'4113','4113','02', '11000003','00','Request by Mr. Saqib Saleem 30-Oct-2024');</v>
      </c>
      <c r="H417" s="33" t="str">
        <f t="shared" si="27"/>
        <v>insert into ins_premium_det (premium_rcv_code,assorted_code, rec_amount,premium_rcv_detail_code,remaining_amt, payrec, mode_code,coinsurance_code,class_cd,it_remarks) values('29Oct240041','050000812370','4113',(select max(to_number(i.premium_rcv_detail_code))+1
from ins_premium_det i),'4113','4113','02', '11000003','00','Request by Mr. Saqib Saleem 30-Oct-2024');</v>
      </c>
    </row>
    <row r="418" spans="1:8" ht="105" x14ac:dyDescent="0.25">
      <c r="A418" s="18" t="s">
        <v>6970</v>
      </c>
      <c r="B418" s="29" t="str">
        <f>VLOOKUP(A418,Sheet5!B:C,2,0)</f>
        <v>050000812371</v>
      </c>
      <c r="C418" s="20">
        <v>4438</v>
      </c>
      <c r="D418" s="30">
        <f t="shared" si="25"/>
        <v>4438</v>
      </c>
      <c r="E418" s="36" t="s">
        <v>7824</v>
      </c>
      <c r="F418" s="31" t="str">
        <f t="shared" si="24"/>
        <v>insert into ins_premium_det (premium_rcv_code,assorted_code, rec_amount,premium_rcv_detail_code,remaining_amt, payrec, mode_code,coinsurance_code,class_cd,it_remarks) values</v>
      </c>
      <c r="G418" s="32" t="str">
        <f t="shared" si="26"/>
        <v>('29Oct240041','050000812371','4438',(select max(to_number(i.premium_rcv_detail_code))+1
from ins_premium_det i),'4438','4438','02', '11000003','00','Request by Mr. Saqib Saleem 30-Oct-2024');</v>
      </c>
      <c r="H418" s="33" t="str">
        <f t="shared" si="27"/>
        <v>insert into ins_premium_det (premium_rcv_code,assorted_code, rec_amount,premium_rcv_detail_code,remaining_amt, payrec, mode_code,coinsurance_code,class_cd,it_remarks) values('29Oct240041','050000812371','4438',(select max(to_number(i.premium_rcv_detail_code))+1
from ins_premium_det i),'4438','4438','02', '11000003','00','Request by Mr. Saqib Saleem 30-Oct-2024');</v>
      </c>
    </row>
    <row r="419" spans="1:8" ht="105" x14ac:dyDescent="0.25">
      <c r="A419" s="18" t="s">
        <v>6971</v>
      </c>
      <c r="B419" s="29" t="str">
        <f>VLOOKUP(A419,Sheet5!B:C,2,0)</f>
        <v>050000812382</v>
      </c>
      <c r="C419" s="20">
        <v>-3967.75</v>
      </c>
      <c r="D419" s="30">
        <f t="shared" si="25"/>
        <v>-3968</v>
      </c>
      <c r="E419" s="36" t="s">
        <v>7824</v>
      </c>
      <c r="F419" s="31" t="str">
        <f t="shared" si="24"/>
        <v>insert into ins_premium_det (premium_rcv_code,assorted_code, rec_amount,premium_rcv_detail_code,remaining_amt, payrec, mode_code,coinsurance_code,class_cd,it_remarks) values</v>
      </c>
      <c r="G419" s="32" t="str">
        <f t="shared" si="26"/>
        <v>('29Oct240041','050000812382','-3968',(select max(to_number(i.premium_rcv_detail_code))+1
from ins_premium_det i),'-3968','-3968','02', '11000003','00','Request by Mr. Saqib Saleem 30-Oct-2024');</v>
      </c>
      <c r="H419" s="33" t="str">
        <f t="shared" si="27"/>
        <v>insert into ins_premium_det (premium_rcv_code,assorted_code, rec_amount,premium_rcv_detail_code,remaining_amt, payrec, mode_code,coinsurance_code,class_cd,it_remarks) values('29Oct240041','050000812382','-3968',(select max(to_number(i.premium_rcv_detail_code))+1
from ins_premium_det i),'-3968','-3968','02', '11000003','00','Request by Mr. Saqib Saleem 30-Oct-2024');</v>
      </c>
    </row>
    <row r="420" spans="1:8" ht="105" x14ac:dyDescent="0.25">
      <c r="A420" s="18" t="s">
        <v>6972</v>
      </c>
      <c r="B420" s="29" t="str">
        <f>VLOOKUP(A420,Sheet5!B:C,2,0)</f>
        <v>050000812494</v>
      </c>
      <c r="C420" s="20">
        <v>-2796</v>
      </c>
      <c r="D420" s="30">
        <f t="shared" si="25"/>
        <v>-2796</v>
      </c>
      <c r="E420" s="36" t="s">
        <v>7824</v>
      </c>
      <c r="F420" s="31" t="str">
        <f t="shared" si="24"/>
        <v>insert into ins_premium_det (premium_rcv_code,assorted_code, rec_amount,premium_rcv_detail_code,remaining_amt, payrec, mode_code,coinsurance_code,class_cd,it_remarks) values</v>
      </c>
      <c r="G420" s="32" t="str">
        <f t="shared" si="26"/>
        <v>('29Oct240041','050000812494','-2796',(select max(to_number(i.premium_rcv_detail_code))+1
from ins_premium_det i),'-2796','-2796','02', '11000003','00','Request by Mr. Saqib Saleem 30-Oct-2024');</v>
      </c>
      <c r="H420" s="33" t="str">
        <f t="shared" si="27"/>
        <v>insert into ins_premium_det (premium_rcv_code,assorted_code, rec_amount,premium_rcv_detail_code,remaining_amt, payrec, mode_code,coinsurance_code,class_cd,it_remarks) values('29Oct240041','050000812494','-2796',(select max(to_number(i.premium_rcv_detail_code))+1
from ins_premium_det i),'-2796','-2796','02', '11000003','00','Request by Mr. Saqib Saleem 30-Oct-2024');</v>
      </c>
    </row>
    <row r="421" spans="1:8" ht="105" x14ac:dyDescent="0.25">
      <c r="A421" s="18" t="s">
        <v>6973</v>
      </c>
      <c r="B421" s="29" t="str">
        <f>VLOOKUP(A421,Sheet5!B:C,2,0)</f>
        <v>050000812384</v>
      </c>
      <c r="C421" s="20">
        <v>-1521</v>
      </c>
      <c r="D421" s="30">
        <f t="shared" si="25"/>
        <v>-1521</v>
      </c>
      <c r="E421" s="36" t="s">
        <v>7824</v>
      </c>
      <c r="F421" s="31" t="str">
        <f t="shared" si="24"/>
        <v>insert into ins_premium_det (premium_rcv_code,assorted_code, rec_amount,premium_rcv_detail_code,remaining_amt, payrec, mode_code,coinsurance_code,class_cd,it_remarks) values</v>
      </c>
      <c r="G421" s="32" t="str">
        <f t="shared" si="26"/>
        <v>('29Oct240041','050000812384','-1521',(select max(to_number(i.premium_rcv_detail_code))+1
from ins_premium_det i),'-1521','-1521','02', '11000003','00','Request by Mr. Saqib Saleem 30-Oct-2024');</v>
      </c>
      <c r="H421" s="33" t="str">
        <f t="shared" si="27"/>
        <v>insert into ins_premium_det (premium_rcv_code,assorted_code, rec_amount,premium_rcv_detail_code,remaining_amt, payrec, mode_code,coinsurance_code,class_cd,it_remarks) values('29Oct240041','050000812384','-1521',(select max(to_number(i.premium_rcv_detail_code))+1
from ins_premium_det i),'-1521','-1521','02', '11000003','00','Request by Mr. Saqib Saleem 30-Oct-2024');</v>
      </c>
    </row>
    <row r="422" spans="1:8" ht="105" x14ac:dyDescent="0.25">
      <c r="A422" s="18" t="s">
        <v>6974</v>
      </c>
      <c r="B422" s="29" t="str">
        <f>VLOOKUP(A422,Sheet5!B:C,2,0)</f>
        <v>050000812386</v>
      </c>
      <c r="C422" s="20">
        <v>5256.1250000000146</v>
      </c>
      <c r="D422" s="30">
        <f t="shared" si="25"/>
        <v>5256</v>
      </c>
      <c r="E422" s="36" t="s">
        <v>7824</v>
      </c>
      <c r="F422" s="31" t="str">
        <f t="shared" si="24"/>
        <v>insert into ins_premium_det (premium_rcv_code,assorted_code, rec_amount,premium_rcv_detail_code,remaining_amt, payrec, mode_code,coinsurance_code,class_cd,it_remarks) values</v>
      </c>
      <c r="G422" s="32" t="str">
        <f t="shared" si="26"/>
        <v>('29Oct240041','050000812386','5256',(select max(to_number(i.premium_rcv_detail_code))+1
from ins_premium_det i),'5256','5256','02', '11000003','00','Request by Mr. Saqib Saleem 30-Oct-2024');</v>
      </c>
      <c r="H422" s="33" t="str">
        <f t="shared" si="27"/>
        <v>insert into ins_premium_det (premium_rcv_code,assorted_code, rec_amount,premium_rcv_detail_code,remaining_amt, payrec, mode_code,coinsurance_code,class_cd,it_remarks) values('29Oct240041','050000812386','5256',(select max(to_number(i.premium_rcv_detail_code))+1
from ins_premium_det i),'5256','5256','02', '11000003','00','Request by Mr. Saqib Saleem 30-Oct-2024');</v>
      </c>
    </row>
    <row r="423" spans="1:8" ht="105" x14ac:dyDescent="0.25">
      <c r="A423" s="18" t="s">
        <v>6975</v>
      </c>
      <c r="B423" s="29" t="str">
        <f>VLOOKUP(A423,Sheet5!B:C,2,0)</f>
        <v>050000812502</v>
      </c>
      <c r="C423" s="20">
        <v>-8098.25</v>
      </c>
      <c r="D423" s="30">
        <f t="shared" si="25"/>
        <v>-8098</v>
      </c>
      <c r="E423" s="36" t="s">
        <v>7824</v>
      </c>
      <c r="F423" s="31" t="str">
        <f t="shared" si="24"/>
        <v>insert into ins_premium_det (premium_rcv_code,assorted_code, rec_amount,premium_rcv_detail_code,remaining_amt, payrec, mode_code,coinsurance_code,class_cd,it_remarks) values</v>
      </c>
      <c r="G423" s="32" t="str">
        <f t="shared" si="26"/>
        <v>('29Oct240041','050000812502','-8098',(select max(to_number(i.premium_rcv_detail_code))+1
from ins_premium_det i),'-8098','-8098','02', '11000003','00','Request by Mr. Saqib Saleem 30-Oct-2024');</v>
      </c>
      <c r="H423" s="33" t="str">
        <f t="shared" si="27"/>
        <v>insert into ins_premium_det (premium_rcv_code,assorted_code, rec_amount,premium_rcv_detail_code,remaining_amt, payrec, mode_code,coinsurance_code,class_cd,it_remarks) values('29Oct240041','050000812502','-8098',(select max(to_number(i.premium_rcv_detail_code))+1
from ins_premium_det i),'-8098','-8098','02', '11000003','00','Request by Mr. Saqib Saleem 30-Oct-2024');</v>
      </c>
    </row>
    <row r="424" spans="1:8" ht="105" x14ac:dyDescent="0.25">
      <c r="A424" s="18" t="s">
        <v>6976</v>
      </c>
      <c r="B424" s="29" t="str">
        <f>VLOOKUP(A424,Sheet5!B:C,2,0)</f>
        <v>050000812390</v>
      </c>
      <c r="C424" s="20">
        <v>-4062.5</v>
      </c>
      <c r="D424" s="30">
        <f t="shared" si="25"/>
        <v>-4063</v>
      </c>
      <c r="E424" s="36" t="s">
        <v>7824</v>
      </c>
      <c r="F424" s="31" t="str">
        <f t="shared" si="24"/>
        <v>insert into ins_premium_det (premium_rcv_code,assorted_code, rec_amount,premium_rcv_detail_code,remaining_amt, payrec, mode_code,coinsurance_code,class_cd,it_remarks) values</v>
      </c>
      <c r="G424" s="32" t="str">
        <f t="shared" si="26"/>
        <v>('29Oct240041','050000812390','-4063',(select max(to_number(i.premium_rcv_detail_code))+1
from ins_premium_det i),'-4063','-4063','02', '11000003','00','Request by Mr. Saqib Saleem 30-Oct-2024');</v>
      </c>
      <c r="H424" s="33" t="str">
        <f t="shared" si="27"/>
        <v>insert into ins_premium_det (premium_rcv_code,assorted_code, rec_amount,premium_rcv_detail_code,remaining_amt, payrec, mode_code,coinsurance_code,class_cd,it_remarks) values('29Oct240041','050000812390','-4063',(select max(to_number(i.premium_rcv_detail_code))+1
from ins_premium_det i),'-4063','-4063','02', '11000003','00','Request by Mr. Saqib Saleem 30-Oct-2024');</v>
      </c>
    </row>
    <row r="425" spans="1:8" ht="105" x14ac:dyDescent="0.25">
      <c r="A425" s="18" t="s">
        <v>6977</v>
      </c>
      <c r="B425" s="29" t="str">
        <f>VLOOKUP(A425,Sheet5!B:C,2,0)</f>
        <v>050000812504</v>
      </c>
      <c r="C425" s="20">
        <v>3092</v>
      </c>
      <c r="D425" s="30">
        <f t="shared" si="25"/>
        <v>3092</v>
      </c>
      <c r="E425" s="36" t="s">
        <v>7824</v>
      </c>
      <c r="F425" s="31" t="str">
        <f t="shared" si="24"/>
        <v>insert into ins_premium_det (premium_rcv_code,assorted_code, rec_amount,premium_rcv_detail_code,remaining_amt, payrec, mode_code,coinsurance_code,class_cd,it_remarks) values</v>
      </c>
      <c r="G425" s="32" t="str">
        <f t="shared" si="26"/>
        <v>('29Oct240041','050000812504','3092',(select max(to_number(i.premium_rcv_detail_code))+1
from ins_premium_det i),'3092','3092','02', '11000003','00','Request by Mr. Saqib Saleem 30-Oct-2024');</v>
      </c>
      <c r="H425" s="33" t="str">
        <f t="shared" si="27"/>
        <v>insert into ins_premium_det (premium_rcv_code,assorted_code, rec_amount,premium_rcv_detail_code,remaining_amt, payrec, mode_code,coinsurance_code,class_cd,it_remarks) values('29Oct240041','050000812504','3092',(select max(to_number(i.premium_rcv_detail_code))+1
from ins_premium_det i),'3092','3092','02', '11000003','00','Request by Mr. Saqib Saleem 30-Oct-2024');</v>
      </c>
    </row>
    <row r="426" spans="1:8" ht="105" x14ac:dyDescent="0.25">
      <c r="A426" s="18" t="s">
        <v>6978</v>
      </c>
      <c r="B426" s="29" t="str">
        <f>VLOOKUP(A426,Sheet5!B:C,2,0)</f>
        <v>050000812397</v>
      </c>
      <c r="C426" s="20">
        <v>-3938</v>
      </c>
      <c r="D426" s="30">
        <f t="shared" si="25"/>
        <v>-3938</v>
      </c>
      <c r="E426" s="36" t="s">
        <v>7824</v>
      </c>
      <c r="F426" s="31" t="str">
        <f t="shared" si="24"/>
        <v>insert into ins_premium_det (premium_rcv_code,assorted_code, rec_amount,premium_rcv_detail_code,remaining_amt, payrec, mode_code,coinsurance_code,class_cd,it_remarks) values</v>
      </c>
      <c r="G426" s="32" t="str">
        <f t="shared" si="26"/>
        <v>('29Oct240041','050000812397','-3938',(select max(to_number(i.premium_rcv_detail_code))+1
from ins_premium_det i),'-3938','-3938','02', '11000003','00','Request by Mr. Saqib Saleem 30-Oct-2024');</v>
      </c>
      <c r="H426" s="33" t="str">
        <f t="shared" si="27"/>
        <v>insert into ins_premium_det (premium_rcv_code,assorted_code, rec_amount,premium_rcv_detail_code,remaining_amt, payrec, mode_code,coinsurance_code,class_cd,it_remarks) values('29Oct240041','050000812397','-3938',(select max(to_number(i.premium_rcv_detail_code))+1
from ins_premium_det i),'-3938','-3938','02', '11000003','00','Request by Mr. Saqib Saleem 30-Oct-2024');</v>
      </c>
    </row>
    <row r="427" spans="1:8" ht="105" x14ac:dyDescent="0.25">
      <c r="A427" s="18" t="s">
        <v>6979</v>
      </c>
      <c r="B427" s="29" t="str">
        <f>VLOOKUP(A427,Sheet5!B:C,2,0)</f>
        <v>050000812505</v>
      </c>
      <c r="C427" s="20">
        <v>3016</v>
      </c>
      <c r="D427" s="30">
        <f t="shared" si="25"/>
        <v>3016</v>
      </c>
      <c r="E427" s="36" t="s">
        <v>7824</v>
      </c>
      <c r="F427" s="31" t="str">
        <f t="shared" si="24"/>
        <v>insert into ins_premium_det (premium_rcv_code,assorted_code, rec_amount,premium_rcv_detail_code,remaining_amt, payrec, mode_code,coinsurance_code,class_cd,it_remarks) values</v>
      </c>
      <c r="G427" s="32" t="str">
        <f t="shared" si="26"/>
        <v>('29Oct240041','050000812505','3016',(select max(to_number(i.premium_rcv_detail_code))+1
from ins_premium_det i),'3016','3016','02', '11000003','00','Request by Mr. Saqib Saleem 30-Oct-2024');</v>
      </c>
      <c r="H427" s="33" t="str">
        <f t="shared" si="27"/>
        <v>insert into ins_premium_det (premium_rcv_code,assorted_code, rec_amount,premium_rcv_detail_code,remaining_amt, payrec, mode_code,coinsurance_code,class_cd,it_remarks) values('29Oct240041','050000812505','3016',(select max(to_number(i.premium_rcv_detail_code))+1
from ins_premium_det i),'3016','3016','02', '11000003','00','Request by Mr. Saqib Saleem 30-Oct-2024');</v>
      </c>
    </row>
    <row r="428" spans="1:8" ht="105" x14ac:dyDescent="0.25">
      <c r="A428" s="18" t="s">
        <v>6980</v>
      </c>
      <c r="B428" s="29" t="str">
        <f>VLOOKUP(A428,Sheet5!B:C,2,0)</f>
        <v>050000812401</v>
      </c>
      <c r="C428" s="20">
        <v>-8145.5</v>
      </c>
      <c r="D428" s="30">
        <f t="shared" si="25"/>
        <v>-8146</v>
      </c>
      <c r="E428" s="36" t="s">
        <v>7824</v>
      </c>
      <c r="F428" s="31" t="str">
        <f t="shared" si="24"/>
        <v>insert into ins_premium_det (premium_rcv_code,assorted_code, rec_amount,premium_rcv_detail_code,remaining_amt, payrec, mode_code,coinsurance_code,class_cd,it_remarks) values</v>
      </c>
      <c r="G428" s="32" t="str">
        <f t="shared" si="26"/>
        <v>('29Oct240041','050000812401','-8146',(select max(to_number(i.premium_rcv_detail_code))+1
from ins_premium_det i),'-8146','-8146','02', '11000003','00','Request by Mr. Saqib Saleem 30-Oct-2024');</v>
      </c>
      <c r="H428" s="33" t="str">
        <f t="shared" si="27"/>
        <v>insert into ins_premium_det (premium_rcv_code,assorted_code, rec_amount,premium_rcv_detail_code,remaining_amt, payrec, mode_code,coinsurance_code,class_cd,it_remarks) values('29Oct240041','050000812401','-8146',(select max(to_number(i.premium_rcv_detail_code))+1
from ins_premium_det i),'-8146','-8146','02', '11000003','00','Request by Mr. Saqib Saleem 30-Oct-2024');</v>
      </c>
    </row>
    <row r="429" spans="1:8" ht="105" x14ac:dyDescent="0.25">
      <c r="A429" s="18" t="s">
        <v>6981</v>
      </c>
      <c r="B429" s="29" t="str">
        <f>VLOOKUP(A429,Sheet5!B:C,2,0)</f>
        <v>050000812402</v>
      </c>
      <c r="C429" s="20">
        <v>-8287.75</v>
      </c>
      <c r="D429" s="30">
        <f t="shared" si="25"/>
        <v>-8288</v>
      </c>
      <c r="E429" s="36" t="s">
        <v>7824</v>
      </c>
      <c r="F429" s="31" t="str">
        <f t="shared" si="24"/>
        <v>insert into ins_premium_det (premium_rcv_code,assorted_code, rec_amount,premium_rcv_detail_code,remaining_amt, payrec, mode_code,coinsurance_code,class_cd,it_remarks) values</v>
      </c>
      <c r="G429" s="32" t="str">
        <f t="shared" si="26"/>
        <v>('29Oct240041','050000812402','-8288',(select max(to_number(i.premium_rcv_detail_code))+1
from ins_premium_det i),'-8288','-8288','02', '11000003','00','Request by Mr. Saqib Saleem 30-Oct-2024');</v>
      </c>
      <c r="H429" s="33" t="str">
        <f t="shared" si="27"/>
        <v>insert into ins_premium_det (premium_rcv_code,assorted_code, rec_amount,premium_rcv_detail_code,remaining_amt, payrec, mode_code,coinsurance_code,class_cd,it_remarks) values('29Oct240041','050000812402','-8288',(select max(to_number(i.premium_rcv_detail_code))+1
from ins_premium_det i),'-8288','-8288','02', '11000003','00','Request by Mr. Saqib Saleem 30-Oct-2024');</v>
      </c>
    </row>
    <row r="430" spans="1:8" ht="105" x14ac:dyDescent="0.25">
      <c r="A430" s="18" t="s">
        <v>6982</v>
      </c>
      <c r="B430" s="29" t="str">
        <f>VLOOKUP(A430,Sheet5!B:C,2,0)</f>
        <v>050000812407</v>
      </c>
      <c r="C430" s="20">
        <v>-6298</v>
      </c>
      <c r="D430" s="30">
        <f t="shared" si="25"/>
        <v>-6298</v>
      </c>
      <c r="E430" s="36" t="s">
        <v>7824</v>
      </c>
      <c r="F430" s="31" t="str">
        <f t="shared" si="24"/>
        <v>insert into ins_premium_det (premium_rcv_code,assorted_code, rec_amount,premium_rcv_detail_code,remaining_amt, payrec, mode_code,coinsurance_code,class_cd,it_remarks) values</v>
      </c>
      <c r="G430" s="32" t="str">
        <f t="shared" si="26"/>
        <v>('29Oct240041','050000812407','-6298',(select max(to_number(i.premium_rcv_detail_code))+1
from ins_premium_det i),'-6298','-6298','02', '11000003','00','Request by Mr. Saqib Saleem 30-Oct-2024');</v>
      </c>
      <c r="H430" s="33" t="str">
        <f t="shared" si="27"/>
        <v>insert into ins_premium_det (premium_rcv_code,assorted_code, rec_amount,premium_rcv_detail_code,remaining_amt, payrec, mode_code,coinsurance_code,class_cd,it_remarks) values('29Oct240041','050000812407','-6298',(select max(to_number(i.premium_rcv_detail_code))+1
from ins_premium_det i),'-6298','-6298','02', '11000003','00','Request by Mr. Saqib Saleem 30-Oct-2024');</v>
      </c>
    </row>
    <row r="431" spans="1:8" ht="105" x14ac:dyDescent="0.25">
      <c r="A431" s="18" t="s">
        <v>6983</v>
      </c>
      <c r="B431" s="29" t="str">
        <f>VLOOKUP(A431,Sheet5!B:C,2,0)</f>
        <v>050000812408</v>
      </c>
      <c r="C431" s="20">
        <v>-3095</v>
      </c>
      <c r="D431" s="30">
        <f t="shared" si="25"/>
        <v>-3095</v>
      </c>
      <c r="E431" s="36" t="s">
        <v>7824</v>
      </c>
      <c r="F431" s="31" t="str">
        <f t="shared" si="24"/>
        <v>insert into ins_premium_det (premium_rcv_code,assorted_code, rec_amount,premium_rcv_detail_code,remaining_amt, payrec, mode_code,coinsurance_code,class_cd,it_remarks) values</v>
      </c>
      <c r="G431" s="32" t="str">
        <f t="shared" si="26"/>
        <v>('29Oct240041','050000812408','-3095',(select max(to_number(i.premium_rcv_detail_code))+1
from ins_premium_det i),'-3095','-3095','02', '11000003','00','Request by Mr. Saqib Saleem 30-Oct-2024');</v>
      </c>
      <c r="H431" s="33" t="str">
        <f t="shared" si="27"/>
        <v>insert into ins_premium_det (premium_rcv_code,assorted_code, rec_amount,premium_rcv_detail_code,remaining_amt, payrec, mode_code,coinsurance_code,class_cd,it_remarks) values('29Oct240041','050000812408','-3095',(select max(to_number(i.premium_rcv_detail_code))+1
from ins_premium_det i),'-3095','-3095','02', '11000003','00','Request by Mr. Saqib Saleem 30-Oct-2024');</v>
      </c>
    </row>
    <row r="432" spans="1:8" ht="105" x14ac:dyDescent="0.25">
      <c r="A432" s="18" t="s">
        <v>6984</v>
      </c>
      <c r="B432" s="29" t="str">
        <f>VLOOKUP(A432,Sheet5!B:C,2,0)</f>
        <v>050000812518</v>
      </c>
      <c r="C432" s="20">
        <v>-2747.75</v>
      </c>
      <c r="D432" s="30">
        <f t="shared" si="25"/>
        <v>-2748</v>
      </c>
      <c r="E432" s="36" t="s">
        <v>7824</v>
      </c>
      <c r="F432" s="31" t="str">
        <f t="shared" si="24"/>
        <v>insert into ins_premium_det (premium_rcv_code,assorted_code, rec_amount,premium_rcv_detail_code,remaining_amt, payrec, mode_code,coinsurance_code,class_cd,it_remarks) values</v>
      </c>
      <c r="G432" s="32" t="str">
        <f t="shared" si="26"/>
        <v>('29Oct240041','050000812518','-2748',(select max(to_number(i.premium_rcv_detail_code))+1
from ins_premium_det i),'-2748','-2748','02', '11000003','00','Request by Mr. Saqib Saleem 30-Oct-2024');</v>
      </c>
      <c r="H432" s="33" t="str">
        <f t="shared" si="27"/>
        <v>insert into ins_premium_det (premium_rcv_code,assorted_code, rec_amount,premium_rcv_detail_code,remaining_amt, payrec, mode_code,coinsurance_code,class_cd,it_remarks) values('29Oct240041','050000812518','-2748',(select max(to_number(i.premium_rcv_detail_code))+1
from ins_premium_det i),'-2748','-2748','02', '11000003','00','Request by Mr. Saqib Saleem 30-Oct-2024');</v>
      </c>
    </row>
    <row r="433" spans="1:8" ht="105" x14ac:dyDescent="0.25">
      <c r="A433" s="18" t="s">
        <v>6985</v>
      </c>
      <c r="B433" s="29" t="str">
        <f>VLOOKUP(A433,Sheet5!B:C,2,0)</f>
        <v>050000812521</v>
      </c>
      <c r="C433" s="20">
        <v>1113</v>
      </c>
      <c r="D433" s="30">
        <f t="shared" si="25"/>
        <v>1113</v>
      </c>
      <c r="E433" s="36" t="s">
        <v>7824</v>
      </c>
      <c r="F433" s="31" t="str">
        <f t="shared" si="24"/>
        <v>insert into ins_premium_det (premium_rcv_code,assorted_code, rec_amount,premium_rcv_detail_code,remaining_amt, payrec, mode_code,coinsurance_code,class_cd,it_remarks) values</v>
      </c>
      <c r="G433" s="32" t="str">
        <f t="shared" si="26"/>
        <v>('29Oct240041','050000812521','1113',(select max(to_number(i.premium_rcv_detail_code))+1
from ins_premium_det i),'1113','1113','02', '11000003','00','Request by Mr. Saqib Saleem 30-Oct-2024');</v>
      </c>
      <c r="H433" s="33" t="str">
        <f t="shared" si="27"/>
        <v>insert into ins_premium_det (premium_rcv_code,assorted_code, rec_amount,premium_rcv_detail_code,remaining_amt, payrec, mode_code,coinsurance_code,class_cd,it_remarks) values('29Oct240041','050000812521','1113',(select max(to_number(i.premium_rcv_detail_code))+1
from ins_premium_det i),'1113','1113','02', '11000003','00','Request by Mr. Saqib Saleem 30-Oct-2024');</v>
      </c>
    </row>
    <row r="434" spans="1:8" ht="105" x14ac:dyDescent="0.25">
      <c r="A434" s="18" t="s">
        <v>6986</v>
      </c>
      <c r="B434" s="29" t="str">
        <f>VLOOKUP(A434,Sheet5!B:C,2,0)</f>
        <v>050000812415</v>
      </c>
      <c r="C434" s="20">
        <v>-4040</v>
      </c>
      <c r="D434" s="30">
        <f t="shared" si="25"/>
        <v>-4040</v>
      </c>
      <c r="E434" s="36" t="s">
        <v>7824</v>
      </c>
      <c r="F434" s="31" t="str">
        <f t="shared" si="24"/>
        <v>insert into ins_premium_det (premium_rcv_code,assorted_code, rec_amount,premium_rcv_detail_code,remaining_amt, payrec, mode_code,coinsurance_code,class_cd,it_remarks) values</v>
      </c>
      <c r="G434" s="32" t="str">
        <f t="shared" si="26"/>
        <v>('29Oct240041','050000812415','-4040',(select max(to_number(i.premium_rcv_detail_code))+1
from ins_premium_det i),'-4040','-4040','02', '11000003','00','Request by Mr. Saqib Saleem 30-Oct-2024');</v>
      </c>
      <c r="H434" s="33" t="str">
        <f t="shared" si="27"/>
        <v>insert into ins_premium_det (premium_rcv_code,assorted_code, rec_amount,premium_rcv_detail_code,remaining_amt, payrec, mode_code,coinsurance_code,class_cd,it_remarks) values('29Oct240041','050000812415','-4040',(select max(to_number(i.premium_rcv_detail_code))+1
from ins_premium_det i),'-4040','-4040','02', '11000003','00','Request by Mr. Saqib Saleem 30-Oct-2024');</v>
      </c>
    </row>
    <row r="435" spans="1:8" ht="105" x14ac:dyDescent="0.25">
      <c r="A435" s="18" t="s">
        <v>6987</v>
      </c>
      <c r="B435" s="29" t="str">
        <f>VLOOKUP(A435,Sheet5!B:C,2,0)</f>
        <v>050000812417</v>
      </c>
      <c r="C435" s="20">
        <v>-2796</v>
      </c>
      <c r="D435" s="30">
        <f t="shared" si="25"/>
        <v>-2796</v>
      </c>
      <c r="E435" s="36" t="s">
        <v>7824</v>
      </c>
      <c r="F435" s="31" t="str">
        <f t="shared" si="24"/>
        <v>insert into ins_premium_det (premium_rcv_code,assorted_code, rec_amount,premium_rcv_detail_code,remaining_amt, payrec, mode_code,coinsurance_code,class_cd,it_remarks) values</v>
      </c>
      <c r="G435" s="32" t="str">
        <f t="shared" si="26"/>
        <v>('29Oct240041','050000812417','-2796',(select max(to_number(i.premium_rcv_detail_code))+1
from ins_premium_det i),'-2796','-2796','02', '11000003','00','Request by Mr. Saqib Saleem 30-Oct-2024');</v>
      </c>
      <c r="H435" s="33" t="str">
        <f t="shared" si="27"/>
        <v>insert into ins_premium_det (premium_rcv_code,assorted_code, rec_amount,premium_rcv_detail_code,remaining_amt, payrec, mode_code,coinsurance_code,class_cd,it_remarks) values('29Oct240041','050000812417','-2796',(select max(to_number(i.premium_rcv_detail_code))+1
from ins_premium_det i),'-2796','-2796','02', '11000003','00','Request by Mr. Saqib Saleem 30-Oct-2024');</v>
      </c>
    </row>
    <row r="436" spans="1:8" ht="105" x14ac:dyDescent="0.25">
      <c r="A436" s="18" t="s">
        <v>6988</v>
      </c>
      <c r="B436" s="29" t="str">
        <f>VLOOKUP(A436,Sheet5!B:C,2,0)</f>
        <v>050000812524</v>
      </c>
      <c r="C436" s="20">
        <v>2140</v>
      </c>
      <c r="D436" s="30">
        <f t="shared" si="25"/>
        <v>2140</v>
      </c>
      <c r="E436" s="36" t="s">
        <v>7824</v>
      </c>
      <c r="F436" s="31" t="str">
        <f t="shared" si="24"/>
        <v>insert into ins_premium_det (premium_rcv_code,assorted_code, rec_amount,premium_rcv_detail_code,remaining_amt, payrec, mode_code,coinsurance_code,class_cd,it_remarks) values</v>
      </c>
      <c r="G436" s="32" t="str">
        <f t="shared" si="26"/>
        <v>('29Oct240041','050000812524','2140',(select max(to_number(i.premium_rcv_detail_code))+1
from ins_premium_det i),'2140','2140','02', '11000003','00','Request by Mr. Saqib Saleem 30-Oct-2024');</v>
      </c>
      <c r="H436" s="33" t="str">
        <f t="shared" si="27"/>
        <v>insert into ins_premium_det (premium_rcv_code,assorted_code, rec_amount,premium_rcv_detail_code,remaining_amt, payrec, mode_code,coinsurance_code,class_cd,it_remarks) values('29Oct240041','050000812524','2140',(select max(to_number(i.premium_rcv_detail_code))+1
from ins_premium_det i),'2140','2140','02', '11000003','00','Request by Mr. Saqib Saleem 30-Oct-2024');</v>
      </c>
    </row>
    <row r="437" spans="1:8" ht="105" x14ac:dyDescent="0.25">
      <c r="A437" s="18" t="s">
        <v>6989</v>
      </c>
      <c r="B437" s="29" t="str">
        <f>VLOOKUP(A437,Sheet5!B:C,2,0)</f>
        <v>050000812526</v>
      </c>
      <c r="C437" s="20">
        <v>-4210.25</v>
      </c>
      <c r="D437" s="30">
        <f t="shared" si="25"/>
        <v>-4210</v>
      </c>
      <c r="E437" s="36" t="s">
        <v>7824</v>
      </c>
      <c r="F437" s="31" t="str">
        <f t="shared" si="24"/>
        <v>insert into ins_premium_det (premium_rcv_code,assorted_code, rec_amount,premium_rcv_detail_code,remaining_amt, payrec, mode_code,coinsurance_code,class_cd,it_remarks) values</v>
      </c>
      <c r="G437" s="32" t="str">
        <f t="shared" si="26"/>
        <v>('29Oct240041','050000812526','-4210',(select max(to_number(i.premium_rcv_detail_code))+1
from ins_premium_det i),'-4210','-4210','02', '11000003','00','Request by Mr. Saqib Saleem 30-Oct-2024');</v>
      </c>
      <c r="H437" s="33" t="str">
        <f t="shared" si="27"/>
        <v>insert into ins_premium_det (premium_rcv_code,assorted_code, rec_amount,premium_rcv_detail_code,remaining_amt, payrec, mode_code,coinsurance_code,class_cd,it_remarks) values('29Oct240041','050000812526','-4210',(select max(to_number(i.premium_rcv_detail_code))+1
from ins_premium_det i),'-4210','-4210','02', '11000003','00','Request by Mr. Saqib Saleem 30-Oct-2024');</v>
      </c>
    </row>
    <row r="438" spans="1:8" ht="105" x14ac:dyDescent="0.25">
      <c r="A438" s="18" t="s">
        <v>6990</v>
      </c>
      <c r="B438" s="29" t="str">
        <f>VLOOKUP(A438,Sheet5!B:C,2,0)</f>
        <v>050000812528</v>
      </c>
      <c r="C438" s="20">
        <v>-7395.5</v>
      </c>
      <c r="D438" s="30">
        <f t="shared" si="25"/>
        <v>-7396</v>
      </c>
      <c r="E438" s="36" t="s">
        <v>7824</v>
      </c>
      <c r="F438" s="31" t="str">
        <f t="shared" si="24"/>
        <v>insert into ins_premium_det (premium_rcv_code,assorted_code, rec_amount,premium_rcv_detail_code,remaining_amt, payrec, mode_code,coinsurance_code,class_cd,it_remarks) values</v>
      </c>
      <c r="G438" s="32" t="str">
        <f t="shared" si="26"/>
        <v>('29Oct240041','050000812528','-7396',(select max(to_number(i.premium_rcv_detail_code))+1
from ins_premium_det i),'-7396','-7396','02', '11000003','00','Request by Mr. Saqib Saleem 30-Oct-2024');</v>
      </c>
      <c r="H438" s="33" t="str">
        <f t="shared" si="27"/>
        <v>insert into ins_premium_det (premium_rcv_code,assorted_code, rec_amount,premium_rcv_detail_code,remaining_amt, payrec, mode_code,coinsurance_code,class_cd,it_remarks) values('29Oct240041','050000812528','-7396',(select max(to_number(i.premium_rcv_detail_code))+1
from ins_premium_det i),'-7396','-7396','02', '11000003','00','Request by Mr. Saqib Saleem 30-Oct-2024');</v>
      </c>
    </row>
    <row r="439" spans="1:8" ht="105" x14ac:dyDescent="0.25">
      <c r="A439" s="18" t="s">
        <v>6991</v>
      </c>
      <c r="B439" s="29" t="str">
        <f>VLOOKUP(A439,Sheet5!B:C,2,0)</f>
        <v>050000812420</v>
      </c>
      <c r="C439" s="20">
        <v>-3600</v>
      </c>
      <c r="D439" s="30">
        <f t="shared" si="25"/>
        <v>-3600</v>
      </c>
      <c r="E439" s="36" t="s">
        <v>7824</v>
      </c>
      <c r="F439" s="31" t="str">
        <f t="shared" si="24"/>
        <v>insert into ins_premium_det (premium_rcv_code,assorted_code, rec_amount,premium_rcv_detail_code,remaining_amt, payrec, mode_code,coinsurance_code,class_cd,it_remarks) values</v>
      </c>
      <c r="G439" s="32" t="str">
        <f t="shared" si="26"/>
        <v>('29Oct240041','050000812420','-3600',(select max(to_number(i.premium_rcv_detail_code))+1
from ins_premium_det i),'-3600','-3600','02', '11000003','00','Request by Mr. Saqib Saleem 30-Oct-2024');</v>
      </c>
      <c r="H439" s="33" t="str">
        <f t="shared" si="27"/>
        <v>insert into ins_premium_det (premium_rcv_code,assorted_code, rec_amount,premium_rcv_detail_code,remaining_amt, payrec, mode_code,coinsurance_code,class_cd,it_remarks) values('29Oct240041','050000812420','-3600',(select max(to_number(i.premium_rcv_detail_code))+1
from ins_premium_det i),'-3600','-3600','02', '11000003','00','Request by Mr. Saqib Saleem 30-Oct-2024');</v>
      </c>
    </row>
    <row r="440" spans="1:8" ht="105" x14ac:dyDescent="0.25">
      <c r="A440" s="18" t="s">
        <v>6992</v>
      </c>
      <c r="B440" s="29" t="str">
        <f>VLOOKUP(A440,Sheet5!B:C,2,0)</f>
        <v>050000812425</v>
      </c>
      <c r="C440" s="20">
        <v>4837.75</v>
      </c>
      <c r="D440" s="30">
        <f t="shared" si="25"/>
        <v>4838</v>
      </c>
      <c r="E440" s="36" t="s">
        <v>7824</v>
      </c>
      <c r="F440" s="31" t="str">
        <f t="shared" si="24"/>
        <v>insert into ins_premium_det (premium_rcv_code,assorted_code, rec_amount,premium_rcv_detail_code,remaining_amt, payrec, mode_code,coinsurance_code,class_cd,it_remarks) values</v>
      </c>
      <c r="G440" s="32" t="str">
        <f t="shared" si="26"/>
        <v>('29Oct240041','050000812425','4838',(select max(to_number(i.premium_rcv_detail_code))+1
from ins_premium_det i),'4838','4838','02', '11000003','00','Request by Mr. Saqib Saleem 30-Oct-2024');</v>
      </c>
      <c r="H440" s="33" t="str">
        <f t="shared" si="27"/>
        <v>insert into ins_premium_det (premium_rcv_code,assorted_code, rec_amount,premium_rcv_detail_code,remaining_amt, payrec, mode_code,coinsurance_code,class_cd,it_remarks) values('29Oct240041','050000812425','4838',(select max(to_number(i.premium_rcv_detail_code))+1
from ins_premium_det i),'4838','4838','02', '11000003','00','Request by Mr. Saqib Saleem 30-Oct-2024');</v>
      </c>
    </row>
    <row r="441" spans="1:8" ht="105" x14ac:dyDescent="0.25">
      <c r="A441" s="18" t="s">
        <v>6993</v>
      </c>
      <c r="B441" s="29" t="str">
        <f>VLOOKUP(A441,Sheet5!B:C,2,0)</f>
        <v>050000812427</v>
      </c>
      <c r="C441" s="20">
        <v>5798</v>
      </c>
      <c r="D441" s="30">
        <f t="shared" si="25"/>
        <v>5798</v>
      </c>
      <c r="E441" s="36" t="s">
        <v>7824</v>
      </c>
      <c r="F441" s="31" t="str">
        <f t="shared" si="24"/>
        <v>insert into ins_premium_det (premium_rcv_code,assorted_code, rec_amount,premium_rcv_detail_code,remaining_amt, payrec, mode_code,coinsurance_code,class_cd,it_remarks) values</v>
      </c>
      <c r="G441" s="32" t="str">
        <f t="shared" si="26"/>
        <v>('29Oct240041','050000812427','5798',(select max(to_number(i.premium_rcv_detail_code))+1
from ins_premium_det i),'5798','5798','02', '11000003','00','Request by Mr. Saqib Saleem 30-Oct-2024');</v>
      </c>
      <c r="H441" s="33" t="str">
        <f t="shared" si="27"/>
        <v>insert into ins_premium_det (premium_rcv_code,assorted_code, rec_amount,premium_rcv_detail_code,remaining_amt, payrec, mode_code,coinsurance_code,class_cd,it_remarks) values('29Oct240041','050000812427','5798',(select max(to_number(i.premium_rcv_detail_code))+1
from ins_premium_det i),'5798','5798','02', '11000003','00','Request by Mr. Saqib Saleem 30-Oct-2024');</v>
      </c>
    </row>
    <row r="442" spans="1:8" ht="105" x14ac:dyDescent="0.25">
      <c r="A442" s="18" t="s">
        <v>6994</v>
      </c>
      <c r="B442" s="29" t="str">
        <f>VLOOKUP(A442,Sheet5!B:C,2,0)</f>
        <v>050000812428</v>
      </c>
      <c r="C442" s="20">
        <v>3494</v>
      </c>
      <c r="D442" s="30">
        <f t="shared" si="25"/>
        <v>3494</v>
      </c>
      <c r="E442" s="36" t="s">
        <v>7824</v>
      </c>
      <c r="F442" s="31" t="str">
        <f t="shared" si="24"/>
        <v>insert into ins_premium_det (premium_rcv_code,assorted_code, rec_amount,premium_rcv_detail_code,remaining_amt, payrec, mode_code,coinsurance_code,class_cd,it_remarks) values</v>
      </c>
      <c r="G442" s="32" t="str">
        <f t="shared" si="26"/>
        <v>('29Oct240041','050000812428','3494',(select max(to_number(i.premium_rcv_detail_code))+1
from ins_premium_det i),'3494','3494','02', '11000003','00','Request by Mr. Saqib Saleem 30-Oct-2024');</v>
      </c>
      <c r="H442" s="33" t="str">
        <f t="shared" si="27"/>
        <v>insert into ins_premium_det (premium_rcv_code,assorted_code, rec_amount,premium_rcv_detail_code,remaining_amt, payrec, mode_code,coinsurance_code,class_cd,it_remarks) values('29Oct240041','050000812428','3494',(select max(to_number(i.premium_rcv_detail_code))+1
from ins_premium_det i),'3494','3494','02', '11000003','00','Request by Mr. Saqib Saleem 30-Oct-2024');</v>
      </c>
    </row>
    <row r="443" spans="1:8" ht="105" x14ac:dyDescent="0.25">
      <c r="A443" s="18" t="s">
        <v>6995</v>
      </c>
      <c r="B443" s="29" t="str">
        <f>VLOOKUP(A443,Sheet5!B:C,2,0)</f>
        <v>050000812429</v>
      </c>
      <c r="C443" s="20">
        <v>2992.2500000000036</v>
      </c>
      <c r="D443" s="30">
        <f t="shared" si="25"/>
        <v>2992</v>
      </c>
      <c r="E443" s="36" t="s">
        <v>7824</v>
      </c>
      <c r="F443" s="31" t="str">
        <f t="shared" si="24"/>
        <v>insert into ins_premium_det (premium_rcv_code,assorted_code, rec_amount,premium_rcv_detail_code,remaining_amt, payrec, mode_code,coinsurance_code,class_cd,it_remarks) values</v>
      </c>
      <c r="G443" s="32" t="str">
        <f t="shared" si="26"/>
        <v>('29Oct240041','050000812429','2992',(select max(to_number(i.premium_rcv_detail_code))+1
from ins_premium_det i),'2992','2992','02', '11000003','00','Request by Mr. Saqib Saleem 30-Oct-2024');</v>
      </c>
      <c r="H443" s="33" t="str">
        <f t="shared" si="27"/>
        <v>insert into ins_premium_det (premium_rcv_code,assorted_code, rec_amount,premium_rcv_detail_code,remaining_amt, payrec, mode_code,coinsurance_code,class_cd,it_remarks) values('29Oct240041','050000812429','2992',(select max(to_number(i.premium_rcv_detail_code))+1
from ins_premium_det i),'2992','2992','02', '11000003','00','Request by Mr. Saqib Saleem 30-Oct-2024');</v>
      </c>
    </row>
    <row r="444" spans="1:8" ht="105" x14ac:dyDescent="0.25">
      <c r="A444" s="18" t="s">
        <v>6996</v>
      </c>
      <c r="B444" s="29" t="str">
        <f>VLOOKUP(A444,Sheet5!B:C,2,0)</f>
        <v>050000812544</v>
      </c>
      <c r="C444" s="20">
        <v>-2678</v>
      </c>
      <c r="D444" s="30">
        <f t="shared" si="25"/>
        <v>-2678</v>
      </c>
      <c r="E444" s="36" t="s">
        <v>7824</v>
      </c>
      <c r="F444" s="31" t="str">
        <f t="shared" si="24"/>
        <v>insert into ins_premium_det (premium_rcv_code,assorted_code, rec_amount,premium_rcv_detail_code,remaining_amt, payrec, mode_code,coinsurance_code,class_cd,it_remarks) values</v>
      </c>
      <c r="G444" s="32" t="str">
        <f t="shared" si="26"/>
        <v>('29Oct240041','050000812544','-2678',(select max(to_number(i.premium_rcv_detail_code))+1
from ins_premium_det i),'-2678','-2678','02', '11000003','00','Request by Mr. Saqib Saleem 30-Oct-2024');</v>
      </c>
      <c r="H444" s="33" t="str">
        <f t="shared" si="27"/>
        <v>insert into ins_premium_det (premium_rcv_code,assorted_code, rec_amount,premium_rcv_detail_code,remaining_amt, payrec, mode_code,coinsurance_code,class_cd,it_remarks) values('29Oct240041','050000812544','-2678',(select max(to_number(i.premium_rcv_detail_code))+1
from ins_premium_det i),'-2678','-2678','02', '11000003','00','Request by Mr. Saqib Saleem 30-Oct-2024');</v>
      </c>
    </row>
    <row r="445" spans="1:8" ht="105" x14ac:dyDescent="0.25">
      <c r="A445" s="18" t="s">
        <v>6997</v>
      </c>
      <c r="B445" s="29" t="str">
        <f>VLOOKUP(A445,Sheet5!B:C,2,0)</f>
        <v>050000812437</v>
      </c>
      <c r="C445" s="20">
        <v>2623</v>
      </c>
      <c r="D445" s="30">
        <f t="shared" si="25"/>
        <v>2623</v>
      </c>
      <c r="E445" s="36" t="s">
        <v>7824</v>
      </c>
      <c r="F445" s="31" t="str">
        <f t="shared" si="24"/>
        <v>insert into ins_premium_det (premium_rcv_code,assorted_code, rec_amount,premium_rcv_detail_code,remaining_amt, payrec, mode_code,coinsurance_code,class_cd,it_remarks) values</v>
      </c>
      <c r="G445" s="32" t="str">
        <f t="shared" si="26"/>
        <v>('29Oct240041','050000812437','2623',(select max(to_number(i.premium_rcv_detail_code))+1
from ins_premium_det i),'2623','2623','02', '11000003','00','Request by Mr. Saqib Saleem 30-Oct-2024');</v>
      </c>
      <c r="H445" s="33" t="str">
        <f t="shared" si="27"/>
        <v>insert into ins_premium_det (premium_rcv_code,assorted_code, rec_amount,premium_rcv_detail_code,remaining_amt, payrec, mode_code,coinsurance_code,class_cd,it_remarks) values('29Oct240041','050000812437','2623',(select max(to_number(i.premium_rcv_detail_code))+1
from ins_premium_det i),'2623','2623','02', '11000003','00','Request by Mr. Saqib Saleem 30-Oct-2024');</v>
      </c>
    </row>
    <row r="446" spans="1:8" ht="105" x14ac:dyDescent="0.25">
      <c r="A446" s="18" t="s">
        <v>6998</v>
      </c>
      <c r="B446" s="29" t="str">
        <f>VLOOKUP(A446,Sheet5!B:C,2,0)</f>
        <v>050000812543</v>
      </c>
      <c r="C446" s="20">
        <v>-3196</v>
      </c>
      <c r="D446" s="30">
        <f t="shared" si="25"/>
        <v>-3196</v>
      </c>
      <c r="E446" s="36" t="s">
        <v>7824</v>
      </c>
      <c r="F446" s="31" t="str">
        <f t="shared" si="24"/>
        <v>insert into ins_premium_det (premium_rcv_code,assorted_code, rec_amount,premium_rcv_detail_code,remaining_amt, payrec, mode_code,coinsurance_code,class_cd,it_remarks) values</v>
      </c>
      <c r="G446" s="32" t="str">
        <f t="shared" si="26"/>
        <v>('29Oct240041','050000812543','-3196',(select max(to_number(i.premium_rcv_detail_code))+1
from ins_premium_det i),'-3196','-3196','02', '11000003','00','Request by Mr. Saqib Saleem 30-Oct-2024');</v>
      </c>
      <c r="H446" s="33" t="str">
        <f t="shared" si="27"/>
        <v>insert into ins_premium_det (premium_rcv_code,assorted_code, rec_amount,premium_rcv_detail_code,remaining_amt, payrec, mode_code,coinsurance_code,class_cd,it_remarks) values('29Oct240041','050000812543','-3196',(select max(to_number(i.premium_rcv_detail_code))+1
from ins_premium_det i),'-3196','-3196','02', '11000003','00','Request by Mr. Saqib Saleem 30-Oct-2024');</v>
      </c>
    </row>
    <row r="447" spans="1:8" ht="105" x14ac:dyDescent="0.25">
      <c r="A447" s="18" t="s">
        <v>6999</v>
      </c>
      <c r="B447" s="29" t="str">
        <f>VLOOKUP(A447,Sheet5!B:C,2,0)</f>
        <v>050000812443</v>
      </c>
      <c r="C447" s="20">
        <v>-3585</v>
      </c>
      <c r="D447" s="30">
        <f t="shared" si="25"/>
        <v>-3585</v>
      </c>
      <c r="E447" s="36" t="s">
        <v>7824</v>
      </c>
      <c r="F447" s="31" t="str">
        <f t="shared" si="24"/>
        <v>insert into ins_premium_det (premium_rcv_code,assorted_code, rec_amount,premium_rcv_detail_code,remaining_amt, payrec, mode_code,coinsurance_code,class_cd,it_remarks) values</v>
      </c>
      <c r="G447" s="32" t="str">
        <f t="shared" si="26"/>
        <v>('29Oct240041','050000812443','-3585',(select max(to_number(i.premium_rcv_detail_code))+1
from ins_premium_det i),'-3585','-3585','02', '11000003','00','Request by Mr. Saqib Saleem 30-Oct-2024');</v>
      </c>
      <c r="H447" s="33" t="str">
        <f t="shared" si="27"/>
        <v>insert into ins_premium_det (premium_rcv_code,assorted_code, rec_amount,premium_rcv_detail_code,remaining_amt, payrec, mode_code,coinsurance_code,class_cd,it_remarks) values('29Oct240041','050000812443','-3585',(select max(to_number(i.premium_rcv_detail_code))+1
from ins_premium_det i),'-3585','-3585','02', '11000003','00','Request by Mr. Saqib Saleem 30-Oct-2024');</v>
      </c>
    </row>
    <row r="448" spans="1:8" ht="105" x14ac:dyDescent="0.25">
      <c r="A448" s="18" t="s">
        <v>7000</v>
      </c>
      <c r="B448" s="29" t="str">
        <f>VLOOKUP(A448,Sheet5!B:C,2,0)</f>
        <v>050000812541</v>
      </c>
      <c r="C448" s="20">
        <v>-3998</v>
      </c>
      <c r="D448" s="30">
        <f t="shared" si="25"/>
        <v>-3998</v>
      </c>
      <c r="E448" s="36" t="s">
        <v>7824</v>
      </c>
      <c r="F448" s="31" t="str">
        <f t="shared" si="24"/>
        <v>insert into ins_premium_det (premium_rcv_code,assorted_code, rec_amount,premium_rcv_detail_code,remaining_amt, payrec, mode_code,coinsurance_code,class_cd,it_remarks) values</v>
      </c>
      <c r="G448" s="32" t="str">
        <f t="shared" si="26"/>
        <v>('29Oct240041','050000812541','-3998',(select max(to_number(i.premium_rcv_detail_code))+1
from ins_premium_det i),'-3998','-3998','02', '11000003','00','Request by Mr. Saqib Saleem 30-Oct-2024');</v>
      </c>
      <c r="H448" s="33" t="str">
        <f t="shared" si="27"/>
        <v>insert into ins_premium_det (premium_rcv_code,assorted_code, rec_amount,premium_rcv_detail_code,remaining_amt, payrec, mode_code,coinsurance_code,class_cd,it_remarks) values('29Oct240041','050000812541','-3998',(select max(to_number(i.premium_rcv_detail_code))+1
from ins_premium_det i),'-3998','-3998','02', '11000003','00','Request by Mr. Saqib Saleem 30-Oct-2024');</v>
      </c>
    </row>
    <row r="449" spans="1:8" ht="105" x14ac:dyDescent="0.25">
      <c r="A449" s="18" t="s">
        <v>7001</v>
      </c>
      <c r="B449" s="29" t="str">
        <f>VLOOKUP(A449,Sheet5!B:C,2,0)</f>
        <v>050000812540</v>
      </c>
      <c r="C449" s="20">
        <v>-2025</v>
      </c>
      <c r="D449" s="30">
        <f t="shared" si="25"/>
        <v>-2025</v>
      </c>
      <c r="E449" s="36" t="s">
        <v>7824</v>
      </c>
      <c r="F449" s="31" t="str">
        <f t="shared" si="24"/>
        <v>insert into ins_premium_det (premium_rcv_code,assorted_code, rec_amount,premium_rcv_detail_code,remaining_amt, payrec, mode_code,coinsurance_code,class_cd,it_remarks) values</v>
      </c>
      <c r="G449" s="32" t="str">
        <f t="shared" si="26"/>
        <v>('29Oct240041','050000812540','-2025',(select max(to_number(i.premium_rcv_detail_code))+1
from ins_premium_det i),'-2025','-2025','02', '11000003','00','Request by Mr. Saqib Saleem 30-Oct-2024');</v>
      </c>
      <c r="H449" s="33" t="str">
        <f t="shared" si="27"/>
        <v>insert into ins_premium_det (premium_rcv_code,assorted_code, rec_amount,premium_rcv_detail_code,remaining_amt, payrec, mode_code,coinsurance_code,class_cd,it_remarks) values('29Oct240041','050000812540','-2025',(select max(to_number(i.premium_rcv_detail_code))+1
from ins_premium_det i),'-2025','-2025','02', '11000003','00','Request by Mr. Saqib Saleem 30-Oct-2024');</v>
      </c>
    </row>
    <row r="450" spans="1:8" ht="105" x14ac:dyDescent="0.25">
      <c r="A450" s="18" t="s">
        <v>7002</v>
      </c>
      <c r="B450" s="29" t="str">
        <f>VLOOKUP(A450,Sheet5!B:C,2,0)</f>
        <v>050000812539</v>
      </c>
      <c r="C450" s="20">
        <v>-4910</v>
      </c>
      <c r="D450" s="30">
        <f t="shared" si="25"/>
        <v>-4910</v>
      </c>
      <c r="E450" s="36" t="s">
        <v>7824</v>
      </c>
      <c r="F450" s="31" t="str">
        <f t="shared" ref="F450:F467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32" t="str">
        <f t="shared" si="26"/>
        <v>('29Oct240041','050000812539','-4910',(select max(to_number(i.premium_rcv_detail_code))+1
from ins_premium_det i),'-4910','-4910','02', '11000003','00','Request by Mr. Saqib Saleem 30-Oct-2024');</v>
      </c>
      <c r="H450" s="33" t="str">
        <f t="shared" si="27"/>
        <v>insert into ins_premium_det (premium_rcv_code,assorted_code, rec_amount,premium_rcv_detail_code,remaining_amt, payrec, mode_code,coinsurance_code,class_cd,it_remarks) values('29Oct240041','050000812539','-4910',(select max(to_number(i.premium_rcv_detail_code))+1
from ins_premium_det i),'-4910','-4910','02', '11000003','00','Request by Mr. Saqib Saleem 30-Oct-2024');</v>
      </c>
    </row>
    <row r="451" spans="1:8" ht="105" x14ac:dyDescent="0.25">
      <c r="A451" s="18" t="s">
        <v>7003</v>
      </c>
      <c r="B451" s="29" t="str">
        <f>VLOOKUP(A451,Sheet5!B:C,2,0)</f>
        <v>050000812449</v>
      </c>
      <c r="C451" s="20">
        <v>-4450</v>
      </c>
      <c r="D451" s="30">
        <f t="shared" ref="D451:D467" si="29">ROUND(C451,0)</f>
        <v>-4450</v>
      </c>
      <c r="E451" s="36" t="s">
        <v>7824</v>
      </c>
      <c r="F451" s="31" t="str">
        <f t="shared" si="28"/>
        <v>insert into ins_premium_det (premium_rcv_code,assorted_code, rec_amount,premium_rcv_detail_code,remaining_amt, payrec, mode_code,coinsurance_code,class_cd,it_remarks) values</v>
      </c>
      <c r="G451" s="32" t="str">
        <f t="shared" ref="G451:G467" si="30">"('"&amp;E451&amp;"','"&amp;B451&amp;"','"&amp;D451&amp;"',(select max(to_number(i.premium_rcv_detail_code))+1
from ins_premium_det i),'"&amp;D451&amp;"','"&amp;D451&amp;"','02', '11000003','00','Request by Mr. Saqib Saleem 30-Oct-2024');"</f>
        <v>('29Oct240041','050000812449','-4450',(select max(to_number(i.premium_rcv_detail_code))+1
from ins_premium_det i),'-4450','-4450','02', '11000003','00','Request by Mr. Saqib Saleem 30-Oct-2024');</v>
      </c>
      <c r="H451" s="33" t="str">
        <f t="shared" ref="H451:H467" si="31">F451&amp;G451</f>
        <v>insert into ins_premium_det (premium_rcv_code,assorted_code, rec_amount,premium_rcv_detail_code,remaining_amt, payrec, mode_code,coinsurance_code,class_cd,it_remarks) values('29Oct240041','050000812449','-4450',(select max(to_number(i.premium_rcv_detail_code))+1
from ins_premium_det i),'-4450','-4450','02', '11000003','00','Request by Mr. Saqib Saleem 30-Oct-2024');</v>
      </c>
    </row>
    <row r="452" spans="1:8" ht="105" x14ac:dyDescent="0.25">
      <c r="A452" s="18" t="s">
        <v>7004</v>
      </c>
      <c r="B452" s="29" t="str">
        <f>VLOOKUP(A452,Sheet5!B:C,2,0)</f>
        <v>050000812450</v>
      </c>
      <c r="C452" s="20">
        <v>1450</v>
      </c>
      <c r="D452" s="30">
        <f t="shared" si="29"/>
        <v>1450</v>
      </c>
      <c r="E452" s="36" t="s">
        <v>7824</v>
      </c>
      <c r="F452" s="31" t="str">
        <f t="shared" si="28"/>
        <v>insert into ins_premium_det (premium_rcv_code,assorted_code, rec_amount,premium_rcv_detail_code,remaining_amt, payrec, mode_code,coinsurance_code,class_cd,it_remarks) values</v>
      </c>
      <c r="G452" s="32" t="str">
        <f t="shared" si="30"/>
        <v>('29Oct240041','050000812450','1450',(select max(to_number(i.premium_rcv_detail_code))+1
from ins_premium_det i),'1450','1450','02', '11000003','00','Request by Mr. Saqib Saleem 30-Oct-2024');</v>
      </c>
      <c r="H452" s="33" t="str">
        <f t="shared" si="31"/>
        <v>insert into ins_premium_det (premium_rcv_code,assorted_code, rec_amount,premium_rcv_detail_code,remaining_amt, payrec, mode_code,coinsurance_code,class_cd,it_remarks) values('29Oct240041','050000812450','1450',(select max(to_number(i.premium_rcv_detail_code))+1
from ins_premium_det i),'1450','1450','02', '11000003','00','Request by Mr. Saqib Saleem 30-Oct-2024');</v>
      </c>
    </row>
    <row r="453" spans="1:8" ht="105" x14ac:dyDescent="0.25">
      <c r="A453" s="18" t="s">
        <v>7005</v>
      </c>
      <c r="B453" s="29" t="str">
        <f>VLOOKUP(A453,Sheet5!B:C,2,0)</f>
        <v>050000812454</v>
      </c>
      <c r="C453" s="20">
        <v>4819.7500000000073</v>
      </c>
      <c r="D453" s="30">
        <f t="shared" si="29"/>
        <v>4820</v>
      </c>
      <c r="E453" s="36" t="s">
        <v>7824</v>
      </c>
      <c r="F453" s="31" t="str">
        <f t="shared" si="28"/>
        <v>insert into ins_premium_det (premium_rcv_code,assorted_code, rec_amount,premium_rcv_detail_code,remaining_amt, payrec, mode_code,coinsurance_code,class_cd,it_remarks) values</v>
      </c>
      <c r="G453" s="32" t="str">
        <f t="shared" si="30"/>
        <v>('29Oct240041','050000812454','4820',(select max(to_number(i.premium_rcv_detail_code))+1
from ins_premium_det i),'4820','4820','02', '11000003','00','Request by Mr. Saqib Saleem 30-Oct-2024');</v>
      </c>
      <c r="H453" s="33" t="str">
        <f t="shared" si="31"/>
        <v>insert into ins_premium_det (premium_rcv_code,assorted_code, rec_amount,premium_rcv_detail_code,remaining_amt, payrec, mode_code,coinsurance_code,class_cd,it_remarks) values('29Oct240041','050000812454','4820',(select max(to_number(i.premium_rcv_detail_code))+1
from ins_premium_det i),'4820','4820','02', '11000003','00','Request by Mr. Saqib Saleem 30-Oct-2024');</v>
      </c>
    </row>
    <row r="454" spans="1:8" ht="105" x14ac:dyDescent="0.25">
      <c r="A454" s="18" t="s">
        <v>7006</v>
      </c>
      <c r="B454" s="29" t="str">
        <f>VLOOKUP(A454,Sheet5!B:C,2,0)</f>
        <v>050000812455</v>
      </c>
      <c r="C454" s="20">
        <v>2450.0000000000036</v>
      </c>
      <c r="D454" s="30">
        <f t="shared" si="29"/>
        <v>2450</v>
      </c>
      <c r="E454" s="36" t="s">
        <v>7824</v>
      </c>
      <c r="F454" s="31" t="str">
        <f t="shared" si="28"/>
        <v>insert into ins_premium_det (premium_rcv_code,assorted_code, rec_amount,premium_rcv_detail_code,remaining_amt, payrec, mode_code,coinsurance_code,class_cd,it_remarks) values</v>
      </c>
      <c r="G454" s="32" t="str">
        <f t="shared" si="30"/>
        <v>('29Oct240041','050000812455','2450',(select max(to_number(i.premium_rcv_detail_code))+1
from ins_premium_det i),'2450','2450','02', '11000003','00','Request by Mr. Saqib Saleem 30-Oct-2024');</v>
      </c>
      <c r="H454" s="33" t="str">
        <f t="shared" si="31"/>
        <v>insert into ins_premium_det (premium_rcv_code,assorted_code, rec_amount,premium_rcv_detail_code,remaining_amt, payrec, mode_code,coinsurance_code,class_cd,it_remarks) values('29Oct240041','050000812455','2450',(select max(to_number(i.premium_rcv_detail_code))+1
from ins_premium_det i),'2450','2450','02', '11000003','00','Request by Mr. Saqib Saleem 30-Oct-2024');</v>
      </c>
    </row>
    <row r="455" spans="1:8" ht="105" x14ac:dyDescent="0.25">
      <c r="A455" s="18" t="s">
        <v>7007</v>
      </c>
      <c r="B455" s="29" t="str">
        <f>VLOOKUP(A455,Sheet5!B:C,2,0)</f>
        <v>050000812457</v>
      </c>
      <c r="C455" s="20">
        <v>3850.0000000000036</v>
      </c>
      <c r="D455" s="30">
        <f t="shared" si="29"/>
        <v>3850</v>
      </c>
      <c r="E455" s="36" t="s">
        <v>7824</v>
      </c>
      <c r="F455" s="31" t="str">
        <f t="shared" si="28"/>
        <v>insert into ins_premium_det (premium_rcv_code,assorted_code, rec_amount,premium_rcv_detail_code,remaining_amt, payrec, mode_code,coinsurance_code,class_cd,it_remarks) values</v>
      </c>
      <c r="G455" s="32" t="str">
        <f t="shared" si="30"/>
        <v>('29Oct240041','050000812457','3850',(select max(to_number(i.premium_rcv_detail_code))+1
from ins_premium_det i),'3850','3850','02', '11000003','00','Request by Mr. Saqib Saleem 30-Oct-2024');</v>
      </c>
      <c r="H455" s="33" t="str">
        <f t="shared" si="31"/>
        <v>insert into ins_premium_det (premium_rcv_code,assorted_code, rec_amount,premium_rcv_detail_code,remaining_amt, payrec, mode_code,coinsurance_code,class_cd,it_remarks) values('29Oct240041','050000812457','3850',(select max(to_number(i.premium_rcv_detail_code))+1
from ins_premium_det i),'3850','3850','02', '11000003','00','Request by Mr. Saqib Saleem 30-Oct-2024');</v>
      </c>
    </row>
    <row r="456" spans="1:8" ht="105" x14ac:dyDescent="0.25">
      <c r="A456" s="18" t="s">
        <v>7008</v>
      </c>
      <c r="B456" s="29" t="str">
        <f>VLOOKUP(A456,Sheet5!B:C,2,0)</f>
        <v>050000812463</v>
      </c>
      <c r="C456" s="20">
        <v>3237.7500000000036</v>
      </c>
      <c r="D456" s="30">
        <f t="shared" si="29"/>
        <v>3238</v>
      </c>
      <c r="E456" s="36" t="s">
        <v>7824</v>
      </c>
      <c r="F456" s="31" t="str">
        <f t="shared" si="28"/>
        <v>insert into ins_premium_det (premium_rcv_code,assorted_code, rec_amount,premium_rcv_detail_code,remaining_amt, payrec, mode_code,coinsurance_code,class_cd,it_remarks) values</v>
      </c>
      <c r="G456" s="32" t="str">
        <f t="shared" si="30"/>
        <v>('29Oct240041','050000812463','3238',(select max(to_number(i.premium_rcv_detail_code))+1
from ins_premium_det i),'3238','3238','02', '11000003','00','Request by Mr. Saqib Saleem 30-Oct-2024');</v>
      </c>
      <c r="H456" s="33" t="str">
        <f t="shared" si="31"/>
        <v>insert into ins_premium_det (premium_rcv_code,assorted_code, rec_amount,premium_rcv_detail_code,remaining_amt, payrec, mode_code,coinsurance_code,class_cd,it_remarks) values('29Oct240041','050000812463','3238',(select max(to_number(i.premium_rcv_detail_code))+1
from ins_premium_det i),'3238','3238','02', '11000003','00','Request by Mr. Saqib Saleem 30-Oct-2024');</v>
      </c>
    </row>
    <row r="457" spans="1:8" ht="105" x14ac:dyDescent="0.25">
      <c r="A457" s="18" t="s">
        <v>7009</v>
      </c>
      <c r="B457" s="29" t="str">
        <f>VLOOKUP(A457,Sheet5!B:C,2,0)</f>
        <v>050000812470</v>
      </c>
      <c r="C457" s="20">
        <v>-8254</v>
      </c>
      <c r="D457" s="30">
        <f t="shared" si="29"/>
        <v>-8254</v>
      </c>
      <c r="E457" s="36" t="s">
        <v>7824</v>
      </c>
      <c r="F457" s="31" t="str">
        <f t="shared" si="28"/>
        <v>insert into ins_premium_det (premium_rcv_code,assorted_code, rec_amount,premium_rcv_detail_code,remaining_amt, payrec, mode_code,coinsurance_code,class_cd,it_remarks) values</v>
      </c>
      <c r="G457" s="32" t="str">
        <f t="shared" si="30"/>
        <v>('29Oct240041','050000812470','-8254',(select max(to_number(i.premium_rcv_detail_code))+1
from ins_premium_det i),'-8254','-8254','02', '11000003','00','Request by Mr. Saqib Saleem 30-Oct-2024');</v>
      </c>
      <c r="H457" s="33" t="str">
        <f t="shared" si="31"/>
        <v>insert into ins_premium_det (premium_rcv_code,assorted_code, rec_amount,premium_rcv_detail_code,remaining_amt, payrec, mode_code,coinsurance_code,class_cd,it_remarks) values('29Oct240041','050000812470','-8254',(select max(to_number(i.premium_rcv_detail_code))+1
from ins_premium_det i),'-8254','-8254','02', '11000003','00','Request by Mr. Saqib Saleem 30-Oct-2024');</v>
      </c>
    </row>
    <row r="458" spans="1:8" ht="105" x14ac:dyDescent="0.25">
      <c r="A458" s="18" t="s">
        <v>7010</v>
      </c>
      <c r="B458" s="29" t="str">
        <f>VLOOKUP(A458,Sheet5!B:C,2,0)</f>
        <v>050000812532</v>
      </c>
      <c r="C458" s="20">
        <v>-6190.25</v>
      </c>
      <c r="D458" s="30">
        <f t="shared" si="29"/>
        <v>-6190</v>
      </c>
      <c r="E458" s="36" t="s">
        <v>7824</v>
      </c>
      <c r="F458" s="31" t="str">
        <f t="shared" si="28"/>
        <v>insert into ins_premium_det (premium_rcv_code,assorted_code, rec_amount,premium_rcv_detail_code,remaining_amt, payrec, mode_code,coinsurance_code,class_cd,it_remarks) values</v>
      </c>
      <c r="G458" s="32" t="str">
        <f t="shared" si="30"/>
        <v>('29Oct240041','050000812532','-6190',(select max(to_number(i.premium_rcv_detail_code))+1
from ins_premium_det i),'-6190','-6190','02', '11000003','00','Request by Mr. Saqib Saleem 30-Oct-2024');</v>
      </c>
      <c r="H458" s="33" t="str">
        <f t="shared" si="31"/>
        <v>insert into ins_premium_det (premium_rcv_code,assorted_code, rec_amount,premium_rcv_detail_code,remaining_amt, payrec, mode_code,coinsurance_code,class_cd,it_remarks) values('29Oct240041','050000812532','-6190',(select max(to_number(i.premium_rcv_detail_code))+1
from ins_premium_det i),'-6190','-6190','02', '11000003','00','Request by Mr. Saqib Saleem 30-Oct-2024');</v>
      </c>
    </row>
    <row r="459" spans="1:8" ht="105" x14ac:dyDescent="0.25">
      <c r="A459" s="18" t="s">
        <v>7011</v>
      </c>
      <c r="B459" s="29" t="str">
        <f>VLOOKUP(A459,Sheet5!B:C,2,0)</f>
        <v>050000812479</v>
      </c>
      <c r="C459" s="20">
        <v>-4280</v>
      </c>
      <c r="D459" s="30">
        <f t="shared" si="29"/>
        <v>-4280</v>
      </c>
      <c r="E459" s="36" t="s">
        <v>7824</v>
      </c>
      <c r="F459" s="31" t="str">
        <f t="shared" si="28"/>
        <v>insert into ins_premium_det (premium_rcv_code,assorted_code, rec_amount,premium_rcv_detail_code,remaining_amt, payrec, mode_code,coinsurance_code,class_cd,it_remarks) values</v>
      </c>
      <c r="G459" s="32" t="str">
        <f t="shared" si="30"/>
        <v>('29Oct240041','050000812479','-4280',(select max(to_number(i.premium_rcv_detail_code))+1
from ins_premium_det i),'-4280','-4280','02', '11000003','00','Request by Mr. Saqib Saleem 30-Oct-2024');</v>
      </c>
      <c r="H459" s="33" t="str">
        <f t="shared" si="31"/>
        <v>insert into ins_premium_det (premium_rcv_code,assorted_code, rec_amount,premium_rcv_detail_code,remaining_amt, payrec, mode_code,coinsurance_code,class_cd,it_remarks) values('29Oct240041','050000812479','-4280',(select max(to_number(i.premium_rcv_detail_code))+1
from ins_premium_det i),'-4280','-4280','02', '11000003','00','Request by Mr. Saqib Saleem 30-Oct-2024');</v>
      </c>
    </row>
    <row r="460" spans="1:8" ht="105" x14ac:dyDescent="0.25">
      <c r="A460" s="18" t="s">
        <v>7012</v>
      </c>
      <c r="B460" s="29" t="str">
        <f>VLOOKUP(A460,Sheet5!B:C,2,0)</f>
        <v>050000812483</v>
      </c>
      <c r="C460" s="20">
        <v>-4237.75</v>
      </c>
      <c r="D460" s="30">
        <f t="shared" si="29"/>
        <v>-4238</v>
      </c>
      <c r="E460" s="36" t="s">
        <v>7824</v>
      </c>
      <c r="F460" s="31" t="str">
        <f t="shared" si="28"/>
        <v>insert into ins_premium_det (premium_rcv_code,assorted_code, rec_amount,premium_rcv_detail_code,remaining_amt, payrec, mode_code,coinsurance_code,class_cd,it_remarks) values</v>
      </c>
      <c r="G460" s="32" t="str">
        <f t="shared" si="30"/>
        <v>('29Oct240041','050000812483','-4238',(select max(to_number(i.premium_rcv_detail_code))+1
from ins_premium_det i),'-4238','-4238','02', '11000003','00','Request by Mr. Saqib Saleem 30-Oct-2024');</v>
      </c>
      <c r="H460" s="33" t="str">
        <f t="shared" si="31"/>
        <v>insert into ins_premium_det (premium_rcv_code,assorted_code, rec_amount,premium_rcv_detail_code,remaining_amt, payrec, mode_code,coinsurance_code,class_cd,it_remarks) values('29Oct240041','050000812483','-4238',(select max(to_number(i.premium_rcv_detail_code))+1
from ins_premium_det i),'-4238','-4238','02', '11000003','00','Request by Mr. Saqib Saleem 30-Oct-2024');</v>
      </c>
    </row>
    <row r="461" spans="1:8" ht="105" x14ac:dyDescent="0.25">
      <c r="A461" s="18" t="s">
        <v>7013</v>
      </c>
      <c r="B461" s="29" t="str">
        <f>VLOOKUP(A461,Sheet5!B:C,2,0)</f>
        <v>050000812486</v>
      </c>
      <c r="C461" s="20">
        <v>2187.0000000000073</v>
      </c>
      <c r="D461" s="30">
        <f t="shared" si="29"/>
        <v>2187</v>
      </c>
      <c r="E461" s="36" t="s">
        <v>7824</v>
      </c>
      <c r="F461" s="31" t="str">
        <f t="shared" si="28"/>
        <v>insert into ins_premium_det (premium_rcv_code,assorted_code, rec_amount,premium_rcv_detail_code,remaining_amt, payrec, mode_code,coinsurance_code,class_cd,it_remarks) values</v>
      </c>
      <c r="G461" s="32" t="str">
        <f t="shared" si="30"/>
        <v>('29Oct240041','050000812486','2187',(select max(to_number(i.premium_rcv_detail_code))+1
from ins_premium_det i),'2187','2187','02', '11000003','00','Request by Mr. Saqib Saleem 30-Oct-2024');</v>
      </c>
      <c r="H461" s="33" t="str">
        <f t="shared" si="31"/>
        <v>insert into ins_premium_det (premium_rcv_code,assorted_code, rec_amount,premium_rcv_detail_code,remaining_amt, payrec, mode_code,coinsurance_code,class_cd,it_remarks) values('29Oct240041','050000812486','2187',(select max(to_number(i.premium_rcv_detail_code))+1
from ins_premium_det i),'2187','2187','02', '11000003','00','Request by Mr. Saqib Saleem 30-Oct-2024');</v>
      </c>
    </row>
    <row r="462" spans="1:8" ht="105" x14ac:dyDescent="0.25">
      <c r="A462" s="18" t="s">
        <v>7014</v>
      </c>
      <c r="B462" s="29" t="str">
        <f>VLOOKUP(A462,Sheet5!B:C,2,0)</f>
        <v>050000812523</v>
      </c>
      <c r="C462" s="20">
        <v>8400</v>
      </c>
      <c r="D462" s="30">
        <f t="shared" si="29"/>
        <v>8400</v>
      </c>
      <c r="E462" s="36" t="s">
        <v>7824</v>
      </c>
      <c r="F462" s="31" t="str">
        <f t="shared" si="28"/>
        <v>insert into ins_premium_det (premium_rcv_code,assorted_code, rec_amount,premium_rcv_detail_code,remaining_amt, payrec, mode_code,coinsurance_code,class_cd,it_remarks) values</v>
      </c>
      <c r="G462" s="32" t="str">
        <f t="shared" si="30"/>
        <v>('29Oct240041','050000812523','8400',(select max(to_number(i.premium_rcv_detail_code))+1
from ins_premium_det i),'8400','8400','02', '11000003','00','Request by Mr. Saqib Saleem 30-Oct-2024');</v>
      </c>
      <c r="H462" s="33" t="str">
        <f t="shared" si="31"/>
        <v>insert into ins_premium_det (premium_rcv_code,assorted_code, rec_amount,premium_rcv_detail_code,remaining_amt, payrec, mode_code,coinsurance_code,class_cd,it_remarks) values('29Oct240041','050000812523','8400',(select max(to_number(i.premium_rcv_detail_code))+1
from ins_premium_det i),'8400','8400','02', '11000003','00','Request by Mr. Saqib Saleem 30-Oct-2024');</v>
      </c>
    </row>
    <row r="463" spans="1:8" ht="105" x14ac:dyDescent="0.25">
      <c r="A463" s="18" t="s">
        <v>7015</v>
      </c>
      <c r="B463" s="29" t="str">
        <f>VLOOKUP(A463,Sheet5!B:C,2,0)</f>
        <v>050000812503</v>
      </c>
      <c r="C463" s="20">
        <v>-3920</v>
      </c>
      <c r="D463" s="30">
        <f t="shared" si="29"/>
        <v>-3920</v>
      </c>
      <c r="E463" s="36" t="s">
        <v>7824</v>
      </c>
      <c r="F463" s="31" t="str">
        <f t="shared" si="28"/>
        <v>insert into ins_premium_det (premium_rcv_code,assorted_code, rec_amount,premium_rcv_detail_code,remaining_amt, payrec, mode_code,coinsurance_code,class_cd,it_remarks) values</v>
      </c>
      <c r="G463" s="32" t="str">
        <f t="shared" si="30"/>
        <v>('29Oct240041','050000812503','-3920',(select max(to_number(i.premium_rcv_detail_code))+1
from ins_premium_det i),'-3920','-3920','02', '11000003','00','Request by Mr. Saqib Saleem 30-Oct-2024');</v>
      </c>
      <c r="H463" s="33" t="str">
        <f t="shared" si="31"/>
        <v>insert into ins_premium_det (premium_rcv_code,assorted_code, rec_amount,premium_rcv_detail_code,remaining_amt, payrec, mode_code,coinsurance_code,class_cd,it_remarks) values('29Oct240041','050000812503','-3920',(select max(to_number(i.premium_rcv_detail_code))+1
from ins_premium_det i),'-3920','-3920','02', '11000003','00','Request by Mr. Saqib Saleem 30-Oct-2024');</v>
      </c>
    </row>
    <row r="464" spans="1:8" ht="105" x14ac:dyDescent="0.25">
      <c r="A464" s="18" t="s">
        <v>7016</v>
      </c>
      <c r="B464" s="29" t="str">
        <f>VLOOKUP(A464,Sheet5!B:C,2,0)</f>
        <v>050000812509</v>
      </c>
      <c r="C464" s="20">
        <v>2800.0000000000036</v>
      </c>
      <c r="D464" s="30">
        <f t="shared" si="29"/>
        <v>2800</v>
      </c>
      <c r="E464" s="36" t="s">
        <v>7824</v>
      </c>
      <c r="F464" s="31" t="str">
        <f t="shared" si="28"/>
        <v>insert into ins_premium_det (premium_rcv_code,assorted_code, rec_amount,premium_rcv_detail_code,remaining_amt, payrec, mode_code,coinsurance_code,class_cd,it_remarks) values</v>
      </c>
      <c r="G464" s="32" t="str">
        <f t="shared" si="30"/>
        <v>('29Oct240041','050000812509','2800',(select max(to_number(i.premium_rcv_detail_code))+1
from ins_premium_det i),'2800','2800','02', '11000003','00','Request by Mr. Saqib Saleem 30-Oct-2024');</v>
      </c>
      <c r="H464" s="33" t="str">
        <f t="shared" si="31"/>
        <v>insert into ins_premium_det (premium_rcv_code,assorted_code, rec_amount,premium_rcv_detail_code,remaining_amt, payrec, mode_code,coinsurance_code,class_cd,it_remarks) values('29Oct240041','050000812509','2800',(select max(to_number(i.premium_rcv_detail_code))+1
from ins_premium_det i),'2800','2800','02', '11000003','00','Request by Mr. Saqib Saleem 30-Oct-2024');</v>
      </c>
    </row>
    <row r="465" spans="1:8" ht="105" x14ac:dyDescent="0.25">
      <c r="A465" s="18" t="s">
        <v>7017</v>
      </c>
      <c r="B465" s="29" t="str">
        <f>VLOOKUP(A465,Sheet5!B:C,2,0)</f>
        <v>050000812513</v>
      </c>
      <c r="C465" s="20">
        <v>-3375</v>
      </c>
      <c r="D465" s="30">
        <f t="shared" si="29"/>
        <v>-3375</v>
      </c>
      <c r="E465" s="36" t="s">
        <v>7824</v>
      </c>
      <c r="F465" s="31" t="str">
        <f t="shared" si="28"/>
        <v>insert into ins_premium_det (premium_rcv_code,assorted_code, rec_amount,premium_rcv_detail_code,remaining_amt, payrec, mode_code,coinsurance_code,class_cd,it_remarks) values</v>
      </c>
      <c r="G465" s="32" t="str">
        <f t="shared" si="30"/>
        <v>('29Oct240041','050000812513','-3375',(select max(to_number(i.premium_rcv_detail_code))+1
from ins_premium_det i),'-3375','-3375','02', '11000003','00','Request by Mr. Saqib Saleem 30-Oct-2024');</v>
      </c>
      <c r="H465" s="33" t="str">
        <f t="shared" si="31"/>
        <v>insert into ins_premium_det (premium_rcv_code,assorted_code, rec_amount,premium_rcv_detail_code,remaining_amt, payrec, mode_code,coinsurance_code,class_cd,it_remarks) values('29Oct240041','050000812513','-3375',(select max(to_number(i.premium_rcv_detail_code))+1
from ins_premium_det i),'-3375','-3375','02', '11000003','00','Request by Mr. Saqib Saleem 30-Oct-2024');</v>
      </c>
    </row>
    <row r="466" spans="1:8" ht="105" x14ac:dyDescent="0.25">
      <c r="A466" s="18" t="s">
        <v>7018</v>
      </c>
      <c r="B466" s="29" t="str">
        <f>VLOOKUP(A466,Sheet5!B:C,2,0)</f>
        <v>050000812488</v>
      </c>
      <c r="C466" s="20">
        <v>1224.5000000000018</v>
      </c>
      <c r="D466" s="30">
        <f t="shared" si="29"/>
        <v>1225</v>
      </c>
      <c r="E466" s="36" t="s">
        <v>7824</v>
      </c>
      <c r="F466" s="31" t="str">
        <f t="shared" si="28"/>
        <v>insert into ins_premium_det (premium_rcv_code,assorted_code, rec_amount,premium_rcv_detail_code,remaining_amt, payrec, mode_code,coinsurance_code,class_cd,it_remarks) values</v>
      </c>
      <c r="G466" s="32" t="str">
        <f t="shared" si="30"/>
        <v>('29Oct240041','050000812488','1225',(select max(to_number(i.premium_rcv_detail_code))+1
from ins_premium_det i),'1225','1225','02', '11000003','00','Request by Mr. Saqib Saleem 30-Oct-2024');</v>
      </c>
      <c r="H466" s="33" t="str">
        <f t="shared" si="31"/>
        <v>insert into ins_premium_det (premium_rcv_code,assorted_code, rec_amount,premium_rcv_detail_code,remaining_amt, payrec, mode_code,coinsurance_code,class_cd,it_remarks) values('29Oct240041','050000812488','1225',(select max(to_number(i.premium_rcv_detail_code))+1
from ins_premium_det i),'1225','1225','02', '11000003','00','Request by Mr. Saqib Saleem 30-Oct-2024');</v>
      </c>
    </row>
    <row r="467" spans="1:8" ht="105" x14ac:dyDescent="0.25">
      <c r="A467" s="18" t="s">
        <v>7019</v>
      </c>
      <c r="B467" s="29" t="str">
        <f>VLOOKUP(A467,Sheet5!B:C,2,0)</f>
        <v>050000812452</v>
      </c>
      <c r="C467" s="20">
        <v>3955</v>
      </c>
      <c r="D467" s="30">
        <f t="shared" si="29"/>
        <v>3955</v>
      </c>
      <c r="E467" s="36" t="s">
        <v>7824</v>
      </c>
      <c r="F467" s="31" t="str">
        <f t="shared" si="28"/>
        <v>insert into ins_premium_det (premium_rcv_code,assorted_code, rec_amount,premium_rcv_detail_code,remaining_amt, payrec, mode_code,coinsurance_code,class_cd,it_remarks) values</v>
      </c>
      <c r="G467" s="32" t="str">
        <f t="shared" si="30"/>
        <v>('29Oct240041','050000812452','3955',(select max(to_number(i.premium_rcv_detail_code))+1
from ins_premium_det i),'3955','3955','02', '11000003','00','Request by Mr. Saqib Saleem 30-Oct-2024');</v>
      </c>
      <c r="H467" s="33" t="str">
        <f t="shared" si="31"/>
        <v>insert into ins_premium_det (premium_rcv_code,assorted_code, rec_amount,premium_rcv_detail_code,remaining_amt, payrec, mode_code,coinsurance_code,class_cd,it_remarks) values('29Oct240041','050000812452','3955',(select max(to_number(i.premium_rcv_detail_code))+1
from ins_premium_det i),'3955','3955','02', '11000003','00','Request by Mr. Saqib Saleem 30-Oct-2024');</v>
      </c>
    </row>
    <row r="468" spans="1:8" x14ac:dyDescent="0.25">
      <c r="C468" s="35">
        <f>SUM(C2:C467)</f>
        <v>14988200.4</v>
      </c>
      <c r="D468" s="35">
        <f>SUM(D2:D467)</f>
        <v>14988204</v>
      </c>
    </row>
    <row r="470" spans="1:8" x14ac:dyDescent="0.25">
      <c r="C470" s="37">
        <v>14968644</v>
      </c>
    </row>
    <row r="471" spans="1:8" x14ac:dyDescent="0.25">
      <c r="C471" s="35">
        <f>C468-C470</f>
        <v>19556.400000000373</v>
      </c>
      <c r="D471" t="s">
        <v>7025</v>
      </c>
    </row>
  </sheetData>
  <conditionalFormatting sqref="A1">
    <cfRule type="duplicateValues" dxfId="3" priority="1"/>
  </conditionalFormatting>
  <conditionalFormatting sqref="A2:B2 B3:B467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9BEC-F4E5-4C25-AA47-C730C21E2FF6}">
  <dimension ref="A2:J467"/>
  <sheetViews>
    <sheetView topLeftCell="A317" workbookViewId="0">
      <selection activeCell="F326" sqref="F326"/>
    </sheetView>
  </sheetViews>
  <sheetFormatPr defaultRowHeight="15" x14ac:dyDescent="0.25"/>
  <cols>
    <col min="1" max="1" width="43.140625" bestFit="1" customWidth="1"/>
  </cols>
  <sheetData>
    <row r="2" spans="1:10" x14ac:dyDescent="0.25">
      <c r="A2" s="18" t="s">
        <v>6556</v>
      </c>
      <c r="B2" t="s">
        <v>7026</v>
      </c>
      <c r="H2">
        <v>97805</v>
      </c>
      <c r="I2" t="s">
        <v>7029</v>
      </c>
      <c r="J2" t="str">
        <f>"ia.assorted_string like '%"&amp;H2&amp;"-"&amp;I2&amp;B2&amp;"%' or"</f>
        <v>ia.assorted_string like '%97805-00001-09-2024%' or</v>
      </c>
    </row>
    <row r="3" spans="1:10" x14ac:dyDescent="0.25">
      <c r="A3" s="18" t="s">
        <v>6557</v>
      </c>
      <c r="B3" t="s">
        <v>7026</v>
      </c>
      <c r="H3">
        <v>97805</v>
      </c>
      <c r="I3" t="s">
        <v>7030</v>
      </c>
      <c r="J3" t="str">
        <f t="shared" ref="J3:J66" si="0">"ia.assorted_string like '%"&amp;H3&amp;"-"&amp;I3&amp;B3&amp;"%' or"</f>
        <v>ia.assorted_string like '%97805-00002-09-2024%' or</v>
      </c>
    </row>
    <row r="4" spans="1:10" x14ac:dyDescent="0.25">
      <c r="A4" s="18" t="s">
        <v>6558</v>
      </c>
      <c r="B4" t="s">
        <v>7026</v>
      </c>
      <c r="H4">
        <v>97805</v>
      </c>
      <c r="I4" t="s">
        <v>7031</v>
      </c>
      <c r="J4" t="str">
        <f t="shared" si="0"/>
        <v>ia.assorted_string like '%97805-00003-09-2024%' or</v>
      </c>
    </row>
    <row r="5" spans="1:10" x14ac:dyDescent="0.25">
      <c r="A5" s="18" t="s">
        <v>6559</v>
      </c>
      <c r="B5" t="s">
        <v>7026</v>
      </c>
      <c r="H5">
        <v>97805</v>
      </c>
      <c r="I5" t="s">
        <v>7032</v>
      </c>
      <c r="J5" t="str">
        <f t="shared" si="0"/>
        <v>ia.assorted_string like '%97805-00004-09-2024%' or</v>
      </c>
    </row>
    <row r="6" spans="1:10" x14ac:dyDescent="0.25">
      <c r="A6" s="18" t="s">
        <v>6560</v>
      </c>
      <c r="B6" t="s">
        <v>7026</v>
      </c>
      <c r="H6">
        <v>97805</v>
      </c>
      <c r="I6" t="s">
        <v>7033</v>
      </c>
      <c r="J6" t="str">
        <f t="shared" si="0"/>
        <v>ia.assorted_string like '%97805-00005-09-2024%' or</v>
      </c>
    </row>
    <row r="7" spans="1:10" x14ac:dyDescent="0.25">
      <c r="A7" s="18" t="s">
        <v>6561</v>
      </c>
      <c r="B7" t="s">
        <v>7026</v>
      </c>
      <c r="H7">
        <v>97805</v>
      </c>
      <c r="I7" t="s">
        <v>7034</v>
      </c>
      <c r="J7" t="str">
        <f t="shared" si="0"/>
        <v>ia.assorted_string like '%97805-00007-09-2024%' or</v>
      </c>
    </row>
    <row r="8" spans="1:10" x14ac:dyDescent="0.25">
      <c r="A8" s="18" t="s">
        <v>6562</v>
      </c>
      <c r="B8" t="s">
        <v>7026</v>
      </c>
      <c r="H8">
        <v>97805</v>
      </c>
      <c r="I8" t="s">
        <v>7035</v>
      </c>
      <c r="J8" t="str">
        <f t="shared" si="0"/>
        <v>ia.assorted_string like '%97805-00008-09-2024%' or</v>
      </c>
    </row>
    <row r="9" spans="1:10" x14ac:dyDescent="0.25">
      <c r="A9" s="18" t="s">
        <v>6563</v>
      </c>
      <c r="B9" t="s">
        <v>7026</v>
      </c>
      <c r="H9">
        <v>97805</v>
      </c>
      <c r="I9" t="s">
        <v>7036</v>
      </c>
      <c r="J9" t="str">
        <f t="shared" si="0"/>
        <v>ia.assorted_string like '%97805-00009-09-2024%' or</v>
      </c>
    </row>
    <row r="10" spans="1:10" x14ac:dyDescent="0.25">
      <c r="A10" s="18" t="s">
        <v>6564</v>
      </c>
      <c r="B10" t="s">
        <v>7026</v>
      </c>
      <c r="H10">
        <v>97805</v>
      </c>
      <c r="I10" t="s">
        <v>7037</v>
      </c>
      <c r="J10" t="str">
        <f t="shared" si="0"/>
        <v>ia.assorted_string like '%97805-00013-09-2024%' or</v>
      </c>
    </row>
    <row r="11" spans="1:10" x14ac:dyDescent="0.25">
      <c r="A11" s="18" t="s">
        <v>6565</v>
      </c>
      <c r="B11" t="s">
        <v>7026</v>
      </c>
      <c r="H11">
        <v>97805</v>
      </c>
      <c r="I11" t="s">
        <v>7038</v>
      </c>
      <c r="J11" t="str">
        <f t="shared" si="0"/>
        <v>ia.assorted_string like '%97805-00014-09-2024%' or</v>
      </c>
    </row>
    <row r="12" spans="1:10" x14ac:dyDescent="0.25">
      <c r="A12" s="18" t="s">
        <v>6566</v>
      </c>
      <c r="B12" t="s">
        <v>7026</v>
      </c>
      <c r="H12">
        <v>97805</v>
      </c>
      <c r="I12" t="s">
        <v>7039</v>
      </c>
      <c r="J12" t="str">
        <f t="shared" si="0"/>
        <v>ia.assorted_string like '%97805-00015-09-2024%' or</v>
      </c>
    </row>
    <row r="13" spans="1:10" x14ac:dyDescent="0.25">
      <c r="A13" s="18" t="s">
        <v>6567</v>
      </c>
      <c r="B13" t="s">
        <v>7026</v>
      </c>
      <c r="H13">
        <v>97805</v>
      </c>
      <c r="I13" t="s">
        <v>7040</v>
      </c>
      <c r="J13" t="str">
        <f t="shared" si="0"/>
        <v>ia.assorted_string like '%97805-00018-09-2024%' or</v>
      </c>
    </row>
    <row r="14" spans="1:10" x14ac:dyDescent="0.25">
      <c r="A14" s="18" t="s">
        <v>6568</v>
      </c>
      <c r="B14" t="s">
        <v>7026</v>
      </c>
      <c r="H14">
        <v>97805</v>
      </c>
      <c r="I14" t="s">
        <v>7041</v>
      </c>
      <c r="J14" t="str">
        <f t="shared" si="0"/>
        <v>ia.assorted_string like '%97805-00019-09-2024%' or</v>
      </c>
    </row>
    <row r="15" spans="1:10" x14ac:dyDescent="0.25">
      <c r="A15" s="18" t="s">
        <v>6569</v>
      </c>
      <c r="B15" t="s">
        <v>7026</v>
      </c>
      <c r="H15">
        <v>97805</v>
      </c>
      <c r="I15" t="s">
        <v>7042</v>
      </c>
      <c r="J15" t="str">
        <f t="shared" si="0"/>
        <v>ia.assorted_string like '%97805-00021-09-2024%' or</v>
      </c>
    </row>
    <row r="16" spans="1:10" x14ac:dyDescent="0.25">
      <c r="A16" s="18" t="s">
        <v>6570</v>
      </c>
      <c r="B16" t="s">
        <v>7026</v>
      </c>
      <c r="H16">
        <v>97805</v>
      </c>
      <c r="I16" t="s">
        <v>7043</v>
      </c>
      <c r="J16" t="str">
        <f t="shared" si="0"/>
        <v>ia.assorted_string like '%97805-00023-09-2024%' or</v>
      </c>
    </row>
    <row r="17" spans="1:10" x14ac:dyDescent="0.25">
      <c r="A17" s="18" t="s">
        <v>6571</v>
      </c>
      <c r="B17" t="s">
        <v>7026</v>
      </c>
      <c r="H17">
        <v>97805</v>
      </c>
      <c r="I17" t="s">
        <v>7044</v>
      </c>
      <c r="J17" t="str">
        <f t="shared" si="0"/>
        <v>ia.assorted_string like '%97805-00024-09-2024%' or</v>
      </c>
    </row>
    <row r="18" spans="1:10" x14ac:dyDescent="0.25">
      <c r="A18" s="18" t="s">
        <v>6572</v>
      </c>
      <c r="B18" t="s">
        <v>7026</v>
      </c>
      <c r="H18">
        <v>97805</v>
      </c>
      <c r="I18" t="s">
        <v>7045</v>
      </c>
      <c r="J18" t="str">
        <f t="shared" si="0"/>
        <v>ia.assorted_string like '%97805-00025-09-2024%' or</v>
      </c>
    </row>
    <row r="19" spans="1:10" x14ac:dyDescent="0.25">
      <c r="A19" s="18" t="s">
        <v>6573</v>
      </c>
      <c r="B19" t="s">
        <v>7026</v>
      </c>
      <c r="H19">
        <v>97805</v>
      </c>
      <c r="I19" t="s">
        <v>7046</v>
      </c>
      <c r="J19" t="str">
        <f t="shared" si="0"/>
        <v>ia.assorted_string like '%97805-00026-09-2024%' or</v>
      </c>
    </row>
    <row r="20" spans="1:10" x14ac:dyDescent="0.25">
      <c r="A20" s="18" t="s">
        <v>6574</v>
      </c>
      <c r="B20" t="s">
        <v>7026</v>
      </c>
      <c r="H20">
        <v>97805</v>
      </c>
      <c r="I20" t="s">
        <v>7047</v>
      </c>
      <c r="J20" t="str">
        <f t="shared" si="0"/>
        <v>ia.assorted_string like '%97805-00028-09-2024%' or</v>
      </c>
    </row>
    <row r="21" spans="1:10" x14ac:dyDescent="0.25">
      <c r="A21" s="18" t="s">
        <v>6575</v>
      </c>
      <c r="B21" t="s">
        <v>7026</v>
      </c>
      <c r="H21">
        <v>97805</v>
      </c>
      <c r="I21" t="s">
        <v>7048</v>
      </c>
      <c r="J21" t="str">
        <f t="shared" si="0"/>
        <v>ia.assorted_string like '%97805-00034-09-2024%' or</v>
      </c>
    </row>
    <row r="22" spans="1:10" x14ac:dyDescent="0.25">
      <c r="A22" s="18" t="s">
        <v>6576</v>
      </c>
      <c r="B22" t="s">
        <v>7026</v>
      </c>
      <c r="H22">
        <v>97805</v>
      </c>
      <c r="I22" t="s">
        <v>7049</v>
      </c>
      <c r="J22" t="str">
        <f t="shared" si="0"/>
        <v>ia.assorted_string like '%97805-00037-09-2024%' or</v>
      </c>
    </row>
    <row r="23" spans="1:10" x14ac:dyDescent="0.25">
      <c r="A23" s="18" t="s">
        <v>6577</v>
      </c>
      <c r="B23" t="s">
        <v>7026</v>
      </c>
      <c r="H23">
        <v>97805</v>
      </c>
      <c r="I23" t="s">
        <v>7050</v>
      </c>
      <c r="J23" t="str">
        <f t="shared" si="0"/>
        <v>ia.assorted_string like '%97805-00038-09-2024%' or</v>
      </c>
    </row>
    <row r="24" spans="1:10" x14ac:dyDescent="0.25">
      <c r="A24" s="18" t="s">
        <v>6578</v>
      </c>
      <c r="B24" t="s">
        <v>7026</v>
      </c>
      <c r="H24">
        <v>97805</v>
      </c>
      <c r="I24" t="s">
        <v>7051</v>
      </c>
      <c r="J24" t="str">
        <f t="shared" si="0"/>
        <v>ia.assorted_string like '%97805-00040-09-2024%' or</v>
      </c>
    </row>
    <row r="25" spans="1:10" x14ac:dyDescent="0.25">
      <c r="A25" s="18" t="s">
        <v>6579</v>
      </c>
      <c r="B25" t="s">
        <v>7026</v>
      </c>
      <c r="H25">
        <v>97805</v>
      </c>
      <c r="I25" t="s">
        <v>7052</v>
      </c>
      <c r="J25" t="str">
        <f t="shared" si="0"/>
        <v>ia.assorted_string like '%97805-00041-09-2024%' or</v>
      </c>
    </row>
    <row r="26" spans="1:10" x14ac:dyDescent="0.25">
      <c r="A26" s="18" t="s">
        <v>6580</v>
      </c>
      <c r="B26" t="s">
        <v>7026</v>
      </c>
      <c r="H26">
        <v>97805</v>
      </c>
      <c r="I26" t="s">
        <v>7053</v>
      </c>
      <c r="J26" t="str">
        <f t="shared" si="0"/>
        <v>ia.assorted_string like '%97805-00045-09-2024%' or</v>
      </c>
    </row>
    <row r="27" spans="1:10" x14ac:dyDescent="0.25">
      <c r="A27" s="18" t="s">
        <v>6581</v>
      </c>
      <c r="B27" t="s">
        <v>7026</v>
      </c>
      <c r="H27">
        <v>97805</v>
      </c>
      <c r="I27" t="s">
        <v>7054</v>
      </c>
      <c r="J27" t="str">
        <f t="shared" si="0"/>
        <v>ia.assorted_string like '%97805-00053-09-2024%' or</v>
      </c>
    </row>
    <row r="28" spans="1:10" x14ac:dyDescent="0.25">
      <c r="A28" s="18" t="s">
        <v>6582</v>
      </c>
      <c r="B28" t="s">
        <v>7026</v>
      </c>
      <c r="H28">
        <v>97805</v>
      </c>
      <c r="I28" t="s">
        <v>7055</v>
      </c>
      <c r="J28" t="str">
        <f t="shared" si="0"/>
        <v>ia.assorted_string like '%97805-00054-09-2024%' or</v>
      </c>
    </row>
    <row r="29" spans="1:10" x14ac:dyDescent="0.25">
      <c r="A29" s="18" t="s">
        <v>6583</v>
      </c>
      <c r="B29" t="s">
        <v>7026</v>
      </c>
      <c r="H29">
        <v>97805</v>
      </c>
      <c r="I29" t="s">
        <v>7056</v>
      </c>
      <c r="J29" t="str">
        <f t="shared" si="0"/>
        <v>ia.assorted_string like '%97805-00055-09-2024%' or</v>
      </c>
    </row>
    <row r="30" spans="1:10" x14ac:dyDescent="0.25">
      <c r="A30" s="18" t="s">
        <v>6584</v>
      </c>
      <c r="B30" t="s">
        <v>7026</v>
      </c>
      <c r="H30">
        <v>97805</v>
      </c>
      <c r="I30" t="s">
        <v>7057</v>
      </c>
      <c r="J30" t="str">
        <f t="shared" si="0"/>
        <v>ia.assorted_string like '%97805-00056-09-2024%' or</v>
      </c>
    </row>
    <row r="31" spans="1:10" x14ac:dyDescent="0.25">
      <c r="A31" s="18" t="s">
        <v>6585</v>
      </c>
      <c r="B31" t="s">
        <v>7026</v>
      </c>
      <c r="H31">
        <v>97805</v>
      </c>
      <c r="I31" t="s">
        <v>7058</v>
      </c>
      <c r="J31" t="str">
        <f t="shared" si="0"/>
        <v>ia.assorted_string like '%97805-00060-09-2024%' or</v>
      </c>
    </row>
    <row r="32" spans="1:10" x14ac:dyDescent="0.25">
      <c r="A32" s="18" t="s">
        <v>6586</v>
      </c>
      <c r="B32" t="s">
        <v>7026</v>
      </c>
      <c r="H32">
        <v>97805</v>
      </c>
      <c r="I32" t="s">
        <v>7059</v>
      </c>
      <c r="J32" t="str">
        <f t="shared" si="0"/>
        <v>ia.assorted_string like '%97805-00062-09-2024%' or</v>
      </c>
    </row>
    <row r="33" spans="1:10" x14ac:dyDescent="0.25">
      <c r="A33" s="18" t="s">
        <v>6587</v>
      </c>
      <c r="B33" t="s">
        <v>7026</v>
      </c>
      <c r="H33">
        <v>97805</v>
      </c>
      <c r="I33" t="s">
        <v>7060</v>
      </c>
      <c r="J33" t="str">
        <f t="shared" si="0"/>
        <v>ia.assorted_string like '%97805-00064-09-2024%' or</v>
      </c>
    </row>
    <row r="34" spans="1:10" x14ac:dyDescent="0.25">
      <c r="A34" s="18" t="s">
        <v>6588</v>
      </c>
      <c r="B34" t="s">
        <v>7026</v>
      </c>
      <c r="H34">
        <v>97805</v>
      </c>
      <c r="I34" t="s">
        <v>7061</v>
      </c>
      <c r="J34" t="str">
        <f t="shared" si="0"/>
        <v>ia.assorted_string like '%97805-00065-09-2024%' or</v>
      </c>
    </row>
    <row r="35" spans="1:10" x14ac:dyDescent="0.25">
      <c r="A35" s="18" t="s">
        <v>6589</v>
      </c>
      <c r="B35" t="s">
        <v>7026</v>
      </c>
      <c r="H35">
        <v>97805</v>
      </c>
      <c r="I35" t="s">
        <v>7062</v>
      </c>
      <c r="J35" t="str">
        <f t="shared" si="0"/>
        <v>ia.assorted_string like '%97805-00069-09-2024%' or</v>
      </c>
    </row>
    <row r="36" spans="1:10" x14ac:dyDescent="0.25">
      <c r="A36" s="18" t="s">
        <v>6590</v>
      </c>
      <c r="B36" t="s">
        <v>7026</v>
      </c>
      <c r="H36">
        <v>97805</v>
      </c>
      <c r="I36" t="s">
        <v>7063</v>
      </c>
      <c r="J36" t="str">
        <f t="shared" si="0"/>
        <v>ia.assorted_string like '%97805-00070-09-2024%' or</v>
      </c>
    </row>
    <row r="37" spans="1:10" x14ac:dyDescent="0.25">
      <c r="A37" s="18" t="s">
        <v>6591</v>
      </c>
      <c r="B37" t="s">
        <v>7026</v>
      </c>
      <c r="H37">
        <v>97805</v>
      </c>
      <c r="I37" t="s">
        <v>7064</v>
      </c>
      <c r="J37" t="str">
        <f t="shared" si="0"/>
        <v>ia.assorted_string like '%97805-00072-09-2024%' or</v>
      </c>
    </row>
    <row r="38" spans="1:10" x14ac:dyDescent="0.25">
      <c r="A38" s="18" t="s">
        <v>6592</v>
      </c>
      <c r="B38" t="s">
        <v>7026</v>
      </c>
      <c r="H38">
        <v>97805</v>
      </c>
      <c r="I38" t="s">
        <v>7065</v>
      </c>
      <c r="J38" t="str">
        <f t="shared" si="0"/>
        <v>ia.assorted_string like '%97805-00074-09-2024%' or</v>
      </c>
    </row>
    <row r="39" spans="1:10" x14ac:dyDescent="0.25">
      <c r="A39" s="18" t="s">
        <v>6593</v>
      </c>
      <c r="B39" t="s">
        <v>7026</v>
      </c>
      <c r="H39">
        <v>97805</v>
      </c>
      <c r="I39" t="s">
        <v>7066</v>
      </c>
      <c r="J39" t="str">
        <f t="shared" si="0"/>
        <v>ia.assorted_string like '%97805-00076-09-2024%' or</v>
      </c>
    </row>
    <row r="40" spans="1:10" x14ac:dyDescent="0.25">
      <c r="A40" s="18" t="s">
        <v>6594</v>
      </c>
      <c r="B40" t="s">
        <v>7026</v>
      </c>
      <c r="H40">
        <v>97805</v>
      </c>
      <c r="I40" t="s">
        <v>7067</v>
      </c>
      <c r="J40" t="str">
        <f t="shared" si="0"/>
        <v>ia.assorted_string like '%97805-00084-09-2024%' or</v>
      </c>
    </row>
    <row r="41" spans="1:10" x14ac:dyDescent="0.25">
      <c r="A41" s="18" t="s">
        <v>6595</v>
      </c>
      <c r="B41" t="s">
        <v>7026</v>
      </c>
      <c r="H41">
        <v>97805</v>
      </c>
      <c r="I41" t="s">
        <v>7068</v>
      </c>
      <c r="J41" t="str">
        <f t="shared" si="0"/>
        <v>ia.assorted_string like '%97805-00085-09-2024%' or</v>
      </c>
    </row>
    <row r="42" spans="1:10" x14ac:dyDescent="0.25">
      <c r="A42" s="18" t="s">
        <v>6596</v>
      </c>
      <c r="B42" t="s">
        <v>7026</v>
      </c>
      <c r="H42">
        <v>97805</v>
      </c>
      <c r="I42" t="s">
        <v>7069</v>
      </c>
      <c r="J42" t="str">
        <f t="shared" si="0"/>
        <v>ia.assorted_string like '%97805-00086-09-2024%' or</v>
      </c>
    </row>
    <row r="43" spans="1:10" x14ac:dyDescent="0.25">
      <c r="A43" s="18" t="s">
        <v>6597</v>
      </c>
      <c r="B43" t="s">
        <v>7026</v>
      </c>
      <c r="H43">
        <v>97805</v>
      </c>
      <c r="I43" t="s">
        <v>7070</v>
      </c>
      <c r="J43" t="str">
        <f t="shared" si="0"/>
        <v>ia.assorted_string like '%97805-00087-09-2024%' or</v>
      </c>
    </row>
    <row r="44" spans="1:10" x14ac:dyDescent="0.25">
      <c r="A44" s="18" t="s">
        <v>6598</v>
      </c>
      <c r="B44" t="s">
        <v>7026</v>
      </c>
      <c r="H44">
        <v>97805</v>
      </c>
      <c r="I44" t="s">
        <v>7071</v>
      </c>
      <c r="J44" t="str">
        <f t="shared" si="0"/>
        <v>ia.assorted_string like '%97805-00088-09-2024%' or</v>
      </c>
    </row>
    <row r="45" spans="1:10" x14ac:dyDescent="0.25">
      <c r="A45" s="18" t="s">
        <v>6599</v>
      </c>
      <c r="B45" t="s">
        <v>7026</v>
      </c>
      <c r="H45">
        <v>97805</v>
      </c>
      <c r="I45" t="s">
        <v>7072</v>
      </c>
      <c r="J45" t="str">
        <f t="shared" si="0"/>
        <v>ia.assorted_string like '%97805-00090-09-2024%' or</v>
      </c>
    </row>
    <row r="46" spans="1:10" x14ac:dyDescent="0.25">
      <c r="A46" s="18" t="s">
        <v>6600</v>
      </c>
      <c r="B46" t="s">
        <v>7026</v>
      </c>
      <c r="H46">
        <v>97805</v>
      </c>
      <c r="I46" t="s">
        <v>7073</v>
      </c>
      <c r="J46" t="str">
        <f t="shared" si="0"/>
        <v>ia.assorted_string like '%97805-00094-09-2024%' or</v>
      </c>
    </row>
    <row r="47" spans="1:10" x14ac:dyDescent="0.25">
      <c r="A47" s="18" t="s">
        <v>6601</v>
      </c>
      <c r="B47" t="s">
        <v>7026</v>
      </c>
      <c r="H47">
        <v>97805</v>
      </c>
      <c r="I47" t="s">
        <v>7074</v>
      </c>
      <c r="J47" t="str">
        <f t="shared" si="0"/>
        <v>ia.assorted_string like '%97805-00095-09-2024%' or</v>
      </c>
    </row>
    <row r="48" spans="1:10" x14ac:dyDescent="0.25">
      <c r="A48" s="18" t="s">
        <v>6602</v>
      </c>
      <c r="B48" t="s">
        <v>7026</v>
      </c>
      <c r="H48">
        <v>97805</v>
      </c>
      <c r="I48" t="s">
        <v>7075</v>
      </c>
      <c r="J48" t="str">
        <f t="shared" si="0"/>
        <v>ia.assorted_string like '%97805-00096-09-2024%' or</v>
      </c>
    </row>
    <row r="49" spans="1:10" x14ac:dyDescent="0.25">
      <c r="A49" s="18" t="s">
        <v>6603</v>
      </c>
      <c r="B49" t="s">
        <v>7026</v>
      </c>
      <c r="H49">
        <v>97805</v>
      </c>
      <c r="I49" t="s">
        <v>7076</v>
      </c>
      <c r="J49" t="str">
        <f t="shared" si="0"/>
        <v>ia.assorted_string like '%97805-00098-09-2024%' or</v>
      </c>
    </row>
    <row r="50" spans="1:10" x14ac:dyDescent="0.25">
      <c r="A50" s="18" t="s">
        <v>6604</v>
      </c>
      <c r="B50" t="s">
        <v>7026</v>
      </c>
      <c r="H50">
        <v>97805</v>
      </c>
      <c r="I50" t="s">
        <v>7077</v>
      </c>
      <c r="J50" t="str">
        <f t="shared" si="0"/>
        <v>ia.assorted_string like '%97805-00100-09-2024%' or</v>
      </c>
    </row>
    <row r="51" spans="1:10" x14ac:dyDescent="0.25">
      <c r="A51" s="18" t="s">
        <v>6605</v>
      </c>
      <c r="B51" t="s">
        <v>7026</v>
      </c>
      <c r="H51">
        <v>97805</v>
      </c>
      <c r="I51" t="s">
        <v>7078</v>
      </c>
      <c r="J51" t="str">
        <f t="shared" si="0"/>
        <v>ia.assorted_string like '%97805-00105-09-2024%' or</v>
      </c>
    </row>
    <row r="52" spans="1:10" x14ac:dyDescent="0.25">
      <c r="A52" s="18" t="s">
        <v>6606</v>
      </c>
      <c r="B52" t="s">
        <v>7026</v>
      </c>
      <c r="H52">
        <v>97805</v>
      </c>
      <c r="I52" t="s">
        <v>7079</v>
      </c>
      <c r="J52" t="str">
        <f t="shared" si="0"/>
        <v>ia.assorted_string like '%97805-00106-09-2024%' or</v>
      </c>
    </row>
    <row r="53" spans="1:10" x14ac:dyDescent="0.25">
      <c r="A53" s="18" t="s">
        <v>6607</v>
      </c>
      <c r="B53" t="s">
        <v>7026</v>
      </c>
      <c r="H53">
        <v>97805</v>
      </c>
      <c r="I53" t="s">
        <v>7080</v>
      </c>
      <c r="J53" t="str">
        <f t="shared" si="0"/>
        <v>ia.assorted_string like '%97805-00107-09-2024%' or</v>
      </c>
    </row>
    <row r="54" spans="1:10" x14ac:dyDescent="0.25">
      <c r="A54" s="18" t="s">
        <v>6608</v>
      </c>
      <c r="B54" t="s">
        <v>7026</v>
      </c>
      <c r="H54">
        <v>97805</v>
      </c>
      <c r="I54" t="s">
        <v>7081</v>
      </c>
      <c r="J54" t="str">
        <f t="shared" si="0"/>
        <v>ia.assorted_string like '%97805-00108-09-2024%' or</v>
      </c>
    </row>
    <row r="55" spans="1:10" x14ac:dyDescent="0.25">
      <c r="A55" s="18" t="s">
        <v>6609</v>
      </c>
      <c r="B55" t="s">
        <v>7026</v>
      </c>
      <c r="H55">
        <v>97805</v>
      </c>
      <c r="I55" t="s">
        <v>7082</v>
      </c>
      <c r="J55" t="str">
        <f t="shared" si="0"/>
        <v>ia.assorted_string like '%97805-00114-09-2024%' or</v>
      </c>
    </row>
    <row r="56" spans="1:10" x14ac:dyDescent="0.25">
      <c r="A56" s="18" t="s">
        <v>6610</v>
      </c>
      <c r="B56" t="s">
        <v>7026</v>
      </c>
      <c r="H56">
        <v>97805</v>
      </c>
      <c r="I56" t="s">
        <v>7083</v>
      </c>
      <c r="J56" t="str">
        <f t="shared" si="0"/>
        <v>ia.assorted_string like '%97805-00119-09-2024%' or</v>
      </c>
    </row>
    <row r="57" spans="1:10" x14ac:dyDescent="0.25">
      <c r="A57" s="18" t="s">
        <v>6611</v>
      </c>
      <c r="B57" t="s">
        <v>7026</v>
      </c>
      <c r="H57">
        <v>97805</v>
      </c>
      <c r="I57" t="s">
        <v>7084</v>
      </c>
      <c r="J57" t="str">
        <f t="shared" si="0"/>
        <v>ia.assorted_string like '%97805-00121-09-2024%' or</v>
      </c>
    </row>
    <row r="58" spans="1:10" x14ac:dyDescent="0.25">
      <c r="A58" s="18" t="s">
        <v>6612</v>
      </c>
      <c r="B58" t="s">
        <v>7026</v>
      </c>
      <c r="H58">
        <v>97805</v>
      </c>
      <c r="I58" t="s">
        <v>7085</v>
      </c>
      <c r="J58" t="str">
        <f t="shared" si="0"/>
        <v>ia.assorted_string like '%97805-00122-09-2024%' or</v>
      </c>
    </row>
    <row r="59" spans="1:10" x14ac:dyDescent="0.25">
      <c r="A59" s="18" t="s">
        <v>6613</v>
      </c>
      <c r="B59" t="s">
        <v>7026</v>
      </c>
      <c r="H59">
        <v>97805</v>
      </c>
      <c r="I59" t="s">
        <v>7086</v>
      </c>
      <c r="J59" t="str">
        <f t="shared" si="0"/>
        <v>ia.assorted_string like '%97805-00125-09-2024%' or</v>
      </c>
    </row>
    <row r="60" spans="1:10" x14ac:dyDescent="0.25">
      <c r="A60" s="18" t="s">
        <v>6614</v>
      </c>
      <c r="B60" t="s">
        <v>7026</v>
      </c>
      <c r="H60">
        <v>97805</v>
      </c>
      <c r="I60" t="s">
        <v>7087</v>
      </c>
      <c r="J60" t="str">
        <f t="shared" si="0"/>
        <v>ia.assorted_string like '%97805-00126-09-2024%' or</v>
      </c>
    </row>
    <row r="61" spans="1:10" x14ac:dyDescent="0.25">
      <c r="A61" s="18" t="s">
        <v>6615</v>
      </c>
      <c r="B61" t="s">
        <v>7026</v>
      </c>
      <c r="H61">
        <v>97805</v>
      </c>
      <c r="I61" t="s">
        <v>7088</v>
      </c>
      <c r="J61" t="str">
        <f t="shared" si="0"/>
        <v>ia.assorted_string like '%97805-00128-09-2024%' or</v>
      </c>
    </row>
    <row r="62" spans="1:10" x14ac:dyDescent="0.25">
      <c r="A62" s="18" t="s">
        <v>6616</v>
      </c>
      <c r="B62" t="s">
        <v>7026</v>
      </c>
      <c r="H62">
        <v>97805</v>
      </c>
      <c r="I62" t="s">
        <v>7089</v>
      </c>
      <c r="J62" t="str">
        <f t="shared" si="0"/>
        <v>ia.assorted_string like '%97805-00129-09-2024%' or</v>
      </c>
    </row>
    <row r="63" spans="1:10" x14ac:dyDescent="0.25">
      <c r="A63" s="18" t="s">
        <v>6617</v>
      </c>
      <c r="B63" t="s">
        <v>7026</v>
      </c>
      <c r="H63">
        <v>97805</v>
      </c>
      <c r="I63" t="s">
        <v>7090</v>
      </c>
      <c r="J63" t="str">
        <f t="shared" si="0"/>
        <v>ia.assorted_string like '%97805-00133-09-2024%' or</v>
      </c>
    </row>
    <row r="64" spans="1:10" x14ac:dyDescent="0.25">
      <c r="A64" s="18" t="s">
        <v>6618</v>
      </c>
      <c r="B64" t="s">
        <v>7026</v>
      </c>
      <c r="H64">
        <v>97805</v>
      </c>
      <c r="I64" t="s">
        <v>7091</v>
      </c>
      <c r="J64" t="str">
        <f t="shared" si="0"/>
        <v>ia.assorted_string like '%97805-00135-09-2024%' or</v>
      </c>
    </row>
    <row r="65" spans="1:10" x14ac:dyDescent="0.25">
      <c r="A65" s="18" t="s">
        <v>6619</v>
      </c>
      <c r="B65" t="s">
        <v>7026</v>
      </c>
      <c r="H65">
        <v>97805</v>
      </c>
      <c r="I65" t="s">
        <v>7092</v>
      </c>
      <c r="J65" t="str">
        <f t="shared" si="0"/>
        <v>ia.assorted_string like '%97805-00137-09-2024%' or</v>
      </c>
    </row>
    <row r="66" spans="1:10" x14ac:dyDescent="0.25">
      <c r="A66" s="18" t="s">
        <v>6620</v>
      </c>
      <c r="B66" t="s">
        <v>7026</v>
      </c>
      <c r="H66">
        <v>97805</v>
      </c>
      <c r="I66" t="s">
        <v>7093</v>
      </c>
      <c r="J66" t="str">
        <f t="shared" si="0"/>
        <v>ia.assorted_string like '%97805-00017-09-2024%' or</v>
      </c>
    </row>
    <row r="67" spans="1:10" x14ac:dyDescent="0.25">
      <c r="A67" s="18" t="s">
        <v>6621</v>
      </c>
      <c r="B67" t="s">
        <v>7026</v>
      </c>
      <c r="H67">
        <v>97805</v>
      </c>
      <c r="I67" t="s">
        <v>7094</v>
      </c>
      <c r="J67" t="str">
        <f t="shared" ref="J67:J130" si="1">"ia.assorted_string like '%"&amp;H67&amp;"-"&amp;I67&amp;B67&amp;"%' or"</f>
        <v>ia.assorted_string like '%97805-00020-09-2024%' or</v>
      </c>
    </row>
    <row r="68" spans="1:10" x14ac:dyDescent="0.25">
      <c r="A68" s="18" t="s">
        <v>6622</v>
      </c>
      <c r="B68" t="s">
        <v>7026</v>
      </c>
      <c r="H68">
        <v>97805</v>
      </c>
      <c r="I68" t="s">
        <v>7095</v>
      </c>
      <c r="J68" t="str">
        <f t="shared" si="1"/>
        <v>ia.assorted_string like '%97805-00142-09-2024%' or</v>
      </c>
    </row>
    <row r="69" spans="1:10" x14ac:dyDescent="0.25">
      <c r="A69" s="18" t="s">
        <v>6623</v>
      </c>
      <c r="B69" t="s">
        <v>7026</v>
      </c>
      <c r="H69">
        <v>97805</v>
      </c>
      <c r="I69" t="s">
        <v>7096</v>
      </c>
      <c r="J69" t="str">
        <f t="shared" si="1"/>
        <v>ia.assorted_string like '%97805-00027-09-2024%' or</v>
      </c>
    </row>
    <row r="70" spans="1:10" x14ac:dyDescent="0.25">
      <c r="A70" s="18" t="s">
        <v>6624</v>
      </c>
      <c r="B70" t="s">
        <v>7026</v>
      </c>
      <c r="H70">
        <v>97805</v>
      </c>
      <c r="I70" t="s">
        <v>7097</v>
      </c>
      <c r="J70" t="str">
        <f t="shared" si="1"/>
        <v>ia.assorted_string like '%97805-00029-09-2024%' or</v>
      </c>
    </row>
    <row r="71" spans="1:10" x14ac:dyDescent="0.25">
      <c r="A71" s="18" t="s">
        <v>6625</v>
      </c>
      <c r="B71" t="s">
        <v>7026</v>
      </c>
      <c r="H71">
        <v>97805</v>
      </c>
      <c r="I71" t="s">
        <v>7098</v>
      </c>
      <c r="J71" t="str">
        <f t="shared" si="1"/>
        <v>ia.assorted_string like '%97805-00031-09-2024%' or</v>
      </c>
    </row>
    <row r="72" spans="1:10" x14ac:dyDescent="0.25">
      <c r="A72" s="18" t="s">
        <v>6626</v>
      </c>
      <c r="B72" t="s">
        <v>7026</v>
      </c>
      <c r="H72">
        <v>97805</v>
      </c>
      <c r="I72" t="s">
        <v>7099</v>
      </c>
      <c r="J72" t="str">
        <f t="shared" si="1"/>
        <v>ia.assorted_string like '%97805-00032-09-2024%' or</v>
      </c>
    </row>
    <row r="73" spans="1:10" x14ac:dyDescent="0.25">
      <c r="A73" s="18" t="s">
        <v>6627</v>
      </c>
      <c r="B73" t="s">
        <v>7026</v>
      </c>
      <c r="H73">
        <v>97805</v>
      </c>
      <c r="I73" t="s">
        <v>7100</v>
      </c>
      <c r="J73" t="str">
        <f t="shared" si="1"/>
        <v>ia.assorted_string like '%97805-00033-09-2024%' or</v>
      </c>
    </row>
    <row r="74" spans="1:10" x14ac:dyDescent="0.25">
      <c r="A74" s="18" t="s">
        <v>6628</v>
      </c>
      <c r="B74" t="s">
        <v>7026</v>
      </c>
      <c r="H74">
        <v>97805</v>
      </c>
      <c r="I74" t="s">
        <v>7101</v>
      </c>
      <c r="J74" t="str">
        <f t="shared" si="1"/>
        <v>ia.assorted_string like '%97805-00148-09-2024%' or</v>
      </c>
    </row>
    <row r="75" spans="1:10" x14ac:dyDescent="0.25">
      <c r="A75" s="18" t="s">
        <v>6629</v>
      </c>
      <c r="B75" t="s">
        <v>7026</v>
      </c>
      <c r="H75">
        <v>97805</v>
      </c>
      <c r="I75" t="s">
        <v>7102</v>
      </c>
      <c r="J75" t="str">
        <f t="shared" si="1"/>
        <v>ia.assorted_string like '%97805-00035-09-2024%' or</v>
      </c>
    </row>
    <row r="76" spans="1:10" x14ac:dyDescent="0.25">
      <c r="A76" s="18" t="s">
        <v>6630</v>
      </c>
      <c r="B76" t="s">
        <v>7026</v>
      </c>
      <c r="H76">
        <v>97805</v>
      </c>
      <c r="I76" t="s">
        <v>7103</v>
      </c>
      <c r="J76" t="str">
        <f t="shared" si="1"/>
        <v>ia.assorted_string like '%97805-00150-09-2024%' or</v>
      </c>
    </row>
    <row r="77" spans="1:10" x14ac:dyDescent="0.25">
      <c r="A77" s="18" t="s">
        <v>6631</v>
      </c>
      <c r="B77" t="s">
        <v>7026</v>
      </c>
      <c r="H77">
        <v>97805</v>
      </c>
      <c r="I77" t="s">
        <v>7104</v>
      </c>
      <c r="J77" t="str">
        <f t="shared" si="1"/>
        <v>ia.assorted_string like '%97805-00151-09-2024%' or</v>
      </c>
    </row>
    <row r="78" spans="1:10" x14ac:dyDescent="0.25">
      <c r="A78" s="18" t="s">
        <v>6632</v>
      </c>
      <c r="B78" t="s">
        <v>7026</v>
      </c>
      <c r="H78">
        <v>97805</v>
      </c>
      <c r="I78" t="s">
        <v>7105</v>
      </c>
      <c r="J78" t="str">
        <f t="shared" si="1"/>
        <v>ia.assorted_string like '%97805-00152-09-2024%' or</v>
      </c>
    </row>
    <row r="79" spans="1:10" x14ac:dyDescent="0.25">
      <c r="A79" s="18" t="s">
        <v>6633</v>
      </c>
      <c r="B79" t="s">
        <v>7026</v>
      </c>
      <c r="H79">
        <v>97805</v>
      </c>
      <c r="I79" t="s">
        <v>7106</v>
      </c>
      <c r="J79" t="str">
        <f t="shared" si="1"/>
        <v>ia.assorted_string like '%97805-00036-09-2024%' or</v>
      </c>
    </row>
    <row r="80" spans="1:10" x14ac:dyDescent="0.25">
      <c r="A80" s="18" t="s">
        <v>6634</v>
      </c>
      <c r="B80" t="s">
        <v>7026</v>
      </c>
      <c r="H80">
        <v>97805</v>
      </c>
      <c r="I80" t="s">
        <v>7107</v>
      </c>
      <c r="J80" t="str">
        <f t="shared" si="1"/>
        <v>ia.assorted_string like '%97805-00039-09-2024%' or</v>
      </c>
    </row>
    <row r="81" spans="1:10" x14ac:dyDescent="0.25">
      <c r="A81" s="18" t="s">
        <v>6635</v>
      </c>
      <c r="B81" t="s">
        <v>7026</v>
      </c>
      <c r="H81">
        <v>97805</v>
      </c>
      <c r="I81" t="s">
        <v>7108</v>
      </c>
      <c r="J81" t="str">
        <f t="shared" si="1"/>
        <v>ia.assorted_string like '%97805-00154-09-2024%' or</v>
      </c>
    </row>
    <row r="82" spans="1:10" x14ac:dyDescent="0.25">
      <c r="A82" s="18" t="s">
        <v>6636</v>
      </c>
      <c r="B82" t="s">
        <v>7026</v>
      </c>
      <c r="H82">
        <v>97805</v>
      </c>
      <c r="I82" t="s">
        <v>7109</v>
      </c>
      <c r="J82" t="str">
        <f t="shared" si="1"/>
        <v>ia.assorted_string like '%97805-00042-09-2024%' or</v>
      </c>
    </row>
    <row r="83" spans="1:10" x14ac:dyDescent="0.25">
      <c r="A83" s="18" t="s">
        <v>6637</v>
      </c>
      <c r="B83" t="s">
        <v>7026</v>
      </c>
      <c r="H83">
        <v>97805</v>
      </c>
      <c r="I83" t="s">
        <v>7110</v>
      </c>
      <c r="J83" t="str">
        <f t="shared" si="1"/>
        <v>ia.assorted_string like '%97805-00156-09-2024%' or</v>
      </c>
    </row>
    <row r="84" spans="1:10" x14ac:dyDescent="0.25">
      <c r="A84" s="18" t="s">
        <v>6638</v>
      </c>
      <c r="B84" t="s">
        <v>7026</v>
      </c>
      <c r="H84">
        <v>97805</v>
      </c>
      <c r="I84" t="s">
        <v>7111</v>
      </c>
      <c r="J84" t="str">
        <f t="shared" si="1"/>
        <v>ia.assorted_string like '%97805-00043-09-2024%' or</v>
      </c>
    </row>
    <row r="85" spans="1:10" x14ac:dyDescent="0.25">
      <c r="A85" s="18" t="s">
        <v>6639</v>
      </c>
      <c r="B85" t="s">
        <v>7026</v>
      </c>
      <c r="H85">
        <v>97805</v>
      </c>
      <c r="I85" t="s">
        <v>7112</v>
      </c>
      <c r="J85" t="str">
        <f t="shared" si="1"/>
        <v>ia.assorted_string like '%97805-00158-09-2024%' or</v>
      </c>
    </row>
    <row r="86" spans="1:10" x14ac:dyDescent="0.25">
      <c r="A86" s="18" t="s">
        <v>6640</v>
      </c>
      <c r="B86" t="s">
        <v>7026</v>
      </c>
      <c r="H86">
        <v>97805</v>
      </c>
      <c r="I86" t="s">
        <v>7113</v>
      </c>
      <c r="J86" t="str">
        <f t="shared" si="1"/>
        <v>ia.assorted_string like '%97805-00044-09-2024%' or</v>
      </c>
    </row>
    <row r="87" spans="1:10" x14ac:dyDescent="0.25">
      <c r="A87" s="18" t="s">
        <v>6641</v>
      </c>
      <c r="B87" t="s">
        <v>7026</v>
      </c>
      <c r="H87">
        <v>97805</v>
      </c>
      <c r="I87" t="s">
        <v>7114</v>
      </c>
      <c r="J87" t="str">
        <f t="shared" si="1"/>
        <v>ia.assorted_string like '%97805-00159-09-2024%' or</v>
      </c>
    </row>
    <row r="88" spans="1:10" x14ac:dyDescent="0.25">
      <c r="A88" s="18" t="s">
        <v>6642</v>
      </c>
      <c r="B88" t="s">
        <v>7026</v>
      </c>
      <c r="H88">
        <v>97805</v>
      </c>
      <c r="I88" t="s">
        <v>7115</v>
      </c>
      <c r="J88" t="str">
        <f t="shared" si="1"/>
        <v>ia.assorted_string like '%97805-00160-09-2024%' or</v>
      </c>
    </row>
    <row r="89" spans="1:10" x14ac:dyDescent="0.25">
      <c r="A89" s="18" t="s">
        <v>6643</v>
      </c>
      <c r="B89" t="s">
        <v>7026</v>
      </c>
      <c r="H89">
        <v>97805</v>
      </c>
      <c r="I89" t="s">
        <v>7116</v>
      </c>
      <c r="J89" t="str">
        <f t="shared" si="1"/>
        <v>ia.assorted_string like '%97805-00046-09-2024%' or</v>
      </c>
    </row>
    <row r="90" spans="1:10" x14ac:dyDescent="0.25">
      <c r="A90" s="18" t="s">
        <v>6644</v>
      </c>
      <c r="B90" t="s">
        <v>7026</v>
      </c>
      <c r="H90">
        <v>97805</v>
      </c>
      <c r="I90" t="s">
        <v>7117</v>
      </c>
      <c r="J90" t="str">
        <f t="shared" si="1"/>
        <v>ia.assorted_string like '%97805-00047-09-2024%' or</v>
      </c>
    </row>
    <row r="91" spans="1:10" x14ac:dyDescent="0.25">
      <c r="A91" s="18" t="s">
        <v>6645</v>
      </c>
      <c r="B91" t="s">
        <v>7026</v>
      </c>
      <c r="H91">
        <v>97805</v>
      </c>
      <c r="I91" t="s">
        <v>7118</v>
      </c>
      <c r="J91" t="str">
        <f t="shared" si="1"/>
        <v>ia.assorted_string like '%97805-00048-09-2024%' or</v>
      </c>
    </row>
    <row r="92" spans="1:10" x14ac:dyDescent="0.25">
      <c r="A92" s="18" t="s">
        <v>6646</v>
      </c>
      <c r="B92" t="s">
        <v>7026</v>
      </c>
      <c r="H92">
        <v>97805</v>
      </c>
      <c r="I92" t="s">
        <v>7119</v>
      </c>
      <c r="J92" t="str">
        <f t="shared" si="1"/>
        <v>ia.assorted_string like '%97805-00049-09-2024%' or</v>
      </c>
    </row>
    <row r="93" spans="1:10" x14ac:dyDescent="0.25">
      <c r="A93" s="18" t="s">
        <v>6647</v>
      </c>
      <c r="B93" t="s">
        <v>7026</v>
      </c>
      <c r="H93">
        <v>97805</v>
      </c>
      <c r="I93" t="s">
        <v>7120</v>
      </c>
      <c r="J93" t="str">
        <f t="shared" si="1"/>
        <v>ia.assorted_string like '%97805-00050-09-2024%' or</v>
      </c>
    </row>
    <row r="94" spans="1:10" x14ac:dyDescent="0.25">
      <c r="A94" s="18" t="s">
        <v>6648</v>
      </c>
      <c r="B94" t="s">
        <v>7026</v>
      </c>
      <c r="H94">
        <v>97805</v>
      </c>
      <c r="I94" t="s">
        <v>7121</v>
      </c>
      <c r="J94" t="str">
        <f t="shared" si="1"/>
        <v>ia.assorted_string like '%97805-00051-09-2024%' or</v>
      </c>
    </row>
    <row r="95" spans="1:10" x14ac:dyDescent="0.25">
      <c r="A95" s="18" t="s">
        <v>6876</v>
      </c>
      <c r="B95" t="s">
        <v>7026</v>
      </c>
      <c r="H95">
        <v>97805</v>
      </c>
      <c r="I95" t="s">
        <v>7122</v>
      </c>
      <c r="J95" t="str">
        <f t="shared" si="1"/>
        <v>ia.assorted_string like '%97805-00168-09-2024%' or</v>
      </c>
    </row>
    <row r="96" spans="1:10" x14ac:dyDescent="0.25">
      <c r="A96" s="18" t="s">
        <v>6649</v>
      </c>
      <c r="B96" t="s">
        <v>7026</v>
      </c>
      <c r="H96">
        <v>97805</v>
      </c>
      <c r="I96" t="s">
        <v>7123</v>
      </c>
      <c r="J96" t="str">
        <f t="shared" si="1"/>
        <v>ia.assorted_string like '%97805-00169-09-2024%' or</v>
      </c>
    </row>
    <row r="97" spans="1:10" x14ac:dyDescent="0.25">
      <c r="A97" s="18" t="s">
        <v>6650</v>
      </c>
      <c r="B97" t="s">
        <v>7026</v>
      </c>
      <c r="H97">
        <v>97805</v>
      </c>
      <c r="I97" t="s">
        <v>7124</v>
      </c>
      <c r="J97" t="str">
        <f t="shared" si="1"/>
        <v>ia.assorted_string like '%97805-00052-09-2024%' or</v>
      </c>
    </row>
    <row r="98" spans="1:10" x14ac:dyDescent="0.25">
      <c r="A98" s="18" t="s">
        <v>6651</v>
      </c>
      <c r="B98" t="s">
        <v>7026</v>
      </c>
      <c r="H98">
        <v>97805</v>
      </c>
      <c r="I98" t="s">
        <v>7125</v>
      </c>
      <c r="J98" t="str">
        <f t="shared" si="1"/>
        <v>ia.assorted_string like '%97805-00059-09-2024%' or</v>
      </c>
    </row>
    <row r="99" spans="1:10" x14ac:dyDescent="0.25">
      <c r="A99" s="18" t="s">
        <v>6652</v>
      </c>
      <c r="B99" t="s">
        <v>7026</v>
      </c>
      <c r="H99">
        <v>97805</v>
      </c>
      <c r="I99" t="s">
        <v>7126</v>
      </c>
      <c r="J99" t="str">
        <f t="shared" si="1"/>
        <v>ia.assorted_string like '%97805-00172-09-2024%' or</v>
      </c>
    </row>
    <row r="100" spans="1:10" x14ac:dyDescent="0.25">
      <c r="A100" s="18" t="s">
        <v>6653</v>
      </c>
      <c r="B100" t="s">
        <v>7026</v>
      </c>
      <c r="H100">
        <v>97805</v>
      </c>
      <c r="I100" t="s">
        <v>7127</v>
      </c>
      <c r="J100" t="str">
        <f t="shared" si="1"/>
        <v>ia.assorted_string like '%97805-00173-09-2024%' or</v>
      </c>
    </row>
    <row r="101" spans="1:10" x14ac:dyDescent="0.25">
      <c r="A101" s="18" t="s">
        <v>6654</v>
      </c>
      <c r="B101" t="s">
        <v>7026</v>
      </c>
      <c r="H101">
        <v>97805</v>
      </c>
      <c r="I101" t="s">
        <v>7128</v>
      </c>
      <c r="J101" t="str">
        <f t="shared" si="1"/>
        <v>ia.assorted_string like '%97805-00061-09-2024%' or</v>
      </c>
    </row>
    <row r="102" spans="1:10" x14ac:dyDescent="0.25">
      <c r="A102" s="18" t="s">
        <v>6655</v>
      </c>
      <c r="B102" t="s">
        <v>7026</v>
      </c>
      <c r="H102">
        <v>97805</v>
      </c>
      <c r="I102" t="s">
        <v>7129</v>
      </c>
      <c r="J102" t="str">
        <f t="shared" si="1"/>
        <v>ia.assorted_string like '%97805-00174-09-2024%' or</v>
      </c>
    </row>
    <row r="103" spans="1:10" x14ac:dyDescent="0.25">
      <c r="A103" s="18" t="s">
        <v>6656</v>
      </c>
      <c r="B103" t="s">
        <v>7026</v>
      </c>
      <c r="H103">
        <v>97805</v>
      </c>
      <c r="I103" t="s">
        <v>7130</v>
      </c>
      <c r="J103" t="str">
        <f t="shared" si="1"/>
        <v>ia.assorted_string like '%97805-00063-09-2024%' or</v>
      </c>
    </row>
    <row r="104" spans="1:10" x14ac:dyDescent="0.25">
      <c r="A104" s="18" t="s">
        <v>6657</v>
      </c>
      <c r="B104" t="s">
        <v>7026</v>
      </c>
      <c r="H104">
        <v>97805</v>
      </c>
      <c r="I104" t="s">
        <v>7131</v>
      </c>
      <c r="J104" t="str">
        <f t="shared" si="1"/>
        <v>ia.assorted_string like '%97805-00067-09-2024%' or</v>
      </c>
    </row>
    <row r="105" spans="1:10" x14ac:dyDescent="0.25">
      <c r="A105" s="18" t="s">
        <v>6658</v>
      </c>
      <c r="B105" t="s">
        <v>7026</v>
      </c>
      <c r="H105">
        <v>97805</v>
      </c>
      <c r="I105" t="s">
        <v>7132</v>
      </c>
      <c r="J105" t="str">
        <f t="shared" si="1"/>
        <v>ia.assorted_string like '%97805-00179-09-2024%' or</v>
      </c>
    </row>
    <row r="106" spans="1:10" x14ac:dyDescent="0.25">
      <c r="A106" s="18" t="s">
        <v>6659</v>
      </c>
      <c r="B106" t="s">
        <v>7026</v>
      </c>
      <c r="H106">
        <v>97805</v>
      </c>
      <c r="I106" t="s">
        <v>7133</v>
      </c>
      <c r="J106" t="str">
        <f t="shared" si="1"/>
        <v>ia.assorted_string like '%97805-00068-09-2024%' or</v>
      </c>
    </row>
    <row r="107" spans="1:10" x14ac:dyDescent="0.25">
      <c r="A107" s="18" t="s">
        <v>6660</v>
      </c>
      <c r="B107" t="s">
        <v>7026</v>
      </c>
      <c r="H107">
        <v>97805</v>
      </c>
      <c r="I107" t="s">
        <v>7134</v>
      </c>
      <c r="J107" t="str">
        <f t="shared" si="1"/>
        <v>ia.assorted_string like '%97805-00181-09-2024%' or</v>
      </c>
    </row>
    <row r="108" spans="1:10" x14ac:dyDescent="0.25">
      <c r="A108" s="18" t="s">
        <v>6661</v>
      </c>
      <c r="B108" t="s">
        <v>7026</v>
      </c>
      <c r="H108">
        <v>97805</v>
      </c>
      <c r="I108" t="s">
        <v>7135</v>
      </c>
      <c r="J108" t="str">
        <f t="shared" si="1"/>
        <v>ia.assorted_string like '%97805-00071-09-2024%' or</v>
      </c>
    </row>
    <row r="109" spans="1:10" x14ac:dyDescent="0.25">
      <c r="A109" s="18" t="s">
        <v>6662</v>
      </c>
      <c r="B109" t="s">
        <v>7026</v>
      </c>
      <c r="H109">
        <v>97805</v>
      </c>
      <c r="I109" t="s">
        <v>7136</v>
      </c>
      <c r="J109" t="str">
        <f t="shared" si="1"/>
        <v>ia.assorted_string like '%97805-00185-09-2024%' or</v>
      </c>
    </row>
    <row r="110" spans="1:10" x14ac:dyDescent="0.25">
      <c r="A110" s="18" t="s">
        <v>6663</v>
      </c>
      <c r="B110" t="s">
        <v>7026</v>
      </c>
      <c r="H110">
        <v>97805</v>
      </c>
      <c r="I110" t="s">
        <v>7137</v>
      </c>
      <c r="J110" t="str">
        <f t="shared" si="1"/>
        <v>ia.assorted_string like '%97805-00186-09-2024%' or</v>
      </c>
    </row>
    <row r="111" spans="1:10" x14ac:dyDescent="0.25">
      <c r="A111" s="18" t="s">
        <v>6664</v>
      </c>
      <c r="B111" t="s">
        <v>7026</v>
      </c>
      <c r="H111">
        <v>97805</v>
      </c>
      <c r="I111" t="s">
        <v>7138</v>
      </c>
      <c r="J111" t="str">
        <f t="shared" si="1"/>
        <v>ia.assorted_string like '%97805-00187-09-2024%' or</v>
      </c>
    </row>
    <row r="112" spans="1:10" x14ac:dyDescent="0.25">
      <c r="A112" s="18" t="s">
        <v>6665</v>
      </c>
      <c r="B112" t="s">
        <v>7026</v>
      </c>
      <c r="H112">
        <v>97805</v>
      </c>
      <c r="I112" t="s">
        <v>7139</v>
      </c>
      <c r="J112" t="str">
        <f t="shared" si="1"/>
        <v>ia.assorted_string like '%97805-00188-09-2024%' or</v>
      </c>
    </row>
    <row r="113" spans="1:10" x14ac:dyDescent="0.25">
      <c r="A113" s="18" t="s">
        <v>6666</v>
      </c>
      <c r="B113" t="s">
        <v>7026</v>
      </c>
      <c r="H113">
        <v>97805</v>
      </c>
      <c r="I113" t="s">
        <v>7140</v>
      </c>
      <c r="J113" t="str">
        <f t="shared" si="1"/>
        <v>ia.assorted_string like '%97805-00189-09-2024%' or</v>
      </c>
    </row>
    <row r="114" spans="1:10" x14ac:dyDescent="0.25">
      <c r="A114" s="18" t="s">
        <v>6667</v>
      </c>
      <c r="B114" t="s">
        <v>7026</v>
      </c>
      <c r="H114">
        <v>97805</v>
      </c>
      <c r="I114" t="s">
        <v>7141</v>
      </c>
      <c r="J114" t="str">
        <f t="shared" si="1"/>
        <v>ia.assorted_string like '%97805-00192-09-2024%' or</v>
      </c>
    </row>
    <row r="115" spans="1:10" x14ac:dyDescent="0.25">
      <c r="A115" s="18" t="s">
        <v>6668</v>
      </c>
      <c r="B115" t="s">
        <v>7026</v>
      </c>
      <c r="H115">
        <v>97805</v>
      </c>
      <c r="I115" t="s">
        <v>7142</v>
      </c>
      <c r="J115" t="str">
        <f t="shared" si="1"/>
        <v>ia.assorted_string like '%97805-00193-09-2024%' or</v>
      </c>
    </row>
    <row r="116" spans="1:10" x14ac:dyDescent="0.25">
      <c r="A116" s="18" t="s">
        <v>6669</v>
      </c>
      <c r="B116" t="s">
        <v>7026</v>
      </c>
      <c r="H116">
        <v>97805</v>
      </c>
      <c r="I116" t="s">
        <v>7143</v>
      </c>
      <c r="J116" t="str">
        <f t="shared" si="1"/>
        <v>ia.assorted_string like '%97805-00194-09-2024%' or</v>
      </c>
    </row>
    <row r="117" spans="1:10" x14ac:dyDescent="0.25">
      <c r="A117" s="18" t="s">
        <v>6670</v>
      </c>
      <c r="B117" t="s">
        <v>7026</v>
      </c>
      <c r="H117">
        <v>97805</v>
      </c>
      <c r="I117" t="s">
        <v>7144</v>
      </c>
      <c r="J117" t="str">
        <f t="shared" si="1"/>
        <v>ia.assorted_string like '%97805-00073-09-2024%' or</v>
      </c>
    </row>
    <row r="118" spans="1:10" x14ac:dyDescent="0.25">
      <c r="A118" s="18" t="s">
        <v>6671</v>
      </c>
      <c r="B118" t="s">
        <v>7026</v>
      </c>
      <c r="H118">
        <v>97805</v>
      </c>
      <c r="I118" t="s">
        <v>7145</v>
      </c>
      <c r="J118" t="str">
        <f t="shared" si="1"/>
        <v>ia.assorted_string like '%97805-00075-09-2024%' or</v>
      </c>
    </row>
    <row r="119" spans="1:10" x14ac:dyDescent="0.25">
      <c r="A119" s="18" t="s">
        <v>6672</v>
      </c>
      <c r="B119" t="s">
        <v>7026</v>
      </c>
      <c r="H119">
        <v>97805</v>
      </c>
      <c r="I119" t="s">
        <v>7146</v>
      </c>
      <c r="J119" t="str">
        <f t="shared" si="1"/>
        <v>ia.assorted_string like '%97805-00197-09-2024%' or</v>
      </c>
    </row>
    <row r="120" spans="1:10" x14ac:dyDescent="0.25">
      <c r="A120" s="18" t="s">
        <v>6673</v>
      </c>
      <c r="B120" t="s">
        <v>7026</v>
      </c>
      <c r="H120">
        <v>97805</v>
      </c>
      <c r="I120" t="s">
        <v>7147</v>
      </c>
      <c r="J120" t="str">
        <f t="shared" si="1"/>
        <v>ia.assorted_string like '%97805-00198-09-2024%' or</v>
      </c>
    </row>
    <row r="121" spans="1:10" x14ac:dyDescent="0.25">
      <c r="A121" s="18" t="s">
        <v>6674</v>
      </c>
      <c r="B121" t="s">
        <v>7026</v>
      </c>
      <c r="H121">
        <v>97805</v>
      </c>
      <c r="I121" t="s">
        <v>7148</v>
      </c>
      <c r="J121" t="str">
        <f t="shared" si="1"/>
        <v>ia.assorted_string like '%97805-00199-09-2024%' or</v>
      </c>
    </row>
    <row r="122" spans="1:10" x14ac:dyDescent="0.25">
      <c r="A122" s="18" t="s">
        <v>6675</v>
      </c>
      <c r="B122" t="s">
        <v>7026</v>
      </c>
      <c r="H122">
        <v>97805</v>
      </c>
      <c r="I122" t="s">
        <v>7149</v>
      </c>
      <c r="J122" t="str">
        <f t="shared" si="1"/>
        <v>ia.assorted_string like '%97805-00200-09-2024%' or</v>
      </c>
    </row>
    <row r="123" spans="1:10" x14ac:dyDescent="0.25">
      <c r="A123" s="18" t="s">
        <v>6676</v>
      </c>
      <c r="B123" t="s">
        <v>7026</v>
      </c>
      <c r="H123">
        <v>97805</v>
      </c>
      <c r="I123" t="s">
        <v>7150</v>
      </c>
      <c r="J123" t="str">
        <f t="shared" si="1"/>
        <v>ia.assorted_string like '%97805-00077-09-2024%' or</v>
      </c>
    </row>
    <row r="124" spans="1:10" x14ac:dyDescent="0.25">
      <c r="A124" s="18" t="s">
        <v>6677</v>
      </c>
      <c r="B124" t="s">
        <v>7026</v>
      </c>
      <c r="H124">
        <v>97805</v>
      </c>
      <c r="I124" t="s">
        <v>7151</v>
      </c>
      <c r="J124" t="str">
        <f t="shared" si="1"/>
        <v>ia.assorted_string like '%97805-00078-09-2024%' or</v>
      </c>
    </row>
    <row r="125" spans="1:10" x14ac:dyDescent="0.25">
      <c r="A125" s="18" t="s">
        <v>6678</v>
      </c>
      <c r="B125" t="s">
        <v>7026</v>
      </c>
      <c r="H125">
        <v>97805</v>
      </c>
      <c r="I125" t="s">
        <v>7152</v>
      </c>
      <c r="J125" t="str">
        <f t="shared" si="1"/>
        <v>ia.assorted_string like '%97805-00079-09-2024%' or</v>
      </c>
    </row>
    <row r="126" spans="1:10" x14ac:dyDescent="0.25">
      <c r="A126" s="18" t="s">
        <v>6679</v>
      </c>
      <c r="B126" t="s">
        <v>7026</v>
      </c>
      <c r="H126">
        <v>97805</v>
      </c>
      <c r="I126" t="s">
        <v>7153</v>
      </c>
      <c r="J126" t="str">
        <f t="shared" si="1"/>
        <v>ia.assorted_string like '%97805-00080-09-2024%' or</v>
      </c>
    </row>
    <row r="127" spans="1:10" x14ac:dyDescent="0.25">
      <c r="A127" s="18" t="s">
        <v>6680</v>
      </c>
      <c r="B127" t="s">
        <v>7026</v>
      </c>
      <c r="H127">
        <v>97805</v>
      </c>
      <c r="I127" t="s">
        <v>7154</v>
      </c>
      <c r="J127" t="str">
        <f t="shared" si="1"/>
        <v>ia.assorted_string like '%97805-00081-09-2024%' or</v>
      </c>
    </row>
    <row r="128" spans="1:10" x14ac:dyDescent="0.25">
      <c r="A128" s="18" t="s">
        <v>6681</v>
      </c>
      <c r="B128" t="s">
        <v>7026</v>
      </c>
      <c r="H128">
        <v>97805</v>
      </c>
      <c r="I128" t="s">
        <v>7155</v>
      </c>
      <c r="J128" t="str">
        <f t="shared" si="1"/>
        <v>ia.assorted_string like '%97805-00082-09-2024%' or</v>
      </c>
    </row>
    <row r="129" spans="1:10" x14ac:dyDescent="0.25">
      <c r="A129" s="18" t="s">
        <v>6682</v>
      </c>
      <c r="B129" t="s">
        <v>7026</v>
      </c>
      <c r="H129">
        <v>97805</v>
      </c>
      <c r="I129" t="s">
        <v>7156</v>
      </c>
      <c r="J129" t="str">
        <f t="shared" si="1"/>
        <v>ia.assorted_string like '%97805-00083-09-2024%' or</v>
      </c>
    </row>
    <row r="130" spans="1:10" x14ac:dyDescent="0.25">
      <c r="A130" s="18" t="s">
        <v>6683</v>
      </c>
      <c r="B130" t="s">
        <v>7026</v>
      </c>
      <c r="H130">
        <v>97805</v>
      </c>
      <c r="I130" t="s">
        <v>7157</v>
      </c>
      <c r="J130" t="str">
        <f t="shared" si="1"/>
        <v>ia.assorted_string like '%97805-00089-09-2024%' or</v>
      </c>
    </row>
    <row r="131" spans="1:10" x14ac:dyDescent="0.25">
      <c r="A131" s="18" t="s">
        <v>6684</v>
      </c>
      <c r="B131" t="s">
        <v>7026</v>
      </c>
      <c r="H131">
        <v>97805</v>
      </c>
      <c r="I131" t="s">
        <v>7158</v>
      </c>
      <c r="J131" t="str">
        <f t="shared" ref="J131:J194" si="2">"ia.assorted_string like '%"&amp;H131&amp;"-"&amp;I131&amp;B131&amp;"%' or"</f>
        <v>ia.assorted_string like '%97805-00092-09-2024%' or</v>
      </c>
    </row>
    <row r="132" spans="1:10" x14ac:dyDescent="0.25">
      <c r="A132" s="18" t="s">
        <v>6685</v>
      </c>
      <c r="B132" t="s">
        <v>7026</v>
      </c>
      <c r="H132">
        <v>97805</v>
      </c>
      <c r="I132" t="s">
        <v>7159</v>
      </c>
      <c r="J132" t="str">
        <f t="shared" si="2"/>
        <v>ia.assorted_string like '%97805-00093-09-2024%' or</v>
      </c>
    </row>
    <row r="133" spans="1:10" x14ac:dyDescent="0.25">
      <c r="A133" s="18" t="s">
        <v>6686</v>
      </c>
      <c r="B133" t="s">
        <v>7026</v>
      </c>
      <c r="H133">
        <v>97805</v>
      </c>
      <c r="I133" t="s">
        <v>7160</v>
      </c>
      <c r="J133" t="str">
        <f t="shared" si="2"/>
        <v>ia.assorted_string like '%97805-00210-09-2024%' or</v>
      </c>
    </row>
    <row r="134" spans="1:10" x14ac:dyDescent="0.25">
      <c r="A134" s="18" t="s">
        <v>6687</v>
      </c>
      <c r="B134" t="s">
        <v>7026</v>
      </c>
      <c r="H134">
        <v>97805</v>
      </c>
      <c r="I134" t="s">
        <v>7161</v>
      </c>
      <c r="J134" t="str">
        <f t="shared" si="2"/>
        <v>ia.assorted_string like '%97805-00212-09-2024%' or</v>
      </c>
    </row>
    <row r="135" spans="1:10" x14ac:dyDescent="0.25">
      <c r="A135" s="18" t="s">
        <v>6688</v>
      </c>
      <c r="B135" t="s">
        <v>7026</v>
      </c>
      <c r="H135">
        <v>97805</v>
      </c>
      <c r="I135" t="s">
        <v>7162</v>
      </c>
      <c r="J135" t="str">
        <f t="shared" si="2"/>
        <v>ia.assorted_string like '%97805-00213-09-2024%' or</v>
      </c>
    </row>
    <row r="136" spans="1:10" x14ac:dyDescent="0.25">
      <c r="A136" s="18" t="s">
        <v>6689</v>
      </c>
      <c r="B136" t="s">
        <v>7026</v>
      </c>
      <c r="H136">
        <v>97805</v>
      </c>
      <c r="I136" t="s">
        <v>7163</v>
      </c>
      <c r="J136" t="str">
        <f t="shared" si="2"/>
        <v>ia.assorted_string like '%97805-00097-09-2024%' or</v>
      </c>
    </row>
    <row r="137" spans="1:10" x14ac:dyDescent="0.25">
      <c r="A137" s="18" t="s">
        <v>6690</v>
      </c>
      <c r="B137" t="s">
        <v>7026</v>
      </c>
      <c r="H137">
        <v>97805</v>
      </c>
      <c r="I137" t="s">
        <v>7164</v>
      </c>
      <c r="J137" t="str">
        <f t="shared" si="2"/>
        <v>ia.assorted_string like '%97805-00099-09-2024%' or</v>
      </c>
    </row>
    <row r="138" spans="1:10" x14ac:dyDescent="0.25">
      <c r="A138" s="18" t="s">
        <v>6691</v>
      </c>
      <c r="B138" t="s">
        <v>7026</v>
      </c>
      <c r="H138">
        <v>97805</v>
      </c>
      <c r="I138" t="s">
        <v>7165</v>
      </c>
      <c r="J138" t="str">
        <f t="shared" si="2"/>
        <v>ia.assorted_string like '%97805-00216-09-2024%' or</v>
      </c>
    </row>
    <row r="139" spans="1:10" x14ac:dyDescent="0.25">
      <c r="A139" s="18" t="s">
        <v>6692</v>
      </c>
      <c r="B139" t="s">
        <v>7026</v>
      </c>
      <c r="H139">
        <v>97805</v>
      </c>
      <c r="I139" t="s">
        <v>7166</v>
      </c>
      <c r="J139" t="str">
        <f t="shared" si="2"/>
        <v>ia.assorted_string like '%97805-00101-09-2024%' or</v>
      </c>
    </row>
    <row r="140" spans="1:10" x14ac:dyDescent="0.25">
      <c r="A140" s="18" t="s">
        <v>6693</v>
      </c>
      <c r="B140" t="s">
        <v>7026</v>
      </c>
      <c r="H140">
        <v>97805</v>
      </c>
      <c r="I140" t="s">
        <v>7167</v>
      </c>
      <c r="J140" t="str">
        <f t="shared" si="2"/>
        <v>ia.assorted_string like '%97805-00102-09-2024%' or</v>
      </c>
    </row>
    <row r="141" spans="1:10" x14ac:dyDescent="0.25">
      <c r="A141" s="18" t="s">
        <v>6694</v>
      </c>
      <c r="B141" t="s">
        <v>7026</v>
      </c>
      <c r="H141">
        <v>97805</v>
      </c>
      <c r="I141" t="s">
        <v>7168</v>
      </c>
      <c r="J141" t="str">
        <f t="shared" si="2"/>
        <v>ia.assorted_string like '%97805-00220-09-2024%' or</v>
      </c>
    </row>
    <row r="142" spans="1:10" x14ac:dyDescent="0.25">
      <c r="A142" s="18" t="s">
        <v>6695</v>
      </c>
      <c r="B142" t="s">
        <v>7026</v>
      </c>
      <c r="H142">
        <v>97805</v>
      </c>
      <c r="I142" t="s">
        <v>7169</v>
      </c>
      <c r="J142" t="str">
        <f t="shared" si="2"/>
        <v>ia.assorted_string like '%97805-00103-09-2024%' or</v>
      </c>
    </row>
    <row r="143" spans="1:10" x14ac:dyDescent="0.25">
      <c r="A143" s="18" t="s">
        <v>6696</v>
      </c>
      <c r="B143" t="s">
        <v>7026</v>
      </c>
      <c r="H143">
        <v>97805</v>
      </c>
      <c r="I143" t="s">
        <v>7170</v>
      </c>
      <c r="J143" t="str">
        <f t="shared" si="2"/>
        <v>ia.assorted_string like '%97805-00104-09-2024%' or</v>
      </c>
    </row>
    <row r="144" spans="1:10" x14ac:dyDescent="0.25">
      <c r="A144" s="18" t="s">
        <v>6697</v>
      </c>
      <c r="B144" t="s">
        <v>7026</v>
      </c>
      <c r="H144">
        <v>97805</v>
      </c>
      <c r="I144" t="s">
        <v>7171</v>
      </c>
      <c r="J144" t="str">
        <f t="shared" si="2"/>
        <v>ia.assorted_string like '%97805-00109-09-2024%' or</v>
      </c>
    </row>
    <row r="145" spans="1:10" x14ac:dyDescent="0.25">
      <c r="A145" s="18" t="s">
        <v>6698</v>
      </c>
      <c r="B145" t="s">
        <v>7026</v>
      </c>
      <c r="H145">
        <v>97805</v>
      </c>
      <c r="I145" t="s">
        <v>7172</v>
      </c>
      <c r="J145" t="str">
        <f t="shared" si="2"/>
        <v>ia.assorted_string like '%97805-00110-09-2024%' or</v>
      </c>
    </row>
    <row r="146" spans="1:10" x14ac:dyDescent="0.25">
      <c r="A146" s="18" t="s">
        <v>6699</v>
      </c>
      <c r="B146" t="s">
        <v>7026</v>
      </c>
      <c r="H146">
        <v>97805</v>
      </c>
      <c r="I146" t="s">
        <v>7173</v>
      </c>
      <c r="J146" t="str">
        <f t="shared" si="2"/>
        <v>ia.assorted_string like '%97805-00112-09-2024%' or</v>
      </c>
    </row>
    <row r="147" spans="1:10" x14ac:dyDescent="0.25">
      <c r="A147" s="18" t="s">
        <v>6700</v>
      </c>
      <c r="B147" t="s">
        <v>7026</v>
      </c>
      <c r="H147">
        <v>97805</v>
      </c>
      <c r="I147" t="s">
        <v>7174</v>
      </c>
      <c r="J147" t="str">
        <f t="shared" si="2"/>
        <v>ia.assorted_string like '%97805-00228-09-2024%' or</v>
      </c>
    </row>
    <row r="148" spans="1:10" x14ac:dyDescent="0.25">
      <c r="A148" s="18" t="s">
        <v>6701</v>
      </c>
      <c r="B148" t="s">
        <v>7026</v>
      </c>
      <c r="H148">
        <v>97805</v>
      </c>
      <c r="I148" t="s">
        <v>7175</v>
      </c>
      <c r="J148" t="str">
        <f t="shared" si="2"/>
        <v>ia.assorted_string like '%97805-00229-09-2024%' or</v>
      </c>
    </row>
    <row r="149" spans="1:10" x14ac:dyDescent="0.25">
      <c r="A149" s="18" t="s">
        <v>6702</v>
      </c>
      <c r="B149" t="s">
        <v>7026</v>
      </c>
      <c r="H149">
        <v>97805</v>
      </c>
      <c r="I149" t="s">
        <v>7176</v>
      </c>
      <c r="J149" t="str">
        <f t="shared" si="2"/>
        <v>ia.assorted_string like '%97805-00113-09-2024%' or</v>
      </c>
    </row>
    <row r="150" spans="1:10" x14ac:dyDescent="0.25">
      <c r="A150" s="18" t="s">
        <v>6703</v>
      </c>
      <c r="B150" t="s">
        <v>7026</v>
      </c>
      <c r="H150">
        <v>97805</v>
      </c>
      <c r="I150" t="s">
        <v>7177</v>
      </c>
      <c r="J150" t="str">
        <f t="shared" si="2"/>
        <v>ia.assorted_string like '%97805-00115-09-2024%' or</v>
      </c>
    </row>
    <row r="151" spans="1:10" x14ac:dyDescent="0.25">
      <c r="A151" s="18" t="s">
        <v>6704</v>
      </c>
      <c r="B151" t="s">
        <v>7026</v>
      </c>
      <c r="H151">
        <v>97805</v>
      </c>
      <c r="I151" t="s">
        <v>7178</v>
      </c>
      <c r="J151" t="str">
        <f t="shared" si="2"/>
        <v>ia.assorted_string like '%97805-00116-09-2024%' or</v>
      </c>
    </row>
    <row r="152" spans="1:10" x14ac:dyDescent="0.25">
      <c r="A152" s="18" t="s">
        <v>6705</v>
      </c>
      <c r="B152" t="s">
        <v>7026</v>
      </c>
      <c r="H152">
        <v>97805</v>
      </c>
      <c r="I152" t="s">
        <v>7179</v>
      </c>
      <c r="J152" t="str">
        <f t="shared" si="2"/>
        <v>ia.assorted_string like '%97805-00117-09-2024%' or</v>
      </c>
    </row>
    <row r="153" spans="1:10" x14ac:dyDescent="0.25">
      <c r="A153" s="18" t="s">
        <v>6706</v>
      </c>
      <c r="B153" t="s">
        <v>7026</v>
      </c>
      <c r="H153">
        <v>97805</v>
      </c>
      <c r="I153" t="s">
        <v>7180</v>
      </c>
      <c r="J153" t="str">
        <f t="shared" si="2"/>
        <v>ia.assorted_string like '%97805-00233-09-2024%' or</v>
      </c>
    </row>
    <row r="154" spans="1:10" x14ac:dyDescent="0.25">
      <c r="A154" s="18" t="s">
        <v>6707</v>
      </c>
      <c r="B154" t="s">
        <v>7026</v>
      </c>
      <c r="H154">
        <v>97805</v>
      </c>
      <c r="I154" t="s">
        <v>7181</v>
      </c>
      <c r="J154" t="str">
        <f t="shared" si="2"/>
        <v>ia.assorted_string like '%97805-00234-09-2024%' or</v>
      </c>
    </row>
    <row r="155" spans="1:10" x14ac:dyDescent="0.25">
      <c r="A155" s="18" t="s">
        <v>6708</v>
      </c>
      <c r="B155" t="s">
        <v>7026</v>
      </c>
      <c r="H155">
        <v>97805</v>
      </c>
      <c r="I155" t="s">
        <v>7182</v>
      </c>
      <c r="J155" t="str">
        <f t="shared" si="2"/>
        <v>ia.assorted_string like '%97805-00235-09-2024%' or</v>
      </c>
    </row>
    <row r="156" spans="1:10" x14ac:dyDescent="0.25">
      <c r="A156" s="18" t="s">
        <v>6709</v>
      </c>
      <c r="B156" t="s">
        <v>7026</v>
      </c>
      <c r="H156">
        <v>97805</v>
      </c>
      <c r="I156" t="s">
        <v>7183</v>
      </c>
      <c r="J156" t="str">
        <f t="shared" si="2"/>
        <v>ia.assorted_string like '%97805-00236-09-2024%' or</v>
      </c>
    </row>
    <row r="157" spans="1:10" x14ac:dyDescent="0.25">
      <c r="A157" s="18" t="s">
        <v>6710</v>
      </c>
      <c r="B157" t="s">
        <v>7026</v>
      </c>
      <c r="H157">
        <v>97805</v>
      </c>
      <c r="I157" t="s">
        <v>7184</v>
      </c>
      <c r="J157" t="str">
        <f t="shared" si="2"/>
        <v>ia.assorted_string like '%97805-00118-09-2024%' or</v>
      </c>
    </row>
    <row r="158" spans="1:10" x14ac:dyDescent="0.25">
      <c r="A158" s="18" t="s">
        <v>6711</v>
      </c>
      <c r="B158" t="s">
        <v>7026</v>
      </c>
      <c r="H158">
        <v>97805</v>
      </c>
      <c r="I158" t="s">
        <v>7185</v>
      </c>
      <c r="J158" t="str">
        <f t="shared" si="2"/>
        <v>ia.assorted_string like '%97805-00238-09-2024%' or</v>
      </c>
    </row>
    <row r="159" spans="1:10" x14ac:dyDescent="0.25">
      <c r="A159" s="18" t="s">
        <v>6712</v>
      </c>
      <c r="B159" t="s">
        <v>7026</v>
      </c>
      <c r="H159">
        <v>97805</v>
      </c>
      <c r="I159" t="s">
        <v>7186</v>
      </c>
      <c r="J159" t="str">
        <f t="shared" si="2"/>
        <v>ia.assorted_string like '%97805-00239-09-2024%' or</v>
      </c>
    </row>
    <row r="160" spans="1:10" x14ac:dyDescent="0.25">
      <c r="A160" s="18" t="s">
        <v>6713</v>
      </c>
      <c r="B160" t="s">
        <v>7026</v>
      </c>
      <c r="H160">
        <v>97805</v>
      </c>
      <c r="I160" t="s">
        <v>7187</v>
      </c>
      <c r="J160" t="str">
        <f t="shared" si="2"/>
        <v>ia.assorted_string like '%97805-00240-09-2024%' or</v>
      </c>
    </row>
    <row r="161" spans="1:10" x14ac:dyDescent="0.25">
      <c r="A161" s="18" t="s">
        <v>6714</v>
      </c>
      <c r="B161" t="s">
        <v>7026</v>
      </c>
      <c r="H161">
        <v>97805</v>
      </c>
      <c r="I161" t="s">
        <v>7188</v>
      </c>
      <c r="J161" t="str">
        <f t="shared" si="2"/>
        <v>ia.assorted_string like '%97805-00241-09-2024%' or</v>
      </c>
    </row>
    <row r="162" spans="1:10" x14ac:dyDescent="0.25">
      <c r="A162" s="18" t="s">
        <v>6715</v>
      </c>
      <c r="B162" t="s">
        <v>7026</v>
      </c>
      <c r="H162">
        <v>97805</v>
      </c>
      <c r="I162" t="s">
        <v>7189</v>
      </c>
      <c r="J162" t="str">
        <f t="shared" si="2"/>
        <v>ia.assorted_string like '%97805-00120-09-2024%' or</v>
      </c>
    </row>
    <row r="163" spans="1:10" x14ac:dyDescent="0.25">
      <c r="A163" s="18" t="s">
        <v>6716</v>
      </c>
      <c r="B163" t="s">
        <v>7026</v>
      </c>
      <c r="H163">
        <v>97805</v>
      </c>
      <c r="I163" t="s">
        <v>7190</v>
      </c>
      <c r="J163" t="str">
        <f t="shared" si="2"/>
        <v>ia.assorted_string like '%97805-00123-09-2024%' or</v>
      </c>
    </row>
    <row r="164" spans="1:10" x14ac:dyDescent="0.25">
      <c r="A164" s="18" t="s">
        <v>6717</v>
      </c>
      <c r="B164" t="s">
        <v>7026</v>
      </c>
      <c r="H164">
        <v>97805</v>
      </c>
      <c r="I164" t="s">
        <v>7191</v>
      </c>
      <c r="J164" t="str">
        <f t="shared" si="2"/>
        <v>ia.assorted_string like '%97805-00124-09-2024%' or</v>
      </c>
    </row>
    <row r="165" spans="1:10" x14ac:dyDescent="0.25">
      <c r="A165" s="18" t="s">
        <v>6718</v>
      </c>
      <c r="B165" t="s">
        <v>7026</v>
      </c>
      <c r="H165">
        <v>97805</v>
      </c>
      <c r="I165" t="s">
        <v>7192</v>
      </c>
      <c r="J165" t="str">
        <f t="shared" si="2"/>
        <v>ia.assorted_string like '%97805-00127-09-2024%' or</v>
      </c>
    </row>
    <row r="166" spans="1:10" x14ac:dyDescent="0.25">
      <c r="A166" s="18" t="s">
        <v>6719</v>
      </c>
      <c r="B166" t="s">
        <v>7026</v>
      </c>
      <c r="H166">
        <v>97805</v>
      </c>
      <c r="I166" t="s">
        <v>7193</v>
      </c>
      <c r="J166" t="str">
        <f t="shared" si="2"/>
        <v>ia.assorted_string like '%97805-00130-09-2024%' or</v>
      </c>
    </row>
    <row r="167" spans="1:10" x14ac:dyDescent="0.25">
      <c r="A167" s="18" t="s">
        <v>6720</v>
      </c>
      <c r="B167" t="s">
        <v>7026</v>
      </c>
      <c r="H167">
        <v>97805</v>
      </c>
      <c r="I167" t="s">
        <v>7194</v>
      </c>
      <c r="J167" t="str">
        <f t="shared" si="2"/>
        <v>ia.assorted_string like '%97805-00131-09-2024%' or</v>
      </c>
    </row>
    <row r="168" spans="1:10" x14ac:dyDescent="0.25">
      <c r="A168" s="18" t="s">
        <v>6721</v>
      </c>
      <c r="B168" t="s">
        <v>7026</v>
      </c>
      <c r="H168">
        <v>97805</v>
      </c>
      <c r="I168" t="s">
        <v>7195</v>
      </c>
      <c r="J168" t="str">
        <f t="shared" si="2"/>
        <v>ia.assorted_string like '%97805-00132-09-2024%' or</v>
      </c>
    </row>
    <row r="169" spans="1:10" x14ac:dyDescent="0.25">
      <c r="A169" s="18" t="s">
        <v>6722</v>
      </c>
      <c r="B169" t="s">
        <v>7026</v>
      </c>
      <c r="H169">
        <v>97805</v>
      </c>
      <c r="I169" t="s">
        <v>7196</v>
      </c>
      <c r="J169" t="str">
        <f t="shared" si="2"/>
        <v>ia.assorted_string like '%97805-00134-09-2024%' or</v>
      </c>
    </row>
    <row r="170" spans="1:10" x14ac:dyDescent="0.25">
      <c r="A170" s="18" t="s">
        <v>6723</v>
      </c>
      <c r="B170" t="s">
        <v>7026</v>
      </c>
      <c r="H170">
        <v>97805</v>
      </c>
      <c r="I170" t="s">
        <v>7197</v>
      </c>
      <c r="J170" t="str">
        <f t="shared" si="2"/>
        <v>ia.assorted_string like '%97805-00136-09-2024%' or</v>
      </c>
    </row>
    <row r="171" spans="1:10" x14ac:dyDescent="0.25">
      <c r="A171" s="18" t="s">
        <v>6724</v>
      </c>
      <c r="B171" t="s">
        <v>7026</v>
      </c>
      <c r="H171">
        <v>97805</v>
      </c>
      <c r="I171" t="s">
        <v>7198</v>
      </c>
      <c r="J171" t="str">
        <f t="shared" si="2"/>
        <v>ia.assorted_string like '%97805-00254-09-2024%' or</v>
      </c>
    </row>
    <row r="172" spans="1:10" x14ac:dyDescent="0.25">
      <c r="A172" s="18" t="s">
        <v>6725</v>
      </c>
      <c r="B172" t="s">
        <v>7026</v>
      </c>
      <c r="H172">
        <v>97805</v>
      </c>
      <c r="I172" t="s">
        <v>7199</v>
      </c>
      <c r="J172" t="str">
        <f t="shared" si="2"/>
        <v>ia.assorted_string like '%97805-00138-09-2024%' or</v>
      </c>
    </row>
    <row r="173" spans="1:10" x14ac:dyDescent="0.25">
      <c r="A173" s="18" t="s">
        <v>6726</v>
      </c>
      <c r="B173" t="s">
        <v>7026</v>
      </c>
      <c r="H173">
        <v>97805</v>
      </c>
      <c r="I173" t="s">
        <v>7200</v>
      </c>
      <c r="J173" t="str">
        <f t="shared" si="2"/>
        <v>ia.assorted_string like '%97805-00256-09-2024%' or</v>
      </c>
    </row>
    <row r="174" spans="1:10" x14ac:dyDescent="0.25">
      <c r="A174" s="18" t="s">
        <v>6727</v>
      </c>
      <c r="B174" t="s">
        <v>7026</v>
      </c>
      <c r="H174">
        <v>97805</v>
      </c>
      <c r="I174" t="s">
        <v>7201</v>
      </c>
      <c r="J174" t="str">
        <f t="shared" si="2"/>
        <v>ia.assorted_string like '%97805-00139-09-2024%' or</v>
      </c>
    </row>
    <row r="175" spans="1:10" x14ac:dyDescent="0.25">
      <c r="A175" s="18" t="s">
        <v>6728</v>
      </c>
      <c r="B175" t="s">
        <v>7026</v>
      </c>
      <c r="H175">
        <v>97805</v>
      </c>
      <c r="I175" t="s">
        <v>7202</v>
      </c>
      <c r="J175" t="str">
        <f t="shared" si="2"/>
        <v>ia.assorted_string like '%97805-00140-09-2024%' or</v>
      </c>
    </row>
    <row r="176" spans="1:10" x14ac:dyDescent="0.25">
      <c r="A176" s="18" t="s">
        <v>6729</v>
      </c>
      <c r="B176" t="s">
        <v>7026</v>
      </c>
      <c r="H176">
        <v>97805</v>
      </c>
      <c r="I176" t="s">
        <v>7203</v>
      </c>
      <c r="J176" t="str">
        <f t="shared" si="2"/>
        <v>ia.assorted_string like '%97805-00258-09-2024%' or</v>
      </c>
    </row>
    <row r="177" spans="1:10" x14ac:dyDescent="0.25">
      <c r="A177" s="18" t="s">
        <v>6730</v>
      </c>
      <c r="B177" t="s">
        <v>7026</v>
      </c>
      <c r="H177">
        <v>97805</v>
      </c>
      <c r="I177" t="s">
        <v>7204</v>
      </c>
      <c r="J177" t="str">
        <f t="shared" si="2"/>
        <v>ia.assorted_string like '%97805-00259-09-2024%' or</v>
      </c>
    </row>
    <row r="178" spans="1:10" x14ac:dyDescent="0.25">
      <c r="A178" s="18" t="s">
        <v>6731</v>
      </c>
      <c r="B178" t="s">
        <v>7026</v>
      </c>
      <c r="H178">
        <v>97805</v>
      </c>
      <c r="I178" t="s">
        <v>7205</v>
      </c>
      <c r="J178" t="str">
        <f t="shared" si="2"/>
        <v>ia.assorted_string like '%97805-00260-09-2024%' or</v>
      </c>
    </row>
    <row r="179" spans="1:10" x14ac:dyDescent="0.25">
      <c r="A179" s="18" t="s">
        <v>6732</v>
      </c>
      <c r="B179" t="s">
        <v>7026</v>
      </c>
      <c r="H179">
        <v>97805</v>
      </c>
      <c r="I179" t="s">
        <v>7206</v>
      </c>
      <c r="J179" t="str">
        <f t="shared" si="2"/>
        <v>ia.assorted_string like '%97805-00141-09-2024%' or</v>
      </c>
    </row>
    <row r="180" spans="1:10" x14ac:dyDescent="0.25">
      <c r="A180" s="18" t="s">
        <v>6733</v>
      </c>
      <c r="B180" t="s">
        <v>7026</v>
      </c>
      <c r="H180">
        <v>97805</v>
      </c>
      <c r="I180" t="s">
        <v>7207</v>
      </c>
      <c r="J180" t="str">
        <f t="shared" si="2"/>
        <v>ia.assorted_string like '%97805-00261-09-2024%' or</v>
      </c>
    </row>
    <row r="181" spans="1:10" x14ac:dyDescent="0.25">
      <c r="A181" s="18" t="s">
        <v>6734</v>
      </c>
      <c r="B181" t="s">
        <v>7026</v>
      </c>
      <c r="H181">
        <v>97805</v>
      </c>
      <c r="I181" t="s">
        <v>7208</v>
      </c>
      <c r="J181" t="str">
        <f t="shared" si="2"/>
        <v>ia.assorted_string like '%97805-00143-09-2024%' or</v>
      </c>
    </row>
    <row r="182" spans="1:10" x14ac:dyDescent="0.25">
      <c r="A182" s="18" t="s">
        <v>6735</v>
      </c>
      <c r="B182" t="s">
        <v>7026</v>
      </c>
      <c r="H182">
        <v>97805</v>
      </c>
      <c r="I182" t="s">
        <v>7209</v>
      </c>
      <c r="J182" t="str">
        <f t="shared" si="2"/>
        <v>ia.assorted_string like '%97805-00144-09-2024%' or</v>
      </c>
    </row>
    <row r="183" spans="1:10" x14ac:dyDescent="0.25">
      <c r="A183" s="18" t="s">
        <v>6736</v>
      </c>
      <c r="B183" t="s">
        <v>7026</v>
      </c>
      <c r="H183">
        <v>97805</v>
      </c>
      <c r="I183" t="s">
        <v>7210</v>
      </c>
      <c r="J183" t="str">
        <f t="shared" si="2"/>
        <v>ia.assorted_string like '%97805-00145-09-2024%' or</v>
      </c>
    </row>
    <row r="184" spans="1:10" x14ac:dyDescent="0.25">
      <c r="A184" s="18" t="s">
        <v>6737</v>
      </c>
      <c r="B184" t="s">
        <v>7026</v>
      </c>
      <c r="H184">
        <v>97805</v>
      </c>
      <c r="I184" t="s">
        <v>7211</v>
      </c>
      <c r="J184" t="str">
        <f t="shared" si="2"/>
        <v>ia.assorted_string like '%97805-00265-09-2024%' or</v>
      </c>
    </row>
    <row r="185" spans="1:10" x14ac:dyDescent="0.25">
      <c r="A185" s="18" t="s">
        <v>6738</v>
      </c>
      <c r="B185" t="s">
        <v>7026</v>
      </c>
      <c r="H185">
        <v>97805</v>
      </c>
      <c r="I185" t="s">
        <v>7212</v>
      </c>
      <c r="J185" t="str">
        <f t="shared" si="2"/>
        <v>ia.assorted_string like '%97805-00266-09-2024%' or</v>
      </c>
    </row>
    <row r="186" spans="1:10" x14ac:dyDescent="0.25">
      <c r="A186" s="18" t="s">
        <v>6739</v>
      </c>
      <c r="B186" t="s">
        <v>7026</v>
      </c>
      <c r="H186">
        <v>97805</v>
      </c>
      <c r="I186" t="s">
        <v>7213</v>
      </c>
      <c r="J186" t="str">
        <f t="shared" si="2"/>
        <v>ia.assorted_string like '%97805-00146-09-2024%' or</v>
      </c>
    </row>
    <row r="187" spans="1:10" x14ac:dyDescent="0.25">
      <c r="A187" s="18" t="s">
        <v>6740</v>
      </c>
      <c r="B187" t="s">
        <v>7026</v>
      </c>
      <c r="H187">
        <v>97805</v>
      </c>
      <c r="I187" t="s">
        <v>7214</v>
      </c>
      <c r="J187" t="str">
        <f t="shared" si="2"/>
        <v>ia.assorted_string like '%97805-00268-09-2024%' or</v>
      </c>
    </row>
    <row r="188" spans="1:10" x14ac:dyDescent="0.25">
      <c r="A188" s="18" t="s">
        <v>6741</v>
      </c>
      <c r="B188" t="s">
        <v>7026</v>
      </c>
      <c r="H188">
        <v>97805</v>
      </c>
      <c r="I188" t="s">
        <v>7215</v>
      </c>
      <c r="J188" t="str">
        <f t="shared" si="2"/>
        <v>ia.assorted_string like '%97805-00147-09-2024%' or</v>
      </c>
    </row>
    <row r="189" spans="1:10" x14ac:dyDescent="0.25">
      <c r="A189" s="18" t="s">
        <v>6742</v>
      </c>
      <c r="B189" t="s">
        <v>7026</v>
      </c>
      <c r="H189">
        <v>97805</v>
      </c>
      <c r="I189" t="s">
        <v>7216</v>
      </c>
      <c r="J189" t="str">
        <f t="shared" si="2"/>
        <v>ia.assorted_string like '%97805-00270-09-2024%' or</v>
      </c>
    </row>
    <row r="190" spans="1:10" x14ac:dyDescent="0.25">
      <c r="A190" s="18" t="s">
        <v>6743</v>
      </c>
      <c r="B190" t="s">
        <v>7026</v>
      </c>
      <c r="H190">
        <v>97805</v>
      </c>
      <c r="I190" t="s">
        <v>7217</v>
      </c>
      <c r="J190" t="str">
        <f t="shared" si="2"/>
        <v>ia.assorted_string like '%97805-00149-09-2024%' or</v>
      </c>
    </row>
    <row r="191" spans="1:10" x14ac:dyDescent="0.25">
      <c r="A191" s="18" t="s">
        <v>6744</v>
      </c>
      <c r="B191" t="s">
        <v>7026</v>
      </c>
      <c r="H191">
        <v>97805</v>
      </c>
      <c r="I191" t="s">
        <v>7218</v>
      </c>
      <c r="J191" t="str">
        <f t="shared" si="2"/>
        <v>ia.assorted_string like '%97805-00153-09-2024%' or</v>
      </c>
    </row>
    <row r="192" spans="1:10" x14ac:dyDescent="0.25">
      <c r="A192" s="18" t="s">
        <v>6745</v>
      </c>
      <c r="B192" t="s">
        <v>7026</v>
      </c>
      <c r="H192">
        <v>97805</v>
      </c>
      <c r="I192" t="s">
        <v>7219</v>
      </c>
      <c r="J192" t="str">
        <f t="shared" si="2"/>
        <v>ia.assorted_string like '%97805-00272-09-2024%' or</v>
      </c>
    </row>
    <row r="193" spans="1:10" x14ac:dyDescent="0.25">
      <c r="A193" s="18" t="s">
        <v>6746</v>
      </c>
      <c r="B193" t="s">
        <v>7026</v>
      </c>
      <c r="H193">
        <v>97805</v>
      </c>
      <c r="I193" t="s">
        <v>7220</v>
      </c>
      <c r="J193" t="str">
        <f t="shared" si="2"/>
        <v>ia.assorted_string like '%97805-00157-09-2024%' or</v>
      </c>
    </row>
    <row r="194" spans="1:10" x14ac:dyDescent="0.25">
      <c r="A194" s="18" t="s">
        <v>6747</v>
      </c>
      <c r="B194" t="s">
        <v>7026</v>
      </c>
      <c r="H194">
        <v>97805</v>
      </c>
      <c r="I194" t="s">
        <v>7221</v>
      </c>
      <c r="J194" t="str">
        <f t="shared" si="2"/>
        <v>ia.assorted_string like '%97805-00161-09-2024%' or</v>
      </c>
    </row>
    <row r="195" spans="1:10" x14ac:dyDescent="0.25">
      <c r="A195" s="18" t="s">
        <v>6748</v>
      </c>
      <c r="B195" t="s">
        <v>7026</v>
      </c>
      <c r="H195">
        <v>97805</v>
      </c>
      <c r="I195" t="s">
        <v>7222</v>
      </c>
      <c r="J195" t="str">
        <f t="shared" ref="J195:J258" si="3">"ia.assorted_string like '%"&amp;H195&amp;"-"&amp;I195&amp;B195&amp;"%' or"</f>
        <v>ia.assorted_string like '%97805-00163-09-2024%' or</v>
      </c>
    </row>
    <row r="196" spans="1:10" x14ac:dyDescent="0.25">
      <c r="A196" s="18" t="s">
        <v>6749</v>
      </c>
      <c r="B196" t="s">
        <v>7026</v>
      </c>
      <c r="H196">
        <v>97805</v>
      </c>
      <c r="I196" t="s">
        <v>7223</v>
      </c>
      <c r="J196" t="str">
        <f t="shared" si="3"/>
        <v>ia.assorted_string like '%97805-00278-09-2024%' or</v>
      </c>
    </row>
    <row r="197" spans="1:10" x14ac:dyDescent="0.25">
      <c r="A197" s="18" t="s">
        <v>6750</v>
      </c>
      <c r="B197" t="s">
        <v>7026</v>
      </c>
      <c r="H197">
        <v>97805</v>
      </c>
      <c r="I197" t="s">
        <v>7224</v>
      </c>
      <c r="J197" t="str">
        <f t="shared" si="3"/>
        <v>ia.assorted_string like '%97805-00279-09-2024%' or</v>
      </c>
    </row>
    <row r="198" spans="1:10" x14ac:dyDescent="0.25">
      <c r="A198" s="18" t="s">
        <v>6751</v>
      </c>
      <c r="B198" t="s">
        <v>7026</v>
      </c>
      <c r="H198">
        <v>97805</v>
      </c>
      <c r="I198" t="s">
        <v>7225</v>
      </c>
      <c r="J198" t="str">
        <f t="shared" si="3"/>
        <v>ia.assorted_string like '%97805-00164-09-2024%' or</v>
      </c>
    </row>
    <row r="199" spans="1:10" x14ac:dyDescent="0.25">
      <c r="A199" s="18" t="s">
        <v>6752</v>
      </c>
      <c r="B199" t="s">
        <v>7026</v>
      </c>
      <c r="H199">
        <v>97805</v>
      </c>
      <c r="I199" t="s">
        <v>7226</v>
      </c>
      <c r="J199" t="str">
        <f t="shared" si="3"/>
        <v>ia.assorted_string like '%97805-00165-09-2024%' or</v>
      </c>
    </row>
    <row r="200" spans="1:10" x14ac:dyDescent="0.25">
      <c r="A200" s="18" t="s">
        <v>6753</v>
      </c>
      <c r="B200" t="s">
        <v>7026</v>
      </c>
      <c r="H200">
        <v>97805</v>
      </c>
      <c r="I200" t="s">
        <v>7227</v>
      </c>
      <c r="J200" t="str">
        <f t="shared" si="3"/>
        <v>ia.assorted_string like '%97805-00170-09-2024%' or</v>
      </c>
    </row>
    <row r="201" spans="1:10" x14ac:dyDescent="0.25">
      <c r="A201" s="18" t="s">
        <v>6754</v>
      </c>
      <c r="B201" t="s">
        <v>7026</v>
      </c>
      <c r="H201">
        <v>97805</v>
      </c>
      <c r="I201" t="s">
        <v>7228</v>
      </c>
      <c r="J201" t="str">
        <f t="shared" si="3"/>
        <v>ia.assorted_string like '%97805-00171-09-2024%' or</v>
      </c>
    </row>
    <row r="202" spans="1:10" x14ac:dyDescent="0.25">
      <c r="A202" s="18" t="s">
        <v>6755</v>
      </c>
      <c r="B202" t="s">
        <v>7026</v>
      </c>
      <c r="H202">
        <v>97805</v>
      </c>
      <c r="I202" t="s">
        <v>7229</v>
      </c>
      <c r="J202" t="str">
        <f t="shared" si="3"/>
        <v>ia.assorted_string like '%97805-00176-09-2024%' or</v>
      </c>
    </row>
    <row r="203" spans="1:10" x14ac:dyDescent="0.25">
      <c r="A203" s="18" t="s">
        <v>6756</v>
      </c>
      <c r="B203" t="s">
        <v>7026</v>
      </c>
      <c r="H203">
        <v>97805</v>
      </c>
      <c r="I203" t="s">
        <v>7230</v>
      </c>
      <c r="J203" t="str">
        <f t="shared" si="3"/>
        <v>ia.assorted_string like '%97805-00286-09-2024%' or</v>
      </c>
    </row>
    <row r="204" spans="1:10" x14ac:dyDescent="0.25">
      <c r="A204" s="18" t="s">
        <v>6757</v>
      </c>
      <c r="B204" t="s">
        <v>7026</v>
      </c>
      <c r="H204">
        <v>97805</v>
      </c>
      <c r="I204" t="s">
        <v>7231</v>
      </c>
      <c r="J204" t="str">
        <f t="shared" si="3"/>
        <v>ia.assorted_string like '%97805-00287-09-2024%' or</v>
      </c>
    </row>
    <row r="205" spans="1:10" x14ac:dyDescent="0.25">
      <c r="A205" s="18" t="s">
        <v>6758</v>
      </c>
      <c r="B205" t="s">
        <v>7026</v>
      </c>
      <c r="H205">
        <v>97805</v>
      </c>
      <c r="I205" t="s">
        <v>7232</v>
      </c>
      <c r="J205" t="str">
        <f t="shared" si="3"/>
        <v>ia.assorted_string like '%97805-00288-09-2024%' or</v>
      </c>
    </row>
    <row r="206" spans="1:10" x14ac:dyDescent="0.25">
      <c r="A206" s="18" t="s">
        <v>6759</v>
      </c>
      <c r="B206" t="s">
        <v>7026</v>
      </c>
      <c r="H206">
        <v>97805</v>
      </c>
      <c r="I206" t="s">
        <v>7233</v>
      </c>
      <c r="J206" t="str">
        <f t="shared" si="3"/>
        <v>ia.assorted_string like '%97805-00177-09-2024%' or</v>
      </c>
    </row>
    <row r="207" spans="1:10" x14ac:dyDescent="0.25">
      <c r="A207" s="18" t="s">
        <v>6760</v>
      </c>
      <c r="B207" t="s">
        <v>7026</v>
      </c>
      <c r="H207">
        <v>97805</v>
      </c>
      <c r="I207" t="s">
        <v>7234</v>
      </c>
      <c r="J207" t="str">
        <f t="shared" si="3"/>
        <v>ia.assorted_string like '%97805-00178-09-2024%' or</v>
      </c>
    </row>
    <row r="208" spans="1:10" x14ac:dyDescent="0.25">
      <c r="A208" s="18" t="s">
        <v>6761</v>
      </c>
      <c r="B208" t="s">
        <v>7026</v>
      </c>
      <c r="H208">
        <v>97805</v>
      </c>
      <c r="I208" t="s">
        <v>7235</v>
      </c>
      <c r="J208" t="str">
        <f t="shared" si="3"/>
        <v>ia.assorted_string like '%97805-00291-09-2024%' or</v>
      </c>
    </row>
    <row r="209" spans="1:10" x14ac:dyDescent="0.25">
      <c r="A209" s="18" t="s">
        <v>6762</v>
      </c>
      <c r="B209" t="s">
        <v>7026</v>
      </c>
      <c r="H209">
        <v>97805</v>
      </c>
      <c r="I209" t="s">
        <v>7236</v>
      </c>
      <c r="J209" t="str">
        <f t="shared" si="3"/>
        <v>ia.assorted_string like '%97805-00180-09-2024%' or</v>
      </c>
    </row>
    <row r="210" spans="1:10" x14ac:dyDescent="0.25">
      <c r="A210" s="18" t="s">
        <v>6763</v>
      </c>
      <c r="B210" t="s">
        <v>7026</v>
      </c>
      <c r="H210">
        <v>97805</v>
      </c>
      <c r="I210" t="s">
        <v>7237</v>
      </c>
      <c r="J210" t="str">
        <f t="shared" si="3"/>
        <v>ia.assorted_string like '%97805-00293-09-2024%' or</v>
      </c>
    </row>
    <row r="211" spans="1:10" x14ac:dyDescent="0.25">
      <c r="A211" s="18" t="s">
        <v>6764</v>
      </c>
      <c r="B211" t="s">
        <v>7026</v>
      </c>
      <c r="H211">
        <v>97805</v>
      </c>
      <c r="I211" t="s">
        <v>7238</v>
      </c>
      <c r="J211" t="str">
        <f t="shared" si="3"/>
        <v>ia.assorted_string like '%97805-00182-09-2024%' or</v>
      </c>
    </row>
    <row r="212" spans="1:10" x14ac:dyDescent="0.25">
      <c r="A212" s="18" t="s">
        <v>6765</v>
      </c>
      <c r="B212" t="s">
        <v>7026</v>
      </c>
      <c r="H212">
        <v>97805</v>
      </c>
      <c r="I212" t="s">
        <v>7239</v>
      </c>
      <c r="J212" t="str">
        <f t="shared" si="3"/>
        <v>ia.assorted_string like '%97805-00296-09-2024%' or</v>
      </c>
    </row>
    <row r="213" spans="1:10" x14ac:dyDescent="0.25">
      <c r="A213" s="18" t="s">
        <v>7021</v>
      </c>
      <c r="B213" t="s">
        <v>7027</v>
      </c>
      <c r="H213">
        <v>95603</v>
      </c>
      <c r="I213" t="s">
        <v>7240</v>
      </c>
      <c r="J213" t="str">
        <f t="shared" si="3"/>
        <v>ia.assorted_string like '%95603-00184-08-2024%' or</v>
      </c>
    </row>
    <row r="214" spans="1:10" x14ac:dyDescent="0.25">
      <c r="A214" s="18" t="s">
        <v>6766</v>
      </c>
      <c r="B214" t="s">
        <v>7026</v>
      </c>
      <c r="H214">
        <v>97805</v>
      </c>
      <c r="I214" t="s">
        <v>7241</v>
      </c>
      <c r="J214" t="str">
        <f t="shared" si="3"/>
        <v>ia.assorted_string like '%97805-00298-09-2024%' or</v>
      </c>
    </row>
    <row r="215" spans="1:10" x14ac:dyDescent="0.25">
      <c r="A215" s="18" t="s">
        <v>6767</v>
      </c>
      <c r="B215" t="s">
        <v>7026</v>
      </c>
      <c r="H215">
        <v>97805</v>
      </c>
      <c r="I215" t="s">
        <v>7242</v>
      </c>
      <c r="J215" t="str">
        <f t="shared" si="3"/>
        <v>ia.assorted_string like '%97805-00191-09-2024%' or</v>
      </c>
    </row>
    <row r="216" spans="1:10" x14ac:dyDescent="0.25">
      <c r="A216" s="18" t="s">
        <v>6768</v>
      </c>
      <c r="B216" t="s">
        <v>7026</v>
      </c>
      <c r="H216">
        <v>97805</v>
      </c>
      <c r="I216" t="s">
        <v>7243</v>
      </c>
      <c r="J216" t="str">
        <f t="shared" si="3"/>
        <v>ia.assorted_string like '%97805-00299-09-2024%' or</v>
      </c>
    </row>
    <row r="217" spans="1:10" x14ac:dyDescent="0.25">
      <c r="A217" s="18" t="s">
        <v>6769</v>
      </c>
      <c r="B217" t="s">
        <v>7026</v>
      </c>
      <c r="H217">
        <v>97805</v>
      </c>
      <c r="I217" t="s">
        <v>7244</v>
      </c>
      <c r="J217" t="str">
        <f t="shared" si="3"/>
        <v>ia.assorted_string like '%97805-00195-09-2024%' or</v>
      </c>
    </row>
    <row r="218" spans="1:10" x14ac:dyDescent="0.25">
      <c r="A218" s="18" t="s">
        <v>6770</v>
      </c>
      <c r="B218" t="s">
        <v>7026</v>
      </c>
      <c r="H218">
        <v>97805</v>
      </c>
      <c r="I218" t="s">
        <v>7245</v>
      </c>
      <c r="J218" t="str">
        <f t="shared" si="3"/>
        <v>ia.assorted_string like '%97805-00196-09-2024%' or</v>
      </c>
    </row>
    <row r="219" spans="1:10" x14ac:dyDescent="0.25">
      <c r="A219" s="18" t="s">
        <v>6771</v>
      </c>
      <c r="B219" t="s">
        <v>7026</v>
      </c>
      <c r="H219">
        <v>97805</v>
      </c>
      <c r="I219" t="s">
        <v>7246</v>
      </c>
      <c r="J219" t="str">
        <f t="shared" si="3"/>
        <v>ia.assorted_string like '%97805-00201-09-2024%' or</v>
      </c>
    </row>
    <row r="220" spans="1:10" x14ac:dyDescent="0.25">
      <c r="A220" s="18" t="s">
        <v>6772</v>
      </c>
      <c r="B220" t="s">
        <v>7026</v>
      </c>
      <c r="H220">
        <v>97805</v>
      </c>
      <c r="I220" t="s">
        <v>7247</v>
      </c>
      <c r="J220" t="str">
        <f t="shared" si="3"/>
        <v>ia.assorted_string like '%97805-00202-09-2024%' or</v>
      </c>
    </row>
    <row r="221" spans="1:10" x14ac:dyDescent="0.25">
      <c r="A221" s="18" t="s">
        <v>6773</v>
      </c>
      <c r="B221" t="s">
        <v>7026</v>
      </c>
      <c r="H221">
        <v>97805</v>
      </c>
      <c r="I221" t="s">
        <v>7248</v>
      </c>
      <c r="J221" t="str">
        <f t="shared" si="3"/>
        <v>ia.assorted_string like '%97805-00204-09-2024%' or</v>
      </c>
    </row>
    <row r="222" spans="1:10" x14ac:dyDescent="0.25">
      <c r="A222" s="18" t="s">
        <v>6774</v>
      </c>
      <c r="B222" t="s">
        <v>7026</v>
      </c>
      <c r="H222">
        <v>97805</v>
      </c>
      <c r="I222" t="s">
        <v>7249</v>
      </c>
      <c r="J222" t="str">
        <f t="shared" si="3"/>
        <v>ia.assorted_string like '%97805-00205-09-2024%' or</v>
      </c>
    </row>
    <row r="223" spans="1:10" x14ac:dyDescent="0.25">
      <c r="A223" s="18" t="s">
        <v>6775</v>
      </c>
      <c r="B223" t="s">
        <v>7026</v>
      </c>
      <c r="H223">
        <v>97805</v>
      </c>
      <c r="I223" t="s">
        <v>7250</v>
      </c>
      <c r="J223" t="str">
        <f t="shared" si="3"/>
        <v>ia.assorted_string like '%97805-00206-09-2024%' or</v>
      </c>
    </row>
    <row r="224" spans="1:10" x14ac:dyDescent="0.25">
      <c r="A224" s="18" t="s">
        <v>6776</v>
      </c>
      <c r="B224" t="s">
        <v>7026</v>
      </c>
      <c r="H224">
        <v>97805</v>
      </c>
      <c r="I224" t="s">
        <v>7251</v>
      </c>
      <c r="J224" t="str">
        <f t="shared" si="3"/>
        <v>ia.assorted_string like '%97805-00312-09-2024%' or</v>
      </c>
    </row>
    <row r="225" spans="1:10" x14ac:dyDescent="0.25">
      <c r="A225" s="18" t="s">
        <v>6777</v>
      </c>
      <c r="B225" t="s">
        <v>7026</v>
      </c>
      <c r="H225">
        <v>97805</v>
      </c>
      <c r="I225" t="s">
        <v>7252</v>
      </c>
      <c r="J225" t="str">
        <f t="shared" si="3"/>
        <v>ia.assorted_string like '%97805-00313-09-2024%' or</v>
      </c>
    </row>
    <row r="226" spans="1:10" x14ac:dyDescent="0.25">
      <c r="A226" s="18" t="s">
        <v>6778</v>
      </c>
      <c r="B226" t="s">
        <v>7026</v>
      </c>
      <c r="H226">
        <v>97805</v>
      </c>
      <c r="I226" t="s">
        <v>7253</v>
      </c>
      <c r="J226" t="str">
        <f t="shared" si="3"/>
        <v>ia.assorted_string like '%97805-00207-09-2024%' or</v>
      </c>
    </row>
    <row r="227" spans="1:10" x14ac:dyDescent="0.25">
      <c r="A227" s="18" t="s">
        <v>6779</v>
      </c>
      <c r="B227" t="s">
        <v>7026</v>
      </c>
      <c r="H227">
        <v>97805</v>
      </c>
      <c r="I227" t="s">
        <v>7254</v>
      </c>
      <c r="J227" t="str">
        <f t="shared" si="3"/>
        <v>ia.assorted_string like '%97805-00315-09-2024%' or</v>
      </c>
    </row>
    <row r="228" spans="1:10" x14ac:dyDescent="0.25">
      <c r="A228" s="18" t="s">
        <v>6780</v>
      </c>
      <c r="B228" t="s">
        <v>7026</v>
      </c>
      <c r="H228">
        <v>97805</v>
      </c>
      <c r="I228" t="s">
        <v>7255</v>
      </c>
      <c r="J228" t="str">
        <f t="shared" si="3"/>
        <v>ia.assorted_string like '%97805-00208-09-2024%' or</v>
      </c>
    </row>
    <row r="229" spans="1:10" x14ac:dyDescent="0.25">
      <c r="A229" s="18" t="s">
        <v>6781</v>
      </c>
      <c r="B229" t="s">
        <v>7026</v>
      </c>
      <c r="H229">
        <v>97805</v>
      </c>
      <c r="I229" t="s">
        <v>7256</v>
      </c>
      <c r="J229" t="str">
        <f t="shared" si="3"/>
        <v>ia.assorted_string like '%97805-00209-09-2024%' or</v>
      </c>
    </row>
    <row r="230" spans="1:10" x14ac:dyDescent="0.25">
      <c r="A230" s="18" t="s">
        <v>6782</v>
      </c>
      <c r="B230" t="s">
        <v>7026</v>
      </c>
      <c r="H230">
        <v>97805</v>
      </c>
      <c r="I230" t="s">
        <v>7257</v>
      </c>
      <c r="J230" t="str">
        <f t="shared" si="3"/>
        <v>ia.assorted_string like '%97805-00211-09-2024%' or</v>
      </c>
    </row>
    <row r="231" spans="1:10" x14ac:dyDescent="0.25">
      <c r="A231" s="18" t="s">
        <v>6783</v>
      </c>
      <c r="B231" t="s">
        <v>7026</v>
      </c>
      <c r="H231">
        <v>97805</v>
      </c>
      <c r="I231" t="s">
        <v>7258</v>
      </c>
      <c r="J231" t="str">
        <f t="shared" si="3"/>
        <v>ia.assorted_string like '%97805-00318-09-2024%' or</v>
      </c>
    </row>
    <row r="232" spans="1:10" x14ac:dyDescent="0.25">
      <c r="A232" s="18" t="s">
        <v>6784</v>
      </c>
      <c r="B232" t="s">
        <v>7026</v>
      </c>
      <c r="H232">
        <v>97805</v>
      </c>
      <c r="I232" t="s">
        <v>7259</v>
      </c>
      <c r="J232" t="str">
        <f t="shared" si="3"/>
        <v>ia.assorted_string like '%97805-00319-09-2024%' or</v>
      </c>
    </row>
    <row r="233" spans="1:10" x14ac:dyDescent="0.25">
      <c r="A233" s="18" t="s">
        <v>6785</v>
      </c>
      <c r="B233" t="s">
        <v>7026</v>
      </c>
      <c r="H233">
        <v>97805</v>
      </c>
      <c r="I233" t="s">
        <v>7260</v>
      </c>
      <c r="J233" t="str">
        <f t="shared" si="3"/>
        <v>ia.assorted_string like '%97805-00320-09-2024%' or</v>
      </c>
    </row>
    <row r="234" spans="1:10" x14ac:dyDescent="0.25">
      <c r="A234" s="22" t="s">
        <v>7022</v>
      </c>
      <c r="B234" t="s">
        <v>7028</v>
      </c>
      <c r="H234">
        <v>99821</v>
      </c>
      <c r="I234" t="s">
        <v>7261</v>
      </c>
      <c r="J234" t="str">
        <f t="shared" si="3"/>
        <v>ia.assorted_string like '%99821-00366-10-2024%' or</v>
      </c>
    </row>
    <row r="235" spans="1:10" x14ac:dyDescent="0.25">
      <c r="A235" s="18" t="s">
        <v>6786</v>
      </c>
      <c r="B235" t="s">
        <v>7026</v>
      </c>
      <c r="H235">
        <v>97805</v>
      </c>
      <c r="I235" t="s">
        <v>7262</v>
      </c>
      <c r="J235" t="str">
        <f t="shared" si="3"/>
        <v>ia.assorted_string like '%97805-00321-09-2024%' or</v>
      </c>
    </row>
    <row r="236" spans="1:10" x14ac:dyDescent="0.25">
      <c r="A236" s="18" t="s">
        <v>6787</v>
      </c>
      <c r="B236" t="s">
        <v>7026</v>
      </c>
      <c r="H236">
        <v>97805</v>
      </c>
      <c r="I236" t="s">
        <v>7263</v>
      </c>
      <c r="J236" t="str">
        <f t="shared" si="3"/>
        <v>ia.assorted_string like '%97805-00322-09-2024%' or</v>
      </c>
    </row>
    <row r="237" spans="1:10" x14ac:dyDescent="0.25">
      <c r="A237" s="18" t="s">
        <v>6788</v>
      </c>
      <c r="B237" t="s">
        <v>7026</v>
      </c>
      <c r="H237">
        <v>97805</v>
      </c>
      <c r="I237" t="s">
        <v>7264</v>
      </c>
      <c r="J237" t="str">
        <f t="shared" si="3"/>
        <v>ia.assorted_string like '%97805-00214-09-2024%' or</v>
      </c>
    </row>
    <row r="238" spans="1:10" x14ac:dyDescent="0.25">
      <c r="A238" s="18" t="s">
        <v>6789</v>
      </c>
      <c r="B238" t="s">
        <v>7026</v>
      </c>
      <c r="H238">
        <v>97805</v>
      </c>
      <c r="I238" t="s">
        <v>7265</v>
      </c>
      <c r="J238" t="str">
        <f t="shared" si="3"/>
        <v>ia.assorted_string like '%97805-00323-09-2024%' or</v>
      </c>
    </row>
    <row r="239" spans="1:10" x14ac:dyDescent="0.25">
      <c r="A239" s="18" t="s">
        <v>6790</v>
      </c>
      <c r="B239" t="s">
        <v>7026</v>
      </c>
      <c r="H239">
        <v>97805</v>
      </c>
      <c r="I239" t="s">
        <v>7266</v>
      </c>
      <c r="J239" t="str">
        <f t="shared" si="3"/>
        <v>ia.assorted_string like '%97805-00215-09-2024%' or</v>
      </c>
    </row>
    <row r="240" spans="1:10" x14ac:dyDescent="0.25">
      <c r="A240" s="18" t="s">
        <v>6791</v>
      </c>
      <c r="B240" t="s">
        <v>7026</v>
      </c>
      <c r="H240">
        <v>97805</v>
      </c>
      <c r="I240" t="s">
        <v>7267</v>
      </c>
      <c r="J240" t="str">
        <f t="shared" si="3"/>
        <v>ia.assorted_string like '%97805-00217-09-2024%' or</v>
      </c>
    </row>
    <row r="241" spans="1:10" x14ac:dyDescent="0.25">
      <c r="A241" s="18" t="s">
        <v>6792</v>
      </c>
      <c r="B241" t="s">
        <v>7026</v>
      </c>
      <c r="H241">
        <v>97805</v>
      </c>
      <c r="I241" t="s">
        <v>7268</v>
      </c>
      <c r="J241" t="str">
        <f t="shared" si="3"/>
        <v>ia.assorted_string like '%97805-00218-09-2024%' or</v>
      </c>
    </row>
    <row r="242" spans="1:10" x14ac:dyDescent="0.25">
      <c r="A242" s="18" t="s">
        <v>6793</v>
      </c>
      <c r="B242" t="s">
        <v>7026</v>
      </c>
      <c r="H242">
        <v>97805</v>
      </c>
      <c r="I242" t="s">
        <v>7269</v>
      </c>
      <c r="J242" t="str">
        <f t="shared" si="3"/>
        <v>ia.assorted_string like '%97805-00219-09-2024%' or</v>
      </c>
    </row>
    <row r="243" spans="1:10" x14ac:dyDescent="0.25">
      <c r="A243" s="18" t="s">
        <v>6794</v>
      </c>
      <c r="B243" t="s">
        <v>7026</v>
      </c>
      <c r="H243">
        <v>97805</v>
      </c>
      <c r="I243" t="s">
        <v>7270</v>
      </c>
      <c r="J243" t="str">
        <f t="shared" si="3"/>
        <v>ia.assorted_string like '%97805-00221-09-2024%' or</v>
      </c>
    </row>
    <row r="244" spans="1:10" x14ac:dyDescent="0.25">
      <c r="A244" s="18" t="s">
        <v>6795</v>
      </c>
      <c r="B244" t="s">
        <v>7026</v>
      </c>
      <c r="H244">
        <v>97805</v>
      </c>
      <c r="I244" t="s">
        <v>7271</v>
      </c>
      <c r="J244" t="str">
        <f t="shared" si="3"/>
        <v>ia.assorted_string like '%97805-00222-09-2024%' or</v>
      </c>
    </row>
    <row r="245" spans="1:10" x14ac:dyDescent="0.25">
      <c r="A245" s="18" t="s">
        <v>6796</v>
      </c>
      <c r="B245" t="s">
        <v>7026</v>
      </c>
      <c r="H245">
        <v>97805</v>
      </c>
      <c r="I245" t="s">
        <v>7272</v>
      </c>
      <c r="J245" t="str">
        <f t="shared" si="3"/>
        <v>ia.assorted_string like '%97805-00223-09-2024%' or</v>
      </c>
    </row>
    <row r="246" spans="1:10" x14ac:dyDescent="0.25">
      <c r="A246" s="18" t="s">
        <v>6797</v>
      </c>
      <c r="B246" t="s">
        <v>7026</v>
      </c>
      <c r="H246">
        <v>97805</v>
      </c>
      <c r="I246" t="s">
        <v>7273</v>
      </c>
      <c r="J246" t="str">
        <f t="shared" si="3"/>
        <v>ia.assorted_string like '%97805-00331-09-2024%' or</v>
      </c>
    </row>
    <row r="247" spans="1:10" x14ac:dyDescent="0.25">
      <c r="A247" s="18" t="s">
        <v>6798</v>
      </c>
      <c r="B247" t="s">
        <v>7026</v>
      </c>
      <c r="H247">
        <v>97805</v>
      </c>
      <c r="I247" t="s">
        <v>7274</v>
      </c>
      <c r="J247" t="str">
        <f t="shared" si="3"/>
        <v>ia.assorted_string like '%97805-00224-09-2024%' or</v>
      </c>
    </row>
    <row r="248" spans="1:10" x14ac:dyDescent="0.25">
      <c r="A248" s="18" t="s">
        <v>6799</v>
      </c>
      <c r="B248" t="s">
        <v>7026</v>
      </c>
      <c r="H248">
        <v>97805</v>
      </c>
      <c r="I248" t="s">
        <v>7275</v>
      </c>
      <c r="J248" t="str">
        <f t="shared" si="3"/>
        <v>ia.assorted_string like '%97805-00225-09-2024%' or</v>
      </c>
    </row>
    <row r="249" spans="1:10" x14ac:dyDescent="0.25">
      <c r="A249" s="18" t="s">
        <v>6800</v>
      </c>
      <c r="B249" t="s">
        <v>7026</v>
      </c>
      <c r="H249">
        <v>97805</v>
      </c>
      <c r="I249" t="s">
        <v>7276</v>
      </c>
      <c r="J249" t="str">
        <f t="shared" si="3"/>
        <v>ia.assorted_string like '%97805-00227-09-2024%' or</v>
      </c>
    </row>
    <row r="250" spans="1:10" x14ac:dyDescent="0.25">
      <c r="A250" s="18" t="s">
        <v>6801</v>
      </c>
      <c r="B250" t="s">
        <v>7026</v>
      </c>
      <c r="H250">
        <v>97805</v>
      </c>
      <c r="I250" t="s">
        <v>7277</v>
      </c>
      <c r="J250" t="str">
        <f t="shared" si="3"/>
        <v>ia.assorted_string like '%97805-00337-09-2024%' or</v>
      </c>
    </row>
    <row r="251" spans="1:10" x14ac:dyDescent="0.25">
      <c r="A251" s="18" t="s">
        <v>6802</v>
      </c>
      <c r="B251" t="s">
        <v>7026</v>
      </c>
      <c r="H251">
        <v>97805</v>
      </c>
      <c r="I251" t="s">
        <v>7278</v>
      </c>
      <c r="J251" t="str">
        <f t="shared" si="3"/>
        <v>ia.assorted_string like '%97805-00230-09-2024%' or</v>
      </c>
    </row>
    <row r="252" spans="1:10" x14ac:dyDescent="0.25">
      <c r="A252" s="18" t="s">
        <v>6803</v>
      </c>
      <c r="B252" t="s">
        <v>7026</v>
      </c>
      <c r="H252">
        <v>97805</v>
      </c>
      <c r="I252" t="s">
        <v>7279</v>
      </c>
      <c r="J252" t="str">
        <f t="shared" si="3"/>
        <v>ia.assorted_string like '%97805-00231-09-2024%' or</v>
      </c>
    </row>
    <row r="253" spans="1:10" x14ac:dyDescent="0.25">
      <c r="A253" s="18" t="s">
        <v>6804</v>
      </c>
      <c r="B253" t="s">
        <v>7026</v>
      </c>
      <c r="H253">
        <v>97805</v>
      </c>
      <c r="I253" t="s">
        <v>7280</v>
      </c>
      <c r="J253" t="str">
        <f t="shared" si="3"/>
        <v>ia.assorted_string like '%97805-00336-09-2024%' or</v>
      </c>
    </row>
    <row r="254" spans="1:10" x14ac:dyDescent="0.25">
      <c r="A254" s="18" t="s">
        <v>6805</v>
      </c>
      <c r="B254" t="s">
        <v>7026</v>
      </c>
      <c r="H254">
        <v>97805</v>
      </c>
      <c r="I254" t="s">
        <v>7281</v>
      </c>
      <c r="J254" t="str">
        <f t="shared" si="3"/>
        <v>ia.assorted_string like '%97805-00232-09-2024%' or</v>
      </c>
    </row>
    <row r="255" spans="1:10" x14ac:dyDescent="0.25">
      <c r="A255" s="18" t="s">
        <v>6806</v>
      </c>
      <c r="B255" t="s">
        <v>7026</v>
      </c>
      <c r="H255">
        <v>97805</v>
      </c>
      <c r="I255" t="s">
        <v>7282</v>
      </c>
      <c r="J255" t="str">
        <f t="shared" si="3"/>
        <v>ia.assorted_string like '%97805-00237-09-2024%' or</v>
      </c>
    </row>
    <row r="256" spans="1:10" x14ac:dyDescent="0.25">
      <c r="A256" s="18" t="s">
        <v>6807</v>
      </c>
      <c r="B256" t="s">
        <v>7026</v>
      </c>
      <c r="H256">
        <v>97805</v>
      </c>
      <c r="I256" t="s">
        <v>7283</v>
      </c>
      <c r="J256" t="str">
        <f t="shared" si="3"/>
        <v>ia.assorted_string like '%97805-00242-09-2024%' or</v>
      </c>
    </row>
    <row r="257" spans="1:10" x14ac:dyDescent="0.25">
      <c r="A257" s="18" t="s">
        <v>6808</v>
      </c>
      <c r="B257" t="s">
        <v>7026</v>
      </c>
      <c r="H257">
        <v>97805</v>
      </c>
      <c r="I257" t="s">
        <v>7284</v>
      </c>
      <c r="J257" t="str">
        <f t="shared" si="3"/>
        <v>ia.assorted_string like '%97805-00335-09-2024%' or</v>
      </c>
    </row>
    <row r="258" spans="1:10" x14ac:dyDescent="0.25">
      <c r="A258" s="18" t="s">
        <v>6809</v>
      </c>
      <c r="B258" t="s">
        <v>7026</v>
      </c>
      <c r="H258">
        <v>97805</v>
      </c>
      <c r="I258" t="s">
        <v>7285</v>
      </c>
      <c r="J258" t="str">
        <f t="shared" si="3"/>
        <v>ia.assorted_string like '%97805-00334-09-2024%' or</v>
      </c>
    </row>
    <row r="259" spans="1:10" x14ac:dyDescent="0.25">
      <c r="A259" s="18" t="s">
        <v>6810</v>
      </c>
      <c r="B259" t="s">
        <v>7026</v>
      </c>
      <c r="H259">
        <v>97805</v>
      </c>
      <c r="I259" t="s">
        <v>7286</v>
      </c>
      <c r="J259" t="str">
        <f t="shared" ref="J259:J322" si="4">"ia.assorted_string like '%"&amp;H259&amp;"-"&amp;I259&amp;B259&amp;"%' or"</f>
        <v>ia.assorted_string like '%97805-00333-09-2024%' or</v>
      </c>
    </row>
    <row r="260" spans="1:10" x14ac:dyDescent="0.25">
      <c r="A260" s="18" t="s">
        <v>6811</v>
      </c>
      <c r="B260" t="s">
        <v>7026</v>
      </c>
      <c r="H260">
        <v>97805</v>
      </c>
      <c r="I260" t="s">
        <v>7287</v>
      </c>
      <c r="J260" t="str">
        <f t="shared" si="4"/>
        <v>ia.assorted_string like '%97805-00243-09-2024%' or</v>
      </c>
    </row>
    <row r="261" spans="1:10" x14ac:dyDescent="0.25">
      <c r="A261" s="18" t="s">
        <v>6812</v>
      </c>
      <c r="B261" t="s">
        <v>7026</v>
      </c>
      <c r="H261">
        <v>97805</v>
      </c>
      <c r="I261" t="s">
        <v>7288</v>
      </c>
      <c r="J261" t="str">
        <f t="shared" si="4"/>
        <v>ia.assorted_string like '%97805-00332-09-2024%' or</v>
      </c>
    </row>
    <row r="262" spans="1:10" x14ac:dyDescent="0.25">
      <c r="A262" s="18" t="s">
        <v>6813</v>
      </c>
      <c r="B262" t="s">
        <v>7026</v>
      </c>
      <c r="H262">
        <v>97805</v>
      </c>
      <c r="I262" t="s">
        <v>7289</v>
      </c>
      <c r="J262" t="str">
        <f t="shared" si="4"/>
        <v>ia.assorted_string like '%97805-00244-09-2024%' or</v>
      </c>
    </row>
    <row r="263" spans="1:10" x14ac:dyDescent="0.25">
      <c r="A263" s="18" t="s">
        <v>6814</v>
      </c>
      <c r="B263" t="s">
        <v>7026</v>
      </c>
      <c r="H263">
        <v>97805</v>
      </c>
      <c r="I263" t="s">
        <v>7290</v>
      </c>
      <c r="J263" t="str">
        <f t="shared" si="4"/>
        <v>ia.assorted_string like '%97805-00330-09-2024%' or</v>
      </c>
    </row>
    <row r="264" spans="1:10" x14ac:dyDescent="0.25">
      <c r="A264" s="18" t="s">
        <v>6877</v>
      </c>
      <c r="B264" t="s">
        <v>7026</v>
      </c>
      <c r="H264">
        <v>97805</v>
      </c>
      <c r="I264" t="s">
        <v>7291</v>
      </c>
      <c r="J264" t="str">
        <f t="shared" si="4"/>
        <v>ia.assorted_string like '%97805-00329-09-2024%' or</v>
      </c>
    </row>
    <row r="265" spans="1:10" x14ac:dyDescent="0.25">
      <c r="A265" s="18" t="s">
        <v>6815</v>
      </c>
      <c r="B265" t="s">
        <v>7026</v>
      </c>
      <c r="H265">
        <v>97805</v>
      </c>
      <c r="I265" t="s">
        <v>7292</v>
      </c>
      <c r="J265" t="str">
        <f t="shared" si="4"/>
        <v>ia.assorted_string like '%97805-00328-09-2024%' or</v>
      </c>
    </row>
    <row r="266" spans="1:10" x14ac:dyDescent="0.25">
      <c r="A266" s="18" t="s">
        <v>6816</v>
      </c>
      <c r="B266" t="s">
        <v>7026</v>
      </c>
      <c r="H266">
        <v>97805</v>
      </c>
      <c r="I266" t="s">
        <v>7293</v>
      </c>
      <c r="J266" t="str">
        <f t="shared" si="4"/>
        <v>ia.assorted_string like '%97805-00248-09-2024%' or</v>
      </c>
    </row>
    <row r="267" spans="1:10" x14ac:dyDescent="0.25">
      <c r="A267" s="18" t="s">
        <v>6817</v>
      </c>
      <c r="B267" t="s">
        <v>7026</v>
      </c>
      <c r="H267">
        <v>97805</v>
      </c>
      <c r="I267" t="s">
        <v>7294</v>
      </c>
      <c r="J267" t="str">
        <f t="shared" si="4"/>
        <v>ia.assorted_string like '%97805-00249-09-2024%' or</v>
      </c>
    </row>
    <row r="268" spans="1:10" x14ac:dyDescent="0.25">
      <c r="A268" s="18" t="s">
        <v>6818</v>
      </c>
      <c r="B268" t="s">
        <v>7026</v>
      </c>
      <c r="H268">
        <v>97805</v>
      </c>
      <c r="I268" t="s">
        <v>7295</v>
      </c>
      <c r="J268" t="str">
        <f t="shared" si="4"/>
        <v>ia.assorted_string like '%97805-00250-09-2024%' or</v>
      </c>
    </row>
    <row r="269" spans="1:10" x14ac:dyDescent="0.25">
      <c r="A269" s="18" t="s">
        <v>6819</v>
      </c>
      <c r="B269" t="s">
        <v>7026</v>
      </c>
      <c r="H269">
        <v>97805</v>
      </c>
      <c r="I269" t="s">
        <v>7296</v>
      </c>
      <c r="J269" t="str">
        <f t="shared" si="4"/>
        <v>ia.assorted_string like '%97805-00251-09-2024%' or</v>
      </c>
    </row>
    <row r="270" spans="1:10" x14ac:dyDescent="0.25">
      <c r="A270" s="18" t="s">
        <v>6820</v>
      </c>
      <c r="B270" t="s">
        <v>7026</v>
      </c>
      <c r="H270">
        <v>97805</v>
      </c>
      <c r="I270" t="s">
        <v>7297</v>
      </c>
      <c r="J270" t="str">
        <f t="shared" si="4"/>
        <v>ia.assorted_string like '%97805-00252-09-2024%' or</v>
      </c>
    </row>
    <row r="271" spans="1:10" x14ac:dyDescent="0.25">
      <c r="A271" s="18" t="s">
        <v>6821</v>
      </c>
      <c r="B271" t="s">
        <v>7026</v>
      </c>
      <c r="H271">
        <v>97805</v>
      </c>
      <c r="I271" t="s">
        <v>7298</v>
      </c>
      <c r="J271" t="str">
        <f t="shared" si="4"/>
        <v>ia.assorted_string like '%97805-00253-09-2024%' or</v>
      </c>
    </row>
    <row r="272" spans="1:10" x14ac:dyDescent="0.25">
      <c r="A272" s="18" t="s">
        <v>6822</v>
      </c>
      <c r="B272" t="s">
        <v>7026</v>
      </c>
      <c r="H272">
        <v>97805</v>
      </c>
      <c r="I272" t="s">
        <v>7299</v>
      </c>
      <c r="J272" t="str">
        <f t="shared" si="4"/>
        <v>ia.assorted_string like '%97805-00255-09-2024%' or</v>
      </c>
    </row>
    <row r="273" spans="1:10" x14ac:dyDescent="0.25">
      <c r="A273" s="18" t="s">
        <v>6823</v>
      </c>
      <c r="B273" t="s">
        <v>7026</v>
      </c>
      <c r="H273">
        <v>97805</v>
      </c>
      <c r="I273" t="s">
        <v>7300</v>
      </c>
      <c r="J273" t="str">
        <f t="shared" si="4"/>
        <v>ia.assorted_string like '%97805-00257-09-2024%' or</v>
      </c>
    </row>
    <row r="274" spans="1:10" x14ac:dyDescent="0.25">
      <c r="A274" s="18" t="s">
        <v>6824</v>
      </c>
      <c r="B274" t="s">
        <v>7026</v>
      </c>
      <c r="H274">
        <v>97805</v>
      </c>
      <c r="I274" t="s">
        <v>7301</v>
      </c>
      <c r="J274" t="str">
        <f t="shared" si="4"/>
        <v>ia.assorted_string like '%97805-00262-09-2024%' or</v>
      </c>
    </row>
    <row r="275" spans="1:10" x14ac:dyDescent="0.25">
      <c r="A275" s="18" t="s">
        <v>6825</v>
      </c>
      <c r="B275" t="s">
        <v>7026</v>
      </c>
      <c r="H275">
        <v>97805</v>
      </c>
      <c r="I275" t="s">
        <v>7302</v>
      </c>
      <c r="J275" t="str">
        <f t="shared" si="4"/>
        <v>ia.assorted_string like '%97805-00263-09-2024%' or</v>
      </c>
    </row>
    <row r="276" spans="1:10" x14ac:dyDescent="0.25">
      <c r="A276" s="18" t="s">
        <v>6826</v>
      </c>
      <c r="B276" t="s">
        <v>7026</v>
      </c>
      <c r="H276">
        <v>97805</v>
      </c>
      <c r="I276" t="s">
        <v>7303</v>
      </c>
      <c r="J276" t="str">
        <f t="shared" si="4"/>
        <v>ia.assorted_string like '%97805-00327-09-2024%' or</v>
      </c>
    </row>
    <row r="277" spans="1:10" x14ac:dyDescent="0.25">
      <c r="A277" s="18" t="s">
        <v>6827</v>
      </c>
      <c r="B277" t="s">
        <v>7026</v>
      </c>
      <c r="H277">
        <v>97805</v>
      </c>
      <c r="I277" t="s">
        <v>7304</v>
      </c>
      <c r="J277" t="str">
        <f t="shared" si="4"/>
        <v>ia.assorted_string like '%97805-00264-09-2024%' or</v>
      </c>
    </row>
    <row r="278" spans="1:10" x14ac:dyDescent="0.25">
      <c r="A278" s="18" t="s">
        <v>6828</v>
      </c>
      <c r="B278" t="s">
        <v>7026</v>
      </c>
      <c r="H278">
        <v>97805</v>
      </c>
      <c r="I278" t="s">
        <v>7305</v>
      </c>
      <c r="J278" t="str">
        <f t="shared" si="4"/>
        <v>ia.assorted_string like '%97805-00267-09-2024%' or</v>
      </c>
    </row>
    <row r="279" spans="1:10" x14ac:dyDescent="0.25">
      <c r="A279" s="18" t="s">
        <v>6829</v>
      </c>
      <c r="B279" t="s">
        <v>7026</v>
      </c>
      <c r="H279">
        <v>97805</v>
      </c>
      <c r="I279" t="s">
        <v>7306</v>
      </c>
      <c r="J279" t="str">
        <f t="shared" si="4"/>
        <v>ia.assorted_string like '%97805-00269-09-2024%' or</v>
      </c>
    </row>
    <row r="280" spans="1:10" x14ac:dyDescent="0.25">
      <c r="A280" s="18" t="s">
        <v>6830</v>
      </c>
      <c r="B280" t="s">
        <v>7026</v>
      </c>
      <c r="H280">
        <v>97805</v>
      </c>
      <c r="I280" t="s">
        <v>7307</v>
      </c>
      <c r="J280" t="str">
        <f t="shared" si="4"/>
        <v>ia.assorted_string like '%97805-00326-09-2024%' or</v>
      </c>
    </row>
    <row r="281" spans="1:10" x14ac:dyDescent="0.25">
      <c r="A281" s="18" t="s">
        <v>6831</v>
      </c>
      <c r="B281" t="s">
        <v>7026</v>
      </c>
      <c r="H281">
        <v>97805</v>
      </c>
      <c r="I281" t="s">
        <v>7308</v>
      </c>
      <c r="J281" t="str">
        <f t="shared" si="4"/>
        <v>ia.assorted_string like '%97805-00271-09-2024%' or</v>
      </c>
    </row>
    <row r="282" spans="1:10" x14ac:dyDescent="0.25">
      <c r="A282" s="18" t="s">
        <v>6832</v>
      </c>
      <c r="B282" t="s">
        <v>7026</v>
      </c>
      <c r="H282">
        <v>97805</v>
      </c>
      <c r="I282" t="s">
        <v>7309</v>
      </c>
      <c r="J282" t="str">
        <f t="shared" si="4"/>
        <v>ia.assorted_string like '%97805-00273-09-2024%' or</v>
      </c>
    </row>
    <row r="283" spans="1:10" x14ac:dyDescent="0.25">
      <c r="A283" s="18" t="s">
        <v>6833</v>
      </c>
      <c r="B283" t="s">
        <v>7026</v>
      </c>
      <c r="H283">
        <v>97805</v>
      </c>
      <c r="I283" t="s">
        <v>7310</v>
      </c>
      <c r="J283" t="str">
        <f t="shared" si="4"/>
        <v>ia.assorted_string like '%97805-00325-09-2024%' or</v>
      </c>
    </row>
    <row r="284" spans="1:10" x14ac:dyDescent="0.25">
      <c r="A284" s="18" t="s">
        <v>6834</v>
      </c>
      <c r="B284" t="s">
        <v>7026</v>
      </c>
      <c r="H284">
        <v>97805</v>
      </c>
      <c r="I284" t="s">
        <v>7311</v>
      </c>
      <c r="J284" t="str">
        <f t="shared" si="4"/>
        <v>ia.assorted_string like '%97805-00274-09-2024%' or</v>
      </c>
    </row>
    <row r="285" spans="1:10" x14ac:dyDescent="0.25">
      <c r="A285" s="18" t="s">
        <v>6835</v>
      </c>
      <c r="B285" t="s">
        <v>7026</v>
      </c>
      <c r="H285">
        <v>97805</v>
      </c>
      <c r="I285" t="s">
        <v>7312</v>
      </c>
      <c r="J285" t="str">
        <f t="shared" si="4"/>
        <v>ia.assorted_string like '%97805-00275-09-2024%' or</v>
      </c>
    </row>
    <row r="286" spans="1:10" x14ac:dyDescent="0.25">
      <c r="A286" s="18" t="s">
        <v>6836</v>
      </c>
      <c r="B286" t="s">
        <v>7026</v>
      </c>
      <c r="H286">
        <v>97805</v>
      </c>
      <c r="I286" t="s">
        <v>7313</v>
      </c>
      <c r="J286" t="str">
        <f t="shared" si="4"/>
        <v>ia.assorted_string like '%97805-00276-09-2024%' or</v>
      </c>
    </row>
    <row r="287" spans="1:10" x14ac:dyDescent="0.25">
      <c r="A287" s="18" t="s">
        <v>6837</v>
      </c>
      <c r="B287" t="s">
        <v>7026</v>
      </c>
      <c r="H287">
        <v>97805</v>
      </c>
      <c r="I287" t="s">
        <v>7314</v>
      </c>
      <c r="J287" t="str">
        <f t="shared" si="4"/>
        <v>ia.assorted_string like '%97805-00277-09-2024%' or</v>
      </c>
    </row>
    <row r="288" spans="1:10" x14ac:dyDescent="0.25">
      <c r="A288" s="18" t="s">
        <v>6838</v>
      </c>
      <c r="B288" t="s">
        <v>7026</v>
      </c>
      <c r="H288">
        <v>97805</v>
      </c>
      <c r="I288" t="s">
        <v>7315</v>
      </c>
      <c r="J288" t="str">
        <f t="shared" si="4"/>
        <v>ia.assorted_string like '%97805-00280-09-2024%' or</v>
      </c>
    </row>
    <row r="289" spans="1:10" x14ac:dyDescent="0.25">
      <c r="A289" s="18" t="s">
        <v>6839</v>
      </c>
      <c r="B289" t="s">
        <v>7026</v>
      </c>
      <c r="H289">
        <v>97805</v>
      </c>
      <c r="I289" t="s">
        <v>7316</v>
      </c>
      <c r="J289" t="str">
        <f t="shared" si="4"/>
        <v>ia.assorted_string like '%97805-00281-09-2024%' or</v>
      </c>
    </row>
    <row r="290" spans="1:10" x14ac:dyDescent="0.25">
      <c r="A290" s="18" t="s">
        <v>6840</v>
      </c>
      <c r="B290" t="s">
        <v>7026</v>
      </c>
      <c r="H290">
        <v>97805</v>
      </c>
      <c r="I290" t="s">
        <v>7317</v>
      </c>
      <c r="J290" t="str">
        <f t="shared" si="4"/>
        <v>ia.assorted_string like '%97805-00284-09-2024%' or</v>
      </c>
    </row>
    <row r="291" spans="1:10" x14ac:dyDescent="0.25">
      <c r="A291" s="18" t="s">
        <v>6841</v>
      </c>
      <c r="B291" t="s">
        <v>7026</v>
      </c>
      <c r="H291">
        <v>97805</v>
      </c>
      <c r="I291" t="s">
        <v>7318</v>
      </c>
      <c r="J291" t="str">
        <f t="shared" si="4"/>
        <v>ia.assorted_string like '%97805-00285-09-2024%' or</v>
      </c>
    </row>
    <row r="292" spans="1:10" x14ac:dyDescent="0.25">
      <c r="A292" s="18" t="s">
        <v>6842</v>
      </c>
      <c r="B292" t="s">
        <v>7026</v>
      </c>
      <c r="H292">
        <v>97805</v>
      </c>
      <c r="I292" t="s">
        <v>7319</v>
      </c>
      <c r="J292" t="str">
        <f t="shared" si="4"/>
        <v>ia.assorted_string like '%97805-00289-09-2024%' or</v>
      </c>
    </row>
    <row r="293" spans="1:10" x14ac:dyDescent="0.25">
      <c r="A293" s="18" t="s">
        <v>6843</v>
      </c>
      <c r="B293" t="s">
        <v>7026</v>
      </c>
      <c r="H293">
        <v>97805</v>
      </c>
      <c r="I293" t="s">
        <v>7320</v>
      </c>
      <c r="J293" t="str">
        <f t="shared" si="4"/>
        <v>ia.assorted_string like '%97805-00290-09-2024%' or</v>
      </c>
    </row>
    <row r="294" spans="1:10" x14ac:dyDescent="0.25">
      <c r="A294" s="18" t="s">
        <v>6844</v>
      </c>
      <c r="B294" t="s">
        <v>7026</v>
      </c>
      <c r="H294">
        <v>97805</v>
      </c>
      <c r="I294" t="s">
        <v>7321</v>
      </c>
      <c r="J294" t="str">
        <f t="shared" si="4"/>
        <v>ia.assorted_string like '%97805-00317-09-2024%' or</v>
      </c>
    </row>
    <row r="295" spans="1:10" x14ac:dyDescent="0.25">
      <c r="A295" s="18" t="s">
        <v>6845</v>
      </c>
      <c r="B295" t="s">
        <v>7026</v>
      </c>
      <c r="H295">
        <v>97805</v>
      </c>
      <c r="I295" t="s">
        <v>7322</v>
      </c>
      <c r="J295" t="str">
        <f t="shared" si="4"/>
        <v>ia.assorted_string like '%97805-00316-09-2024%' or</v>
      </c>
    </row>
    <row r="296" spans="1:10" x14ac:dyDescent="0.25">
      <c r="A296" s="18" t="s">
        <v>6846</v>
      </c>
      <c r="B296" t="s">
        <v>7026</v>
      </c>
      <c r="H296">
        <v>97805</v>
      </c>
      <c r="I296" t="s">
        <v>7323</v>
      </c>
      <c r="J296" t="str">
        <f t="shared" si="4"/>
        <v>ia.assorted_string like '%97805-00294-09-2024%' or</v>
      </c>
    </row>
    <row r="297" spans="1:10" x14ac:dyDescent="0.25">
      <c r="A297" s="18" t="s">
        <v>6847</v>
      </c>
      <c r="B297" t="s">
        <v>7026</v>
      </c>
      <c r="H297">
        <v>97805</v>
      </c>
      <c r="I297" t="s">
        <v>7324</v>
      </c>
      <c r="J297" t="str">
        <f t="shared" si="4"/>
        <v>ia.assorted_string like '%97805-00295-09-2024%' or</v>
      </c>
    </row>
    <row r="298" spans="1:10" x14ac:dyDescent="0.25">
      <c r="A298" s="18" t="s">
        <v>6848</v>
      </c>
      <c r="B298" t="s">
        <v>7026</v>
      </c>
      <c r="H298">
        <v>97805</v>
      </c>
      <c r="I298" t="s">
        <v>7325</v>
      </c>
      <c r="J298" t="str">
        <f t="shared" si="4"/>
        <v>ia.assorted_string like '%97805-00297-09-2024%' or</v>
      </c>
    </row>
    <row r="299" spans="1:10" x14ac:dyDescent="0.25">
      <c r="A299" s="18" t="s">
        <v>6849</v>
      </c>
      <c r="B299" t="s">
        <v>7026</v>
      </c>
      <c r="H299">
        <v>97805</v>
      </c>
      <c r="I299" t="s">
        <v>7326</v>
      </c>
      <c r="J299" t="str">
        <f t="shared" si="4"/>
        <v>ia.assorted_string like '%97805-00300-09-2024%' or</v>
      </c>
    </row>
    <row r="300" spans="1:10" x14ac:dyDescent="0.25">
      <c r="A300" s="18" t="s">
        <v>6850</v>
      </c>
      <c r="B300" t="s">
        <v>7026</v>
      </c>
      <c r="H300">
        <v>97805</v>
      </c>
      <c r="I300" t="s">
        <v>7327</v>
      </c>
      <c r="J300" t="str">
        <f t="shared" si="4"/>
        <v>ia.assorted_string like '%97805-00301-09-2024%' or</v>
      </c>
    </row>
    <row r="301" spans="1:10" x14ac:dyDescent="0.25">
      <c r="A301" s="18" t="s">
        <v>6851</v>
      </c>
      <c r="B301" t="s">
        <v>7026</v>
      </c>
      <c r="H301">
        <v>97805</v>
      </c>
      <c r="I301" t="s">
        <v>7328</v>
      </c>
      <c r="J301" t="str">
        <f t="shared" si="4"/>
        <v>ia.assorted_string like '%97805-00311-09-2024%' or</v>
      </c>
    </row>
    <row r="302" spans="1:10" x14ac:dyDescent="0.25">
      <c r="A302" s="18" t="s">
        <v>6852</v>
      </c>
      <c r="B302" t="s">
        <v>7026</v>
      </c>
      <c r="H302">
        <v>97805</v>
      </c>
      <c r="I302" t="s">
        <v>7329</v>
      </c>
      <c r="J302" t="str">
        <f t="shared" si="4"/>
        <v>ia.assorted_string like '%97805-00310-09-2024%' or</v>
      </c>
    </row>
    <row r="303" spans="1:10" x14ac:dyDescent="0.25">
      <c r="A303" s="18" t="s">
        <v>6853</v>
      </c>
      <c r="B303" t="s">
        <v>7026</v>
      </c>
      <c r="H303">
        <v>97805</v>
      </c>
      <c r="I303" t="s">
        <v>7330</v>
      </c>
      <c r="J303" t="str">
        <f t="shared" si="4"/>
        <v>ia.assorted_string like '%97805-00302-09-2024%' or</v>
      </c>
    </row>
    <row r="304" spans="1:10" x14ac:dyDescent="0.25">
      <c r="A304" s="18" t="s">
        <v>6854</v>
      </c>
      <c r="B304" t="s">
        <v>7026</v>
      </c>
      <c r="H304">
        <v>97805</v>
      </c>
      <c r="I304" t="s">
        <v>7331</v>
      </c>
      <c r="J304" t="str">
        <f t="shared" si="4"/>
        <v>ia.assorted_string like '%97805-00303-09-2024%' or</v>
      </c>
    </row>
    <row r="305" spans="1:10" x14ac:dyDescent="0.25">
      <c r="A305" s="18" t="s">
        <v>6855</v>
      </c>
      <c r="B305" t="s">
        <v>7026</v>
      </c>
      <c r="H305">
        <v>97805</v>
      </c>
      <c r="I305" t="s">
        <v>7332</v>
      </c>
      <c r="J305" t="str">
        <f t="shared" si="4"/>
        <v>ia.assorted_string like '%97805-00309-09-2024%' or</v>
      </c>
    </row>
    <row r="306" spans="1:10" x14ac:dyDescent="0.25">
      <c r="A306" s="18" t="s">
        <v>6856</v>
      </c>
      <c r="B306" t="s">
        <v>7026</v>
      </c>
      <c r="H306">
        <v>97805</v>
      </c>
      <c r="I306" t="s">
        <v>7333</v>
      </c>
      <c r="J306" t="str">
        <f t="shared" si="4"/>
        <v>ia.assorted_string like '%97805-00308-09-2024%' or</v>
      </c>
    </row>
    <row r="307" spans="1:10" x14ac:dyDescent="0.25">
      <c r="A307" s="18" t="s">
        <v>6857</v>
      </c>
      <c r="B307" t="s">
        <v>7026</v>
      </c>
      <c r="H307">
        <v>97805</v>
      </c>
      <c r="I307" t="s">
        <v>7334</v>
      </c>
      <c r="J307" t="str">
        <f t="shared" si="4"/>
        <v>ia.assorted_string like '%97805-00304-09-2024%' or</v>
      </c>
    </row>
    <row r="308" spans="1:10" x14ac:dyDescent="0.25">
      <c r="A308" s="18" t="s">
        <v>6858</v>
      </c>
      <c r="B308" t="s">
        <v>7026</v>
      </c>
      <c r="H308">
        <v>97805</v>
      </c>
      <c r="I308" t="s">
        <v>7335</v>
      </c>
      <c r="J308" t="str">
        <f t="shared" si="4"/>
        <v>ia.assorted_string like '%97805-00305-09-2024%' or</v>
      </c>
    </row>
    <row r="309" spans="1:10" x14ac:dyDescent="0.25">
      <c r="A309" s="18" t="s">
        <v>6859</v>
      </c>
      <c r="B309" t="s">
        <v>7026</v>
      </c>
      <c r="H309">
        <v>97805</v>
      </c>
      <c r="I309" t="s">
        <v>7336</v>
      </c>
      <c r="J309" t="str">
        <f t="shared" si="4"/>
        <v>ia.assorted_string like '%97805-00307-09-2024%' or</v>
      </c>
    </row>
    <row r="310" spans="1:10" x14ac:dyDescent="0.25">
      <c r="A310" s="18" t="s">
        <v>6860</v>
      </c>
      <c r="B310" t="s">
        <v>7026</v>
      </c>
      <c r="H310">
        <v>97805</v>
      </c>
      <c r="I310" t="s">
        <v>7337</v>
      </c>
      <c r="J310" t="str">
        <f t="shared" si="4"/>
        <v>ia.assorted_string like '%97805-00306-09-2024%' or</v>
      </c>
    </row>
    <row r="311" spans="1:10" x14ac:dyDescent="0.25">
      <c r="A311" s="18" t="s">
        <v>6861</v>
      </c>
      <c r="B311" t="s">
        <v>7026</v>
      </c>
      <c r="H311">
        <v>97805</v>
      </c>
      <c r="I311" t="s">
        <v>7338</v>
      </c>
      <c r="J311" t="str">
        <f t="shared" si="4"/>
        <v>ia.assorted_string like '%97805-00012-09-2024%' or</v>
      </c>
    </row>
    <row r="312" spans="1:10" x14ac:dyDescent="0.25">
      <c r="A312" s="18" t="s">
        <v>6862</v>
      </c>
      <c r="B312" t="s">
        <v>7026</v>
      </c>
      <c r="H312">
        <v>97805</v>
      </c>
      <c r="I312" t="s">
        <v>7339</v>
      </c>
      <c r="J312" t="str">
        <f t="shared" si="4"/>
        <v>ia.assorted_string like '%97805-00016-09-2024%' or</v>
      </c>
    </row>
    <row r="313" spans="1:10" x14ac:dyDescent="0.25">
      <c r="A313" s="18" t="s">
        <v>6863</v>
      </c>
      <c r="B313" t="s">
        <v>7026</v>
      </c>
      <c r="H313">
        <v>97805</v>
      </c>
      <c r="I313" t="s">
        <v>7340</v>
      </c>
      <c r="J313" t="str">
        <f t="shared" si="4"/>
        <v>ia.assorted_string like '%97805-00022-09-2024%' or</v>
      </c>
    </row>
    <row r="314" spans="1:10" x14ac:dyDescent="0.25">
      <c r="A314" s="18" t="s">
        <v>6864</v>
      </c>
      <c r="B314" t="s">
        <v>7026</v>
      </c>
      <c r="H314">
        <v>97805</v>
      </c>
      <c r="I314" t="s">
        <v>7341</v>
      </c>
      <c r="J314" t="str">
        <f t="shared" si="4"/>
        <v>ia.assorted_string like '%97805-00166-09-2024%' or</v>
      </c>
    </row>
    <row r="315" spans="1:10" x14ac:dyDescent="0.25">
      <c r="A315" s="18" t="s">
        <v>6865</v>
      </c>
      <c r="B315" t="s">
        <v>7026</v>
      </c>
      <c r="H315">
        <v>97805</v>
      </c>
      <c r="I315" t="s">
        <v>7342</v>
      </c>
      <c r="J315" t="str">
        <f t="shared" si="4"/>
        <v>ia.assorted_string like '%97805-00190-09-2024%' or</v>
      </c>
    </row>
    <row r="316" spans="1:10" x14ac:dyDescent="0.25">
      <c r="A316" s="18" t="s">
        <v>6866</v>
      </c>
      <c r="B316" t="s">
        <v>7026</v>
      </c>
      <c r="H316">
        <v>97805</v>
      </c>
      <c r="I316" t="s">
        <v>7343</v>
      </c>
      <c r="J316" t="str">
        <f t="shared" si="4"/>
        <v>ia.assorted_string like '%97805-00111-09-2024%' or</v>
      </c>
    </row>
    <row r="317" spans="1:10" x14ac:dyDescent="0.25">
      <c r="A317" s="18" t="s">
        <v>6867</v>
      </c>
      <c r="B317" t="s">
        <v>7026</v>
      </c>
      <c r="H317">
        <v>97805</v>
      </c>
      <c r="I317" t="s">
        <v>7344</v>
      </c>
      <c r="J317" t="str">
        <f t="shared" si="4"/>
        <v>ia.assorted_string like '%97805-00162-09-2024%' or</v>
      </c>
    </row>
    <row r="318" spans="1:10" x14ac:dyDescent="0.25">
      <c r="A318" s="18" t="s">
        <v>6868</v>
      </c>
      <c r="B318" t="s">
        <v>7026</v>
      </c>
      <c r="H318">
        <v>97805</v>
      </c>
      <c r="I318" t="s">
        <v>7345</v>
      </c>
      <c r="J318" t="str">
        <f t="shared" si="4"/>
        <v>ia.assorted_string like '%97805-00282-09-2024%' or</v>
      </c>
    </row>
    <row r="319" spans="1:10" x14ac:dyDescent="0.25">
      <c r="A319" s="18" t="s">
        <v>6869</v>
      </c>
      <c r="B319" t="s">
        <v>7026</v>
      </c>
      <c r="H319">
        <v>97805</v>
      </c>
      <c r="I319" t="s">
        <v>7346</v>
      </c>
      <c r="J319" t="str">
        <f t="shared" si="4"/>
        <v>ia.assorted_string like '%97805-00283-09-2024%' or</v>
      </c>
    </row>
    <row r="320" spans="1:10" x14ac:dyDescent="0.25">
      <c r="A320" s="18" t="s">
        <v>6870</v>
      </c>
      <c r="B320" t="s">
        <v>7026</v>
      </c>
      <c r="H320">
        <v>97805</v>
      </c>
      <c r="I320" t="s">
        <v>7347</v>
      </c>
      <c r="J320" t="str">
        <f t="shared" si="4"/>
        <v>ia.assorted_string like '%97805-00203-09-2024%' or</v>
      </c>
    </row>
    <row r="321" spans="1:10" x14ac:dyDescent="0.25">
      <c r="A321" s="18" t="s">
        <v>6871</v>
      </c>
      <c r="B321" t="s">
        <v>7026</v>
      </c>
      <c r="H321">
        <v>97805</v>
      </c>
      <c r="I321" t="s">
        <v>7348</v>
      </c>
      <c r="J321" t="str">
        <f t="shared" si="4"/>
        <v>ia.assorted_string like '%97805-00245-09-2024%' or</v>
      </c>
    </row>
    <row r="322" spans="1:10" x14ac:dyDescent="0.25">
      <c r="A322" s="18" t="s">
        <v>6872</v>
      </c>
      <c r="B322" t="s">
        <v>7026</v>
      </c>
      <c r="H322">
        <v>97805</v>
      </c>
      <c r="I322" t="s">
        <v>7349</v>
      </c>
      <c r="J322" t="str">
        <f t="shared" si="4"/>
        <v>ia.assorted_string like '%97805-00246-09-2024%' or</v>
      </c>
    </row>
    <row r="323" spans="1:10" x14ac:dyDescent="0.25">
      <c r="A323" s="18" t="s">
        <v>6873</v>
      </c>
      <c r="B323" t="s">
        <v>7026</v>
      </c>
      <c r="H323">
        <v>97805</v>
      </c>
      <c r="I323" t="s">
        <v>7350</v>
      </c>
      <c r="J323" t="str">
        <f t="shared" ref="J323:J386" si="5">"ia.assorted_string like '%"&amp;H323&amp;"-"&amp;I323&amp;B323&amp;"%' or"</f>
        <v>ia.assorted_string like '%97805-00247-09-2024%' or</v>
      </c>
    </row>
    <row r="324" spans="1:10" x14ac:dyDescent="0.25">
      <c r="A324" s="18" t="s">
        <v>6874</v>
      </c>
      <c r="B324" t="s">
        <v>7026</v>
      </c>
      <c r="H324">
        <v>97805</v>
      </c>
      <c r="I324" t="s">
        <v>7351</v>
      </c>
      <c r="J324" t="str">
        <f t="shared" si="5"/>
        <v>ia.assorted_string like '%97805-00324-09-2024%' or</v>
      </c>
    </row>
    <row r="325" spans="1:10" x14ac:dyDescent="0.25">
      <c r="A325" s="18" t="s">
        <v>6878</v>
      </c>
      <c r="B325" t="s">
        <v>7028</v>
      </c>
      <c r="H325">
        <v>47950</v>
      </c>
      <c r="I325" t="s">
        <v>7030</v>
      </c>
      <c r="J325" t="str">
        <f>"ia.end_string like '%"&amp;H325&amp;"-"&amp;I325&amp;B325&amp;"%' or"</f>
        <v>ia.end_string like '%47950-00002-10-2024%' or</v>
      </c>
    </row>
    <row r="326" spans="1:10" x14ac:dyDescent="0.25">
      <c r="A326" s="18" t="s">
        <v>6879</v>
      </c>
      <c r="B326" t="s">
        <v>7028</v>
      </c>
      <c r="H326">
        <v>47950</v>
      </c>
      <c r="I326" t="s">
        <v>7033</v>
      </c>
      <c r="J326" t="str">
        <f t="shared" ref="J326:J389" si="6">"ia.end_string like '%"&amp;H326&amp;"-"&amp;I326&amp;B326&amp;"%' or"</f>
        <v>ia.end_string like '%47950-00005-10-2024%' or</v>
      </c>
    </row>
    <row r="327" spans="1:10" x14ac:dyDescent="0.25">
      <c r="A327" s="18" t="s">
        <v>6880</v>
      </c>
      <c r="B327" t="s">
        <v>7028</v>
      </c>
      <c r="H327">
        <v>47950</v>
      </c>
      <c r="I327" t="s">
        <v>7039</v>
      </c>
      <c r="J327" t="str">
        <f t="shared" si="6"/>
        <v>ia.end_string like '%47950-00015-10-2024%' or</v>
      </c>
    </row>
    <row r="328" spans="1:10" x14ac:dyDescent="0.25">
      <c r="A328" s="18" t="s">
        <v>6881</v>
      </c>
      <c r="B328" t="s">
        <v>7028</v>
      </c>
      <c r="H328">
        <v>47950</v>
      </c>
      <c r="I328" t="s">
        <v>7041</v>
      </c>
      <c r="J328" t="str">
        <f t="shared" si="6"/>
        <v>ia.end_string like '%47950-00019-10-2024%' or</v>
      </c>
    </row>
    <row r="329" spans="1:10" x14ac:dyDescent="0.25">
      <c r="A329" s="18" t="s">
        <v>6882</v>
      </c>
      <c r="B329" t="s">
        <v>7028</v>
      </c>
      <c r="H329">
        <v>47950</v>
      </c>
      <c r="I329" t="s">
        <v>7047</v>
      </c>
      <c r="J329" t="str">
        <f t="shared" si="6"/>
        <v>ia.end_string like '%47950-00028-10-2024%' or</v>
      </c>
    </row>
    <row r="330" spans="1:10" x14ac:dyDescent="0.25">
      <c r="A330" s="18" t="s">
        <v>6883</v>
      </c>
      <c r="B330" t="s">
        <v>7028</v>
      </c>
      <c r="H330">
        <v>47950</v>
      </c>
      <c r="I330" t="s">
        <v>7048</v>
      </c>
      <c r="J330" t="str">
        <f t="shared" si="6"/>
        <v>ia.end_string like '%47950-00034-10-2024%' or</v>
      </c>
    </row>
    <row r="331" spans="1:10" x14ac:dyDescent="0.25">
      <c r="A331" s="18" t="s">
        <v>6884</v>
      </c>
      <c r="B331" t="s">
        <v>7028</v>
      </c>
      <c r="H331">
        <v>47950</v>
      </c>
      <c r="I331" t="s">
        <v>7049</v>
      </c>
      <c r="J331" t="str">
        <f t="shared" si="6"/>
        <v>ia.end_string like '%47950-00037-10-2024%' or</v>
      </c>
    </row>
    <row r="332" spans="1:10" x14ac:dyDescent="0.25">
      <c r="A332" s="18" t="s">
        <v>6885</v>
      </c>
      <c r="B332" t="s">
        <v>7028</v>
      </c>
      <c r="H332">
        <v>47950</v>
      </c>
      <c r="I332" t="s">
        <v>7050</v>
      </c>
      <c r="J332" t="str">
        <f t="shared" si="6"/>
        <v>ia.end_string like '%47950-00038-10-2024%' or</v>
      </c>
    </row>
    <row r="333" spans="1:10" x14ac:dyDescent="0.25">
      <c r="A333" s="18" t="s">
        <v>6886</v>
      </c>
      <c r="B333" t="s">
        <v>7028</v>
      </c>
      <c r="H333">
        <v>47950</v>
      </c>
      <c r="I333" t="s">
        <v>7059</v>
      </c>
      <c r="J333" t="str">
        <f t="shared" si="6"/>
        <v>ia.end_string like '%47950-00062-10-2024%' or</v>
      </c>
    </row>
    <row r="334" spans="1:10" x14ac:dyDescent="0.25">
      <c r="A334" s="18" t="s">
        <v>6887</v>
      </c>
      <c r="B334" t="s">
        <v>7028</v>
      </c>
      <c r="H334">
        <v>47950</v>
      </c>
      <c r="I334" t="s">
        <v>7065</v>
      </c>
      <c r="J334" t="str">
        <f t="shared" si="6"/>
        <v>ia.end_string like '%47950-00074-10-2024%' or</v>
      </c>
    </row>
    <row r="335" spans="1:10" x14ac:dyDescent="0.25">
      <c r="A335" s="18" t="s">
        <v>6888</v>
      </c>
      <c r="B335" t="s">
        <v>7028</v>
      </c>
      <c r="H335">
        <v>47950</v>
      </c>
      <c r="I335" t="s">
        <v>7066</v>
      </c>
      <c r="J335" t="str">
        <f t="shared" si="6"/>
        <v>ia.end_string like '%47950-00076-10-2024%' or</v>
      </c>
    </row>
    <row r="336" spans="1:10" x14ac:dyDescent="0.25">
      <c r="A336" s="18" t="s">
        <v>6889</v>
      </c>
      <c r="B336" t="s">
        <v>7028</v>
      </c>
      <c r="H336">
        <v>47950</v>
      </c>
      <c r="I336" t="s">
        <v>7067</v>
      </c>
      <c r="J336" t="str">
        <f t="shared" si="6"/>
        <v>ia.end_string like '%47950-00084-10-2024%' or</v>
      </c>
    </row>
    <row r="337" spans="1:10" x14ac:dyDescent="0.25">
      <c r="A337" s="18" t="s">
        <v>6890</v>
      </c>
      <c r="B337" t="s">
        <v>7028</v>
      </c>
      <c r="H337">
        <v>47950</v>
      </c>
      <c r="I337" t="s">
        <v>7072</v>
      </c>
      <c r="J337" t="str">
        <f t="shared" si="6"/>
        <v>ia.end_string like '%47950-00090-10-2024%' or</v>
      </c>
    </row>
    <row r="338" spans="1:10" x14ac:dyDescent="0.25">
      <c r="A338" s="18" t="s">
        <v>6891</v>
      </c>
      <c r="B338" t="s">
        <v>7028</v>
      </c>
      <c r="H338">
        <v>47950</v>
      </c>
      <c r="I338" t="s">
        <v>7076</v>
      </c>
      <c r="J338" t="str">
        <f t="shared" si="6"/>
        <v>ia.end_string like '%47950-00098-10-2024%' or</v>
      </c>
    </row>
    <row r="339" spans="1:10" x14ac:dyDescent="0.25">
      <c r="A339" s="18" t="s">
        <v>6892</v>
      </c>
      <c r="B339" t="s">
        <v>7028</v>
      </c>
      <c r="H339">
        <v>47950</v>
      </c>
      <c r="I339" t="s">
        <v>7079</v>
      </c>
      <c r="J339" t="str">
        <f t="shared" si="6"/>
        <v>ia.end_string like '%47950-00106-10-2024%' or</v>
      </c>
    </row>
    <row r="340" spans="1:10" x14ac:dyDescent="0.25">
      <c r="A340" s="18" t="s">
        <v>6893</v>
      </c>
      <c r="B340" t="s">
        <v>7028</v>
      </c>
      <c r="H340">
        <v>47950</v>
      </c>
      <c r="I340" t="s">
        <v>7080</v>
      </c>
      <c r="J340" t="str">
        <f t="shared" si="6"/>
        <v>ia.end_string like '%47950-00107-10-2024%' or</v>
      </c>
    </row>
    <row r="341" spans="1:10" x14ac:dyDescent="0.25">
      <c r="A341" s="18" t="s">
        <v>6894</v>
      </c>
      <c r="B341" t="s">
        <v>7028</v>
      </c>
      <c r="H341">
        <v>47950</v>
      </c>
      <c r="I341" t="s">
        <v>7082</v>
      </c>
      <c r="J341" t="str">
        <f t="shared" si="6"/>
        <v>ia.end_string like '%47950-00114-10-2024%' or</v>
      </c>
    </row>
    <row r="342" spans="1:10" x14ac:dyDescent="0.25">
      <c r="A342" s="18" t="s">
        <v>6895</v>
      </c>
      <c r="B342" t="s">
        <v>7028</v>
      </c>
      <c r="H342">
        <v>47950</v>
      </c>
      <c r="I342" t="s">
        <v>7083</v>
      </c>
      <c r="J342" t="str">
        <f t="shared" si="6"/>
        <v>ia.end_string like '%47950-00119-10-2024%' or</v>
      </c>
    </row>
    <row r="343" spans="1:10" x14ac:dyDescent="0.25">
      <c r="A343" s="18" t="s">
        <v>6896</v>
      </c>
      <c r="B343" t="s">
        <v>7028</v>
      </c>
      <c r="H343">
        <v>47950</v>
      </c>
      <c r="I343" t="s">
        <v>7087</v>
      </c>
      <c r="J343" t="str">
        <f t="shared" si="6"/>
        <v>ia.end_string like '%47950-00126-10-2024%' or</v>
      </c>
    </row>
    <row r="344" spans="1:10" x14ac:dyDescent="0.25">
      <c r="A344" s="18" t="s">
        <v>6897</v>
      </c>
      <c r="B344" t="s">
        <v>7028</v>
      </c>
      <c r="H344">
        <v>47950</v>
      </c>
      <c r="I344" t="s">
        <v>7089</v>
      </c>
      <c r="J344" t="str">
        <f t="shared" si="6"/>
        <v>ia.end_string like '%47950-00129-10-2024%' or</v>
      </c>
    </row>
    <row r="345" spans="1:10" x14ac:dyDescent="0.25">
      <c r="A345" s="18" t="s">
        <v>6898</v>
      </c>
      <c r="B345" t="s">
        <v>7028</v>
      </c>
      <c r="H345">
        <v>47950</v>
      </c>
      <c r="I345" t="s">
        <v>7091</v>
      </c>
      <c r="J345" t="str">
        <f t="shared" si="6"/>
        <v>ia.end_string like '%47950-00135-10-2024%' or</v>
      </c>
    </row>
    <row r="346" spans="1:10" x14ac:dyDescent="0.25">
      <c r="A346" s="18" t="s">
        <v>6899</v>
      </c>
      <c r="B346" t="s">
        <v>7028</v>
      </c>
      <c r="H346">
        <v>47950</v>
      </c>
      <c r="I346" t="s">
        <v>7092</v>
      </c>
      <c r="J346" t="str">
        <f t="shared" si="6"/>
        <v>ia.end_string like '%47950-00137-10-2024%' or</v>
      </c>
    </row>
    <row r="347" spans="1:10" x14ac:dyDescent="0.25">
      <c r="A347" s="18" t="s">
        <v>6900</v>
      </c>
      <c r="B347" t="s">
        <v>7028</v>
      </c>
      <c r="H347">
        <v>47950</v>
      </c>
      <c r="I347" t="s">
        <v>7093</v>
      </c>
      <c r="J347" t="str">
        <f t="shared" si="6"/>
        <v>ia.end_string like '%47950-00017-10-2024%' or</v>
      </c>
    </row>
    <row r="348" spans="1:10" x14ac:dyDescent="0.25">
      <c r="A348" s="18" t="s">
        <v>6901</v>
      </c>
      <c r="B348" t="s">
        <v>7028</v>
      </c>
      <c r="H348">
        <v>47950</v>
      </c>
      <c r="I348" t="s">
        <v>7094</v>
      </c>
      <c r="J348" t="str">
        <f t="shared" si="6"/>
        <v>ia.end_string like '%47950-00020-10-2024%' or</v>
      </c>
    </row>
    <row r="349" spans="1:10" x14ac:dyDescent="0.25">
      <c r="A349" s="18" t="s">
        <v>6902</v>
      </c>
      <c r="B349" t="s">
        <v>7028</v>
      </c>
      <c r="H349">
        <v>47950</v>
      </c>
      <c r="I349" t="s">
        <v>7096</v>
      </c>
      <c r="J349" t="str">
        <f t="shared" si="6"/>
        <v>ia.end_string like '%47950-00027-10-2024%' or</v>
      </c>
    </row>
    <row r="350" spans="1:10" x14ac:dyDescent="0.25">
      <c r="A350" s="18" t="s">
        <v>6903</v>
      </c>
      <c r="B350" t="s">
        <v>7028</v>
      </c>
      <c r="H350">
        <v>47950</v>
      </c>
      <c r="I350" t="s">
        <v>7097</v>
      </c>
      <c r="J350" t="str">
        <f t="shared" si="6"/>
        <v>ia.end_string like '%47950-00029-10-2024%' or</v>
      </c>
    </row>
    <row r="351" spans="1:10" x14ac:dyDescent="0.25">
      <c r="A351" s="18" t="s">
        <v>6904</v>
      </c>
      <c r="B351" t="s">
        <v>7028</v>
      </c>
      <c r="H351">
        <v>47950</v>
      </c>
      <c r="I351" t="s">
        <v>7100</v>
      </c>
      <c r="J351" t="str">
        <f t="shared" si="6"/>
        <v>ia.end_string like '%47950-00033-10-2024%' or</v>
      </c>
    </row>
    <row r="352" spans="1:10" x14ac:dyDescent="0.25">
      <c r="A352" s="18" t="s">
        <v>6905</v>
      </c>
      <c r="B352" t="s">
        <v>7028</v>
      </c>
      <c r="H352">
        <v>47950</v>
      </c>
      <c r="I352" t="s">
        <v>7104</v>
      </c>
      <c r="J352" t="str">
        <f t="shared" si="6"/>
        <v>ia.end_string like '%47950-00151-10-2024%' or</v>
      </c>
    </row>
    <row r="353" spans="1:10" x14ac:dyDescent="0.25">
      <c r="A353" s="18" t="s">
        <v>6906</v>
      </c>
      <c r="B353" t="s">
        <v>7028</v>
      </c>
      <c r="H353">
        <v>47950</v>
      </c>
      <c r="I353" t="s">
        <v>7109</v>
      </c>
      <c r="J353" t="str">
        <f t="shared" si="6"/>
        <v>ia.end_string like '%47950-00042-10-2024%' or</v>
      </c>
    </row>
    <row r="354" spans="1:10" x14ac:dyDescent="0.25">
      <c r="A354" s="18" t="s">
        <v>6907</v>
      </c>
      <c r="B354" t="s">
        <v>7028</v>
      </c>
      <c r="H354">
        <v>47950</v>
      </c>
      <c r="I354" t="s">
        <v>7113</v>
      </c>
      <c r="J354" t="str">
        <f t="shared" si="6"/>
        <v>ia.end_string like '%47950-00044-10-2024%' or</v>
      </c>
    </row>
    <row r="355" spans="1:10" x14ac:dyDescent="0.25">
      <c r="A355" s="18" t="s">
        <v>6908</v>
      </c>
      <c r="B355" t="s">
        <v>7028</v>
      </c>
      <c r="H355">
        <v>47950</v>
      </c>
      <c r="I355" t="s">
        <v>7115</v>
      </c>
      <c r="J355" t="str">
        <f t="shared" si="6"/>
        <v>ia.end_string like '%47950-00160-10-2024%' or</v>
      </c>
    </row>
    <row r="356" spans="1:10" x14ac:dyDescent="0.25">
      <c r="A356" s="18" t="s">
        <v>6909</v>
      </c>
      <c r="B356" t="s">
        <v>7028</v>
      </c>
      <c r="H356">
        <v>47950</v>
      </c>
      <c r="I356" t="s">
        <v>7116</v>
      </c>
      <c r="J356" t="str">
        <f t="shared" si="6"/>
        <v>ia.end_string like '%47950-00046-10-2024%' or</v>
      </c>
    </row>
    <row r="357" spans="1:10" x14ac:dyDescent="0.25">
      <c r="A357" s="18" t="s">
        <v>6910</v>
      </c>
      <c r="B357" t="s">
        <v>7028</v>
      </c>
      <c r="H357">
        <v>47950</v>
      </c>
      <c r="I357" t="s">
        <v>7118</v>
      </c>
      <c r="J357" t="str">
        <f t="shared" si="6"/>
        <v>ia.end_string like '%47950-00048-10-2024%' or</v>
      </c>
    </row>
    <row r="358" spans="1:10" x14ac:dyDescent="0.25">
      <c r="A358" s="18" t="s">
        <v>6911</v>
      </c>
      <c r="B358" t="s">
        <v>7028</v>
      </c>
      <c r="H358">
        <v>47950</v>
      </c>
      <c r="I358" t="s">
        <v>7120</v>
      </c>
      <c r="J358" t="str">
        <f t="shared" si="6"/>
        <v>ia.end_string like '%47950-00050-10-2024%' or</v>
      </c>
    </row>
    <row r="359" spans="1:10" x14ac:dyDescent="0.25">
      <c r="A359" s="18" t="s">
        <v>6912</v>
      </c>
      <c r="B359" t="s">
        <v>7028</v>
      </c>
      <c r="H359">
        <v>47950</v>
      </c>
      <c r="I359" t="s">
        <v>7124</v>
      </c>
      <c r="J359" t="str">
        <f t="shared" si="6"/>
        <v>ia.end_string like '%47950-00052-10-2024%' or</v>
      </c>
    </row>
    <row r="360" spans="1:10" x14ac:dyDescent="0.25">
      <c r="A360" s="18" t="s">
        <v>6913</v>
      </c>
      <c r="B360" t="s">
        <v>7028</v>
      </c>
      <c r="H360">
        <v>47950</v>
      </c>
      <c r="I360" t="s">
        <v>7125</v>
      </c>
      <c r="J360" t="str">
        <f t="shared" si="6"/>
        <v>ia.end_string like '%47950-00059-10-2024%' or</v>
      </c>
    </row>
    <row r="361" spans="1:10" x14ac:dyDescent="0.25">
      <c r="A361" s="18" t="s">
        <v>6914</v>
      </c>
      <c r="B361" t="s">
        <v>7028</v>
      </c>
      <c r="H361">
        <v>47950</v>
      </c>
      <c r="I361" t="s">
        <v>7128</v>
      </c>
      <c r="J361" t="str">
        <f t="shared" si="6"/>
        <v>ia.end_string like '%47950-00061-10-2024%' or</v>
      </c>
    </row>
    <row r="362" spans="1:10" x14ac:dyDescent="0.25">
      <c r="A362" s="18" t="s">
        <v>6915</v>
      </c>
      <c r="B362" t="s">
        <v>7028</v>
      </c>
      <c r="H362">
        <v>47950</v>
      </c>
      <c r="I362" t="s">
        <v>7129</v>
      </c>
      <c r="J362" t="str">
        <f t="shared" si="6"/>
        <v>ia.end_string like '%47950-00174-10-2024%' or</v>
      </c>
    </row>
    <row r="363" spans="1:10" x14ac:dyDescent="0.25">
      <c r="A363" s="18" t="s">
        <v>6916</v>
      </c>
      <c r="B363" t="s">
        <v>7028</v>
      </c>
      <c r="H363">
        <v>47950</v>
      </c>
      <c r="I363" t="s">
        <v>7130</v>
      </c>
      <c r="J363" t="str">
        <f t="shared" si="6"/>
        <v>ia.end_string like '%47950-00063-10-2024%' or</v>
      </c>
    </row>
    <row r="364" spans="1:10" x14ac:dyDescent="0.25">
      <c r="A364" s="18" t="s">
        <v>6917</v>
      </c>
      <c r="B364" t="s">
        <v>7028</v>
      </c>
      <c r="H364">
        <v>47950</v>
      </c>
      <c r="I364" t="s">
        <v>7131</v>
      </c>
      <c r="J364" t="str">
        <f t="shared" si="6"/>
        <v>ia.end_string like '%47950-00067-10-2024%' or</v>
      </c>
    </row>
    <row r="365" spans="1:10" x14ac:dyDescent="0.25">
      <c r="A365" s="18" t="s">
        <v>6918</v>
      </c>
      <c r="B365" t="s">
        <v>7028</v>
      </c>
      <c r="H365">
        <v>47950</v>
      </c>
      <c r="I365" t="s">
        <v>7135</v>
      </c>
      <c r="J365" t="str">
        <f t="shared" si="6"/>
        <v>ia.end_string like '%47950-00071-10-2024%' or</v>
      </c>
    </row>
    <row r="366" spans="1:10" x14ac:dyDescent="0.25">
      <c r="A366" s="18" t="s">
        <v>6919</v>
      </c>
      <c r="B366" t="s">
        <v>7028</v>
      </c>
      <c r="H366">
        <v>47950</v>
      </c>
      <c r="I366" t="s">
        <v>7138</v>
      </c>
      <c r="J366" t="str">
        <f t="shared" si="6"/>
        <v>ia.end_string like '%47950-00187-10-2024%' or</v>
      </c>
    </row>
    <row r="367" spans="1:10" x14ac:dyDescent="0.25">
      <c r="A367" s="18" t="s">
        <v>6920</v>
      </c>
      <c r="B367" t="s">
        <v>7028</v>
      </c>
      <c r="H367">
        <v>47950</v>
      </c>
      <c r="I367" t="s">
        <v>7141</v>
      </c>
      <c r="J367" t="str">
        <f t="shared" si="6"/>
        <v>ia.end_string like '%47950-00192-10-2024%' or</v>
      </c>
    </row>
    <row r="368" spans="1:10" x14ac:dyDescent="0.25">
      <c r="A368" s="18" t="s">
        <v>6921</v>
      </c>
      <c r="B368" t="s">
        <v>7028</v>
      </c>
      <c r="H368">
        <v>47950</v>
      </c>
      <c r="I368" t="s">
        <v>7142</v>
      </c>
      <c r="J368" t="str">
        <f t="shared" si="6"/>
        <v>ia.end_string like '%47950-00193-10-2024%' or</v>
      </c>
    </row>
    <row r="369" spans="1:10" x14ac:dyDescent="0.25">
      <c r="A369" s="18" t="s">
        <v>6922</v>
      </c>
      <c r="B369" t="s">
        <v>7028</v>
      </c>
      <c r="H369">
        <v>47950</v>
      </c>
      <c r="I369" t="s">
        <v>7143</v>
      </c>
      <c r="J369" t="str">
        <f t="shared" si="6"/>
        <v>ia.end_string like '%47950-00194-10-2024%' or</v>
      </c>
    </row>
    <row r="370" spans="1:10" x14ac:dyDescent="0.25">
      <c r="A370" s="18" t="s">
        <v>6923</v>
      </c>
      <c r="B370" t="s">
        <v>7028</v>
      </c>
      <c r="H370">
        <v>47950</v>
      </c>
      <c r="I370" t="s">
        <v>7146</v>
      </c>
      <c r="J370" t="str">
        <f t="shared" si="6"/>
        <v>ia.end_string like '%47950-00197-10-2024%' or</v>
      </c>
    </row>
    <row r="371" spans="1:10" x14ac:dyDescent="0.25">
      <c r="A371" s="18" t="s">
        <v>6924</v>
      </c>
      <c r="B371" t="s">
        <v>7028</v>
      </c>
      <c r="H371">
        <v>47950</v>
      </c>
      <c r="I371" t="s">
        <v>7147</v>
      </c>
      <c r="J371" t="str">
        <f t="shared" si="6"/>
        <v>ia.end_string like '%47950-00198-10-2024%' or</v>
      </c>
    </row>
    <row r="372" spans="1:10" x14ac:dyDescent="0.25">
      <c r="A372" s="18" t="s">
        <v>6925</v>
      </c>
      <c r="B372" t="s">
        <v>7028</v>
      </c>
      <c r="H372">
        <v>47950</v>
      </c>
      <c r="I372" t="s">
        <v>7148</v>
      </c>
      <c r="J372" t="str">
        <f t="shared" si="6"/>
        <v>ia.end_string like '%47950-00199-10-2024%' or</v>
      </c>
    </row>
    <row r="373" spans="1:10" x14ac:dyDescent="0.25">
      <c r="A373" s="18" t="s">
        <v>6926</v>
      </c>
      <c r="B373" t="s">
        <v>7028</v>
      </c>
      <c r="H373">
        <v>47950</v>
      </c>
      <c r="I373" t="s">
        <v>7149</v>
      </c>
      <c r="J373" t="str">
        <f t="shared" si="6"/>
        <v>ia.end_string like '%47950-00200-10-2024%' or</v>
      </c>
    </row>
    <row r="374" spans="1:10" x14ac:dyDescent="0.25">
      <c r="A374" s="18" t="s">
        <v>6927</v>
      </c>
      <c r="B374" t="s">
        <v>7028</v>
      </c>
      <c r="H374">
        <v>47950</v>
      </c>
      <c r="I374" t="s">
        <v>7150</v>
      </c>
      <c r="J374" t="str">
        <f t="shared" si="6"/>
        <v>ia.end_string like '%47950-00077-10-2024%' or</v>
      </c>
    </row>
    <row r="375" spans="1:10" x14ac:dyDescent="0.25">
      <c r="A375" s="18" t="s">
        <v>6928</v>
      </c>
      <c r="B375" t="s">
        <v>7028</v>
      </c>
      <c r="H375">
        <v>47950</v>
      </c>
      <c r="I375" t="s">
        <v>7151</v>
      </c>
      <c r="J375" t="str">
        <f t="shared" si="6"/>
        <v>ia.end_string like '%47950-00078-10-2024%' or</v>
      </c>
    </row>
    <row r="376" spans="1:10" x14ac:dyDescent="0.25">
      <c r="A376" s="18" t="s">
        <v>6929</v>
      </c>
      <c r="B376" t="s">
        <v>7028</v>
      </c>
      <c r="H376">
        <v>47950</v>
      </c>
      <c r="I376" t="s">
        <v>7152</v>
      </c>
      <c r="J376" t="str">
        <f t="shared" si="6"/>
        <v>ia.end_string like '%47950-00079-10-2024%' or</v>
      </c>
    </row>
    <row r="377" spans="1:10" x14ac:dyDescent="0.25">
      <c r="A377" s="18" t="s">
        <v>6930</v>
      </c>
      <c r="B377" t="s">
        <v>7028</v>
      </c>
      <c r="H377">
        <v>47950</v>
      </c>
      <c r="I377" t="s">
        <v>7154</v>
      </c>
      <c r="J377" t="str">
        <f t="shared" si="6"/>
        <v>ia.end_string like '%47950-00081-10-2024%' or</v>
      </c>
    </row>
    <row r="378" spans="1:10" x14ac:dyDescent="0.25">
      <c r="A378" s="18" t="s">
        <v>6931</v>
      </c>
      <c r="B378" t="s">
        <v>7028</v>
      </c>
      <c r="H378">
        <v>47950</v>
      </c>
      <c r="I378" t="s">
        <v>7156</v>
      </c>
      <c r="J378" t="str">
        <f t="shared" si="6"/>
        <v>ia.end_string like '%47950-00083-10-2024%' or</v>
      </c>
    </row>
    <row r="379" spans="1:10" x14ac:dyDescent="0.25">
      <c r="A379" s="18" t="s">
        <v>6932</v>
      </c>
      <c r="B379" t="s">
        <v>7028</v>
      </c>
      <c r="H379">
        <v>47950</v>
      </c>
      <c r="I379" t="s">
        <v>7157</v>
      </c>
      <c r="J379" t="str">
        <f t="shared" si="6"/>
        <v>ia.end_string like '%47950-00089-10-2024%' or</v>
      </c>
    </row>
    <row r="380" spans="1:10" x14ac:dyDescent="0.25">
      <c r="A380" s="18" t="s">
        <v>6933</v>
      </c>
      <c r="B380" t="s">
        <v>7028</v>
      </c>
      <c r="H380">
        <v>47950</v>
      </c>
      <c r="I380" t="s">
        <v>7158</v>
      </c>
      <c r="J380" t="str">
        <f t="shared" si="6"/>
        <v>ia.end_string like '%47950-00092-10-2024%' or</v>
      </c>
    </row>
    <row r="381" spans="1:10" x14ac:dyDescent="0.25">
      <c r="A381" s="18" t="s">
        <v>6934</v>
      </c>
      <c r="B381" t="s">
        <v>7028</v>
      </c>
      <c r="H381">
        <v>47950</v>
      </c>
      <c r="I381" t="s">
        <v>7159</v>
      </c>
      <c r="J381" t="str">
        <f t="shared" si="6"/>
        <v>ia.end_string like '%47950-00093-10-2024%' or</v>
      </c>
    </row>
    <row r="382" spans="1:10" x14ac:dyDescent="0.25">
      <c r="A382" s="18" t="s">
        <v>6935</v>
      </c>
      <c r="B382" t="s">
        <v>7028</v>
      </c>
      <c r="H382">
        <v>47950</v>
      </c>
      <c r="I382" t="s">
        <v>7160</v>
      </c>
      <c r="J382" t="str">
        <f t="shared" si="6"/>
        <v>ia.end_string like '%47950-00210-10-2024%' or</v>
      </c>
    </row>
    <row r="383" spans="1:10" x14ac:dyDescent="0.25">
      <c r="A383" s="18" t="s">
        <v>6936</v>
      </c>
      <c r="B383" t="s">
        <v>7028</v>
      </c>
      <c r="H383">
        <v>47950</v>
      </c>
      <c r="I383" t="s">
        <v>7163</v>
      </c>
      <c r="J383" t="str">
        <f t="shared" si="6"/>
        <v>ia.end_string like '%47950-00097-10-2024%' or</v>
      </c>
    </row>
    <row r="384" spans="1:10" x14ac:dyDescent="0.25">
      <c r="A384" s="18" t="s">
        <v>6937</v>
      </c>
      <c r="B384" t="s">
        <v>7028</v>
      </c>
      <c r="H384">
        <v>47950</v>
      </c>
      <c r="I384" t="s">
        <v>7164</v>
      </c>
      <c r="J384" t="str">
        <f t="shared" si="6"/>
        <v>ia.end_string like '%47950-00099-10-2024%' or</v>
      </c>
    </row>
    <row r="385" spans="1:10" x14ac:dyDescent="0.25">
      <c r="A385" s="18" t="s">
        <v>6938</v>
      </c>
      <c r="B385" t="s">
        <v>7028</v>
      </c>
      <c r="H385">
        <v>47950</v>
      </c>
      <c r="I385" t="s">
        <v>7165</v>
      </c>
      <c r="J385" t="str">
        <f t="shared" si="6"/>
        <v>ia.end_string like '%47950-00216-10-2024%' or</v>
      </c>
    </row>
    <row r="386" spans="1:10" x14ac:dyDescent="0.25">
      <c r="A386" s="18" t="s">
        <v>6939</v>
      </c>
      <c r="B386" t="s">
        <v>7028</v>
      </c>
      <c r="H386">
        <v>47950</v>
      </c>
      <c r="I386" t="s">
        <v>7168</v>
      </c>
      <c r="J386" t="str">
        <f t="shared" si="6"/>
        <v>ia.end_string like '%47950-00220-10-2024%' or</v>
      </c>
    </row>
    <row r="387" spans="1:10" x14ac:dyDescent="0.25">
      <c r="A387" s="18" t="s">
        <v>6940</v>
      </c>
      <c r="B387" t="s">
        <v>7028</v>
      </c>
      <c r="H387">
        <v>47950</v>
      </c>
      <c r="I387" t="s">
        <v>7169</v>
      </c>
      <c r="J387" t="str">
        <f t="shared" si="6"/>
        <v>ia.end_string like '%47950-00103-10-2024%' or</v>
      </c>
    </row>
    <row r="388" spans="1:10" x14ac:dyDescent="0.25">
      <c r="A388" s="18" t="s">
        <v>6941</v>
      </c>
      <c r="B388" t="s">
        <v>7028</v>
      </c>
      <c r="H388">
        <v>47950</v>
      </c>
      <c r="I388" t="s">
        <v>7170</v>
      </c>
      <c r="J388" t="str">
        <f t="shared" si="6"/>
        <v>ia.end_string like '%47950-00104-10-2024%' or</v>
      </c>
    </row>
    <row r="389" spans="1:10" x14ac:dyDescent="0.25">
      <c r="A389" s="18" t="s">
        <v>7024</v>
      </c>
      <c r="B389" t="s">
        <v>7028</v>
      </c>
      <c r="H389">
        <v>47950</v>
      </c>
      <c r="I389" t="s">
        <v>7171</v>
      </c>
      <c r="J389" t="str">
        <f t="shared" si="6"/>
        <v>ia.end_string like '%47950-00109-10-2024%' or</v>
      </c>
    </row>
    <row r="390" spans="1:10" x14ac:dyDescent="0.25">
      <c r="A390" s="18" t="s">
        <v>6942</v>
      </c>
      <c r="B390" t="s">
        <v>7028</v>
      </c>
      <c r="H390">
        <v>47950</v>
      </c>
      <c r="I390" t="s">
        <v>7172</v>
      </c>
      <c r="J390" t="str">
        <f t="shared" ref="J390:J453" si="7">"ia.end_string like '%"&amp;H390&amp;"-"&amp;I390&amp;B390&amp;"%' or"</f>
        <v>ia.end_string like '%47950-00110-10-2024%' or</v>
      </c>
    </row>
    <row r="391" spans="1:10" x14ac:dyDescent="0.25">
      <c r="A391" s="18" t="s">
        <v>6943</v>
      </c>
      <c r="B391" t="s">
        <v>7028</v>
      </c>
      <c r="H391">
        <v>47950</v>
      </c>
      <c r="I391" t="s">
        <v>7174</v>
      </c>
      <c r="J391" t="str">
        <f t="shared" si="7"/>
        <v>ia.end_string like '%47950-00228-10-2024%' or</v>
      </c>
    </row>
    <row r="392" spans="1:10" x14ac:dyDescent="0.25">
      <c r="A392" s="18" t="s">
        <v>6944</v>
      </c>
      <c r="B392" t="s">
        <v>7028</v>
      </c>
      <c r="H392">
        <v>47950</v>
      </c>
      <c r="I392" t="s">
        <v>7176</v>
      </c>
      <c r="J392" t="str">
        <f t="shared" si="7"/>
        <v>ia.end_string like '%47950-00113-10-2024%' or</v>
      </c>
    </row>
    <row r="393" spans="1:10" x14ac:dyDescent="0.25">
      <c r="A393" s="18" t="s">
        <v>6945</v>
      </c>
      <c r="B393" t="s">
        <v>7028</v>
      </c>
      <c r="H393">
        <v>47950</v>
      </c>
      <c r="I393" t="s">
        <v>7177</v>
      </c>
      <c r="J393" t="str">
        <f t="shared" si="7"/>
        <v>ia.end_string like '%47950-00115-10-2024%' or</v>
      </c>
    </row>
    <row r="394" spans="1:10" x14ac:dyDescent="0.25">
      <c r="A394" s="18" t="s">
        <v>6946</v>
      </c>
      <c r="B394" t="s">
        <v>7028</v>
      </c>
      <c r="H394">
        <v>47950</v>
      </c>
      <c r="I394" t="s">
        <v>7182</v>
      </c>
      <c r="J394" t="str">
        <f t="shared" si="7"/>
        <v>ia.end_string like '%47950-00235-10-2024%' or</v>
      </c>
    </row>
    <row r="395" spans="1:10" x14ac:dyDescent="0.25">
      <c r="A395" s="18" t="s">
        <v>6947</v>
      </c>
      <c r="B395" t="s">
        <v>7028</v>
      </c>
      <c r="H395">
        <v>47950</v>
      </c>
      <c r="I395" t="s">
        <v>7185</v>
      </c>
      <c r="J395" t="str">
        <f t="shared" si="7"/>
        <v>ia.end_string like '%47950-00238-10-2024%' or</v>
      </c>
    </row>
    <row r="396" spans="1:10" x14ac:dyDescent="0.25">
      <c r="A396" s="18" t="s">
        <v>6948</v>
      </c>
      <c r="B396" t="s">
        <v>7028</v>
      </c>
      <c r="H396">
        <v>47950</v>
      </c>
      <c r="I396" t="s">
        <v>7186</v>
      </c>
      <c r="J396" t="str">
        <f t="shared" si="7"/>
        <v>ia.end_string like '%47950-00239-10-2024%' or</v>
      </c>
    </row>
    <row r="397" spans="1:10" x14ac:dyDescent="0.25">
      <c r="A397" s="18" t="s">
        <v>6949</v>
      </c>
      <c r="B397" t="s">
        <v>7028</v>
      </c>
      <c r="H397">
        <v>47950</v>
      </c>
      <c r="I397" t="s">
        <v>7187</v>
      </c>
      <c r="J397" t="str">
        <f t="shared" si="7"/>
        <v>ia.end_string like '%47950-00240-10-2024%' or</v>
      </c>
    </row>
    <row r="398" spans="1:10" x14ac:dyDescent="0.25">
      <c r="A398" s="18" t="s">
        <v>6950</v>
      </c>
      <c r="B398" t="s">
        <v>7028</v>
      </c>
      <c r="H398">
        <v>47950</v>
      </c>
      <c r="I398" t="s">
        <v>7188</v>
      </c>
      <c r="J398" t="str">
        <f t="shared" si="7"/>
        <v>ia.end_string like '%47950-00241-10-2024%' or</v>
      </c>
    </row>
    <row r="399" spans="1:10" x14ac:dyDescent="0.25">
      <c r="A399" s="18" t="s">
        <v>6951</v>
      </c>
      <c r="B399" t="s">
        <v>7028</v>
      </c>
      <c r="H399">
        <v>47950</v>
      </c>
      <c r="I399" t="s">
        <v>7189</v>
      </c>
      <c r="J399" t="str">
        <f t="shared" si="7"/>
        <v>ia.end_string like '%47950-00120-10-2024%' or</v>
      </c>
    </row>
    <row r="400" spans="1:10" x14ac:dyDescent="0.25">
      <c r="A400" s="18" t="s">
        <v>6952</v>
      </c>
      <c r="B400" t="s">
        <v>7028</v>
      </c>
      <c r="H400">
        <v>47950</v>
      </c>
      <c r="I400" t="s">
        <v>7190</v>
      </c>
      <c r="J400" t="str">
        <f t="shared" si="7"/>
        <v>ia.end_string like '%47950-00123-10-2024%' or</v>
      </c>
    </row>
    <row r="401" spans="1:10" x14ac:dyDescent="0.25">
      <c r="A401" s="18" t="s">
        <v>6953</v>
      </c>
      <c r="B401" t="s">
        <v>7028</v>
      </c>
      <c r="H401">
        <v>47950</v>
      </c>
      <c r="I401" t="s">
        <v>7193</v>
      </c>
      <c r="J401" t="str">
        <f t="shared" si="7"/>
        <v>ia.end_string like '%47950-00130-10-2024%' or</v>
      </c>
    </row>
    <row r="402" spans="1:10" x14ac:dyDescent="0.25">
      <c r="A402" s="18" t="s">
        <v>6954</v>
      </c>
      <c r="B402" t="s">
        <v>7028</v>
      </c>
      <c r="H402">
        <v>47950</v>
      </c>
      <c r="I402" t="s">
        <v>7195</v>
      </c>
      <c r="J402" t="str">
        <f t="shared" si="7"/>
        <v>ia.end_string like '%47950-00132-10-2024%' or</v>
      </c>
    </row>
    <row r="403" spans="1:10" x14ac:dyDescent="0.25">
      <c r="A403" s="18" t="s">
        <v>6955</v>
      </c>
      <c r="B403" t="s">
        <v>7028</v>
      </c>
      <c r="H403">
        <v>47950</v>
      </c>
      <c r="I403" t="s">
        <v>7197</v>
      </c>
      <c r="J403" t="str">
        <f t="shared" si="7"/>
        <v>ia.end_string like '%47950-00136-10-2024%' or</v>
      </c>
    </row>
    <row r="404" spans="1:10" x14ac:dyDescent="0.25">
      <c r="A404" s="18" t="s">
        <v>6956</v>
      </c>
      <c r="B404" t="s">
        <v>7028</v>
      </c>
      <c r="H404">
        <v>47950</v>
      </c>
      <c r="I404" t="s">
        <v>7199</v>
      </c>
      <c r="J404" t="str">
        <f t="shared" si="7"/>
        <v>ia.end_string like '%47950-00138-10-2024%' or</v>
      </c>
    </row>
    <row r="405" spans="1:10" x14ac:dyDescent="0.25">
      <c r="A405" s="18" t="s">
        <v>6957</v>
      </c>
      <c r="B405" t="s">
        <v>7028</v>
      </c>
      <c r="H405">
        <v>47950</v>
      </c>
      <c r="I405" t="s">
        <v>7201</v>
      </c>
      <c r="J405" t="str">
        <f t="shared" si="7"/>
        <v>ia.end_string like '%47950-00139-10-2024%' or</v>
      </c>
    </row>
    <row r="406" spans="1:10" x14ac:dyDescent="0.25">
      <c r="A406" s="18" t="s">
        <v>6958</v>
      </c>
      <c r="B406" t="s">
        <v>7028</v>
      </c>
      <c r="H406">
        <v>47950</v>
      </c>
      <c r="I406" t="s">
        <v>7202</v>
      </c>
      <c r="J406" t="str">
        <f t="shared" si="7"/>
        <v>ia.end_string like '%47950-00140-10-2024%' or</v>
      </c>
    </row>
    <row r="407" spans="1:10" x14ac:dyDescent="0.25">
      <c r="A407" s="18" t="s">
        <v>6959</v>
      </c>
      <c r="B407" t="s">
        <v>7028</v>
      </c>
      <c r="H407">
        <v>47950</v>
      </c>
      <c r="I407" t="s">
        <v>7205</v>
      </c>
      <c r="J407" t="str">
        <f t="shared" si="7"/>
        <v>ia.end_string like '%47950-00260-10-2024%' or</v>
      </c>
    </row>
    <row r="408" spans="1:10" x14ac:dyDescent="0.25">
      <c r="A408" s="18" t="s">
        <v>6960</v>
      </c>
      <c r="B408" t="s">
        <v>7028</v>
      </c>
      <c r="H408">
        <v>47950</v>
      </c>
      <c r="I408" t="s">
        <v>7206</v>
      </c>
      <c r="J408" t="str">
        <f t="shared" si="7"/>
        <v>ia.end_string like '%47950-00141-10-2024%' or</v>
      </c>
    </row>
    <row r="409" spans="1:10" x14ac:dyDescent="0.25">
      <c r="A409" s="18" t="s">
        <v>6961</v>
      </c>
      <c r="B409" t="s">
        <v>7028</v>
      </c>
      <c r="H409">
        <v>47950</v>
      </c>
      <c r="I409" t="s">
        <v>7209</v>
      </c>
      <c r="J409" t="str">
        <f t="shared" si="7"/>
        <v>ia.end_string like '%47950-00144-10-2024%' or</v>
      </c>
    </row>
    <row r="410" spans="1:10" x14ac:dyDescent="0.25">
      <c r="A410" s="18" t="s">
        <v>6962</v>
      </c>
      <c r="B410" t="s">
        <v>7028</v>
      </c>
      <c r="H410">
        <v>47950</v>
      </c>
      <c r="I410" t="s">
        <v>7211</v>
      </c>
      <c r="J410" t="str">
        <f t="shared" si="7"/>
        <v>ia.end_string like '%47950-00265-10-2024%' or</v>
      </c>
    </row>
    <row r="411" spans="1:10" x14ac:dyDescent="0.25">
      <c r="A411" s="18" t="s">
        <v>6963</v>
      </c>
      <c r="B411" t="s">
        <v>7028</v>
      </c>
      <c r="H411">
        <v>47950</v>
      </c>
      <c r="I411" t="s">
        <v>7212</v>
      </c>
      <c r="J411" t="str">
        <f t="shared" si="7"/>
        <v>ia.end_string like '%47950-00266-10-2024%' or</v>
      </c>
    </row>
    <row r="412" spans="1:10" x14ac:dyDescent="0.25">
      <c r="A412" s="18" t="s">
        <v>6964</v>
      </c>
      <c r="B412" t="s">
        <v>7028</v>
      </c>
      <c r="H412">
        <v>47950</v>
      </c>
      <c r="I412" t="s">
        <v>7213</v>
      </c>
      <c r="J412" t="str">
        <f t="shared" si="7"/>
        <v>ia.end_string like '%47950-00146-10-2024%' or</v>
      </c>
    </row>
    <row r="413" spans="1:10" x14ac:dyDescent="0.25">
      <c r="A413" s="18" t="s">
        <v>6965</v>
      </c>
      <c r="B413" t="s">
        <v>7028</v>
      </c>
      <c r="H413">
        <v>47950</v>
      </c>
      <c r="I413" t="s">
        <v>7221</v>
      </c>
      <c r="J413" t="str">
        <f t="shared" si="7"/>
        <v>ia.end_string like '%47950-00161-10-2024%' or</v>
      </c>
    </row>
    <row r="414" spans="1:10" x14ac:dyDescent="0.25">
      <c r="A414" s="18" t="s">
        <v>6966</v>
      </c>
      <c r="B414" t="s">
        <v>7028</v>
      </c>
      <c r="H414">
        <v>47950</v>
      </c>
      <c r="I414" t="s">
        <v>7222</v>
      </c>
      <c r="J414" t="str">
        <f t="shared" si="7"/>
        <v>ia.end_string like '%47950-00163-10-2024%' or</v>
      </c>
    </row>
    <row r="415" spans="1:10" x14ac:dyDescent="0.25">
      <c r="A415" s="18" t="s">
        <v>6967</v>
      </c>
      <c r="B415" t="s">
        <v>7028</v>
      </c>
      <c r="H415">
        <v>47950</v>
      </c>
      <c r="I415" t="s">
        <v>7223</v>
      </c>
      <c r="J415" t="str">
        <f t="shared" si="7"/>
        <v>ia.end_string like '%47950-00278-10-2024%' or</v>
      </c>
    </row>
    <row r="416" spans="1:10" x14ac:dyDescent="0.25">
      <c r="A416" s="18" t="s">
        <v>6968</v>
      </c>
      <c r="B416" t="s">
        <v>7028</v>
      </c>
      <c r="H416">
        <v>47950</v>
      </c>
      <c r="I416" t="s">
        <v>7224</v>
      </c>
      <c r="J416" t="str">
        <f t="shared" si="7"/>
        <v>ia.end_string like '%47950-00279-10-2024%' or</v>
      </c>
    </row>
    <row r="417" spans="1:10" x14ac:dyDescent="0.25">
      <c r="A417" s="18" t="s">
        <v>6969</v>
      </c>
      <c r="B417" t="s">
        <v>7028</v>
      </c>
      <c r="H417">
        <v>47950</v>
      </c>
      <c r="I417" t="s">
        <v>7225</v>
      </c>
      <c r="J417" t="str">
        <f t="shared" si="7"/>
        <v>ia.end_string like '%47950-00164-10-2024%' or</v>
      </c>
    </row>
    <row r="418" spans="1:10" x14ac:dyDescent="0.25">
      <c r="A418" s="18" t="s">
        <v>6970</v>
      </c>
      <c r="B418" t="s">
        <v>7028</v>
      </c>
      <c r="H418">
        <v>47950</v>
      </c>
      <c r="I418" t="s">
        <v>7226</v>
      </c>
      <c r="J418" t="str">
        <f t="shared" si="7"/>
        <v>ia.end_string like '%47950-00165-10-2024%' or</v>
      </c>
    </row>
    <row r="419" spans="1:10" x14ac:dyDescent="0.25">
      <c r="A419" s="18" t="s">
        <v>6971</v>
      </c>
      <c r="B419" t="s">
        <v>7028</v>
      </c>
      <c r="H419">
        <v>47950</v>
      </c>
      <c r="I419" t="s">
        <v>7229</v>
      </c>
      <c r="J419" t="str">
        <f t="shared" si="7"/>
        <v>ia.end_string like '%47950-00176-10-2024%' or</v>
      </c>
    </row>
    <row r="420" spans="1:10" x14ac:dyDescent="0.25">
      <c r="A420" s="18" t="s">
        <v>6972</v>
      </c>
      <c r="B420" t="s">
        <v>7028</v>
      </c>
      <c r="H420">
        <v>47950</v>
      </c>
      <c r="I420" t="s">
        <v>7232</v>
      </c>
      <c r="J420" t="str">
        <f t="shared" si="7"/>
        <v>ia.end_string like '%47950-00288-10-2024%' or</v>
      </c>
    </row>
    <row r="421" spans="1:10" x14ac:dyDescent="0.25">
      <c r="A421" s="18" t="s">
        <v>6973</v>
      </c>
      <c r="B421" t="s">
        <v>7028</v>
      </c>
      <c r="H421">
        <v>47950</v>
      </c>
      <c r="I421" t="s">
        <v>7234</v>
      </c>
      <c r="J421" t="str">
        <f t="shared" si="7"/>
        <v>ia.end_string like '%47950-00178-10-2024%' or</v>
      </c>
    </row>
    <row r="422" spans="1:10" x14ac:dyDescent="0.25">
      <c r="A422" s="18" t="s">
        <v>6974</v>
      </c>
      <c r="B422" t="s">
        <v>7028</v>
      </c>
      <c r="H422">
        <v>47950</v>
      </c>
      <c r="I422" t="s">
        <v>7236</v>
      </c>
      <c r="J422" t="str">
        <f t="shared" si="7"/>
        <v>ia.end_string like '%47950-00180-10-2024%' or</v>
      </c>
    </row>
    <row r="423" spans="1:10" x14ac:dyDescent="0.25">
      <c r="A423" s="18" t="s">
        <v>6975</v>
      </c>
      <c r="B423" t="s">
        <v>7028</v>
      </c>
      <c r="H423">
        <v>47950</v>
      </c>
      <c r="I423" t="s">
        <v>7239</v>
      </c>
      <c r="J423" t="str">
        <f t="shared" si="7"/>
        <v>ia.end_string like '%47950-00296-10-2024%' or</v>
      </c>
    </row>
    <row r="424" spans="1:10" x14ac:dyDescent="0.25">
      <c r="A424" s="18" t="s">
        <v>6976</v>
      </c>
      <c r="B424" t="s">
        <v>7028</v>
      </c>
      <c r="H424">
        <v>47950</v>
      </c>
      <c r="I424" t="s">
        <v>7240</v>
      </c>
      <c r="J424" t="str">
        <f t="shared" si="7"/>
        <v>ia.end_string like '%47950-00184-10-2024%' or</v>
      </c>
    </row>
    <row r="425" spans="1:10" x14ac:dyDescent="0.25">
      <c r="A425" s="18" t="s">
        <v>6977</v>
      </c>
      <c r="B425" t="s">
        <v>7028</v>
      </c>
      <c r="H425">
        <v>47950</v>
      </c>
      <c r="I425" t="s">
        <v>7241</v>
      </c>
      <c r="J425" t="str">
        <f t="shared" si="7"/>
        <v>ia.end_string like '%47950-00298-10-2024%' or</v>
      </c>
    </row>
    <row r="426" spans="1:10" x14ac:dyDescent="0.25">
      <c r="A426" s="18" t="s">
        <v>6978</v>
      </c>
      <c r="B426" t="s">
        <v>7028</v>
      </c>
      <c r="H426">
        <v>47950</v>
      </c>
      <c r="I426" t="s">
        <v>7242</v>
      </c>
      <c r="J426" t="str">
        <f t="shared" si="7"/>
        <v>ia.end_string like '%47950-00191-10-2024%' or</v>
      </c>
    </row>
    <row r="427" spans="1:10" x14ac:dyDescent="0.25">
      <c r="A427" s="18" t="s">
        <v>6979</v>
      </c>
      <c r="B427" t="s">
        <v>7028</v>
      </c>
      <c r="H427">
        <v>47950</v>
      </c>
      <c r="I427" t="s">
        <v>7243</v>
      </c>
      <c r="J427" t="str">
        <f t="shared" si="7"/>
        <v>ia.end_string like '%47950-00299-10-2024%' or</v>
      </c>
    </row>
    <row r="428" spans="1:10" x14ac:dyDescent="0.25">
      <c r="A428" s="18" t="s">
        <v>6980</v>
      </c>
      <c r="B428" t="s">
        <v>7028</v>
      </c>
      <c r="H428">
        <v>47950</v>
      </c>
      <c r="I428" t="s">
        <v>7244</v>
      </c>
      <c r="J428" t="str">
        <f t="shared" si="7"/>
        <v>ia.end_string like '%47950-00195-10-2024%' or</v>
      </c>
    </row>
    <row r="429" spans="1:10" x14ac:dyDescent="0.25">
      <c r="A429" s="18" t="s">
        <v>6981</v>
      </c>
      <c r="B429" t="s">
        <v>7028</v>
      </c>
      <c r="H429">
        <v>47950</v>
      </c>
      <c r="I429" t="s">
        <v>7245</v>
      </c>
      <c r="J429" t="str">
        <f t="shared" si="7"/>
        <v>ia.end_string like '%47950-00196-10-2024%' or</v>
      </c>
    </row>
    <row r="430" spans="1:10" x14ac:dyDescent="0.25">
      <c r="A430" s="18" t="s">
        <v>6982</v>
      </c>
      <c r="B430" t="s">
        <v>7028</v>
      </c>
      <c r="H430">
        <v>47950</v>
      </c>
      <c r="I430" t="s">
        <v>7246</v>
      </c>
      <c r="J430" t="str">
        <f t="shared" si="7"/>
        <v>ia.end_string like '%47950-00201-10-2024%' or</v>
      </c>
    </row>
    <row r="431" spans="1:10" x14ac:dyDescent="0.25">
      <c r="A431" s="18" t="s">
        <v>6983</v>
      </c>
      <c r="B431" t="s">
        <v>7028</v>
      </c>
      <c r="H431">
        <v>47950</v>
      </c>
      <c r="I431" t="s">
        <v>7247</v>
      </c>
      <c r="J431" t="str">
        <f t="shared" si="7"/>
        <v>ia.end_string like '%47950-00202-10-2024%' or</v>
      </c>
    </row>
    <row r="432" spans="1:10" x14ac:dyDescent="0.25">
      <c r="A432" s="18" t="s">
        <v>6984</v>
      </c>
      <c r="B432" t="s">
        <v>7028</v>
      </c>
      <c r="H432">
        <v>47950</v>
      </c>
      <c r="I432" t="s">
        <v>7251</v>
      </c>
      <c r="J432" t="str">
        <f t="shared" si="7"/>
        <v>ia.end_string like '%47950-00312-10-2024%' or</v>
      </c>
    </row>
    <row r="433" spans="1:10" x14ac:dyDescent="0.25">
      <c r="A433" s="18" t="s">
        <v>6985</v>
      </c>
      <c r="B433" t="s">
        <v>7028</v>
      </c>
      <c r="H433">
        <v>47950</v>
      </c>
      <c r="I433" t="s">
        <v>7254</v>
      </c>
      <c r="J433" t="str">
        <f t="shared" si="7"/>
        <v>ia.end_string like '%47950-00315-10-2024%' or</v>
      </c>
    </row>
    <row r="434" spans="1:10" x14ac:dyDescent="0.25">
      <c r="A434" s="18" t="s">
        <v>6986</v>
      </c>
      <c r="B434" t="s">
        <v>7028</v>
      </c>
      <c r="H434">
        <v>47950</v>
      </c>
      <c r="I434" t="s">
        <v>7256</v>
      </c>
      <c r="J434" t="str">
        <f t="shared" si="7"/>
        <v>ia.end_string like '%47950-00209-10-2024%' or</v>
      </c>
    </row>
    <row r="435" spans="1:10" x14ac:dyDescent="0.25">
      <c r="A435" s="18" t="s">
        <v>6987</v>
      </c>
      <c r="B435" t="s">
        <v>7028</v>
      </c>
      <c r="H435">
        <v>47950</v>
      </c>
      <c r="I435" t="s">
        <v>7257</v>
      </c>
      <c r="J435" t="str">
        <f t="shared" si="7"/>
        <v>ia.end_string like '%47950-00211-10-2024%' or</v>
      </c>
    </row>
    <row r="436" spans="1:10" x14ac:dyDescent="0.25">
      <c r="A436" s="18" t="s">
        <v>6988</v>
      </c>
      <c r="B436" t="s">
        <v>7028</v>
      </c>
      <c r="H436">
        <v>47950</v>
      </c>
      <c r="I436" t="s">
        <v>7258</v>
      </c>
      <c r="J436" t="str">
        <f t="shared" si="7"/>
        <v>ia.end_string like '%47950-00318-10-2024%' or</v>
      </c>
    </row>
    <row r="437" spans="1:10" x14ac:dyDescent="0.25">
      <c r="A437" s="18" t="s">
        <v>6989</v>
      </c>
      <c r="B437" t="s">
        <v>7028</v>
      </c>
      <c r="H437">
        <v>47950</v>
      </c>
      <c r="I437" t="s">
        <v>7260</v>
      </c>
      <c r="J437" t="str">
        <f t="shared" si="7"/>
        <v>ia.end_string like '%47950-00320-10-2024%' or</v>
      </c>
    </row>
    <row r="438" spans="1:10" x14ac:dyDescent="0.25">
      <c r="A438" s="18" t="s">
        <v>6990</v>
      </c>
      <c r="B438" t="s">
        <v>7028</v>
      </c>
      <c r="H438">
        <v>47950</v>
      </c>
      <c r="I438" t="s">
        <v>7263</v>
      </c>
      <c r="J438" t="str">
        <f t="shared" si="7"/>
        <v>ia.end_string like '%47950-00322-10-2024%' or</v>
      </c>
    </row>
    <row r="439" spans="1:10" x14ac:dyDescent="0.25">
      <c r="A439" s="18" t="s">
        <v>6991</v>
      </c>
      <c r="B439" t="s">
        <v>7028</v>
      </c>
      <c r="H439">
        <v>47950</v>
      </c>
      <c r="I439" t="s">
        <v>7264</v>
      </c>
      <c r="J439" t="str">
        <f t="shared" si="7"/>
        <v>ia.end_string like '%47950-00214-10-2024%' or</v>
      </c>
    </row>
    <row r="440" spans="1:10" x14ac:dyDescent="0.25">
      <c r="A440" s="18" t="s">
        <v>6992</v>
      </c>
      <c r="B440" t="s">
        <v>7028</v>
      </c>
      <c r="H440">
        <v>47950</v>
      </c>
      <c r="I440" t="s">
        <v>7269</v>
      </c>
      <c r="J440" t="str">
        <f t="shared" si="7"/>
        <v>ia.end_string like '%47950-00219-10-2024%' or</v>
      </c>
    </row>
    <row r="441" spans="1:10" x14ac:dyDescent="0.25">
      <c r="A441" s="18" t="s">
        <v>6993</v>
      </c>
      <c r="B441" t="s">
        <v>7028</v>
      </c>
      <c r="H441">
        <v>47950</v>
      </c>
      <c r="I441" t="s">
        <v>7270</v>
      </c>
      <c r="J441" t="str">
        <f t="shared" si="7"/>
        <v>ia.end_string like '%47950-00221-10-2024%' or</v>
      </c>
    </row>
    <row r="442" spans="1:10" x14ac:dyDescent="0.25">
      <c r="A442" s="18" t="s">
        <v>6994</v>
      </c>
      <c r="B442" t="s">
        <v>7028</v>
      </c>
      <c r="H442">
        <v>47950</v>
      </c>
      <c r="I442" t="s">
        <v>7271</v>
      </c>
      <c r="J442" t="str">
        <f t="shared" si="7"/>
        <v>ia.end_string like '%47950-00222-10-2024%' or</v>
      </c>
    </row>
    <row r="443" spans="1:10" x14ac:dyDescent="0.25">
      <c r="A443" s="18" t="s">
        <v>6995</v>
      </c>
      <c r="B443" t="s">
        <v>7028</v>
      </c>
      <c r="H443">
        <v>47950</v>
      </c>
      <c r="I443" t="s">
        <v>7272</v>
      </c>
      <c r="J443" t="str">
        <f t="shared" si="7"/>
        <v>ia.end_string like '%47950-00223-10-2024%' or</v>
      </c>
    </row>
    <row r="444" spans="1:10" x14ac:dyDescent="0.25">
      <c r="A444" s="18" t="s">
        <v>6996</v>
      </c>
      <c r="B444" t="s">
        <v>7028</v>
      </c>
      <c r="H444">
        <v>47950</v>
      </c>
      <c r="I444" t="s">
        <v>7277</v>
      </c>
      <c r="J444" t="str">
        <f t="shared" si="7"/>
        <v>ia.end_string like '%47950-00337-10-2024%' or</v>
      </c>
    </row>
    <row r="445" spans="1:10" x14ac:dyDescent="0.25">
      <c r="A445" s="18" t="s">
        <v>6997</v>
      </c>
      <c r="B445" t="s">
        <v>7028</v>
      </c>
      <c r="H445">
        <v>47950</v>
      </c>
      <c r="I445" t="s">
        <v>7279</v>
      </c>
      <c r="J445" t="str">
        <f t="shared" si="7"/>
        <v>ia.end_string like '%47950-00231-10-2024%' or</v>
      </c>
    </row>
    <row r="446" spans="1:10" x14ac:dyDescent="0.25">
      <c r="A446" s="18" t="s">
        <v>6998</v>
      </c>
      <c r="B446" t="s">
        <v>7028</v>
      </c>
      <c r="H446">
        <v>47950</v>
      </c>
      <c r="I446" t="s">
        <v>7280</v>
      </c>
      <c r="J446" t="str">
        <f t="shared" si="7"/>
        <v>ia.end_string like '%47950-00336-10-2024%' or</v>
      </c>
    </row>
    <row r="447" spans="1:10" x14ac:dyDescent="0.25">
      <c r="A447" s="18" t="s">
        <v>6999</v>
      </c>
      <c r="B447" t="s">
        <v>7028</v>
      </c>
      <c r="H447">
        <v>47950</v>
      </c>
      <c r="I447" t="s">
        <v>7282</v>
      </c>
      <c r="J447" t="str">
        <f t="shared" si="7"/>
        <v>ia.end_string like '%47950-00237-10-2024%' or</v>
      </c>
    </row>
    <row r="448" spans="1:10" x14ac:dyDescent="0.25">
      <c r="A448" s="18" t="s">
        <v>7000</v>
      </c>
      <c r="B448" t="s">
        <v>7028</v>
      </c>
      <c r="H448">
        <v>47950</v>
      </c>
      <c r="I448" t="s">
        <v>7284</v>
      </c>
      <c r="J448" t="str">
        <f t="shared" si="7"/>
        <v>ia.end_string like '%47950-00335-10-2024%' or</v>
      </c>
    </row>
    <row r="449" spans="1:10" x14ac:dyDescent="0.25">
      <c r="A449" s="18" t="s">
        <v>7001</v>
      </c>
      <c r="B449" t="s">
        <v>7028</v>
      </c>
      <c r="H449">
        <v>47950</v>
      </c>
      <c r="I449" t="s">
        <v>7285</v>
      </c>
      <c r="J449" t="str">
        <f t="shared" si="7"/>
        <v>ia.end_string like '%47950-00334-10-2024%' or</v>
      </c>
    </row>
    <row r="450" spans="1:10" x14ac:dyDescent="0.25">
      <c r="A450" s="18" t="s">
        <v>7002</v>
      </c>
      <c r="B450" t="s">
        <v>7028</v>
      </c>
      <c r="H450">
        <v>47950</v>
      </c>
      <c r="I450" t="s">
        <v>7286</v>
      </c>
      <c r="J450" t="str">
        <f t="shared" si="7"/>
        <v>ia.end_string like '%47950-00333-10-2024%' or</v>
      </c>
    </row>
    <row r="451" spans="1:10" x14ac:dyDescent="0.25">
      <c r="A451" s="18" t="s">
        <v>7003</v>
      </c>
      <c r="B451" t="s">
        <v>7028</v>
      </c>
      <c r="H451">
        <v>47950</v>
      </c>
      <c r="I451" t="s">
        <v>7287</v>
      </c>
      <c r="J451" t="str">
        <f t="shared" si="7"/>
        <v>ia.end_string like '%47950-00243-10-2024%' or</v>
      </c>
    </row>
    <row r="452" spans="1:10" x14ac:dyDescent="0.25">
      <c r="A452" s="18" t="s">
        <v>7004</v>
      </c>
      <c r="B452" t="s">
        <v>7028</v>
      </c>
      <c r="H452">
        <v>47950</v>
      </c>
      <c r="I452" t="s">
        <v>7289</v>
      </c>
      <c r="J452" t="str">
        <f t="shared" si="7"/>
        <v>ia.end_string like '%47950-00244-10-2024%' or</v>
      </c>
    </row>
    <row r="453" spans="1:10" x14ac:dyDescent="0.25">
      <c r="A453" s="18" t="s">
        <v>7005</v>
      </c>
      <c r="B453" t="s">
        <v>7028</v>
      </c>
      <c r="H453">
        <v>47950</v>
      </c>
      <c r="I453" t="s">
        <v>7293</v>
      </c>
      <c r="J453" t="str">
        <f t="shared" si="7"/>
        <v>ia.end_string like '%47950-00248-10-2024%' or</v>
      </c>
    </row>
    <row r="454" spans="1:10" x14ac:dyDescent="0.25">
      <c r="A454" s="18" t="s">
        <v>7006</v>
      </c>
      <c r="B454" t="s">
        <v>7028</v>
      </c>
      <c r="H454">
        <v>47950</v>
      </c>
      <c r="I454" t="s">
        <v>7294</v>
      </c>
      <c r="J454" t="str">
        <f t="shared" ref="J454:J467" si="8">"ia.end_string like '%"&amp;H454&amp;"-"&amp;I454&amp;B454&amp;"%' or"</f>
        <v>ia.end_string like '%47950-00249-10-2024%' or</v>
      </c>
    </row>
    <row r="455" spans="1:10" x14ac:dyDescent="0.25">
      <c r="A455" s="18" t="s">
        <v>7007</v>
      </c>
      <c r="B455" t="s">
        <v>7028</v>
      </c>
      <c r="H455">
        <v>47950</v>
      </c>
      <c r="I455" t="s">
        <v>7296</v>
      </c>
      <c r="J455" t="str">
        <f t="shared" si="8"/>
        <v>ia.end_string like '%47950-00251-10-2024%' or</v>
      </c>
    </row>
    <row r="456" spans="1:10" x14ac:dyDescent="0.25">
      <c r="A456" s="18" t="s">
        <v>7008</v>
      </c>
      <c r="B456" t="s">
        <v>7028</v>
      </c>
      <c r="H456">
        <v>47950</v>
      </c>
      <c r="I456" t="s">
        <v>7300</v>
      </c>
      <c r="J456" t="str">
        <f t="shared" si="8"/>
        <v>ia.end_string like '%47950-00257-10-2024%' or</v>
      </c>
    </row>
    <row r="457" spans="1:10" x14ac:dyDescent="0.25">
      <c r="A457" s="18" t="s">
        <v>7009</v>
      </c>
      <c r="B457" t="s">
        <v>7028</v>
      </c>
      <c r="H457">
        <v>47950</v>
      </c>
      <c r="I457" t="s">
        <v>7304</v>
      </c>
      <c r="J457" t="str">
        <f t="shared" si="8"/>
        <v>ia.end_string like '%47950-00264-10-2024%' or</v>
      </c>
    </row>
    <row r="458" spans="1:10" x14ac:dyDescent="0.25">
      <c r="A458" s="18" t="s">
        <v>7010</v>
      </c>
      <c r="B458" t="s">
        <v>7028</v>
      </c>
      <c r="H458">
        <v>47950</v>
      </c>
      <c r="I458" t="s">
        <v>7307</v>
      </c>
      <c r="J458" t="str">
        <f t="shared" si="8"/>
        <v>ia.end_string like '%47950-00326-10-2024%' or</v>
      </c>
    </row>
    <row r="459" spans="1:10" x14ac:dyDescent="0.25">
      <c r="A459" s="18" t="s">
        <v>7011</v>
      </c>
      <c r="B459" t="s">
        <v>7028</v>
      </c>
      <c r="H459">
        <v>47950</v>
      </c>
      <c r="I459" t="s">
        <v>7309</v>
      </c>
      <c r="J459" t="str">
        <f t="shared" si="8"/>
        <v>ia.end_string like '%47950-00273-10-2024%' or</v>
      </c>
    </row>
    <row r="460" spans="1:10" x14ac:dyDescent="0.25">
      <c r="A460" s="18" t="s">
        <v>7012</v>
      </c>
      <c r="B460" t="s">
        <v>7028</v>
      </c>
      <c r="H460">
        <v>47950</v>
      </c>
      <c r="I460" t="s">
        <v>7314</v>
      </c>
      <c r="J460" t="str">
        <f t="shared" si="8"/>
        <v>ia.end_string like '%47950-00277-10-2024%' or</v>
      </c>
    </row>
    <row r="461" spans="1:10" x14ac:dyDescent="0.25">
      <c r="A461" s="18" t="s">
        <v>7013</v>
      </c>
      <c r="B461" t="s">
        <v>7028</v>
      </c>
      <c r="H461">
        <v>47950</v>
      </c>
      <c r="I461" t="s">
        <v>7315</v>
      </c>
      <c r="J461" t="str">
        <f t="shared" si="8"/>
        <v>ia.end_string like '%47950-00280-10-2024%' or</v>
      </c>
    </row>
    <row r="462" spans="1:10" x14ac:dyDescent="0.25">
      <c r="A462" s="18" t="s">
        <v>7014</v>
      </c>
      <c r="B462" t="s">
        <v>7028</v>
      </c>
      <c r="H462">
        <v>47950</v>
      </c>
      <c r="I462" t="s">
        <v>7321</v>
      </c>
      <c r="J462" t="str">
        <f t="shared" si="8"/>
        <v>ia.end_string like '%47950-00317-10-2024%' or</v>
      </c>
    </row>
    <row r="463" spans="1:10" x14ac:dyDescent="0.25">
      <c r="A463" s="18" t="s">
        <v>7015</v>
      </c>
      <c r="B463" t="s">
        <v>7028</v>
      </c>
      <c r="H463">
        <v>47950</v>
      </c>
      <c r="I463" t="s">
        <v>7325</v>
      </c>
      <c r="J463" t="str">
        <f t="shared" si="8"/>
        <v>ia.end_string like '%47950-00297-10-2024%' or</v>
      </c>
    </row>
    <row r="464" spans="1:10" x14ac:dyDescent="0.25">
      <c r="A464" s="18" t="s">
        <v>7016</v>
      </c>
      <c r="B464" t="s">
        <v>7028</v>
      </c>
      <c r="H464">
        <v>47950</v>
      </c>
      <c r="I464" t="s">
        <v>7331</v>
      </c>
      <c r="J464" t="str">
        <f t="shared" si="8"/>
        <v>ia.end_string like '%47950-00303-10-2024%' or</v>
      </c>
    </row>
    <row r="465" spans="1:10" x14ac:dyDescent="0.25">
      <c r="A465" s="18" t="s">
        <v>7017</v>
      </c>
      <c r="B465" t="s">
        <v>7028</v>
      </c>
      <c r="H465">
        <v>47950</v>
      </c>
      <c r="I465" t="s">
        <v>7336</v>
      </c>
      <c r="J465" t="str">
        <f t="shared" si="8"/>
        <v>ia.end_string like '%47950-00307-10-2024%' or</v>
      </c>
    </row>
    <row r="466" spans="1:10" x14ac:dyDescent="0.25">
      <c r="A466" s="18" t="s">
        <v>7018</v>
      </c>
      <c r="B466" t="s">
        <v>7028</v>
      </c>
      <c r="H466">
        <v>47950</v>
      </c>
      <c r="I466" t="s">
        <v>7345</v>
      </c>
      <c r="J466" t="str">
        <f t="shared" si="8"/>
        <v>ia.end_string like '%47950-00282-10-2024%' or</v>
      </c>
    </row>
    <row r="467" spans="1:10" x14ac:dyDescent="0.25">
      <c r="A467" s="18" t="s">
        <v>7019</v>
      </c>
      <c r="B467" t="s">
        <v>7028</v>
      </c>
      <c r="H467">
        <v>47950</v>
      </c>
      <c r="I467" t="s">
        <v>7349</v>
      </c>
      <c r="J467" t="str">
        <f t="shared" si="8"/>
        <v>ia.end_string like '%47950-00246-10-2024%' or</v>
      </c>
    </row>
  </sheetData>
  <autoFilter ref="H1:H467" xr:uid="{4E459BEC-F4E5-4C25-AA47-C730C21E2FF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8ECC-1ECA-4818-B647-44E05FE5E25A}">
  <dimension ref="A1:C324"/>
  <sheetViews>
    <sheetView workbookViewId="0">
      <selection activeCell="E7" sqref="E7"/>
    </sheetView>
  </sheetViews>
  <sheetFormatPr defaultColWidth="7.85546875" defaultRowHeight="15" x14ac:dyDescent="0.25"/>
  <cols>
    <col min="1" max="1" width="3.140625" customWidth="1"/>
    <col min="2" max="2" width="33.5703125" customWidth="1"/>
    <col min="3" max="3" width="13.85546875" customWidth="1"/>
  </cols>
  <sheetData>
    <row r="1" spans="1:3" s="26" customFormat="1" ht="12" x14ac:dyDescent="0.2">
      <c r="A1" s="26" t="s">
        <v>7352</v>
      </c>
      <c r="B1" s="26" t="s">
        <v>7353</v>
      </c>
      <c r="C1" s="26" t="s">
        <v>7354</v>
      </c>
    </row>
    <row r="2" spans="1:3" x14ac:dyDescent="0.25">
      <c r="A2">
        <v>1</v>
      </c>
      <c r="B2" t="s">
        <v>7021</v>
      </c>
      <c r="C2" t="s">
        <v>7355</v>
      </c>
    </row>
    <row r="3" spans="1:3" x14ac:dyDescent="0.25">
      <c r="A3">
        <v>2</v>
      </c>
      <c r="B3" t="s">
        <v>7356</v>
      </c>
      <c r="C3" t="s">
        <v>7357</v>
      </c>
    </row>
    <row r="4" spans="1:3" x14ac:dyDescent="0.25">
      <c r="A4">
        <v>3</v>
      </c>
      <c r="B4" t="s">
        <v>6557</v>
      </c>
      <c r="C4" t="s">
        <v>7358</v>
      </c>
    </row>
    <row r="5" spans="1:3" x14ac:dyDescent="0.25">
      <c r="A5">
        <v>4</v>
      </c>
      <c r="B5" t="s">
        <v>6558</v>
      </c>
      <c r="C5" t="s">
        <v>7359</v>
      </c>
    </row>
    <row r="6" spans="1:3" x14ac:dyDescent="0.25">
      <c r="A6">
        <v>5</v>
      </c>
      <c r="B6" t="s">
        <v>6559</v>
      </c>
      <c r="C6" t="s">
        <v>7360</v>
      </c>
    </row>
    <row r="7" spans="1:3" x14ac:dyDescent="0.25">
      <c r="A7">
        <v>6</v>
      </c>
      <c r="B7" t="s">
        <v>6560</v>
      </c>
      <c r="C7" t="s">
        <v>7361</v>
      </c>
    </row>
    <row r="8" spans="1:3" x14ac:dyDescent="0.25">
      <c r="A8">
        <v>7</v>
      </c>
      <c r="B8" t="s">
        <v>6561</v>
      </c>
      <c r="C8" t="s">
        <v>7362</v>
      </c>
    </row>
    <row r="9" spans="1:3" x14ac:dyDescent="0.25">
      <c r="A9">
        <v>8</v>
      </c>
      <c r="B9" t="s">
        <v>6562</v>
      </c>
      <c r="C9" t="s">
        <v>7363</v>
      </c>
    </row>
    <row r="10" spans="1:3" x14ac:dyDescent="0.25">
      <c r="A10">
        <v>9</v>
      </c>
      <c r="B10" t="s">
        <v>6563</v>
      </c>
      <c r="C10" t="s">
        <v>7364</v>
      </c>
    </row>
    <row r="11" spans="1:3" x14ac:dyDescent="0.25">
      <c r="A11">
        <v>10</v>
      </c>
      <c r="B11" t="s">
        <v>6621</v>
      </c>
      <c r="C11" t="s">
        <v>7365</v>
      </c>
    </row>
    <row r="12" spans="1:3" x14ac:dyDescent="0.25">
      <c r="A12">
        <v>11</v>
      </c>
      <c r="B12" t="s">
        <v>6571</v>
      </c>
      <c r="C12" t="s">
        <v>7366</v>
      </c>
    </row>
    <row r="13" spans="1:3" x14ac:dyDescent="0.25">
      <c r="A13">
        <v>12</v>
      </c>
      <c r="B13" t="s">
        <v>6623</v>
      </c>
      <c r="C13" t="s">
        <v>7367</v>
      </c>
    </row>
    <row r="14" spans="1:3" x14ac:dyDescent="0.25">
      <c r="A14">
        <v>13</v>
      </c>
      <c r="B14" t="s">
        <v>6625</v>
      </c>
      <c r="C14" t="s">
        <v>7368</v>
      </c>
    </row>
    <row r="15" spans="1:3" x14ac:dyDescent="0.25">
      <c r="A15">
        <v>14</v>
      </c>
      <c r="B15" t="s">
        <v>6575</v>
      </c>
      <c r="C15" t="s">
        <v>7369</v>
      </c>
    </row>
    <row r="16" spans="1:3" x14ac:dyDescent="0.25">
      <c r="A16">
        <v>15</v>
      </c>
      <c r="B16" t="s">
        <v>6577</v>
      </c>
      <c r="C16" t="s">
        <v>7370</v>
      </c>
    </row>
    <row r="17" spans="1:3" x14ac:dyDescent="0.25">
      <c r="A17">
        <v>16</v>
      </c>
      <c r="B17" t="s">
        <v>6644</v>
      </c>
      <c r="C17" t="s">
        <v>7371</v>
      </c>
    </row>
    <row r="18" spans="1:3" x14ac:dyDescent="0.25">
      <c r="A18">
        <v>17</v>
      </c>
      <c r="B18" t="s">
        <v>6648</v>
      </c>
      <c r="C18" t="s">
        <v>7372</v>
      </c>
    </row>
    <row r="19" spans="1:3" x14ac:dyDescent="0.25">
      <c r="A19">
        <v>18</v>
      </c>
      <c r="B19" t="s">
        <v>6582</v>
      </c>
      <c r="C19" t="s">
        <v>7373</v>
      </c>
    </row>
    <row r="20" spans="1:3" x14ac:dyDescent="0.25">
      <c r="A20">
        <v>19</v>
      </c>
      <c r="B20" t="s">
        <v>6654</v>
      </c>
      <c r="C20" t="s">
        <v>7374</v>
      </c>
    </row>
    <row r="21" spans="1:3" x14ac:dyDescent="0.25">
      <c r="A21">
        <v>20</v>
      </c>
      <c r="B21" t="s">
        <v>6588</v>
      </c>
      <c r="C21" t="s">
        <v>7375</v>
      </c>
    </row>
    <row r="22" spans="1:3" x14ac:dyDescent="0.25">
      <c r="A22">
        <v>21</v>
      </c>
      <c r="B22" t="s">
        <v>6592</v>
      </c>
      <c r="C22" t="s">
        <v>7376</v>
      </c>
    </row>
    <row r="23" spans="1:3" x14ac:dyDescent="0.25">
      <c r="A23">
        <v>22</v>
      </c>
      <c r="B23" t="s">
        <v>6677</v>
      </c>
      <c r="C23" t="s">
        <v>7377</v>
      </c>
    </row>
    <row r="24" spans="1:3" x14ac:dyDescent="0.25">
      <c r="A24">
        <v>23</v>
      </c>
      <c r="B24" t="s">
        <v>6680</v>
      </c>
      <c r="C24" t="s">
        <v>7378</v>
      </c>
    </row>
    <row r="25" spans="1:3" x14ac:dyDescent="0.25">
      <c r="A25">
        <v>24</v>
      </c>
      <c r="B25" t="s">
        <v>6595</v>
      </c>
      <c r="C25" t="s">
        <v>7379</v>
      </c>
    </row>
    <row r="26" spans="1:3" x14ac:dyDescent="0.25">
      <c r="A26">
        <v>25</v>
      </c>
      <c r="B26" t="s">
        <v>6598</v>
      </c>
      <c r="C26" t="s">
        <v>7380</v>
      </c>
    </row>
    <row r="27" spans="1:3" x14ac:dyDescent="0.25">
      <c r="A27">
        <v>26</v>
      </c>
      <c r="B27" t="s">
        <v>6861</v>
      </c>
      <c r="C27" t="s">
        <v>7381</v>
      </c>
    </row>
    <row r="28" spans="1:3" x14ac:dyDescent="0.25">
      <c r="A28">
        <v>27</v>
      </c>
      <c r="B28" t="s">
        <v>6564</v>
      </c>
      <c r="C28" t="s">
        <v>7382</v>
      </c>
    </row>
    <row r="29" spans="1:3" x14ac:dyDescent="0.25">
      <c r="A29">
        <v>28</v>
      </c>
      <c r="B29" t="s">
        <v>6565</v>
      </c>
      <c r="C29" t="s">
        <v>7383</v>
      </c>
    </row>
    <row r="30" spans="1:3" x14ac:dyDescent="0.25">
      <c r="A30">
        <v>29</v>
      </c>
      <c r="B30" t="s">
        <v>6566</v>
      </c>
      <c r="C30" t="s">
        <v>7384</v>
      </c>
    </row>
    <row r="31" spans="1:3" x14ac:dyDescent="0.25">
      <c r="A31">
        <v>30</v>
      </c>
      <c r="B31" t="s">
        <v>6862</v>
      </c>
      <c r="C31" t="s">
        <v>7385</v>
      </c>
    </row>
    <row r="32" spans="1:3" x14ac:dyDescent="0.25">
      <c r="A32">
        <v>31</v>
      </c>
      <c r="B32" t="s">
        <v>6620</v>
      </c>
      <c r="C32" t="s">
        <v>7386</v>
      </c>
    </row>
    <row r="33" spans="1:3" x14ac:dyDescent="0.25">
      <c r="A33">
        <v>32</v>
      </c>
      <c r="B33" t="s">
        <v>6567</v>
      </c>
      <c r="C33" t="s">
        <v>7387</v>
      </c>
    </row>
    <row r="34" spans="1:3" x14ac:dyDescent="0.25">
      <c r="A34">
        <v>33</v>
      </c>
      <c r="B34" t="s">
        <v>6568</v>
      </c>
      <c r="C34" t="s">
        <v>7388</v>
      </c>
    </row>
    <row r="35" spans="1:3" x14ac:dyDescent="0.25">
      <c r="A35">
        <v>34</v>
      </c>
      <c r="B35" t="s">
        <v>6569</v>
      </c>
      <c r="C35" t="s">
        <v>7389</v>
      </c>
    </row>
    <row r="36" spans="1:3" x14ac:dyDescent="0.25">
      <c r="A36">
        <v>35</v>
      </c>
      <c r="B36" t="s">
        <v>6863</v>
      </c>
      <c r="C36" t="s">
        <v>7390</v>
      </c>
    </row>
    <row r="37" spans="1:3" x14ac:dyDescent="0.25">
      <c r="A37">
        <v>36</v>
      </c>
      <c r="B37" t="s">
        <v>6570</v>
      </c>
      <c r="C37" t="s">
        <v>7391</v>
      </c>
    </row>
    <row r="38" spans="1:3" x14ac:dyDescent="0.25">
      <c r="A38">
        <v>37</v>
      </c>
      <c r="B38" t="s">
        <v>6572</v>
      </c>
      <c r="C38" t="s">
        <v>7392</v>
      </c>
    </row>
    <row r="39" spans="1:3" x14ac:dyDescent="0.25">
      <c r="A39">
        <v>38</v>
      </c>
      <c r="B39" t="s">
        <v>6573</v>
      </c>
      <c r="C39" t="s">
        <v>7393</v>
      </c>
    </row>
    <row r="40" spans="1:3" x14ac:dyDescent="0.25">
      <c r="A40">
        <v>39</v>
      </c>
      <c r="B40" t="s">
        <v>6574</v>
      </c>
      <c r="C40" t="s">
        <v>7394</v>
      </c>
    </row>
    <row r="41" spans="1:3" x14ac:dyDescent="0.25">
      <c r="A41">
        <v>40</v>
      </c>
      <c r="B41" t="s">
        <v>6624</v>
      </c>
      <c r="C41" t="s">
        <v>7395</v>
      </c>
    </row>
    <row r="42" spans="1:3" x14ac:dyDescent="0.25">
      <c r="A42">
        <v>41</v>
      </c>
      <c r="B42" t="s">
        <v>6626</v>
      </c>
      <c r="C42" t="s">
        <v>7396</v>
      </c>
    </row>
    <row r="43" spans="1:3" x14ac:dyDescent="0.25">
      <c r="A43">
        <v>42</v>
      </c>
      <c r="B43" t="s">
        <v>6627</v>
      </c>
      <c r="C43" t="s">
        <v>7397</v>
      </c>
    </row>
    <row r="44" spans="1:3" x14ac:dyDescent="0.25">
      <c r="A44">
        <v>43</v>
      </c>
      <c r="B44" t="s">
        <v>6629</v>
      </c>
      <c r="C44" t="s">
        <v>7398</v>
      </c>
    </row>
    <row r="45" spans="1:3" x14ac:dyDescent="0.25">
      <c r="A45">
        <v>44</v>
      </c>
      <c r="B45" t="s">
        <v>6633</v>
      </c>
      <c r="C45" t="s">
        <v>7399</v>
      </c>
    </row>
    <row r="46" spans="1:3" x14ac:dyDescent="0.25">
      <c r="A46">
        <v>45</v>
      </c>
      <c r="B46" t="s">
        <v>6576</v>
      </c>
      <c r="C46" t="s">
        <v>7400</v>
      </c>
    </row>
    <row r="47" spans="1:3" x14ac:dyDescent="0.25">
      <c r="A47">
        <v>46</v>
      </c>
      <c r="B47" t="s">
        <v>6684</v>
      </c>
      <c r="C47" t="s">
        <v>7401</v>
      </c>
    </row>
    <row r="48" spans="1:3" x14ac:dyDescent="0.25">
      <c r="A48">
        <v>47</v>
      </c>
      <c r="B48" t="s">
        <v>6692</v>
      </c>
      <c r="C48" t="s">
        <v>7402</v>
      </c>
    </row>
    <row r="49" spans="1:3" x14ac:dyDescent="0.25">
      <c r="A49">
        <v>48</v>
      </c>
      <c r="B49" t="s">
        <v>6605</v>
      </c>
      <c r="C49" t="s">
        <v>7403</v>
      </c>
    </row>
    <row r="50" spans="1:3" x14ac:dyDescent="0.25">
      <c r="A50">
        <v>49</v>
      </c>
      <c r="B50" t="s">
        <v>6608</v>
      </c>
      <c r="C50" t="s">
        <v>7404</v>
      </c>
    </row>
    <row r="51" spans="1:3" x14ac:dyDescent="0.25">
      <c r="A51">
        <v>50</v>
      </c>
      <c r="B51" t="s">
        <v>6699</v>
      </c>
      <c r="C51" t="s">
        <v>7405</v>
      </c>
    </row>
    <row r="52" spans="1:3" x14ac:dyDescent="0.25">
      <c r="A52">
        <v>51</v>
      </c>
      <c r="B52" t="s">
        <v>6703</v>
      </c>
      <c r="C52" t="s">
        <v>7406</v>
      </c>
    </row>
    <row r="53" spans="1:3" x14ac:dyDescent="0.25">
      <c r="A53">
        <v>52</v>
      </c>
      <c r="B53" t="s">
        <v>6610</v>
      </c>
      <c r="C53" t="s">
        <v>7407</v>
      </c>
    </row>
    <row r="54" spans="1:3" x14ac:dyDescent="0.25">
      <c r="A54">
        <v>53</v>
      </c>
      <c r="B54" t="s">
        <v>6615</v>
      </c>
      <c r="C54" t="s">
        <v>7408</v>
      </c>
    </row>
    <row r="55" spans="1:3" x14ac:dyDescent="0.25">
      <c r="A55">
        <v>54</v>
      </c>
      <c r="B55" t="s">
        <v>6721</v>
      </c>
      <c r="C55" t="s">
        <v>7409</v>
      </c>
    </row>
    <row r="56" spans="1:3" x14ac:dyDescent="0.25">
      <c r="A56">
        <v>55</v>
      </c>
      <c r="B56" t="s">
        <v>6618</v>
      </c>
      <c r="C56" t="s">
        <v>7410</v>
      </c>
    </row>
    <row r="57" spans="1:3" x14ac:dyDescent="0.25">
      <c r="A57">
        <v>56</v>
      </c>
      <c r="B57" t="s">
        <v>6727</v>
      </c>
      <c r="C57" t="s">
        <v>7411</v>
      </c>
    </row>
    <row r="58" spans="1:3" x14ac:dyDescent="0.25">
      <c r="A58">
        <v>57</v>
      </c>
      <c r="B58" t="s">
        <v>6622</v>
      </c>
      <c r="C58" t="s">
        <v>7412</v>
      </c>
    </row>
    <row r="59" spans="1:3" x14ac:dyDescent="0.25">
      <c r="A59">
        <v>58</v>
      </c>
      <c r="B59" t="s">
        <v>6739</v>
      </c>
      <c r="C59" t="s">
        <v>7413</v>
      </c>
    </row>
    <row r="60" spans="1:3" x14ac:dyDescent="0.25">
      <c r="A60">
        <v>59</v>
      </c>
      <c r="B60" t="s">
        <v>6641</v>
      </c>
      <c r="C60" t="s">
        <v>7414</v>
      </c>
    </row>
    <row r="61" spans="1:3" x14ac:dyDescent="0.25">
      <c r="A61">
        <v>60</v>
      </c>
      <c r="B61" t="s">
        <v>6867</v>
      </c>
      <c r="C61" t="s">
        <v>7415</v>
      </c>
    </row>
    <row r="62" spans="1:3" x14ac:dyDescent="0.25">
      <c r="A62">
        <v>61</v>
      </c>
      <c r="B62" t="s">
        <v>6864</v>
      </c>
      <c r="C62" t="s">
        <v>7416</v>
      </c>
    </row>
    <row r="63" spans="1:3" x14ac:dyDescent="0.25">
      <c r="A63">
        <v>62</v>
      </c>
      <c r="B63" t="s">
        <v>6649</v>
      </c>
      <c r="C63" t="s">
        <v>7417</v>
      </c>
    </row>
    <row r="64" spans="1:3" x14ac:dyDescent="0.25">
      <c r="A64">
        <v>63</v>
      </c>
      <c r="B64" t="s">
        <v>6634</v>
      </c>
      <c r="C64" t="s">
        <v>7418</v>
      </c>
    </row>
    <row r="65" spans="1:3" x14ac:dyDescent="0.25">
      <c r="A65">
        <v>64</v>
      </c>
      <c r="B65" t="s">
        <v>6578</v>
      </c>
      <c r="C65" t="s">
        <v>7419</v>
      </c>
    </row>
    <row r="66" spans="1:3" x14ac:dyDescent="0.25">
      <c r="A66">
        <v>65</v>
      </c>
      <c r="B66" t="s">
        <v>6579</v>
      </c>
      <c r="C66" t="s">
        <v>7420</v>
      </c>
    </row>
    <row r="67" spans="1:3" x14ac:dyDescent="0.25">
      <c r="A67">
        <v>66</v>
      </c>
      <c r="B67" t="s">
        <v>6636</v>
      </c>
      <c r="C67" t="s">
        <v>7421</v>
      </c>
    </row>
    <row r="68" spans="1:3" x14ac:dyDescent="0.25">
      <c r="A68">
        <v>67</v>
      </c>
      <c r="B68" t="s">
        <v>6638</v>
      </c>
      <c r="C68" t="s">
        <v>7422</v>
      </c>
    </row>
    <row r="69" spans="1:3" x14ac:dyDescent="0.25">
      <c r="A69">
        <v>68</v>
      </c>
      <c r="B69" t="s">
        <v>6640</v>
      </c>
      <c r="C69" t="s">
        <v>7423</v>
      </c>
    </row>
    <row r="70" spans="1:3" x14ac:dyDescent="0.25">
      <c r="A70">
        <v>69</v>
      </c>
      <c r="B70" t="s">
        <v>6580</v>
      </c>
      <c r="C70" t="s">
        <v>7424</v>
      </c>
    </row>
    <row r="71" spans="1:3" x14ac:dyDescent="0.25">
      <c r="A71">
        <v>70</v>
      </c>
      <c r="B71" t="s">
        <v>6643</v>
      </c>
      <c r="C71" t="s">
        <v>7425</v>
      </c>
    </row>
    <row r="72" spans="1:3" x14ac:dyDescent="0.25">
      <c r="A72">
        <v>71</v>
      </c>
      <c r="B72" t="s">
        <v>6645</v>
      </c>
      <c r="C72" t="s">
        <v>7426</v>
      </c>
    </row>
    <row r="73" spans="1:3" x14ac:dyDescent="0.25">
      <c r="A73">
        <v>72</v>
      </c>
      <c r="B73" t="s">
        <v>6646</v>
      </c>
      <c r="C73" t="s">
        <v>7427</v>
      </c>
    </row>
    <row r="74" spans="1:3" x14ac:dyDescent="0.25">
      <c r="A74">
        <v>73</v>
      </c>
      <c r="B74" t="s">
        <v>6647</v>
      </c>
      <c r="C74" t="s">
        <v>7428</v>
      </c>
    </row>
    <row r="75" spans="1:3" x14ac:dyDescent="0.25">
      <c r="A75">
        <v>74</v>
      </c>
      <c r="B75" t="s">
        <v>6650</v>
      </c>
      <c r="C75" t="s">
        <v>7429</v>
      </c>
    </row>
    <row r="76" spans="1:3" x14ac:dyDescent="0.25">
      <c r="A76">
        <v>75</v>
      </c>
      <c r="B76" t="s">
        <v>6581</v>
      </c>
      <c r="C76" t="s">
        <v>7430</v>
      </c>
    </row>
    <row r="77" spans="1:3" x14ac:dyDescent="0.25">
      <c r="A77">
        <v>76</v>
      </c>
      <c r="B77" t="s">
        <v>6583</v>
      </c>
      <c r="C77" t="s">
        <v>7431</v>
      </c>
    </row>
    <row r="78" spans="1:3" x14ac:dyDescent="0.25">
      <c r="A78">
        <v>77</v>
      </c>
      <c r="B78" t="s">
        <v>6584</v>
      </c>
      <c r="C78" t="s">
        <v>7432</v>
      </c>
    </row>
    <row r="79" spans="1:3" x14ac:dyDescent="0.25">
      <c r="A79">
        <v>78</v>
      </c>
      <c r="B79" t="s">
        <v>6651</v>
      </c>
      <c r="C79" t="s">
        <v>7433</v>
      </c>
    </row>
    <row r="80" spans="1:3" x14ac:dyDescent="0.25">
      <c r="A80">
        <v>79</v>
      </c>
      <c r="B80" t="s">
        <v>6585</v>
      </c>
      <c r="C80" t="s">
        <v>7434</v>
      </c>
    </row>
    <row r="81" spans="1:3" x14ac:dyDescent="0.25">
      <c r="A81">
        <v>80</v>
      </c>
      <c r="B81" t="s">
        <v>6586</v>
      </c>
      <c r="C81" t="s">
        <v>7435</v>
      </c>
    </row>
    <row r="82" spans="1:3" x14ac:dyDescent="0.25">
      <c r="A82">
        <v>81</v>
      </c>
      <c r="B82" t="s">
        <v>6656</v>
      </c>
      <c r="C82" t="s">
        <v>7436</v>
      </c>
    </row>
    <row r="83" spans="1:3" x14ac:dyDescent="0.25">
      <c r="A83">
        <v>82</v>
      </c>
      <c r="B83" t="s">
        <v>6587</v>
      </c>
      <c r="C83" t="s">
        <v>7437</v>
      </c>
    </row>
    <row r="84" spans="1:3" x14ac:dyDescent="0.25">
      <c r="A84">
        <v>83</v>
      </c>
      <c r="B84" t="s">
        <v>6653</v>
      </c>
      <c r="C84" t="s">
        <v>7438</v>
      </c>
    </row>
    <row r="85" spans="1:3" x14ac:dyDescent="0.25">
      <c r="A85">
        <v>84</v>
      </c>
      <c r="B85" t="s">
        <v>6764</v>
      </c>
      <c r="C85" t="s">
        <v>7439</v>
      </c>
    </row>
    <row r="86" spans="1:3" x14ac:dyDescent="0.25">
      <c r="A86">
        <v>85</v>
      </c>
      <c r="B86" t="s">
        <v>6663</v>
      </c>
      <c r="C86" t="s">
        <v>7440</v>
      </c>
    </row>
    <row r="87" spans="1:3" x14ac:dyDescent="0.25">
      <c r="A87">
        <v>86</v>
      </c>
      <c r="B87" t="s">
        <v>6666</v>
      </c>
      <c r="C87" t="s">
        <v>7441</v>
      </c>
    </row>
    <row r="88" spans="1:3" x14ac:dyDescent="0.25">
      <c r="A88">
        <v>87</v>
      </c>
      <c r="B88" t="s">
        <v>6668</v>
      </c>
      <c r="C88" t="s">
        <v>7442</v>
      </c>
    </row>
    <row r="89" spans="1:3" x14ac:dyDescent="0.25">
      <c r="A89">
        <v>88</v>
      </c>
      <c r="B89" t="s">
        <v>6770</v>
      </c>
      <c r="C89" t="s">
        <v>7443</v>
      </c>
    </row>
    <row r="90" spans="1:3" x14ac:dyDescent="0.25">
      <c r="A90">
        <v>89</v>
      </c>
      <c r="B90" t="s">
        <v>6675</v>
      </c>
      <c r="C90" t="s">
        <v>7444</v>
      </c>
    </row>
    <row r="91" spans="1:3" x14ac:dyDescent="0.25">
      <c r="A91">
        <v>90</v>
      </c>
      <c r="B91" t="s">
        <v>6781</v>
      </c>
      <c r="C91" t="s">
        <v>7445</v>
      </c>
    </row>
    <row r="92" spans="1:3" x14ac:dyDescent="0.25">
      <c r="A92">
        <v>91</v>
      </c>
      <c r="B92" t="s">
        <v>6688</v>
      </c>
      <c r="C92" t="s">
        <v>7446</v>
      </c>
    </row>
    <row r="93" spans="1:3" x14ac:dyDescent="0.25">
      <c r="A93">
        <v>92</v>
      </c>
      <c r="B93" t="s">
        <v>6691</v>
      </c>
      <c r="C93" t="s">
        <v>7447</v>
      </c>
    </row>
    <row r="94" spans="1:3" x14ac:dyDescent="0.25">
      <c r="A94">
        <v>93</v>
      </c>
      <c r="B94" t="s">
        <v>6694</v>
      </c>
      <c r="C94" t="s">
        <v>7448</v>
      </c>
    </row>
    <row r="95" spans="1:3" x14ac:dyDescent="0.25">
      <c r="A95">
        <v>94</v>
      </c>
      <c r="B95" t="s">
        <v>6796</v>
      </c>
      <c r="C95" t="s">
        <v>7449</v>
      </c>
    </row>
    <row r="96" spans="1:3" x14ac:dyDescent="0.25">
      <c r="A96">
        <v>95</v>
      </c>
      <c r="B96" t="s">
        <v>6800</v>
      </c>
      <c r="C96" t="s">
        <v>7450</v>
      </c>
    </row>
    <row r="97" spans="1:3" x14ac:dyDescent="0.25">
      <c r="A97">
        <v>96</v>
      </c>
      <c r="B97" t="s">
        <v>6709</v>
      </c>
      <c r="C97" t="s">
        <v>7451</v>
      </c>
    </row>
    <row r="98" spans="1:3" x14ac:dyDescent="0.25">
      <c r="A98">
        <v>97</v>
      </c>
      <c r="B98" t="s">
        <v>6713</v>
      </c>
      <c r="C98" t="s">
        <v>7452</v>
      </c>
    </row>
    <row r="99" spans="1:3" x14ac:dyDescent="0.25">
      <c r="A99">
        <v>98</v>
      </c>
      <c r="B99" t="s">
        <v>6811</v>
      </c>
      <c r="C99" t="s">
        <v>7453</v>
      </c>
    </row>
    <row r="100" spans="1:3" x14ac:dyDescent="0.25">
      <c r="A100">
        <v>99</v>
      </c>
      <c r="B100" t="s">
        <v>6873</v>
      </c>
      <c r="C100" t="s">
        <v>7454</v>
      </c>
    </row>
    <row r="101" spans="1:3" x14ac:dyDescent="0.25">
      <c r="A101">
        <v>100</v>
      </c>
      <c r="B101" t="s">
        <v>6818</v>
      </c>
      <c r="C101" t="s">
        <v>7455</v>
      </c>
    </row>
    <row r="102" spans="1:3" x14ac:dyDescent="0.25">
      <c r="A102">
        <v>101</v>
      </c>
      <c r="B102" t="s">
        <v>6657</v>
      </c>
      <c r="C102" t="s">
        <v>7456</v>
      </c>
    </row>
    <row r="103" spans="1:3" x14ac:dyDescent="0.25">
      <c r="A103">
        <v>102</v>
      </c>
      <c r="B103" t="s">
        <v>6659</v>
      </c>
      <c r="C103" t="s">
        <v>7457</v>
      </c>
    </row>
    <row r="104" spans="1:3" x14ac:dyDescent="0.25">
      <c r="A104">
        <v>103</v>
      </c>
      <c r="B104" t="s">
        <v>6589</v>
      </c>
      <c r="C104" t="s">
        <v>7458</v>
      </c>
    </row>
    <row r="105" spans="1:3" x14ac:dyDescent="0.25">
      <c r="A105">
        <v>104</v>
      </c>
      <c r="B105" t="s">
        <v>6590</v>
      </c>
      <c r="C105" t="s">
        <v>7459</v>
      </c>
    </row>
    <row r="106" spans="1:3" x14ac:dyDescent="0.25">
      <c r="A106">
        <v>105</v>
      </c>
      <c r="B106" t="s">
        <v>6661</v>
      </c>
      <c r="C106" t="s">
        <v>7460</v>
      </c>
    </row>
    <row r="107" spans="1:3" x14ac:dyDescent="0.25">
      <c r="A107">
        <v>106</v>
      </c>
      <c r="B107" t="s">
        <v>6591</v>
      </c>
      <c r="C107" t="s">
        <v>7461</v>
      </c>
    </row>
    <row r="108" spans="1:3" x14ac:dyDescent="0.25">
      <c r="A108">
        <v>107</v>
      </c>
      <c r="B108" t="s">
        <v>6670</v>
      </c>
      <c r="C108" t="s">
        <v>7462</v>
      </c>
    </row>
    <row r="109" spans="1:3" x14ac:dyDescent="0.25">
      <c r="A109">
        <v>108</v>
      </c>
      <c r="B109" t="s">
        <v>6671</v>
      </c>
      <c r="C109" t="s">
        <v>7463</v>
      </c>
    </row>
    <row r="110" spans="1:3" x14ac:dyDescent="0.25">
      <c r="A110">
        <v>109</v>
      </c>
      <c r="B110" t="s">
        <v>6593</v>
      </c>
      <c r="C110" t="s">
        <v>7464</v>
      </c>
    </row>
    <row r="111" spans="1:3" x14ac:dyDescent="0.25">
      <c r="A111">
        <v>110</v>
      </c>
      <c r="B111" t="s">
        <v>6676</v>
      </c>
      <c r="C111" t="s">
        <v>7465</v>
      </c>
    </row>
    <row r="112" spans="1:3" x14ac:dyDescent="0.25">
      <c r="A112">
        <v>111</v>
      </c>
      <c r="B112" t="s">
        <v>6678</v>
      </c>
      <c r="C112" t="s">
        <v>7466</v>
      </c>
    </row>
    <row r="113" spans="1:3" x14ac:dyDescent="0.25">
      <c r="A113">
        <v>112</v>
      </c>
      <c r="B113" t="s">
        <v>6679</v>
      </c>
      <c r="C113" t="s">
        <v>7467</v>
      </c>
    </row>
    <row r="114" spans="1:3" x14ac:dyDescent="0.25">
      <c r="A114">
        <v>113</v>
      </c>
      <c r="B114" t="s">
        <v>6681</v>
      </c>
      <c r="C114" t="s">
        <v>7468</v>
      </c>
    </row>
    <row r="115" spans="1:3" x14ac:dyDescent="0.25">
      <c r="A115">
        <v>114</v>
      </c>
      <c r="B115" t="s">
        <v>6682</v>
      </c>
      <c r="C115" t="s">
        <v>7469</v>
      </c>
    </row>
    <row r="116" spans="1:3" x14ac:dyDescent="0.25">
      <c r="A116">
        <v>115</v>
      </c>
      <c r="B116" t="s">
        <v>6594</v>
      </c>
      <c r="C116" t="s">
        <v>7470</v>
      </c>
    </row>
    <row r="117" spans="1:3" x14ac:dyDescent="0.25">
      <c r="A117">
        <v>116</v>
      </c>
      <c r="B117" t="s">
        <v>6596</v>
      </c>
      <c r="C117" t="s">
        <v>7471</v>
      </c>
    </row>
    <row r="118" spans="1:3" x14ac:dyDescent="0.25">
      <c r="A118">
        <v>117</v>
      </c>
      <c r="B118" t="s">
        <v>6597</v>
      </c>
      <c r="C118" t="s">
        <v>7472</v>
      </c>
    </row>
    <row r="119" spans="1:3" x14ac:dyDescent="0.25">
      <c r="A119">
        <v>118</v>
      </c>
      <c r="B119" t="s">
        <v>6683</v>
      </c>
      <c r="C119" t="s">
        <v>7473</v>
      </c>
    </row>
    <row r="120" spans="1:3" x14ac:dyDescent="0.25">
      <c r="A120">
        <v>119</v>
      </c>
      <c r="B120" t="s">
        <v>6599</v>
      </c>
      <c r="C120" t="s">
        <v>7474</v>
      </c>
    </row>
    <row r="121" spans="1:3" x14ac:dyDescent="0.25">
      <c r="A121">
        <v>120</v>
      </c>
      <c r="B121" t="s">
        <v>6724</v>
      </c>
      <c r="C121" t="s">
        <v>7475</v>
      </c>
    </row>
    <row r="122" spans="1:3" x14ac:dyDescent="0.25">
      <c r="A122">
        <v>121</v>
      </c>
      <c r="B122" t="s">
        <v>6825</v>
      </c>
      <c r="C122" t="s">
        <v>7476</v>
      </c>
    </row>
    <row r="123" spans="1:3" x14ac:dyDescent="0.25">
      <c r="A123">
        <v>122</v>
      </c>
      <c r="B123" t="s">
        <v>6828</v>
      </c>
      <c r="C123" t="s">
        <v>7477</v>
      </c>
    </row>
    <row r="124" spans="1:3" x14ac:dyDescent="0.25">
      <c r="A124">
        <v>123</v>
      </c>
      <c r="B124" t="s">
        <v>6742</v>
      </c>
      <c r="C124" t="s">
        <v>7478</v>
      </c>
    </row>
    <row r="125" spans="1:3" x14ac:dyDescent="0.25">
      <c r="A125">
        <v>124</v>
      </c>
      <c r="B125" t="s">
        <v>6834</v>
      </c>
      <c r="C125" t="s">
        <v>7479</v>
      </c>
    </row>
    <row r="126" spans="1:3" x14ac:dyDescent="0.25">
      <c r="A126">
        <v>125</v>
      </c>
      <c r="B126" t="s">
        <v>6837</v>
      </c>
      <c r="C126" t="s">
        <v>7480</v>
      </c>
    </row>
    <row r="127" spans="1:3" x14ac:dyDescent="0.25">
      <c r="A127">
        <v>126</v>
      </c>
      <c r="B127" t="s">
        <v>6839</v>
      </c>
      <c r="C127" t="s">
        <v>7481</v>
      </c>
    </row>
    <row r="128" spans="1:3" x14ac:dyDescent="0.25">
      <c r="A128">
        <v>127</v>
      </c>
      <c r="B128" t="s">
        <v>6843</v>
      </c>
      <c r="C128" t="s">
        <v>7482</v>
      </c>
    </row>
    <row r="129" spans="1:3" x14ac:dyDescent="0.25">
      <c r="A129">
        <v>128</v>
      </c>
      <c r="B129" t="s">
        <v>6846</v>
      </c>
      <c r="C129" t="s">
        <v>7483</v>
      </c>
    </row>
    <row r="130" spans="1:3" x14ac:dyDescent="0.25">
      <c r="A130">
        <v>129</v>
      </c>
      <c r="B130" t="s">
        <v>6848</v>
      </c>
      <c r="C130" t="s">
        <v>7484</v>
      </c>
    </row>
    <row r="131" spans="1:3" x14ac:dyDescent="0.25">
      <c r="A131">
        <v>130</v>
      </c>
      <c r="B131" t="s">
        <v>6850</v>
      </c>
      <c r="C131" t="s">
        <v>7485</v>
      </c>
    </row>
    <row r="132" spans="1:3" x14ac:dyDescent="0.25">
      <c r="A132">
        <v>131</v>
      </c>
      <c r="B132" t="s">
        <v>6857</v>
      </c>
      <c r="C132" t="s">
        <v>7486</v>
      </c>
    </row>
    <row r="133" spans="1:3" x14ac:dyDescent="0.25">
      <c r="A133">
        <v>132</v>
      </c>
      <c r="B133" t="s">
        <v>6856</v>
      </c>
      <c r="C133" t="s">
        <v>7487</v>
      </c>
    </row>
    <row r="134" spans="1:3" x14ac:dyDescent="0.25">
      <c r="A134">
        <v>133</v>
      </c>
      <c r="B134" t="s">
        <v>6844</v>
      </c>
      <c r="C134" t="s">
        <v>7488</v>
      </c>
    </row>
    <row r="135" spans="1:3" x14ac:dyDescent="0.25">
      <c r="A135">
        <v>134</v>
      </c>
      <c r="B135" t="s">
        <v>6786</v>
      </c>
      <c r="C135" t="s">
        <v>7489</v>
      </c>
    </row>
    <row r="136" spans="1:3" x14ac:dyDescent="0.25">
      <c r="A136">
        <v>135</v>
      </c>
      <c r="B136" t="s">
        <v>6874</v>
      </c>
      <c r="C136" t="s">
        <v>7490</v>
      </c>
    </row>
    <row r="137" spans="1:3" x14ac:dyDescent="0.25">
      <c r="A137">
        <v>136</v>
      </c>
      <c r="B137" t="s">
        <v>6685</v>
      </c>
      <c r="C137" t="s">
        <v>7491</v>
      </c>
    </row>
    <row r="138" spans="1:3" x14ac:dyDescent="0.25">
      <c r="A138">
        <v>137</v>
      </c>
      <c r="B138" t="s">
        <v>6600</v>
      </c>
      <c r="C138" t="s">
        <v>7492</v>
      </c>
    </row>
    <row r="139" spans="1:3" x14ac:dyDescent="0.25">
      <c r="A139">
        <v>138</v>
      </c>
      <c r="B139" t="s">
        <v>6601</v>
      </c>
      <c r="C139" t="s">
        <v>7493</v>
      </c>
    </row>
    <row r="140" spans="1:3" x14ac:dyDescent="0.25">
      <c r="A140">
        <v>139</v>
      </c>
      <c r="B140" t="s">
        <v>6602</v>
      </c>
      <c r="C140" t="s">
        <v>7494</v>
      </c>
    </row>
    <row r="141" spans="1:3" x14ac:dyDescent="0.25">
      <c r="A141">
        <v>140</v>
      </c>
      <c r="B141" t="s">
        <v>6689</v>
      </c>
      <c r="C141" t="s">
        <v>7495</v>
      </c>
    </row>
    <row r="142" spans="1:3" x14ac:dyDescent="0.25">
      <c r="A142">
        <v>141</v>
      </c>
      <c r="B142" t="s">
        <v>6603</v>
      </c>
      <c r="C142" t="s">
        <v>7496</v>
      </c>
    </row>
    <row r="143" spans="1:3" x14ac:dyDescent="0.25">
      <c r="A143">
        <v>142</v>
      </c>
      <c r="B143" t="s">
        <v>6690</v>
      </c>
      <c r="C143" t="s">
        <v>7497</v>
      </c>
    </row>
    <row r="144" spans="1:3" x14ac:dyDescent="0.25">
      <c r="A144">
        <v>143</v>
      </c>
      <c r="B144" t="s">
        <v>6604</v>
      </c>
      <c r="C144" t="s">
        <v>7498</v>
      </c>
    </row>
    <row r="145" spans="1:3" x14ac:dyDescent="0.25">
      <c r="A145">
        <v>144</v>
      </c>
      <c r="B145" t="s">
        <v>6693</v>
      </c>
      <c r="C145" t="s">
        <v>7499</v>
      </c>
    </row>
    <row r="146" spans="1:3" x14ac:dyDescent="0.25">
      <c r="A146">
        <v>145</v>
      </c>
      <c r="B146" t="s">
        <v>6695</v>
      </c>
      <c r="C146" t="s">
        <v>7500</v>
      </c>
    </row>
    <row r="147" spans="1:3" x14ac:dyDescent="0.25">
      <c r="A147">
        <v>146</v>
      </c>
      <c r="B147" t="s">
        <v>6696</v>
      </c>
      <c r="C147" t="s">
        <v>7501</v>
      </c>
    </row>
    <row r="148" spans="1:3" x14ac:dyDescent="0.25">
      <c r="A148">
        <v>147</v>
      </c>
      <c r="B148" t="s">
        <v>6606</v>
      </c>
      <c r="C148" t="s">
        <v>7502</v>
      </c>
    </row>
    <row r="149" spans="1:3" x14ac:dyDescent="0.25">
      <c r="A149">
        <v>148</v>
      </c>
      <c r="B149" t="s">
        <v>6607</v>
      </c>
      <c r="C149" t="s">
        <v>7503</v>
      </c>
    </row>
    <row r="150" spans="1:3" x14ac:dyDescent="0.25">
      <c r="A150">
        <v>149</v>
      </c>
      <c r="B150" t="s">
        <v>6697</v>
      </c>
      <c r="C150" t="s">
        <v>7504</v>
      </c>
    </row>
    <row r="151" spans="1:3" x14ac:dyDescent="0.25">
      <c r="A151">
        <v>150</v>
      </c>
      <c r="B151" t="s">
        <v>6698</v>
      </c>
      <c r="C151" t="s">
        <v>7505</v>
      </c>
    </row>
    <row r="152" spans="1:3" x14ac:dyDescent="0.25">
      <c r="A152">
        <v>151</v>
      </c>
      <c r="B152" t="s">
        <v>6866</v>
      </c>
      <c r="C152" t="s">
        <v>7506</v>
      </c>
    </row>
    <row r="153" spans="1:3" x14ac:dyDescent="0.25">
      <c r="A153">
        <v>152</v>
      </c>
      <c r="B153" t="s">
        <v>6702</v>
      </c>
      <c r="C153" t="s">
        <v>7507</v>
      </c>
    </row>
    <row r="154" spans="1:3" x14ac:dyDescent="0.25">
      <c r="A154">
        <v>153</v>
      </c>
      <c r="B154" t="s">
        <v>6609</v>
      </c>
      <c r="C154" t="s">
        <v>7508</v>
      </c>
    </row>
    <row r="155" spans="1:3" x14ac:dyDescent="0.25">
      <c r="A155">
        <v>154</v>
      </c>
      <c r="B155" t="s">
        <v>6704</v>
      </c>
      <c r="C155" t="s">
        <v>7509</v>
      </c>
    </row>
    <row r="156" spans="1:3" x14ac:dyDescent="0.25">
      <c r="A156">
        <v>155</v>
      </c>
      <c r="B156" t="s">
        <v>6705</v>
      </c>
      <c r="C156" t="s">
        <v>7510</v>
      </c>
    </row>
    <row r="157" spans="1:3" x14ac:dyDescent="0.25">
      <c r="A157">
        <v>156</v>
      </c>
      <c r="B157" t="s">
        <v>6710</v>
      </c>
      <c r="C157" t="s">
        <v>7511</v>
      </c>
    </row>
    <row r="158" spans="1:3" x14ac:dyDescent="0.25">
      <c r="A158">
        <v>157</v>
      </c>
      <c r="B158" t="s">
        <v>6815</v>
      </c>
      <c r="C158" t="s">
        <v>7512</v>
      </c>
    </row>
    <row r="159" spans="1:3" x14ac:dyDescent="0.25">
      <c r="A159">
        <v>158</v>
      </c>
      <c r="B159" t="s">
        <v>6797</v>
      </c>
      <c r="C159" t="s">
        <v>7513</v>
      </c>
    </row>
    <row r="160" spans="1:3" x14ac:dyDescent="0.25">
      <c r="A160">
        <v>159</v>
      </c>
      <c r="B160" t="s">
        <v>6808</v>
      </c>
      <c r="C160" t="s">
        <v>7514</v>
      </c>
    </row>
    <row r="161" spans="1:3" x14ac:dyDescent="0.25">
      <c r="A161">
        <v>160</v>
      </c>
      <c r="B161" t="s">
        <v>6715</v>
      </c>
      <c r="C161" t="s">
        <v>7515</v>
      </c>
    </row>
    <row r="162" spans="1:3" x14ac:dyDescent="0.25">
      <c r="A162">
        <v>161</v>
      </c>
      <c r="B162" t="s">
        <v>6611</v>
      </c>
      <c r="C162" t="s">
        <v>7516</v>
      </c>
    </row>
    <row r="163" spans="1:3" x14ac:dyDescent="0.25">
      <c r="A163">
        <v>162</v>
      </c>
      <c r="B163" t="s">
        <v>6612</v>
      </c>
      <c r="C163" t="s">
        <v>7517</v>
      </c>
    </row>
    <row r="164" spans="1:3" x14ac:dyDescent="0.25">
      <c r="A164">
        <v>163</v>
      </c>
      <c r="B164" t="s">
        <v>6716</v>
      </c>
      <c r="C164" t="s">
        <v>7518</v>
      </c>
    </row>
    <row r="165" spans="1:3" x14ac:dyDescent="0.25">
      <c r="A165">
        <v>164</v>
      </c>
      <c r="B165" t="s">
        <v>6717</v>
      </c>
      <c r="C165" t="s">
        <v>7519</v>
      </c>
    </row>
    <row r="166" spans="1:3" x14ac:dyDescent="0.25">
      <c r="A166">
        <v>165</v>
      </c>
      <c r="B166" t="s">
        <v>6613</v>
      </c>
      <c r="C166" t="s">
        <v>7520</v>
      </c>
    </row>
    <row r="167" spans="1:3" x14ac:dyDescent="0.25">
      <c r="A167">
        <v>166</v>
      </c>
      <c r="B167" t="s">
        <v>6614</v>
      </c>
      <c r="C167" t="s">
        <v>7521</v>
      </c>
    </row>
    <row r="168" spans="1:3" x14ac:dyDescent="0.25">
      <c r="A168">
        <v>167</v>
      </c>
      <c r="B168" t="s">
        <v>6718</v>
      </c>
      <c r="C168" t="s">
        <v>7522</v>
      </c>
    </row>
    <row r="169" spans="1:3" x14ac:dyDescent="0.25">
      <c r="A169">
        <v>168</v>
      </c>
      <c r="B169" t="s">
        <v>6616</v>
      </c>
      <c r="C169" t="s">
        <v>7523</v>
      </c>
    </row>
    <row r="170" spans="1:3" x14ac:dyDescent="0.25">
      <c r="A170">
        <v>169</v>
      </c>
      <c r="B170" t="s">
        <v>6719</v>
      </c>
      <c r="C170" t="s">
        <v>7524</v>
      </c>
    </row>
    <row r="171" spans="1:3" x14ac:dyDescent="0.25">
      <c r="A171">
        <v>170</v>
      </c>
      <c r="B171" t="s">
        <v>6720</v>
      </c>
      <c r="C171" t="s">
        <v>7525</v>
      </c>
    </row>
    <row r="172" spans="1:3" x14ac:dyDescent="0.25">
      <c r="A172">
        <v>171</v>
      </c>
      <c r="B172" t="s">
        <v>6617</v>
      </c>
      <c r="C172" t="s">
        <v>7526</v>
      </c>
    </row>
    <row r="173" spans="1:3" x14ac:dyDescent="0.25">
      <c r="A173">
        <v>172</v>
      </c>
      <c r="B173" t="s">
        <v>6722</v>
      </c>
      <c r="C173" t="s">
        <v>7527</v>
      </c>
    </row>
    <row r="174" spans="1:3" x14ac:dyDescent="0.25">
      <c r="A174">
        <v>173</v>
      </c>
      <c r="B174" t="s">
        <v>6723</v>
      </c>
      <c r="C174" t="s">
        <v>7528</v>
      </c>
    </row>
    <row r="175" spans="1:3" x14ac:dyDescent="0.25">
      <c r="A175">
        <v>174</v>
      </c>
      <c r="B175" t="s">
        <v>6619</v>
      </c>
      <c r="C175" t="s">
        <v>7529</v>
      </c>
    </row>
    <row r="176" spans="1:3" x14ac:dyDescent="0.25">
      <c r="A176">
        <v>175</v>
      </c>
      <c r="B176" t="s">
        <v>6725</v>
      </c>
      <c r="C176" t="s">
        <v>7530</v>
      </c>
    </row>
    <row r="177" spans="1:3" x14ac:dyDescent="0.25">
      <c r="A177">
        <v>176</v>
      </c>
      <c r="B177" t="s">
        <v>6728</v>
      </c>
      <c r="C177" t="s">
        <v>7531</v>
      </c>
    </row>
    <row r="178" spans="1:3" x14ac:dyDescent="0.25">
      <c r="A178">
        <v>177</v>
      </c>
      <c r="B178" t="s">
        <v>6732</v>
      </c>
      <c r="C178" t="s">
        <v>7532</v>
      </c>
    </row>
    <row r="179" spans="1:3" x14ac:dyDescent="0.25">
      <c r="A179">
        <v>178</v>
      </c>
      <c r="B179" t="s">
        <v>6734</v>
      </c>
      <c r="C179" t="s">
        <v>7533</v>
      </c>
    </row>
    <row r="180" spans="1:3" x14ac:dyDescent="0.25">
      <c r="A180">
        <v>179</v>
      </c>
      <c r="B180" t="s">
        <v>6735</v>
      </c>
      <c r="C180" t="s">
        <v>7534</v>
      </c>
    </row>
    <row r="181" spans="1:3" x14ac:dyDescent="0.25">
      <c r="A181">
        <v>180</v>
      </c>
      <c r="B181" t="s">
        <v>6736</v>
      </c>
      <c r="C181" t="s">
        <v>7535</v>
      </c>
    </row>
    <row r="182" spans="1:3" x14ac:dyDescent="0.25">
      <c r="A182">
        <v>181</v>
      </c>
      <c r="B182" t="s">
        <v>6741</v>
      </c>
      <c r="C182" t="s">
        <v>7536</v>
      </c>
    </row>
    <row r="183" spans="1:3" x14ac:dyDescent="0.25">
      <c r="A183">
        <v>182</v>
      </c>
      <c r="B183" t="s">
        <v>6628</v>
      </c>
      <c r="C183" t="s">
        <v>7537</v>
      </c>
    </row>
    <row r="184" spans="1:3" x14ac:dyDescent="0.25">
      <c r="A184">
        <v>183</v>
      </c>
      <c r="B184" t="s">
        <v>6743</v>
      </c>
      <c r="C184" t="s">
        <v>7538</v>
      </c>
    </row>
    <row r="185" spans="1:3" x14ac:dyDescent="0.25">
      <c r="A185">
        <v>184</v>
      </c>
      <c r="B185" t="s">
        <v>6630</v>
      </c>
      <c r="C185" t="s">
        <v>7539</v>
      </c>
    </row>
    <row r="186" spans="1:3" x14ac:dyDescent="0.25">
      <c r="A186">
        <v>185</v>
      </c>
      <c r="B186" t="s">
        <v>6631</v>
      </c>
      <c r="C186" t="s">
        <v>7540</v>
      </c>
    </row>
    <row r="187" spans="1:3" x14ac:dyDescent="0.25">
      <c r="A187">
        <v>186</v>
      </c>
      <c r="B187" t="s">
        <v>6632</v>
      </c>
      <c r="C187" t="s">
        <v>7541</v>
      </c>
    </row>
    <row r="188" spans="1:3" x14ac:dyDescent="0.25">
      <c r="A188">
        <v>187</v>
      </c>
      <c r="B188" t="s">
        <v>6744</v>
      </c>
      <c r="C188" t="s">
        <v>7542</v>
      </c>
    </row>
    <row r="189" spans="1:3" x14ac:dyDescent="0.25">
      <c r="A189">
        <v>188</v>
      </c>
      <c r="B189" t="s">
        <v>6635</v>
      </c>
      <c r="C189" t="s">
        <v>7543</v>
      </c>
    </row>
    <row r="190" spans="1:3" x14ac:dyDescent="0.25">
      <c r="A190">
        <v>189</v>
      </c>
      <c r="B190" t="s">
        <v>6637</v>
      </c>
      <c r="C190" t="s">
        <v>7544</v>
      </c>
    </row>
    <row r="191" spans="1:3" x14ac:dyDescent="0.25">
      <c r="A191">
        <v>190</v>
      </c>
      <c r="B191" t="s">
        <v>6746</v>
      </c>
      <c r="C191" t="s">
        <v>7545</v>
      </c>
    </row>
    <row r="192" spans="1:3" x14ac:dyDescent="0.25">
      <c r="A192">
        <v>191</v>
      </c>
      <c r="B192" t="s">
        <v>6639</v>
      </c>
      <c r="C192" t="s">
        <v>7546</v>
      </c>
    </row>
    <row r="193" spans="1:3" x14ac:dyDescent="0.25">
      <c r="A193">
        <v>192</v>
      </c>
      <c r="B193" t="s">
        <v>6642</v>
      </c>
      <c r="C193" t="s">
        <v>7547</v>
      </c>
    </row>
    <row r="194" spans="1:3" x14ac:dyDescent="0.25">
      <c r="A194">
        <v>193</v>
      </c>
      <c r="B194" t="s">
        <v>6747</v>
      </c>
      <c r="C194" t="s">
        <v>7548</v>
      </c>
    </row>
    <row r="195" spans="1:3" x14ac:dyDescent="0.25">
      <c r="A195">
        <v>194</v>
      </c>
      <c r="B195" t="s">
        <v>6748</v>
      </c>
      <c r="C195" t="s">
        <v>7549</v>
      </c>
    </row>
    <row r="196" spans="1:3" x14ac:dyDescent="0.25">
      <c r="A196">
        <v>195</v>
      </c>
      <c r="B196" t="s">
        <v>6751</v>
      </c>
      <c r="C196" t="s">
        <v>7550</v>
      </c>
    </row>
    <row r="197" spans="1:3" x14ac:dyDescent="0.25">
      <c r="A197">
        <v>196</v>
      </c>
      <c r="B197" t="s">
        <v>6752</v>
      </c>
      <c r="C197" t="s">
        <v>7551</v>
      </c>
    </row>
    <row r="198" spans="1:3" x14ac:dyDescent="0.25">
      <c r="A198">
        <v>197</v>
      </c>
      <c r="B198" t="s">
        <v>6876</v>
      </c>
      <c r="C198" t="s">
        <v>7552</v>
      </c>
    </row>
    <row r="199" spans="1:3" x14ac:dyDescent="0.25">
      <c r="A199">
        <v>198</v>
      </c>
      <c r="B199" t="s">
        <v>6753</v>
      </c>
      <c r="C199" t="s">
        <v>7553</v>
      </c>
    </row>
    <row r="200" spans="1:3" x14ac:dyDescent="0.25">
      <c r="A200">
        <v>199</v>
      </c>
      <c r="B200" t="s">
        <v>6754</v>
      </c>
      <c r="C200" t="s">
        <v>7554</v>
      </c>
    </row>
    <row r="201" spans="1:3" x14ac:dyDescent="0.25">
      <c r="A201">
        <v>200</v>
      </c>
      <c r="B201" t="s">
        <v>6652</v>
      </c>
      <c r="C201" t="s">
        <v>7555</v>
      </c>
    </row>
    <row r="202" spans="1:3" x14ac:dyDescent="0.25">
      <c r="A202">
        <v>201</v>
      </c>
      <c r="B202" t="s">
        <v>6655</v>
      </c>
      <c r="C202" t="s">
        <v>7556</v>
      </c>
    </row>
    <row r="203" spans="1:3" x14ac:dyDescent="0.25">
      <c r="A203">
        <v>202</v>
      </c>
      <c r="B203" t="s">
        <v>6755</v>
      </c>
      <c r="C203" t="s">
        <v>7557</v>
      </c>
    </row>
    <row r="204" spans="1:3" x14ac:dyDescent="0.25">
      <c r="A204">
        <v>203</v>
      </c>
      <c r="B204" t="s">
        <v>6759</v>
      </c>
      <c r="C204" t="s">
        <v>7558</v>
      </c>
    </row>
    <row r="205" spans="1:3" x14ac:dyDescent="0.25">
      <c r="A205">
        <v>204</v>
      </c>
      <c r="B205" t="s">
        <v>6760</v>
      </c>
      <c r="C205" t="s">
        <v>7559</v>
      </c>
    </row>
    <row r="206" spans="1:3" x14ac:dyDescent="0.25">
      <c r="A206">
        <v>205</v>
      </c>
      <c r="B206" t="s">
        <v>6658</v>
      </c>
      <c r="C206" t="s">
        <v>7560</v>
      </c>
    </row>
    <row r="207" spans="1:3" x14ac:dyDescent="0.25">
      <c r="A207">
        <v>206</v>
      </c>
      <c r="B207" t="s">
        <v>6762</v>
      </c>
      <c r="C207" t="s">
        <v>7561</v>
      </c>
    </row>
    <row r="208" spans="1:3" x14ac:dyDescent="0.25">
      <c r="A208">
        <v>207</v>
      </c>
      <c r="B208" t="s">
        <v>6660</v>
      </c>
      <c r="C208" t="s">
        <v>7562</v>
      </c>
    </row>
    <row r="209" spans="1:3" x14ac:dyDescent="0.25">
      <c r="A209">
        <v>208</v>
      </c>
      <c r="B209" t="s">
        <v>6662</v>
      </c>
      <c r="C209" t="s">
        <v>7563</v>
      </c>
    </row>
    <row r="210" spans="1:3" x14ac:dyDescent="0.25">
      <c r="A210">
        <v>209</v>
      </c>
      <c r="B210" t="s">
        <v>6664</v>
      </c>
      <c r="C210" t="s">
        <v>7564</v>
      </c>
    </row>
    <row r="211" spans="1:3" x14ac:dyDescent="0.25">
      <c r="A211">
        <v>210</v>
      </c>
      <c r="B211" t="s">
        <v>6665</v>
      </c>
      <c r="C211" t="s">
        <v>7565</v>
      </c>
    </row>
    <row r="212" spans="1:3" x14ac:dyDescent="0.25">
      <c r="A212">
        <v>211</v>
      </c>
      <c r="B212" t="s">
        <v>6865</v>
      </c>
      <c r="C212" t="s">
        <v>7566</v>
      </c>
    </row>
    <row r="213" spans="1:3" x14ac:dyDescent="0.25">
      <c r="A213">
        <v>212</v>
      </c>
      <c r="B213" t="s">
        <v>6767</v>
      </c>
      <c r="C213" t="s">
        <v>7567</v>
      </c>
    </row>
    <row r="214" spans="1:3" x14ac:dyDescent="0.25">
      <c r="A214">
        <v>213</v>
      </c>
      <c r="B214" t="s">
        <v>6667</v>
      </c>
      <c r="C214" t="s">
        <v>7568</v>
      </c>
    </row>
    <row r="215" spans="1:3" x14ac:dyDescent="0.25">
      <c r="A215">
        <v>214</v>
      </c>
      <c r="B215" t="s">
        <v>6669</v>
      </c>
      <c r="C215" t="s">
        <v>7569</v>
      </c>
    </row>
    <row r="216" spans="1:3" x14ac:dyDescent="0.25">
      <c r="A216">
        <v>215</v>
      </c>
      <c r="B216" t="s">
        <v>6769</v>
      </c>
      <c r="C216" t="s">
        <v>7570</v>
      </c>
    </row>
    <row r="217" spans="1:3" x14ac:dyDescent="0.25">
      <c r="A217">
        <v>216</v>
      </c>
      <c r="B217" t="s">
        <v>6672</v>
      </c>
      <c r="C217" t="s">
        <v>7571</v>
      </c>
    </row>
    <row r="218" spans="1:3" x14ac:dyDescent="0.25">
      <c r="A218">
        <v>217</v>
      </c>
      <c r="B218" t="s">
        <v>6673</v>
      </c>
      <c r="C218" t="s">
        <v>7572</v>
      </c>
    </row>
    <row r="219" spans="1:3" x14ac:dyDescent="0.25">
      <c r="A219">
        <v>218</v>
      </c>
      <c r="B219" t="s">
        <v>6674</v>
      </c>
      <c r="C219" t="s">
        <v>7573</v>
      </c>
    </row>
    <row r="220" spans="1:3" x14ac:dyDescent="0.25">
      <c r="A220">
        <v>219</v>
      </c>
      <c r="B220" t="s">
        <v>6771</v>
      </c>
      <c r="C220" t="s">
        <v>7574</v>
      </c>
    </row>
    <row r="221" spans="1:3" x14ac:dyDescent="0.25">
      <c r="A221">
        <v>220</v>
      </c>
      <c r="B221" t="s">
        <v>6772</v>
      </c>
      <c r="C221" t="s">
        <v>7575</v>
      </c>
    </row>
    <row r="222" spans="1:3" x14ac:dyDescent="0.25">
      <c r="A222">
        <v>221</v>
      </c>
      <c r="B222" t="s">
        <v>6870</v>
      </c>
      <c r="C222" t="s">
        <v>7576</v>
      </c>
    </row>
    <row r="223" spans="1:3" x14ac:dyDescent="0.25">
      <c r="A223">
        <v>222</v>
      </c>
      <c r="B223" t="s">
        <v>6773</v>
      </c>
      <c r="C223" t="s">
        <v>7577</v>
      </c>
    </row>
    <row r="224" spans="1:3" x14ac:dyDescent="0.25">
      <c r="A224">
        <v>223</v>
      </c>
      <c r="B224" t="s">
        <v>6774</v>
      </c>
      <c r="C224" t="s">
        <v>7578</v>
      </c>
    </row>
    <row r="225" spans="1:3" x14ac:dyDescent="0.25">
      <c r="A225">
        <v>224</v>
      </c>
      <c r="B225" t="s">
        <v>6775</v>
      </c>
      <c r="C225" t="s">
        <v>7579</v>
      </c>
    </row>
    <row r="226" spans="1:3" x14ac:dyDescent="0.25">
      <c r="A226">
        <v>225</v>
      </c>
      <c r="B226" t="s">
        <v>6778</v>
      </c>
      <c r="C226" t="s">
        <v>7580</v>
      </c>
    </row>
    <row r="227" spans="1:3" x14ac:dyDescent="0.25">
      <c r="A227">
        <v>226</v>
      </c>
      <c r="B227" t="s">
        <v>6780</v>
      </c>
      <c r="C227" t="s">
        <v>7581</v>
      </c>
    </row>
    <row r="228" spans="1:3" x14ac:dyDescent="0.25">
      <c r="A228">
        <v>227</v>
      </c>
      <c r="B228" t="s">
        <v>6686</v>
      </c>
      <c r="C228" t="s">
        <v>7582</v>
      </c>
    </row>
    <row r="229" spans="1:3" x14ac:dyDescent="0.25">
      <c r="A229">
        <v>228</v>
      </c>
      <c r="B229" t="s">
        <v>6782</v>
      </c>
      <c r="C229" t="s">
        <v>7583</v>
      </c>
    </row>
    <row r="230" spans="1:3" x14ac:dyDescent="0.25">
      <c r="A230">
        <v>229</v>
      </c>
      <c r="B230" t="s">
        <v>6687</v>
      </c>
      <c r="C230" t="s">
        <v>7584</v>
      </c>
    </row>
    <row r="231" spans="1:3" x14ac:dyDescent="0.25">
      <c r="A231">
        <v>230</v>
      </c>
      <c r="B231" t="s">
        <v>6788</v>
      </c>
      <c r="C231" t="s">
        <v>7585</v>
      </c>
    </row>
    <row r="232" spans="1:3" x14ac:dyDescent="0.25">
      <c r="A232">
        <v>231</v>
      </c>
      <c r="B232" t="s">
        <v>6790</v>
      </c>
      <c r="C232" t="s">
        <v>7586</v>
      </c>
    </row>
    <row r="233" spans="1:3" x14ac:dyDescent="0.25">
      <c r="A233">
        <v>232</v>
      </c>
      <c r="B233" t="s">
        <v>6791</v>
      </c>
      <c r="C233" t="s">
        <v>7587</v>
      </c>
    </row>
    <row r="234" spans="1:3" x14ac:dyDescent="0.25">
      <c r="A234">
        <v>233</v>
      </c>
      <c r="B234" t="s">
        <v>6792</v>
      </c>
      <c r="C234" t="s">
        <v>7588</v>
      </c>
    </row>
    <row r="235" spans="1:3" x14ac:dyDescent="0.25">
      <c r="A235">
        <v>234</v>
      </c>
      <c r="B235" t="s">
        <v>6793</v>
      </c>
      <c r="C235" t="s">
        <v>7589</v>
      </c>
    </row>
    <row r="236" spans="1:3" x14ac:dyDescent="0.25">
      <c r="A236">
        <v>235</v>
      </c>
      <c r="B236" t="s">
        <v>6794</v>
      </c>
      <c r="C236" t="s">
        <v>7590</v>
      </c>
    </row>
    <row r="237" spans="1:3" x14ac:dyDescent="0.25">
      <c r="A237">
        <v>236</v>
      </c>
      <c r="B237" t="s">
        <v>6795</v>
      </c>
      <c r="C237" t="s">
        <v>7591</v>
      </c>
    </row>
    <row r="238" spans="1:3" x14ac:dyDescent="0.25">
      <c r="A238">
        <v>237</v>
      </c>
      <c r="B238" t="s">
        <v>6798</v>
      </c>
      <c r="C238" t="s">
        <v>7592</v>
      </c>
    </row>
    <row r="239" spans="1:3" x14ac:dyDescent="0.25">
      <c r="A239">
        <v>238</v>
      </c>
      <c r="B239" t="s">
        <v>6799</v>
      </c>
      <c r="C239" t="s">
        <v>7593</v>
      </c>
    </row>
    <row r="240" spans="1:3" x14ac:dyDescent="0.25">
      <c r="A240">
        <v>239</v>
      </c>
      <c r="B240" t="s">
        <v>6700</v>
      </c>
      <c r="C240" t="s">
        <v>7594</v>
      </c>
    </row>
    <row r="241" spans="1:3" x14ac:dyDescent="0.25">
      <c r="A241">
        <v>240</v>
      </c>
      <c r="B241" t="s">
        <v>6701</v>
      </c>
      <c r="C241" t="s">
        <v>7595</v>
      </c>
    </row>
    <row r="242" spans="1:3" x14ac:dyDescent="0.25">
      <c r="A242">
        <v>241</v>
      </c>
      <c r="B242" t="s">
        <v>6802</v>
      </c>
      <c r="C242" t="s">
        <v>7596</v>
      </c>
    </row>
    <row r="243" spans="1:3" x14ac:dyDescent="0.25">
      <c r="A243">
        <v>242</v>
      </c>
      <c r="B243" t="s">
        <v>6803</v>
      </c>
      <c r="C243" t="s">
        <v>7597</v>
      </c>
    </row>
    <row r="244" spans="1:3" x14ac:dyDescent="0.25">
      <c r="A244">
        <v>243</v>
      </c>
      <c r="B244" t="s">
        <v>6805</v>
      </c>
      <c r="C244" t="s">
        <v>7598</v>
      </c>
    </row>
    <row r="245" spans="1:3" x14ac:dyDescent="0.25">
      <c r="A245">
        <v>244</v>
      </c>
      <c r="B245" t="s">
        <v>6706</v>
      </c>
      <c r="C245" t="s">
        <v>7599</v>
      </c>
    </row>
    <row r="246" spans="1:3" x14ac:dyDescent="0.25">
      <c r="A246">
        <v>245</v>
      </c>
      <c r="B246" t="s">
        <v>6707</v>
      </c>
      <c r="C246" t="s">
        <v>7600</v>
      </c>
    </row>
    <row r="247" spans="1:3" x14ac:dyDescent="0.25">
      <c r="A247">
        <v>246</v>
      </c>
      <c r="B247" t="s">
        <v>6708</v>
      </c>
      <c r="C247" t="s">
        <v>7601</v>
      </c>
    </row>
    <row r="248" spans="1:3" x14ac:dyDescent="0.25">
      <c r="A248">
        <v>247</v>
      </c>
      <c r="B248" t="s">
        <v>6806</v>
      </c>
      <c r="C248" t="s">
        <v>7602</v>
      </c>
    </row>
    <row r="249" spans="1:3" x14ac:dyDescent="0.25">
      <c r="A249">
        <v>248</v>
      </c>
      <c r="B249" t="s">
        <v>6711</v>
      </c>
      <c r="C249" t="s">
        <v>7603</v>
      </c>
    </row>
    <row r="250" spans="1:3" x14ac:dyDescent="0.25">
      <c r="A250">
        <v>249</v>
      </c>
      <c r="B250" t="s">
        <v>6712</v>
      </c>
      <c r="C250" t="s">
        <v>7604</v>
      </c>
    </row>
    <row r="251" spans="1:3" x14ac:dyDescent="0.25">
      <c r="A251">
        <v>250</v>
      </c>
      <c r="B251" t="s">
        <v>6714</v>
      </c>
      <c r="C251" t="s">
        <v>7605</v>
      </c>
    </row>
    <row r="252" spans="1:3" x14ac:dyDescent="0.25">
      <c r="A252">
        <v>251</v>
      </c>
      <c r="B252" t="s">
        <v>6807</v>
      </c>
      <c r="C252" t="s">
        <v>7606</v>
      </c>
    </row>
    <row r="253" spans="1:3" x14ac:dyDescent="0.25">
      <c r="A253">
        <v>252</v>
      </c>
      <c r="B253" t="s">
        <v>6813</v>
      </c>
      <c r="C253" t="s">
        <v>7607</v>
      </c>
    </row>
    <row r="254" spans="1:3" x14ac:dyDescent="0.25">
      <c r="A254">
        <v>253</v>
      </c>
      <c r="B254" t="s">
        <v>6871</v>
      </c>
      <c r="C254" t="s">
        <v>7608</v>
      </c>
    </row>
    <row r="255" spans="1:3" x14ac:dyDescent="0.25">
      <c r="A255">
        <v>254</v>
      </c>
      <c r="B255" t="s">
        <v>6872</v>
      </c>
      <c r="C255" t="s">
        <v>7609</v>
      </c>
    </row>
    <row r="256" spans="1:3" x14ac:dyDescent="0.25">
      <c r="A256">
        <v>255</v>
      </c>
      <c r="B256" t="s">
        <v>6816</v>
      </c>
      <c r="C256" t="s">
        <v>7610</v>
      </c>
    </row>
    <row r="257" spans="1:3" x14ac:dyDescent="0.25">
      <c r="A257">
        <v>256</v>
      </c>
      <c r="B257" t="s">
        <v>6817</v>
      </c>
      <c r="C257" t="s">
        <v>7611</v>
      </c>
    </row>
    <row r="258" spans="1:3" x14ac:dyDescent="0.25">
      <c r="A258">
        <v>257</v>
      </c>
      <c r="B258" t="s">
        <v>6819</v>
      </c>
      <c r="C258" t="s">
        <v>7612</v>
      </c>
    </row>
    <row r="259" spans="1:3" x14ac:dyDescent="0.25">
      <c r="A259">
        <v>258</v>
      </c>
      <c r="B259" t="s">
        <v>6820</v>
      </c>
      <c r="C259" t="s">
        <v>7613</v>
      </c>
    </row>
    <row r="260" spans="1:3" x14ac:dyDescent="0.25">
      <c r="A260">
        <v>259</v>
      </c>
      <c r="B260" t="s">
        <v>6821</v>
      </c>
      <c r="C260" t="s">
        <v>7614</v>
      </c>
    </row>
    <row r="261" spans="1:3" x14ac:dyDescent="0.25">
      <c r="A261">
        <v>260</v>
      </c>
      <c r="B261" t="s">
        <v>6822</v>
      </c>
      <c r="C261" t="s">
        <v>7615</v>
      </c>
    </row>
    <row r="262" spans="1:3" x14ac:dyDescent="0.25">
      <c r="A262">
        <v>261</v>
      </c>
      <c r="B262" t="s">
        <v>6726</v>
      </c>
      <c r="C262" t="s">
        <v>7616</v>
      </c>
    </row>
    <row r="263" spans="1:3" x14ac:dyDescent="0.25">
      <c r="A263">
        <v>262</v>
      </c>
      <c r="B263" t="s">
        <v>6823</v>
      </c>
      <c r="C263" t="s">
        <v>7617</v>
      </c>
    </row>
    <row r="264" spans="1:3" x14ac:dyDescent="0.25">
      <c r="A264">
        <v>263</v>
      </c>
      <c r="B264" t="s">
        <v>6729</v>
      </c>
      <c r="C264" t="s">
        <v>7618</v>
      </c>
    </row>
    <row r="265" spans="1:3" x14ac:dyDescent="0.25">
      <c r="A265">
        <v>264</v>
      </c>
      <c r="B265" t="s">
        <v>6730</v>
      </c>
      <c r="C265" t="s">
        <v>7619</v>
      </c>
    </row>
    <row r="266" spans="1:3" x14ac:dyDescent="0.25">
      <c r="A266">
        <v>265</v>
      </c>
      <c r="B266" t="s">
        <v>6731</v>
      </c>
      <c r="C266" t="s">
        <v>7620</v>
      </c>
    </row>
    <row r="267" spans="1:3" x14ac:dyDescent="0.25">
      <c r="A267">
        <v>266</v>
      </c>
      <c r="B267" t="s">
        <v>6733</v>
      </c>
      <c r="C267" t="s">
        <v>7621</v>
      </c>
    </row>
    <row r="268" spans="1:3" x14ac:dyDescent="0.25">
      <c r="A268">
        <v>267</v>
      </c>
      <c r="B268" t="s">
        <v>6824</v>
      </c>
      <c r="C268" t="s">
        <v>7622</v>
      </c>
    </row>
    <row r="269" spans="1:3" x14ac:dyDescent="0.25">
      <c r="A269">
        <v>268</v>
      </c>
      <c r="B269" t="s">
        <v>6827</v>
      </c>
      <c r="C269" t="s">
        <v>7623</v>
      </c>
    </row>
    <row r="270" spans="1:3" x14ac:dyDescent="0.25">
      <c r="A270">
        <v>269</v>
      </c>
      <c r="B270" t="s">
        <v>6737</v>
      </c>
      <c r="C270" t="s">
        <v>7624</v>
      </c>
    </row>
    <row r="271" spans="1:3" x14ac:dyDescent="0.25">
      <c r="A271">
        <v>270</v>
      </c>
      <c r="B271" t="s">
        <v>6738</v>
      </c>
      <c r="C271" t="s">
        <v>7625</v>
      </c>
    </row>
    <row r="272" spans="1:3" x14ac:dyDescent="0.25">
      <c r="A272">
        <v>271</v>
      </c>
      <c r="B272" t="s">
        <v>6740</v>
      </c>
      <c r="C272" t="s">
        <v>7626</v>
      </c>
    </row>
    <row r="273" spans="1:3" x14ac:dyDescent="0.25">
      <c r="A273">
        <v>272</v>
      </c>
      <c r="B273" t="s">
        <v>6829</v>
      </c>
      <c r="C273" t="s">
        <v>7627</v>
      </c>
    </row>
    <row r="274" spans="1:3" x14ac:dyDescent="0.25">
      <c r="A274">
        <v>273</v>
      </c>
      <c r="B274" t="s">
        <v>6831</v>
      </c>
      <c r="C274" t="s">
        <v>7628</v>
      </c>
    </row>
    <row r="275" spans="1:3" x14ac:dyDescent="0.25">
      <c r="A275">
        <v>274</v>
      </c>
      <c r="B275" t="s">
        <v>6745</v>
      </c>
      <c r="C275" t="s">
        <v>7629</v>
      </c>
    </row>
    <row r="276" spans="1:3" x14ac:dyDescent="0.25">
      <c r="A276">
        <v>275</v>
      </c>
      <c r="B276" t="s">
        <v>6832</v>
      </c>
      <c r="C276" t="s">
        <v>7630</v>
      </c>
    </row>
    <row r="277" spans="1:3" x14ac:dyDescent="0.25">
      <c r="A277">
        <v>276</v>
      </c>
      <c r="B277" t="s">
        <v>6835</v>
      </c>
      <c r="C277" t="s">
        <v>7631</v>
      </c>
    </row>
    <row r="278" spans="1:3" x14ac:dyDescent="0.25">
      <c r="A278">
        <v>277</v>
      </c>
      <c r="B278" t="s">
        <v>6836</v>
      </c>
      <c r="C278" t="s">
        <v>7632</v>
      </c>
    </row>
    <row r="279" spans="1:3" x14ac:dyDescent="0.25">
      <c r="A279">
        <v>278</v>
      </c>
      <c r="B279" t="s">
        <v>6749</v>
      </c>
      <c r="C279" t="s">
        <v>7633</v>
      </c>
    </row>
    <row r="280" spans="1:3" x14ac:dyDescent="0.25">
      <c r="A280">
        <v>279</v>
      </c>
      <c r="B280" t="s">
        <v>6750</v>
      </c>
      <c r="C280" t="s">
        <v>7634</v>
      </c>
    </row>
    <row r="281" spans="1:3" x14ac:dyDescent="0.25">
      <c r="A281">
        <v>280</v>
      </c>
      <c r="B281" t="s">
        <v>6838</v>
      </c>
      <c r="C281" t="s">
        <v>7635</v>
      </c>
    </row>
    <row r="282" spans="1:3" x14ac:dyDescent="0.25">
      <c r="A282">
        <v>281</v>
      </c>
      <c r="B282" t="s">
        <v>6868</v>
      </c>
      <c r="C282" t="s">
        <v>7636</v>
      </c>
    </row>
    <row r="283" spans="1:3" x14ac:dyDescent="0.25">
      <c r="A283">
        <v>282</v>
      </c>
      <c r="B283" t="s">
        <v>6869</v>
      </c>
      <c r="C283" t="s">
        <v>7637</v>
      </c>
    </row>
    <row r="284" spans="1:3" x14ac:dyDescent="0.25">
      <c r="A284">
        <v>283</v>
      </c>
      <c r="B284" t="s">
        <v>6840</v>
      </c>
      <c r="C284" t="s">
        <v>7638</v>
      </c>
    </row>
    <row r="285" spans="1:3" x14ac:dyDescent="0.25">
      <c r="A285">
        <v>284</v>
      </c>
      <c r="B285" t="s">
        <v>6841</v>
      </c>
      <c r="C285" t="s">
        <v>7639</v>
      </c>
    </row>
    <row r="286" spans="1:3" x14ac:dyDescent="0.25">
      <c r="A286">
        <v>285</v>
      </c>
      <c r="B286" t="s">
        <v>6756</v>
      </c>
      <c r="C286" t="s">
        <v>7640</v>
      </c>
    </row>
    <row r="287" spans="1:3" x14ac:dyDescent="0.25">
      <c r="A287">
        <v>286</v>
      </c>
      <c r="B287" t="s">
        <v>6757</v>
      </c>
      <c r="C287" t="s">
        <v>7641</v>
      </c>
    </row>
    <row r="288" spans="1:3" x14ac:dyDescent="0.25">
      <c r="A288">
        <v>287</v>
      </c>
      <c r="B288" t="s">
        <v>6758</v>
      </c>
      <c r="C288" t="s">
        <v>7642</v>
      </c>
    </row>
    <row r="289" spans="1:3" x14ac:dyDescent="0.25">
      <c r="A289">
        <v>288</v>
      </c>
      <c r="B289" t="s">
        <v>6842</v>
      </c>
      <c r="C289" t="s">
        <v>7643</v>
      </c>
    </row>
    <row r="290" spans="1:3" x14ac:dyDescent="0.25">
      <c r="A290">
        <v>289</v>
      </c>
      <c r="B290" t="s">
        <v>6761</v>
      </c>
      <c r="C290" t="s">
        <v>7644</v>
      </c>
    </row>
    <row r="291" spans="1:3" x14ac:dyDescent="0.25">
      <c r="A291">
        <v>290</v>
      </c>
      <c r="B291" t="s">
        <v>6763</v>
      </c>
      <c r="C291" t="s">
        <v>7645</v>
      </c>
    </row>
    <row r="292" spans="1:3" x14ac:dyDescent="0.25">
      <c r="A292">
        <v>291</v>
      </c>
      <c r="B292" t="s">
        <v>6847</v>
      </c>
      <c r="C292" t="s">
        <v>7646</v>
      </c>
    </row>
    <row r="293" spans="1:3" x14ac:dyDescent="0.25">
      <c r="A293">
        <v>292</v>
      </c>
      <c r="B293" t="s">
        <v>6765</v>
      </c>
      <c r="C293" t="s">
        <v>7647</v>
      </c>
    </row>
    <row r="294" spans="1:3" x14ac:dyDescent="0.25">
      <c r="A294">
        <v>293</v>
      </c>
      <c r="B294" t="s">
        <v>6766</v>
      </c>
      <c r="C294" t="s">
        <v>7648</v>
      </c>
    </row>
    <row r="295" spans="1:3" x14ac:dyDescent="0.25">
      <c r="A295">
        <v>294</v>
      </c>
      <c r="B295" t="s">
        <v>6768</v>
      </c>
      <c r="C295" t="s">
        <v>7649</v>
      </c>
    </row>
    <row r="296" spans="1:3" x14ac:dyDescent="0.25">
      <c r="A296">
        <v>295</v>
      </c>
      <c r="B296" t="s">
        <v>6849</v>
      </c>
      <c r="C296" t="s">
        <v>7650</v>
      </c>
    </row>
    <row r="297" spans="1:3" x14ac:dyDescent="0.25">
      <c r="A297">
        <v>296</v>
      </c>
      <c r="B297" t="s">
        <v>6853</v>
      </c>
      <c r="C297" t="s">
        <v>7651</v>
      </c>
    </row>
    <row r="298" spans="1:3" x14ac:dyDescent="0.25">
      <c r="A298">
        <v>297</v>
      </c>
      <c r="B298" t="s">
        <v>6854</v>
      </c>
      <c r="C298" t="s">
        <v>7652</v>
      </c>
    </row>
    <row r="299" spans="1:3" x14ac:dyDescent="0.25">
      <c r="A299">
        <v>298</v>
      </c>
      <c r="B299" t="s">
        <v>6858</v>
      </c>
      <c r="C299" t="s">
        <v>7653</v>
      </c>
    </row>
    <row r="300" spans="1:3" x14ac:dyDescent="0.25">
      <c r="A300">
        <v>299</v>
      </c>
      <c r="B300" t="s">
        <v>6860</v>
      </c>
      <c r="C300" t="s">
        <v>7654</v>
      </c>
    </row>
    <row r="301" spans="1:3" x14ac:dyDescent="0.25">
      <c r="A301">
        <v>300</v>
      </c>
      <c r="B301" t="s">
        <v>6859</v>
      </c>
      <c r="C301" t="s">
        <v>7655</v>
      </c>
    </row>
    <row r="302" spans="1:3" x14ac:dyDescent="0.25">
      <c r="A302">
        <v>301</v>
      </c>
      <c r="B302" t="s">
        <v>6855</v>
      </c>
      <c r="C302" t="s">
        <v>7656</v>
      </c>
    </row>
    <row r="303" spans="1:3" x14ac:dyDescent="0.25">
      <c r="A303">
        <v>302</v>
      </c>
      <c r="B303" t="s">
        <v>6852</v>
      </c>
      <c r="C303" t="s">
        <v>7657</v>
      </c>
    </row>
    <row r="304" spans="1:3" x14ac:dyDescent="0.25">
      <c r="A304">
        <v>303</v>
      </c>
      <c r="B304" t="s">
        <v>6851</v>
      </c>
      <c r="C304" t="s">
        <v>7658</v>
      </c>
    </row>
    <row r="305" spans="1:3" x14ac:dyDescent="0.25">
      <c r="A305">
        <v>304</v>
      </c>
      <c r="B305" t="s">
        <v>6776</v>
      </c>
      <c r="C305" t="s">
        <v>7659</v>
      </c>
    </row>
    <row r="306" spans="1:3" x14ac:dyDescent="0.25">
      <c r="A306">
        <v>305</v>
      </c>
      <c r="B306" t="s">
        <v>6777</v>
      </c>
      <c r="C306" t="s">
        <v>7660</v>
      </c>
    </row>
    <row r="307" spans="1:3" x14ac:dyDescent="0.25">
      <c r="A307">
        <v>306</v>
      </c>
      <c r="B307" t="s">
        <v>6779</v>
      </c>
      <c r="C307" t="s">
        <v>7661</v>
      </c>
    </row>
    <row r="308" spans="1:3" x14ac:dyDescent="0.25">
      <c r="A308">
        <v>307</v>
      </c>
      <c r="B308" t="s">
        <v>6845</v>
      </c>
      <c r="C308" t="s">
        <v>7662</v>
      </c>
    </row>
    <row r="309" spans="1:3" x14ac:dyDescent="0.25">
      <c r="A309">
        <v>308</v>
      </c>
      <c r="B309" t="s">
        <v>6783</v>
      </c>
      <c r="C309" t="s">
        <v>7663</v>
      </c>
    </row>
    <row r="310" spans="1:3" x14ac:dyDescent="0.25">
      <c r="A310">
        <v>309</v>
      </c>
      <c r="B310" t="s">
        <v>6784</v>
      </c>
      <c r="C310" t="s">
        <v>7664</v>
      </c>
    </row>
    <row r="311" spans="1:3" x14ac:dyDescent="0.25">
      <c r="A311">
        <v>310</v>
      </c>
      <c r="B311" t="s">
        <v>6785</v>
      </c>
      <c r="C311" t="s">
        <v>7665</v>
      </c>
    </row>
    <row r="312" spans="1:3" x14ac:dyDescent="0.25">
      <c r="A312">
        <v>311</v>
      </c>
      <c r="B312" t="s">
        <v>6787</v>
      </c>
      <c r="C312" t="s">
        <v>7666</v>
      </c>
    </row>
    <row r="313" spans="1:3" x14ac:dyDescent="0.25">
      <c r="A313">
        <v>312</v>
      </c>
      <c r="B313" t="s">
        <v>6789</v>
      </c>
      <c r="C313" t="s">
        <v>7667</v>
      </c>
    </row>
    <row r="314" spans="1:3" x14ac:dyDescent="0.25">
      <c r="A314">
        <v>313</v>
      </c>
      <c r="B314" t="s">
        <v>6833</v>
      </c>
      <c r="C314" t="s">
        <v>7668</v>
      </c>
    </row>
    <row r="315" spans="1:3" x14ac:dyDescent="0.25">
      <c r="A315">
        <v>314</v>
      </c>
      <c r="B315" t="s">
        <v>6830</v>
      </c>
      <c r="C315" t="s">
        <v>7669</v>
      </c>
    </row>
    <row r="316" spans="1:3" x14ac:dyDescent="0.25">
      <c r="A316">
        <v>315</v>
      </c>
      <c r="B316" t="s">
        <v>6826</v>
      </c>
      <c r="C316" t="s">
        <v>7670</v>
      </c>
    </row>
    <row r="317" spans="1:3" x14ac:dyDescent="0.25">
      <c r="A317">
        <v>316</v>
      </c>
      <c r="B317" t="s">
        <v>6877</v>
      </c>
      <c r="C317" t="s">
        <v>7671</v>
      </c>
    </row>
    <row r="318" spans="1:3" x14ac:dyDescent="0.25">
      <c r="A318">
        <v>317</v>
      </c>
      <c r="B318" t="s">
        <v>6814</v>
      </c>
      <c r="C318" t="s">
        <v>7672</v>
      </c>
    </row>
    <row r="319" spans="1:3" x14ac:dyDescent="0.25">
      <c r="A319">
        <v>318</v>
      </c>
      <c r="B319" t="s">
        <v>6812</v>
      </c>
      <c r="C319" t="s">
        <v>7673</v>
      </c>
    </row>
    <row r="320" spans="1:3" x14ac:dyDescent="0.25">
      <c r="A320">
        <v>319</v>
      </c>
      <c r="B320" t="s">
        <v>6810</v>
      </c>
      <c r="C320" t="s">
        <v>7674</v>
      </c>
    </row>
    <row r="321" spans="1:3" x14ac:dyDescent="0.25">
      <c r="A321">
        <v>320</v>
      </c>
      <c r="B321" t="s">
        <v>6809</v>
      </c>
      <c r="C321" t="s">
        <v>7675</v>
      </c>
    </row>
    <row r="322" spans="1:3" x14ac:dyDescent="0.25">
      <c r="A322">
        <v>321</v>
      </c>
      <c r="B322" t="s">
        <v>6556</v>
      </c>
      <c r="C322" t="s">
        <v>7676</v>
      </c>
    </row>
    <row r="323" spans="1:3" x14ac:dyDescent="0.25">
      <c r="A323">
        <v>322</v>
      </c>
      <c r="B323" t="s">
        <v>6804</v>
      </c>
      <c r="C323" t="s">
        <v>7677</v>
      </c>
    </row>
    <row r="324" spans="1:3" x14ac:dyDescent="0.25">
      <c r="A324">
        <v>323</v>
      </c>
      <c r="B324" t="s">
        <v>6801</v>
      </c>
      <c r="C324" t="s">
        <v>7678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37C9-2559-40F9-A2E1-95435635FDBC}">
  <dimension ref="A1:C144"/>
  <sheetViews>
    <sheetView workbookViewId="0">
      <selection activeCell="B11" sqref="B11"/>
    </sheetView>
  </sheetViews>
  <sheetFormatPr defaultColWidth="7.85546875" defaultRowHeight="15" x14ac:dyDescent="0.25"/>
  <cols>
    <col min="1" max="1" width="3.140625" customWidth="1"/>
    <col min="2" max="2" width="34.7109375" customWidth="1"/>
    <col min="3" max="3" width="13.85546875" customWidth="1"/>
  </cols>
  <sheetData>
    <row r="1" spans="1:3" s="26" customFormat="1" ht="12" x14ac:dyDescent="0.2">
      <c r="A1" s="26" t="s">
        <v>7352</v>
      </c>
      <c r="B1" s="26" t="s">
        <v>7353</v>
      </c>
      <c r="C1" s="26" t="s">
        <v>7354</v>
      </c>
    </row>
    <row r="2" spans="1:3" x14ac:dyDescent="0.25">
      <c r="A2">
        <v>1</v>
      </c>
      <c r="B2" t="s">
        <v>6917</v>
      </c>
      <c r="C2" t="s">
        <v>7681</v>
      </c>
    </row>
    <row r="3" spans="1:3" x14ac:dyDescent="0.25">
      <c r="A3">
        <v>2</v>
      </c>
      <c r="B3" t="s">
        <v>6918</v>
      </c>
      <c r="C3" t="s">
        <v>7682</v>
      </c>
    </row>
    <row r="4" spans="1:3" x14ac:dyDescent="0.25">
      <c r="A4">
        <v>3</v>
      </c>
      <c r="B4" t="s">
        <v>6887</v>
      </c>
      <c r="C4" t="s">
        <v>7683</v>
      </c>
    </row>
    <row r="5" spans="1:3" x14ac:dyDescent="0.25">
      <c r="A5">
        <v>4</v>
      </c>
      <c r="B5" t="s">
        <v>6888</v>
      </c>
      <c r="C5" t="s">
        <v>7684</v>
      </c>
    </row>
    <row r="6" spans="1:3" x14ac:dyDescent="0.25">
      <c r="A6">
        <v>5</v>
      </c>
      <c r="B6" t="s">
        <v>6927</v>
      </c>
      <c r="C6" t="s">
        <v>7685</v>
      </c>
    </row>
    <row r="7" spans="1:3" x14ac:dyDescent="0.25">
      <c r="A7">
        <v>6</v>
      </c>
      <c r="B7" t="s">
        <v>6928</v>
      </c>
      <c r="C7" t="s">
        <v>7686</v>
      </c>
    </row>
    <row r="8" spans="1:3" x14ac:dyDescent="0.25">
      <c r="A8">
        <v>7</v>
      </c>
      <c r="B8" t="s">
        <v>6929</v>
      </c>
      <c r="C8" t="s">
        <v>7687</v>
      </c>
    </row>
    <row r="9" spans="1:3" x14ac:dyDescent="0.25">
      <c r="A9">
        <v>8</v>
      </c>
      <c r="B9" t="s">
        <v>6930</v>
      </c>
      <c r="C9" t="s">
        <v>7688</v>
      </c>
    </row>
    <row r="10" spans="1:3" x14ac:dyDescent="0.25">
      <c r="A10">
        <v>9</v>
      </c>
      <c r="B10" t="s">
        <v>6931</v>
      </c>
      <c r="C10" t="s">
        <v>7689</v>
      </c>
    </row>
    <row r="11" spans="1:3" x14ac:dyDescent="0.25">
      <c r="A11">
        <v>10</v>
      </c>
      <c r="B11" t="s">
        <v>6889</v>
      </c>
      <c r="C11" t="s">
        <v>7690</v>
      </c>
    </row>
    <row r="12" spans="1:3" x14ac:dyDescent="0.25">
      <c r="A12">
        <v>11</v>
      </c>
      <c r="B12" t="s">
        <v>6932</v>
      </c>
      <c r="C12" t="s">
        <v>7691</v>
      </c>
    </row>
    <row r="13" spans="1:3" x14ac:dyDescent="0.25">
      <c r="A13">
        <v>12</v>
      </c>
      <c r="B13" t="s">
        <v>6890</v>
      </c>
      <c r="C13" t="s">
        <v>7692</v>
      </c>
    </row>
    <row r="14" spans="1:3" x14ac:dyDescent="0.25">
      <c r="A14">
        <v>13</v>
      </c>
      <c r="B14" t="s">
        <v>6943</v>
      </c>
      <c r="C14" t="s">
        <v>7693</v>
      </c>
    </row>
    <row r="15" spans="1:3" x14ac:dyDescent="0.25">
      <c r="A15">
        <v>14</v>
      </c>
      <c r="B15" t="s">
        <v>6997</v>
      </c>
      <c r="C15" t="s">
        <v>7694</v>
      </c>
    </row>
    <row r="16" spans="1:3" x14ac:dyDescent="0.25">
      <c r="A16">
        <v>15</v>
      </c>
      <c r="B16" t="s">
        <v>6946</v>
      </c>
      <c r="C16" t="s">
        <v>7695</v>
      </c>
    </row>
    <row r="17" spans="1:3" x14ac:dyDescent="0.25">
      <c r="A17">
        <v>16</v>
      </c>
      <c r="B17" t="s">
        <v>6999</v>
      </c>
      <c r="C17" t="s">
        <v>7696</v>
      </c>
    </row>
    <row r="18" spans="1:3" x14ac:dyDescent="0.25">
      <c r="A18">
        <v>17</v>
      </c>
      <c r="B18" t="s">
        <v>6947</v>
      </c>
      <c r="C18" t="s">
        <v>7697</v>
      </c>
    </row>
    <row r="19" spans="1:3" x14ac:dyDescent="0.25">
      <c r="A19">
        <v>18</v>
      </c>
      <c r="B19" t="s">
        <v>6948</v>
      </c>
      <c r="C19" t="s">
        <v>7698</v>
      </c>
    </row>
    <row r="20" spans="1:3" x14ac:dyDescent="0.25">
      <c r="A20">
        <v>19</v>
      </c>
      <c r="B20" t="s">
        <v>6949</v>
      </c>
      <c r="C20" t="s">
        <v>7699</v>
      </c>
    </row>
    <row r="21" spans="1:3" x14ac:dyDescent="0.25">
      <c r="A21">
        <v>20</v>
      </c>
      <c r="B21" t="s">
        <v>6950</v>
      </c>
      <c r="C21" t="s">
        <v>7700</v>
      </c>
    </row>
    <row r="22" spans="1:3" x14ac:dyDescent="0.25">
      <c r="A22">
        <v>21</v>
      </c>
      <c r="B22" t="s">
        <v>7003</v>
      </c>
      <c r="C22" t="s">
        <v>7701</v>
      </c>
    </row>
    <row r="23" spans="1:3" x14ac:dyDescent="0.25">
      <c r="A23">
        <v>22</v>
      </c>
      <c r="B23" t="s">
        <v>7004</v>
      </c>
      <c r="C23" t="s">
        <v>7702</v>
      </c>
    </row>
    <row r="24" spans="1:3" x14ac:dyDescent="0.25">
      <c r="A24">
        <v>23</v>
      </c>
      <c r="B24" t="s">
        <v>7019</v>
      </c>
      <c r="C24" t="s">
        <v>7703</v>
      </c>
    </row>
    <row r="25" spans="1:3" x14ac:dyDescent="0.25">
      <c r="A25">
        <v>24</v>
      </c>
      <c r="B25" t="s">
        <v>7005</v>
      </c>
      <c r="C25" t="s">
        <v>7704</v>
      </c>
    </row>
    <row r="26" spans="1:3" x14ac:dyDescent="0.25">
      <c r="A26">
        <v>25</v>
      </c>
      <c r="B26" t="s">
        <v>6933</v>
      </c>
      <c r="C26" t="s">
        <v>7705</v>
      </c>
    </row>
    <row r="27" spans="1:3" x14ac:dyDescent="0.25">
      <c r="A27">
        <v>26</v>
      </c>
      <c r="B27" t="s">
        <v>6934</v>
      </c>
      <c r="C27" t="s">
        <v>7706</v>
      </c>
    </row>
    <row r="28" spans="1:3" x14ac:dyDescent="0.25">
      <c r="A28">
        <v>27</v>
      </c>
      <c r="B28" t="s">
        <v>6936</v>
      </c>
      <c r="C28" t="s">
        <v>7707</v>
      </c>
    </row>
    <row r="29" spans="1:3" x14ac:dyDescent="0.25">
      <c r="A29">
        <v>28</v>
      </c>
      <c r="B29" t="s">
        <v>6891</v>
      </c>
      <c r="C29" t="s">
        <v>7708</v>
      </c>
    </row>
    <row r="30" spans="1:3" x14ac:dyDescent="0.25">
      <c r="A30">
        <v>29</v>
      </c>
      <c r="B30" t="s">
        <v>6937</v>
      </c>
      <c r="C30" t="s">
        <v>7709</v>
      </c>
    </row>
    <row r="31" spans="1:3" x14ac:dyDescent="0.25">
      <c r="A31">
        <v>30</v>
      </c>
      <c r="B31" t="s">
        <v>6940</v>
      </c>
      <c r="C31" t="s">
        <v>7710</v>
      </c>
    </row>
    <row r="32" spans="1:3" x14ac:dyDescent="0.25">
      <c r="A32">
        <v>31</v>
      </c>
      <c r="B32" t="s">
        <v>6941</v>
      </c>
      <c r="C32" t="s">
        <v>7711</v>
      </c>
    </row>
    <row r="33" spans="1:3" x14ac:dyDescent="0.25">
      <c r="A33">
        <v>32</v>
      </c>
      <c r="B33" t="s">
        <v>6892</v>
      </c>
      <c r="C33" t="s">
        <v>7712</v>
      </c>
    </row>
    <row r="34" spans="1:3" x14ac:dyDescent="0.25">
      <c r="A34">
        <v>33</v>
      </c>
      <c r="B34" t="s">
        <v>6893</v>
      </c>
      <c r="C34" t="s">
        <v>7713</v>
      </c>
    </row>
    <row r="35" spans="1:3" x14ac:dyDescent="0.25">
      <c r="A35">
        <v>34</v>
      </c>
      <c r="B35" t="s">
        <v>7024</v>
      </c>
      <c r="C35" t="s">
        <v>7714</v>
      </c>
    </row>
    <row r="36" spans="1:3" x14ac:dyDescent="0.25">
      <c r="A36">
        <v>35</v>
      </c>
      <c r="B36" t="s">
        <v>6942</v>
      </c>
      <c r="C36" t="s">
        <v>7715</v>
      </c>
    </row>
    <row r="37" spans="1:3" x14ac:dyDescent="0.25">
      <c r="A37">
        <v>36</v>
      </c>
      <c r="B37" t="s">
        <v>6944</v>
      </c>
      <c r="C37" t="s">
        <v>7716</v>
      </c>
    </row>
    <row r="38" spans="1:3" x14ac:dyDescent="0.25">
      <c r="A38">
        <v>37</v>
      </c>
      <c r="B38" t="s">
        <v>6894</v>
      </c>
      <c r="C38" t="s">
        <v>7717</v>
      </c>
    </row>
    <row r="39" spans="1:3" x14ac:dyDescent="0.25">
      <c r="A39">
        <v>38</v>
      </c>
      <c r="B39" t="s">
        <v>6945</v>
      </c>
      <c r="C39" t="s">
        <v>7718</v>
      </c>
    </row>
    <row r="40" spans="1:3" x14ac:dyDescent="0.25">
      <c r="A40">
        <v>39</v>
      </c>
      <c r="B40" t="s">
        <v>7006</v>
      </c>
      <c r="C40" t="s">
        <v>7719</v>
      </c>
    </row>
    <row r="41" spans="1:3" x14ac:dyDescent="0.25">
      <c r="A41">
        <v>40</v>
      </c>
      <c r="B41" t="s">
        <v>7007</v>
      </c>
      <c r="C41" t="s">
        <v>7720</v>
      </c>
    </row>
    <row r="42" spans="1:3" x14ac:dyDescent="0.25">
      <c r="A42">
        <v>41</v>
      </c>
      <c r="B42" t="s">
        <v>7008</v>
      </c>
      <c r="C42" t="s">
        <v>7721</v>
      </c>
    </row>
    <row r="43" spans="1:3" x14ac:dyDescent="0.25">
      <c r="A43">
        <v>42</v>
      </c>
      <c r="B43" t="s">
        <v>6959</v>
      </c>
      <c r="C43" t="s">
        <v>7722</v>
      </c>
    </row>
    <row r="44" spans="1:3" x14ac:dyDescent="0.25">
      <c r="A44">
        <v>43</v>
      </c>
      <c r="B44" t="s">
        <v>7009</v>
      </c>
      <c r="C44" t="s">
        <v>7723</v>
      </c>
    </row>
    <row r="45" spans="1:3" x14ac:dyDescent="0.25">
      <c r="A45">
        <v>44</v>
      </c>
      <c r="B45" t="s">
        <v>6962</v>
      </c>
      <c r="C45" t="s">
        <v>7724</v>
      </c>
    </row>
    <row r="46" spans="1:3" x14ac:dyDescent="0.25">
      <c r="A46">
        <v>45</v>
      </c>
      <c r="B46" t="s">
        <v>6963</v>
      </c>
      <c r="C46" t="s">
        <v>7725</v>
      </c>
    </row>
    <row r="47" spans="1:3" x14ac:dyDescent="0.25">
      <c r="A47">
        <v>46</v>
      </c>
      <c r="B47" t="s">
        <v>7011</v>
      </c>
      <c r="C47" t="s">
        <v>7726</v>
      </c>
    </row>
    <row r="48" spans="1:3" x14ac:dyDescent="0.25">
      <c r="A48">
        <v>47</v>
      </c>
      <c r="B48" t="s">
        <v>7012</v>
      </c>
      <c r="C48" t="s">
        <v>7727</v>
      </c>
    </row>
    <row r="49" spans="1:3" x14ac:dyDescent="0.25">
      <c r="A49">
        <v>48</v>
      </c>
      <c r="B49" t="s">
        <v>6967</v>
      </c>
      <c r="C49" t="s">
        <v>7728</v>
      </c>
    </row>
    <row r="50" spans="1:3" x14ac:dyDescent="0.25">
      <c r="A50">
        <v>49</v>
      </c>
      <c r="B50" t="s">
        <v>6968</v>
      </c>
      <c r="C50" t="s">
        <v>7729</v>
      </c>
    </row>
    <row r="51" spans="1:3" x14ac:dyDescent="0.25">
      <c r="A51">
        <v>50</v>
      </c>
      <c r="B51" t="s">
        <v>7013</v>
      </c>
      <c r="C51" t="s">
        <v>7730</v>
      </c>
    </row>
    <row r="52" spans="1:3" x14ac:dyDescent="0.25">
      <c r="A52">
        <v>51</v>
      </c>
      <c r="B52" t="s">
        <v>7018</v>
      </c>
      <c r="C52" t="s">
        <v>7731</v>
      </c>
    </row>
    <row r="53" spans="1:3" x14ac:dyDescent="0.25">
      <c r="A53">
        <v>52</v>
      </c>
      <c r="B53" t="s">
        <v>6972</v>
      </c>
      <c r="C53" t="s">
        <v>7732</v>
      </c>
    </row>
    <row r="54" spans="1:3" x14ac:dyDescent="0.25">
      <c r="A54">
        <v>53</v>
      </c>
      <c r="B54" t="s">
        <v>6975</v>
      </c>
      <c r="C54" t="s">
        <v>7733</v>
      </c>
    </row>
    <row r="55" spans="1:3" x14ac:dyDescent="0.25">
      <c r="A55">
        <v>54</v>
      </c>
      <c r="B55" t="s">
        <v>7015</v>
      </c>
      <c r="C55" t="s">
        <v>7734</v>
      </c>
    </row>
    <row r="56" spans="1:3" x14ac:dyDescent="0.25">
      <c r="A56">
        <v>55</v>
      </c>
      <c r="B56" t="s">
        <v>6895</v>
      </c>
      <c r="C56" t="s">
        <v>7735</v>
      </c>
    </row>
    <row r="57" spans="1:3" x14ac:dyDescent="0.25">
      <c r="A57">
        <v>56</v>
      </c>
      <c r="B57" t="s">
        <v>6951</v>
      </c>
      <c r="C57" t="s">
        <v>7736</v>
      </c>
    </row>
    <row r="58" spans="1:3" x14ac:dyDescent="0.25">
      <c r="A58">
        <v>57</v>
      </c>
      <c r="B58" t="s">
        <v>6952</v>
      </c>
      <c r="C58" t="s">
        <v>7737</v>
      </c>
    </row>
    <row r="59" spans="1:3" x14ac:dyDescent="0.25">
      <c r="A59">
        <v>58</v>
      </c>
      <c r="B59" t="s">
        <v>6896</v>
      </c>
      <c r="C59" t="s">
        <v>7738</v>
      </c>
    </row>
    <row r="60" spans="1:3" x14ac:dyDescent="0.25">
      <c r="A60">
        <v>59</v>
      </c>
      <c r="B60" t="s">
        <v>6897</v>
      </c>
      <c r="C60" t="s">
        <v>7739</v>
      </c>
    </row>
    <row r="61" spans="1:3" x14ac:dyDescent="0.25">
      <c r="A61">
        <v>60</v>
      </c>
      <c r="B61" t="s">
        <v>6953</v>
      </c>
      <c r="C61" t="s">
        <v>7740</v>
      </c>
    </row>
    <row r="62" spans="1:3" x14ac:dyDescent="0.25">
      <c r="A62">
        <v>61</v>
      </c>
      <c r="B62" t="s">
        <v>6954</v>
      </c>
      <c r="C62" t="s">
        <v>7741</v>
      </c>
    </row>
    <row r="63" spans="1:3" x14ac:dyDescent="0.25">
      <c r="A63">
        <v>62</v>
      </c>
      <c r="B63" t="s">
        <v>6898</v>
      </c>
      <c r="C63" t="s">
        <v>7742</v>
      </c>
    </row>
    <row r="64" spans="1:3" x14ac:dyDescent="0.25">
      <c r="A64">
        <v>63</v>
      </c>
      <c r="B64" t="s">
        <v>6955</v>
      </c>
      <c r="C64" t="s">
        <v>7743</v>
      </c>
    </row>
    <row r="65" spans="1:3" x14ac:dyDescent="0.25">
      <c r="A65">
        <v>64</v>
      </c>
      <c r="B65" t="s">
        <v>6899</v>
      </c>
      <c r="C65" t="s">
        <v>7744</v>
      </c>
    </row>
    <row r="66" spans="1:3" x14ac:dyDescent="0.25">
      <c r="A66">
        <v>65</v>
      </c>
      <c r="B66" t="s">
        <v>6956</v>
      </c>
      <c r="C66" t="s">
        <v>7745</v>
      </c>
    </row>
    <row r="67" spans="1:3" x14ac:dyDescent="0.25">
      <c r="A67">
        <v>66</v>
      </c>
      <c r="B67" t="s">
        <v>6957</v>
      </c>
      <c r="C67" t="s">
        <v>7746</v>
      </c>
    </row>
    <row r="68" spans="1:3" x14ac:dyDescent="0.25">
      <c r="A68">
        <v>67</v>
      </c>
      <c r="B68" t="s">
        <v>6958</v>
      </c>
      <c r="C68" t="s">
        <v>7747</v>
      </c>
    </row>
    <row r="69" spans="1:3" x14ac:dyDescent="0.25">
      <c r="A69">
        <v>68</v>
      </c>
      <c r="B69" t="s">
        <v>6960</v>
      </c>
      <c r="C69" t="s">
        <v>7748</v>
      </c>
    </row>
    <row r="70" spans="1:3" x14ac:dyDescent="0.25">
      <c r="A70">
        <v>69</v>
      </c>
      <c r="B70" t="s">
        <v>6977</v>
      </c>
      <c r="C70" t="s">
        <v>7749</v>
      </c>
    </row>
    <row r="71" spans="1:3" x14ac:dyDescent="0.25">
      <c r="A71">
        <v>70</v>
      </c>
      <c r="B71" t="s">
        <v>6979</v>
      </c>
      <c r="C71" t="s">
        <v>7750</v>
      </c>
    </row>
    <row r="72" spans="1:3" x14ac:dyDescent="0.25">
      <c r="A72">
        <v>71</v>
      </c>
      <c r="B72" t="s">
        <v>7016</v>
      </c>
      <c r="C72" t="s">
        <v>7751</v>
      </c>
    </row>
    <row r="73" spans="1:3" x14ac:dyDescent="0.25">
      <c r="A73">
        <v>72</v>
      </c>
      <c r="B73" t="s">
        <v>7017</v>
      </c>
      <c r="C73" t="s">
        <v>7752</v>
      </c>
    </row>
    <row r="74" spans="1:3" x14ac:dyDescent="0.25">
      <c r="A74">
        <v>73</v>
      </c>
      <c r="B74" t="s">
        <v>6984</v>
      </c>
      <c r="C74" t="s">
        <v>7753</v>
      </c>
    </row>
    <row r="75" spans="1:3" x14ac:dyDescent="0.25">
      <c r="A75">
        <v>74</v>
      </c>
      <c r="B75" t="s">
        <v>6985</v>
      </c>
      <c r="C75" t="s">
        <v>7754</v>
      </c>
    </row>
    <row r="76" spans="1:3" x14ac:dyDescent="0.25">
      <c r="A76">
        <v>75</v>
      </c>
      <c r="B76" t="s">
        <v>7014</v>
      </c>
      <c r="C76" t="s">
        <v>7755</v>
      </c>
    </row>
    <row r="77" spans="1:3" x14ac:dyDescent="0.25">
      <c r="A77">
        <v>76</v>
      </c>
      <c r="B77" t="s">
        <v>6988</v>
      </c>
      <c r="C77" t="s">
        <v>7756</v>
      </c>
    </row>
    <row r="78" spans="1:3" x14ac:dyDescent="0.25">
      <c r="A78">
        <v>77</v>
      </c>
      <c r="B78" t="s">
        <v>6989</v>
      </c>
      <c r="C78" t="s">
        <v>7757</v>
      </c>
    </row>
    <row r="79" spans="1:3" x14ac:dyDescent="0.25">
      <c r="A79">
        <v>78</v>
      </c>
      <c r="B79" t="s">
        <v>6990</v>
      </c>
      <c r="C79" t="s">
        <v>7758</v>
      </c>
    </row>
    <row r="80" spans="1:3" x14ac:dyDescent="0.25">
      <c r="A80">
        <v>79</v>
      </c>
      <c r="B80" t="s">
        <v>7010</v>
      </c>
      <c r="C80" t="s">
        <v>7759</v>
      </c>
    </row>
    <row r="81" spans="1:3" x14ac:dyDescent="0.25">
      <c r="A81">
        <v>80</v>
      </c>
      <c r="B81" t="s">
        <v>7002</v>
      </c>
      <c r="C81" t="s">
        <v>7760</v>
      </c>
    </row>
    <row r="82" spans="1:3" x14ac:dyDescent="0.25">
      <c r="A82">
        <v>81</v>
      </c>
      <c r="B82" t="s">
        <v>7001</v>
      </c>
      <c r="C82" t="s">
        <v>7761</v>
      </c>
    </row>
    <row r="83" spans="1:3" x14ac:dyDescent="0.25">
      <c r="A83">
        <v>82</v>
      </c>
      <c r="B83" t="s">
        <v>7000</v>
      </c>
      <c r="C83" t="s">
        <v>7762</v>
      </c>
    </row>
    <row r="84" spans="1:3" x14ac:dyDescent="0.25">
      <c r="A84">
        <v>83</v>
      </c>
      <c r="B84" t="s">
        <v>6998</v>
      </c>
      <c r="C84" t="s">
        <v>7763</v>
      </c>
    </row>
    <row r="85" spans="1:3" x14ac:dyDescent="0.25">
      <c r="A85">
        <v>84</v>
      </c>
      <c r="B85" t="s">
        <v>6996</v>
      </c>
      <c r="C85" t="s">
        <v>7764</v>
      </c>
    </row>
    <row r="86" spans="1:3" x14ac:dyDescent="0.25">
      <c r="A86">
        <v>85</v>
      </c>
      <c r="B86" t="s">
        <v>6961</v>
      </c>
      <c r="C86" t="s">
        <v>7765</v>
      </c>
    </row>
    <row r="87" spans="1:3" x14ac:dyDescent="0.25">
      <c r="A87">
        <v>86</v>
      </c>
      <c r="B87" t="s">
        <v>6964</v>
      </c>
      <c r="C87" t="s">
        <v>7766</v>
      </c>
    </row>
    <row r="88" spans="1:3" x14ac:dyDescent="0.25">
      <c r="A88">
        <v>87</v>
      </c>
      <c r="B88" t="s">
        <v>6905</v>
      </c>
      <c r="C88" t="s">
        <v>7767</v>
      </c>
    </row>
    <row r="89" spans="1:3" x14ac:dyDescent="0.25">
      <c r="A89">
        <v>88</v>
      </c>
      <c r="B89" t="s">
        <v>6908</v>
      </c>
      <c r="C89" t="s">
        <v>7768</v>
      </c>
    </row>
    <row r="90" spans="1:3" x14ac:dyDescent="0.25">
      <c r="A90">
        <v>89</v>
      </c>
      <c r="B90" t="s">
        <v>6965</v>
      </c>
      <c r="C90" t="s">
        <v>7769</v>
      </c>
    </row>
    <row r="91" spans="1:3" x14ac:dyDescent="0.25">
      <c r="A91">
        <v>90</v>
      </c>
      <c r="B91" t="s">
        <v>6966</v>
      </c>
      <c r="C91" t="s">
        <v>7770</v>
      </c>
    </row>
    <row r="92" spans="1:3" x14ac:dyDescent="0.25">
      <c r="A92">
        <v>91</v>
      </c>
      <c r="B92" t="s">
        <v>6969</v>
      </c>
      <c r="C92" t="s">
        <v>7771</v>
      </c>
    </row>
    <row r="93" spans="1:3" x14ac:dyDescent="0.25">
      <c r="A93">
        <v>92</v>
      </c>
      <c r="B93" t="s">
        <v>6970</v>
      </c>
      <c r="C93" t="s">
        <v>7772</v>
      </c>
    </row>
    <row r="94" spans="1:3" x14ac:dyDescent="0.25">
      <c r="A94">
        <v>93</v>
      </c>
      <c r="B94" t="s">
        <v>6915</v>
      </c>
      <c r="C94" t="s">
        <v>7773</v>
      </c>
    </row>
    <row r="95" spans="1:3" x14ac:dyDescent="0.25">
      <c r="A95">
        <v>94</v>
      </c>
      <c r="B95" t="s">
        <v>6971</v>
      </c>
      <c r="C95" t="s">
        <v>7774</v>
      </c>
    </row>
    <row r="96" spans="1:3" x14ac:dyDescent="0.25">
      <c r="A96">
        <v>95</v>
      </c>
      <c r="B96" t="s">
        <v>6878</v>
      </c>
      <c r="C96" t="s">
        <v>7775</v>
      </c>
    </row>
    <row r="97" spans="1:3" x14ac:dyDescent="0.25">
      <c r="A97">
        <v>96</v>
      </c>
      <c r="B97" t="s">
        <v>6879</v>
      </c>
      <c r="C97" t="s">
        <v>7776</v>
      </c>
    </row>
    <row r="98" spans="1:3" x14ac:dyDescent="0.25">
      <c r="A98">
        <v>97</v>
      </c>
      <c r="B98" t="s">
        <v>6880</v>
      </c>
      <c r="C98" t="s">
        <v>7777</v>
      </c>
    </row>
    <row r="99" spans="1:3" x14ac:dyDescent="0.25">
      <c r="A99">
        <v>98</v>
      </c>
      <c r="B99" t="s">
        <v>6900</v>
      </c>
      <c r="C99" t="s">
        <v>7778</v>
      </c>
    </row>
    <row r="100" spans="1:3" x14ac:dyDescent="0.25">
      <c r="A100">
        <v>99</v>
      </c>
      <c r="B100" t="s">
        <v>6881</v>
      </c>
      <c r="C100" t="s">
        <v>7779</v>
      </c>
    </row>
    <row r="101" spans="1:3" x14ac:dyDescent="0.25">
      <c r="A101">
        <v>100</v>
      </c>
      <c r="B101" t="s">
        <v>6909</v>
      </c>
      <c r="C101" t="s">
        <v>7780</v>
      </c>
    </row>
    <row r="102" spans="1:3" x14ac:dyDescent="0.25">
      <c r="A102">
        <v>101</v>
      </c>
      <c r="B102" t="s">
        <v>6910</v>
      </c>
      <c r="C102" t="s">
        <v>7781</v>
      </c>
    </row>
    <row r="103" spans="1:3" x14ac:dyDescent="0.25">
      <c r="A103">
        <v>102</v>
      </c>
      <c r="B103" t="s">
        <v>6973</v>
      </c>
      <c r="C103" t="s">
        <v>7782</v>
      </c>
    </row>
    <row r="104" spans="1:3" x14ac:dyDescent="0.25">
      <c r="A104">
        <v>103</v>
      </c>
      <c r="B104" t="s">
        <v>6974</v>
      </c>
      <c r="C104" t="s">
        <v>7783</v>
      </c>
    </row>
    <row r="105" spans="1:3" x14ac:dyDescent="0.25">
      <c r="A105">
        <v>104</v>
      </c>
      <c r="B105" t="s">
        <v>6976</v>
      </c>
      <c r="C105" t="s">
        <v>7784</v>
      </c>
    </row>
    <row r="106" spans="1:3" x14ac:dyDescent="0.25">
      <c r="A106">
        <v>105</v>
      </c>
      <c r="B106" t="s">
        <v>6919</v>
      </c>
      <c r="C106" t="s">
        <v>7785</v>
      </c>
    </row>
    <row r="107" spans="1:3" x14ac:dyDescent="0.25">
      <c r="A107">
        <v>106</v>
      </c>
      <c r="B107" t="s">
        <v>6978</v>
      </c>
      <c r="C107" t="s">
        <v>7786</v>
      </c>
    </row>
    <row r="108" spans="1:3" x14ac:dyDescent="0.25">
      <c r="A108">
        <v>107</v>
      </c>
      <c r="B108" t="s">
        <v>6920</v>
      </c>
      <c r="C108" t="s">
        <v>7787</v>
      </c>
    </row>
    <row r="109" spans="1:3" x14ac:dyDescent="0.25">
      <c r="A109">
        <v>108</v>
      </c>
      <c r="B109" t="s">
        <v>6921</v>
      </c>
      <c r="C109" t="s">
        <v>7788</v>
      </c>
    </row>
    <row r="110" spans="1:3" x14ac:dyDescent="0.25">
      <c r="A110">
        <v>109</v>
      </c>
      <c r="B110" t="s">
        <v>6922</v>
      </c>
      <c r="C110" t="s">
        <v>7789</v>
      </c>
    </row>
    <row r="111" spans="1:3" x14ac:dyDescent="0.25">
      <c r="A111">
        <v>110</v>
      </c>
      <c r="B111" t="s">
        <v>6980</v>
      </c>
      <c r="C111" t="s">
        <v>7790</v>
      </c>
    </row>
    <row r="112" spans="1:3" x14ac:dyDescent="0.25">
      <c r="A112">
        <v>111</v>
      </c>
      <c r="B112" t="s">
        <v>6981</v>
      </c>
      <c r="C112" t="s">
        <v>7791</v>
      </c>
    </row>
    <row r="113" spans="1:3" x14ac:dyDescent="0.25">
      <c r="A113">
        <v>112</v>
      </c>
      <c r="B113" t="s">
        <v>6923</v>
      </c>
      <c r="C113" t="s">
        <v>7792</v>
      </c>
    </row>
    <row r="114" spans="1:3" x14ac:dyDescent="0.25">
      <c r="A114">
        <v>113</v>
      </c>
      <c r="B114" t="s">
        <v>6924</v>
      </c>
      <c r="C114" t="s">
        <v>7793</v>
      </c>
    </row>
    <row r="115" spans="1:3" x14ac:dyDescent="0.25">
      <c r="A115">
        <v>114</v>
      </c>
      <c r="B115" t="s">
        <v>6925</v>
      </c>
      <c r="C115" t="s">
        <v>7794</v>
      </c>
    </row>
    <row r="116" spans="1:3" x14ac:dyDescent="0.25">
      <c r="A116">
        <v>115</v>
      </c>
      <c r="B116" t="s">
        <v>6926</v>
      </c>
      <c r="C116" t="s">
        <v>7795</v>
      </c>
    </row>
    <row r="117" spans="1:3" x14ac:dyDescent="0.25">
      <c r="A117">
        <v>116</v>
      </c>
      <c r="B117" t="s">
        <v>6982</v>
      </c>
      <c r="C117" t="s">
        <v>7796</v>
      </c>
    </row>
    <row r="118" spans="1:3" x14ac:dyDescent="0.25">
      <c r="A118">
        <v>117</v>
      </c>
      <c r="B118" t="s">
        <v>6901</v>
      </c>
      <c r="C118" t="s">
        <v>7797</v>
      </c>
    </row>
    <row r="119" spans="1:3" x14ac:dyDescent="0.25">
      <c r="A119">
        <v>118</v>
      </c>
      <c r="B119" t="s">
        <v>6902</v>
      </c>
      <c r="C119" t="s">
        <v>7798</v>
      </c>
    </row>
    <row r="120" spans="1:3" x14ac:dyDescent="0.25">
      <c r="A120">
        <v>119</v>
      </c>
      <c r="B120" t="s">
        <v>6882</v>
      </c>
      <c r="C120" t="s">
        <v>7799</v>
      </c>
    </row>
    <row r="121" spans="1:3" x14ac:dyDescent="0.25">
      <c r="A121">
        <v>120</v>
      </c>
      <c r="B121" t="s">
        <v>6903</v>
      </c>
      <c r="C121" t="s">
        <v>7800</v>
      </c>
    </row>
    <row r="122" spans="1:3" x14ac:dyDescent="0.25">
      <c r="A122">
        <v>121</v>
      </c>
      <c r="B122" t="s">
        <v>6904</v>
      </c>
      <c r="C122" t="s">
        <v>7801</v>
      </c>
    </row>
    <row r="123" spans="1:3" x14ac:dyDescent="0.25">
      <c r="A123">
        <v>122</v>
      </c>
      <c r="B123" t="s">
        <v>6883</v>
      </c>
      <c r="C123" t="s">
        <v>7802</v>
      </c>
    </row>
    <row r="124" spans="1:3" x14ac:dyDescent="0.25">
      <c r="A124">
        <v>123</v>
      </c>
      <c r="B124" t="s">
        <v>6884</v>
      </c>
      <c r="C124" t="s">
        <v>7803</v>
      </c>
    </row>
    <row r="125" spans="1:3" x14ac:dyDescent="0.25">
      <c r="A125">
        <v>124</v>
      </c>
      <c r="B125" t="s">
        <v>6885</v>
      </c>
      <c r="C125" t="s">
        <v>7804</v>
      </c>
    </row>
    <row r="126" spans="1:3" x14ac:dyDescent="0.25">
      <c r="A126">
        <v>125</v>
      </c>
      <c r="B126" t="s">
        <v>6906</v>
      </c>
      <c r="C126" t="s">
        <v>7805</v>
      </c>
    </row>
    <row r="127" spans="1:3" x14ac:dyDescent="0.25">
      <c r="A127">
        <v>126</v>
      </c>
      <c r="B127" t="s">
        <v>6907</v>
      </c>
      <c r="C127" t="s">
        <v>7806</v>
      </c>
    </row>
    <row r="128" spans="1:3" x14ac:dyDescent="0.25">
      <c r="A128">
        <v>127</v>
      </c>
      <c r="B128" t="s">
        <v>6911</v>
      </c>
      <c r="C128" t="s">
        <v>7807</v>
      </c>
    </row>
    <row r="129" spans="1:3" x14ac:dyDescent="0.25">
      <c r="A129">
        <v>128</v>
      </c>
      <c r="B129" t="s">
        <v>6912</v>
      </c>
      <c r="C129" t="s">
        <v>7808</v>
      </c>
    </row>
    <row r="130" spans="1:3" x14ac:dyDescent="0.25">
      <c r="A130">
        <v>129</v>
      </c>
      <c r="B130" t="s">
        <v>6913</v>
      </c>
      <c r="C130" t="s">
        <v>7809</v>
      </c>
    </row>
    <row r="131" spans="1:3" x14ac:dyDescent="0.25">
      <c r="A131">
        <v>130</v>
      </c>
      <c r="B131" t="s">
        <v>6914</v>
      </c>
      <c r="C131" t="s">
        <v>7810</v>
      </c>
    </row>
    <row r="132" spans="1:3" x14ac:dyDescent="0.25">
      <c r="A132">
        <v>131</v>
      </c>
      <c r="B132" t="s">
        <v>6886</v>
      </c>
      <c r="C132" t="s">
        <v>7811</v>
      </c>
    </row>
    <row r="133" spans="1:3" x14ac:dyDescent="0.25">
      <c r="A133">
        <v>132</v>
      </c>
      <c r="B133" t="s">
        <v>6916</v>
      </c>
      <c r="C133" t="s">
        <v>7812</v>
      </c>
    </row>
    <row r="134" spans="1:3" x14ac:dyDescent="0.25">
      <c r="A134">
        <v>133</v>
      </c>
      <c r="B134" t="s">
        <v>6983</v>
      </c>
      <c r="C134" t="s">
        <v>7813</v>
      </c>
    </row>
    <row r="135" spans="1:3" x14ac:dyDescent="0.25">
      <c r="A135">
        <v>134</v>
      </c>
      <c r="B135" t="s">
        <v>6986</v>
      </c>
      <c r="C135" t="s">
        <v>7814</v>
      </c>
    </row>
    <row r="136" spans="1:3" x14ac:dyDescent="0.25">
      <c r="A136">
        <v>135</v>
      </c>
      <c r="B136" t="s">
        <v>6935</v>
      </c>
      <c r="C136" t="s">
        <v>7815</v>
      </c>
    </row>
    <row r="137" spans="1:3" x14ac:dyDescent="0.25">
      <c r="A137">
        <v>136</v>
      </c>
      <c r="B137" t="s">
        <v>6987</v>
      </c>
      <c r="C137" t="s">
        <v>7816</v>
      </c>
    </row>
    <row r="138" spans="1:3" x14ac:dyDescent="0.25">
      <c r="A138">
        <v>137</v>
      </c>
      <c r="B138" t="s">
        <v>6991</v>
      </c>
      <c r="C138" t="s">
        <v>7817</v>
      </c>
    </row>
    <row r="139" spans="1:3" x14ac:dyDescent="0.25">
      <c r="A139">
        <v>138</v>
      </c>
      <c r="B139" t="s">
        <v>6938</v>
      </c>
      <c r="C139" t="s">
        <v>7818</v>
      </c>
    </row>
    <row r="140" spans="1:3" x14ac:dyDescent="0.25">
      <c r="A140">
        <v>139</v>
      </c>
      <c r="B140" t="s">
        <v>6992</v>
      </c>
      <c r="C140" t="s">
        <v>7819</v>
      </c>
    </row>
    <row r="141" spans="1:3" x14ac:dyDescent="0.25">
      <c r="A141">
        <v>140</v>
      </c>
      <c r="B141" t="s">
        <v>6939</v>
      </c>
      <c r="C141" t="s">
        <v>7820</v>
      </c>
    </row>
    <row r="142" spans="1:3" x14ac:dyDescent="0.25">
      <c r="A142">
        <v>141</v>
      </c>
      <c r="B142" t="s">
        <v>6993</v>
      </c>
      <c r="C142" t="s">
        <v>7821</v>
      </c>
    </row>
    <row r="143" spans="1:3" x14ac:dyDescent="0.25">
      <c r="A143">
        <v>142</v>
      </c>
      <c r="B143" t="s">
        <v>6994</v>
      </c>
      <c r="C143" t="s">
        <v>7822</v>
      </c>
    </row>
    <row r="144" spans="1:3" x14ac:dyDescent="0.25">
      <c r="A144">
        <v>143</v>
      </c>
      <c r="B144" t="s">
        <v>6995</v>
      </c>
      <c r="C144" t="s">
        <v>7823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T-PAK</vt:lpstr>
      <vt:lpstr>Sheet1</vt:lpstr>
      <vt:lpstr>working</vt:lpstr>
      <vt:lpstr>Sheet3</vt:lpstr>
      <vt:lpstr>policy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 Ul Islam</dc:creator>
  <cp:lastModifiedBy>IT User Software</cp:lastModifiedBy>
  <dcterms:created xsi:type="dcterms:W3CDTF">2024-10-28T13:44:45Z</dcterms:created>
  <dcterms:modified xsi:type="dcterms:W3CDTF">2024-10-30T11:35:58Z</dcterms:modified>
</cp:coreProperties>
</file>