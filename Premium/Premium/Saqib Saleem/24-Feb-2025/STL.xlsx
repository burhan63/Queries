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Premium\Premium\Saqib Saleem\24-Feb-2025\"/>
    </mc:Choice>
  </mc:AlternateContent>
  <xr:revisionPtr revIDLastSave="0" documentId="8_{8C224E20-C8A9-4663-8715-782B8B31F2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working" sheetId="2" r:id="rId2"/>
    <sheet name="Sheet3" sheetId="3" r:id="rId3"/>
    <sheet name="policy" sheetId="4" r:id="rId4"/>
  </sheets>
  <definedNames>
    <definedName name="_xlnm._FilterDatabase" localSheetId="3" hidden="1">policy!$H$1:$H$134</definedName>
    <definedName name="_xlnm._FilterDatabase" localSheetId="0" hidden="1">Sheet1!$B$1:$S$135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7" i="2"/>
  <c r="B128" i="2"/>
  <c r="B129" i="2"/>
  <c r="B130" i="2"/>
  <c r="B131" i="2"/>
  <c r="B132" i="2"/>
  <c r="B134" i="2"/>
  <c r="B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F2" i="2"/>
  <c r="D2" i="2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2" i="4"/>
  <c r="H2" i="2" l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2" i="1"/>
  <c r="M135" i="1"/>
</calcChain>
</file>

<file path=xl/sharedStrings.xml><?xml version="1.0" encoding="utf-8"?>
<sst xmlns="http://schemas.openxmlformats.org/spreadsheetml/2006/main" count="2420" uniqueCount="1049">
  <si>
    <t>Loan ID</t>
  </si>
  <si>
    <t>Hub Code</t>
  </si>
  <si>
    <t>Name of Lessee</t>
  </si>
  <si>
    <t>Vehicle Description</t>
  </si>
  <si>
    <t xml:space="preserve">Engine </t>
  </si>
  <si>
    <t xml:space="preserve">Chasis </t>
  </si>
  <si>
    <t xml:space="preserve">Registration </t>
  </si>
  <si>
    <t>Start Date</t>
  </si>
  <si>
    <t>Expiry Date</t>
  </si>
  <si>
    <t>TENURE</t>
  </si>
  <si>
    <t>SUM COVERED</t>
  </si>
  <si>
    <t>Bank Ins Premium</t>
  </si>
  <si>
    <t xml:space="preserve">Bank Premium Rate </t>
  </si>
  <si>
    <t>New Takaful Company</t>
  </si>
  <si>
    <t>CI-2021-0171-7005</t>
  </si>
  <si>
    <t>PK0010002</t>
  </si>
  <si>
    <t>USAMA TAJ KHAN</t>
  </si>
  <si>
    <t>Alto VXL</t>
  </si>
  <si>
    <t>R155412</t>
  </si>
  <si>
    <t>H1055399</t>
  </si>
  <si>
    <t>-</t>
  </si>
  <si>
    <t xml:space="preserve"> 12 MONTHS</t>
  </si>
  <si>
    <t>1.50</t>
  </si>
  <si>
    <t>CI-2021-0172-3102</t>
  </si>
  <si>
    <t>ZAFAR ALI</t>
  </si>
  <si>
    <t>Yaris 1.3 GLI AT</t>
  </si>
  <si>
    <t>2A43772</t>
  </si>
  <si>
    <t>R-7027668</t>
  </si>
  <si>
    <t>CI-2021-1273-7470</t>
  </si>
  <si>
    <t>SHARAF U DDIN KALHORO</t>
  </si>
  <si>
    <t>Mehran VXR</t>
  </si>
  <si>
    <t>B757956</t>
  </si>
  <si>
    <t>PK01306484</t>
  </si>
  <si>
    <t>CI-2021-1601-1846</t>
  </si>
  <si>
    <t>Majid Hussain Hussain</t>
  </si>
  <si>
    <t>CULTUS VXR</t>
  </si>
  <si>
    <t>K191635</t>
  </si>
  <si>
    <t>H10091601</t>
  </si>
  <si>
    <t>CI-2021-2481-2544</t>
  </si>
  <si>
    <t>MUHAMMAD NAWAZ</t>
  </si>
  <si>
    <t>Alto VXR</t>
  </si>
  <si>
    <t>R201717</t>
  </si>
  <si>
    <t>H1101716</t>
  </si>
  <si>
    <t>SUZUKI CULTUS VXL</t>
  </si>
  <si>
    <t>CI-2021-9945-2298</t>
  </si>
  <si>
    <t>MUHAMMAD IRFAN</t>
  </si>
  <si>
    <t>City PT Aspire 1.5L</t>
  </si>
  <si>
    <t>Z81002837</t>
  </si>
  <si>
    <t>MR008424</t>
  </si>
  <si>
    <t>CI-2022-0101-0019</t>
  </si>
  <si>
    <t>Muhammmad Zahoor Uz Zama</t>
  </si>
  <si>
    <t>Swift GLX CVT</t>
  </si>
  <si>
    <t>1012726</t>
  </si>
  <si>
    <t>112724</t>
  </si>
  <si>
    <t>BYG-064</t>
  </si>
  <si>
    <t>CI-2022-8601-0017</t>
  </si>
  <si>
    <t>YAMEEN KHAN JAMALI</t>
  </si>
  <si>
    <t>Cultus AGS</t>
  </si>
  <si>
    <t>K204738</t>
  </si>
  <si>
    <t>H10104731</t>
  </si>
  <si>
    <t>BYF-392</t>
  </si>
  <si>
    <t>CI-2022-9910-0005</t>
  </si>
  <si>
    <t>MANSOOR GHAFFAR</t>
  </si>
  <si>
    <t>Sportage AWD</t>
  </si>
  <si>
    <t>H310401</t>
  </si>
  <si>
    <t>P502907</t>
  </si>
  <si>
    <t>BK-0212</t>
  </si>
  <si>
    <t>CI-2022-9949-0016</t>
  </si>
  <si>
    <t>ABDUL RAUF</t>
  </si>
  <si>
    <t>Picanto AT</t>
  </si>
  <si>
    <t>P131172</t>
  </si>
  <si>
    <t>P708289</t>
  </si>
  <si>
    <t>BVH-590</t>
  </si>
  <si>
    <t>CI-2022-9955-0012</t>
  </si>
  <si>
    <t>AMREEN YASIR</t>
  </si>
  <si>
    <t>Honda City i VTEC CVT Aspire 1.5</t>
  </si>
  <si>
    <t>Z81013282</t>
  </si>
  <si>
    <t>R030271</t>
  </si>
  <si>
    <t>BYG-688</t>
  </si>
  <si>
    <t>CI-2023-0000-0317</t>
  </si>
  <si>
    <t>MUHAMMAD NAFAY MAHMOOD</t>
  </si>
  <si>
    <t>Alto VXR AGS</t>
  </si>
  <si>
    <t>6R285857</t>
  </si>
  <si>
    <t>NF1AET306H1185854</t>
  </si>
  <si>
    <t>CI-2023-1040-0011</t>
  </si>
  <si>
    <t>SAEED UR REHMAN</t>
  </si>
  <si>
    <t>Corolla Altis 1.6 AT</t>
  </si>
  <si>
    <t>Q095625</t>
  </si>
  <si>
    <t>ZRE171R-6073053</t>
  </si>
  <si>
    <t>BWS-323</t>
  </si>
  <si>
    <t>CI-2023-1103-0009</t>
  </si>
  <si>
    <t>ASFANDYAR KAKAR</t>
  </si>
  <si>
    <t>Alto VXL AGS</t>
  </si>
  <si>
    <t>6R293900</t>
  </si>
  <si>
    <t>NF1AET306H1193891</t>
  </si>
  <si>
    <t>CI-2023-1608-0001</t>
  </si>
  <si>
    <t>BASHIR AHMED CHANDIO</t>
  </si>
  <si>
    <t>Cultus VXL</t>
  </si>
  <si>
    <t>PK10K208408</t>
  </si>
  <si>
    <t>NF1AVK31H10108440</t>
  </si>
  <si>
    <t>CI-2023-7901-0002</t>
  </si>
  <si>
    <t>IRSHAD HUSSAIN</t>
  </si>
  <si>
    <t>291986</t>
  </si>
  <si>
    <t>1192137</t>
  </si>
  <si>
    <t>CI-2023-9949-0026</t>
  </si>
  <si>
    <t>SHER ALI</t>
  </si>
  <si>
    <t>Toyota Corolla GLI AT</t>
  </si>
  <si>
    <t>Z549151</t>
  </si>
  <si>
    <t>NZE170R4174535</t>
  </si>
  <si>
    <t>BPK-244</t>
  </si>
  <si>
    <t>CI-2023-9952-0001</t>
  </si>
  <si>
    <t>NOMAN ANWAR KHAN</t>
  </si>
  <si>
    <t>BRV CVT 1.5L</t>
  </si>
  <si>
    <t>Z14811021</t>
  </si>
  <si>
    <t>R027697</t>
  </si>
  <si>
    <t>BL-1875</t>
  </si>
  <si>
    <t>CM-2018-0001-0859</t>
  </si>
  <si>
    <t>NAEEM AHMED</t>
  </si>
  <si>
    <t>SUZUKI WAGON R VXL</t>
  </si>
  <si>
    <t>PK10B156308</t>
  </si>
  <si>
    <t>A1J310PK10056274</t>
  </si>
  <si>
    <t>BMD-734</t>
  </si>
  <si>
    <t>3.3</t>
  </si>
  <si>
    <t>CM-2018-0168-1354</t>
  </si>
  <si>
    <t>ALI ARSHAD</t>
  </si>
  <si>
    <t>SUZUKI MEHRAN VXR IM</t>
  </si>
  <si>
    <t>PKB762221</t>
  </si>
  <si>
    <t>SB308PK01300758</t>
  </si>
  <si>
    <t>BPF-228</t>
  </si>
  <si>
    <t>CM-2018-2401-1152</t>
  </si>
  <si>
    <t>SHOUKAT ALI LAKHO</t>
  </si>
  <si>
    <t>SUZUKI WAGON R</t>
  </si>
  <si>
    <t>178938</t>
  </si>
  <si>
    <t>10078937</t>
  </si>
  <si>
    <t>BPF-652</t>
  </si>
  <si>
    <t>CM-2019-3601-0392</t>
  </si>
  <si>
    <t>ABDUL SATTAR</t>
  </si>
  <si>
    <t>SUZUKI ALTO VXR</t>
  </si>
  <si>
    <t>6R128500</t>
  </si>
  <si>
    <t>NF1AET306H1028471</t>
  </si>
  <si>
    <t>BRG-376</t>
  </si>
  <si>
    <t>2</t>
  </si>
  <si>
    <t>CM-2020-8301-0781</t>
  </si>
  <si>
    <t>MUHAMMAD ASIF</t>
  </si>
  <si>
    <t>TOYOTA COROLLA ALTIS 1.6</t>
  </si>
  <si>
    <t>Q070745</t>
  </si>
  <si>
    <t>ZRE171R-6048259</t>
  </si>
  <si>
    <t/>
  </si>
  <si>
    <t>SALAM TAKAFUL Insurance Ltd-WTO</t>
  </si>
  <si>
    <t>CI-2021-0135-5645</t>
  </si>
  <si>
    <t>SADAQAT KHAN</t>
  </si>
  <si>
    <t>Q045586</t>
  </si>
  <si>
    <t>R-6023073</t>
  </si>
  <si>
    <t>BMK-157</t>
  </si>
  <si>
    <t>CI-2021-9801-6822</t>
  </si>
  <si>
    <t>AHSAN SHAFIQ</t>
  </si>
  <si>
    <t>R200858</t>
  </si>
  <si>
    <t>H1100854</t>
  </si>
  <si>
    <t>CI-2022-0139-0022</t>
  </si>
  <si>
    <t>TARIQ NISHAN</t>
  </si>
  <si>
    <t>Q052681</t>
  </si>
  <si>
    <t>R6030146</t>
  </si>
  <si>
    <t>BPB-372</t>
  </si>
  <si>
    <t>CI-2022-9916-0011</t>
  </si>
  <si>
    <t>SANA ULLAH KHAN</t>
  </si>
  <si>
    <t>Chery Tiggo 4 Pro</t>
  </si>
  <si>
    <t>H01804</t>
  </si>
  <si>
    <t>1900867</t>
  </si>
  <si>
    <t>BL-0627</t>
  </si>
  <si>
    <t>CI-2022-9930-0016</t>
  </si>
  <si>
    <t>MUHAMMAD TAHA KHAN</t>
  </si>
  <si>
    <t>1160968</t>
  </si>
  <si>
    <t>BYC-461</t>
  </si>
  <si>
    <t>CI-2021-0703-6504</t>
  </si>
  <si>
    <t>PK0010007</t>
  </si>
  <si>
    <t>SALMA NAZ</t>
  </si>
  <si>
    <t>City MT 1.5L</t>
  </si>
  <si>
    <t>NFBGM2646JR219450</t>
  </si>
  <si>
    <t>AHF-581</t>
  </si>
  <si>
    <t>CI-2023-0701-0019</t>
  </si>
  <si>
    <t>SALAR ISLAM TARIQ</t>
  </si>
  <si>
    <t>Corolla XLI Auto</t>
  </si>
  <si>
    <t>NZE170R-4121575</t>
  </si>
  <si>
    <t>Z494244</t>
  </si>
  <si>
    <t>AES-858</t>
  </si>
  <si>
    <t>CI-2022-0705-0010</t>
  </si>
  <si>
    <t>FAWAD AZIZ AWAN</t>
  </si>
  <si>
    <t>6R236953</t>
  </si>
  <si>
    <t>NF1AET306H1136966</t>
  </si>
  <si>
    <t>AZT-943</t>
  </si>
  <si>
    <t>CM-2021-2601-0282</t>
  </si>
  <si>
    <t>MUHAMMAD AKHLAQ</t>
  </si>
  <si>
    <t>HONDA CITY 1339 CC</t>
  </si>
  <si>
    <t>L13Z17462469</t>
  </si>
  <si>
    <t>NFBGM1547HR205658</t>
  </si>
  <si>
    <t>LEF-19-6753</t>
  </si>
  <si>
    <t>CI-2022-1408-0041</t>
  </si>
  <si>
    <t>PK0010008</t>
  </si>
  <si>
    <t>MUHAMMAD IMRAN YAQOOB</t>
  </si>
  <si>
    <t>PK10K193704</t>
  </si>
  <si>
    <t>NF1AVK31H10093715</t>
  </si>
  <si>
    <t>AKE-706</t>
  </si>
  <si>
    <t>CI-2023-9853-0005</t>
  </si>
  <si>
    <t>AMIR MEHMOOD</t>
  </si>
  <si>
    <t>6R178124</t>
  </si>
  <si>
    <t>NF1AET306H1078100</t>
  </si>
  <si>
    <t>AVJ-299-ICT</t>
  </si>
  <si>
    <t>CI-2023-9853-0006</t>
  </si>
  <si>
    <t>SAMINA SHAHEEN</t>
  </si>
  <si>
    <t>Wagon R VXL</t>
  </si>
  <si>
    <t>PK10B189522</t>
  </si>
  <si>
    <t>A1J310PK10089506</t>
  </si>
  <si>
    <t>LE-20-9531</t>
  </si>
  <si>
    <t>CI-2022-0822-0017</t>
  </si>
  <si>
    <t>PK0010010</t>
  </si>
  <si>
    <t>ASIM RIAZ</t>
  </si>
  <si>
    <t>6R265846</t>
  </si>
  <si>
    <t>NF1AET306H1165848</t>
  </si>
  <si>
    <t>BBC-466</t>
  </si>
  <si>
    <t>CM-2021-0308-0670</t>
  </si>
  <si>
    <t>FAHEEM YOUNAS</t>
  </si>
  <si>
    <t>CHANGAN ALSVIN MANUAL</t>
  </si>
  <si>
    <t>JL473Q4M3EE505742</t>
  </si>
  <si>
    <t>NKMA2CBR4M1000821</t>
  </si>
  <si>
    <t>CI-2022-1270-0016</t>
  </si>
  <si>
    <t>PK0010011</t>
  </si>
  <si>
    <t>FIAZ HUSSAIN</t>
  </si>
  <si>
    <t>6R267305</t>
  </si>
  <si>
    <t>NF1AET306H1167297</t>
  </si>
  <si>
    <t>AMV-297</t>
  </si>
  <si>
    <t>CI-2022-9862-0012</t>
  </si>
  <si>
    <t>MUHAMMAD MELAD RAZA</t>
  </si>
  <si>
    <t>PK10B242969</t>
  </si>
  <si>
    <t>AIJ310PK10142961</t>
  </si>
  <si>
    <t>AMZ-252</t>
  </si>
  <si>
    <t>CI-2023-0000-0319</t>
  </si>
  <si>
    <t>NAJEEB UR REHMAN</t>
  </si>
  <si>
    <t>6R290333</t>
  </si>
  <si>
    <t>NF1AET306H1190455</t>
  </si>
  <si>
    <t>ARK-748</t>
  </si>
  <si>
    <t>CI-2023-2101-0018</t>
  </si>
  <si>
    <t>USMAN ALI</t>
  </si>
  <si>
    <t>6R292545</t>
  </si>
  <si>
    <t>NF1AET306H1192718</t>
  </si>
  <si>
    <t>AQP-433</t>
  </si>
  <si>
    <t>CI-2023-2643-0004</t>
  </si>
  <si>
    <t>MUHAMMAD NAFEES SHAHID</t>
  </si>
  <si>
    <t>Wagon R AGS</t>
  </si>
  <si>
    <t>PK10B245343</t>
  </si>
  <si>
    <t>A1J310PK10145954</t>
  </si>
  <si>
    <t>AQR-245</t>
  </si>
  <si>
    <t>CI-2023-2646-0007</t>
  </si>
  <si>
    <t>MUHAMMAD AKBAR</t>
  </si>
  <si>
    <t>2A11841</t>
  </si>
  <si>
    <t>NSP150R-7006895</t>
  </si>
  <si>
    <t>ABE-389</t>
  </si>
  <si>
    <t>CI-2023-6602-0009</t>
  </si>
  <si>
    <t>MUHAMMAD DANISH</t>
  </si>
  <si>
    <t>City PT 1.3L</t>
  </si>
  <si>
    <t>L13Z17523561</t>
  </si>
  <si>
    <t>NFBGM1647JR240575</t>
  </si>
  <si>
    <t>LEH-19-6118</t>
  </si>
  <si>
    <t>CM-2019-0509-0464</t>
  </si>
  <si>
    <t>WAQAS ABDUL RAZZAQ</t>
  </si>
  <si>
    <t>Q063818</t>
  </si>
  <si>
    <t>ZRE171R-6041314</t>
  </si>
  <si>
    <t>AQB-122</t>
  </si>
  <si>
    <t>CM-2020-0502-0304</t>
  </si>
  <si>
    <t>MUHAMMAD MEHMOOD NASIR</t>
  </si>
  <si>
    <t>PK10K166944</t>
  </si>
  <si>
    <t>NF1AVK31H10066851</t>
  </si>
  <si>
    <t>ABH-748</t>
  </si>
  <si>
    <t>CM-2021-0502-2105</t>
  </si>
  <si>
    <t>RASHID SHAFI</t>
  </si>
  <si>
    <t>SUZUKI CULTUS VXR</t>
  </si>
  <si>
    <t>PK10K191317</t>
  </si>
  <si>
    <t>NF1AVK31H10091317</t>
  </si>
  <si>
    <t>PUN-AGS-607</t>
  </si>
  <si>
    <t>1.5</t>
  </si>
  <si>
    <t>CM-2021-2103-1231</t>
  </si>
  <si>
    <t>MUHAMMAD USAMA</t>
  </si>
  <si>
    <t>TOYOTA YARIS ATIV X CVT 1496 CC</t>
  </si>
  <si>
    <t>2A43920</t>
  </si>
  <si>
    <t>NSP151R-9516301</t>
  </si>
  <si>
    <t>PUN-AGR-595</t>
  </si>
  <si>
    <t>CM-2021-6601-1581</t>
  </si>
  <si>
    <t>RANA KAMRAN UMER</t>
  </si>
  <si>
    <t>6R201328</t>
  </si>
  <si>
    <t>NF1AET306H1101365</t>
  </si>
  <si>
    <t>ICT-AWS-324</t>
  </si>
  <si>
    <t>CM-2021-9854-1299</t>
  </si>
  <si>
    <t>WAQAS IBRAHIM</t>
  </si>
  <si>
    <t>PRINCE GLORY 580</t>
  </si>
  <si>
    <t>SFG15T-21029096</t>
  </si>
  <si>
    <t>PDF580PALR22A2914</t>
  </si>
  <si>
    <t>ICT-AWS-733</t>
  </si>
  <si>
    <t>CI-2022-0508-0033</t>
  </si>
  <si>
    <t>MOHSIN NAZEER</t>
  </si>
  <si>
    <t>6R264165</t>
  </si>
  <si>
    <t>NF1AET306H1164061</t>
  </si>
  <si>
    <t>AMT-411</t>
  </si>
  <si>
    <t>CI-2022-0516-0008</t>
  </si>
  <si>
    <t>SHABEH HAIDER</t>
  </si>
  <si>
    <t>6R263457</t>
  </si>
  <si>
    <t>NF1AET306H1163376</t>
  </si>
  <si>
    <t>AMX-859</t>
  </si>
  <si>
    <t>CI-2022-2105-0009</t>
  </si>
  <si>
    <t>TANZEEL UR REHMAN</t>
  </si>
  <si>
    <t>PK10B158788</t>
  </si>
  <si>
    <t>A1J310PK10058759</t>
  </si>
  <si>
    <t>LEE-18-2650</t>
  </si>
  <si>
    <t>CI-2022-3501-0025</t>
  </si>
  <si>
    <t>MUHAMMAD UBAID ULLAH KHAN</t>
  </si>
  <si>
    <t>HR-V VTI -S</t>
  </si>
  <si>
    <t>NFBRV3851NR001066</t>
  </si>
  <si>
    <t>BBB-519</t>
  </si>
  <si>
    <t>CI-2022-9844-0019</t>
  </si>
  <si>
    <t>ANEEQA IJAZ</t>
  </si>
  <si>
    <t>Mehran VX</t>
  </si>
  <si>
    <t>PKB769795</t>
  </si>
  <si>
    <t>SB308PK01308323</t>
  </si>
  <si>
    <t>MNC-19-436</t>
  </si>
  <si>
    <t>CM-2021-0503-1649</t>
  </si>
  <si>
    <t>MOHSIN ALI SINDHU</t>
  </si>
  <si>
    <t>SUZUKI ALTO VXL</t>
  </si>
  <si>
    <t>6R142465</t>
  </si>
  <si>
    <t>NF1AET306H1042418</t>
  </si>
  <si>
    <t>PUN-AAQ-846</t>
  </si>
  <si>
    <t>CM-2021-0516-1546</t>
  </si>
  <si>
    <t>GHULAM SHABBIR</t>
  </si>
  <si>
    <t>KIA STONIC EX</t>
  </si>
  <si>
    <t>G4LCMS815238</t>
  </si>
  <si>
    <t>NNAYB54BZMP700477</t>
  </si>
  <si>
    <t>ICT-AWD-362</t>
  </si>
  <si>
    <t>CI-2021-9812-5820</t>
  </si>
  <si>
    <t>PK0010014</t>
  </si>
  <si>
    <t>MUHAMMAD ABID</t>
  </si>
  <si>
    <t>PK10B224622</t>
  </si>
  <si>
    <t>A1J310PK10124636</t>
  </si>
  <si>
    <t>AGW-456</t>
  </si>
  <si>
    <t>CI-2022-7401-0009</t>
  </si>
  <si>
    <t>MUHAMMAD IRSHAD UL HAQ</t>
  </si>
  <si>
    <t>6R263128</t>
  </si>
  <si>
    <t>NF1AET306H1163116</t>
  </si>
  <si>
    <t>ANA-278</t>
  </si>
  <si>
    <t>CI-2023-1249-0002</t>
  </si>
  <si>
    <t>SADAQAT ALI</t>
  </si>
  <si>
    <t>6R294013</t>
  </si>
  <si>
    <t>NF1AET306H1193929</t>
  </si>
  <si>
    <t>AQS-106</t>
  </si>
  <si>
    <t>CI-2023-2202-0013</t>
  </si>
  <si>
    <t>MUHAMMAD ILYAS ANWAR BHATTI</t>
  </si>
  <si>
    <t>Suzuki Alto AGS</t>
  </si>
  <si>
    <t>6R293906</t>
  </si>
  <si>
    <t>NF1AET306H1193681</t>
  </si>
  <si>
    <t>AQP-181</t>
  </si>
  <si>
    <t>CI-2024-5001-0001</t>
  </si>
  <si>
    <t>HAFIZ HAMID MEHMOOD</t>
  </si>
  <si>
    <t>City PT 1.2</t>
  </si>
  <si>
    <t>L12B51021273</t>
  </si>
  <si>
    <t>NFBGN8625RR036454</t>
  </si>
  <si>
    <t>AQT-591</t>
  </si>
  <si>
    <t>CM-2020-2204-0001</t>
  </si>
  <si>
    <t>KHURRAM SHAHZAD</t>
  </si>
  <si>
    <t>PK10K167593</t>
  </si>
  <si>
    <t>NF1AVK31H10067577</t>
  </si>
  <si>
    <t>APPLIED FOR</t>
  </si>
  <si>
    <t>CM-2021-1294-0502</t>
  </si>
  <si>
    <t>YAQOOB UR REHMAN</t>
  </si>
  <si>
    <t>PK10K191830</t>
  </si>
  <si>
    <t>NF1AVK31H10091812</t>
  </si>
  <si>
    <t>AHG-537</t>
  </si>
  <si>
    <t>CM-2021-2204-0429</t>
  </si>
  <si>
    <t>MUHAMMAD RAWAL</t>
  </si>
  <si>
    <t>6R199066</t>
  </si>
  <si>
    <t>NF1AET306H1099075</t>
  </si>
  <si>
    <t>AGR-918</t>
  </si>
  <si>
    <t>CM-2021-6101-0405</t>
  </si>
  <si>
    <t>MUHAMMAD SHAFIQ</t>
  </si>
  <si>
    <t>HONDA CITY MT</t>
  </si>
  <si>
    <t>L12B51006270</t>
  </si>
  <si>
    <t>NFBGN8254MR009689</t>
  </si>
  <si>
    <t>AGV-017</t>
  </si>
  <si>
    <t>CM-2021-7602-0319</t>
  </si>
  <si>
    <t>MUHAMMAD SHAKEEL</t>
  </si>
  <si>
    <t>TOYOTA COROLLA ALTIS A.T.</t>
  </si>
  <si>
    <t>Q356192</t>
  </si>
  <si>
    <t>ZRE172R-7055384</t>
  </si>
  <si>
    <t>AGP-584</t>
  </si>
  <si>
    <t>CM-2021-9838-0501</t>
  </si>
  <si>
    <t>FAHAD KHAN</t>
  </si>
  <si>
    <t>6R203606</t>
  </si>
  <si>
    <t>NF1AET306H1103585</t>
  </si>
  <si>
    <t>AGP-647</t>
  </si>
  <si>
    <t>CM-2021-9897-0446</t>
  </si>
  <si>
    <t>MUHAMMAD YAQUB</t>
  </si>
  <si>
    <t>6R204566</t>
  </si>
  <si>
    <t>NF1AET306H1104110</t>
  </si>
  <si>
    <t>AGU-204</t>
  </si>
  <si>
    <t>CI-2021-2205-6550</t>
  </si>
  <si>
    <t>ABDUL WAHEED</t>
  </si>
  <si>
    <t>6R194791</t>
  </si>
  <si>
    <t>NF1AET306H1094777</t>
  </si>
  <si>
    <t>AGR-045</t>
  </si>
  <si>
    <t>CM-2020-2201-0207</t>
  </si>
  <si>
    <t>ADNAN SALEEM KHAN</t>
  </si>
  <si>
    <t>HYUNDAI TUCSON GLS SPORT</t>
  </si>
  <si>
    <t>G4NALU014969</t>
  </si>
  <si>
    <t>PMHJ2813MLN201038</t>
  </si>
  <si>
    <t>ASD-203</t>
  </si>
  <si>
    <t>CM-2020-9803-0227</t>
  </si>
  <si>
    <t>MUHAMMAD HAFEEZ</t>
  </si>
  <si>
    <t>YARIS 1.5 ATIV X CVT</t>
  </si>
  <si>
    <t>2A14437</t>
  </si>
  <si>
    <t>NSP151R-9505838</t>
  </si>
  <si>
    <t>ABJ-302</t>
  </si>
  <si>
    <t>CM-2021-6001-0431</t>
  </si>
  <si>
    <t>MUHAMMAD NAEEM QAISER</t>
  </si>
  <si>
    <t>SUZUKI WAGONR VXR</t>
  </si>
  <si>
    <t>PK10B225318</t>
  </si>
  <si>
    <t>A1J310PK10125321</t>
  </si>
  <si>
    <t>AWJ-160</t>
  </si>
  <si>
    <t>CM-2021-7801-0477</t>
  </si>
  <si>
    <t>ALI SHAN</t>
  </si>
  <si>
    <t>6R198813</t>
  </si>
  <si>
    <t>NF1AET306H1098672</t>
  </si>
  <si>
    <t>AGM-185</t>
  </si>
  <si>
    <t>CM-2021-9831-0398</t>
  </si>
  <si>
    <t>SOHAIL ASGHER</t>
  </si>
  <si>
    <t>ALSVIN 1.5 AT</t>
  </si>
  <si>
    <t>JL473QFM3CAD515860</t>
  </si>
  <si>
    <t>NKMA2ASE5M1004932</t>
  </si>
  <si>
    <t>AGG-471</t>
  </si>
  <si>
    <t>CM-2021-9888-0022</t>
  </si>
  <si>
    <t>HAFIZ QAMAR UD DIN</t>
  </si>
  <si>
    <t>G3LAMP232918</t>
  </si>
  <si>
    <t>NNATA52AXKP502958</t>
  </si>
  <si>
    <t>AGH-887</t>
  </si>
  <si>
    <t>CI-2022-0602-0010</t>
  </si>
  <si>
    <t>PK0010015</t>
  </si>
  <si>
    <t>IMTIAZ SAFDAR BHUTTA</t>
  </si>
  <si>
    <t>6R268444</t>
  </si>
  <si>
    <t>NF1AET306H1168439</t>
  </si>
  <si>
    <t>BBF-657 (ICT)</t>
  </si>
  <si>
    <t>CI-2022-0904-0009</t>
  </si>
  <si>
    <t>QAISER MUNEER</t>
  </si>
  <si>
    <t>Alto VX</t>
  </si>
  <si>
    <t>6R265321</t>
  </si>
  <si>
    <t>NF1AET306H1165475</t>
  </si>
  <si>
    <t>AMV-278 (PUNJAB)</t>
  </si>
  <si>
    <t>CI-2022-0917-0016</t>
  </si>
  <si>
    <t>WAQAS RASHEED</t>
  </si>
  <si>
    <t>PK10B242515</t>
  </si>
  <si>
    <t>A1J310PK10142511</t>
  </si>
  <si>
    <t>AMW-175 (PUNJAB)</t>
  </si>
  <si>
    <t>CI-2022-0919-0009</t>
  </si>
  <si>
    <t>JUNAID BUTT</t>
  </si>
  <si>
    <t>Yaris 1.5 ATIV X AT</t>
  </si>
  <si>
    <t>2A01829</t>
  </si>
  <si>
    <t>NSP151R9501326</t>
  </si>
  <si>
    <t>LEB-20-9485 (PUNJAB)</t>
  </si>
  <si>
    <t>CI-2022-4001-0007</t>
  </si>
  <si>
    <t>AZHAR IQBAL</t>
  </si>
  <si>
    <t>Q102969</t>
  </si>
  <si>
    <t>ZRE171R6080480</t>
  </si>
  <si>
    <t>BBH-186 (ICT)</t>
  </si>
  <si>
    <t>CI-2022-4001-0022</t>
  </si>
  <si>
    <t>ALI HASNAIN BHUTTA</t>
  </si>
  <si>
    <t>PK10K204661</t>
  </si>
  <si>
    <t>NF1AVK31H10104653</t>
  </si>
  <si>
    <t>AMV-629 (PUNJAB)</t>
  </si>
  <si>
    <t>CI-2022-4003-0011</t>
  </si>
  <si>
    <t>MEHWISH KALEEM</t>
  </si>
  <si>
    <t>PK10K204613</t>
  </si>
  <si>
    <t>NF1AVK31H10104607</t>
  </si>
  <si>
    <t>AMY-041 (PUNJAB)</t>
  </si>
  <si>
    <t>CI-2023-0902-0020</t>
  </si>
  <si>
    <t>KASHIF IQBAL</t>
  </si>
  <si>
    <t>Tucson AWD AT Ultimate</t>
  </si>
  <si>
    <t>G4NAPU363324</t>
  </si>
  <si>
    <t>PMHJ2813SPN214866</t>
  </si>
  <si>
    <t>AQT-651 (PUNJAB)</t>
  </si>
  <si>
    <t>CI-2023-1289-0006</t>
  </si>
  <si>
    <t>MUHAMMAD KHALIL</t>
  </si>
  <si>
    <t>Changan Karvaan Plus VAN</t>
  </si>
  <si>
    <t>JL466Q9M69U500470</t>
  </si>
  <si>
    <t>NKMAAB3D1L1005586</t>
  </si>
  <si>
    <t>AFA-296 (PUNJAB)</t>
  </si>
  <si>
    <t>CI-2022-0607-0005</t>
  </si>
  <si>
    <t>TAYYAB RIAZ</t>
  </si>
  <si>
    <t>6R263492</t>
  </si>
  <si>
    <t>NF1AET306H1163477</t>
  </si>
  <si>
    <t>AMW-354 (PUNJAB)</t>
  </si>
  <si>
    <t>CI-2022-0902-0004</t>
  </si>
  <si>
    <t>IMTIAZ HAMEED</t>
  </si>
  <si>
    <t>Corolla X Altis Grande CVTI 1.8</t>
  </si>
  <si>
    <t>Q364391</t>
  </si>
  <si>
    <t>ZRE172R7063572</t>
  </si>
  <si>
    <t>APL</t>
  </si>
  <si>
    <t>CI-2022-0810-0018</t>
  </si>
  <si>
    <t>PK0010016</t>
  </si>
  <si>
    <t>SYED SHABBIR HASSAN RIZVI</t>
  </si>
  <si>
    <t>PK10K204991</t>
  </si>
  <si>
    <t>NF1AVK31H10104999</t>
  </si>
  <si>
    <t>BBE-725</t>
  </si>
  <si>
    <t>CI-2022-0829-0005</t>
  </si>
  <si>
    <t>RAJA KHURRAM FIDA</t>
  </si>
  <si>
    <t>6R266395</t>
  </si>
  <si>
    <t>NF1AET306H1166372</t>
  </si>
  <si>
    <t>BBC-671</t>
  </si>
  <si>
    <t>CI-2022-9829-0022</t>
  </si>
  <si>
    <t>MUHAMMAD AFZAL</t>
  </si>
  <si>
    <t>6R238841</t>
  </si>
  <si>
    <t>NF1AET306H1138668</t>
  </si>
  <si>
    <t>AZS-483</t>
  </si>
  <si>
    <t>CI-2023-0000-0304</t>
  </si>
  <si>
    <t>SHEIKH MUHAMMAD WAQAR</t>
  </si>
  <si>
    <t>6R292638</t>
  </si>
  <si>
    <t>NF1AET306H1192623</t>
  </si>
  <si>
    <t>BCZ-297</t>
  </si>
  <si>
    <t>CI-2023-0812-0009</t>
  </si>
  <si>
    <t>RAJA ABDUL BASIT MISKEEN</t>
  </si>
  <si>
    <t>Corolla Altis Grande AT</t>
  </si>
  <si>
    <t>Q337718</t>
  </si>
  <si>
    <t>ZRE172R-7036867</t>
  </si>
  <si>
    <t>ALI-244</t>
  </si>
  <si>
    <t>CI-2023-0819-0009</t>
  </si>
  <si>
    <t>ZAHEER AHMED AWAN</t>
  </si>
  <si>
    <t>6R293932</t>
  </si>
  <si>
    <t>NF1AET306H1193970</t>
  </si>
  <si>
    <t>BDB-347</t>
  </si>
  <si>
    <t>CI-2022-0813-0013</t>
  </si>
  <si>
    <t>CHOUDHARY ZULFIQAR HUSSAIN</t>
  </si>
  <si>
    <t>6R263398</t>
  </si>
  <si>
    <t>NF1AET306H1163370</t>
  </si>
  <si>
    <t>BBC-458</t>
  </si>
  <si>
    <t>CI-2022-0827-0009</t>
  </si>
  <si>
    <t>NADEEM AHMED</t>
  </si>
  <si>
    <t>6R264348</t>
  </si>
  <si>
    <t>NF1AET306H1164374</t>
  </si>
  <si>
    <t>BBE-257</t>
  </si>
  <si>
    <t>CI-2022-3401-0012</t>
  </si>
  <si>
    <t>KHAWAJA DANISH NAZIR QADRI</t>
  </si>
  <si>
    <t>NF1AET306H1163124</t>
  </si>
  <si>
    <t>BBB-672</t>
  </si>
  <si>
    <t>CI-2022-9829-0011</t>
  </si>
  <si>
    <t>RIZWAN NAZIR</t>
  </si>
  <si>
    <t>6R262284</t>
  </si>
  <si>
    <t>NF1AET306H1162237</t>
  </si>
  <si>
    <t>BBC-976</t>
  </si>
  <si>
    <t>CI-2023-0818-0016</t>
  </si>
  <si>
    <t>YASIR NAZIR</t>
  </si>
  <si>
    <t>Civic 1.8 i VTEC CVT Oriel</t>
  </si>
  <si>
    <t>R18Z12934990</t>
  </si>
  <si>
    <t>NFBFC6664JR038418</t>
  </si>
  <si>
    <t>AJK-344</t>
  </si>
  <si>
    <t>CM-2021-0801-0930</t>
  </si>
  <si>
    <t>USAMA SALEEM</t>
  </si>
  <si>
    <t>CHANGAN ALSVIN</t>
  </si>
  <si>
    <t>JL473QFM3CAD511869</t>
  </si>
  <si>
    <t>NKMA2ASE5M1003169</t>
  </si>
  <si>
    <t>AVY-745</t>
  </si>
  <si>
    <t>CI-2022-4601-0013</t>
  </si>
  <si>
    <t>PK0010017</t>
  </si>
  <si>
    <t>MAZHAR SHAH</t>
  </si>
  <si>
    <t>Honda City i VTEC CVT 1.2 Transmission 5 Speed</t>
  </si>
  <si>
    <t>L12B51016261</t>
  </si>
  <si>
    <t>NFBGN8620NR028627</t>
  </si>
  <si>
    <t>AMZ-204</t>
  </si>
  <si>
    <t>CI-2022-1902-0012</t>
  </si>
  <si>
    <t>USMAN AZAM</t>
  </si>
  <si>
    <t>6R263485</t>
  </si>
  <si>
    <t>NF1AET306H1163502</t>
  </si>
  <si>
    <t>AMT-591</t>
  </si>
  <si>
    <t>CI-2022-0205-0041</t>
  </si>
  <si>
    <t>PK0010299</t>
  </si>
  <si>
    <t>MUHAMMAD SAAD</t>
  </si>
  <si>
    <t>L15A79754543</t>
  </si>
  <si>
    <t>NFBGM2669GR186440</t>
  </si>
  <si>
    <t>LED-16-5882</t>
  </si>
  <si>
    <t>CI-2022-0208-0013</t>
  </si>
  <si>
    <t>MURTAZA SARFRAZ GORAYA</t>
  </si>
  <si>
    <t>6R265395</t>
  </si>
  <si>
    <t>NF1AET306H1165372</t>
  </si>
  <si>
    <t>AMY-621</t>
  </si>
  <si>
    <t>CI-2022-0244-0009</t>
  </si>
  <si>
    <t>MUHAMMAD SAEED</t>
  </si>
  <si>
    <t>R18Z16910200</t>
  </si>
  <si>
    <t>NFBFC6660LR061777</t>
  </si>
  <si>
    <t>LEB-20-2028</t>
  </si>
  <si>
    <t>CI-2022-0257-0013</t>
  </si>
  <si>
    <t>AHSAN IJAZ</t>
  </si>
  <si>
    <t>SORENTO A/T 2.4L FWD</t>
  </si>
  <si>
    <t>G4KELH625531</t>
  </si>
  <si>
    <t>NNAMU53AZMP300012</t>
  </si>
  <si>
    <t>ANF-210</t>
  </si>
  <si>
    <t>CI-2022-0265-0002</t>
  </si>
  <si>
    <t>MUHAMMAD FAWAD SAEED</t>
  </si>
  <si>
    <t>6R265687</t>
  </si>
  <si>
    <t>NF1AET306H1165684</t>
  </si>
  <si>
    <t>AMY-255</t>
  </si>
  <si>
    <t>CI-2022-0268-0009</t>
  </si>
  <si>
    <t>AAMIR IQBAL</t>
  </si>
  <si>
    <t>6R263116</t>
  </si>
  <si>
    <t>NF1AET306H1163070</t>
  </si>
  <si>
    <t>AMY-564</t>
  </si>
  <si>
    <t>CI-2022-0292-0006</t>
  </si>
  <si>
    <t>MUHAMMAD SALEEM ASLAM</t>
  </si>
  <si>
    <t>6R263859</t>
  </si>
  <si>
    <t>NF1AET306H1163872</t>
  </si>
  <si>
    <t>AMW-127</t>
  </si>
  <si>
    <t>CI-2022-1139-0009</t>
  </si>
  <si>
    <t>URAM SHAHZAD</t>
  </si>
  <si>
    <t>L15Z81012539</t>
  </si>
  <si>
    <t>NFBGN9661NR029147</t>
  </si>
  <si>
    <t>ANR-479</t>
  </si>
  <si>
    <t>CI-2022-1140-0011</t>
  </si>
  <si>
    <t>SOHAIB AMMAR ASDAQ</t>
  </si>
  <si>
    <t>R18Z12914034</t>
  </si>
  <si>
    <t>NFBFC6668HR017341</t>
  </si>
  <si>
    <t>LEE-17-3911</t>
  </si>
  <si>
    <t>CI-2022-8401-0022</t>
  </si>
  <si>
    <t>MUHAMMAD MUBEEN</t>
  </si>
  <si>
    <t>PK10B243398</t>
  </si>
  <si>
    <t>A1J310PK10143393</t>
  </si>
  <si>
    <t>AMW-373</t>
  </si>
  <si>
    <t>CI-2022-9850-0017</t>
  </si>
  <si>
    <t>GHULAM ABBAS</t>
  </si>
  <si>
    <t>PK10K203885</t>
  </si>
  <si>
    <t>NF1AVK31H10103876</t>
  </si>
  <si>
    <t>AMY-751</t>
  </si>
  <si>
    <t>CI-2023-1001-0020</t>
  </si>
  <si>
    <t>MUHAMMAD ZUBAIR</t>
  </si>
  <si>
    <t>Prince Glory 580 Pro 1.5 Turbo</t>
  </si>
  <si>
    <t>SFG15T-21808781</t>
  </si>
  <si>
    <t>PDF580PALR22D3727</t>
  </si>
  <si>
    <t>ANR 323</t>
  </si>
  <si>
    <t>CM-2021-0201-1200</t>
  </si>
  <si>
    <t>MUHAMMAD ALI BADAR</t>
  </si>
  <si>
    <t>CHANGAN ALSVIN LUMIERE</t>
  </si>
  <si>
    <t>JL473QFM3CAD516774</t>
  </si>
  <si>
    <t>NKMA2ASE5M1005194</t>
  </si>
  <si>
    <t>AGH 574</t>
  </si>
  <si>
    <t>CM-2021-0201-1591</t>
  </si>
  <si>
    <t>MUHAMMAD HASSAM</t>
  </si>
  <si>
    <t>TOYOTA YARIS ATIV X CVT 1.5</t>
  </si>
  <si>
    <t>2A43966</t>
  </si>
  <si>
    <t>NSP151R-9516318</t>
  </si>
  <si>
    <t>AGM 436</t>
  </si>
  <si>
    <t>CM-2021-1131-1704</t>
  </si>
  <si>
    <t>ISHTIAQ NAZIR</t>
  </si>
  <si>
    <t>TOYOTA YARIS GLI MT 1.3</t>
  </si>
  <si>
    <t>2A43528</t>
  </si>
  <si>
    <t>NSP150R-7027316</t>
  </si>
  <si>
    <t>AGN 497</t>
  </si>
  <si>
    <t>CI-2022-0215-0013</t>
  </si>
  <si>
    <t>PK0010300</t>
  </si>
  <si>
    <t>TARIQ MUNIR</t>
  </si>
  <si>
    <t>Civic 1.8 i VTEC CVT</t>
  </si>
  <si>
    <t>R18Z12926438</t>
  </si>
  <si>
    <t>NFBFC6663JR029810</t>
  </si>
  <si>
    <t>LEA-18-3787</t>
  </si>
  <si>
    <t>CI-2022-0242-0015</t>
  </si>
  <si>
    <t>PK10B242335</t>
  </si>
  <si>
    <t>A1J310PK10142330</t>
  </si>
  <si>
    <t>AMV-908</t>
  </si>
  <si>
    <t>CI-2023-0241-0014</t>
  </si>
  <si>
    <t>MUHAMMAD SUMAIR</t>
  </si>
  <si>
    <t>PK10B246477</t>
  </si>
  <si>
    <t>A1J310PK10146468</t>
  </si>
  <si>
    <t>AQK 851</t>
  </si>
  <si>
    <t>CM-2021-1135-1258</t>
  </si>
  <si>
    <t>KALIMULLAH CHAUDHRY</t>
  </si>
  <si>
    <t>HONDA CIVIC 1.8 ORIEL UG NAV LS</t>
  </si>
  <si>
    <t>R18Z16929505</t>
  </si>
  <si>
    <t>NFBFC6663MR082088</t>
  </si>
  <si>
    <t>AWG-207</t>
  </si>
  <si>
    <t>CI-2021-0000-6152</t>
  </si>
  <si>
    <t>PK0010499</t>
  </si>
  <si>
    <t>TANVEER AHMAD</t>
  </si>
  <si>
    <t>Proton Saga</t>
  </si>
  <si>
    <t>S4PEWL1554</t>
  </si>
  <si>
    <t>NKPBT3SRRMP000074</t>
  </si>
  <si>
    <t>AWU-246-ICT</t>
  </si>
  <si>
    <t>CI-2021-0407-5669</t>
  </si>
  <si>
    <t>AAMIR MEHMOOD AWAN</t>
  </si>
  <si>
    <t>Q347494</t>
  </si>
  <si>
    <t>ZRE172R-7046677</t>
  </si>
  <si>
    <t>ASK-717-ICT</t>
  </si>
  <si>
    <t>CI-2021-0420-5784</t>
  </si>
  <si>
    <t>RAMLA SAHRAI</t>
  </si>
  <si>
    <t>Alsvin</t>
  </si>
  <si>
    <t>JL473QFM3CAD526695</t>
  </si>
  <si>
    <t>NKMA2ASE5M1005874</t>
  </si>
  <si>
    <t>AWY-567-ICT</t>
  </si>
  <si>
    <t>CI-2021-7101-4786</t>
  </si>
  <si>
    <t>MUHAMMAD ASLAM</t>
  </si>
  <si>
    <t>City MT 1.2</t>
  </si>
  <si>
    <t>L12B51005209</t>
  </si>
  <si>
    <t>NFBGN8520MR007616</t>
  </si>
  <si>
    <t>AWF-438-ICT</t>
  </si>
  <si>
    <t>CI-2022-0420-0006</t>
  </si>
  <si>
    <t>SHEIKH MUHAMMAD IMRAN</t>
  </si>
  <si>
    <t>6R261490</t>
  </si>
  <si>
    <t>NF1AET306H1161503</t>
  </si>
  <si>
    <t>AHB-077-PUNJAB</t>
  </si>
  <si>
    <t>CI-2022-9835-0019</t>
  </si>
  <si>
    <t>MUHAMMAD SHAHID NADEEM</t>
  </si>
  <si>
    <t>K12MR1012852</t>
  </si>
  <si>
    <t>NF1SZC63S00112862</t>
  </si>
  <si>
    <t>BBE-425-ICT</t>
  </si>
  <si>
    <t>CI-2023-0412-0018</t>
  </si>
  <si>
    <t>USMAN LATIF</t>
  </si>
  <si>
    <t>K12MR1017598</t>
  </si>
  <si>
    <t>NF1SZC63S00200258</t>
  </si>
  <si>
    <t>BCY-885 ICT</t>
  </si>
  <si>
    <t>CI-2023-0430-0011</t>
  </si>
  <si>
    <t>MUHAMMAD ABDULLAH WARRAICH</t>
  </si>
  <si>
    <t>BR V CVT 1.5 L</t>
  </si>
  <si>
    <t>L15Z14811546</t>
  </si>
  <si>
    <t>NFBDG1831PR028228</t>
  </si>
  <si>
    <t>BCZ-885- ICT</t>
  </si>
  <si>
    <t>CI-2023-0430-0012</t>
  </si>
  <si>
    <t>MUZAMIL SALEEM</t>
  </si>
  <si>
    <t>K12MR1017725</t>
  </si>
  <si>
    <t>NF1SZC63S00200390</t>
  </si>
  <si>
    <t>BCZ-450-ICT</t>
  </si>
  <si>
    <t>CM-2021-0420-0423</t>
  </si>
  <si>
    <t>TAHIR JAVED</t>
  </si>
  <si>
    <t>HONDA CITY CVT 1.5-L</t>
  </si>
  <si>
    <t>L15Z81003387</t>
  </si>
  <si>
    <t>NFBGN9647MR009515</t>
  </si>
  <si>
    <t>CM-2021-0421-1083</t>
  </si>
  <si>
    <t>ASHFAQ HUSSAIN</t>
  </si>
  <si>
    <t>TOYOTA YARIS ATIV 1.3 CVT</t>
  </si>
  <si>
    <t>2A44208</t>
  </si>
  <si>
    <t>NSP150R-7027777</t>
  </si>
  <si>
    <t>CI-2021-0401-5517</t>
  </si>
  <si>
    <t>RIZWAN ALI</t>
  </si>
  <si>
    <t>L15Z81002395</t>
  </si>
  <si>
    <t>NFBGN9661MR007373</t>
  </si>
  <si>
    <t>CI-2022-9863-0007</t>
  </si>
  <si>
    <t>MUDASSIR RASHEED</t>
  </si>
  <si>
    <t>6R269138</t>
  </si>
  <si>
    <t>NF1AET306H1169134</t>
  </si>
  <si>
    <t>ANA-761-PUNJAB</t>
  </si>
  <si>
    <t xml:space="preserve">Policy No. </t>
  </si>
  <si>
    <t>KHI/HO/D/MO/PC COMP/C/105699/1/01/2025</t>
  </si>
  <si>
    <t>KHI/HO/D/MO/PC COMP/C/105699/5/01/2025</t>
  </si>
  <si>
    <t>KHI/HO/D/MO/PC COMP/C/105699/4/01/2025</t>
  </si>
  <si>
    <t>KHI/HO/D/MO/PC COMP/C/105699/7/01/2025</t>
  </si>
  <si>
    <t>KHI/HO/D/MO/PC COMP/C/105699/3/01/2025</t>
  </si>
  <si>
    <t>KHI/HO/D/MO/PC COMP/C/105699/6/01/2025</t>
  </si>
  <si>
    <t>KHI/HO/D/MO/PC COMP/C/106617/3/01/2025</t>
  </si>
  <si>
    <t>KHI/HO/D/MO/PC COMP/C/106617/1/01/2025</t>
  </si>
  <si>
    <t>KHI/HO/D/MO/PC COMP/C/106617/2/01/2025</t>
  </si>
  <si>
    <t>KHI/HO/D/MO/PC COMP/C/106617/5/01/2025</t>
  </si>
  <si>
    <t>KHI/HO/D/MO/PC COMP/C/106617/4/01/2025</t>
  </si>
  <si>
    <t>KHI/HO/D/MO/PC COMP/C/106616/2/01/2025</t>
  </si>
  <si>
    <t>KHI/HO/D/MO/PC COMP/C/106616/3/01/2025</t>
  </si>
  <si>
    <t>KHI/HO/D/MO/PC COMP/C/106616/4/01/2025</t>
  </si>
  <si>
    <t>KHI/HO/D/MO/PC COMP/C/106616/6/01/2025</t>
  </si>
  <si>
    <t>KHI/HO/D/MO/PC COMP/C/106616/1/01/2025</t>
  </si>
  <si>
    <t>KHI/HO/D/MO/PC COMP/C/106616/5/01/2025</t>
  </si>
  <si>
    <t>KHI/HO/D/MO/PC COMP/C/106621/1/01/2025</t>
  </si>
  <si>
    <t>KHI/HO/D/MO/PC COMP/C/106619/1/01/2025</t>
  </si>
  <si>
    <t>KHI/HO/D/MO/PC COMP/C/106619/3/01/2025</t>
  </si>
  <si>
    <t>KHI/HO/D/MO/PC COMP/C/106619/2/01/2025</t>
  </si>
  <si>
    <t>KHI/HO/D/MO/PC COMP/C/106621/2/01/2025</t>
  </si>
  <si>
    <t>KHI/HO/D/MO/PC COMP/C/105699/9/01/2025</t>
  </si>
  <si>
    <t>KHI/HO/D/MO/PC COMP/C/104220/10/12/2024</t>
  </si>
  <si>
    <t>KHI/HO/D/MO/PC COMP/C/104220/9/12/2024</t>
  </si>
  <si>
    <t>KHI/HO/D/MO/PC COMP/C/104213/3/12/2024</t>
  </si>
  <si>
    <t>KHI/HO/D/MO/PC COMP/C/104213/4/12/2024</t>
  </si>
  <si>
    <t>KHI/HO/D/MO/PC COMP/C/106715/1/01/2025</t>
  </si>
  <si>
    <t>KHI/HO/D/MO/PC COMP/C/104273/2/12/2024</t>
  </si>
  <si>
    <t>KHI/HO/D/MO/PC COMP/C/104273/1/12/2024</t>
  </si>
  <si>
    <t>KHI/HO/D/MO/PC COMP/C/106692/1/01/2025</t>
  </si>
  <si>
    <t>KHI/HO/D/MO/PC COMP/C/106690/1/01/2025</t>
  </si>
  <si>
    <t>KHI/HO/D/MO/PC COMP/C/104307/1/12/2024</t>
  </si>
  <si>
    <t>KHI/HO/D/MO/PC COMP/C/106702/2/01/2025</t>
  </si>
  <si>
    <t>KHI/HO/D/MO/PC COMP/C/106708/1/01/2025</t>
  </si>
  <si>
    <t>KHI/HO/D/MO/PC COMP/C/106697/1/01/2025</t>
  </si>
  <si>
    <t>KHI/HO/D/MO/PC COMP/C/106697/2/01/2025</t>
  </si>
  <si>
    <t>KHI/HO/D/MO/PC COMP/C/106694/2/01/2025</t>
  </si>
  <si>
    <t>KHI/HO/D/MO/PC COMP/C/106694/3/01/2025</t>
  </si>
  <si>
    <t>KHI/HO/D/MO/PC COMP/C/106694/4/01/2025</t>
  </si>
  <si>
    <t>KHI/HO/D/MO/PC COMP/C/106694/5/01/2025</t>
  </si>
  <si>
    <t>KHI/HO/D/MO/PC COMP/C/106694/1/01/2025</t>
  </si>
  <si>
    <t>KHI/HO/D/MO/PC COMP/C/106695/2/01/2025</t>
  </si>
  <si>
    <t>KHI/HO/D/MO/PC COMP/C/106696/7/01/2025</t>
  </si>
  <si>
    <t>KHI/HO/D/MO/PC COMP/C/106696/4/01/2025</t>
  </si>
  <si>
    <t>KHI/HO/D/MO/PC COMP/C/106696/5/01/2025</t>
  </si>
  <si>
    <t>KHI/HO/D/MO/PC COMP/C/106696/2/01/2025</t>
  </si>
  <si>
    <t>KHI/HO/D/MO/PC COMP/C/106696/1/01/2025</t>
  </si>
  <si>
    <t>KHI/HO/D/MO/PC COMP/C/104233/6/12/2024</t>
  </si>
  <si>
    <t>KHI/HO/D/MO/PC COMP/C/104233/10/12/2024</t>
  </si>
  <si>
    <t>KHI/HO/D/MO/PC COMP/C/104233/9/12/2024</t>
  </si>
  <si>
    <t>KHI/HO/D/MO/PC COMP/C/104233/5/12/2024</t>
  </si>
  <si>
    <t>KHI/HO/D/MO/PC COMP/C/104230/7/12/2024</t>
  </si>
  <si>
    <t>KHI/HO/D/MO/PC COMP/C/104230/6/12/2024</t>
  </si>
  <si>
    <t>KHI/HO/D/MO/PC COMP/C/106707/5/01/2025</t>
  </si>
  <si>
    <t>KHI/HO/D/MO/PC COMP/C/106707/6/01/2025</t>
  </si>
  <si>
    <t>KHI/HO/D/MO/PC COMP/C/106705/2/01/2025</t>
  </si>
  <si>
    <t>KHI/HO/D/MO/PC COMP/C/106705/1/01/2025</t>
  </si>
  <si>
    <t>KHI/HO/D/MO/PC COMP/C/106705/3/01/2025</t>
  </si>
  <si>
    <t>KHI/HO/D/MO/PC COMP/C/106707/9/01/2025</t>
  </si>
  <si>
    <t>KHI/HO/D/MO/PC COMP/C/106707/8/01/2025</t>
  </si>
  <si>
    <t>KHI/HO/D/MO/PC COMP/C/106707/3/01/2025</t>
  </si>
  <si>
    <t>KHI/HO/D/MO/PC COMP/C/106707/4/01/2025</t>
  </si>
  <si>
    <t>KHI/HO/D/MO/PC COMP/C/106707/2/01/2025</t>
  </si>
  <si>
    <t>KHI/HO/D/MO/PC COMP/C/106707/1/01/2025</t>
  </si>
  <si>
    <t>KHI/HO/D/MO/PC COMP/C/106707/10/01/2025</t>
  </si>
  <si>
    <t>KHI/HO/D/MO/PC COMP/P/104253/12/2024</t>
  </si>
  <si>
    <t>KHI/HO/D/MO/PC COMP/C/104257/1/12/2024</t>
  </si>
  <si>
    <t>KHI/HO/D/MO/PC COMP/C/104257/2/12/2024</t>
  </si>
  <si>
    <t>KHI/HO/D/MO/PC COMP/C/104257/3/12/2024</t>
  </si>
  <si>
    <t>KHI/HO/D/MO/PC COMP/C/104253/2/12/2024</t>
  </si>
  <si>
    <t>KHI/HO/D/MO/PC COMP/C/104253/4/12/2024</t>
  </si>
  <si>
    <t>KHI/HO/D/MO/PC COMP/C/104253/3/12/2024</t>
  </si>
  <si>
    <t>KHI/HO/D/MO/PC COMP/C/106712/5/01/2025</t>
  </si>
  <si>
    <t>KHI/HO/D/MO/PC COMP/C/106712/1/01/2025</t>
  </si>
  <si>
    <t>KHI/HO/D/MO/PC COMP/C/106712/3/01/2025</t>
  </si>
  <si>
    <t>KHI/HO/D/MO/PC COMP/C/106712/7/01/2025</t>
  </si>
  <si>
    <t>KHI/HO/D/MO/PC COMP/C/106712/6/01/2025</t>
  </si>
  <si>
    <t>KHI/HO/D/MO/PC COMP/C/106712/2/01/2025</t>
  </si>
  <si>
    <t>KHI/HO/D/MO/PC COMP/C/106712/4/01/2025</t>
  </si>
  <si>
    <t>KHI/HO/D/MO/PC COMP/C/106713/2/01/2025</t>
  </si>
  <si>
    <t>KHI/HO/D/MO/PC COMP/C/106713/1/01/2025</t>
  </si>
  <si>
    <t>KHI/HO/D/MO/PC COMP/C/104265/5/12/2024</t>
  </si>
  <si>
    <t>KHI/HO/D/MO/PC COMP/P/104265/12/2024</t>
  </si>
  <si>
    <t>KHI/HO/D/MO/PC COMP/C/106719/3/01/2025</t>
  </si>
  <si>
    <t>KHI/HO/D/MO/PC COMP/C/106719/1/01/2025</t>
  </si>
  <si>
    <t>KHI/HO/D/MO/PC COMP/C/106719/2/01/2025</t>
  </si>
  <si>
    <t>KHI/HO/D/MO/PC COMP/C/106720/1/01/2025</t>
  </si>
  <si>
    <t>KHI/HO/D/MO/PC COMP/C/106720/3/01/2025</t>
  </si>
  <si>
    <t>KHI/HO/D/MO/PC COMP/C/106720/2/01/2025</t>
  </si>
  <si>
    <t>KHI/HO/D/MO/PC COMP/C/104283/7/12/2024</t>
  </si>
  <si>
    <t>KHI/HO/D/MO/PC COMP/C/104283/9/12/2024</t>
  </si>
  <si>
    <t>KHI/HO/D/MO/PC COMP/C/104283/8/12/2024</t>
  </si>
  <si>
    <t>KHI/HO/D/MO/PC COMP/C/104281/3/12/2024</t>
  </si>
  <si>
    <t>KHI/HO/D/MO/PC COMP/C/106685/1/01/2025</t>
  </si>
  <si>
    <t>KHI/HO/D/MO/PC COMP/C/106716/1/01/2025</t>
  </si>
  <si>
    <t>KHI/HO/D/MO/PC COMP/C/104274/2/12/2024</t>
  </si>
  <si>
    <t>KHI/HO/D/MO/PC COMP/C/106688/11/01/2025</t>
  </si>
  <si>
    <t>KHI/HO/D/MO/PC COMP/C/106688/9/01/2025</t>
  </si>
  <si>
    <t>KHI/HO/D/MO/PC COMP/C/106688/1/01/2025</t>
  </si>
  <si>
    <t>KHI/HO/D/MO/PC COMP/C/106688/5/01/2025</t>
  </si>
  <si>
    <t>KHI/HO/D/MO/PC COMP/C/106688/2/01/2025</t>
  </si>
  <si>
    <t>KHI/HO/D/MO/PC COMP/C/106688/7/01/2025</t>
  </si>
  <si>
    <t>KHI/HO/D/MO/PC COMP/C/106688/4/01/2025</t>
  </si>
  <si>
    <t>KHI/HO/D/MO/PC COMP/C/106688/6/01/2025</t>
  </si>
  <si>
    <t>KHI/HO/D/MO/PC COMP/C/106688/3/01/2025</t>
  </si>
  <si>
    <t>KHI/HO/D/MO/PC COMP/C/106688/8/01/2025</t>
  </si>
  <si>
    <t>KHI/HO/D/MO/PC COMP/C/106688/10/01/2025</t>
  </si>
  <si>
    <t>KHI/HO/D/MO/PC COMP/C/106688/12/01/2025</t>
  </si>
  <si>
    <t>KHI/HO/D/MO/PC COMP/C/106688/14/01/2025</t>
  </si>
  <si>
    <t>KHI/HO/D/MO/PC COMP/C/106701/2/01/2025</t>
  </si>
  <si>
    <t>KHI/HO/D/MO/PC COMP/C/106701/1/01/2025</t>
  </si>
  <si>
    <t>KHI/HO/D/MO/PC COMP/C/106734/2/01/2025</t>
  </si>
  <si>
    <t>KHI/HO/D/MO/PC COMP/C/106734/1/01/2025</t>
  </si>
  <si>
    <t>KHI/HO/D/MO/PC COMP/C/106688/13/01/2025</t>
  </si>
  <si>
    <t>KHI/HO/D/MO/PC COMP/C/106700/1/01/2025</t>
  </si>
  <si>
    <t>KHI/HO/D/MO/PC COMP/C/106724/4/01/2025</t>
  </si>
  <si>
    <t>KHI/HO/D/MO/PC COMP/C/106724/5/01/2025</t>
  </si>
  <si>
    <t>KHI/HO/D/MO/PC COMP/C/106724/6/01/2025</t>
  </si>
  <si>
    <t>KHI/HO/D/MO/PC COMP/C/106724/1/01/2025</t>
  </si>
  <si>
    <t>KHI/HO/D/MO/PC COMP/P/107426/02/2025</t>
  </si>
  <si>
    <t>KHI/HO/D/MO/PC COMP/C/106702/3/01/2025</t>
  </si>
  <si>
    <t>KHI/HO/D/MO/PC COMP/C/106723/1/01/2025</t>
  </si>
  <si>
    <t>KHI/HO/D/MO/PC COMP/C/106722/1/01/2025</t>
  </si>
  <si>
    <t>KHI/HO/D/MO/PC COMP/C/106722/2/01/2025</t>
  </si>
  <si>
    <t>KHI/HO/D/MO/PC COMP/C/106724/2/01/2025</t>
  </si>
  <si>
    <t>KHI/HO/D/MO/PC COMP/C/106724/3/01/2025</t>
  </si>
  <si>
    <t>KHI/HO/D/MO/PC COMP/P/104299/12/2024</t>
  </si>
  <si>
    <t>KHI/HO/D/MO/PC COMP/C/106702/1/01/2025</t>
  </si>
  <si>
    <t>TMS Premium</t>
  </si>
  <si>
    <t>Difference Amount</t>
  </si>
  <si>
    <t>R260966</t>
  </si>
  <si>
    <t>L15A90017978</t>
  </si>
  <si>
    <t>L15ZG1001063</t>
  </si>
  <si>
    <t>6R263140.</t>
  </si>
  <si>
    <t xml:space="preserve">Endorsement No. </t>
  </si>
  <si>
    <t>KHI/HO/D/MO/PC COMP/E/51649/00004/01/2025</t>
  </si>
  <si>
    <t>KHI/HO/D/MO/PC COMP/E/51865/00004/01/2025</t>
  </si>
  <si>
    <t>KHI/HO/D/MO/PC COMP/E/52425/00001/02/2025</t>
  </si>
  <si>
    <t>S.No</t>
  </si>
  <si>
    <t>KHI/HO/D/MO/PC COMP/C/104213/5/12/2024</t>
  </si>
  <si>
    <t>KHI/HO/D/MO/PC COMP/C/106715/2/01/2025</t>
  </si>
  <si>
    <t>KHI/HO/D/MO/PC COMP/C/104233/8/12/2024</t>
  </si>
  <si>
    <t>KHI/HO/D/MO/PC COMP/C/104283/6/12/2024</t>
  </si>
  <si>
    <t>-01-2025</t>
  </si>
  <si>
    <t>-12-2024</t>
  </si>
  <si>
    <t>-02-2025</t>
  </si>
  <si>
    <t>A</t>
  </si>
  <si>
    <t>00001</t>
  </si>
  <si>
    <t>00005</t>
  </si>
  <si>
    <t>00004</t>
  </si>
  <si>
    <t>00007</t>
  </si>
  <si>
    <t>00003</t>
  </si>
  <si>
    <t>00006</t>
  </si>
  <si>
    <t>00002</t>
  </si>
  <si>
    <t>00009</t>
  </si>
  <si>
    <t>00010</t>
  </si>
  <si>
    <t>00008</t>
  </si>
  <si>
    <t>00012</t>
  </si>
  <si>
    <t>00011</t>
  </si>
  <si>
    <t>00014</t>
  </si>
  <si>
    <t>00013</t>
  </si>
  <si>
    <t xml:space="preserve">   </t>
  </si>
  <si>
    <t>FUNC_ASSORTED_STRING(IA.ASSORTED_CODE)</t>
  </si>
  <si>
    <t>ASSORTED_CODE</t>
  </si>
  <si>
    <t>070000174465</t>
  </si>
  <si>
    <t>070000174466</t>
  </si>
  <si>
    <t>070000174467</t>
  </si>
  <si>
    <t>070000174468</t>
  </si>
  <si>
    <t>070000174469</t>
  </si>
  <si>
    <t>070000174924</t>
  </si>
  <si>
    <t>070000174969</t>
  </si>
  <si>
    <t>070000174970</t>
  </si>
  <si>
    <t>070000174827</t>
  </si>
  <si>
    <t>070000174892</t>
  </si>
  <si>
    <t>070000174893</t>
  </si>
  <si>
    <t>070000174902</t>
  </si>
  <si>
    <t>070000174903</t>
  </si>
  <si>
    <t>070000174904</t>
  </si>
  <si>
    <t>070000174906</t>
  </si>
  <si>
    <t>070000174907</t>
  </si>
  <si>
    <t>070000174911</t>
  </si>
  <si>
    <t>070000174915</t>
  </si>
  <si>
    <t>070000174918</t>
  </si>
  <si>
    <t>070000174920</t>
  </si>
  <si>
    <t>070000174946</t>
  </si>
  <si>
    <t>070000174947</t>
  </si>
  <si>
    <t>070000174948</t>
  </si>
  <si>
    <t>070000174971</t>
  </si>
  <si>
    <t>070000172640</t>
  </si>
  <si>
    <t>070000172641</t>
  </si>
  <si>
    <t>070000172642</t>
  </si>
  <si>
    <t>070000172643</t>
  </si>
  <si>
    <t>070000173855</t>
  </si>
  <si>
    <t>070000173860</t>
  </si>
  <si>
    <t>070000173862</t>
  </si>
  <si>
    <t>070000173867</t>
  </si>
  <si>
    <t>070000173868</t>
  </si>
  <si>
    <t>070000173869</t>
  </si>
  <si>
    <t>070000173872</t>
  </si>
  <si>
    <t>070000172612</t>
  </si>
  <si>
    <t>070000172614</t>
  </si>
  <si>
    <t>070000174852</t>
  </si>
  <si>
    <t>070000174890</t>
  </si>
  <si>
    <t>070000174921</t>
  </si>
  <si>
    <t>070000174922</t>
  </si>
  <si>
    <t>070000174944</t>
  </si>
  <si>
    <t>070000174857</t>
  </si>
  <si>
    <t>070000174858</t>
  </si>
  <si>
    <t>070000174861</t>
  </si>
  <si>
    <t>070000174862</t>
  </si>
  <si>
    <t>070000174866</t>
  </si>
  <si>
    <t>070000174879</t>
  </si>
  <si>
    <t>070000174880</t>
  </si>
  <si>
    <t>070000174881</t>
  </si>
  <si>
    <t>070000174882</t>
  </si>
  <si>
    <t>070000174883</t>
  </si>
  <si>
    <t>070000174901</t>
  </si>
  <si>
    <t>070000172585</t>
  </si>
  <si>
    <t>070000172586</t>
  </si>
  <si>
    <t>070000172589</t>
  </si>
  <si>
    <t>070000174470</t>
  </si>
  <si>
    <t>070000174472</t>
  </si>
  <si>
    <t>070000174473</t>
  </si>
  <si>
    <t>070000172563</t>
  </si>
  <si>
    <t>070000172564</t>
  </si>
  <si>
    <t>070000172566</t>
  </si>
  <si>
    <t>070000172567</t>
  </si>
  <si>
    <t>070000172591</t>
  </si>
  <si>
    <t>070000172593</t>
  </si>
  <si>
    <t>070000172595</t>
  </si>
  <si>
    <t>070000172671</t>
  </si>
  <si>
    <t>070000172568</t>
  </si>
  <si>
    <t>070000174456</t>
  </si>
  <si>
    <t>070000174457</t>
  </si>
  <si>
    <t>070000174458</t>
  </si>
  <si>
    <t>070000174459</t>
  </si>
  <si>
    <t>070000174460</t>
  </si>
  <si>
    <t>070000174462</t>
  </si>
  <si>
    <t>070000174834</t>
  </si>
  <si>
    <t>070000174841</t>
  </si>
  <si>
    <t>070000174833</t>
  </si>
  <si>
    <t>070000174835</t>
  </si>
  <si>
    <t>070000174836</t>
  </si>
  <si>
    <t>070000174837</t>
  </si>
  <si>
    <t>070000174840</t>
  </si>
  <si>
    <t>070000174842</t>
  </si>
  <si>
    <t>070000174843</t>
  </si>
  <si>
    <t>070000174844</t>
  </si>
  <si>
    <t>070000174851</t>
  </si>
  <si>
    <t>070000174853</t>
  </si>
  <si>
    <t>070000174855</t>
  </si>
  <si>
    <t>070000172501</t>
  </si>
  <si>
    <t>070000172503</t>
  </si>
  <si>
    <t>070000172504</t>
  </si>
  <si>
    <t>070000172553</t>
  </si>
  <si>
    <t>070000172557</t>
  </si>
  <si>
    <t>070000174949</t>
  </si>
  <si>
    <t>070000174950</t>
  </si>
  <si>
    <t>070000174951</t>
  </si>
  <si>
    <t>070000174968</t>
  </si>
  <si>
    <t>070000174885</t>
  </si>
  <si>
    <t>070000174886</t>
  </si>
  <si>
    <t>070000174925</t>
  </si>
  <si>
    <t>070000172618</t>
  </si>
  <si>
    <t>070000174940</t>
  </si>
  <si>
    <t>070000174959</t>
  </si>
  <si>
    <t>070000174960</t>
  </si>
  <si>
    <t>070000174962</t>
  </si>
  <si>
    <t>070000174963</t>
  </si>
  <si>
    <t>070000174965</t>
  </si>
  <si>
    <t>070000174967</t>
  </si>
  <si>
    <t>070000172669</t>
  </si>
  <si>
    <t>070000174482</t>
  </si>
  <si>
    <t>070000174483</t>
  </si>
  <si>
    <t>070000174874</t>
  </si>
  <si>
    <t>070000172529</t>
  </si>
  <si>
    <t>070000172532</t>
  </si>
  <si>
    <t>070000174930</t>
  </si>
  <si>
    <t>070000174931</t>
  </si>
  <si>
    <t>070000174932</t>
  </si>
  <si>
    <t>070000174933</t>
  </si>
  <si>
    <t>070000174934</t>
  </si>
  <si>
    <t>070000174935</t>
  </si>
  <si>
    <t>070000174936</t>
  </si>
  <si>
    <t>070000174937</t>
  </si>
  <si>
    <t>070000174938</t>
  </si>
  <si>
    <t>070000174978</t>
  </si>
  <si>
    <t>070000174980</t>
  </si>
  <si>
    <t>070000174939</t>
  </si>
  <si>
    <t>070000172605</t>
  </si>
  <si>
    <t>070000174884</t>
  </si>
  <si>
    <t>070000174887</t>
  </si>
  <si>
    <t>070000174923</t>
  </si>
  <si>
    <t>POLICY NO.</t>
  </si>
  <si>
    <t>Assorted_code</t>
  </si>
  <si>
    <t>Premium</t>
  </si>
  <si>
    <t>040000192126</t>
  </si>
  <si>
    <t>040000192139</t>
  </si>
  <si>
    <t>040000196130</t>
  </si>
  <si>
    <t>040000192175</t>
  </si>
  <si>
    <t>21Feb250007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</si>
</sst>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5" fontId="0" fillId="0" borderId="1" xfId="0" applyNumberFormat="1" applyBorder="1"/>
    <xf numFmtId="165" fontId="0" fillId="0" borderId="1" xfId="1" applyNumberFormat="1" applyFont="1" applyBorder="1"/>
    <xf numFmtId="165" fontId="0" fillId="0" borderId="0" xfId="0" applyNumberFormat="1"/>
    <xf numFmtId="0" fontId="0" fillId="0" borderId="1" xfId="0" applyBorder="1" applyAlignment="1">
      <alignment vertical="top"/>
    </xf>
    <xf numFmtId="165" fontId="0" fillId="0" borderId="1" xfId="0" applyNumberFormat="1" applyBorder="1"/>
    <xf numFmtId="165" fontId="2" fillId="0" borderId="1" xfId="0" applyNumberFormat="1" applyFont="1" applyBorder="1"/>
    <xf numFmtId="165" fontId="2" fillId="3" borderId="1" xfId="0" applyNumberFormat="1" applyFont="1" applyFill="1" applyBorder="1"/>
    <xf numFmtId="165" fontId="2" fillId="3" borderId="1" xfId="1" applyNumberFormat="1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vertical="top"/>
    </xf>
    <xf numFmtId="165" fontId="4" fillId="0" borderId="0" xfId="1" applyNumberFormat="1" applyFont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  <xf numFmtId="49" fontId="0" fillId="0" borderId="0" xfId="0" applyNumberFormat="1" applyAlignment="1">
      <alignment vertical="top"/>
    </xf>
    <xf numFmtId="0" fontId="5" fillId="0" borderId="0" xfId="0" applyFont="1"/>
  </cellXfs>
  <cellStyles count="2">
    <cellStyle name="Comma" xfId="1" builtinId="3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9"/>
  <sheetViews>
    <sheetView tabSelected="1" topLeftCell="P129" workbookViewId="0">
      <selection activeCell="R140" sqref="R140"/>
    </sheetView>
  </sheetViews>
  <sheetFormatPr defaultRowHeight="15" x14ac:dyDescent="0.25"/>
  <cols>
    <col min="1" max="1" width="0" hidden="1" customWidth="1"/>
    <col min="2" max="2" width="18.28515625" hidden="1" customWidth="1"/>
    <col min="3" max="3" width="10.28515625" hidden="1" customWidth="1"/>
    <col min="4" max="4" width="33.140625" hidden="1" customWidth="1"/>
    <col min="5" max="5" width="43.85546875" hidden="1" customWidth="1"/>
    <col min="6" max="6" width="20.7109375" hidden="1" customWidth="1"/>
    <col min="7" max="7" width="21.7109375" hidden="1" customWidth="1"/>
    <col min="8" max="8" width="20.5703125" hidden="1" customWidth="1"/>
    <col min="9" max="9" width="9.7109375" hidden="1" customWidth="1"/>
    <col min="10" max="10" width="11" hidden="1" customWidth="1"/>
    <col min="11" max="11" width="11.7109375" hidden="1" customWidth="1"/>
    <col min="12" max="12" width="14.140625" hidden="1" customWidth="1"/>
    <col min="13" max="13" width="17" hidden="1" customWidth="1"/>
    <col min="14" max="14" width="19" hidden="1" customWidth="1"/>
    <col min="15" max="15" width="33.28515625" hidden="1" customWidth="1"/>
    <col min="16" max="16" width="43.28515625" bestFit="1" customWidth="1"/>
    <col min="17" max="17" width="12.85546875" bestFit="1" customWidth="1"/>
    <col min="18" max="18" width="43.140625" bestFit="1" customWidth="1"/>
    <col min="19" max="19" width="17.28515625" bestFit="1" customWidth="1"/>
  </cols>
  <sheetData>
    <row r="1" spans="1:19" x14ac:dyDescent="0.25">
      <c r="A1" s="11" t="s">
        <v>886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746</v>
      </c>
      <c r="Q1" s="1" t="s">
        <v>876</v>
      </c>
      <c r="R1" s="1" t="s">
        <v>882</v>
      </c>
      <c r="S1" s="1" t="s">
        <v>877</v>
      </c>
    </row>
    <row r="2" spans="1:19" x14ac:dyDescent="0.25">
      <c r="A2" s="1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>
        <v>45667</v>
      </c>
      <c r="J2" s="3">
        <v>46032</v>
      </c>
      <c r="K2" s="2" t="s">
        <v>21</v>
      </c>
      <c r="L2" s="4">
        <v>1190457</v>
      </c>
      <c r="M2" s="4">
        <v>17857</v>
      </c>
      <c r="N2" s="2" t="s">
        <v>22</v>
      </c>
      <c r="O2" s="2" t="s">
        <v>148</v>
      </c>
      <c r="P2" s="2" t="s">
        <v>747</v>
      </c>
      <c r="Q2" s="2">
        <v>17857</v>
      </c>
      <c r="R2" s="2"/>
      <c r="S2" s="7">
        <f>Q2-M2</f>
        <v>0</v>
      </c>
    </row>
    <row r="3" spans="1:19" x14ac:dyDescent="0.25">
      <c r="A3" s="12">
        <v>2</v>
      </c>
      <c r="B3" s="2" t="s">
        <v>23</v>
      </c>
      <c r="C3" s="2" t="s">
        <v>15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20</v>
      </c>
      <c r="I3" s="3">
        <v>45693</v>
      </c>
      <c r="J3" s="3">
        <v>46058</v>
      </c>
      <c r="K3" s="2" t="s">
        <v>21</v>
      </c>
      <c r="L3" s="4">
        <v>1891755</v>
      </c>
      <c r="M3" s="4">
        <v>28376</v>
      </c>
      <c r="N3" s="2" t="s">
        <v>22</v>
      </c>
      <c r="O3" s="2" t="s">
        <v>148</v>
      </c>
      <c r="P3" s="2" t="s">
        <v>748</v>
      </c>
      <c r="Q3" s="2">
        <v>28376</v>
      </c>
      <c r="R3" s="2"/>
      <c r="S3" s="7">
        <f t="shared" ref="S3:S66" si="0">Q3-M3</f>
        <v>0</v>
      </c>
    </row>
    <row r="4" spans="1:19" x14ac:dyDescent="0.25">
      <c r="A4" s="12">
        <v>3</v>
      </c>
      <c r="B4" s="2" t="s">
        <v>28</v>
      </c>
      <c r="C4" s="2" t="s">
        <v>15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20</v>
      </c>
      <c r="I4" s="3">
        <v>45672</v>
      </c>
      <c r="J4" s="3">
        <v>46037</v>
      </c>
      <c r="K4" s="2" t="s">
        <v>21</v>
      </c>
      <c r="L4" s="4">
        <v>626940</v>
      </c>
      <c r="M4" s="4">
        <v>9404</v>
      </c>
      <c r="N4" s="2" t="s">
        <v>22</v>
      </c>
      <c r="O4" s="2" t="s">
        <v>148</v>
      </c>
      <c r="P4" s="2" t="s">
        <v>749</v>
      </c>
      <c r="Q4" s="2">
        <v>9404</v>
      </c>
      <c r="R4" s="2"/>
      <c r="S4" s="7">
        <f t="shared" si="0"/>
        <v>0</v>
      </c>
    </row>
    <row r="5" spans="1:19" x14ac:dyDescent="0.25">
      <c r="A5" s="12">
        <v>4</v>
      </c>
      <c r="B5" s="2" t="s">
        <v>33</v>
      </c>
      <c r="C5" s="2" t="s">
        <v>15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20</v>
      </c>
      <c r="I5" s="3">
        <v>45682</v>
      </c>
      <c r="J5" s="3">
        <v>46047</v>
      </c>
      <c r="K5" s="2" t="s">
        <v>21</v>
      </c>
      <c r="L5" s="4">
        <v>1206495</v>
      </c>
      <c r="M5" s="4">
        <v>18097</v>
      </c>
      <c r="N5" s="2" t="s">
        <v>22</v>
      </c>
      <c r="O5" s="2" t="s">
        <v>148</v>
      </c>
      <c r="P5" s="2" t="s">
        <v>750</v>
      </c>
      <c r="Q5" s="2">
        <v>18097</v>
      </c>
      <c r="R5" s="2"/>
      <c r="S5" s="7">
        <f t="shared" si="0"/>
        <v>0</v>
      </c>
    </row>
    <row r="6" spans="1:19" x14ac:dyDescent="0.25">
      <c r="A6" s="12">
        <v>5</v>
      </c>
      <c r="B6" s="2" t="s">
        <v>38</v>
      </c>
      <c r="C6" s="2" t="s">
        <v>15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20</v>
      </c>
      <c r="I6" s="3">
        <v>45672</v>
      </c>
      <c r="J6" s="3">
        <v>46037</v>
      </c>
      <c r="K6" s="2" t="s">
        <v>21</v>
      </c>
      <c r="L6" s="4">
        <v>1099332</v>
      </c>
      <c r="M6" s="4">
        <v>16490</v>
      </c>
      <c r="N6" s="2" t="s">
        <v>22</v>
      </c>
      <c r="O6" s="2" t="s">
        <v>148</v>
      </c>
      <c r="P6" s="2" t="s">
        <v>751</v>
      </c>
      <c r="Q6" s="2">
        <v>16490</v>
      </c>
      <c r="R6" s="2"/>
      <c r="S6" s="7">
        <f t="shared" si="0"/>
        <v>0</v>
      </c>
    </row>
    <row r="7" spans="1:19" x14ac:dyDescent="0.25">
      <c r="A7" s="12">
        <v>6</v>
      </c>
      <c r="B7" s="2" t="s">
        <v>44</v>
      </c>
      <c r="C7" s="2" t="s">
        <v>15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20</v>
      </c>
      <c r="I7" s="3">
        <v>45682</v>
      </c>
      <c r="J7" s="3">
        <v>46047</v>
      </c>
      <c r="K7" s="2" t="s">
        <v>21</v>
      </c>
      <c r="L7" s="4">
        <v>2326968</v>
      </c>
      <c r="M7" s="4">
        <v>34905</v>
      </c>
      <c r="N7" s="2" t="s">
        <v>22</v>
      </c>
      <c r="O7" s="2" t="s">
        <v>148</v>
      </c>
      <c r="P7" s="2" t="s">
        <v>752</v>
      </c>
      <c r="Q7" s="2">
        <v>34905</v>
      </c>
      <c r="R7" s="2"/>
      <c r="S7" s="7">
        <f t="shared" si="0"/>
        <v>0</v>
      </c>
    </row>
    <row r="8" spans="1:19" x14ac:dyDescent="0.25">
      <c r="A8" s="12">
        <v>7</v>
      </c>
      <c r="B8" s="2" t="s">
        <v>49</v>
      </c>
      <c r="C8" s="2" t="s">
        <v>15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3">
        <v>45682</v>
      </c>
      <c r="J8" s="3">
        <v>46047</v>
      </c>
      <c r="K8" s="2" t="s">
        <v>21</v>
      </c>
      <c r="L8" s="4">
        <v>3045600</v>
      </c>
      <c r="M8" s="4">
        <v>45684</v>
      </c>
      <c r="N8" s="2" t="s">
        <v>22</v>
      </c>
      <c r="O8" s="2" t="s">
        <v>148</v>
      </c>
      <c r="P8" s="2" t="s">
        <v>753</v>
      </c>
      <c r="Q8" s="2">
        <v>45684</v>
      </c>
      <c r="R8" s="2"/>
      <c r="S8" s="7">
        <f t="shared" si="0"/>
        <v>0</v>
      </c>
    </row>
    <row r="9" spans="1:19" x14ac:dyDescent="0.25">
      <c r="A9" s="12">
        <v>8</v>
      </c>
      <c r="B9" s="2" t="s">
        <v>55</v>
      </c>
      <c r="C9" s="2" t="s">
        <v>15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60</v>
      </c>
      <c r="I9" s="3">
        <v>45677</v>
      </c>
      <c r="J9" s="3">
        <v>46042</v>
      </c>
      <c r="K9" s="2" t="s">
        <v>21</v>
      </c>
      <c r="L9" s="4">
        <v>2619540</v>
      </c>
      <c r="M9" s="4">
        <v>39293</v>
      </c>
      <c r="N9" s="2" t="s">
        <v>22</v>
      </c>
      <c r="O9" s="2" t="s">
        <v>148</v>
      </c>
      <c r="P9" s="2" t="s">
        <v>754</v>
      </c>
      <c r="Q9" s="2">
        <v>39293</v>
      </c>
      <c r="R9" s="2"/>
      <c r="S9" s="7">
        <f t="shared" si="0"/>
        <v>0</v>
      </c>
    </row>
    <row r="10" spans="1:19" x14ac:dyDescent="0.25">
      <c r="A10" s="12">
        <v>9</v>
      </c>
      <c r="B10" s="2" t="s">
        <v>61</v>
      </c>
      <c r="C10" s="2" t="s">
        <v>15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3">
        <v>45672</v>
      </c>
      <c r="J10" s="3">
        <v>46037</v>
      </c>
      <c r="K10" s="2" t="s">
        <v>21</v>
      </c>
      <c r="L10" s="4">
        <v>3321000</v>
      </c>
      <c r="M10" s="4">
        <v>49815</v>
      </c>
      <c r="N10" s="2" t="s">
        <v>22</v>
      </c>
      <c r="O10" s="2" t="s">
        <v>148</v>
      </c>
      <c r="P10" s="2" t="s">
        <v>755</v>
      </c>
      <c r="Q10" s="2">
        <v>49815</v>
      </c>
      <c r="R10" s="2"/>
      <c r="S10" s="7">
        <f t="shared" si="0"/>
        <v>0</v>
      </c>
    </row>
    <row r="11" spans="1:19" x14ac:dyDescent="0.25">
      <c r="A11" s="12">
        <v>10</v>
      </c>
      <c r="B11" s="2" t="s">
        <v>67</v>
      </c>
      <c r="C11" s="2" t="s">
        <v>15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72</v>
      </c>
      <c r="I11" s="3">
        <v>45698</v>
      </c>
      <c r="J11" s="3">
        <v>46063</v>
      </c>
      <c r="K11" s="2" t="s">
        <v>21</v>
      </c>
      <c r="L11" s="4">
        <v>2106000</v>
      </c>
      <c r="M11" s="4">
        <v>31590</v>
      </c>
      <c r="N11" s="2" t="s">
        <v>22</v>
      </c>
      <c r="O11" s="2" t="s">
        <v>148</v>
      </c>
      <c r="P11" s="2" t="s">
        <v>756</v>
      </c>
      <c r="Q11" s="2">
        <v>31590</v>
      </c>
      <c r="R11" s="2"/>
      <c r="S11" s="7">
        <f t="shared" si="0"/>
        <v>0</v>
      </c>
    </row>
    <row r="12" spans="1:19" x14ac:dyDescent="0.25">
      <c r="A12" s="12">
        <v>11</v>
      </c>
      <c r="B12" s="2" t="s">
        <v>73</v>
      </c>
      <c r="C12" s="2" t="s">
        <v>15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3">
        <v>45698</v>
      </c>
      <c r="J12" s="3">
        <v>46063</v>
      </c>
      <c r="K12" s="2" t="s">
        <v>21</v>
      </c>
      <c r="L12" s="4">
        <v>3651480</v>
      </c>
      <c r="M12" s="4">
        <v>54772</v>
      </c>
      <c r="N12" s="2" t="s">
        <v>22</v>
      </c>
      <c r="O12" s="2" t="s">
        <v>148</v>
      </c>
      <c r="P12" s="2" t="s">
        <v>757</v>
      </c>
      <c r="Q12" s="2">
        <v>54772</v>
      </c>
      <c r="R12" s="2"/>
      <c r="S12" s="7">
        <f t="shared" si="0"/>
        <v>0</v>
      </c>
    </row>
    <row r="13" spans="1:19" x14ac:dyDescent="0.25">
      <c r="A13" s="12">
        <v>12</v>
      </c>
      <c r="B13" s="2" t="s">
        <v>79</v>
      </c>
      <c r="C13" s="2" t="s">
        <v>15</v>
      </c>
      <c r="D13" s="2" t="s">
        <v>80</v>
      </c>
      <c r="E13" s="2" t="s">
        <v>81</v>
      </c>
      <c r="F13" s="2" t="s">
        <v>82</v>
      </c>
      <c r="G13" s="2" t="s">
        <v>83</v>
      </c>
      <c r="H13" s="2" t="s">
        <v>20</v>
      </c>
      <c r="I13" s="3">
        <v>45667</v>
      </c>
      <c r="J13" s="3">
        <v>46032</v>
      </c>
      <c r="K13" s="2" t="s">
        <v>21</v>
      </c>
      <c r="L13" s="4">
        <v>2519100</v>
      </c>
      <c r="M13" s="4">
        <v>37787</v>
      </c>
      <c r="N13" s="2" t="s">
        <v>22</v>
      </c>
      <c r="O13" s="2" t="s">
        <v>148</v>
      </c>
      <c r="P13" s="2" t="s">
        <v>758</v>
      </c>
      <c r="Q13" s="2">
        <v>37787</v>
      </c>
      <c r="R13" s="2"/>
      <c r="S13" s="7">
        <f t="shared" si="0"/>
        <v>0</v>
      </c>
    </row>
    <row r="14" spans="1:19" x14ac:dyDescent="0.25">
      <c r="A14" s="12">
        <v>13</v>
      </c>
      <c r="B14" s="2" t="s">
        <v>84</v>
      </c>
      <c r="C14" s="2" t="s">
        <v>15</v>
      </c>
      <c r="D14" s="2" t="s">
        <v>85</v>
      </c>
      <c r="E14" s="2" t="s">
        <v>86</v>
      </c>
      <c r="F14" s="2" t="s">
        <v>87</v>
      </c>
      <c r="G14" s="2" t="s">
        <v>88</v>
      </c>
      <c r="H14" s="2" t="s">
        <v>89</v>
      </c>
      <c r="I14" s="3">
        <v>45677</v>
      </c>
      <c r="J14" s="3">
        <v>46042</v>
      </c>
      <c r="K14" s="2" t="s">
        <v>21</v>
      </c>
      <c r="L14" s="4">
        <v>4770000</v>
      </c>
      <c r="M14" s="4">
        <v>71550</v>
      </c>
      <c r="N14" s="2" t="s">
        <v>22</v>
      </c>
      <c r="O14" s="2" t="s">
        <v>148</v>
      </c>
      <c r="P14" s="2" t="s">
        <v>759</v>
      </c>
      <c r="Q14" s="2">
        <v>71550</v>
      </c>
      <c r="R14" s="2"/>
      <c r="S14" s="7">
        <f t="shared" si="0"/>
        <v>0</v>
      </c>
    </row>
    <row r="15" spans="1:19" x14ac:dyDescent="0.25">
      <c r="A15" s="12">
        <v>14</v>
      </c>
      <c r="B15" s="2" t="s">
        <v>90</v>
      </c>
      <c r="C15" s="2" t="s">
        <v>15</v>
      </c>
      <c r="D15" s="2" t="s">
        <v>91</v>
      </c>
      <c r="E15" s="2" t="s">
        <v>92</v>
      </c>
      <c r="F15" s="2" t="s">
        <v>93</v>
      </c>
      <c r="G15" s="2" t="s">
        <v>94</v>
      </c>
      <c r="H15" s="2" t="s">
        <v>20</v>
      </c>
      <c r="I15" s="3">
        <v>45693</v>
      </c>
      <c r="J15" s="3">
        <v>46058</v>
      </c>
      <c r="K15" s="2" t="s">
        <v>21</v>
      </c>
      <c r="L15" s="4">
        <v>2641500</v>
      </c>
      <c r="M15" s="4">
        <v>39623</v>
      </c>
      <c r="N15" s="2" t="s">
        <v>22</v>
      </c>
      <c r="O15" s="2" t="s">
        <v>148</v>
      </c>
      <c r="P15" s="2" t="s">
        <v>760</v>
      </c>
      <c r="Q15" s="2">
        <v>39623</v>
      </c>
      <c r="R15" s="2"/>
      <c r="S15" s="7">
        <f t="shared" si="0"/>
        <v>0</v>
      </c>
    </row>
    <row r="16" spans="1:19" x14ac:dyDescent="0.25">
      <c r="A16" s="12">
        <v>15</v>
      </c>
      <c r="B16" s="2" t="s">
        <v>95</v>
      </c>
      <c r="C16" s="2" t="s">
        <v>15</v>
      </c>
      <c r="D16" s="2" t="s">
        <v>96</v>
      </c>
      <c r="E16" s="2" t="s">
        <v>97</v>
      </c>
      <c r="F16" s="2" t="s">
        <v>98</v>
      </c>
      <c r="G16" s="2" t="s">
        <v>99</v>
      </c>
      <c r="H16" s="2" t="s">
        <v>20</v>
      </c>
      <c r="I16" s="3">
        <v>45693</v>
      </c>
      <c r="J16" s="3">
        <v>46058</v>
      </c>
      <c r="K16" s="2" t="s">
        <v>21</v>
      </c>
      <c r="L16" s="4">
        <v>3675600</v>
      </c>
      <c r="M16" s="4">
        <v>55134</v>
      </c>
      <c r="N16" s="2" t="s">
        <v>22</v>
      </c>
      <c r="O16" s="2" t="s">
        <v>148</v>
      </c>
      <c r="P16" s="2" t="s">
        <v>761</v>
      </c>
      <c r="Q16" s="2">
        <v>55134</v>
      </c>
      <c r="R16" s="2"/>
      <c r="S16" s="7">
        <f t="shared" si="0"/>
        <v>0</v>
      </c>
    </row>
    <row r="17" spans="1:19" x14ac:dyDescent="0.25">
      <c r="A17" s="12">
        <v>16</v>
      </c>
      <c r="B17" s="2" t="s">
        <v>100</v>
      </c>
      <c r="C17" s="2" t="s">
        <v>15</v>
      </c>
      <c r="D17" s="2" t="s">
        <v>101</v>
      </c>
      <c r="E17" s="2" t="s">
        <v>40</v>
      </c>
      <c r="F17" s="2" t="s">
        <v>102</v>
      </c>
      <c r="G17" s="2" t="s">
        <v>103</v>
      </c>
      <c r="H17" s="2" t="s">
        <v>20</v>
      </c>
      <c r="I17" s="3">
        <v>45677</v>
      </c>
      <c r="J17" s="3">
        <v>46042</v>
      </c>
      <c r="K17" s="2" t="s">
        <v>21</v>
      </c>
      <c r="L17" s="4">
        <v>2350800</v>
      </c>
      <c r="M17" s="4">
        <v>35262</v>
      </c>
      <c r="N17" s="2" t="s">
        <v>22</v>
      </c>
      <c r="O17" s="2" t="s">
        <v>148</v>
      </c>
      <c r="P17" s="2" t="s">
        <v>762</v>
      </c>
      <c r="Q17" s="2">
        <v>35262</v>
      </c>
      <c r="R17" s="2"/>
      <c r="S17" s="7">
        <f t="shared" si="0"/>
        <v>0</v>
      </c>
    </row>
    <row r="18" spans="1:19" x14ac:dyDescent="0.25">
      <c r="A18" s="12">
        <v>17</v>
      </c>
      <c r="B18" s="2" t="s">
        <v>104</v>
      </c>
      <c r="C18" s="2" t="s">
        <v>15</v>
      </c>
      <c r="D18" s="2" t="s">
        <v>105</v>
      </c>
      <c r="E18" s="2" t="s">
        <v>106</v>
      </c>
      <c r="F18" s="2" t="s">
        <v>107</v>
      </c>
      <c r="G18" s="2" t="s">
        <v>108</v>
      </c>
      <c r="H18" s="2" t="s">
        <v>109</v>
      </c>
      <c r="I18" s="3">
        <v>45682</v>
      </c>
      <c r="J18" s="3">
        <v>46047</v>
      </c>
      <c r="K18" s="2" t="s">
        <v>21</v>
      </c>
      <c r="L18" s="4">
        <v>3600000</v>
      </c>
      <c r="M18" s="4">
        <v>54000</v>
      </c>
      <c r="N18" s="2" t="s">
        <v>22</v>
      </c>
      <c r="O18" s="2" t="s">
        <v>148</v>
      </c>
      <c r="P18" s="2" t="s">
        <v>763</v>
      </c>
      <c r="Q18" s="2">
        <v>54000</v>
      </c>
      <c r="R18" s="2"/>
      <c r="S18" s="7">
        <f t="shared" si="0"/>
        <v>0</v>
      </c>
    </row>
    <row r="19" spans="1:19" x14ac:dyDescent="0.25">
      <c r="A19" s="12">
        <v>18</v>
      </c>
      <c r="B19" s="2" t="s">
        <v>110</v>
      </c>
      <c r="C19" s="2" t="s">
        <v>15</v>
      </c>
      <c r="D19" s="2" t="s">
        <v>111</v>
      </c>
      <c r="E19" s="2" t="s">
        <v>112</v>
      </c>
      <c r="F19" s="2" t="s">
        <v>113</v>
      </c>
      <c r="G19" s="2" t="s">
        <v>114</v>
      </c>
      <c r="H19" s="2" t="s">
        <v>115</v>
      </c>
      <c r="I19" s="3">
        <v>45703</v>
      </c>
      <c r="J19" s="3">
        <v>46068</v>
      </c>
      <c r="K19" s="2" t="s">
        <v>21</v>
      </c>
      <c r="L19" s="4">
        <v>4024080</v>
      </c>
      <c r="M19" s="4">
        <v>60361</v>
      </c>
      <c r="N19" s="2" t="s">
        <v>22</v>
      </c>
      <c r="O19" s="2" t="s">
        <v>148</v>
      </c>
      <c r="P19" s="2" t="s">
        <v>764</v>
      </c>
      <c r="Q19" s="2">
        <v>60361</v>
      </c>
      <c r="R19" s="2"/>
      <c r="S19" s="7">
        <f t="shared" si="0"/>
        <v>0</v>
      </c>
    </row>
    <row r="20" spans="1:19" x14ac:dyDescent="0.25">
      <c r="A20" s="12">
        <v>19</v>
      </c>
      <c r="B20" s="2" t="s">
        <v>116</v>
      </c>
      <c r="C20" s="2" t="s">
        <v>15</v>
      </c>
      <c r="D20" s="2" t="s">
        <v>117</v>
      </c>
      <c r="E20" s="2" t="s">
        <v>118</v>
      </c>
      <c r="F20" s="2" t="s">
        <v>119</v>
      </c>
      <c r="G20" s="2" t="s">
        <v>120</v>
      </c>
      <c r="H20" s="2" t="s">
        <v>121</v>
      </c>
      <c r="I20" s="3">
        <v>45672</v>
      </c>
      <c r="J20" s="3">
        <v>46037</v>
      </c>
      <c r="K20" s="2" t="s">
        <v>21</v>
      </c>
      <c r="L20" s="4">
        <v>584585</v>
      </c>
      <c r="M20" s="4">
        <v>19291</v>
      </c>
      <c r="N20" s="2" t="s">
        <v>122</v>
      </c>
      <c r="O20" s="2" t="s">
        <v>148</v>
      </c>
      <c r="P20" s="2" t="s">
        <v>765</v>
      </c>
      <c r="Q20" s="2">
        <v>19291</v>
      </c>
      <c r="R20" s="2"/>
      <c r="S20" s="7">
        <f t="shared" si="0"/>
        <v>0</v>
      </c>
    </row>
    <row r="21" spans="1:19" x14ac:dyDescent="0.25">
      <c r="A21" s="12">
        <v>20</v>
      </c>
      <c r="B21" s="2" t="s">
        <v>123</v>
      </c>
      <c r="C21" s="2" t="s">
        <v>15</v>
      </c>
      <c r="D21" s="2" t="s">
        <v>124</v>
      </c>
      <c r="E21" s="2" t="s">
        <v>125</v>
      </c>
      <c r="F21" s="2" t="s">
        <v>126</v>
      </c>
      <c r="G21" s="2" t="s">
        <v>127</v>
      </c>
      <c r="H21" s="2" t="s">
        <v>128</v>
      </c>
      <c r="I21" s="3">
        <v>45672</v>
      </c>
      <c r="J21" s="3">
        <v>46037</v>
      </c>
      <c r="K21" s="2" t="s">
        <v>21</v>
      </c>
      <c r="L21" s="4">
        <v>446411</v>
      </c>
      <c r="M21" s="4">
        <v>14732</v>
      </c>
      <c r="N21" s="2" t="s">
        <v>122</v>
      </c>
      <c r="O21" s="2" t="s">
        <v>148</v>
      </c>
      <c r="P21" s="2" t="s">
        <v>766</v>
      </c>
      <c r="Q21" s="2">
        <v>14732</v>
      </c>
      <c r="R21" s="2"/>
      <c r="S21" s="7">
        <f t="shared" si="0"/>
        <v>0</v>
      </c>
    </row>
    <row r="22" spans="1:19" x14ac:dyDescent="0.25">
      <c r="A22" s="12">
        <v>21</v>
      </c>
      <c r="B22" s="2" t="s">
        <v>129</v>
      </c>
      <c r="C22" s="2" t="s">
        <v>15</v>
      </c>
      <c r="D22" s="2" t="s">
        <v>130</v>
      </c>
      <c r="E22" s="2" t="s">
        <v>131</v>
      </c>
      <c r="F22" s="2" t="s">
        <v>132</v>
      </c>
      <c r="G22" s="2" t="s">
        <v>133</v>
      </c>
      <c r="H22" s="2" t="s">
        <v>134</v>
      </c>
      <c r="I22" s="3">
        <v>45672</v>
      </c>
      <c r="J22" s="3">
        <v>46037</v>
      </c>
      <c r="K22" s="2" t="s">
        <v>21</v>
      </c>
      <c r="L22" s="4">
        <v>677056</v>
      </c>
      <c r="M22" s="4">
        <v>22343</v>
      </c>
      <c r="N22" s="2" t="s">
        <v>122</v>
      </c>
      <c r="O22" s="2" t="s">
        <v>148</v>
      </c>
      <c r="P22" s="2" t="s">
        <v>767</v>
      </c>
      <c r="Q22" s="2">
        <v>22343</v>
      </c>
      <c r="R22" s="2"/>
      <c r="S22" s="7">
        <f t="shared" si="0"/>
        <v>0</v>
      </c>
    </row>
    <row r="23" spans="1:19" x14ac:dyDescent="0.25">
      <c r="A23" s="12">
        <v>22</v>
      </c>
      <c r="B23" s="2" t="s">
        <v>135</v>
      </c>
      <c r="C23" s="2" t="s">
        <v>15</v>
      </c>
      <c r="D23" s="2" t="s">
        <v>136</v>
      </c>
      <c r="E23" s="2" t="s">
        <v>137</v>
      </c>
      <c r="F23" s="2" t="s">
        <v>138</v>
      </c>
      <c r="G23" s="2" t="s">
        <v>139</v>
      </c>
      <c r="H23" s="2" t="s">
        <v>140</v>
      </c>
      <c r="I23" s="3">
        <v>45667</v>
      </c>
      <c r="J23" s="3">
        <v>46032</v>
      </c>
      <c r="K23" s="2" t="s">
        <v>21</v>
      </c>
      <c r="L23" s="4">
        <v>772361</v>
      </c>
      <c r="M23" s="4">
        <v>15447</v>
      </c>
      <c r="N23" s="2" t="s">
        <v>141</v>
      </c>
      <c r="O23" s="2" t="s">
        <v>148</v>
      </c>
      <c r="P23" s="2" t="s">
        <v>768</v>
      </c>
      <c r="Q23" s="2">
        <v>15447</v>
      </c>
      <c r="R23" s="2"/>
      <c r="S23" s="7">
        <f t="shared" si="0"/>
        <v>0</v>
      </c>
    </row>
    <row r="24" spans="1:19" x14ac:dyDescent="0.25">
      <c r="A24" s="12">
        <v>23</v>
      </c>
      <c r="B24" s="2" t="s">
        <v>142</v>
      </c>
      <c r="C24" s="2" t="s">
        <v>15</v>
      </c>
      <c r="D24" s="2" t="s">
        <v>143</v>
      </c>
      <c r="E24" s="2" t="s">
        <v>144</v>
      </c>
      <c r="F24" s="2" t="s">
        <v>145</v>
      </c>
      <c r="G24" s="2" t="s">
        <v>146</v>
      </c>
      <c r="H24" s="2" t="s">
        <v>147</v>
      </c>
      <c r="I24" s="3">
        <v>45677</v>
      </c>
      <c r="J24" s="3">
        <v>46042</v>
      </c>
      <c r="K24" s="2" t="s">
        <v>21</v>
      </c>
      <c r="L24" s="4">
        <v>2178252</v>
      </c>
      <c r="M24" s="4">
        <v>43565</v>
      </c>
      <c r="N24" s="2" t="s">
        <v>141</v>
      </c>
      <c r="O24" s="2" t="s">
        <v>148</v>
      </c>
      <c r="P24" s="2" t="s">
        <v>769</v>
      </c>
      <c r="Q24" s="2">
        <v>43565</v>
      </c>
      <c r="R24" s="2"/>
      <c r="S24" s="7">
        <f t="shared" si="0"/>
        <v>0</v>
      </c>
    </row>
    <row r="25" spans="1:19" x14ac:dyDescent="0.25">
      <c r="A25" s="12">
        <v>24</v>
      </c>
      <c r="B25" s="2" t="s">
        <v>149</v>
      </c>
      <c r="C25" s="2" t="s">
        <v>15</v>
      </c>
      <c r="D25" s="2" t="s">
        <v>150</v>
      </c>
      <c r="E25" s="2" t="s">
        <v>86</v>
      </c>
      <c r="F25" s="2" t="s">
        <v>151</v>
      </c>
      <c r="G25" s="2" t="s">
        <v>152</v>
      </c>
      <c r="H25" s="2" t="s">
        <v>153</v>
      </c>
      <c r="I25" s="3">
        <v>45662</v>
      </c>
      <c r="J25" s="3">
        <v>46027</v>
      </c>
      <c r="K25" s="2" t="s">
        <v>21</v>
      </c>
      <c r="L25" s="4">
        <v>1822500</v>
      </c>
      <c r="M25" s="4">
        <v>27338</v>
      </c>
      <c r="N25" s="2" t="s">
        <v>22</v>
      </c>
      <c r="O25" s="2" t="s">
        <v>148</v>
      </c>
      <c r="P25" s="2" t="s">
        <v>770</v>
      </c>
      <c r="Q25" s="2">
        <v>27338</v>
      </c>
      <c r="R25" s="2"/>
      <c r="S25" s="7">
        <f t="shared" si="0"/>
        <v>0</v>
      </c>
    </row>
    <row r="26" spans="1:19" x14ac:dyDescent="0.25">
      <c r="A26" s="12">
        <v>25</v>
      </c>
      <c r="B26" s="2" t="s">
        <v>154</v>
      </c>
      <c r="C26" s="2" t="s">
        <v>15</v>
      </c>
      <c r="D26" s="2" t="s">
        <v>155</v>
      </c>
      <c r="E26" s="2" t="s">
        <v>40</v>
      </c>
      <c r="F26" s="2" t="s">
        <v>156</v>
      </c>
      <c r="G26" s="2" t="s">
        <v>157</v>
      </c>
      <c r="H26" s="2" t="s">
        <v>20</v>
      </c>
      <c r="I26" s="3">
        <v>45662</v>
      </c>
      <c r="J26" s="3">
        <v>46027</v>
      </c>
      <c r="K26" s="2" t="s">
        <v>21</v>
      </c>
      <c r="L26" s="4">
        <v>1099332</v>
      </c>
      <c r="M26" s="4">
        <v>16490</v>
      </c>
      <c r="N26" s="2" t="s">
        <v>22</v>
      </c>
      <c r="O26" s="2" t="s">
        <v>148</v>
      </c>
      <c r="P26" s="2" t="s">
        <v>771</v>
      </c>
      <c r="Q26" s="2">
        <v>16490</v>
      </c>
      <c r="R26" s="2"/>
      <c r="S26" s="7">
        <f t="shared" si="0"/>
        <v>0</v>
      </c>
    </row>
    <row r="27" spans="1:19" x14ac:dyDescent="0.25">
      <c r="A27" s="12">
        <v>26</v>
      </c>
      <c r="B27" s="2" t="s">
        <v>158</v>
      </c>
      <c r="C27" s="2" t="s">
        <v>15</v>
      </c>
      <c r="D27" s="2" t="s">
        <v>159</v>
      </c>
      <c r="E27" s="2" t="s">
        <v>86</v>
      </c>
      <c r="F27" s="2" t="s">
        <v>160</v>
      </c>
      <c r="G27" s="2" t="s">
        <v>161</v>
      </c>
      <c r="H27" s="2" t="s">
        <v>162</v>
      </c>
      <c r="I27" s="3">
        <v>45662</v>
      </c>
      <c r="J27" s="3">
        <v>46027</v>
      </c>
      <c r="K27" s="2" t="s">
        <v>21</v>
      </c>
      <c r="L27" s="4">
        <v>2632500</v>
      </c>
      <c r="M27" s="4">
        <v>39488</v>
      </c>
      <c r="N27" s="2" t="s">
        <v>22</v>
      </c>
      <c r="O27" s="2" t="s">
        <v>148</v>
      </c>
      <c r="P27" s="2" t="s">
        <v>772</v>
      </c>
      <c r="Q27" s="2">
        <v>39488</v>
      </c>
      <c r="R27" s="2"/>
      <c r="S27" s="7">
        <f t="shared" si="0"/>
        <v>0</v>
      </c>
    </row>
    <row r="28" spans="1:19" x14ac:dyDescent="0.25">
      <c r="A28" s="12">
        <v>27</v>
      </c>
      <c r="B28" s="2" t="s">
        <v>163</v>
      </c>
      <c r="C28" s="2" t="s">
        <v>15</v>
      </c>
      <c r="D28" s="2" t="s">
        <v>164</v>
      </c>
      <c r="E28" s="2" t="s">
        <v>165</v>
      </c>
      <c r="F28" s="2" t="s">
        <v>166</v>
      </c>
      <c r="G28" s="2" t="s">
        <v>167</v>
      </c>
      <c r="H28" s="2" t="s">
        <v>168</v>
      </c>
      <c r="I28" s="3">
        <v>45662</v>
      </c>
      <c r="J28" s="3">
        <v>46027</v>
      </c>
      <c r="K28" s="2" t="s">
        <v>21</v>
      </c>
      <c r="L28" s="4">
        <v>4502353</v>
      </c>
      <c r="M28" s="4">
        <v>67535</v>
      </c>
      <c r="N28" s="2" t="s">
        <v>22</v>
      </c>
      <c r="O28" s="2" t="s">
        <v>148</v>
      </c>
      <c r="P28" s="2" t="s">
        <v>773</v>
      </c>
      <c r="Q28" s="2">
        <v>67535</v>
      </c>
      <c r="R28" s="2"/>
      <c r="S28" s="7">
        <f t="shared" si="0"/>
        <v>0</v>
      </c>
    </row>
    <row r="29" spans="1:19" x14ac:dyDescent="0.25">
      <c r="A29" s="12">
        <v>28</v>
      </c>
      <c r="B29" s="2" t="s">
        <v>169</v>
      </c>
      <c r="C29" s="2" t="s">
        <v>15</v>
      </c>
      <c r="D29" s="2" t="s">
        <v>170</v>
      </c>
      <c r="E29" s="2" t="s">
        <v>81</v>
      </c>
      <c r="F29" s="6" t="s">
        <v>878</v>
      </c>
      <c r="G29" s="2" t="s">
        <v>171</v>
      </c>
      <c r="H29" s="2" t="s">
        <v>172</v>
      </c>
      <c r="I29" s="3">
        <v>45662</v>
      </c>
      <c r="J29" s="3">
        <v>46027</v>
      </c>
      <c r="K29" s="2" t="s">
        <v>21</v>
      </c>
      <c r="L29" s="4">
        <v>1717200</v>
      </c>
      <c r="M29" s="4">
        <v>25758</v>
      </c>
      <c r="N29" s="2" t="s">
        <v>22</v>
      </c>
      <c r="O29" s="2" t="s">
        <v>148</v>
      </c>
      <c r="P29" s="2" t="s">
        <v>887</v>
      </c>
      <c r="Q29" s="2">
        <v>25758</v>
      </c>
      <c r="R29" s="2"/>
      <c r="S29" s="7">
        <f t="shared" si="0"/>
        <v>0</v>
      </c>
    </row>
    <row r="30" spans="1:19" x14ac:dyDescent="0.25">
      <c r="A30" s="12">
        <v>29</v>
      </c>
      <c r="B30" s="2" t="s">
        <v>173</v>
      </c>
      <c r="C30" s="2" t="s">
        <v>174</v>
      </c>
      <c r="D30" s="2" t="s">
        <v>175</v>
      </c>
      <c r="E30" s="2" t="s">
        <v>176</v>
      </c>
      <c r="F30" s="6" t="s">
        <v>879</v>
      </c>
      <c r="G30" s="2" t="s">
        <v>177</v>
      </c>
      <c r="H30" s="2" t="s">
        <v>178</v>
      </c>
      <c r="I30" s="3">
        <v>45689</v>
      </c>
      <c r="J30" s="3">
        <v>46054</v>
      </c>
      <c r="K30" s="2" t="s">
        <v>21</v>
      </c>
      <c r="L30" s="4">
        <v>1856763</v>
      </c>
      <c r="M30" s="4">
        <v>27851</v>
      </c>
      <c r="N30" s="2" t="s">
        <v>22</v>
      </c>
      <c r="O30" s="2" t="s">
        <v>148</v>
      </c>
      <c r="P30" s="2" t="s">
        <v>888</v>
      </c>
      <c r="Q30" s="2">
        <v>27851</v>
      </c>
      <c r="R30" s="2"/>
      <c r="S30" s="7">
        <f t="shared" si="0"/>
        <v>0</v>
      </c>
    </row>
    <row r="31" spans="1:19" x14ac:dyDescent="0.25">
      <c r="A31" s="12">
        <v>30</v>
      </c>
      <c r="B31" s="2" t="s">
        <v>179</v>
      </c>
      <c r="C31" s="2" t="s">
        <v>174</v>
      </c>
      <c r="D31" s="2" t="s">
        <v>180</v>
      </c>
      <c r="E31" s="2" t="s">
        <v>181</v>
      </c>
      <c r="F31" s="2" t="s">
        <v>182</v>
      </c>
      <c r="G31" s="2" t="s">
        <v>183</v>
      </c>
      <c r="H31" s="2" t="s">
        <v>184</v>
      </c>
      <c r="I31" s="3">
        <v>45667</v>
      </c>
      <c r="J31" s="3">
        <v>46032</v>
      </c>
      <c r="K31" s="2" t="s">
        <v>21</v>
      </c>
      <c r="L31" s="4">
        <v>2340000</v>
      </c>
      <c r="M31" s="4">
        <v>35100</v>
      </c>
      <c r="N31" s="2" t="s">
        <v>22</v>
      </c>
      <c r="O31" s="2" t="s">
        <v>148</v>
      </c>
      <c r="P31" s="2" t="s">
        <v>774</v>
      </c>
      <c r="Q31" s="2">
        <v>35100</v>
      </c>
      <c r="R31" s="2"/>
      <c r="S31" s="7">
        <f t="shared" si="0"/>
        <v>0</v>
      </c>
    </row>
    <row r="32" spans="1:19" x14ac:dyDescent="0.25">
      <c r="A32" s="12">
        <v>31</v>
      </c>
      <c r="B32" s="2" t="s">
        <v>185</v>
      </c>
      <c r="C32" s="2" t="s">
        <v>174</v>
      </c>
      <c r="D32" s="2" t="s">
        <v>186</v>
      </c>
      <c r="E32" s="2" t="s">
        <v>17</v>
      </c>
      <c r="F32" s="2" t="s">
        <v>187</v>
      </c>
      <c r="G32" s="2" t="s">
        <v>188</v>
      </c>
      <c r="H32" s="2" t="s">
        <v>189</v>
      </c>
      <c r="I32" s="3">
        <v>45667</v>
      </c>
      <c r="J32" s="3">
        <v>46032</v>
      </c>
      <c r="K32" s="2" t="s">
        <v>21</v>
      </c>
      <c r="L32" s="4">
        <v>2025000</v>
      </c>
      <c r="M32" s="4">
        <v>30375</v>
      </c>
      <c r="N32" s="2" t="s">
        <v>22</v>
      </c>
      <c r="O32" s="2" t="s">
        <v>148</v>
      </c>
      <c r="P32" s="2" t="s">
        <v>775</v>
      </c>
      <c r="Q32" s="2">
        <v>30375</v>
      </c>
      <c r="R32" s="2"/>
      <c r="S32" s="7">
        <f t="shared" si="0"/>
        <v>0</v>
      </c>
    </row>
    <row r="33" spans="1:19" x14ac:dyDescent="0.25">
      <c r="A33" s="12">
        <v>32</v>
      </c>
      <c r="B33" s="2" t="s">
        <v>190</v>
      </c>
      <c r="C33" s="2" t="s">
        <v>174</v>
      </c>
      <c r="D33" s="2" t="s">
        <v>191</v>
      </c>
      <c r="E33" s="2" t="s">
        <v>192</v>
      </c>
      <c r="F33" s="2" t="s">
        <v>193</v>
      </c>
      <c r="G33" s="2" t="s">
        <v>194</v>
      </c>
      <c r="H33" s="2" t="s">
        <v>195</v>
      </c>
      <c r="I33" s="3">
        <v>45667</v>
      </c>
      <c r="J33" s="3">
        <v>46032</v>
      </c>
      <c r="K33" s="2" t="s">
        <v>21</v>
      </c>
      <c r="L33" s="4">
        <v>1120473</v>
      </c>
      <c r="M33" s="4">
        <v>16807</v>
      </c>
      <c r="N33" s="2" t="s">
        <v>22</v>
      </c>
      <c r="O33" s="2" t="s">
        <v>148</v>
      </c>
      <c r="P33" s="2" t="s">
        <v>776</v>
      </c>
      <c r="Q33" s="2">
        <v>16807</v>
      </c>
      <c r="R33" s="2"/>
      <c r="S33" s="7">
        <f t="shared" si="0"/>
        <v>0</v>
      </c>
    </row>
    <row r="34" spans="1:19" x14ac:dyDescent="0.25">
      <c r="A34" s="12">
        <v>33</v>
      </c>
      <c r="B34" s="2" t="s">
        <v>196</v>
      </c>
      <c r="C34" s="2" t="s">
        <v>197</v>
      </c>
      <c r="D34" s="2" t="s">
        <v>198</v>
      </c>
      <c r="E34" s="2" t="s">
        <v>97</v>
      </c>
      <c r="F34" s="2" t="s">
        <v>199</v>
      </c>
      <c r="G34" s="2" t="s">
        <v>200</v>
      </c>
      <c r="H34" s="2" t="s">
        <v>201</v>
      </c>
      <c r="I34" s="3">
        <v>45698</v>
      </c>
      <c r="J34" s="3">
        <v>46063</v>
      </c>
      <c r="K34" s="2" t="s">
        <v>21</v>
      </c>
      <c r="L34" s="4">
        <v>2430000</v>
      </c>
      <c r="M34" s="4">
        <v>36450</v>
      </c>
      <c r="N34" s="2" t="s">
        <v>22</v>
      </c>
      <c r="O34" s="2" t="s">
        <v>148</v>
      </c>
      <c r="P34" s="2" t="s">
        <v>777</v>
      </c>
      <c r="Q34" s="2">
        <v>36450</v>
      </c>
      <c r="R34" s="2"/>
      <c r="S34" s="7">
        <f t="shared" si="0"/>
        <v>0</v>
      </c>
    </row>
    <row r="35" spans="1:19" x14ac:dyDescent="0.25">
      <c r="A35" s="12">
        <v>34</v>
      </c>
      <c r="B35" s="2" t="s">
        <v>202</v>
      </c>
      <c r="C35" s="2" t="s">
        <v>197</v>
      </c>
      <c r="D35" s="2" t="s">
        <v>203</v>
      </c>
      <c r="E35" s="2" t="s">
        <v>40</v>
      </c>
      <c r="F35" s="2" t="s">
        <v>204</v>
      </c>
      <c r="G35" s="2" t="s">
        <v>205</v>
      </c>
      <c r="H35" s="2" t="s">
        <v>206</v>
      </c>
      <c r="I35" s="3">
        <v>45682</v>
      </c>
      <c r="J35" s="3">
        <v>46047</v>
      </c>
      <c r="K35" s="2" t="s">
        <v>21</v>
      </c>
      <c r="L35" s="4">
        <v>2025000</v>
      </c>
      <c r="M35" s="4">
        <v>30375</v>
      </c>
      <c r="N35" s="2" t="s">
        <v>22</v>
      </c>
      <c r="O35" s="2" t="s">
        <v>148</v>
      </c>
      <c r="P35" s="2" t="s">
        <v>778</v>
      </c>
      <c r="Q35" s="2">
        <v>30375</v>
      </c>
      <c r="R35" s="2"/>
      <c r="S35" s="7">
        <f t="shared" si="0"/>
        <v>0</v>
      </c>
    </row>
    <row r="36" spans="1:19" x14ac:dyDescent="0.25">
      <c r="A36" s="12">
        <v>35</v>
      </c>
      <c r="B36" s="2" t="s">
        <v>207</v>
      </c>
      <c r="C36" s="2" t="s">
        <v>197</v>
      </c>
      <c r="D36" s="2" t="s">
        <v>208</v>
      </c>
      <c r="E36" s="2" t="s">
        <v>209</v>
      </c>
      <c r="F36" s="2" t="s">
        <v>210</v>
      </c>
      <c r="G36" s="2" t="s">
        <v>211</v>
      </c>
      <c r="H36" s="2" t="s">
        <v>212</v>
      </c>
      <c r="I36" s="3">
        <v>45662</v>
      </c>
      <c r="J36" s="3">
        <v>46027</v>
      </c>
      <c r="K36" s="2" t="s">
        <v>21</v>
      </c>
      <c r="L36" s="4">
        <v>2115000</v>
      </c>
      <c r="M36" s="4">
        <v>31725</v>
      </c>
      <c r="N36" s="2" t="s">
        <v>22</v>
      </c>
      <c r="O36" s="2" t="s">
        <v>148</v>
      </c>
      <c r="P36" s="2" t="s">
        <v>779</v>
      </c>
      <c r="Q36" s="2">
        <v>31725</v>
      </c>
      <c r="R36" s="2"/>
      <c r="S36" s="7">
        <f t="shared" si="0"/>
        <v>0</v>
      </c>
    </row>
    <row r="37" spans="1:19" x14ac:dyDescent="0.25">
      <c r="A37" s="12">
        <v>36</v>
      </c>
      <c r="B37" s="2" t="s">
        <v>213</v>
      </c>
      <c r="C37" s="2" t="s">
        <v>214</v>
      </c>
      <c r="D37" s="2" t="s">
        <v>215</v>
      </c>
      <c r="E37" s="2" t="s">
        <v>40</v>
      </c>
      <c r="F37" s="2" t="s">
        <v>216</v>
      </c>
      <c r="G37" s="2" t="s">
        <v>217</v>
      </c>
      <c r="H37" s="2" t="s">
        <v>218</v>
      </c>
      <c r="I37" s="3">
        <v>45667</v>
      </c>
      <c r="J37" s="3">
        <v>46032</v>
      </c>
      <c r="K37" s="2" t="s">
        <v>21</v>
      </c>
      <c r="L37" s="4">
        <v>1600560</v>
      </c>
      <c r="M37" s="4">
        <v>24008</v>
      </c>
      <c r="N37" s="2" t="s">
        <v>22</v>
      </c>
      <c r="O37" s="2" t="s">
        <v>148</v>
      </c>
      <c r="P37" s="2" t="s">
        <v>780</v>
      </c>
      <c r="Q37" s="2">
        <v>24008</v>
      </c>
      <c r="R37" s="2"/>
      <c r="S37" s="7">
        <f t="shared" si="0"/>
        <v>0</v>
      </c>
    </row>
    <row r="38" spans="1:19" x14ac:dyDescent="0.25">
      <c r="A38" s="12">
        <v>37</v>
      </c>
      <c r="B38" s="2" t="s">
        <v>219</v>
      </c>
      <c r="C38" s="2" t="s">
        <v>214</v>
      </c>
      <c r="D38" s="2" t="s">
        <v>220</v>
      </c>
      <c r="E38" s="2" t="s">
        <v>221</v>
      </c>
      <c r="F38" s="2" t="s">
        <v>222</v>
      </c>
      <c r="G38" s="2" t="s">
        <v>223</v>
      </c>
      <c r="H38" s="2" t="s">
        <v>20</v>
      </c>
      <c r="I38" s="3">
        <v>45667</v>
      </c>
      <c r="J38" s="3">
        <v>46032</v>
      </c>
      <c r="K38" s="2" t="s">
        <v>21</v>
      </c>
      <c r="L38" s="4">
        <v>1566621</v>
      </c>
      <c r="M38" s="4">
        <v>23499</v>
      </c>
      <c r="N38" s="2" t="s">
        <v>22</v>
      </c>
      <c r="O38" s="2" t="s">
        <v>148</v>
      </c>
      <c r="P38" s="2" t="s">
        <v>781</v>
      </c>
      <c r="Q38" s="2">
        <v>23499</v>
      </c>
      <c r="R38" s="2"/>
      <c r="S38" s="7">
        <f t="shared" si="0"/>
        <v>0</v>
      </c>
    </row>
    <row r="39" spans="1:19" x14ac:dyDescent="0.25">
      <c r="A39" s="12">
        <v>38</v>
      </c>
      <c r="B39" s="2" t="s">
        <v>224</v>
      </c>
      <c r="C39" s="2" t="s">
        <v>225</v>
      </c>
      <c r="D39" s="2" t="s">
        <v>226</v>
      </c>
      <c r="E39" s="2" t="s">
        <v>40</v>
      </c>
      <c r="F39" s="2" t="s">
        <v>227</v>
      </c>
      <c r="G39" s="2" t="s">
        <v>228</v>
      </c>
      <c r="H39" s="2" t="s">
        <v>229</v>
      </c>
      <c r="I39" s="3">
        <v>45682</v>
      </c>
      <c r="J39" s="3">
        <v>46047</v>
      </c>
      <c r="K39" s="2" t="s">
        <v>21</v>
      </c>
      <c r="L39" s="4">
        <v>1600560</v>
      </c>
      <c r="M39" s="4">
        <v>24008</v>
      </c>
      <c r="N39" s="2" t="s">
        <v>22</v>
      </c>
      <c r="O39" s="2" t="s">
        <v>148</v>
      </c>
      <c r="P39" s="2" t="s">
        <v>782</v>
      </c>
      <c r="Q39" s="2">
        <v>24008</v>
      </c>
      <c r="R39" s="2"/>
      <c r="S39" s="7">
        <f t="shared" si="0"/>
        <v>0</v>
      </c>
    </row>
    <row r="40" spans="1:19" x14ac:dyDescent="0.25">
      <c r="A40" s="12">
        <v>39</v>
      </c>
      <c r="B40" s="2" t="s">
        <v>230</v>
      </c>
      <c r="C40" s="2" t="s">
        <v>225</v>
      </c>
      <c r="D40" s="2" t="s">
        <v>231</v>
      </c>
      <c r="E40" s="2" t="s">
        <v>209</v>
      </c>
      <c r="F40" s="2" t="s">
        <v>232</v>
      </c>
      <c r="G40" s="2" t="s">
        <v>233</v>
      </c>
      <c r="H40" s="2" t="s">
        <v>234</v>
      </c>
      <c r="I40" s="3">
        <v>45677</v>
      </c>
      <c r="J40" s="3">
        <v>46042</v>
      </c>
      <c r="K40" s="2" t="s">
        <v>21</v>
      </c>
      <c r="L40" s="4">
        <v>2076840</v>
      </c>
      <c r="M40" s="4">
        <v>31153</v>
      </c>
      <c r="N40" s="2" t="s">
        <v>22</v>
      </c>
      <c r="O40" s="2" t="s">
        <v>148</v>
      </c>
      <c r="P40" s="2" t="s">
        <v>783</v>
      </c>
      <c r="Q40" s="2">
        <v>31153</v>
      </c>
      <c r="R40" s="2"/>
      <c r="S40" s="7">
        <f t="shared" si="0"/>
        <v>0</v>
      </c>
    </row>
    <row r="41" spans="1:19" x14ac:dyDescent="0.25">
      <c r="A41" s="12">
        <v>40</v>
      </c>
      <c r="B41" s="2" t="s">
        <v>235</v>
      </c>
      <c r="C41" s="2" t="s">
        <v>225</v>
      </c>
      <c r="D41" s="2" t="s">
        <v>236</v>
      </c>
      <c r="E41" s="2" t="s">
        <v>92</v>
      </c>
      <c r="F41" s="2" t="s">
        <v>237</v>
      </c>
      <c r="G41" s="2" t="s">
        <v>238</v>
      </c>
      <c r="H41" s="2" t="s">
        <v>239</v>
      </c>
      <c r="I41" s="3">
        <v>45677</v>
      </c>
      <c r="J41" s="3">
        <v>46042</v>
      </c>
      <c r="K41" s="2" t="s">
        <v>21</v>
      </c>
      <c r="L41" s="4">
        <v>2641500</v>
      </c>
      <c r="M41" s="4">
        <v>39623</v>
      </c>
      <c r="N41" s="2" t="s">
        <v>22</v>
      </c>
      <c r="O41" s="2" t="s">
        <v>148</v>
      </c>
      <c r="P41" s="2" t="s">
        <v>784</v>
      </c>
      <c r="Q41" s="2">
        <v>39623</v>
      </c>
      <c r="R41" s="2"/>
      <c r="S41" s="7">
        <f t="shared" si="0"/>
        <v>0</v>
      </c>
    </row>
    <row r="42" spans="1:19" x14ac:dyDescent="0.25">
      <c r="A42" s="12">
        <v>41</v>
      </c>
      <c r="B42" s="2" t="s">
        <v>240</v>
      </c>
      <c r="C42" s="2" t="s">
        <v>225</v>
      </c>
      <c r="D42" s="2" t="s">
        <v>241</v>
      </c>
      <c r="E42" s="2" t="s">
        <v>92</v>
      </c>
      <c r="F42" s="2" t="s">
        <v>242</v>
      </c>
      <c r="G42" s="2" t="s">
        <v>243</v>
      </c>
      <c r="H42" s="2" t="s">
        <v>244</v>
      </c>
      <c r="I42" s="3">
        <v>45682</v>
      </c>
      <c r="J42" s="3">
        <v>46047</v>
      </c>
      <c r="K42" s="2" t="s">
        <v>21</v>
      </c>
      <c r="L42" s="4">
        <v>2641500</v>
      </c>
      <c r="M42" s="4">
        <v>39623</v>
      </c>
      <c r="N42" s="2" t="s">
        <v>22</v>
      </c>
      <c r="O42" s="2" t="s">
        <v>148</v>
      </c>
      <c r="P42" s="2" t="s">
        <v>785</v>
      </c>
      <c r="Q42" s="2">
        <v>39623</v>
      </c>
      <c r="R42" s="2"/>
      <c r="S42" s="7">
        <f t="shared" si="0"/>
        <v>0</v>
      </c>
    </row>
    <row r="43" spans="1:19" x14ac:dyDescent="0.25">
      <c r="A43" s="12">
        <v>42</v>
      </c>
      <c r="B43" s="2" t="s">
        <v>245</v>
      </c>
      <c r="C43" s="2" t="s">
        <v>225</v>
      </c>
      <c r="D43" s="2" t="s">
        <v>246</v>
      </c>
      <c r="E43" s="2" t="s">
        <v>247</v>
      </c>
      <c r="F43" s="2" t="s">
        <v>248</v>
      </c>
      <c r="G43" s="2" t="s">
        <v>249</v>
      </c>
      <c r="H43" s="2" t="s">
        <v>250</v>
      </c>
      <c r="I43" s="3">
        <v>45693</v>
      </c>
      <c r="J43" s="3">
        <v>46058</v>
      </c>
      <c r="K43" s="2" t="s">
        <v>21</v>
      </c>
      <c r="L43" s="4">
        <v>3276900</v>
      </c>
      <c r="M43" s="4">
        <v>49154</v>
      </c>
      <c r="N43" s="2" t="s">
        <v>22</v>
      </c>
      <c r="O43" s="2" t="s">
        <v>148</v>
      </c>
      <c r="P43" s="2" t="s">
        <v>786</v>
      </c>
      <c r="Q43" s="2">
        <v>49154</v>
      </c>
      <c r="R43" s="2"/>
      <c r="S43" s="7">
        <f t="shared" si="0"/>
        <v>0</v>
      </c>
    </row>
    <row r="44" spans="1:19" x14ac:dyDescent="0.25">
      <c r="A44" s="12">
        <v>43</v>
      </c>
      <c r="B44" s="2" t="s">
        <v>251</v>
      </c>
      <c r="C44" s="2" t="s">
        <v>225</v>
      </c>
      <c r="D44" s="2" t="s">
        <v>252</v>
      </c>
      <c r="E44" s="2" t="s">
        <v>25</v>
      </c>
      <c r="F44" s="2" t="s">
        <v>253</v>
      </c>
      <c r="G44" s="2" t="s">
        <v>254</v>
      </c>
      <c r="H44" s="2" t="s">
        <v>255</v>
      </c>
      <c r="I44" s="3">
        <v>45703</v>
      </c>
      <c r="J44" s="3">
        <v>46068</v>
      </c>
      <c r="K44" s="2" t="s">
        <v>21</v>
      </c>
      <c r="L44" s="4">
        <v>3420000</v>
      </c>
      <c r="M44" s="4">
        <v>51300</v>
      </c>
      <c r="N44" s="2" t="s">
        <v>22</v>
      </c>
      <c r="O44" s="2" t="s">
        <v>148</v>
      </c>
      <c r="P44" s="2" t="s">
        <v>787</v>
      </c>
      <c r="Q44" s="2">
        <v>51300</v>
      </c>
      <c r="R44" s="2"/>
      <c r="S44" s="7">
        <f t="shared" si="0"/>
        <v>0</v>
      </c>
    </row>
    <row r="45" spans="1:19" x14ac:dyDescent="0.25">
      <c r="A45" s="12">
        <v>44</v>
      </c>
      <c r="B45" s="2" t="s">
        <v>256</v>
      </c>
      <c r="C45" s="2" t="s">
        <v>225</v>
      </c>
      <c r="D45" s="2" t="s">
        <v>257</v>
      </c>
      <c r="E45" s="2" t="s">
        <v>258</v>
      </c>
      <c r="F45" s="2" t="s">
        <v>259</v>
      </c>
      <c r="G45" s="2" t="s">
        <v>260</v>
      </c>
      <c r="H45" s="2" t="s">
        <v>261</v>
      </c>
      <c r="I45" s="3">
        <v>45672</v>
      </c>
      <c r="J45" s="3">
        <v>46037</v>
      </c>
      <c r="K45" s="2" t="s">
        <v>21</v>
      </c>
      <c r="L45" s="4">
        <v>3240000</v>
      </c>
      <c r="M45" s="4">
        <v>48600</v>
      </c>
      <c r="N45" s="2" t="s">
        <v>22</v>
      </c>
      <c r="O45" s="2" t="s">
        <v>148</v>
      </c>
      <c r="P45" s="2" t="s">
        <v>788</v>
      </c>
      <c r="Q45" s="2">
        <v>48600</v>
      </c>
      <c r="R45" s="2"/>
      <c r="S45" s="7">
        <f t="shared" si="0"/>
        <v>0</v>
      </c>
    </row>
    <row r="46" spans="1:19" x14ac:dyDescent="0.25">
      <c r="A46" s="12">
        <v>45</v>
      </c>
      <c r="B46" s="2" t="s">
        <v>262</v>
      </c>
      <c r="C46" s="2" t="s">
        <v>225</v>
      </c>
      <c r="D46" s="2" t="s">
        <v>263</v>
      </c>
      <c r="E46" s="2" t="s">
        <v>144</v>
      </c>
      <c r="F46" s="2" t="s">
        <v>264</v>
      </c>
      <c r="G46" s="2" t="s">
        <v>265</v>
      </c>
      <c r="H46" s="2" t="s">
        <v>266</v>
      </c>
      <c r="I46" s="3">
        <v>45689</v>
      </c>
      <c r="J46" s="3">
        <v>46054</v>
      </c>
      <c r="K46" s="2" t="s">
        <v>21</v>
      </c>
      <c r="L46" s="4">
        <v>1876577</v>
      </c>
      <c r="M46" s="4">
        <v>37532</v>
      </c>
      <c r="N46" s="2" t="s">
        <v>141</v>
      </c>
      <c r="O46" s="2" t="s">
        <v>148</v>
      </c>
      <c r="P46" s="2" t="s">
        <v>789</v>
      </c>
      <c r="Q46" s="2">
        <v>37532</v>
      </c>
      <c r="R46" s="2"/>
      <c r="S46" s="7">
        <f t="shared" si="0"/>
        <v>0</v>
      </c>
    </row>
    <row r="47" spans="1:19" x14ac:dyDescent="0.25">
      <c r="A47" s="12">
        <v>46</v>
      </c>
      <c r="B47" s="2" t="s">
        <v>267</v>
      </c>
      <c r="C47" s="2" t="s">
        <v>225</v>
      </c>
      <c r="D47" s="2" t="s">
        <v>268</v>
      </c>
      <c r="E47" s="2" t="s">
        <v>43</v>
      </c>
      <c r="F47" s="2" t="s">
        <v>269</v>
      </c>
      <c r="G47" s="2" t="s">
        <v>270</v>
      </c>
      <c r="H47" s="2" t="s">
        <v>271</v>
      </c>
      <c r="I47" s="3">
        <v>45672</v>
      </c>
      <c r="J47" s="3">
        <v>46037</v>
      </c>
      <c r="K47" s="2" t="s">
        <v>21</v>
      </c>
      <c r="L47" s="4">
        <v>1246590</v>
      </c>
      <c r="M47" s="4">
        <v>24932</v>
      </c>
      <c r="N47" s="2" t="s">
        <v>141</v>
      </c>
      <c r="O47" s="2" t="s">
        <v>148</v>
      </c>
      <c r="P47" s="2" t="s">
        <v>790</v>
      </c>
      <c r="Q47" s="2">
        <v>24932</v>
      </c>
      <c r="R47" s="2"/>
      <c r="S47" s="7">
        <f t="shared" si="0"/>
        <v>0</v>
      </c>
    </row>
    <row r="48" spans="1:19" x14ac:dyDescent="0.25">
      <c r="A48" s="12">
        <v>47</v>
      </c>
      <c r="B48" s="2" t="s">
        <v>272</v>
      </c>
      <c r="C48" s="2" t="s">
        <v>225</v>
      </c>
      <c r="D48" s="2" t="s">
        <v>273</v>
      </c>
      <c r="E48" s="2" t="s">
        <v>274</v>
      </c>
      <c r="F48" s="2" t="s">
        <v>275</v>
      </c>
      <c r="G48" s="2" t="s">
        <v>276</v>
      </c>
      <c r="H48" s="2" t="s">
        <v>277</v>
      </c>
      <c r="I48" s="3">
        <v>45682</v>
      </c>
      <c r="J48" s="3">
        <v>46047</v>
      </c>
      <c r="K48" s="2" t="s">
        <v>21</v>
      </c>
      <c r="L48" s="4">
        <v>1206495</v>
      </c>
      <c r="M48" s="4">
        <v>18097</v>
      </c>
      <c r="N48" s="2" t="s">
        <v>278</v>
      </c>
      <c r="O48" s="2" t="s">
        <v>148</v>
      </c>
      <c r="P48" s="2" t="s">
        <v>791</v>
      </c>
      <c r="Q48" s="2">
        <v>18097</v>
      </c>
      <c r="R48" s="2"/>
      <c r="S48" s="7">
        <f t="shared" si="0"/>
        <v>0</v>
      </c>
    </row>
    <row r="49" spans="1:19" x14ac:dyDescent="0.25">
      <c r="A49" s="12">
        <v>48</v>
      </c>
      <c r="B49" s="2" t="s">
        <v>279</v>
      </c>
      <c r="C49" s="2" t="s">
        <v>225</v>
      </c>
      <c r="D49" s="2" t="s">
        <v>280</v>
      </c>
      <c r="E49" s="2" t="s">
        <v>281</v>
      </c>
      <c r="F49" s="2" t="s">
        <v>282</v>
      </c>
      <c r="G49" s="2" t="s">
        <v>283</v>
      </c>
      <c r="H49" s="2" t="s">
        <v>284</v>
      </c>
      <c r="I49" s="3">
        <v>45677</v>
      </c>
      <c r="J49" s="3">
        <v>46042</v>
      </c>
      <c r="K49" s="2" t="s">
        <v>21</v>
      </c>
      <c r="L49" s="4">
        <v>2138157</v>
      </c>
      <c r="M49" s="4">
        <v>32072</v>
      </c>
      <c r="N49" s="2" t="s">
        <v>278</v>
      </c>
      <c r="O49" s="2" t="s">
        <v>148</v>
      </c>
      <c r="P49" s="2" t="s">
        <v>792</v>
      </c>
      <c r="Q49" s="2">
        <v>32072</v>
      </c>
      <c r="R49" s="2"/>
      <c r="S49" s="7">
        <f t="shared" si="0"/>
        <v>0</v>
      </c>
    </row>
    <row r="50" spans="1:19" x14ac:dyDescent="0.25">
      <c r="A50" s="12">
        <v>49</v>
      </c>
      <c r="B50" s="2" t="s">
        <v>285</v>
      </c>
      <c r="C50" s="2" t="s">
        <v>225</v>
      </c>
      <c r="D50" s="2" t="s">
        <v>286</v>
      </c>
      <c r="E50" s="2" t="s">
        <v>137</v>
      </c>
      <c r="F50" s="2" t="s">
        <v>287</v>
      </c>
      <c r="G50" s="2" t="s">
        <v>288</v>
      </c>
      <c r="H50" s="2" t="s">
        <v>289</v>
      </c>
      <c r="I50" s="3">
        <v>45672</v>
      </c>
      <c r="J50" s="3">
        <v>46037</v>
      </c>
      <c r="K50" s="2" t="s">
        <v>21</v>
      </c>
      <c r="L50" s="4">
        <v>1099332</v>
      </c>
      <c r="M50" s="4">
        <v>16490</v>
      </c>
      <c r="N50" s="2" t="s">
        <v>278</v>
      </c>
      <c r="O50" s="2" t="s">
        <v>148</v>
      </c>
      <c r="P50" s="2" t="s">
        <v>793</v>
      </c>
      <c r="Q50" s="2">
        <v>16490</v>
      </c>
      <c r="R50" s="2"/>
      <c r="S50" s="7">
        <f t="shared" si="0"/>
        <v>0</v>
      </c>
    </row>
    <row r="51" spans="1:19" x14ac:dyDescent="0.25">
      <c r="A51" s="12">
        <v>50</v>
      </c>
      <c r="B51" s="2" t="s">
        <v>290</v>
      </c>
      <c r="C51" s="2" t="s">
        <v>225</v>
      </c>
      <c r="D51" s="2" t="s">
        <v>291</v>
      </c>
      <c r="E51" s="2" t="s">
        <v>292</v>
      </c>
      <c r="F51" s="2" t="s">
        <v>293</v>
      </c>
      <c r="G51" s="2" t="s">
        <v>294</v>
      </c>
      <c r="H51" s="2" t="s">
        <v>295</v>
      </c>
      <c r="I51" s="3">
        <v>45672</v>
      </c>
      <c r="J51" s="3">
        <v>46037</v>
      </c>
      <c r="K51" s="2" t="s">
        <v>21</v>
      </c>
      <c r="L51" s="4">
        <v>3360690</v>
      </c>
      <c r="M51" s="4">
        <v>50410</v>
      </c>
      <c r="N51" s="2" t="s">
        <v>278</v>
      </c>
      <c r="O51" s="2" t="s">
        <v>148</v>
      </c>
      <c r="P51" s="2" t="s">
        <v>794</v>
      </c>
      <c r="Q51" s="2">
        <v>50410</v>
      </c>
      <c r="R51" s="2"/>
      <c r="S51" s="7">
        <f t="shared" si="0"/>
        <v>0</v>
      </c>
    </row>
    <row r="52" spans="1:19" x14ac:dyDescent="0.25">
      <c r="A52" s="12">
        <v>51</v>
      </c>
      <c r="B52" s="2" t="s">
        <v>296</v>
      </c>
      <c r="C52" s="2" t="s">
        <v>225</v>
      </c>
      <c r="D52" s="2" t="s">
        <v>297</v>
      </c>
      <c r="E52" s="2" t="s">
        <v>40</v>
      </c>
      <c r="F52" s="2" t="s">
        <v>298</v>
      </c>
      <c r="G52" s="2" t="s">
        <v>299</v>
      </c>
      <c r="H52" s="2" t="s">
        <v>300</v>
      </c>
      <c r="I52" s="3">
        <v>45667</v>
      </c>
      <c r="J52" s="3">
        <v>46032</v>
      </c>
      <c r="K52" s="2" t="s">
        <v>21</v>
      </c>
      <c r="L52" s="4">
        <v>1600560</v>
      </c>
      <c r="M52" s="4">
        <v>24008</v>
      </c>
      <c r="N52" s="2" t="s">
        <v>22</v>
      </c>
      <c r="O52" s="2" t="s">
        <v>148</v>
      </c>
      <c r="P52" s="2" t="s">
        <v>795</v>
      </c>
      <c r="Q52" s="2">
        <v>24008</v>
      </c>
      <c r="R52" s="2"/>
      <c r="S52" s="7">
        <f t="shared" si="0"/>
        <v>0</v>
      </c>
    </row>
    <row r="53" spans="1:19" x14ac:dyDescent="0.25">
      <c r="A53" s="12">
        <v>52</v>
      </c>
      <c r="B53" s="2" t="s">
        <v>301</v>
      </c>
      <c r="C53" s="2" t="s">
        <v>225</v>
      </c>
      <c r="D53" s="2" t="s">
        <v>302</v>
      </c>
      <c r="E53" s="2" t="s">
        <v>40</v>
      </c>
      <c r="F53" s="2" t="s">
        <v>303</v>
      </c>
      <c r="G53" s="2" t="s">
        <v>304</v>
      </c>
      <c r="H53" s="2" t="s">
        <v>305</v>
      </c>
      <c r="I53" s="3">
        <v>45672</v>
      </c>
      <c r="J53" s="3">
        <v>46037</v>
      </c>
      <c r="K53" s="2" t="s">
        <v>21</v>
      </c>
      <c r="L53" s="4">
        <v>1403730</v>
      </c>
      <c r="M53" s="4">
        <v>21056</v>
      </c>
      <c r="N53" s="2" t="s">
        <v>22</v>
      </c>
      <c r="O53" s="2" t="s">
        <v>148</v>
      </c>
      <c r="P53" s="2" t="s">
        <v>796</v>
      </c>
      <c r="Q53" s="2">
        <v>21056</v>
      </c>
      <c r="R53" s="2"/>
      <c r="S53" s="7">
        <f t="shared" si="0"/>
        <v>0</v>
      </c>
    </row>
    <row r="54" spans="1:19" x14ac:dyDescent="0.25">
      <c r="A54" s="12">
        <v>53</v>
      </c>
      <c r="B54" s="2" t="s">
        <v>306</v>
      </c>
      <c r="C54" s="2" t="s">
        <v>225</v>
      </c>
      <c r="D54" s="2" t="s">
        <v>307</v>
      </c>
      <c r="E54" s="2" t="s">
        <v>209</v>
      </c>
      <c r="F54" s="2" t="s">
        <v>308</v>
      </c>
      <c r="G54" s="2" t="s">
        <v>309</v>
      </c>
      <c r="H54" s="2" t="s">
        <v>310</v>
      </c>
      <c r="I54" s="3">
        <v>45672</v>
      </c>
      <c r="J54" s="3">
        <v>46037</v>
      </c>
      <c r="K54" s="2" t="s">
        <v>21</v>
      </c>
      <c r="L54" s="4">
        <v>1498500</v>
      </c>
      <c r="M54" s="4">
        <v>22478</v>
      </c>
      <c r="N54" s="2" t="s">
        <v>22</v>
      </c>
      <c r="O54" s="2" t="s">
        <v>148</v>
      </c>
      <c r="P54" s="2" t="s">
        <v>797</v>
      </c>
      <c r="Q54" s="2">
        <v>22478</v>
      </c>
      <c r="R54" s="2"/>
      <c r="S54" s="7">
        <f t="shared" si="0"/>
        <v>0</v>
      </c>
    </row>
    <row r="55" spans="1:19" x14ac:dyDescent="0.25">
      <c r="A55" s="12">
        <v>54</v>
      </c>
      <c r="B55" s="2" t="s">
        <v>311</v>
      </c>
      <c r="C55" s="2" t="s">
        <v>225</v>
      </c>
      <c r="D55" s="2" t="s">
        <v>312</v>
      </c>
      <c r="E55" s="2" t="s">
        <v>313</v>
      </c>
      <c r="F55" s="6" t="s">
        <v>880</v>
      </c>
      <c r="G55" s="2" t="s">
        <v>314</v>
      </c>
      <c r="H55" s="2" t="s">
        <v>315</v>
      </c>
      <c r="I55" s="3">
        <v>45667</v>
      </c>
      <c r="J55" s="3">
        <v>46032</v>
      </c>
      <c r="K55" s="2" t="s">
        <v>21</v>
      </c>
      <c r="L55" s="4">
        <v>5041035</v>
      </c>
      <c r="M55" s="4">
        <v>75616</v>
      </c>
      <c r="N55" s="2" t="s">
        <v>22</v>
      </c>
      <c r="O55" s="2" t="s">
        <v>148</v>
      </c>
      <c r="P55" s="2" t="s">
        <v>889</v>
      </c>
      <c r="Q55" s="2">
        <v>75616</v>
      </c>
      <c r="R55" s="2"/>
      <c r="S55" s="7">
        <f t="shared" si="0"/>
        <v>0</v>
      </c>
    </row>
    <row r="56" spans="1:19" x14ac:dyDescent="0.25">
      <c r="A56" s="12">
        <v>55</v>
      </c>
      <c r="B56" s="2" t="s">
        <v>316</v>
      </c>
      <c r="C56" s="2" t="s">
        <v>225</v>
      </c>
      <c r="D56" s="2" t="s">
        <v>317</v>
      </c>
      <c r="E56" s="2" t="s">
        <v>318</v>
      </c>
      <c r="F56" s="2" t="s">
        <v>319</v>
      </c>
      <c r="G56" s="2" t="s">
        <v>320</v>
      </c>
      <c r="H56" s="2" t="s">
        <v>321</v>
      </c>
      <c r="I56" s="3">
        <v>45667</v>
      </c>
      <c r="J56" s="3">
        <v>46032</v>
      </c>
      <c r="K56" s="2" t="s">
        <v>21</v>
      </c>
      <c r="L56" s="4">
        <v>972000</v>
      </c>
      <c r="M56" s="4">
        <v>14580</v>
      </c>
      <c r="N56" s="2" t="s">
        <v>22</v>
      </c>
      <c r="O56" s="2" t="s">
        <v>148</v>
      </c>
      <c r="P56" s="2" t="s">
        <v>798</v>
      </c>
      <c r="Q56" s="2">
        <v>14580</v>
      </c>
      <c r="R56" s="2"/>
      <c r="S56" s="7">
        <f t="shared" si="0"/>
        <v>0</v>
      </c>
    </row>
    <row r="57" spans="1:19" x14ac:dyDescent="0.25">
      <c r="A57" s="12">
        <v>56</v>
      </c>
      <c r="B57" s="2" t="s">
        <v>322</v>
      </c>
      <c r="C57" s="2" t="s">
        <v>225</v>
      </c>
      <c r="D57" s="2" t="s">
        <v>323</v>
      </c>
      <c r="E57" s="2" t="s">
        <v>324</v>
      </c>
      <c r="F57" s="2" t="s">
        <v>325</v>
      </c>
      <c r="G57" s="2" t="s">
        <v>326</v>
      </c>
      <c r="H57" s="2" t="s">
        <v>327</v>
      </c>
      <c r="I57" s="3">
        <v>45667</v>
      </c>
      <c r="J57" s="3">
        <v>46032</v>
      </c>
      <c r="K57" s="2" t="s">
        <v>21</v>
      </c>
      <c r="L57" s="4">
        <v>1164942</v>
      </c>
      <c r="M57" s="4">
        <v>17474</v>
      </c>
      <c r="N57" s="2" t="s">
        <v>278</v>
      </c>
      <c r="O57" s="2" t="s">
        <v>148</v>
      </c>
      <c r="P57" s="2" t="s">
        <v>799</v>
      </c>
      <c r="Q57" s="2">
        <v>17474</v>
      </c>
      <c r="R57" s="2"/>
      <c r="S57" s="7">
        <f t="shared" si="0"/>
        <v>0</v>
      </c>
    </row>
    <row r="58" spans="1:19" x14ac:dyDescent="0.25">
      <c r="A58" s="12">
        <v>57</v>
      </c>
      <c r="B58" s="2" t="s">
        <v>328</v>
      </c>
      <c r="C58" s="2" t="s">
        <v>225</v>
      </c>
      <c r="D58" s="2" t="s">
        <v>329</v>
      </c>
      <c r="E58" s="2" t="s">
        <v>330</v>
      </c>
      <c r="F58" s="2" t="s">
        <v>331</v>
      </c>
      <c r="G58" s="2" t="s">
        <v>332</v>
      </c>
      <c r="H58" s="2" t="s">
        <v>333</v>
      </c>
      <c r="I58" s="3">
        <v>45658</v>
      </c>
      <c r="J58" s="3">
        <v>46023</v>
      </c>
      <c r="K58" s="2" t="s">
        <v>21</v>
      </c>
      <c r="L58" s="4">
        <v>2832894</v>
      </c>
      <c r="M58" s="4">
        <v>42493</v>
      </c>
      <c r="N58" s="2" t="s">
        <v>278</v>
      </c>
      <c r="O58" s="2" t="s">
        <v>148</v>
      </c>
      <c r="P58" s="2" t="s">
        <v>800</v>
      </c>
      <c r="Q58" s="2">
        <v>42493</v>
      </c>
      <c r="R58" s="2"/>
      <c r="S58" s="7">
        <f t="shared" si="0"/>
        <v>0</v>
      </c>
    </row>
    <row r="59" spans="1:19" x14ac:dyDescent="0.25">
      <c r="A59" s="12">
        <v>58</v>
      </c>
      <c r="B59" s="2" t="s">
        <v>334</v>
      </c>
      <c r="C59" s="2" t="s">
        <v>335</v>
      </c>
      <c r="D59" s="2" t="s">
        <v>336</v>
      </c>
      <c r="E59" s="2" t="s">
        <v>209</v>
      </c>
      <c r="F59" s="2" t="s">
        <v>337</v>
      </c>
      <c r="G59" s="2" t="s">
        <v>338</v>
      </c>
      <c r="H59" s="2" t="s">
        <v>339</v>
      </c>
      <c r="I59" s="3">
        <v>45677</v>
      </c>
      <c r="J59" s="3">
        <v>46042</v>
      </c>
      <c r="K59" s="2" t="s">
        <v>21</v>
      </c>
      <c r="L59" s="4">
        <v>1350108</v>
      </c>
      <c r="M59" s="4">
        <v>20252</v>
      </c>
      <c r="N59" s="2" t="s">
        <v>22</v>
      </c>
      <c r="O59" s="2" t="s">
        <v>148</v>
      </c>
      <c r="P59" s="2" t="s">
        <v>801</v>
      </c>
      <c r="Q59" s="2">
        <v>20252</v>
      </c>
      <c r="R59" s="2"/>
      <c r="S59" s="7">
        <f t="shared" si="0"/>
        <v>0</v>
      </c>
    </row>
    <row r="60" spans="1:19" x14ac:dyDescent="0.25">
      <c r="A60" s="12">
        <v>59</v>
      </c>
      <c r="B60" s="2" t="s">
        <v>340</v>
      </c>
      <c r="C60" s="2" t="s">
        <v>335</v>
      </c>
      <c r="D60" s="2" t="s">
        <v>341</v>
      </c>
      <c r="E60" s="2" t="s">
        <v>40</v>
      </c>
      <c r="F60" s="2" t="s">
        <v>342</v>
      </c>
      <c r="G60" s="2" t="s">
        <v>343</v>
      </c>
      <c r="H60" s="2" t="s">
        <v>344</v>
      </c>
      <c r="I60" s="3">
        <v>45693</v>
      </c>
      <c r="J60" s="3">
        <v>46058</v>
      </c>
      <c r="K60" s="2" t="s">
        <v>21</v>
      </c>
      <c r="L60" s="4">
        <v>1403730</v>
      </c>
      <c r="M60" s="4">
        <v>21056</v>
      </c>
      <c r="N60" s="2" t="s">
        <v>22</v>
      </c>
      <c r="O60" s="2" t="s">
        <v>148</v>
      </c>
      <c r="P60" s="2" t="s">
        <v>802</v>
      </c>
      <c r="Q60" s="2">
        <v>21056</v>
      </c>
      <c r="R60" s="2"/>
      <c r="S60" s="7">
        <f t="shared" si="0"/>
        <v>0</v>
      </c>
    </row>
    <row r="61" spans="1:19" x14ac:dyDescent="0.25">
      <c r="A61" s="12">
        <v>60</v>
      </c>
      <c r="B61" s="2" t="s">
        <v>345</v>
      </c>
      <c r="C61" s="2" t="s">
        <v>335</v>
      </c>
      <c r="D61" s="2" t="s">
        <v>346</v>
      </c>
      <c r="E61" s="2" t="s">
        <v>40</v>
      </c>
      <c r="F61" s="2" t="s">
        <v>347</v>
      </c>
      <c r="G61" s="2" t="s">
        <v>348</v>
      </c>
      <c r="H61" s="2" t="s">
        <v>349</v>
      </c>
      <c r="I61" s="3">
        <v>45698</v>
      </c>
      <c r="J61" s="3">
        <v>46063</v>
      </c>
      <c r="K61" s="2" t="s">
        <v>21</v>
      </c>
      <c r="L61" s="4">
        <v>2350800</v>
      </c>
      <c r="M61" s="4">
        <v>35262</v>
      </c>
      <c r="N61" s="2" t="s">
        <v>22</v>
      </c>
      <c r="O61" s="2" t="s">
        <v>148</v>
      </c>
      <c r="P61" s="2" t="s">
        <v>803</v>
      </c>
      <c r="Q61" s="2">
        <v>35262</v>
      </c>
      <c r="R61" s="2"/>
      <c r="S61" s="7">
        <f t="shared" si="0"/>
        <v>0</v>
      </c>
    </row>
    <row r="62" spans="1:19" x14ac:dyDescent="0.25">
      <c r="A62" s="12">
        <v>61</v>
      </c>
      <c r="B62" s="2" t="s">
        <v>350</v>
      </c>
      <c r="C62" s="2" t="s">
        <v>335</v>
      </c>
      <c r="D62" s="2" t="s">
        <v>351</v>
      </c>
      <c r="E62" s="2" t="s">
        <v>352</v>
      </c>
      <c r="F62" s="2" t="s">
        <v>353</v>
      </c>
      <c r="G62" s="2" t="s">
        <v>354</v>
      </c>
      <c r="H62" s="2" t="s">
        <v>355</v>
      </c>
      <c r="I62" s="3">
        <v>45693</v>
      </c>
      <c r="J62" s="3">
        <v>46058</v>
      </c>
      <c r="K62" s="2" t="s">
        <v>21</v>
      </c>
      <c r="L62" s="4">
        <v>2641500</v>
      </c>
      <c r="M62" s="4">
        <v>39623</v>
      </c>
      <c r="N62" s="2" t="s">
        <v>22</v>
      </c>
      <c r="O62" s="2" t="s">
        <v>148</v>
      </c>
      <c r="P62" s="2" t="s">
        <v>804</v>
      </c>
      <c r="Q62" s="2">
        <v>39623</v>
      </c>
      <c r="R62" s="2"/>
      <c r="S62" s="7">
        <f t="shared" si="0"/>
        <v>0</v>
      </c>
    </row>
    <row r="63" spans="1:19" x14ac:dyDescent="0.25">
      <c r="A63" s="12">
        <v>62</v>
      </c>
      <c r="B63" s="2" t="s">
        <v>356</v>
      </c>
      <c r="C63" s="2" t="s">
        <v>335</v>
      </c>
      <c r="D63" s="2" t="s">
        <v>357</v>
      </c>
      <c r="E63" s="2" t="s">
        <v>358</v>
      </c>
      <c r="F63" s="2" t="s">
        <v>359</v>
      </c>
      <c r="G63" s="2" t="s">
        <v>360</v>
      </c>
      <c r="H63" s="2" t="s">
        <v>361</v>
      </c>
      <c r="I63" s="3">
        <v>45703</v>
      </c>
      <c r="J63" s="3">
        <v>46068</v>
      </c>
      <c r="K63" s="2" t="s">
        <v>21</v>
      </c>
      <c r="L63" s="4">
        <v>4366800</v>
      </c>
      <c r="M63" s="4">
        <v>65502</v>
      </c>
      <c r="N63" s="2" t="s">
        <v>22</v>
      </c>
      <c r="O63" s="2" t="s">
        <v>148</v>
      </c>
      <c r="P63" s="2" t="s">
        <v>805</v>
      </c>
      <c r="Q63" s="2">
        <v>65502</v>
      </c>
      <c r="R63" s="2"/>
      <c r="S63" s="7">
        <f t="shared" si="0"/>
        <v>0</v>
      </c>
    </row>
    <row r="64" spans="1:19" x14ac:dyDescent="0.25">
      <c r="A64" s="12">
        <v>63</v>
      </c>
      <c r="B64" s="2" t="s">
        <v>362</v>
      </c>
      <c r="C64" s="2" t="s">
        <v>335</v>
      </c>
      <c r="D64" s="2" t="s">
        <v>363</v>
      </c>
      <c r="E64" s="2" t="s">
        <v>43</v>
      </c>
      <c r="F64" s="2" t="s">
        <v>364</v>
      </c>
      <c r="G64" s="2" t="s">
        <v>365</v>
      </c>
      <c r="H64" s="2" t="s">
        <v>366</v>
      </c>
      <c r="I64" s="3">
        <v>45698</v>
      </c>
      <c r="J64" s="3">
        <v>46063</v>
      </c>
      <c r="K64" s="2" t="s">
        <v>21</v>
      </c>
      <c r="L64" s="4">
        <v>1246590</v>
      </c>
      <c r="M64" s="4">
        <v>24932</v>
      </c>
      <c r="N64" s="2" t="s">
        <v>141</v>
      </c>
      <c r="O64" s="2" t="s">
        <v>148</v>
      </c>
      <c r="P64" s="2" t="s">
        <v>806</v>
      </c>
      <c r="Q64" s="2">
        <v>24932</v>
      </c>
      <c r="R64" s="2"/>
      <c r="S64" s="7">
        <f t="shared" si="0"/>
        <v>0</v>
      </c>
    </row>
    <row r="65" spans="1:19" x14ac:dyDescent="0.25">
      <c r="A65" s="12">
        <v>64</v>
      </c>
      <c r="B65" s="2" t="s">
        <v>367</v>
      </c>
      <c r="C65" s="2" t="s">
        <v>335</v>
      </c>
      <c r="D65" s="2" t="s">
        <v>368</v>
      </c>
      <c r="E65" s="2" t="s">
        <v>43</v>
      </c>
      <c r="F65" s="2" t="s">
        <v>369</v>
      </c>
      <c r="G65" s="2" t="s">
        <v>370</v>
      </c>
      <c r="H65" s="2" t="s">
        <v>371</v>
      </c>
      <c r="I65" s="3">
        <v>45703</v>
      </c>
      <c r="J65" s="3">
        <v>46068</v>
      </c>
      <c r="K65" s="2" t="s">
        <v>21</v>
      </c>
      <c r="L65" s="4">
        <v>1206495</v>
      </c>
      <c r="M65" s="4">
        <v>18097</v>
      </c>
      <c r="N65" s="2" t="s">
        <v>22</v>
      </c>
      <c r="O65" s="2" t="s">
        <v>148</v>
      </c>
      <c r="P65" s="2" t="s">
        <v>807</v>
      </c>
      <c r="Q65" s="2">
        <v>18097</v>
      </c>
      <c r="R65" s="2"/>
      <c r="S65" s="7">
        <f t="shared" si="0"/>
        <v>0</v>
      </c>
    </row>
    <row r="66" spans="1:19" x14ac:dyDescent="0.25">
      <c r="A66" s="12">
        <v>65</v>
      </c>
      <c r="B66" s="2" t="s">
        <v>372</v>
      </c>
      <c r="C66" s="2" t="s">
        <v>335</v>
      </c>
      <c r="D66" s="2" t="s">
        <v>373</v>
      </c>
      <c r="E66" s="2" t="s">
        <v>137</v>
      </c>
      <c r="F66" s="2" t="s">
        <v>374</v>
      </c>
      <c r="G66" s="2" t="s">
        <v>375</v>
      </c>
      <c r="H66" s="2" t="s">
        <v>376</v>
      </c>
      <c r="I66" s="3">
        <v>45677</v>
      </c>
      <c r="J66" s="3">
        <v>46042</v>
      </c>
      <c r="K66" s="2" t="s">
        <v>21</v>
      </c>
      <c r="L66" s="4">
        <v>973215</v>
      </c>
      <c r="M66" s="4">
        <v>14598</v>
      </c>
      <c r="N66" s="2" t="s">
        <v>22</v>
      </c>
      <c r="O66" s="2" t="s">
        <v>148</v>
      </c>
      <c r="P66" s="2" t="s">
        <v>808</v>
      </c>
      <c r="Q66" s="2">
        <v>14598</v>
      </c>
      <c r="R66" s="2"/>
      <c r="S66" s="7">
        <f t="shared" si="0"/>
        <v>0</v>
      </c>
    </row>
    <row r="67" spans="1:19" x14ac:dyDescent="0.25">
      <c r="A67" s="12">
        <v>66</v>
      </c>
      <c r="B67" s="2" t="s">
        <v>377</v>
      </c>
      <c r="C67" s="2" t="s">
        <v>335</v>
      </c>
      <c r="D67" s="2" t="s">
        <v>378</v>
      </c>
      <c r="E67" s="2" t="s">
        <v>379</v>
      </c>
      <c r="F67" s="2" t="s">
        <v>380</v>
      </c>
      <c r="G67" s="2" t="s">
        <v>381</v>
      </c>
      <c r="H67" s="2" t="s">
        <v>382</v>
      </c>
      <c r="I67" s="3">
        <v>45677</v>
      </c>
      <c r="J67" s="3">
        <v>46042</v>
      </c>
      <c r="K67" s="2" t="s">
        <v>21</v>
      </c>
      <c r="L67" s="4">
        <v>1904513</v>
      </c>
      <c r="M67" s="4">
        <v>28568</v>
      </c>
      <c r="N67" s="2" t="s">
        <v>22</v>
      </c>
      <c r="O67" s="2" t="s">
        <v>148</v>
      </c>
      <c r="P67" s="2" t="s">
        <v>809</v>
      </c>
      <c r="Q67" s="2">
        <v>28568</v>
      </c>
      <c r="R67" s="2"/>
      <c r="S67" s="7">
        <f t="shared" ref="S67:S130" si="1">Q67-M67</f>
        <v>0</v>
      </c>
    </row>
    <row r="68" spans="1:19" x14ac:dyDescent="0.25">
      <c r="A68" s="12">
        <v>67</v>
      </c>
      <c r="B68" s="2" t="s">
        <v>383</v>
      </c>
      <c r="C68" s="2" t="s">
        <v>335</v>
      </c>
      <c r="D68" s="2" t="s">
        <v>384</v>
      </c>
      <c r="E68" s="2" t="s">
        <v>385</v>
      </c>
      <c r="F68" s="2" t="s">
        <v>386</v>
      </c>
      <c r="G68" s="2" t="s">
        <v>387</v>
      </c>
      <c r="H68" s="2" t="s">
        <v>388</v>
      </c>
      <c r="I68" s="3">
        <v>45677</v>
      </c>
      <c r="J68" s="3">
        <v>46042</v>
      </c>
      <c r="K68" s="2" t="s">
        <v>21</v>
      </c>
      <c r="L68" s="4">
        <v>2859867</v>
      </c>
      <c r="M68" s="4">
        <v>42898</v>
      </c>
      <c r="N68" s="2" t="s">
        <v>22</v>
      </c>
      <c r="O68" s="2" t="s">
        <v>148</v>
      </c>
      <c r="P68" s="2" t="s">
        <v>810</v>
      </c>
      <c r="Q68" s="2">
        <v>42898</v>
      </c>
      <c r="R68" s="2"/>
      <c r="S68" s="7">
        <f t="shared" si="1"/>
        <v>0</v>
      </c>
    </row>
    <row r="69" spans="1:19" x14ac:dyDescent="0.25">
      <c r="A69" s="12">
        <v>68</v>
      </c>
      <c r="B69" s="2" t="s">
        <v>389</v>
      </c>
      <c r="C69" s="2" t="s">
        <v>335</v>
      </c>
      <c r="D69" s="2" t="s">
        <v>390</v>
      </c>
      <c r="E69" s="2" t="s">
        <v>137</v>
      </c>
      <c r="F69" s="2" t="s">
        <v>391</v>
      </c>
      <c r="G69" s="2" t="s">
        <v>392</v>
      </c>
      <c r="H69" s="2" t="s">
        <v>393</v>
      </c>
      <c r="I69" s="3">
        <v>45677</v>
      </c>
      <c r="J69" s="3">
        <v>46042</v>
      </c>
      <c r="K69" s="2" t="s">
        <v>21</v>
      </c>
      <c r="L69" s="4">
        <v>973215</v>
      </c>
      <c r="M69" s="4">
        <v>14598</v>
      </c>
      <c r="N69" s="2" t="s">
        <v>22</v>
      </c>
      <c r="O69" s="2" t="s">
        <v>148</v>
      </c>
      <c r="P69" s="2" t="s">
        <v>811</v>
      </c>
      <c r="Q69" s="2">
        <v>14598</v>
      </c>
      <c r="R69" s="2"/>
      <c r="S69" s="7">
        <f t="shared" si="1"/>
        <v>0</v>
      </c>
    </row>
    <row r="70" spans="1:19" x14ac:dyDescent="0.25">
      <c r="A70" s="12">
        <v>69</v>
      </c>
      <c r="B70" s="2" t="s">
        <v>394</v>
      </c>
      <c r="C70" s="2" t="s">
        <v>335</v>
      </c>
      <c r="D70" s="2" t="s">
        <v>395</v>
      </c>
      <c r="E70" s="2" t="s">
        <v>137</v>
      </c>
      <c r="F70" s="2" t="s">
        <v>396</v>
      </c>
      <c r="G70" s="2" t="s">
        <v>397</v>
      </c>
      <c r="H70" s="2" t="s">
        <v>398</v>
      </c>
      <c r="I70" s="3">
        <v>45682</v>
      </c>
      <c r="J70" s="3">
        <v>46047</v>
      </c>
      <c r="K70" s="2" t="s">
        <v>21</v>
      </c>
      <c r="L70" s="4">
        <v>973215</v>
      </c>
      <c r="M70" s="4">
        <v>14598</v>
      </c>
      <c r="N70" s="2" t="s">
        <v>22</v>
      </c>
      <c r="O70" s="2" t="s">
        <v>148</v>
      </c>
      <c r="P70" s="2" t="s">
        <v>812</v>
      </c>
      <c r="Q70" s="2">
        <v>14598</v>
      </c>
      <c r="R70" s="2"/>
      <c r="S70" s="7">
        <f t="shared" si="1"/>
        <v>0</v>
      </c>
    </row>
    <row r="71" spans="1:19" x14ac:dyDescent="0.25">
      <c r="A71" s="12">
        <v>70</v>
      </c>
      <c r="B71" s="2" t="s">
        <v>399</v>
      </c>
      <c r="C71" s="2" t="s">
        <v>335</v>
      </c>
      <c r="D71" s="2" t="s">
        <v>400</v>
      </c>
      <c r="E71" s="2" t="s">
        <v>40</v>
      </c>
      <c r="F71" s="2" t="s">
        <v>401</v>
      </c>
      <c r="G71" s="2" t="s">
        <v>402</v>
      </c>
      <c r="H71" s="2" t="s">
        <v>403</v>
      </c>
      <c r="I71" s="3">
        <v>45667</v>
      </c>
      <c r="J71" s="3">
        <v>46032</v>
      </c>
      <c r="K71" s="2" t="s">
        <v>21</v>
      </c>
      <c r="L71" s="4">
        <v>1099332</v>
      </c>
      <c r="M71" s="4">
        <v>16490</v>
      </c>
      <c r="N71" s="2" t="s">
        <v>22</v>
      </c>
      <c r="O71" s="2" t="s">
        <v>148</v>
      </c>
      <c r="P71" s="2" t="s">
        <v>813</v>
      </c>
      <c r="Q71" s="2">
        <v>16490</v>
      </c>
      <c r="R71" s="2"/>
      <c r="S71" s="7">
        <f t="shared" si="1"/>
        <v>0</v>
      </c>
    </row>
    <row r="72" spans="1:19" x14ac:dyDescent="0.25">
      <c r="A72" s="12">
        <v>71</v>
      </c>
      <c r="B72" s="2" t="s">
        <v>404</v>
      </c>
      <c r="C72" s="2" t="s">
        <v>335</v>
      </c>
      <c r="D72" s="2" t="s">
        <v>405</v>
      </c>
      <c r="E72" s="2" t="s">
        <v>406</v>
      </c>
      <c r="F72" s="2" t="s">
        <v>407</v>
      </c>
      <c r="G72" s="2" t="s">
        <v>408</v>
      </c>
      <c r="H72" s="2" t="s">
        <v>409</v>
      </c>
      <c r="I72" s="3">
        <v>45662</v>
      </c>
      <c r="J72" s="3">
        <v>46027</v>
      </c>
      <c r="K72" s="2" t="s">
        <v>21</v>
      </c>
      <c r="L72" s="4">
        <v>3353590</v>
      </c>
      <c r="M72" s="4">
        <v>67072</v>
      </c>
      <c r="N72" s="2" t="s">
        <v>141</v>
      </c>
      <c r="O72" s="2" t="s">
        <v>148</v>
      </c>
      <c r="P72" s="2" t="s">
        <v>814</v>
      </c>
      <c r="Q72" s="2">
        <v>67072</v>
      </c>
      <c r="R72" s="2"/>
      <c r="S72" s="7">
        <f t="shared" si="1"/>
        <v>0</v>
      </c>
    </row>
    <row r="73" spans="1:19" x14ac:dyDescent="0.25">
      <c r="A73" s="12">
        <v>72</v>
      </c>
      <c r="B73" s="2" t="s">
        <v>410</v>
      </c>
      <c r="C73" s="2" t="s">
        <v>335</v>
      </c>
      <c r="D73" s="2" t="s">
        <v>411</v>
      </c>
      <c r="E73" s="2" t="s">
        <v>412</v>
      </c>
      <c r="F73" s="2" t="s">
        <v>413</v>
      </c>
      <c r="G73" s="2" t="s">
        <v>414</v>
      </c>
      <c r="H73" s="2" t="s">
        <v>415</v>
      </c>
      <c r="I73" s="3">
        <v>45667</v>
      </c>
      <c r="J73" s="3">
        <v>46032</v>
      </c>
      <c r="K73" s="2" t="s">
        <v>21</v>
      </c>
      <c r="L73" s="4">
        <v>1959115</v>
      </c>
      <c r="M73" s="4">
        <v>39182</v>
      </c>
      <c r="N73" s="2" t="s">
        <v>141</v>
      </c>
      <c r="O73" s="2" t="s">
        <v>148</v>
      </c>
      <c r="P73" s="2" t="s">
        <v>815</v>
      </c>
      <c r="Q73" s="2">
        <v>39182</v>
      </c>
      <c r="R73" s="2"/>
      <c r="S73" s="7">
        <f t="shared" si="1"/>
        <v>0</v>
      </c>
    </row>
    <row r="74" spans="1:19" x14ac:dyDescent="0.25">
      <c r="A74" s="12">
        <v>73</v>
      </c>
      <c r="B74" s="2" t="s">
        <v>416</v>
      </c>
      <c r="C74" s="2" t="s">
        <v>335</v>
      </c>
      <c r="D74" s="2" t="s">
        <v>417</v>
      </c>
      <c r="E74" s="2" t="s">
        <v>418</v>
      </c>
      <c r="F74" s="2" t="s">
        <v>419</v>
      </c>
      <c r="G74" s="2" t="s">
        <v>420</v>
      </c>
      <c r="H74" s="2" t="s">
        <v>421</v>
      </c>
      <c r="I74" s="3">
        <v>45658</v>
      </c>
      <c r="J74" s="3">
        <v>46023</v>
      </c>
      <c r="K74" s="2" t="s">
        <v>21</v>
      </c>
      <c r="L74" s="4">
        <v>1115370</v>
      </c>
      <c r="M74" s="4">
        <v>16731</v>
      </c>
      <c r="N74" s="2" t="s">
        <v>22</v>
      </c>
      <c r="O74" s="2" t="s">
        <v>148</v>
      </c>
      <c r="P74" s="2" t="s">
        <v>816</v>
      </c>
      <c r="Q74" s="2">
        <v>16731</v>
      </c>
      <c r="R74" s="2"/>
      <c r="S74" s="7">
        <f t="shared" si="1"/>
        <v>0</v>
      </c>
    </row>
    <row r="75" spans="1:19" x14ac:dyDescent="0.25">
      <c r="A75" s="12">
        <v>74</v>
      </c>
      <c r="B75" s="2" t="s">
        <v>422</v>
      </c>
      <c r="C75" s="2" t="s">
        <v>335</v>
      </c>
      <c r="D75" s="2" t="s">
        <v>423</v>
      </c>
      <c r="E75" s="2" t="s">
        <v>137</v>
      </c>
      <c r="F75" s="2" t="s">
        <v>424</v>
      </c>
      <c r="G75" s="2" t="s">
        <v>425</v>
      </c>
      <c r="H75" s="2" t="s">
        <v>426</v>
      </c>
      <c r="I75" s="3">
        <v>45667</v>
      </c>
      <c r="J75" s="3">
        <v>46032</v>
      </c>
      <c r="K75" s="2" t="s">
        <v>21</v>
      </c>
      <c r="L75" s="4">
        <v>973215</v>
      </c>
      <c r="M75" s="4">
        <v>14598</v>
      </c>
      <c r="N75" s="2" t="s">
        <v>22</v>
      </c>
      <c r="O75" s="2" t="s">
        <v>148</v>
      </c>
      <c r="P75" s="2" t="s">
        <v>817</v>
      </c>
      <c r="Q75" s="2">
        <v>14598</v>
      </c>
      <c r="R75" s="2"/>
      <c r="S75" s="7">
        <f t="shared" si="1"/>
        <v>0</v>
      </c>
    </row>
    <row r="76" spans="1:19" x14ac:dyDescent="0.25">
      <c r="A76" s="12">
        <v>75</v>
      </c>
      <c r="B76" s="2" t="s">
        <v>427</v>
      </c>
      <c r="C76" s="2" t="s">
        <v>335</v>
      </c>
      <c r="D76" s="2" t="s">
        <v>428</v>
      </c>
      <c r="E76" s="2" t="s">
        <v>429</v>
      </c>
      <c r="F76" s="2" t="s">
        <v>430</v>
      </c>
      <c r="G76" s="2" t="s">
        <v>431</v>
      </c>
      <c r="H76" s="2" t="s">
        <v>432</v>
      </c>
      <c r="I76" s="3">
        <v>45667</v>
      </c>
      <c r="J76" s="3">
        <v>46032</v>
      </c>
      <c r="K76" s="2" t="s">
        <v>21</v>
      </c>
      <c r="L76" s="4">
        <v>1887381</v>
      </c>
      <c r="M76" s="4">
        <v>28311</v>
      </c>
      <c r="N76" s="2" t="s">
        <v>22</v>
      </c>
      <c r="O76" s="2" t="s">
        <v>148</v>
      </c>
      <c r="P76" s="2" t="s">
        <v>818</v>
      </c>
      <c r="Q76" s="2">
        <v>28311</v>
      </c>
      <c r="R76" s="2"/>
      <c r="S76" s="7">
        <f t="shared" si="1"/>
        <v>0</v>
      </c>
    </row>
    <row r="77" spans="1:19" x14ac:dyDescent="0.25">
      <c r="A77" s="12">
        <v>76</v>
      </c>
      <c r="B77" s="2" t="s">
        <v>433</v>
      </c>
      <c r="C77" s="2" t="s">
        <v>335</v>
      </c>
      <c r="D77" s="2" t="s">
        <v>434</v>
      </c>
      <c r="E77" s="2" t="s">
        <v>43</v>
      </c>
      <c r="F77" s="2" t="s">
        <v>435</v>
      </c>
      <c r="G77" s="2" t="s">
        <v>436</v>
      </c>
      <c r="H77" s="2" t="s">
        <v>437</v>
      </c>
      <c r="I77" s="3">
        <v>45667</v>
      </c>
      <c r="J77" s="3">
        <v>46032</v>
      </c>
      <c r="K77" s="2" t="s">
        <v>21</v>
      </c>
      <c r="L77" s="4">
        <v>1514133</v>
      </c>
      <c r="M77" s="4">
        <v>22712</v>
      </c>
      <c r="N77" s="2" t="s">
        <v>22</v>
      </c>
      <c r="O77" s="2" t="s">
        <v>148</v>
      </c>
      <c r="P77" s="2" t="s">
        <v>819</v>
      </c>
      <c r="Q77" s="2">
        <v>22712</v>
      </c>
      <c r="R77" s="2"/>
      <c r="S77" s="7">
        <f t="shared" si="1"/>
        <v>0</v>
      </c>
    </row>
    <row r="78" spans="1:19" x14ac:dyDescent="0.25">
      <c r="A78" s="12">
        <v>77</v>
      </c>
      <c r="B78" s="2" t="s">
        <v>438</v>
      </c>
      <c r="C78" s="2" t="s">
        <v>439</v>
      </c>
      <c r="D78" s="2" t="s">
        <v>440</v>
      </c>
      <c r="E78" s="2" t="s">
        <v>81</v>
      </c>
      <c r="F78" s="2" t="s">
        <v>441</v>
      </c>
      <c r="G78" s="2" t="s">
        <v>442</v>
      </c>
      <c r="H78" s="2" t="s">
        <v>443</v>
      </c>
      <c r="I78" s="3">
        <v>45693</v>
      </c>
      <c r="J78" s="3">
        <v>46058</v>
      </c>
      <c r="K78" s="2" t="s">
        <v>21</v>
      </c>
      <c r="L78" s="4">
        <v>1717200</v>
      </c>
      <c r="M78" s="4">
        <v>25758</v>
      </c>
      <c r="N78" s="2" t="s">
        <v>22</v>
      </c>
      <c r="O78" s="2" t="s">
        <v>148</v>
      </c>
      <c r="P78" s="2" t="s">
        <v>820</v>
      </c>
      <c r="Q78" s="2">
        <v>25758</v>
      </c>
      <c r="R78" s="2"/>
      <c r="S78" s="7">
        <f t="shared" si="1"/>
        <v>0</v>
      </c>
    </row>
    <row r="79" spans="1:19" x14ac:dyDescent="0.25">
      <c r="A79" s="12">
        <v>78</v>
      </c>
      <c r="B79" s="2" t="s">
        <v>444</v>
      </c>
      <c r="C79" s="2" t="s">
        <v>439</v>
      </c>
      <c r="D79" s="2" t="s">
        <v>445</v>
      </c>
      <c r="E79" s="2" t="s">
        <v>446</v>
      </c>
      <c r="F79" s="2" t="s">
        <v>447</v>
      </c>
      <c r="G79" s="2" t="s">
        <v>448</v>
      </c>
      <c r="H79" s="2" t="s">
        <v>449</v>
      </c>
      <c r="I79" s="3">
        <v>45677</v>
      </c>
      <c r="J79" s="3">
        <v>46042</v>
      </c>
      <c r="K79" s="2" t="s">
        <v>21</v>
      </c>
      <c r="L79" s="4">
        <v>1194750</v>
      </c>
      <c r="M79" s="4">
        <v>17921</v>
      </c>
      <c r="N79" s="2" t="s">
        <v>22</v>
      </c>
      <c r="O79" s="2" t="s">
        <v>148</v>
      </c>
      <c r="P79" s="2" t="s">
        <v>821</v>
      </c>
      <c r="Q79" s="2">
        <v>17921</v>
      </c>
      <c r="R79" s="2"/>
      <c r="S79" s="7">
        <f t="shared" si="1"/>
        <v>0</v>
      </c>
    </row>
    <row r="80" spans="1:19" x14ac:dyDescent="0.25">
      <c r="A80" s="12">
        <v>79</v>
      </c>
      <c r="B80" s="2" t="s">
        <v>450</v>
      </c>
      <c r="C80" s="2" t="s">
        <v>439</v>
      </c>
      <c r="D80" s="2" t="s">
        <v>451</v>
      </c>
      <c r="E80" s="2" t="s">
        <v>209</v>
      </c>
      <c r="F80" s="2" t="s">
        <v>452</v>
      </c>
      <c r="G80" s="2" t="s">
        <v>453</v>
      </c>
      <c r="H80" s="2" t="s">
        <v>454</v>
      </c>
      <c r="I80" s="3">
        <v>45677</v>
      </c>
      <c r="J80" s="3">
        <v>46042</v>
      </c>
      <c r="K80" s="2" t="s">
        <v>21</v>
      </c>
      <c r="L80" s="4">
        <v>2076840</v>
      </c>
      <c r="M80" s="4">
        <v>31153</v>
      </c>
      <c r="N80" s="2" t="s">
        <v>22</v>
      </c>
      <c r="O80" s="2" t="s">
        <v>148</v>
      </c>
      <c r="P80" s="2" t="s">
        <v>822</v>
      </c>
      <c r="Q80" s="2">
        <v>31153</v>
      </c>
      <c r="R80" s="2"/>
      <c r="S80" s="7">
        <f t="shared" si="1"/>
        <v>0</v>
      </c>
    </row>
    <row r="81" spans="1:19" x14ac:dyDescent="0.25">
      <c r="A81" s="12">
        <v>80</v>
      </c>
      <c r="B81" s="2" t="s">
        <v>455</v>
      </c>
      <c r="C81" s="2" t="s">
        <v>439</v>
      </c>
      <c r="D81" s="2" t="s">
        <v>456</v>
      </c>
      <c r="E81" s="2" t="s">
        <v>457</v>
      </c>
      <c r="F81" s="2" t="s">
        <v>458</v>
      </c>
      <c r="G81" s="2" t="s">
        <v>459</v>
      </c>
      <c r="H81" s="2" t="s">
        <v>460</v>
      </c>
      <c r="I81" s="3">
        <v>45693</v>
      </c>
      <c r="J81" s="3">
        <v>46058</v>
      </c>
      <c r="K81" s="2" t="s">
        <v>21</v>
      </c>
      <c r="L81" s="4">
        <v>2835000</v>
      </c>
      <c r="M81" s="4">
        <v>42525</v>
      </c>
      <c r="N81" s="2" t="s">
        <v>22</v>
      </c>
      <c r="O81" s="2" t="s">
        <v>148</v>
      </c>
      <c r="P81" s="2" t="s">
        <v>823</v>
      </c>
      <c r="Q81" s="2">
        <v>42525</v>
      </c>
      <c r="R81" s="2"/>
      <c r="S81" s="7">
        <f t="shared" si="1"/>
        <v>0</v>
      </c>
    </row>
    <row r="82" spans="1:19" x14ac:dyDescent="0.25">
      <c r="A82" s="12">
        <v>81</v>
      </c>
      <c r="B82" s="2" t="s">
        <v>461</v>
      </c>
      <c r="C82" s="2" t="s">
        <v>439</v>
      </c>
      <c r="D82" s="2" t="s">
        <v>462</v>
      </c>
      <c r="E82" s="2" t="s">
        <v>86</v>
      </c>
      <c r="F82" s="2" t="s">
        <v>463</v>
      </c>
      <c r="G82" s="2" t="s">
        <v>464</v>
      </c>
      <c r="H82" s="2" t="s">
        <v>465</v>
      </c>
      <c r="I82" s="3">
        <v>45698</v>
      </c>
      <c r="J82" s="3">
        <v>46063</v>
      </c>
      <c r="K82" s="2" t="s">
        <v>21</v>
      </c>
      <c r="L82" s="4">
        <v>4089690</v>
      </c>
      <c r="M82" s="4">
        <v>61345</v>
      </c>
      <c r="N82" s="2" t="s">
        <v>22</v>
      </c>
      <c r="O82" s="2" t="s">
        <v>148</v>
      </c>
      <c r="P82" s="2" t="s">
        <v>824</v>
      </c>
      <c r="Q82" s="2">
        <v>61345</v>
      </c>
      <c r="R82" s="2"/>
      <c r="S82" s="7">
        <f t="shared" si="1"/>
        <v>0</v>
      </c>
    </row>
    <row r="83" spans="1:19" x14ac:dyDescent="0.25">
      <c r="A83" s="12">
        <v>82</v>
      </c>
      <c r="B83" s="2" t="s">
        <v>466</v>
      </c>
      <c r="C83" s="2" t="s">
        <v>439</v>
      </c>
      <c r="D83" s="2" t="s">
        <v>467</v>
      </c>
      <c r="E83" s="2" t="s">
        <v>57</v>
      </c>
      <c r="F83" s="2" t="s">
        <v>468</v>
      </c>
      <c r="G83" s="2" t="s">
        <v>469</v>
      </c>
      <c r="H83" s="2" t="s">
        <v>470</v>
      </c>
      <c r="I83" s="3">
        <v>45677</v>
      </c>
      <c r="J83" s="3">
        <v>46042</v>
      </c>
      <c r="K83" s="2" t="s">
        <v>21</v>
      </c>
      <c r="L83" s="4">
        <v>2619540</v>
      </c>
      <c r="M83" s="4">
        <v>39293</v>
      </c>
      <c r="N83" s="2" t="s">
        <v>22</v>
      </c>
      <c r="O83" s="2" t="s">
        <v>148</v>
      </c>
      <c r="P83" s="2" t="s">
        <v>825</v>
      </c>
      <c r="Q83" s="2">
        <v>39293</v>
      </c>
      <c r="R83" s="2"/>
      <c r="S83" s="7">
        <f t="shared" si="1"/>
        <v>0</v>
      </c>
    </row>
    <row r="84" spans="1:19" x14ac:dyDescent="0.25">
      <c r="A84" s="12">
        <v>83</v>
      </c>
      <c r="B84" s="2" t="s">
        <v>471</v>
      </c>
      <c r="C84" s="2" t="s">
        <v>439</v>
      </c>
      <c r="D84" s="2" t="s">
        <v>472</v>
      </c>
      <c r="E84" s="2" t="s">
        <v>57</v>
      </c>
      <c r="F84" s="2" t="s">
        <v>473</v>
      </c>
      <c r="G84" s="2" t="s">
        <v>474</v>
      </c>
      <c r="H84" s="2" t="s">
        <v>475</v>
      </c>
      <c r="I84" s="3">
        <v>45682</v>
      </c>
      <c r="J84" s="3">
        <v>46047</v>
      </c>
      <c r="K84" s="2" t="s">
        <v>21</v>
      </c>
      <c r="L84" s="4">
        <v>2619540</v>
      </c>
      <c r="M84" s="4">
        <v>39293</v>
      </c>
      <c r="N84" s="2" t="s">
        <v>22</v>
      </c>
      <c r="O84" s="2" t="s">
        <v>148</v>
      </c>
      <c r="P84" s="2" t="s">
        <v>826</v>
      </c>
      <c r="Q84" s="2">
        <v>39293</v>
      </c>
      <c r="R84" s="2"/>
      <c r="S84" s="7">
        <f t="shared" si="1"/>
        <v>0</v>
      </c>
    </row>
    <row r="85" spans="1:19" x14ac:dyDescent="0.25">
      <c r="A85" s="12">
        <v>84</v>
      </c>
      <c r="B85" s="2" t="s">
        <v>476</v>
      </c>
      <c r="C85" s="2" t="s">
        <v>439</v>
      </c>
      <c r="D85" s="2" t="s">
        <v>477</v>
      </c>
      <c r="E85" s="2" t="s">
        <v>478</v>
      </c>
      <c r="F85" s="2" t="s">
        <v>479</v>
      </c>
      <c r="G85" s="2" t="s">
        <v>480</v>
      </c>
      <c r="H85" s="2" t="s">
        <v>481</v>
      </c>
      <c r="I85" s="3">
        <v>45698</v>
      </c>
      <c r="J85" s="3">
        <v>46063</v>
      </c>
      <c r="K85" s="2" t="s">
        <v>21</v>
      </c>
      <c r="L85" s="4">
        <v>7820100</v>
      </c>
      <c r="M85" s="4">
        <v>117302</v>
      </c>
      <c r="N85" s="2" t="s">
        <v>22</v>
      </c>
      <c r="O85" s="2" t="s">
        <v>148</v>
      </c>
      <c r="P85" s="2" t="s">
        <v>827</v>
      </c>
      <c r="Q85" s="2">
        <v>117302</v>
      </c>
      <c r="R85" s="2"/>
      <c r="S85" s="7">
        <f t="shared" si="1"/>
        <v>0</v>
      </c>
    </row>
    <row r="86" spans="1:19" x14ac:dyDescent="0.25">
      <c r="A86" s="12">
        <v>85</v>
      </c>
      <c r="B86" s="2" t="s">
        <v>482</v>
      </c>
      <c r="C86" s="2" t="s">
        <v>439</v>
      </c>
      <c r="D86" s="2" t="s">
        <v>483</v>
      </c>
      <c r="E86" s="2" t="s">
        <v>484</v>
      </c>
      <c r="F86" s="2" t="s">
        <v>485</v>
      </c>
      <c r="G86" s="2" t="s">
        <v>486</v>
      </c>
      <c r="H86" s="2" t="s">
        <v>487</v>
      </c>
      <c r="I86" s="3">
        <v>45693</v>
      </c>
      <c r="J86" s="3">
        <v>46058</v>
      </c>
      <c r="K86" s="2" t="s">
        <v>21</v>
      </c>
      <c r="L86" s="4">
        <v>2160000</v>
      </c>
      <c r="M86" s="4">
        <v>32400</v>
      </c>
      <c r="N86" s="2" t="s">
        <v>22</v>
      </c>
      <c r="O86" s="2" t="s">
        <v>148</v>
      </c>
      <c r="P86" s="2" t="s">
        <v>828</v>
      </c>
      <c r="Q86" s="2">
        <v>32400</v>
      </c>
      <c r="R86" s="2"/>
      <c r="S86" s="7">
        <f t="shared" si="1"/>
        <v>0</v>
      </c>
    </row>
    <row r="87" spans="1:19" x14ac:dyDescent="0.25">
      <c r="A87" s="12">
        <v>86</v>
      </c>
      <c r="B87" s="2" t="s">
        <v>488</v>
      </c>
      <c r="C87" s="2" t="s">
        <v>439</v>
      </c>
      <c r="D87" s="2" t="s">
        <v>489</v>
      </c>
      <c r="E87" s="2" t="s">
        <v>40</v>
      </c>
      <c r="F87" s="2" t="s">
        <v>490</v>
      </c>
      <c r="G87" s="2" t="s">
        <v>491</v>
      </c>
      <c r="H87" s="2" t="s">
        <v>492</v>
      </c>
      <c r="I87" s="3">
        <v>45662</v>
      </c>
      <c r="J87" s="3">
        <v>46027</v>
      </c>
      <c r="K87" s="2" t="s">
        <v>21</v>
      </c>
      <c r="L87" s="4">
        <v>1403730</v>
      </c>
      <c r="M87" s="4">
        <v>21056</v>
      </c>
      <c r="N87" s="2" t="s">
        <v>22</v>
      </c>
      <c r="O87" s="2" t="s">
        <v>148</v>
      </c>
      <c r="P87" s="2" t="s">
        <v>829</v>
      </c>
      <c r="Q87" s="2">
        <v>21056</v>
      </c>
      <c r="R87" s="2"/>
      <c r="S87" s="7">
        <f t="shared" si="1"/>
        <v>0</v>
      </c>
    </row>
    <row r="88" spans="1:19" x14ac:dyDescent="0.25">
      <c r="A88" s="12">
        <v>87</v>
      </c>
      <c r="B88" s="2" t="s">
        <v>493</v>
      </c>
      <c r="C88" s="2" t="s">
        <v>439</v>
      </c>
      <c r="D88" s="2" t="s">
        <v>494</v>
      </c>
      <c r="E88" s="2" t="s">
        <v>495</v>
      </c>
      <c r="F88" s="2" t="s">
        <v>496</v>
      </c>
      <c r="G88" s="2" t="s">
        <v>497</v>
      </c>
      <c r="H88" s="2" t="s">
        <v>498</v>
      </c>
      <c r="I88" s="3">
        <v>45667</v>
      </c>
      <c r="J88" s="3">
        <v>46032</v>
      </c>
      <c r="K88" s="2" t="s">
        <v>21</v>
      </c>
      <c r="L88" s="4">
        <v>3692336</v>
      </c>
      <c r="M88" s="4">
        <v>55385</v>
      </c>
      <c r="N88" s="2" t="s">
        <v>22</v>
      </c>
      <c r="O88" s="2" t="s">
        <v>148</v>
      </c>
      <c r="P88" s="2" t="s">
        <v>830</v>
      </c>
      <c r="Q88" s="2">
        <v>61539</v>
      </c>
      <c r="R88" s="2" t="s">
        <v>883</v>
      </c>
      <c r="S88" s="7">
        <f t="shared" si="1"/>
        <v>6154</v>
      </c>
    </row>
    <row r="89" spans="1:19" x14ac:dyDescent="0.25">
      <c r="A89" s="12">
        <v>88</v>
      </c>
      <c r="B89" s="2" t="s">
        <v>499</v>
      </c>
      <c r="C89" s="2" t="s">
        <v>500</v>
      </c>
      <c r="D89" s="2" t="s">
        <v>501</v>
      </c>
      <c r="E89" s="2" t="s">
        <v>57</v>
      </c>
      <c r="F89" s="2" t="s">
        <v>502</v>
      </c>
      <c r="G89" s="2" t="s">
        <v>503</v>
      </c>
      <c r="H89" s="2" t="s">
        <v>504</v>
      </c>
      <c r="I89" s="3">
        <v>45672</v>
      </c>
      <c r="J89" s="3">
        <v>46037</v>
      </c>
      <c r="K89" s="2" t="s">
        <v>21</v>
      </c>
      <c r="L89" s="4">
        <v>2619540</v>
      </c>
      <c r="M89" s="4">
        <v>39293</v>
      </c>
      <c r="N89" s="2" t="s">
        <v>22</v>
      </c>
      <c r="O89" s="2" t="s">
        <v>148</v>
      </c>
      <c r="P89" s="2" t="s">
        <v>831</v>
      </c>
      <c r="Q89" s="2">
        <v>39293</v>
      </c>
      <c r="R89" s="2"/>
      <c r="S89" s="7">
        <f t="shared" si="1"/>
        <v>0</v>
      </c>
    </row>
    <row r="90" spans="1:19" x14ac:dyDescent="0.25">
      <c r="A90" s="12">
        <v>89</v>
      </c>
      <c r="B90" s="2" t="s">
        <v>505</v>
      </c>
      <c r="C90" s="2" t="s">
        <v>500</v>
      </c>
      <c r="D90" s="2" t="s">
        <v>506</v>
      </c>
      <c r="E90" s="2" t="s">
        <v>446</v>
      </c>
      <c r="F90" s="2" t="s">
        <v>507</v>
      </c>
      <c r="G90" s="2" t="s">
        <v>508</v>
      </c>
      <c r="H90" s="2" t="s">
        <v>509</v>
      </c>
      <c r="I90" s="3">
        <v>45667</v>
      </c>
      <c r="J90" s="3">
        <v>46032</v>
      </c>
      <c r="K90" s="2" t="s">
        <v>21</v>
      </c>
      <c r="L90" s="4">
        <v>1194750</v>
      </c>
      <c r="M90" s="4">
        <v>17921</v>
      </c>
      <c r="N90" s="2" t="s">
        <v>22</v>
      </c>
      <c r="O90" s="2" t="s">
        <v>148</v>
      </c>
      <c r="P90" s="2" t="s">
        <v>832</v>
      </c>
      <c r="Q90" s="2">
        <v>17921</v>
      </c>
      <c r="R90" s="2"/>
      <c r="S90" s="7">
        <f t="shared" si="1"/>
        <v>0</v>
      </c>
    </row>
    <row r="91" spans="1:19" x14ac:dyDescent="0.25">
      <c r="A91" s="12">
        <v>90</v>
      </c>
      <c r="B91" s="2" t="s">
        <v>510</v>
      </c>
      <c r="C91" s="2" t="s">
        <v>500</v>
      </c>
      <c r="D91" s="2" t="s">
        <v>511</v>
      </c>
      <c r="E91" s="2" t="s">
        <v>446</v>
      </c>
      <c r="F91" s="2" t="s">
        <v>512</v>
      </c>
      <c r="G91" s="2" t="s">
        <v>513</v>
      </c>
      <c r="H91" s="2" t="s">
        <v>514</v>
      </c>
      <c r="I91" s="3">
        <v>45667</v>
      </c>
      <c r="J91" s="3">
        <v>46032</v>
      </c>
      <c r="K91" s="2" t="s">
        <v>21</v>
      </c>
      <c r="L91" s="4">
        <v>1458000</v>
      </c>
      <c r="M91" s="4">
        <v>21870</v>
      </c>
      <c r="N91" s="2" t="s">
        <v>22</v>
      </c>
      <c r="O91" s="2" t="s">
        <v>148</v>
      </c>
      <c r="P91" s="2" t="s">
        <v>833</v>
      </c>
      <c r="Q91" s="2">
        <v>21870</v>
      </c>
      <c r="R91" s="2"/>
      <c r="S91" s="7">
        <f t="shared" si="1"/>
        <v>0</v>
      </c>
    </row>
    <row r="92" spans="1:19" x14ac:dyDescent="0.25">
      <c r="A92" s="12">
        <v>91</v>
      </c>
      <c r="B92" s="2" t="s">
        <v>515</v>
      </c>
      <c r="C92" s="2" t="s">
        <v>500</v>
      </c>
      <c r="D92" s="2" t="s">
        <v>516</v>
      </c>
      <c r="E92" s="2" t="s">
        <v>92</v>
      </c>
      <c r="F92" s="2" t="s">
        <v>517</v>
      </c>
      <c r="G92" s="2" t="s">
        <v>518</v>
      </c>
      <c r="H92" s="2" t="s">
        <v>519</v>
      </c>
      <c r="I92" s="3">
        <v>45672</v>
      </c>
      <c r="J92" s="3">
        <v>46037</v>
      </c>
      <c r="K92" s="2" t="s">
        <v>21</v>
      </c>
      <c r="L92" s="4">
        <v>2641500</v>
      </c>
      <c r="M92" s="4">
        <v>39623</v>
      </c>
      <c r="N92" s="2" t="s">
        <v>22</v>
      </c>
      <c r="O92" s="2" t="s">
        <v>148</v>
      </c>
      <c r="P92" s="2" t="s">
        <v>834</v>
      </c>
      <c r="Q92" s="2">
        <v>39623</v>
      </c>
      <c r="R92" s="2"/>
      <c r="S92" s="7">
        <f t="shared" si="1"/>
        <v>0</v>
      </c>
    </row>
    <row r="93" spans="1:19" x14ac:dyDescent="0.25">
      <c r="A93" s="12">
        <v>92</v>
      </c>
      <c r="B93" s="2" t="s">
        <v>520</v>
      </c>
      <c r="C93" s="2" t="s">
        <v>500</v>
      </c>
      <c r="D93" s="2" t="s">
        <v>521</v>
      </c>
      <c r="E93" s="2" t="s">
        <v>522</v>
      </c>
      <c r="F93" s="2" t="s">
        <v>523</v>
      </c>
      <c r="G93" s="2" t="s">
        <v>524</v>
      </c>
      <c r="H93" s="2" t="s">
        <v>525</v>
      </c>
      <c r="I93" s="3">
        <v>45682</v>
      </c>
      <c r="J93" s="3">
        <v>46047</v>
      </c>
      <c r="K93" s="2" t="s">
        <v>21</v>
      </c>
      <c r="L93" s="4">
        <v>4500000</v>
      </c>
      <c r="M93" s="4">
        <v>67500</v>
      </c>
      <c r="N93" s="2" t="s">
        <v>22</v>
      </c>
      <c r="O93" s="2" t="s">
        <v>148</v>
      </c>
      <c r="P93" s="2" t="s">
        <v>835</v>
      </c>
      <c r="Q93" s="2">
        <v>67500</v>
      </c>
      <c r="R93" s="2"/>
      <c r="S93" s="7">
        <f t="shared" si="1"/>
        <v>0</v>
      </c>
    </row>
    <row r="94" spans="1:19" x14ac:dyDescent="0.25">
      <c r="A94" s="12">
        <v>93</v>
      </c>
      <c r="B94" s="2" t="s">
        <v>526</v>
      </c>
      <c r="C94" s="2" t="s">
        <v>500</v>
      </c>
      <c r="D94" s="2" t="s">
        <v>527</v>
      </c>
      <c r="E94" s="2" t="s">
        <v>92</v>
      </c>
      <c r="F94" s="2" t="s">
        <v>528</v>
      </c>
      <c r="G94" s="2" t="s">
        <v>529</v>
      </c>
      <c r="H94" s="2" t="s">
        <v>530</v>
      </c>
      <c r="I94" s="3">
        <v>45682</v>
      </c>
      <c r="J94" s="3">
        <v>46047</v>
      </c>
      <c r="K94" s="2" t="s">
        <v>21</v>
      </c>
      <c r="L94" s="4">
        <v>2641500</v>
      </c>
      <c r="M94" s="4">
        <v>39623</v>
      </c>
      <c r="N94" s="2" t="s">
        <v>22</v>
      </c>
      <c r="O94" s="2" t="s">
        <v>148</v>
      </c>
      <c r="P94" s="2" t="s">
        <v>836</v>
      </c>
      <c r="Q94" s="2">
        <v>39623</v>
      </c>
      <c r="R94" s="2"/>
      <c r="S94" s="7">
        <f t="shared" si="1"/>
        <v>0</v>
      </c>
    </row>
    <row r="95" spans="1:19" x14ac:dyDescent="0.25">
      <c r="A95" s="12">
        <v>94</v>
      </c>
      <c r="B95" s="2" t="s">
        <v>531</v>
      </c>
      <c r="C95" s="2" t="s">
        <v>500</v>
      </c>
      <c r="D95" s="2" t="s">
        <v>532</v>
      </c>
      <c r="E95" s="2" t="s">
        <v>17</v>
      </c>
      <c r="F95" s="2" t="s">
        <v>533</v>
      </c>
      <c r="G95" s="2" t="s">
        <v>534</v>
      </c>
      <c r="H95" s="2" t="s">
        <v>535</v>
      </c>
      <c r="I95" s="3">
        <v>45662</v>
      </c>
      <c r="J95" s="3">
        <v>46027</v>
      </c>
      <c r="K95" s="2" t="s">
        <v>21</v>
      </c>
      <c r="L95" s="4">
        <v>1800630</v>
      </c>
      <c r="M95" s="4">
        <v>27009</v>
      </c>
      <c r="N95" s="2" t="s">
        <v>22</v>
      </c>
      <c r="O95" s="2" t="s">
        <v>148</v>
      </c>
      <c r="P95" s="2" t="s">
        <v>837</v>
      </c>
      <c r="Q95" s="2">
        <v>27009</v>
      </c>
      <c r="R95" s="2"/>
      <c r="S95" s="7">
        <f t="shared" si="1"/>
        <v>0</v>
      </c>
    </row>
    <row r="96" spans="1:19" x14ac:dyDescent="0.25">
      <c r="A96" s="12">
        <v>95</v>
      </c>
      <c r="B96" s="2" t="s">
        <v>536</v>
      </c>
      <c r="C96" s="2" t="s">
        <v>500</v>
      </c>
      <c r="D96" s="2" t="s">
        <v>537</v>
      </c>
      <c r="E96" s="2" t="s">
        <v>17</v>
      </c>
      <c r="F96" s="2" t="s">
        <v>538</v>
      </c>
      <c r="G96" s="2" t="s">
        <v>539</v>
      </c>
      <c r="H96" s="2" t="s">
        <v>540</v>
      </c>
      <c r="I96" s="3">
        <v>45672</v>
      </c>
      <c r="J96" s="3">
        <v>46037</v>
      </c>
      <c r="K96" s="2" t="s">
        <v>21</v>
      </c>
      <c r="L96" s="4">
        <v>1580310</v>
      </c>
      <c r="M96" s="4">
        <v>23705</v>
      </c>
      <c r="N96" s="2" t="s">
        <v>22</v>
      </c>
      <c r="O96" s="2" t="s">
        <v>148</v>
      </c>
      <c r="P96" s="2" t="s">
        <v>838</v>
      </c>
      <c r="Q96" s="2">
        <v>23705</v>
      </c>
      <c r="R96" s="2"/>
      <c r="S96" s="7">
        <f t="shared" si="1"/>
        <v>0</v>
      </c>
    </row>
    <row r="97" spans="1:19" x14ac:dyDescent="0.25">
      <c r="A97" s="12">
        <v>96</v>
      </c>
      <c r="B97" s="2" t="s">
        <v>541</v>
      </c>
      <c r="C97" s="2" t="s">
        <v>500</v>
      </c>
      <c r="D97" s="2" t="s">
        <v>542</v>
      </c>
      <c r="E97" s="2" t="s">
        <v>40</v>
      </c>
      <c r="F97" s="6" t="s">
        <v>881</v>
      </c>
      <c r="G97" s="2" t="s">
        <v>543</v>
      </c>
      <c r="H97" s="2" t="s">
        <v>544</v>
      </c>
      <c r="I97" s="3">
        <v>45662</v>
      </c>
      <c r="J97" s="3">
        <v>46027</v>
      </c>
      <c r="K97" s="2" t="s">
        <v>21</v>
      </c>
      <c r="L97" s="4">
        <v>1403730</v>
      </c>
      <c r="M97" s="4">
        <v>21056</v>
      </c>
      <c r="N97" s="2" t="s">
        <v>22</v>
      </c>
      <c r="O97" s="2" t="s">
        <v>148</v>
      </c>
      <c r="P97" s="2" t="s">
        <v>890</v>
      </c>
      <c r="Q97" s="2">
        <v>21056</v>
      </c>
      <c r="R97" s="2"/>
      <c r="S97" s="7">
        <f t="shared" si="1"/>
        <v>0</v>
      </c>
    </row>
    <row r="98" spans="1:19" x14ac:dyDescent="0.25">
      <c r="A98" s="12">
        <v>97</v>
      </c>
      <c r="B98" s="2" t="s">
        <v>545</v>
      </c>
      <c r="C98" s="2" t="s">
        <v>500</v>
      </c>
      <c r="D98" s="2" t="s">
        <v>546</v>
      </c>
      <c r="E98" s="2" t="s">
        <v>40</v>
      </c>
      <c r="F98" s="2" t="s">
        <v>547</v>
      </c>
      <c r="G98" s="2" t="s">
        <v>548</v>
      </c>
      <c r="H98" s="2" t="s">
        <v>549</v>
      </c>
      <c r="I98" s="3">
        <v>45667</v>
      </c>
      <c r="J98" s="3">
        <v>46032</v>
      </c>
      <c r="K98" s="2" t="s">
        <v>21</v>
      </c>
      <c r="L98" s="4">
        <v>1403730</v>
      </c>
      <c r="M98" s="4">
        <v>21056</v>
      </c>
      <c r="N98" s="2" t="s">
        <v>22</v>
      </c>
      <c r="O98" s="2" t="s">
        <v>148</v>
      </c>
      <c r="P98" s="2" t="s">
        <v>839</v>
      </c>
      <c r="Q98" s="2">
        <v>21056</v>
      </c>
      <c r="R98" s="2"/>
      <c r="S98" s="7">
        <f t="shared" si="1"/>
        <v>0</v>
      </c>
    </row>
    <row r="99" spans="1:19" x14ac:dyDescent="0.25">
      <c r="A99" s="12">
        <v>98</v>
      </c>
      <c r="B99" s="2" t="s">
        <v>550</v>
      </c>
      <c r="C99" s="2" t="s">
        <v>500</v>
      </c>
      <c r="D99" s="2" t="s">
        <v>551</v>
      </c>
      <c r="E99" s="2" t="s">
        <v>552</v>
      </c>
      <c r="F99" s="2" t="s">
        <v>553</v>
      </c>
      <c r="G99" s="2" t="s">
        <v>554</v>
      </c>
      <c r="H99" s="2" t="s">
        <v>555</v>
      </c>
      <c r="I99" s="3">
        <v>45667</v>
      </c>
      <c r="J99" s="3">
        <v>46032</v>
      </c>
      <c r="K99" s="2" t="s">
        <v>21</v>
      </c>
      <c r="L99" s="4">
        <v>3839400</v>
      </c>
      <c r="M99" s="4">
        <v>57591</v>
      </c>
      <c r="N99" s="2" t="s">
        <v>22</v>
      </c>
      <c r="O99" s="2" t="s">
        <v>148</v>
      </c>
      <c r="P99" s="2" t="s">
        <v>840</v>
      </c>
      <c r="Q99" s="2">
        <v>57591</v>
      </c>
      <c r="R99" s="2"/>
      <c r="S99" s="7">
        <f t="shared" si="1"/>
        <v>0</v>
      </c>
    </row>
    <row r="100" spans="1:19" x14ac:dyDescent="0.25">
      <c r="A100" s="12">
        <v>99</v>
      </c>
      <c r="B100" s="2" t="s">
        <v>556</v>
      </c>
      <c r="C100" s="2" t="s">
        <v>500</v>
      </c>
      <c r="D100" s="2" t="s">
        <v>557</v>
      </c>
      <c r="E100" s="2" t="s">
        <v>558</v>
      </c>
      <c r="F100" s="2" t="s">
        <v>559</v>
      </c>
      <c r="G100" s="2" t="s">
        <v>560</v>
      </c>
      <c r="H100" s="2" t="s">
        <v>561</v>
      </c>
      <c r="I100" s="3">
        <v>45672</v>
      </c>
      <c r="J100" s="3">
        <v>46037</v>
      </c>
      <c r="K100" s="2" t="s">
        <v>21</v>
      </c>
      <c r="L100" s="4">
        <v>1887381</v>
      </c>
      <c r="M100" s="4">
        <v>28311</v>
      </c>
      <c r="N100" s="2" t="s">
        <v>22</v>
      </c>
      <c r="O100" s="2" t="s">
        <v>148</v>
      </c>
      <c r="P100" s="2" t="s">
        <v>841</v>
      </c>
      <c r="Q100" s="2">
        <v>28311</v>
      </c>
      <c r="R100" s="2"/>
      <c r="S100" s="7">
        <f t="shared" si="1"/>
        <v>0</v>
      </c>
    </row>
    <row r="101" spans="1:19" x14ac:dyDescent="0.25">
      <c r="A101" s="12">
        <v>100</v>
      </c>
      <c r="B101" s="2" t="s">
        <v>562</v>
      </c>
      <c r="C101" s="2" t="s">
        <v>563</v>
      </c>
      <c r="D101" s="2" t="s">
        <v>564</v>
      </c>
      <c r="E101" s="2" t="s">
        <v>565</v>
      </c>
      <c r="F101" s="2" t="s">
        <v>566</v>
      </c>
      <c r="G101" s="2" t="s">
        <v>567</v>
      </c>
      <c r="H101" s="2" t="s">
        <v>568</v>
      </c>
      <c r="I101" s="3">
        <v>45682</v>
      </c>
      <c r="J101" s="3">
        <v>46047</v>
      </c>
      <c r="K101" s="2" t="s">
        <v>21</v>
      </c>
      <c r="L101" s="4">
        <v>3178035</v>
      </c>
      <c r="M101" s="4">
        <v>47671</v>
      </c>
      <c r="N101" s="2" t="s">
        <v>22</v>
      </c>
      <c r="O101" s="2" t="s">
        <v>148</v>
      </c>
      <c r="P101" s="2" t="s">
        <v>842</v>
      </c>
      <c r="Q101" s="2">
        <v>47671</v>
      </c>
      <c r="R101" s="2"/>
      <c r="S101" s="7">
        <f t="shared" si="1"/>
        <v>0</v>
      </c>
    </row>
    <row r="102" spans="1:19" x14ac:dyDescent="0.25">
      <c r="A102" s="12">
        <v>101</v>
      </c>
      <c r="B102" s="2" t="s">
        <v>569</v>
      </c>
      <c r="C102" s="2" t="s">
        <v>563</v>
      </c>
      <c r="D102" s="2" t="s">
        <v>570</v>
      </c>
      <c r="E102" s="2" t="s">
        <v>40</v>
      </c>
      <c r="F102" s="2" t="s">
        <v>571</v>
      </c>
      <c r="G102" s="2" t="s">
        <v>572</v>
      </c>
      <c r="H102" s="2" t="s">
        <v>573</v>
      </c>
      <c r="I102" s="3">
        <v>45667</v>
      </c>
      <c r="J102" s="3">
        <v>46032</v>
      </c>
      <c r="K102" s="2" t="s">
        <v>21</v>
      </c>
      <c r="L102" s="4">
        <v>1403730</v>
      </c>
      <c r="M102" s="4">
        <v>21056</v>
      </c>
      <c r="N102" s="2" t="s">
        <v>22</v>
      </c>
      <c r="O102" s="2" t="s">
        <v>148</v>
      </c>
      <c r="P102" s="2" t="s">
        <v>843</v>
      </c>
      <c r="Q102" s="2">
        <v>21056</v>
      </c>
      <c r="R102" s="2"/>
      <c r="S102" s="7">
        <f t="shared" si="1"/>
        <v>0</v>
      </c>
    </row>
    <row r="103" spans="1:19" x14ac:dyDescent="0.25">
      <c r="A103" s="12">
        <v>102</v>
      </c>
      <c r="B103" s="2" t="s">
        <v>574</v>
      </c>
      <c r="C103" s="2" t="s">
        <v>575</v>
      </c>
      <c r="D103" s="2" t="s">
        <v>576</v>
      </c>
      <c r="E103" s="2" t="s">
        <v>46</v>
      </c>
      <c r="F103" s="2" t="s">
        <v>577</v>
      </c>
      <c r="G103" s="2" t="s">
        <v>578</v>
      </c>
      <c r="H103" s="2" t="s">
        <v>579</v>
      </c>
      <c r="I103" s="3">
        <v>45662</v>
      </c>
      <c r="J103" s="3">
        <v>46027</v>
      </c>
      <c r="K103" s="2" t="s">
        <v>21</v>
      </c>
      <c r="L103" s="4">
        <v>2268000</v>
      </c>
      <c r="M103" s="4">
        <v>34020</v>
      </c>
      <c r="N103" s="2" t="s">
        <v>22</v>
      </c>
      <c r="O103" s="2" t="s">
        <v>148</v>
      </c>
      <c r="P103" s="2" t="s">
        <v>844</v>
      </c>
      <c r="Q103" s="2">
        <v>34020</v>
      </c>
      <c r="R103" s="2"/>
      <c r="S103" s="7">
        <f t="shared" si="1"/>
        <v>0</v>
      </c>
    </row>
    <row r="104" spans="1:19" x14ac:dyDescent="0.25">
      <c r="A104" s="12">
        <v>103</v>
      </c>
      <c r="B104" s="2" t="s">
        <v>580</v>
      </c>
      <c r="C104" s="2" t="s">
        <v>575</v>
      </c>
      <c r="D104" s="2" t="s">
        <v>581</v>
      </c>
      <c r="E104" s="2" t="s">
        <v>40</v>
      </c>
      <c r="F104" s="2" t="s">
        <v>582</v>
      </c>
      <c r="G104" s="2" t="s">
        <v>583</v>
      </c>
      <c r="H104" s="2" t="s">
        <v>584</v>
      </c>
      <c r="I104" s="3">
        <v>45677</v>
      </c>
      <c r="J104" s="3">
        <v>46042</v>
      </c>
      <c r="K104" s="2" t="s">
        <v>21</v>
      </c>
      <c r="L104" s="4">
        <v>1600560</v>
      </c>
      <c r="M104" s="4">
        <v>24008</v>
      </c>
      <c r="N104" s="2" t="s">
        <v>22</v>
      </c>
      <c r="O104" s="2" t="s">
        <v>148</v>
      </c>
      <c r="P104" s="2" t="s">
        <v>845</v>
      </c>
      <c r="Q104" s="2">
        <v>24008</v>
      </c>
      <c r="R104" s="2"/>
      <c r="S104" s="7">
        <f t="shared" si="1"/>
        <v>0</v>
      </c>
    </row>
    <row r="105" spans="1:19" x14ac:dyDescent="0.25">
      <c r="A105" s="12">
        <v>104</v>
      </c>
      <c r="B105" s="2" t="s">
        <v>585</v>
      </c>
      <c r="C105" s="2" t="s">
        <v>575</v>
      </c>
      <c r="D105" s="2" t="s">
        <v>586</v>
      </c>
      <c r="E105" s="2" t="s">
        <v>552</v>
      </c>
      <c r="F105" s="2" t="s">
        <v>587</v>
      </c>
      <c r="G105" s="2" t="s">
        <v>588</v>
      </c>
      <c r="H105" s="2" t="s">
        <v>589</v>
      </c>
      <c r="I105" s="3">
        <v>45662</v>
      </c>
      <c r="J105" s="3">
        <v>46027</v>
      </c>
      <c r="K105" s="2" t="s">
        <v>21</v>
      </c>
      <c r="L105" s="4">
        <v>2916000</v>
      </c>
      <c r="M105" s="4">
        <v>43740</v>
      </c>
      <c r="N105" s="2" t="s">
        <v>22</v>
      </c>
      <c r="O105" s="2" t="s">
        <v>148</v>
      </c>
      <c r="P105" s="2" t="s">
        <v>846</v>
      </c>
      <c r="Q105" s="2">
        <v>43740</v>
      </c>
      <c r="R105" s="2"/>
      <c r="S105" s="7">
        <f t="shared" si="1"/>
        <v>0</v>
      </c>
    </row>
    <row r="106" spans="1:19" x14ac:dyDescent="0.25">
      <c r="A106" s="12">
        <v>105</v>
      </c>
      <c r="B106" s="2" t="s">
        <v>590</v>
      </c>
      <c r="C106" s="2" t="s">
        <v>575</v>
      </c>
      <c r="D106" s="2" t="s">
        <v>591</v>
      </c>
      <c r="E106" s="2" t="s">
        <v>592</v>
      </c>
      <c r="F106" s="2" t="s">
        <v>593</v>
      </c>
      <c r="G106" s="2" t="s">
        <v>594</v>
      </c>
      <c r="H106" s="2" t="s">
        <v>595</v>
      </c>
      <c r="I106" s="3">
        <v>45672</v>
      </c>
      <c r="J106" s="3">
        <v>46037</v>
      </c>
      <c r="K106" s="2" t="s">
        <v>21</v>
      </c>
      <c r="L106" s="4">
        <v>5575230</v>
      </c>
      <c r="M106" s="4">
        <v>83628</v>
      </c>
      <c r="N106" s="2" t="s">
        <v>22</v>
      </c>
      <c r="O106" s="2" t="s">
        <v>148</v>
      </c>
      <c r="P106" s="2" t="s">
        <v>847</v>
      </c>
      <c r="Q106" s="2">
        <v>83628</v>
      </c>
      <c r="R106" s="2"/>
      <c r="S106" s="7">
        <f t="shared" si="1"/>
        <v>0</v>
      </c>
    </row>
    <row r="107" spans="1:19" x14ac:dyDescent="0.25">
      <c r="A107" s="12">
        <v>106</v>
      </c>
      <c r="B107" s="2" t="s">
        <v>596</v>
      </c>
      <c r="C107" s="2" t="s">
        <v>575</v>
      </c>
      <c r="D107" s="2" t="s">
        <v>597</v>
      </c>
      <c r="E107" s="2" t="s">
        <v>17</v>
      </c>
      <c r="F107" s="2" t="s">
        <v>598</v>
      </c>
      <c r="G107" s="2" t="s">
        <v>599</v>
      </c>
      <c r="H107" s="2" t="s">
        <v>600</v>
      </c>
      <c r="I107" s="3">
        <v>45667</v>
      </c>
      <c r="J107" s="3">
        <v>46032</v>
      </c>
      <c r="K107" s="2" t="s">
        <v>21</v>
      </c>
      <c r="L107" s="4">
        <v>1580310</v>
      </c>
      <c r="M107" s="4">
        <v>23705</v>
      </c>
      <c r="N107" s="2" t="s">
        <v>22</v>
      </c>
      <c r="O107" s="2" t="s">
        <v>148</v>
      </c>
      <c r="P107" s="2" t="s">
        <v>848</v>
      </c>
      <c r="Q107" s="2">
        <v>23705</v>
      </c>
      <c r="R107" s="2"/>
      <c r="S107" s="7">
        <f t="shared" si="1"/>
        <v>0</v>
      </c>
    </row>
    <row r="108" spans="1:19" x14ac:dyDescent="0.25">
      <c r="A108" s="12">
        <v>107</v>
      </c>
      <c r="B108" s="2" t="s">
        <v>601</v>
      </c>
      <c r="C108" s="2" t="s">
        <v>575</v>
      </c>
      <c r="D108" s="2" t="s">
        <v>602</v>
      </c>
      <c r="E108" s="2" t="s">
        <v>40</v>
      </c>
      <c r="F108" s="2" t="s">
        <v>603</v>
      </c>
      <c r="G108" s="2" t="s">
        <v>604</v>
      </c>
      <c r="H108" s="2" t="s">
        <v>605</v>
      </c>
      <c r="I108" s="3">
        <v>45677</v>
      </c>
      <c r="J108" s="3">
        <v>46042</v>
      </c>
      <c r="K108" s="2" t="s">
        <v>21</v>
      </c>
      <c r="L108" s="4">
        <v>1403730</v>
      </c>
      <c r="M108" s="4">
        <v>21056</v>
      </c>
      <c r="N108" s="2" t="s">
        <v>22</v>
      </c>
      <c r="O108" s="2" t="s">
        <v>148</v>
      </c>
      <c r="P108" s="2" t="s">
        <v>849</v>
      </c>
      <c r="Q108" s="2">
        <v>21056</v>
      </c>
      <c r="R108" s="2"/>
      <c r="S108" s="7">
        <f t="shared" si="1"/>
        <v>0</v>
      </c>
    </row>
    <row r="109" spans="1:19" x14ac:dyDescent="0.25">
      <c r="A109" s="12">
        <v>108</v>
      </c>
      <c r="B109" s="2" t="s">
        <v>606</v>
      </c>
      <c r="C109" s="2" t="s">
        <v>575</v>
      </c>
      <c r="D109" s="2" t="s">
        <v>607</v>
      </c>
      <c r="E109" s="2" t="s">
        <v>92</v>
      </c>
      <c r="F109" s="2" t="s">
        <v>608</v>
      </c>
      <c r="G109" s="2" t="s">
        <v>609</v>
      </c>
      <c r="H109" s="2" t="s">
        <v>610</v>
      </c>
      <c r="I109" s="3">
        <v>45672</v>
      </c>
      <c r="J109" s="3">
        <v>46037</v>
      </c>
      <c r="K109" s="2" t="s">
        <v>21</v>
      </c>
      <c r="L109" s="4">
        <v>1580310</v>
      </c>
      <c r="M109" s="4">
        <v>23705</v>
      </c>
      <c r="N109" s="2" t="s">
        <v>22</v>
      </c>
      <c r="O109" s="2" t="s">
        <v>148</v>
      </c>
      <c r="P109" s="2" t="s">
        <v>850</v>
      </c>
      <c r="Q109" s="2">
        <v>23705</v>
      </c>
      <c r="R109" s="2"/>
      <c r="S109" s="7">
        <f t="shared" si="1"/>
        <v>0</v>
      </c>
    </row>
    <row r="110" spans="1:19" x14ac:dyDescent="0.25">
      <c r="A110" s="12">
        <v>109</v>
      </c>
      <c r="B110" s="2" t="s">
        <v>611</v>
      </c>
      <c r="C110" s="2" t="s">
        <v>575</v>
      </c>
      <c r="D110" s="2" t="s">
        <v>612</v>
      </c>
      <c r="E110" s="2" t="s">
        <v>75</v>
      </c>
      <c r="F110" s="2" t="s">
        <v>613</v>
      </c>
      <c r="G110" s="2" t="s">
        <v>614</v>
      </c>
      <c r="H110" s="2" t="s">
        <v>615</v>
      </c>
      <c r="I110" s="3">
        <v>45677</v>
      </c>
      <c r="J110" s="3">
        <v>46042</v>
      </c>
      <c r="K110" s="2" t="s">
        <v>21</v>
      </c>
      <c r="L110" s="4">
        <v>3636090</v>
      </c>
      <c r="M110" s="4">
        <v>54541</v>
      </c>
      <c r="N110" s="2" t="s">
        <v>22</v>
      </c>
      <c r="O110" s="2" t="s">
        <v>148</v>
      </c>
      <c r="P110" s="2" t="s">
        <v>851</v>
      </c>
      <c r="Q110" s="2">
        <v>54541</v>
      </c>
      <c r="R110" s="2"/>
      <c r="S110" s="7">
        <f t="shared" si="1"/>
        <v>0</v>
      </c>
    </row>
    <row r="111" spans="1:19" x14ac:dyDescent="0.25">
      <c r="A111" s="12">
        <v>110</v>
      </c>
      <c r="B111" s="2" t="s">
        <v>616</v>
      </c>
      <c r="C111" s="2" t="s">
        <v>575</v>
      </c>
      <c r="D111" s="2" t="s">
        <v>617</v>
      </c>
      <c r="E111" s="2" t="s">
        <v>552</v>
      </c>
      <c r="F111" s="2" t="s">
        <v>618</v>
      </c>
      <c r="G111" s="2" t="s">
        <v>619</v>
      </c>
      <c r="H111" s="2" t="s">
        <v>620</v>
      </c>
      <c r="I111" s="3">
        <v>45667</v>
      </c>
      <c r="J111" s="3">
        <v>46032</v>
      </c>
      <c r="K111" s="2" t="s">
        <v>21</v>
      </c>
      <c r="L111" s="4">
        <v>2916000</v>
      </c>
      <c r="M111" s="4">
        <v>43740</v>
      </c>
      <c r="N111" s="2" t="s">
        <v>22</v>
      </c>
      <c r="O111" s="2" t="s">
        <v>148</v>
      </c>
      <c r="P111" s="2" t="s">
        <v>852</v>
      </c>
      <c r="Q111" s="2">
        <v>43740</v>
      </c>
      <c r="R111" s="2"/>
      <c r="S111" s="7">
        <f t="shared" si="1"/>
        <v>0</v>
      </c>
    </row>
    <row r="112" spans="1:19" x14ac:dyDescent="0.25">
      <c r="A112" s="12">
        <v>111</v>
      </c>
      <c r="B112" s="2" t="s">
        <v>621</v>
      </c>
      <c r="C112" s="2" t="s">
        <v>575</v>
      </c>
      <c r="D112" s="2" t="s">
        <v>622</v>
      </c>
      <c r="E112" s="2" t="s">
        <v>247</v>
      </c>
      <c r="F112" s="2" t="s">
        <v>623</v>
      </c>
      <c r="G112" s="2" t="s">
        <v>624</v>
      </c>
      <c r="H112" s="2" t="s">
        <v>625</v>
      </c>
      <c r="I112" s="3">
        <v>45677</v>
      </c>
      <c r="J112" s="3">
        <v>46042</v>
      </c>
      <c r="K112" s="2" t="s">
        <v>21</v>
      </c>
      <c r="L112" s="4">
        <v>2269620</v>
      </c>
      <c r="M112" s="4">
        <v>34044</v>
      </c>
      <c r="N112" s="2" t="s">
        <v>22</v>
      </c>
      <c r="O112" s="2" t="s">
        <v>148</v>
      </c>
      <c r="P112" s="2" t="s">
        <v>853</v>
      </c>
      <c r="Q112" s="2">
        <v>34044</v>
      </c>
      <c r="R112" s="2"/>
      <c r="S112" s="7">
        <f t="shared" si="1"/>
        <v>0</v>
      </c>
    </row>
    <row r="113" spans="1:19" x14ac:dyDescent="0.25">
      <c r="A113" s="12">
        <v>112</v>
      </c>
      <c r="B113" s="2" t="s">
        <v>626</v>
      </c>
      <c r="C113" s="2" t="s">
        <v>575</v>
      </c>
      <c r="D113" s="2" t="s">
        <v>627</v>
      </c>
      <c r="E113" s="2" t="s">
        <v>97</v>
      </c>
      <c r="F113" s="2" t="s">
        <v>628</v>
      </c>
      <c r="G113" s="2" t="s">
        <v>629</v>
      </c>
      <c r="H113" s="2" t="s">
        <v>630</v>
      </c>
      <c r="I113" s="3">
        <v>45677</v>
      </c>
      <c r="J113" s="3">
        <v>46042</v>
      </c>
      <c r="K113" s="2" t="s">
        <v>21</v>
      </c>
      <c r="L113" s="4">
        <v>2449440</v>
      </c>
      <c r="M113" s="4">
        <v>36742</v>
      </c>
      <c r="N113" s="2" t="s">
        <v>22</v>
      </c>
      <c r="O113" s="2" t="s">
        <v>148</v>
      </c>
      <c r="P113" s="2" t="s">
        <v>854</v>
      </c>
      <c r="Q113" s="2">
        <v>36742</v>
      </c>
      <c r="R113" s="2"/>
      <c r="S113" s="7">
        <f t="shared" si="1"/>
        <v>0</v>
      </c>
    </row>
    <row r="114" spans="1:19" x14ac:dyDescent="0.25">
      <c r="A114" s="12">
        <v>113</v>
      </c>
      <c r="B114" s="2" t="s">
        <v>631</v>
      </c>
      <c r="C114" s="2" t="s">
        <v>575</v>
      </c>
      <c r="D114" s="2" t="s">
        <v>632</v>
      </c>
      <c r="E114" s="2" t="s">
        <v>633</v>
      </c>
      <c r="F114" s="2" t="s">
        <v>634</v>
      </c>
      <c r="G114" s="2" t="s">
        <v>635</v>
      </c>
      <c r="H114" s="2" t="s">
        <v>636</v>
      </c>
      <c r="I114" s="3">
        <v>45662</v>
      </c>
      <c r="J114" s="3">
        <v>46027</v>
      </c>
      <c r="K114" s="2" t="s">
        <v>21</v>
      </c>
      <c r="L114" s="4">
        <v>5040000</v>
      </c>
      <c r="M114" s="4">
        <v>75600</v>
      </c>
      <c r="N114" s="2" t="s">
        <v>22</v>
      </c>
      <c r="O114" s="2" t="s">
        <v>148</v>
      </c>
      <c r="P114" s="2" t="s">
        <v>855</v>
      </c>
      <c r="Q114" s="2">
        <v>75600</v>
      </c>
      <c r="R114" s="2"/>
      <c r="S114" s="7">
        <f t="shared" si="1"/>
        <v>0</v>
      </c>
    </row>
    <row r="115" spans="1:19" x14ac:dyDescent="0.25">
      <c r="A115" s="12">
        <v>114</v>
      </c>
      <c r="B115" s="2" t="s">
        <v>637</v>
      </c>
      <c r="C115" s="2" t="s">
        <v>575</v>
      </c>
      <c r="D115" s="2" t="s">
        <v>638</v>
      </c>
      <c r="E115" s="2" t="s">
        <v>639</v>
      </c>
      <c r="F115" s="2" t="s">
        <v>640</v>
      </c>
      <c r="G115" s="2" t="s">
        <v>641</v>
      </c>
      <c r="H115" s="2" t="s">
        <v>642</v>
      </c>
      <c r="I115" s="3">
        <v>45662</v>
      </c>
      <c r="J115" s="3">
        <v>46027</v>
      </c>
      <c r="K115" s="2" t="s">
        <v>21</v>
      </c>
      <c r="L115" s="4">
        <v>1887381</v>
      </c>
      <c r="M115" s="4">
        <v>28311</v>
      </c>
      <c r="N115" s="2" t="s">
        <v>278</v>
      </c>
      <c r="O115" s="2" t="s">
        <v>148</v>
      </c>
      <c r="P115" s="2" t="s">
        <v>856</v>
      </c>
      <c r="Q115" s="2">
        <v>28311</v>
      </c>
      <c r="R115" s="2"/>
      <c r="S115" s="7">
        <f t="shared" si="1"/>
        <v>0</v>
      </c>
    </row>
    <row r="116" spans="1:19" x14ac:dyDescent="0.25">
      <c r="A116" s="12">
        <v>115</v>
      </c>
      <c r="B116" s="2" t="s">
        <v>643</v>
      </c>
      <c r="C116" s="2" t="s">
        <v>575</v>
      </c>
      <c r="D116" s="2" t="s">
        <v>644</v>
      </c>
      <c r="E116" s="2" t="s">
        <v>645</v>
      </c>
      <c r="F116" s="2" t="s">
        <v>646</v>
      </c>
      <c r="G116" s="2" t="s">
        <v>647</v>
      </c>
      <c r="H116" s="2" t="s">
        <v>648</v>
      </c>
      <c r="I116" s="3">
        <v>45667</v>
      </c>
      <c r="J116" s="3">
        <v>46032</v>
      </c>
      <c r="K116" s="2" t="s">
        <v>21</v>
      </c>
      <c r="L116" s="4">
        <v>2138157</v>
      </c>
      <c r="M116" s="4">
        <v>32072</v>
      </c>
      <c r="N116" s="2" t="s">
        <v>278</v>
      </c>
      <c r="O116" s="2" t="s">
        <v>148</v>
      </c>
      <c r="P116" s="2" t="s">
        <v>857</v>
      </c>
      <c r="Q116" s="2">
        <v>32072</v>
      </c>
      <c r="R116" s="2"/>
      <c r="S116" s="7">
        <f t="shared" si="1"/>
        <v>0</v>
      </c>
    </row>
    <row r="117" spans="1:19" x14ac:dyDescent="0.25">
      <c r="A117" s="12">
        <v>116</v>
      </c>
      <c r="B117" s="2" t="s">
        <v>649</v>
      </c>
      <c r="C117" s="2" t="s">
        <v>575</v>
      </c>
      <c r="D117" s="2" t="s">
        <v>650</v>
      </c>
      <c r="E117" s="2" t="s">
        <v>651</v>
      </c>
      <c r="F117" s="2" t="s">
        <v>652</v>
      </c>
      <c r="G117" s="2" t="s">
        <v>653</v>
      </c>
      <c r="H117" s="2" t="s">
        <v>654</v>
      </c>
      <c r="I117" s="3">
        <v>45667</v>
      </c>
      <c r="J117" s="3">
        <v>46032</v>
      </c>
      <c r="K117" s="2" t="s">
        <v>21</v>
      </c>
      <c r="L117" s="4">
        <v>1780947</v>
      </c>
      <c r="M117" s="4">
        <v>26714</v>
      </c>
      <c r="N117" s="2" t="s">
        <v>278</v>
      </c>
      <c r="O117" s="2" t="s">
        <v>148</v>
      </c>
      <c r="P117" s="2" t="s">
        <v>858</v>
      </c>
      <c r="Q117" s="2">
        <v>26714</v>
      </c>
      <c r="R117" s="2"/>
      <c r="S117" s="7">
        <f t="shared" si="1"/>
        <v>0</v>
      </c>
    </row>
    <row r="118" spans="1:19" x14ac:dyDescent="0.25">
      <c r="A118" s="12">
        <v>117</v>
      </c>
      <c r="B118" s="2" t="s">
        <v>655</v>
      </c>
      <c r="C118" s="2" t="s">
        <v>656</v>
      </c>
      <c r="D118" s="2" t="s">
        <v>657</v>
      </c>
      <c r="E118" s="2" t="s">
        <v>658</v>
      </c>
      <c r="F118" s="2" t="s">
        <v>659</v>
      </c>
      <c r="G118" s="2" t="s">
        <v>660</v>
      </c>
      <c r="H118" s="2" t="s">
        <v>661</v>
      </c>
      <c r="I118" s="3">
        <v>45682</v>
      </c>
      <c r="J118" s="3">
        <v>46047</v>
      </c>
      <c r="K118" s="2" t="s">
        <v>21</v>
      </c>
      <c r="L118" s="4">
        <v>3321000</v>
      </c>
      <c r="M118" s="4">
        <v>49815</v>
      </c>
      <c r="N118" s="2" t="s">
        <v>22</v>
      </c>
      <c r="O118" s="2" t="s">
        <v>148</v>
      </c>
      <c r="P118" s="2" t="s">
        <v>859</v>
      </c>
      <c r="Q118" s="2">
        <v>49815</v>
      </c>
      <c r="R118" s="2"/>
      <c r="S118" s="7">
        <f t="shared" si="1"/>
        <v>0</v>
      </c>
    </row>
    <row r="119" spans="1:19" x14ac:dyDescent="0.25">
      <c r="A119" s="12">
        <v>118</v>
      </c>
      <c r="B119" s="2" t="s">
        <v>662</v>
      </c>
      <c r="C119" s="2" t="s">
        <v>656</v>
      </c>
      <c r="D119" s="2" t="s">
        <v>68</v>
      </c>
      <c r="E119" s="2" t="s">
        <v>247</v>
      </c>
      <c r="F119" s="2" t="s">
        <v>663</v>
      </c>
      <c r="G119" s="2" t="s">
        <v>664</v>
      </c>
      <c r="H119" s="2" t="s">
        <v>665</v>
      </c>
      <c r="I119" s="3">
        <v>45672</v>
      </c>
      <c r="J119" s="3">
        <v>46037</v>
      </c>
      <c r="K119" s="2" t="s">
        <v>21</v>
      </c>
      <c r="L119" s="4">
        <v>2269620</v>
      </c>
      <c r="M119" s="4">
        <v>34044</v>
      </c>
      <c r="N119" s="2" t="s">
        <v>22</v>
      </c>
      <c r="O119" s="2" t="s">
        <v>148</v>
      </c>
      <c r="P119" s="2" t="s">
        <v>860</v>
      </c>
      <c r="Q119" s="2">
        <v>34044</v>
      </c>
      <c r="R119" s="2"/>
      <c r="S119" s="7">
        <f t="shared" si="1"/>
        <v>0</v>
      </c>
    </row>
    <row r="120" spans="1:19" x14ac:dyDescent="0.25">
      <c r="A120" s="12">
        <v>119</v>
      </c>
      <c r="B120" s="2" t="s">
        <v>666</v>
      </c>
      <c r="C120" s="2" t="s">
        <v>656</v>
      </c>
      <c r="D120" s="2" t="s">
        <v>667</v>
      </c>
      <c r="E120" s="2" t="s">
        <v>209</v>
      </c>
      <c r="F120" s="2" t="s">
        <v>668</v>
      </c>
      <c r="G120" s="2" t="s">
        <v>669</v>
      </c>
      <c r="H120" s="2" t="s">
        <v>670</v>
      </c>
      <c r="I120" s="3">
        <v>45662</v>
      </c>
      <c r="J120" s="3">
        <v>46027</v>
      </c>
      <c r="K120" s="2" t="s">
        <v>21</v>
      </c>
      <c r="L120" s="4">
        <v>3186900</v>
      </c>
      <c r="M120" s="4">
        <v>47804</v>
      </c>
      <c r="N120" s="2" t="s">
        <v>22</v>
      </c>
      <c r="O120" s="2" t="s">
        <v>148</v>
      </c>
      <c r="P120" s="2" t="s">
        <v>861</v>
      </c>
      <c r="Q120" s="2">
        <v>47804</v>
      </c>
      <c r="R120" s="2"/>
      <c r="S120" s="7">
        <f t="shared" si="1"/>
        <v>0</v>
      </c>
    </row>
    <row r="121" spans="1:19" x14ac:dyDescent="0.25">
      <c r="A121" s="12">
        <v>120</v>
      </c>
      <c r="B121" s="2" t="s">
        <v>671</v>
      </c>
      <c r="C121" s="2" t="s">
        <v>656</v>
      </c>
      <c r="D121" s="2" t="s">
        <v>672</v>
      </c>
      <c r="E121" s="2" t="s">
        <v>673</v>
      </c>
      <c r="F121" s="2" t="s">
        <v>674</v>
      </c>
      <c r="G121" s="2" t="s">
        <v>675</v>
      </c>
      <c r="H121" s="2" t="s">
        <v>676</v>
      </c>
      <c r="I121" s="3">
        <v>45667</v>
      </c>
      <c r="J121" s="3">
        <v>46032</v>
      </c>
      <c r="K121" s="2" t="s">
        <v>21</v>
      </c>
      <c r="L121" s="4">
        <v>3212703</v>
      </c>
      <c r="M121" s="4">
        <v>48191</v>
      </c>
      <c r="N121" s="2" t="s">
        <v>278</v>
      </c>
      <c r="O121" s="2" t="s">
        <v>148</v>
      </c>
      <c r="P121" s="2" t="s">
        <v>862</v>
      </c>
      <c r="Q121" s="2">
        <v>48191</v>
      </c>
      <c r="R121" s="2"/>
      <c r="S121" s="7">
        <f t="shared" si="1"/>
        <v>0</v>
      </c>
    </row>
    <row r="122" spans="1:19" x14ac:dyDescent="0.25">
      <c r="A122" s="12">
        <v>121</v>
      </c>
      <c r="B122" s="2" t="s">
        <v>677</v>
      </c>
      <c r="C122" s="2" t="s">
        <v>678</v>
      </c>
      <c r="D122" s="2" t="s">
        <v>679</v>
      </c>
      <c r="E122" s="2" t="s">
        <v>680</v>
      </c>
      <c r="F122" s="2" t="s">
        <v>681</v>
      </c>
      <c r="G122" s="2" t="s">
        <v>682</v>
      </c>
      <c r="H122" s="2" t="s">
        <v>683</v>
      </c>
      <c r="I122" s="3">
        <v>45682</v>
      </c>
      <c r="J122" s="3">
        <v>46047</v>
      </c>
      <c r="K122" s="2" t="s">
        <v>21</v>
      </c>
      <c r="L122" s="4">
        <v>1770960</v>
      </c>
      <c r="M122" s="4">
        <v>26564</v>
      </c>
      <c r="N122" s="2" t="s">
        <v>22</v>
      </c>
      <c r="O122" s="2" t="s">
        <v>148</v>
      </c>
      <c r="P122" s="2" t="s">
        <v>863</v>
      </c>
      <c r="Q122" s="2">
        <v>26564</v>
      </c>
      <c r="R122" s="2"/>
      <c r="S122" s="7">
        <f t="shared" si="1"/>
        <v>0</v>
      </c>
    </row>
    <row r="123" spans="1:19" x14ac:dyDescent="0.25">
      <c r="A123" s="12">
        <v>122</v>
      </c>
      <c r="B123" s="2" t="s">
        <v>684</v>
      </c>
      <c r="C123" s="2" t="s">
        <v>678</v>
      </c>
      <c r="D123" s="2" t="s">
        <v>685</v>
      </c>
      <c r="E123" s="2" t="s">
        <v>522</v>
      </c>
      <c r="F123" s="2" t="s">
        <v>686</v>
      </c>
      <c r="G123" s="2" t="s">
        <v>687</v>
      </c>
      <c r="H123" s="2" t="s">
        <v>688</v>
      </c>
      <c r="I123" s="3">
        <v>45698</v>
      </c>
      <c r="J123" s="3">
        <v>46063</v>
      </c>
      <c r="K123" s="2" t="s">
        <v>21</v>
      </c>
      <c r="L123" s="4">
        <v>2940057</v>
      </c>
      <c r="M123" s="4">
        <v>44101</v>
      </c>
      <c r="N123" s="2" t="s">
        <v>22</v>
      </c>
      <c r="O123" s="2" t="s">
        <v>148</v>
      </c>
      <c r="P123" s="2" t="s">
        <v>864</v>
      </c>
      <c r="Q123" s="2">
        <v>44101</v>
      </c>
      <c r="R123" s="2"/>
      <c r="S123" s="7">
        <f t="shared" si="1"/>
        <v>0</v>
      </c>
    </row>
    <row r="124" spans="1:19" x14ac:dyDescent="0.25">
      <c r="A124" s="12">
        <v>123</v>
      </c>
      <c r="B124" s="2" t="s">
        <v>689</v>
      </c>
      <c r="C124" s="2" t="s">
        <v>678</v>
      </c>
      <c r="D124" s="2" t="s">
        <v>690</v>
      </c>
      <c r="E124" s="2" t="s">
        <v>691</v>
      </c>
      <c r="F124" s="2" t="s">
        <v>692</v>
      </c>
      <c r="G124" s="2" t="s">
        <v>693</v>
      </c>
      <c r="H124" s="2" t="s">
        <v>694</v>
      </c>
      <c r="I124" s="3">
        <v>45698</v>
      </c>
      <c r="J124" s="3">
        <v>46063</v>
      </c>
      <c r="K124" s="2" t="s">
        <v>21</v>
      </c>
      <c r="L124" s="4">
        <v>1887381</v>
      </c>
      <c r="M124" s="4">
        <v>28311</v>
      </c>
      <c r="N124" s="2" t="s">
        <v>22</v>
      </c>
      <c r="O124" s="2" t="s">
        <v>148</v>
      </c>
      <c r="P124" s="2" t="s">
        <v>865</v>
      </c>
      <c r="Q124" s="2">
        <v>28311</v>
      </c>
      <c r="R124" s="2"/>
      <c r="S124" s="7">
        <f t="shared" si="1"/>
        <v>0</v>
      </c>
    </row>
    <row r="125" spans="1:19" x14ac:dyDescent="0.25">
      <c r="A125" s="12">
        <v>124</v>
      </c>
      <c r="B125" s="2" t="s">
        <v>695</v>
      </c>
      <c r="C125" s="2" t="s">
        <v>678</v>
      </c>
      <c r="D125" s="2" t="s">
        <v>696</v>
      </c>
      <c r="E125" s="2" t="s">
        <v>697</v>
      </c>
      <c r="F125" s="2" t="s">
        <v>698</v>
      </c>
      <c r="G125" s="2" t="s">
        <v>699</v>
      </c>
      <c r="H125" s="2" t="s">
        <v>700</v>
      </c>
      <c r="I125" s="3">
        <v>45667</v>
      </c>
      <c r="J125" s="3">
        <v>46032</v>
      </c>
      <c r="K125" s="2" t="s">
        <v>21</v>
      </c>
      <c r="L125" s="4">
        <v>1998554</v>
      </c>
      <c r="M125" s="4">
        <v>29978</v>
      </c>
      <c r="N125" s="2" t="s">
        <v>22</v>
      </c>
      <c r="O125" s="2" t="s">
        <v>148</v>
      </c>
      <c r="P125" s="2" t="s">
        <v>866</v>
      </c>
      <c r="Q125" s="2">
        <v>29979</v>
      </c>
      <c r="R125" s="2"/>
      <c r="S125" s="7">
        <f t="shared" si="1"/>
        <v>1</v>
      </c>
    </row>
    <row r="126" spans="1:19" x14ac:dyDescent="0.25">
      <c r="A126" s="12">
        <v>125</v>
      </c>
      <c r="B126" s="2" t="s">
        <v>701</v>
      </c>
      <c r="C126" s="2" t="s">
        <v>678</v>
      </c>
      <c r="D126" s="2" t="s">
        <v>702</v>
      </c>
      <c r="E126" s="2" t="s">
        <v>17</v>
      </c>
      <c r="F126" s="2" t="s">
        <v>703</v>
      </c>
      <c r="G126" s="2" t="s">
        <v>704</v>
      </c>
      <c r="H126" s="2" t="s">
        <v>705</v>
      </c>
      <c r="I126" s="3">
        <v>45667</v>
      </c>
      <c r="J126" s="3">
        <v>46032</v>
      </c>
      <c r="K126" s="2" t="s">
        <v>21</v>
      </c>
      <c r="L126" s="4">
        <v>1580310</v>
      </c>
      <c r="M126" s="4">
        <v>23705</v>
      </c>
      <c r="N126" s="2" t="s">
        <v>22</v>
      </c>
      <c r="O126" s="2" t="s">
        <v>148</v>
      </c>
      <c r="P126" s="2" t="s">
        <v>867</v>
      </c>
      <c r="Q126" s="2">
        <v>23705</v>
      </c>
      <c r="R126" s="2"/>
      <c r="S126" s="7">
        <f t="shared" si="1"/>
        <v>0</v>
      </c>
    </row>
    <row r="127" spans="1:19" x14ac:dyDescent="0.25">
      <c r="A127" s="12">
        <v>126</v>
      </c>
      <c r="B127" s="2" t="s">
        <v>706</v>
      </c>
      <c r="C127" s="2" t="s">
        <v>678</v>
      </c>
      <c r="D127" s="2" t="s">
        <v>707</v>
      </c>
      <c r="E127" s="2" t="s">
        <v>51</v>
      </c>
      <c r="F127" s="2" t="s">
        <v>708</v>
      </c>
      <c r="G127" s="2" t="s">
        <v>709</v>
      </c>
      <c r="H127" s="2" t="s">
        <v>710</v>
      </c>
      <c r="I127" s="3">
        <v>45677</v>
      </c>
      <c r="J127" s="3">
        <v>46042</v>
      </c>
      <c r="K127" s="2" t="s">
        <v>21</v>
      </c>
      <c r="L127" s="4">
        <v>3045600</v>
      </c>
      <c r="M127" s="4">
        <v>45684</v>
      </c>
      <c r="N127" s="2" t="s">
        <v>22</v>
      </c>
      <c r="O127" s="2" t="s">
        <v>148</v>
      </c>
      <c r="P127" s="2" t="s">
        <v>868</v>
      </c>
      <c r="Q127" s="2">
        <v>45684</v>
      </c>
      <c r="R127" s="2"/>
      <c r="S127" s="7">
        <f t="shared" si="1"/>
        <v>0</v>
      </c>
    </row>
    <row r="128" spans="1:19" x14ac:dyDescent="0.25">
      <c r="A128" s="12">
        <v>127</v>
      </c>
      <c r="B128" s="2" t="s">
        <v>711</v>
      </c>
      <c r="C128" s="2" t="s">
        <v>678</v>
      </c>
      <c r="D128" s="2" t="s">
        <v>712</v>
      </c>
      <c r="E128" s="2" t="s">
        <v>51</v>
      </c>
      <c r="F128" s="2" t="s">
        <v>713</v>
      </c>
      <c r="G128" s="2" t="s">
        <v>714</v>
      </c>
      <c r="H128" s="2" t="s">
        <v>715</v>
      </c>
      <c r="I128" s="3">
        <v>45682</v>
      </c>
      <c r="J128" s="3">
        <v>46047</v>
      </c>
      <c r="K128" s="2" t="s">
        <v>21</v>
      </c>
      <c r="L128" s="4">
        <v>3830400</v>
      </c>
      <c r="M128" s="4">
        <v>57456</v>
      </c>
      <c r="N128" s="2" t="s">
        <v>22</v>
      </c>
      <c r="O128" s="2" t="s">
        <v>148</v>
      </c>
      <c r="P128" s="2" t="s">
        <v>869</v>
      </c>
      <c r="Q128" s="2">
        <v>57456</v>
      </c>
      <c r="R128" s="2"/>
      <c r="S128" s="7">
        <f t="shared" si="1"/>
        <v>0</v>
      </c>
    </row>
    <row r="129" spans="1:19" x14ac:dyDescent="0.25">
      <c r="A129" s="12">
        <v>128</v>
      </c>
      <c r="B129" s="2" t="s">
        <v>716</v>
      </c>
      <c r="C129" s="2" t="s">
        <v>678</v>
      </c>
      <c r="D129" s="2" t="s">
        <v>717</v>
      </c>
      <c r="E129" s="2" t="s">
        <v>718</v>
      </c>
      <c r="F129" s="2" t="s">
        <v>719</v>
      </c>
      <c r="G129" s="2" t="s">
        <v>720</v>
      </c>
      <c r="H129" s="2" t="s">
        <v>721</v>
      </c>
      <c r="I129" s="3">
        <v>45667</v>
      </c>
      <c r="J129" s="3">
        <v>46032</v>
      </c>
      <c r="K129" s="2" t="s">
        <v>21</v>
      </c>
      <c r="L129" s="4">
        <v>5694300</v>
      </c>
      <c r="M129" s="4">
        <v>85415</v>
      </c>
      <c r="N129" s="2" t="s">
        <v>22</v>
      </c>
      <c r="O129" s="2" t="s">
        <v>148</v>
      </c>
      <c r="P129" s="2" t="s">
        <v>870</v>
      </c>
      <c r="Q129" s="2">
        <v>85415</v>
      </c>
      <c r="R129" s="2"/>
      <c r="S129" s="7">
        <f t="shared" si="1"/>
        <v>0</v>
      </c>
    </row>
    <row r="130" spans="1:19" x14ac:dyDescent="0.25">
      <c r="A130" s="12">
        <v>129</v>
      </c>
      <c r="B130" s="2" t="s">
        <v>722</v>
      </c>
      <c r="C130" s="2" t="s">
        <v>678</v>
      </c>
      <c r="D130" s="2" t="s">
        <v>723</v>
      </c>
      <c r="E130" s="2" t="s">
        <v>51</v>
      </c>
      <c r="F130" s="2" t="s">
        <v>724</v>
      </c>
      <c r="G130" s="2" t="s">
        <v>725</v>
      </c>
      <c r="H130" s="2" t="s">
        <v>726</v>
      </c>
      <c r="I130" s="3">
        <v>45672</v>
      </c>
      <c r="J130" s="3">
        <v>46037</v>
      </c>
      <c r="K130" s="2" t="s">
        <v>21</v>
      </c>
      <c r="L130" s="4">
        <v>4464000</v>
      </c>
      <c r="M130" s="4">
        <v>66960</v>
      </c>
      <c r="N130" s="2" t="s">
        <v>22</v>
      </c>
      <c r="O130" s="2" t="s">
        <v>148</v>
      </c>
      <c r="P130" s="2" t="s">
        <v>871</v>
      </c>
      <c r="Q130" s="2">
        <v>66960</v>
      </c>
      <c r="R130" s="2"/>
      <c r="S130" s="7">
        <f t="shared" si="1"/>
        <v>0</v>
      </c>
    </row>
    <row r="131" spans="1:19" x14ac:dyDescent="0.25">
      <c r="A131" s="12">
        <v>130</v>
      </c>
      <c r="B131" s="2" t="s">
        <v>727</v>
      </c>
      <c r="C131" s="2" t="s">
        <v>678</v>
      </c>
      <c r="D131" s="2" t="s">
        <v>728</v>
      </c>
      <c r="E131" s="2" t="s">
        <v>729</v>
      </c>
      <c r="F131" s="2" t="s">
        <v>730</v>
      </c>
      <c r="G131" s="2" t="s">
        <v>731</v>
      </c>
      <c r="H131" s="2" t="s">
        <v>498</v>
      </c>
      <c r="I131" s="3">
        <v>45667</v>
      </c>
      <c r="J131" s="3">
        <v>46032</v>
      </c>
      <c r="K131" s="2" t="s">
        <v>21</v>
      </c>
      <c r="L131" s="4">
        <v>2122484</v>
      </c>
      <c r="M131" s="4">
        <v>31837</v>
      </c>
      <c r="N131" s="2" t="s">
        <v>22</v>
      </c>
      <c r="O131" s="2" t="s">
        <v>148</v>
      </c>
      <c r="P131" s="2" t="s">
        <v>872</v>
      </c>
      <c r="Q131" s="2">
        <v>31838</v>
      </c>
      <c r="R131" s="2"/>
      <c r="S131" s="7">
        <f t="shared" ref="S131:S134" si="2">Q131-M131</f>
        <v>1</v>
      </c>
    </row>
    <row r="132" spans="1:19" x14ac:dyDescent="0.25">
      <c r="A132" s="12">
        <v>131</v>
      </c>
      <c r="B132" s="2" t="s">
        <v>732</v>
      </c>
      <c r="C132" s="2" t="s">
        <v>678</v>
      </c>
      <c r="D132" s="2" t="s">
        <v>733</v>
      </c>
      <c r="E132" s="2" t="s">
        <v>734</v>
      </c>
      <c r="F132" s="2" t="s">
        <v>735</v>
      </c>
      <c r="G132" s="2" t="s">
        <v>736</v>
      </c>
      <c r="H132" s="2" t="s">
        <v>498</v>
      </c>
      <c r="I132" s="3">
        <v>45682</v>
      </c>
      <c r="J132" s="3">
        <v>46047</v>
      </c>
      <c r="K132" s="2" t="s">
        <v>21</v>
      </c>
      <c r="L132" s="4">
        <v>2105352</v>
      </c>
      <c r="M132" s="4">
        <v>31580</v>
      </c>
      <c r="N132" s="2" t="s">
        <v>22</v>
      </c>
      <c r="O132" s="2" t="s">
        <v>148</v>
      </c>
      <c r="P132" s="2" t="s">
        <v>873</v>
      </c>
      <c r="Q132" s="2">
        <v>31580</v>
      </c>
      <c r="R132" s="2"/>
      <c r="S132" s="7">
        <f t="shared" si="2"/>
        <v>0</v>
      </c>
    </row>
    <row r="133" spans="1:19" x14ac:dyDescent="0.25">
      <c r="A133" s="12">
        <v>132</v>
      </c>
      <c r="B133" s="2" t="s">
        <v>737</v>
      </c>
      <c r="C133" s="2" t="s">
        <v>678</v>
      </c>
      <c r="D133" s="2" t="s">
        <v>738</v>
      </c>
      <c r="E133" s="2" t="s">
        <v>46</v>
      </c>
      <c r="F133" s="2" t="s">
        <v>739</v>
      </c>
      <c r="G133" s="2" t="s">
        <v>740</v>
      </c>
      <c r="H133" s="2" t="s">
        <v>498</v>
      </c>
      <c r="I133" s="3">
        <v>45662</v>
      </c>
      <c r="J133" s="3">
        <v>46027</v>
      </c>
      <c r="K133" s="2" t="s">
        <v>21</v>
      </c>
      <c r="L133" s="4">
        <v>2393672</v>
      </c>
      <c r="M133" s="4">
        <v>35905</v>
      </c>
      <c r="N133" s="2" t="s">
        <v>22</v>
      </c>
      <c r="O133" s="2" t="s">
        <v>148</v>
      </c>
      <c r="P133" s="2" t="s">
        <v>874</v>
      </c>
      <c r="Q133" s="2">
        <v>31460</v>
      </c>
      <c r="R133" s="2" t="s">
        <v>884</v>
      </c>
      <c r="S133" s="7">
        <f t="shared" si="2"/>
        <v>-4445</v>
      </c>
    </row>
    <row r="134" spans="1:19" x14ac:dyDescent="0.25">
      <c r="A134" s="12">
        <v>133</v>
      </c>
      <c r="B134" s="2" t="s">
        <v>741</v>
      </c>
      <c r="C134" s="2" t="s">
        <v>678</v>
      </c>
      <c r="D134" s="2" t="s">
        <v>742</v>
      </c>
      <c r="E134" s="2" t="s">
        <v>40</v>
      </c>
      <c r="F134" s="2" t="s">
        <v>743</v>
      </c>
      <c r="G134" s="2" t="s">
        <v>744</v>
      </c>
      <c r="H134" s="2" t="s">
        <v>745</v>
      </c>
      <c r="I134" s="3">
        <v>45682</v>
      </c>
      <c r="J134" s="3">
        <v>46047</v>
      </c>
      <c r="K134" s="2" t="s">
        <v>21</v>
      </c>
      <c r="L134" s="4">
        <v>1600560</v>
      </c>
      <c r="M134" s="4">
        <v>24008</v>
      </c>
      <c r="N134" s="2" t="s">
        <v>22</v>
      </c>
      <c r="O134" s="2" t="s">
        <v>148</v>
      </c>
      <c r="P134" s="2" t="s">
        <v>875</v>
      </c>
      <c r="Q134" s="2">
        <v>23705</v>
      </c>
      <c r="R134" s="2" t="s">
        <v>885</v>
      </c>
      <c r="S134" s="7">
        <f t="shared" si="2"/>
        <v>-303</v>
      </c>
    </row>
    <row r="135" spans="1:19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8">
        <f>SUM(M2:M134)</f>
        <v>4727656</v>
      </c>
      <c r="N135" s="2"/>
      <c r="O135" s="2"/>
      <c r="P135" s="2"/>
      <c r="Q135" s="10">
        <v>4729064</v>
      </c>
      <c r="R135" s="2"/>
      <c r="S135" s="9">
        <v>1408</v>
      </c>
    </row>
    <row r="136" spans="1:19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9" spans="1:19" x14ac:dyDescent="0.25">
      <c r="O139" s="5"/>
    </row>
  </sheetData>
  <conditionalFormatting sqref="P1:P1048576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3E18-BDB3-45C8-9F08-F4F5E6CC0D27}">
  <dimension ref="A1:H134"/>
  <sheetViews>
    <sheetView topLeftCell="F132" workbookViewId="0">
      <selection activeCell="H2" sqref="H2:H134"/>
    </sheetView>
  </sheetViews>
  <sheetFormatPr defaultRowHeight="15" x14ac:dyDescent="0.25"/>
  <cols>
    <col min="1" max="1" width="39.85546875" bestFit="1" customWidth="1"/>
    <col min="2" max="2" width="14.28515625" bestFit="1" customWidth="1"/>
    <col min="3" max="3" width="14" bestFit="1" customWidth="1"/>
    <col min="4" max="4" width="9.5703125" bestFit="1" customWidth="1"/>
    <col min="5" max="5" width="13.7109375" bestFit="1" customWidth="1"/>
    <col min="6" max="6" width="94.7109375" customWidth="1"/>
    <col min="7" max="7" width="87" customWidth="1"/>
    <col min="8" max="8" width="78.28515625" customWidth="1"/>
  </cols>
  <sheetData>
    <row r="1" spans="1:8" x14ac:dyDescent="0.25">
      <c r="A1" s="14" t="s">
        <v>1041</v>
      </c>
      <c r="B1" t="s">
        <v>1042</v>
      </c>
      <c r="D1" s="15" t="s">
        <v>1043</v>
      </c>
      <c r="E1" s="22" t="s">
        <v>1048</v>
      </c>
    </row>
    <row r="2" spans="1:8" ht="90" customHeight="1" x14ac:dyDescent="0.25">
      <c r="A2" s="2" t="s">
        <v>747</v>
      </c>
      <c r="B2" s="16" t="str">
        <f>VLOOKUP(A2,Sheet3!B:C,2,0)</f>
        <v>070000173855</v>
      </c>
      <c r="C2" s="2">
        <v>17857</v>
      </c>
      <c r="D2" s="17">
        <f>ROUND(C2,0)</f>
        <v>17857</v>
      </c>
      <c r="E2" s="22" t="s">
        <v>1048</v>
      </c>
      <c r="F2" s="18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9" t="str">
        <f>"('"&amp;E2&amp;"','"&amp;B2&amp;"','"&amp;D2&amp;"',(select max(to_number(i.premium_rcv_detail_code))+1
from ins_premium_det i),'"&amp;D2&amp;"','"&amp;D2&amp;"','02', '11000003','00','Request by Mr.Saqib Saleem 24-Feb-2025');"</f>
        <v>('21Feb250007','070000173855','17857',(select max(to_number(i.premium_rcv_detail_code))+1
from ins_premium_det i),'17857','17857','02', '11000003','00','Request by Mr.Saqib Saleem 24-Feb-2025');</v>
      </c>
      <c r="H2" s="20" t="str">
        <f>F2&amp;G2</f>
        <v>insert into ins_premium_det (premium_rcv_code,assorted_code, rec_amount,premium_rcv_detail_code,remaining_amt, payrec, mode_code,coinsurance_code,class_cd,it_remarks) values('21Feb250007','070000173855','17857',(select max(to_number(i.premium_rcv_detail_code))+1
from ins_premium_det i),'17857','17857','02', '11000003','00','Request by Mr.Saqib Saleem 24-Feb-2025');</v>
      </c>
    </row>
    <row r="3" spans="1:8" ht="105" x14ac:dyDescent="0.25">
      <c r="A3" s="2" t="s">
        <v>748</v>
      </c>
      <c r="B3" s="16" t="str">
        <f>VLOOKUP(A3,Sheet3!B:C,2,0)</f>
        <v>070000173867</v>
      </c>
      <c r="C3" s="2">
        <v>28376</v>
      </c>
      <c r="D3" s="17">
        <f t="shared" ref="D3:D66" si="1">ROUND(C3,0)</f>
        <v>28376</v>
      </c>
      <c r="E3" s="22" t="s">
        <v>1048</v>
      </c>
      <c r="F3" s="18" t="str">
        <f t="shared" si="0"/>
        <v>insert into ins_premium_det (premium_rcv_code,assorted_code, rec_amount,premium_rcv_detail_code,remaining_amt, payrec, mode_code,coinsurance_code,class_cd,it_remarks) values</v>
      </c>
      <c r="G3" s="19" t="str">
        <f t="shared" ref="G3:G66" si="2">"('"&amp;E3&amp;"','"&amp;B3&amp;"','"&amp;D3&amp;"',(select max(to_number(i.premium_rcv_detail_code))+1
from ins_premium_det i),'"&amp;D3&amp;"','"&amp;D3&amp;"','02', '11000003','00','Request by Mr.Saqib Saleem 24-Feb-2025');"</f>
        <v>('21Feb250007','070000173867','28376',(select max(to_number(i.premium_rcv_detail_code))+1
from ins_premium_det i),'28376','28376','02', '11000003','00','Request by Mr.Saqib Saleem 24-Feb-2025');</v>
      </c>
      <c r="H3" s="20" t="str">
        <f t="shared" ref="H3:H66" si="3">F3&amp;G3</f>
        <v>insert into ins_premium_det (premium_rcv_code,assorted_code, rec_amount,premium_rcv_detail_code,remaining_amt, payrec, mode_code,coinsurance_code,class_cd,it_remarks) values('21Feb250007','070000173867','28376',(select max(to_number(i.premium_rcv_detail_code))+1
from ins_premium_det i),'28376','28376','02', '11000003','00','Request by Mr.Saqib Saleem 24-Feb-2025');</v>
      </c>
    </row>
    <row r="4" spans="1:8" ht="105" x14ac:dyDescent="0.25">
      <c r="A4" s="2" t="s">
        <v>749</v>
      </c>
      <c r="B4" s="16" t="str">
        <f>VLOOKUP(A4,Sheet3!B:C,2,0)</f>
        <v>070000173862</v>
      </c>
      <c r="C4" s="2">
        <v>9404</v>
      </c>
      <c r="D4" s="17">
        <f t="shared" si="1"/>
        <v>9404</v>
      </c>
      <c r="E4" s="22" t="s">
        <v>1048</v>
      </c>
      <c r="F4" s="18" t="str">
        <f t="shared" si="0"/>
        <v>insert into ins_premium_det (premium_rcv_code,assorted_code, rec_amount,premium_rcv_detail_code,remaining_amt, payrec, mode_code,coinsurance_code,class_cd,it_remarks) values</v>
      </c>
      <c r="G4" s="19" t="str">
        <f t="shared" si="2"/>
        <v>('21Feb250007','070000173862','9404',(select max(to_number(i.premium_rcv_detail_code))+1
from ins_premium_det i),'9404','9404','02', '11000003','00','Request by Mr.Saqib Saleem 24-Feb-2025');</v>
      </c>
      <c r="H4" s="20" t="str">
        <f t="shared" si="3"/>
        <v>insert into ins_premium_det (premium_rcv_code,assorted_code, rec_amount,premium_rcv_detail_code,remaining_amt, payrec, mode_code,coinsurance_code,class_cd,it_remarks) values('21Feb250007','070000173862','9404',(select max(to_number(i.premium_rcv_detail_code))+1
from ins_premium_det i),'9404','9404','02', '11000003','00','Request by Mr.Saqib Saleem 24-Feb-2025');</v>
      </c>
    </row>
    <row r="5" spans="1:8" ht="105" x14ac:dyDescent="0.25">
      <c r="A5" s="2" t="s">
        <v>750</v>
      </c>
      <c r="B5" s="16" t="str">
        <f>VLOOKUP(A5,Sheet3!B:C,2,0)</f>
        <v>070000173869</v>
      </c>
      <c r="C5" s="2">
        <v>18097</v>
      </c>
      <c r="D5" s="17">
        <f t="shared" si="1"/>
        <v>18097</v>
      </c>
      <c r="E5" s="22" t="s">
        <v>1048</v>
      </c>
      <c r="F5" s="18" t="str">
        <f t="shared" si="0"/>
        <v>insert into ins_premium_det (premium_rcv_code,assorted_code, rec_amount,premium_rcv_detail_code,remaining_amt, payrec, mode_code,coinsurance_code,class_cd,it_remarks) values</v>
      </c>
      <c r="G5" s="19" t="str">
        <f t="shared" si="2"/>
        <v>('21Feb250007','070000173869','18097',(select max(to_number(i.premium_rcv_detail_code))+1
from ins_premium_det i),'18097','18097','02', '11000003','00','Request by Mr.Saqib Saleem 24-Feb-2025');</v>
      </c>
      <c r="H5" s="20" t="str">
        <f t="shared" si="3"/>
        <v>insert into ins_premium_det (premium_rcv_code,assorted_code, rec_amount,premium_rcv_detail_code,remaining_amt, payrec, mode_code,coinsurance_code,class_cd,it_remarks) values('21Feb250007','070000173869','18097',(select max(to_number(i.premium_rcv_detail_code))+1
from ins_premium_det i),'18097','18097','02', '11000003','00','Request by Mr.Saqib Saleem 24-Feb-2025');</v>
      </c>
    </row>
    <row r="6" spans="1:8" ht="105" x14ac:dyDescent="0.25">
      <c r="A6" s="2" t="s">
        <v>751</v>
      </c>
      <c r="B6" s="16" t="str">
        <f>VLOOKUP(A6,Sheet3!B:C,2,0)</f>
        <v>070000173860</v>
      </c>
      <c r="C6" s="2">
        <v>16490</v>
      </c>
      <c r="D6" s="17">
        <f t="shared" si="1"/>
        <v>16490</v>
      </c>
      <c r="E6" s="22" t="s">
        <v>1048</v>
      </c>
      <c r="F6" s="18" t="str">
        <f t="shared" si="0"/>
        <v>insert into ins_premium_det (premium_rcv_code,assorted_code, rec_amount,premium_rcv_detail_code,remaining_amt, payrec, mode_code,coinsurance_code,class_cd,it_remarks) values</v>
      </c>
      <c r="G6" s="19" t="str">
        <f t="shared" si="2"/>
        <v>('21Feb250007','070000173860','16490',(select max(to_number(i.premium_rcv_detail_code))+1
from ins_premium_det i),'16490','16490','02', '11000003','00','Request by Mr.Saqib Saleem 24-Feb-2025');</v>
      </c>
      <c r="H6" s="20" t="str">
        <f t="shared" si="3"/>
        <v>insert into ins_premium_det (premium_rcv_code,assorted_code, rec_amount,premium_rcv_detail_code,remaining_amt, payrec, mode_code,coinsurance_code,class_cd,it_remarks) values('21Feb250007','070000173860','16490',(select max(to_number(i.premium_rcv_detail_code))+1
from ins_premium_det i),'16490','16490','02', '11000003','00','Request by Mr.Saqib Saleem 24-Feb-2025');</v>
      </c>
    </row>
    <row r="7" spans="1:8" ht="105" x14ac:dyDescent="0.25">
      <c r="A7" s="2" t="s">
        <v>752</v>
      </c>
      <c r="B7" s="16" t="str">
        <f>VLOOKUP(A7,Sheet3!B:C,2,0)</f>
        <v>070000173868</v>
      </c>
      <c r="C7" s="2">
        <v>34905</v>
      </c>
      <c r="D7" s="17">
        <f t="shared" si="1"/>
        <v>34905</v>
      </c>
      <c r="E7" s="22" t="s">
        <v>1048</v>
      </c>
      <c r="F7" s="18" t="str">
        <f t="shared" si="0"/>
        <v>insert into ins_premium_det (premium_rcv_code,assorted_code, rec_amount,premium_rcv_detail_code,remaining_amt, payrec, mode_code,coinsurance_code,class_cd,it_remarks) values</v>
      </c>
      <c r="G7" s="19" t="str">
        <f t="shared" si="2"/>
        <v>('21Feb250007','070000173868','34905',(select max(to_number(i.premium_rcv_detail_code))+1
from ins_premium_det i),'34905','34905','02', '11000003','00','Request by Mr.Saqib Saleem 24-Feb-2025');</v>
      </c>
      <c r="H7" s="20" t="str">
        <f t="shared" si="3"/>
        <v>insert into ins_premium_det (premium_rcv_code,assorted_code, rec_amount,premium_rcv_detail_code,remaining_amt, payrec, mode_code,coinsurance_code,class_cd,it_remarks) values('21Feb250007','070000173868','34905',(select max(to_number(i.premium_rcv_detail_code))+1
from ins_premium_det i),'34905','34905','02', '11000003','00','Request by Mr.Saqib Saleem 24-Feb-2025');</v>
      </c>
    </row>
    <row r="8" spans="1:8" ht="105" x14ac:dyDescent="0.25">
      <c r="A8" s="2" t="s">
        <v>753</v>
      </c>
      <c r="B8" s="16" t="str">
        <f>VLOOKUP(A8,Sheet3!B:C,2,0)</f>
        <v>070000174467</v>
      </c>
      <c r="C8" s="2">
        <v>45684</v>
      </c>
      <c r="D8" s="17">
        <f t="shared" si="1"/>
        <v>45684</v>
      </c>
      <c r="E8" s="22" t="s">
        <v>1048</v>
      </c>
      <c r="F8" s="18" t="str">
        <f t="shared" si="0"/>
        <v>insert into ins_premium_det (premium_rcv_code,assorted_code, rec_amount,premium_rcv_detail_code,remaining_amt, payrec, mode_code,coinsurance_code,class_cd,it_remarks) values</v>
      </c>
      <c r="G8" s="19" t="str">
        <f t="shared" si="2"/>
        <v>('21Feb250007','070000174467','45684',(select max(to_number(i.premium_rcv_detail_code))+1
from ins_premium_det i),'45684','45684','02', '11000003','00','Request by Mr.Saqib Saleem 24-Feb-2025');</v>
      </c>
      <c r="H8" s="20" t="str">
        <f t="shared" si="3"/>
        <v>insert into ins_premium_det (premium_rcv_code,assorted_code, rec_amount,premium_rcv_detail_code,remaining_amt, payrec, mode_code,coinsurance_code,class_cd,it_remarks) values('21Feb250007','070000174467','45684',(select max(to_number(i.premium_rcv_detail_code))+1
from ins_premium_det i),'45684','45684','02', '11000003','00','Request by Mr.Saqib Saleem 24-Feb-2025');</v>
      </c>
    </row>
    <row r="9" spans="1:8" ht="105" x14ac:dyDescent="0.25">
      <c r="A9" s="2" t="s">
        <v>754</v>
      </c>
      <c r="B9" s="16" t="str">
        <f>VLOOKUP(A9,Sheet3!B:C,2,0)</f>
        <v>070000174465</v>
      </c>
      <c r="C9" s="2">
        <v>39293</v>
      </c>
      <c r="D9" s="17">
        <f t="shared" si="1"/>
        <v>39293</v>
      </c>
      <c r="E9" s="22" t="s">
        <v>1048</v>
      </c>
      <c r="F9" s="18" t="str">
        <f t="shared" si="0"/>
        <v>insert into ins_premium_det (premium_rcv_code,assorted_code, rec_amount,premium_rcv_detail_code,remaining_amt, payrec, mode_code,coinsurance_code,class_cd,it_remarks) values</v>
      </c>
      <c r="G9" s="19" t="str">
        <f t="shared" si="2"/>
        <v>('21Feb250007','070000174465','39293',(select max(to_number(i.premium_rcv_detail_code))+1
from ins_premium_det i),'39293','39293','02', '11000003','00','Request by Mr.Saqib Saleem 24-Feb-2025');</v>
      </c>
      <c r="H9" s="20" t="str">
        <f t="shared" si="3"/>
        <v>insert into ins_premium_det (premium_rcv_code,assorted_code, rec_amount,premium_rcv_detail_code,remaining_amt, payrec, mode_code,coinsurance_code,class_cd,it_remarks) values('21Feb250007','070000174465','39293',(select max(to_number(i.premium_rcv_detail_code))+1
from ins_premium_det i),'39293','39293','02', '11000003','00','Request by Mr.Saqib Saleem 24-Feb-2025');</v>
      </c>
    </row>
    <row r="10" spans="1:8" ht="105" x14ac:dyDescent="0.25">
      <c r="A10" s="2" t="s">
        <v>755</v>
      </c>
      <c r="B10" s="16" t="str">
        <f>VLOOKUP(A10,Sheet3!B:C,2,0)</f>
        <v>070000174466</v>
      </c>
      <c r="C10" s="2">
        <v>49815</v>
      </c>
      <c r="D10" s="17">
        <f t="shared" si="1"/>
        <v>49815</v>
      </c>
      <c r="E10" s="22" t="s">
        <v>1048</v>
      </c>
      <c r="F10" s="18" t="str">
        <f t="shared" si="0"/>
        <v>insert into ins_premium_det (premium_rcv_code,assorted_code, rec_amount,premium_rcv_detail_code,remaining_amt, payrec, mode_code,coinsurance_code,class_cd,it_remarks) values</v>
      </c>
      <c r="G10" s="19" t="str">
        <f t="shared" si="2"/>
        <v>('21Feb250007','070000174466','49815',(select max(to_number(i.premium_rcv_detail_code))+1
from ins_premium_det i),'49815','49815','02', '11000003','00','Request by Mr.Saqib Saleem 24-Feb-2025');</v>
      </c>
      <c r="H10" s="20" t="str">
        <f t="shared" si="3"/>
        <v>insert into ins_premium_det (premium_rcv_code,assorted_code, rec_amount,premium_rcv_detail_code,remaining_amt, payrec, mode_code,coinsurance_code,class_cd,it_remarks) values('21Feb250007','070000174466','49815',(select max(to_number(i.premium_rcv_detail_code))+1
from ins_premium_det i),'49815','49815','02', '11000003','00','Request by Mr.Saqib Saleem 24-Feb-2025');</v>
      </c>
    </row>
    <row r="11" spans="1:8" ht="105" x14ac:dyDescent="0.25">
      <c r="A11" s="2" t="s">
        <v>756</v>
      </c>
      <c r="B11" s="16" t="str">
        <f>VLOOKUP(A11,Sheet3!B:C,2,0)</f>
        <v>070000174469</v>
      </c>
      <c r="C11" s="2">
        <v>31590</v>
      </c>
      <c r="D11" s="17">
        <f t="shared" si="1"/>
        <v>31590</v>
      </c>
      <c r="E11" s="22" t="s">
        <v>1048</v>
      </c>
      <c r="F11" s="18" t="str">
        <f t="shared" si="0"/>
        <v>insert into ins_premium_det (premium_rcv_code,assorted_code, rec_amount,premium_rcv_detail_code,remaining_amt, payrec, mode_code,coinsurance_code,class_cd,it_remarks) values</v>
      </c>
      <c r="G11" s="19" t="str">
        <f t="shared" si="2"/>
        <v>('21Feb250007','070000174469','31590',(select max(to_number(i.premium_rcv_detail_code))+1
from ins_premium_det i),'31590','31590','02', '11000003','00','Request by Mr.Saqib Saleem 24-Feb-2025');</v>
      </c>
      <c r="H11" s="20" t="str">
        <f t="shared" si="3"/>
        <v>insert into ins_premium_det (premium_rcv_code,assorted_code, rec_amount,premium_rcv_detail_code,remaining_amt, payrec, mode_code,coinsurance_code,class_cd,it_remarks) values('21Feb250007','070000174469','31590',(select max(to_number(i.premium_rcv_detail_code))+1
from ins_premium_det i),'31590','31590','02', '11000003','00','Request by Mr.Saqib Saleem 24-Feb-2025');</v>
      </c>
    </row>
    <row r="12" spans="1:8" ht="105" x14ac:dyDescent="0.25">
      <c r="A12" s="2" t="s">
        <v>757</v>
      </c>
      <c r="B12" s="16" t="str">
        <f>VLOOKUP(A12,Sheet3!B:C,2,0)</f>
        <v>070000174468</v>
      </c>
      <c r="C12" s="2">
        <v>54772</v>
      </c>
      <c r="D12" s="17">
        <f t="shared" si="1"/>
        <v>54772</v>
      </c>
      <c r="E12" s="22" t="s">
        <v>1048</v>
      </c>
      <c r="F12" s="18" t="str">
        <f t="shared" si="0"/>
        <v>insert into ins_premium_det (premium_rcv_code,assorted_code, rec_amount,premium_rcv_detail_code,remaining_amt, payrec, mode_code,coinsurance_code,class_cd,it_remarks) values</v>
      </c>
      <c r="G12" s="19" t="str">
        <f t="shared" si="2"/>
        <v>('21Feb250007','070000174468','54772',(select max(to_number(i.premium_rcv_detail_code))+1
from ins_premium_det i),'54772','54772','02', '11000003','00','Request by Mr.Saqib Saleem 24-Feb-2025');</v>
      </c>
      <c r="H12" s="20" t="str">
        <f t="shared" si="3"/>
        <v>insert into ins_premium_det (premium_rcv_code,assorted_code, rec_amount,premium_rcv_detail_code,remaining_amt, payrec, mode_code,coinsurance_code,class_cd,it_remarks) values('21Feb250007','070000174468','54772',(select max(to_number(i.premium_rcv_detail_code))+1
from ins_premium_det i),'54772','54772','02', '11000003','00','Request by Mr.Saqib Saleem 24-Feb-2025');</v>
      </c>
    </row>
    <row r="13" spans="1:8" ht="105" x14ac:dyDescent="0.25">
      <c r="A13" s="2" t="s">
        <v>758</v>
      </c>
      <c r="B13" s="16" t="str">
        <f>VLOOKUP(A13,Sheet3!B:C,2,0)</f>
        <v>070000174457</v>
      </c>
      <c r="C13" s="2">
        <v>37787</v>
      </c>
      <c r="D13" s="17">
        <f t="shared" si="1"/>
        <v>37787</v>
      </c>
      <c r="E13" s="22" t="s">
        <v>1048</v>
      </c>
      <c r="F13" s="18" t="str">
        <f t="shared" si="0"/>
        <v>insert into ins_premium_det (premium_rcv_code,assorted_code, rec_amount,premium_rcv_detail_code,remaining_amt, payrec, mode_code,coinsurance_code,class_cd,it_remarks) values</v>
      </c>
      <c r="G13" s="19" t="str">
        <f t="shared" si="2"/>
        <v>('21Feb250007','070000174457','37787',(select max(to_number(i.premium_rcv_detail_code))+1
from ins_premium_det i),'37787','37787','02', '11000003','00','Request by Mr.Saqib Saleem 24-Feb-2025');</v>
      </c>
      <c r="H13" s="20" t="str">
        <f t="shared" si="3"/>
        <v>insert into ins_premium_det (premium_rcv_code,assorted_code, rec_amount,premium_rcv_detail_code,remaining_amt, payrec, mode_code,coinsurance_code,class_cd,it_remarks) values('21Feb250007','070000174457','37787',(select max(to_number(i.premium_rcv_detail_code))+1
from ins_premium_det i),'37787','37787','02', '11000003','00','Request by Mr.Saqib Saleem 24-Feb-2025');</v>
      </c>
    </row>
    <row r="14" spans="1:8" ht="105" x14ac:dyDescent="0.25">
      <c r="A14" s="2" t="s">
        <v>759</v>
      </c>
      <c r="B14" s="16" t="str">
        <f>VLOOKUP(A14,Sheet3!B:C,2,0)</f>
        <v>070000174458</v>
      </c>
      <c r="C14" s="2">
        <v>71550</v>
      </c>
      <c r="D14" s="17">
        <f t="shared" si="1"/>
        <v>71550</v>
      </c>
      <c r="E14" s="22" t="s">
        <v>1048</v>
      </c>
      <c r="F14" s="18" t="str">
        <f t="shared" si="0"/>
        <v>insert into ins_premium_det (premium_rcv_code,assorted_code, rec_amount,premium_rcv_detail_code,remaining_amt, payrec, mode_code,coinsurance_code,class_cd,it_remarks) values</v>
      </c>
      <c r="G14" s="19" t="str">
        <f t="shared" si="2"/>
        <v>('21Feb250007','070000174458','71550',(select max(to_number(i.premium_rcv_detail_code))+1
from ins_premium_det i),'71550','71550','02', '11000003','00','Request by Mr.Saqib Saleem 24-Feb-2025');</v>
      </c>
      <c r="H14" s="20" t="str">
        <f t="shared" si="3"/>
        <v>insert into ins_premium_det (premium_rcv_code,assorted_code, rec_amount,premium_rcv_detail_code,remaining_amt, payrec, mode_code,coinsurance_code,class_cd,it_remarks) values('21Feb250007','070000174458','71550',(select max(to_number(i.premium_rcv_detail_code))+1
from ins_premium_det i),'71550','71550','02', '11000003','00','Request by Mr.Saqib Saleem 24-Feb-2025');</v>
      </c>
    </row>
    <row r="15" spans="1:8" ht="105" x14ac:dyDescent="0.25">
      <c r="A15" s="2" t="s">
        <v>760</v>
      </c>
      <c r="B15" s="16" t="str">
        <f>VLOOKUP(A15,Sheet3!B:C,2,0)</f>
        <v>070000174459</v>
      </c>
      <c r="C15" s="2">
        <v>39623</v>
      </c>
      <c r="D15" s="17">
        <f t="shared" si="1"/>
        <v>39623</v>
      </c>
      <c r="E15" s="22" t="s">
        <v>1048</v>
      </c>
      <c r="F15" s="18" t="str">
        <f t="shared" si="0"/>
        <v>insert into ins_premium_det (premium_rcv_code,assorted_code, rec_amount,premium_rcv_detail_code,remaining_amt, payrec, mode_code,coinsurance_code,class_cd,it_remarks) values</v>
      </c>
      <c r="G15" s="19" t="str">
        <f t="shared" si="2"/>
        <v>('21Feb250007','070000174459','39623',(select max(to_number(i.premium_rcv_detail_code))+1
from ins_premium_det i),'39623','39623','02', '11000003','00','Request by Mr.Saqib Saleem 24-Feb-2025');</v>
      </c>
      <c r="H15" s="20" t="str">
        <f t="shared" si="3"/>
        <v>insert into ins_premium_det (premium_rcv_code,assorted_code, rec_amount,premium_rcv_detail_code,remaining_amt, payrec, mode_code,coinsurance_code,class_cd,it_remarks) values('21Feb250007','070000174459','39623',(select max(to_number(i.premium_rcv_detail_code))+1
from ins_premium_det i),'39623','39623','02', '11000003','00','Request by Mr.Saqib Saleem 24-Feb-2025');</v>
      </c>
    </row>
    <row r="16" spans="1:8" ht="105" x14ac:dyDescent="0.25">
      <c r="A16" s="2" t="s">
        <v>761</v>
      </c>
      <c r="B16" s="16" t="str">
        <f>VLOOKUP(A16,Sheet3!B:C,2,0)</f>
        <v>070000174462</v>
      </c>
      <c r="C16" s="2">
        <v>55134</v>
      </c>
      <c r="D16" s="17">
        <f t="shared" si="1"/>
        <v>55134</v>
      </c>
      <c r="E16" s="22" t="s">
        <v>1048</v>
      </c>
      <c r="F16" s="18" t="str">
        <f t="shared" si="0"/>
        <v>insert into ins_premium_det (premium_rcv_code,assorted_code, rec_amount,premium_rcv_detail_code,remaining_amt, payrec, mode_code,coinsurance_code,class_cd,it_remarks) values</v>
      </c>
      <c r="G16" s="19" t="str">
        <f t="shared" si="2"/>
        <v>('21Feb250007','070000174462','55134',(select max(to_number(i.premium_rcv_detail_code))+1
from ins_premium_det i),'55134','55134','02', '11000003','00','Request by Mr.Saqib Saleem 24-Feb-2025');</v>
      </c>
      <c r="H16" s="20" t="str">
        <f t="shared" si="3"/>
        <v>insert into ins_premium_det (premium_rcv_code,assorted_code, rec_amount,premium_rcv_detail_code,remaining_amt, payrec, mode_code,coinsurance_code,class_cd,it_remarks) values('21Feb250007','070000174462','55134',(select max(to_number(i.premium_rcv_detail_code))+1
from ins_premium_det i),'55134','55134','02', '11000003','00','Request by Mr.Saqib Saleem 24-Feb-2025');</v>
      </c>
    </row>
    <row r="17" spans="1:8" ht="105" x14ac:dyDescent="0.25">
      <c r="A17" s="2" t="s">
        <v>762</v>
      </c>
      <c r="B17" s="16" t="str">
        <f>VLOOKUP(A17,Sheet3!B:C,2,0)</f>
        <v>070000174456</v>
      </c>
      <c r="C17" s="2">
        <v>35262</v>
      </c>
      <c r="D17" s="17">
        <f t="shared" si="1"/>
        <v>35262</v>
      </c>
      <c r="E17" s="22" t="s">
        <v>1048</v>
      </c>
      <c r="F17" s="18" t="str">
        <f t="shared" si="0"/>
        <v>insert into ins_premium_det (premium_rcv_code,assorted_code, rec_amount,premium_rcv_detail_code,remaining_amt, payrec, mode_code,coinsurance_code,class_cd,it_remarks) values</v>
      </c>
      <c r="G17" s="19" t="str">
        <f t="shared" si="2"/>
        <v>('21Feb250007','070000174456','35262',(select max(to_number(i.premium_rcv_detail_code))+1
from ins_premium_det i),'35262','35262','02', '11000003','00','Request by Mr.Saqib Saleem 24-Feb-2025');</v>
      </c>
      <c r="H17" s="20" t="str">
        <f t="shared" si="3"/>
        <v>insert into ins_premium_det (premium_rcv_code,assorted_code, rec_amount,premium_rcv_detail_code,remaining_amt, payrec, mode_code,coinsurance_code,class_cd,it_remarks) values('21Feb250007','070000174456','35262',(select max(to_number(i.premium_rcv_detail_code))+1
from ins_premium_det i),'35262','35262','02', '11000003','00','Request by Mr.Saqib Saleem 24-Feb-2025');</v>
      </c>
    </row>
    <row r="18" spans="1:8" ht="105" x14ac:dyDescent="0.25">
      <c r="A18" s="2" t="s">
        <v>763</v>
      </c>
      <c r="B18" s="16" t="str">
        <f>VLOOKUP(A18,Sheet3!B:C,2,0)</f>
        <v>070000174460</v>
      </c>
      <c r="C18" s="2">
        <v>54000</v>
      </c>
      <c r="D18" s="17">
        <f t="shared" si="1"/>
        <v>54000</v>
      </c>
      <c r="E18" s="22" t="s">
        <v>1048</v>
      </c>
      <c r="F18" s="18" t="str">
        <f t="shared" si="0"/>
        <v>insert into ins_premium_det (premium_rcv_code,assorted_code, rec_amount,premium_rcv_detail_code,remaining_amt, payrec, mode_code,coinsurance_code,class_cd,it_remarks) values</v>
      </c>
      <c r="G18" s="19" t="str">
        <f t="shared" si="2"/>
        <v>('21Feb250007','070000174460','54000',(select max(to_number(i.premium_rcv_detail_code))+1
from ins_premium_det i),'54000','54000','02', '11000003','00','Request by Mr.Saqib Saleem 24-Feb-2025');</v>
      </c>
      <c r="H18" s="20" t="str">
        <f t="shared" si="3"/>
        <v>insert into ins_premium_det (premium_rcv_code,assorted_code, rec_amount,premium_rcv_detail_code,remaining_amt, payrec, mode_code,coinsurance_code,class_cd,it_remarks) values('21Feb250007','070000174460','54000',(select max(to_number(i.premium_rcv_detail_code))+1
from ins_premium_det i),'54000','54000','02', '11000003','00','Request by Mr.Saqib Saleem 24-Feb-2025');</v>
      </c>
    </row>
    <row r="19" spans="1:8" ht="105" x14ac:dyDescent="0.25">
      <c r="A19" s="2" t="s">
        <v>764</v>
      </c>
      <c r="B19" s="16" t="str">
        <f>VLOOKUP(A19,Sheet3!B:C,2,0)</f>
        <v>070000174482</v>
      </c>
      <c r="C19" s="2">
        <v>60361</v>
      </c>
      <c r="D19" s="17">
        <f t="shared" si="1"/>
        <v>60361</v>
      </c>
      <c r="E19" s="22" t="s">
        <v>1048</v>
      </c>
      <c r="F19" s="18" t="str">
        <f t="shared" si="0"/>
        <v>insert into ins_premium_det (premium_rcv_code,assorted_code, rec_amount,premium_rcv_detail_code,remaining_amt, payrec, mode_code,coinsurance_code,class_cd,it_remarks) values</v>
      </c>
      <c r="G19" s="19" t="str">
        <f t="shared" si="2"/>
        <v>('21Feb250007','070000174482','60361',(select max(to_number(i.premium_rcv_detail_code))+1
from ins_premium_det i),'60361','60361','02', '11000003','00','Request by Mr.Saqib Saleem 24-Feb-2025');</v>
      </c>
      <c r="H19" s="20" t="str">
        <f t="shared" si="3"/>
        <v>insert into ins_premium_det (premium_rcv_code,assorted_code, rec_amount,premium_rcv_detail_code,remaining_amt, payrec, mode_code,coinsurance_code,class_cd,it_remarks) values('21Feb250007','070000174482','60361',(select max(to_number(i.premium_rcv_detail_code))+1
from ins_premium_det i),'60361','60361','02', '11000003','00','Request by Mr.Saqib Saleem 24-Feb-2025');</v>
      </c>
    </row>
    <row r="20" spans="1:8" ht="105" x14ac:dyDescent="0.25">
      <c r="A20" s="2" t="s">
        <v>765</v>
      </c>
      <c r="B20" s="16" t="str">
        <f>VLOOKUP(A20,Sheet3!B:C,2,0)</f>
        <v>070000174470</v>
      </c>
      <c r="C20" s="2">
        <v>19291</v>
      </c>
      <c r="D20" s="17">
        <f t="shared" si="1"/>
        <v>19291</v>
      </c>
      <c r="E20" s="22" t="s">
        <v>1048</v>
      </c>
      <c r="F20" s="18" t="str">
        <f t="shared" si="0"/>
        <v>insert into ins_premium_det (premium_rcv_code,assorted_code, rec_amount,premium_rcv_detail_code,remaining_amt, payrec, mode_code,coinsurance_code,class_cd,it_remarks) values</v>
      </c>
      <c r="G20" s="19" t="str">
        <f t="shared" si="2"/>
        <v>('21Feb250007','070000174470','19291',(select max(to_number(i.premium_rcv_detail_code))+1
from ins_premium_det i),'19291','19291','02', '11000003','00','Request by Mr.Saqib Saleem 24-Feb-2025');</v>
      </c>
      <c r="H20" s="20" t="str">
        <f t="shared" si="3"/>
        <v>insert into ins_premium_det (premium_rcv_code,assorted_code, rec_amount,premium_rcv_detail_code,remaining_amt, payrec, mode_code,coinsurance_code,class_cd,it_remarks) values('21Feb250007','070000174470','19291',(select max(to_number(i.premium_rcv_detail_code))+1
from ins_premium_det i),'19291','19291','02', '11000003','00','Request by Mr.Saqib Saleem 24-Feb-2025');</v>
      </c>
    </row>
    <row r="21" spans="1:8" ht="105" x14ac:dyDescent="0.25">
      <c r="A21" s="2" t="s">
        <v>766</v>
      </c>
      <c r="B21" s="16" t="str">
        <f>VLOOKUP(A21,Sheet3!B:C,2,0)</f>
        <v>070000174473</v>
      </c>
      <c r="C21" s="2">
        <v>14732</v>
      </c>
      <c r="D21" s="17">
        <f t="shared" si="1"/>
        <v>14732</v>
      </c>
      <c r="E21" s="22" t="s">
        <v>1048</v>
      </c>
      <c r="F21" s="18" t="str">
        <f t="shared" si="0"/>
        <v>insert into ins_premium_det (premium_rcv_code,assorted_code, rec_amount,premium_rcv_detail_code,remaining_amt, payrec, mode_code,coinsurance_code,class_cd,it_remarks) values</v>
      </c>
      <c r="G21" s="19" t="str">
        <f t="shared" si="2"/>
        <v>('21Feb250007','070000174473','14732',(select max(to_number(i.premium_rcv_detail_code))+1
from ins_premium_det i),'14732','14732','02', '11000003','00','Request by Mr.Saqib Saleem 24-Feb-2025');</v>
      </c>
      <c r="H21" s="20" t="str">
        <f t="shared" si="3"/>
        <v>insert into ins_premium_det (premium_rcv_code,assorted_code, rec_amount,premium_rcv_detail_code,remaining_amt, payrec, mode_code,coinsurance_code,class_cd,it_remarks) values('21Feb250007','070000174473','14732',(select max(to_number(i.premium_rcv_detail_code))+1
from ins_premium_det i),'14732','14732','02', '11000003','00','Request by Mr.Saqib Saleem 24-Feb-2025');</v>
      </c>
    </row>
    <row r="22" spans="1:8" ht="105" x14ac:dyDescent="0.25">
      <c r="A22" s="2" t="s">
        <v>767</v>
      </c>
      <c r="B22" s="16" t="str">
        <f>VLOOKUP(A22,Sheet3!B:C,2,0)</f>
        <v>070000174472</v>
      </c>
      <c r="C22" s="2">
        <v>22343</v>
      </c>
      <c r="D22" s="17">
        <f t="shared" si="1"/>
        <v>22343</v>
      </c>
      <c r="E22" s="22" t="s">
        <v>1048</v>
      </c>
      <c r="F22" s="18" t="str">
        <f t="shared" si="0"/>
        <v>insert into ins_premium_det (premium_rcv_code,assorted_code, rec_amount,premium_rcv_detail_code,remaining_amt, payrec, mode_code,coinsurance_code,class_cd,it_remarks) values</v>
      </c>
      <c r="G22" s="19" t="str">
        <f t="shared" si="2"/>
        <v>('21Feb250007','070000174472','22343',(select max(to_number(i.premium_rcv_detail_code))+1
from ins_premium_det i),'22343','22343','02', '11000003','00','Request by Mr.Saqib Saleem 24-Feb-2025');</v>
      </c>
      <c r="H22" s="20" t="str">
        <f t="shared" si="3"/>
        <v>insert into ins_premium_det (premium_rcv_code,assorted_code, rec_amount,premium_rcv_detail_code,remaining_amt, payrec, mode_code,coinsurance_code,class_cd,it_remarks) values('21Feb250007','070000174472','22343',(select max(to_number(i.premium_rcv_detail_code))+1
from ins_premium_det i),'22343','22343','02', '11000003','00','Request by Mr.Saqib Saleem 24-Feb-2025');</v>
      </c>
    </row>
    <row r="23" spans="1:8" ht="105" x14ac:dyDescent="0.25">
      <c r="A23" s="2" t="s">
        <v>768</v>
      </c>
      <c r="B23" s="16" t="str">
        <f>VLOOKUP(A23,Sheet3!B:C,2,0)</f>
        <v>070000174483</v>
      </c>
      <c r="C23" s="2">
        <v>15447</v>
      </c>
      <c r="D23" s="17">
        <f t="shared" si="1"/>
        <v>15447</v>
      </c>
      <c r="E23" s="22" t="s">
        <v>1048</v>
      </c>
      <c r="F23" s="18" t="str">
        <f t="shared" si="0"/>
        <v>insert into ins_premium_det (premium_rcv_code,assorted_code, rec_amount,premium_rcv_detail_code,remaining_amt, payrec, mode_code,coinsurance_code,class_cd,it_remarks) values</v>
      </c>
      <c r="G23" s="19" t="str">
        <f t="shared" si="2"/>
        <v>('21Feb250007','070000174483','15447',(select max(to_number(i.premium_rcv_detail_code))+1
from ins_premium_det i),'15447','15447','02', '11000003','00','Request by Mr.Saqib Saleem 24-Feb-2025');</v>
      </c>
      <c r="H23" s="20" t="str">
        <f t="shared" si="3"/>
        <v>insert into ins_premium_det (premium_rcv_code,assorted_code, rec_amount,premium_rcv_detail_code,remaining_amt, payrec, mode_code,coinsurance_code,class_cd,it_remarks) values('21Feb250007','070000174483','15447',(select max(to_number(i.premium_rcv_detail_code))+1
from ins_premium_det i),'15447','15447','02', '11000003','00','Request by Mr.Saqib Saleem 24-Feb-2025');</v>
      </c>
    </row>
    <row r="24" spans="1:8" ht="105" x14ac:dyDescent="0.25">
      <c r="A24" s="2" t="s">
        <v>769</v>
      </c>
      <c r="B24" s="16" t="str">
        <f>VLOOKUP(A24,Sheet3!B:C,2,0)</f>
        <v>070000173872</v>
      </c>
      <c r="C24" s="2">
        <v>43565</v>
      </c>
      <c r="D24" s="17">
        <f t="shared" si="1"/>
        <v>43565</v>
      </c>
      <c r="E24" s="22" t="s">
        <v>1048</v>
      </c>
      <c r="F24" s="18" t="str">
        <f t="shared" si="0"/>
        <v>insert into ins_premium_det (premium_rcv_code,assorted_code, rec_amount,premium_rcv_detail_code,remaining_amt, payrec, mode_code,coinsurance_code,class_cd,it_remarks) values</v>
      </c>
      <c r="G24" s="19" t="str">
        <f t="shared" si="2"/>
        <v>('21Feb250007','070000173872','43565',(select max(to_number(i.premium_rcv_detail_code))+1
from ins_premium_det i),'43565','43565','02', '11000003','00','Request by Mr.Saqib Saleem 24-Feb-2025');</v>
      </c>
      <c r="H24" s="20" t="str">
        <f t="shared" si="3"/>
        <v>insert into ins_premium_det (premium_rcv_code,assorted_code, rec_amount,premium_rcv_detail_code,remaining_amt, payrec, mode_code,coinsurance_code,class_cd,it_remarks) values('21Feb250007','070000173872','43565',(select max(to_number(i.premium_rcv_detail_code))+1
from ins_premium_det i),'43565','43565','02', '11000003','00','Request by Mr.Saqib Saleem 24-Feb-2025');</v>
      </c>
    </row>
    <row r="25" spans="1:8" ht="105" x14ac:dyDescent="0.25">
      <c r="A25" s="2" t="s">
        <v>770</v>
      </c>
      <c r="B25" s="16" t="str">
        <f>VLOOKUP(A25,Sheet3!B:C,2,0)</f>
        <v>070000172532</v>
      </c>
      <c r="C25" s="2">
        <v>27338</v>
      </c>
      <c r="D25" s="17">
        <f t="shared" si="1"/>
        <v>27338</v>
      </c>
      <c r="E25" s="22" t="s">
        <v>1048</v>
      </c>
      <c r="F25" s="18" t="str">
        <f t="shared" si="0"/>
        <v>insert into ins_premium_det (premium_rcv_code,assorted_code, rec_amount,premium_rcv_detail_code,remaining_amt, payrec, mode_code,coinsurance_code,class_cd,it_remarks) values</v>
      </c>
      <c r="G25" s="19" t="str">
        <f t="shared" si="2"/>
        <v>('21Feb250007','070000172532','27338',(select max(to_number(i.premium_rcv_detail_code))+1
from ins_premium_det i),'27338','27338','02', '11000003','00','Request by Mr.Saqib Saleem 24-Feb-2025');</v>
      </c>
      <c r="H25" s="20" t="str">
        <f t="shared" si="3"/>
        <v>insert into ins_premium_det (premium_rcv_code,assorted_code, rec_amount,premium_rcv_detail_code,remaining_amt, payrec, mode_code,coinsurance_code,class_cd,it_remarks) values('21Feb250007','070000172532','27338',(select max(to_number(i.premium_rcv_detail_code))+1
from ins_premium_det i),'27338','27338','02', '11000003','00','Request by Mr.Saqib Saleem 24-Feb-2025');</v>
      </c>
    </row>
    <row r="26" spans="1:8" ht="105" x14ac:dyDescent="0.25">
      <c r="A26" s="2" t="s">
        <v>771</v>
      </c>
      <c r="B26" s="16" t="str">
        <f>VLOOKUP(A26,Sheet3!B:C,2,0)</f>
        <v>070000172529</v>
      </c>
      <c r="C26" s="2">
        <v>16490</v>
      </c>
      <c r="D26" s="17">
        <f t="shared" si="1"/>
        <v>16490</v>
      </c>
      <c r="E26" s="22" t="s">
        <v>1048</v>
      </c>
      <c r="F26" s="18" t="str">
        <f t="shared" si="0"/>
        <v>insert into ins_premium_det (premium_rcv_code,assorted_code, rec_amount,premium_rcv_detail_code,remaining_amt, payrec, mode_code,coinsurance_code,class_cd,it_remarks) values</v>
      </c>
      <c r="G26" s="19" t="str">
        <f t="shared" si="2"/>
        <v>('21Feb250007','070000172529','16490',(select max(to_number(i.premium_rcv_detail_code))+1
from ins_premium_det i),'16490','16490','02', '11000003','00','Request by Mr.Saqib Saleem 24-Feb-2025');</v>
      </c>
      <c r="H26" s="20" t="str">
        <f t="shared" si="3"/>
        <v>insert into ins_premium_det (premium_rcv_code,assorted_code, rec_amount,premium_rcv_detail_code,remaining_amt, payrec, mode_code,coinsurance_code,class_cd,it_remarks) values('21Feb250007','070000172529','16490',(select max(to_number(i.premium_rcv_detail_code))+1
from ins_premium_det i),'16490','16490','02', '11000003','00','Request by Mr.Saqib Saleem 24-Feb-2025');</v>
      </c>
    </row>
    <row r="27" spans="1:8" ht="105" x14ac:dyDescent="0.25">
      <c r="A27" s="2" t="s">
        <v>772</v>
      </c>
      <c r="B27" s="16" t="str">
        <f>VLOOKUP(A27,Sheet3!B:C,2,0)</f>
        <v>070000172501</v>
      </c>
      <c r="C27" s="2">
        <v>39488</v>
      </c>
      <c r="D27" s="17">
        <f t="shared" si="1"/>
        <v>39488</v>
      </c>
      <c r="E27" s="22" t="s">
        <v>1048</v>
      </c>
      <c r="F27" s="18" t="str">
        <f t="shared" si="0"/>
        <v>insert into ins_premium_det (premium_rcv_code,assorted_code, rec_amount,premium_rcv_detail_code,remaining_amt, payrec, mode_code,coinsurance_code,class_cd,it_remarks) values</v>
      </c>
      <c r="G27" s="19" t="str">
        <f t="shared" si="2"/>
        <v>('21Feb250007','070000172501','39488',(select max(to_number(i.premium_rcv_detail_code))+1
from ins_premium_det i),'39488','39488','02', '11000003','00','Request by Mr.Saqib Saleem 24-Feb-2025');</v>
      </c>
      <c r="H27" s="20" t="str">
        <f t="shared" si="3"/>
        <v>insert into ins_premium_det (premium_rcv_code,assorted_code, rec_amount,premium_rcv_detail_code,remaining_amt, payrec, mode_code,coinsurance_code,class_cd,it_remarks) values('21Feb250007','070000172501','39488',(select max(to_number(i.premium_rcv_detail_code))+1
from ins_premium_det i),'39488','39488','02', '11000003','00','Request by Mr.Saqib Saleem 24-Feb-2025');</v>
      </c>
    </row>
    <row r="28" spans="1:8" ht="105" x14ac:dyDescent="0.25">
      <c r="A28" s="2" t="s">
        <v>773</v>
      </c>
      <c r="B28" s="16" t="str">
        <f>VLOOKUP(A28,Sheet3!B:C,2,0)</f>
        <v>070000172503</v>
      </c>
      <c r="C28" s="2">
        <v>67535</v>
      </c>
      <c r="D28" s="17">
        <f t="shared" si="1"/>
        <v>67535</v>
      </c>
      <c r="E28" s="22" t="s">
        <v>1048</v>
      </c>
      <c r="F28" s="18" t="str">
        <f t="shared" si="0"/>
        <v>insert into ins_premium_det (premium_rcv_code,assorted_code, rec_amount,premium_rcv_detail_code,remaining_amt, payrec, mode_code,coinsurance_code,class_cd,it_remarks) values</v>
      </c>
      <c r="G28" s="19" t="str">
        <f t="shared" si="2"/>
        <v>('21Feb250007','070000172503','67535',(select max(to_number(i.premium_rcv_detail_code))+1
from ins_premium_det i),'67535','67535','02', '11000003','00','Request by Mr.Saqib Saleem 24-Feb-2025');</v>
      </c>
      <c r="H28" s="20" t="str">
        <f t="shared" si="3"/>
        <v>insert into ins_premium_det (premium_rcv_code,assorted_code, rec_amount,premium_rcv_detail_code,remaining_amt, payrec, mode_code,coinsurance_code,class_cd,it_remarks) values('21Feb250007','070000172503','67535',(select max(to_number(i.premium_rcv_detail_code))+1
from ins_premium_det i),'67535','67535','02', '11000003','00','Request by Mr.Saqib Saleem 24-Feb-2025');</v>
      </c>
    </row>
    <row r="29" spans="1:8" ht="105" x14ac:dyDescent="0.25">
      <c r="A29" s="2" t="s">
        <v>887</v>
      </c>
      <c r="B29" s="16" t="str">
        <f>VLOOKUP(A29,Sheet3!B:C,2,0)</f>
        <v>070000172504</v>
      </c>
      <c r="C29" s="2">
        <v>25758</v>
      </c>
      <c r="D29" s="17">
        <f t="shared" si="1"/>
        <v>25758</v>
      </c>
      <c r="E29" s="22" t="s">
        <v>1048</v>
      </c>
      <c r="F29" s="18" t="str">
        <f t="shared" si="0"/>
        <v>insert into ins_premium_det (premium_rcv_code,assorted_code, rec_amount,premium_rcv_detail_code,remaining_amt, payrec, mode_code,coinsurance_code,class_cd,it_remarks) values</v>
      </c>
      <c r="G29" s="19" t="str">
        <f t="shared" si="2"/>
        <v>('21Feb250007','070000172504','25758',(select max(to_number(i.premium_rcv_detail_code))+1
from ins_premium_det i),'25758','25758','02', '11000003','00','Request by Mr.Saqib Saleem 24-Feb-2025');</v>
      </c>
      <c r="H29" s="20" t="str">
        <f t="shared" si="3"/>
        <v>insert into ins_premium_det (premium_rcv_code,assorted_code, rec_amount,premium_rcv_detail_code,remaining_amt, payrec, mode_code,coinsurance_code,class_cd,it_remarks) values('21Feb250007','070000172504','25758',(select max(to_number(i.premium_rcv_detail_code))+1
from ins_premium_det i),'25758','25758','02', '11000003','00','Request by Mr.Saqib Saleem 24-Feb-2025');</v>
      </c>
    </row>
    <row r="30" spans="1:8" ht="105" x14ac:dyDescent="0.25">
      <c r="A30" s="2" t="s">
        <v>888</v>
      </c>
      <c r="B30" s="16" t="str">
        <f>VLOOKUP(A30,Sheet3!B:C,2,0)</f>
        <v>070000174940</v>
      </c>
      <c r="C30" s="2">
        <v>27851</v>
      </c>
      <c r="D30" s="17">
        <f t="shared" si="1"/>
        <v>27851</v>
      </c>
      <c r="E30" s="22" t="s">
        <v>1048</v>
      </c>
      <c r="F30" s="18" t="str">
        <f t="shared" si="0"/>
        <v>insert into ins_premium_det (premium_rcv_code,assorted_code, rec_amount,premium_rcv_detail_code,remaining_amt, payrec, mode_code,coinsurance_code,class_cd,it_remarks) values</v>
      </c>
      <c r="G30" s="19" t="str">
        <f t="shared" si="2"/>
        <v>('21Feb250007','070000174940','27851',(select max(to_number(i.premium_rcv_detail_code))+1
from ins_premium_det i),'27851','27851','02', '11000003','00','Request by Mr.Saqib Saleem 24-Feb-2025');</v>
      </c>
      <c r="H30" s="20" t="str">
        <f t="shared" si="3"/>
        <v>insert into ins_premium_det (premium_rcv_code,assorted_code, rec_amount,premium_rcv_detail_code,remaining_amt, payrec, mode_code,coinsurance_code,class_cd,it_remarks) values('21Feb250007','070000174940','27851',(select max(to_number(i.premium_rcv_detail_code))+1
from ins_premium_det i),'27851','27851','02', '11000003','00','Request by Mr.Saqib Saleem 24-Feb-2025');</v>
      </c>
    </row>
    <row r="31" spans="1:8" ht="105" x14ac:dyDescent="0.25">
      <c r="A31" s="2" t="s">
        <v>774</v>
      </c>
      <c r="B31" s="16" t="str">
        <f>VLOOKUP(A31,Sheet3!B:C,2,0)</f>
        <v>070000174939</v>
      </c>
      <c r="C31" s="2">
        <v>35100</v>
      </c>
      <c r="D31" s="17">
        <f t="shared" si="1"/>
        <v>35100</v>
      </c>
      <c r="E31" s="22" t="s">
        <v>1048</v>
      </c>
      <c r="F31" s="18" t="str">
        <f t="shared" si="0"/>
        <v>insert into ins_premium_det (premium_rcv_code,assorted_code, rec_amount,premium_rcv_detail_code,remaining_amt, payrec, mode_code,coinsurance_code,class_cd,it_remarks) values</v>
      </c>
      <c r="G31" s="19" t="str">
        <f t="shared" si="2"/>
        <v>('21Feb250007','070000174939','35100',(select max(to_number(i.premium_rcv_detail_code))+1
from ins_premium_det i),'35100','35100','02', '11000003','00','Request by Mr.Saqib Saleem 24-Feb-2025');</v>
      </c>
      <c r="H31" s="20" t="str">
        <f t="shared" si="3"/>
        <v>insert into ins_premium_det (premium_rcv_code,assorted_code, rec_amount,premium_rcv_detail_code,remaining_amt, payrec, mode_code,coinsurance_code,class_cd,it_remarks) values('21Feb250007','070000174939','35100',(select max(to_number(i.premium_rcv_detail_code))+1
from ins_premium_det i),'35100','35100','02', '11000003','00','Request by Mr.Saqib Saleem 24-Feb-2025');</v>
      </c>
    </row>
    <row r="32" spans="1:8" ht="105" x14ac:dyDescent="0.25">
      <c r="A32" s="2" t="s">
        <v>775</v>
      </c>
      <c r="B32" s="16" t="str">
        <f>VLOOKUP(A32,Sheet3!B:C,2,0)</f>
        <v>070000172614</v>
      </c>
      <c r="C32" s="2">
        <v>30375</v>
      </c>
      <c r="D32" s="17">
        <f t="shared" si="1"/>
        <v>30375</v>
      </c>
      <c r="E32" s="22" t="s">
        <v>1048</v>
      </c>
      <c r="F32" s="18" t="str">
        <f t="shared" si="0"/>
        <v>insert into ins_premium_det (premium_rcv_code,assorted_code, rec_amount,premium_rcv_detail_code,remaining_amt, payrec, mode_code,coinsurance_code,class_cd,it_remarks) values</v>
      </c>
      <c r="G32" s="19" t="str">
        <f t="shared" si="2"/>
        <v>('21Feb250007','070000172614','30375',(select max(to_number(i.premium_rcv_detail_code))+1
from ins_premium_det i),'30375','30375','02', '11000003','00','Request by Mr.Saqib Saleem 24-Feb-2025');</v>
      </c>
      <c r="H32" s="20" t="str">
        <f t="shared" si="3"/>
        <v>insert into ins_premium_det (premium_rcv_code,assorted_code, rec_amount,premium_rcv_detail_code,remaining_amt, payrec, mode_code,coinsurance_code,class_cd,it_remarks) values('21Feb250007','070000172614','30375',(select max(to_number(i.premium_rcv_detail_code))+1
from ins_premium_det i),'30375','30375','02', '11000003','00','Request by Mr.Saqib Saleem 24-Feb-2025');</v>
      </c>
    </row>
    <row r="33" spans="1:8" ht="105" x14ac:dyDescent="0.25">
      <c r="A33" s="2" t="s">
        <v>776</v>
      </c>
      <c r="B33" s="16" t="str">
        <f>VLOOKUP(A33,Sheet3!B:C,2,0)</f>
        <v>070000172612</v>
      </c>
      <c r="C33" s="2">
        <v>16807</v>
      </c>
      <c r="D33" s="17">
        <f t="shared" si="1"/>
        <v>16807</v>
      </c>
      <c r="E33" s="22" t="s">
        <v>1048</v>
      </c>
      <c r="F33" s="18" t="str">
        <f t="shared" si="0"/>
        <v>insert into ins_premium_det (premium_rcv_code,assorted_code, rec_amount,premium_rcv_detail_code,remaining_amt, payrec, mode_code,coinsurance_code,class_cd,it_remarks) values</v>
      </c>
      <c r="G33" s="19" t="str">
        <f t="shared" si="2"/>
        <v>('21Feb250007','070000172612','16807',(select max(to_number(i.premium_rcv_detail_code))+1
from ins_premium_det i),'16807','16807','02', '11000003','00','Request by Mr.Saqib Saleem 24-Feb-2025');</v>
      </c>
      <c r="H33" s="20" t="str">
        <f t="shared" si="3"/>
        <v>insert into ins_premium_det (premium_rcv_code,assorted_code, rec_amount,premium_rcv_detail_code,remaining_amt, payrec, mode_code,coinsurance_code,class_cd,it_remarks) values('21Feb250007','070000172612','16807',(select max(to_number(i.premium_rcv_detail_code))+1
from ins_premium_det i),'16807','16807','02', '11000003','00','Request by Mr.Saqib Saleem 24-Feb-2025');</v>
      </c>
    </row>
    <row r="34" spans="1:8" ht="105" x14ac:dyDescent="0.25">
      <c r="A34" s="2" t="s">
        <v>777</v>
      </c>
      <c r="B34" s="16" t="str">
        <f>VLOOKUP(A34,Sheet3!B:C,2,0)</f>
        <v>070000174851</v>
      </c>
      <c r="C34" s="2">
        <v>36450</v>
      </c>
      <c r="D34" s="17">
        <f t="shared" si="1"/>
        <v>36450</v>
      </c>
      <c r="E34" s="22" t="s">
        <v>1048</v>
      </c>
      <c r="F34" s="18" t="str">
        <f t="shared" si="0"/>
        <v>insert into ins_premium_det (premium_rcv_code,assorted_code, rec_amount,premium_rcv_detail_code,remaining_amt, payrec, mode_code,coinsurance_code,class_cd,it_remarks) values</v>
      </c>
      <c r="G34" s="19" t="str">
        <f t="shared" si="2"/>
        <v>('21Feb250007','070000174851','36450',(select max(to_number(i.premium_rcv_detail_code))+1
from ins_premium_det i),'36450','36450','02', '11000003','00','Request by Mr.Saqib Saleem 24-Feb-2025');</v>
      </c>
      <c r="H34" s="20" t="str">
        <f t="shared" si="3"/>
        <v>insert into ins_premium_det (premium_rcv_code,assorted_code, rec_amount,premium_rcv_detail_code,remaining_amt, payrec, mode_code,coinsurance_code,class_cd,it_remarks) values('21Feb250007','070000174851','36450',(select max(to_number(i.premium_rcv_detail_code))+1
from ins_premium_det i),'36450','36450','02', '11000003','00','Request by Mr.Saqib Saleem 24-Feb-2025');</v>
      </c>
    </row>
    <row r="35" spans="1:8" ht="105" x14ac:dyDescent="0.25">
      <c r="A35" s="2" t="s">
        <v>778</v>
      </c>
      <c r="B35" s="16" t="str">
        <f>VLOOKUP(A35,Sheet3!B:C,2,0)</f>
        <v>070000174852</v>
      </c>
      <c r="C35" s="2">
        <v>30375</v>
      </c>
      <c r="D35" s="17">
        <f t="shared" si="1"/>
        <v>30375</v>
      </c>
      <c r="E35" s="22" t="s">
        <v>1048</v>
      </c>
      <c r="F35" s="18" t="str">
        <f t="shared" si="0"/>
        <v>insert into ins_premium_det (premium_rcv_code,assorted_code, rec_amount,premium_rcv_detail_code,remaining_amt, payrec, mode_code,coinsurance_code,class_cd,it_remarks) values</v>
      </c>
      <c r="G35" s="19" t="str">
        <f t="shared" si="2"/>
        <v>('21Feb250007','070000174852','30375',(select max(to_number(i.premium_rcv_detail_code))+1
from ins_premium_det i),'30375','30375','02', '11000003','00','Request by Mr.Saqib Saleem 24-Feb-2025');</v>
      </c>
      <c r="H35" s="20" t="str">
        <f t="shared" si="3"/>
        <v>insert into ins_premium_det (premium_rcv_code,assorted_code, rec_amount,premium_rcv_detail_code,remaining_amt, payrec, mode_code,coinsurance_code,class_cd,it_remarks) values('21Feb250007','070000174852','30375',(select max(to_number(i.premium_rcv_detail_code))+1
from ins_premium_det i),'30375','30375','02', '11000003','00','Request by Mr.Saqib Saleem 24-Feb-2025');</v>
      </c>
    </row>
    <row r="36" spans="1:8" ht="105" x14ac:dyDescent="0.25">
      <c r="A36" s="2" t="s">
        <v>779</v>
      </c>
      <c r="B36" s="16" t="str">
        <f>VLOOKUP(A36,Sheet3!B:C,2,0)</f>
        <v>070000172669</v>
      </c>
      <c r="C36" s="2">
        <v>31725</v>
      </c>
      <c r="D36" s="17">
        <f t="shared" si="1"/>
        <v>31725</v>
      </c>
      <c r="E36" s="22" t="s">
        <v>1048</v>
      </c>
      <c r="F36" s="18" t="str">
        <f t="shared" si="0"/>
        <v>insert into ins_premium_det (premium_rcv_code,assorted_code, rec_amount,premium_rcv_detail_code,remaining_amt, payrec, mode_code,coinsurance_code,class_cd,it_remarks) values</v>
      </c>
      <c r="G36" s="19" t="str">
        <f t="shared" si="2"/>
        <v>('21Feb250007','070000172669','31725',(select max(to_number(i.premium_rcv_detail_code))+1
from ins_premium_det i),'31725','31725','02', '11000003','00','Request by Mr.Saqib Saleem 24-Feb-2025');</v>
      </c>
      <c r="H36" s="20" t="str">
        <f t="shared" si="3"/>
        <v>insert into ins_premium_det (premium_rcv_code,assorted_code, rec_amount,premium_rcv_detail_code,remaining_amt, payrec, mode_code,coinsurance_code,class_cd,it_remarks) values('21Feb250007','070000172669','31725',(select max(to_number(i.premium_rcv_detail_code))+1
from ins_premium_det i),'31725','31725','02', '11000003','00','Request by Mr.Saqib Saleem 24-Feb-2025');</v>
      </c>
    </row>
    <row r="37" spans="1:8" ht="105" x14ac:dyDescent="0.25">
      <c r="A37" s="2" t="s">
        <v>780</v>
      </c>
      <c r="B37" s="16" t="str">
        <f>VLOOKUP(A37,Sheet3!B:C,2,0)</f>
        <v>070000174923</v>
      </c>
      <c r="C37" s="2">
        <v>24008</v>
      </c>
      <c r="D37" s="17">
        <f t="shared" si="1"/>
        <v>24008</v>
      </c>
      <c r="E37" s="22" t="s">
        <v>1048</v>
      </c>
      <c r="F37" s="18" t="str">
        <f t="shared" si="0"/>
        <v>insert into ins_premium_det (premium_rcv_code,assorted_code, rec_amount,premium_rcv_detail_code,remaining_amt, payrec, mode_code,coinsurance_code,class_cd,it_remarks) values</v>
      </c>
      <c r="G37" s="19" t="str">
        <f t="shared" si="2"/>
        <v>('21Feb250007','070000174923','24008',(select max(to_number(i.premium_rcv_detail_code))+1
from ins_premium_det i),'24008','24008','02', '11000003','00','Request by Mr.Saqib Saleem 24-Feb-2025');</v>
      </c>
      <c r="H37" s="20" t="str">
        <f t="shared" si="3"/>
        <v>insert into ins_premium_det (premium_rcv_code,assorted_code, rec_amount,premium_rcv_detail_code,remaining_amt, payrec, mode_code,coinsurance_code,class_cd,it_remarks) values('21Feb250007','070000174923','24008',(select max(to_number(i.premium_rcv_detail_code))+1
from ins_premium_det i),'24008','24008','02', '11000003','00','Request by Mr.Saqib Saleem 24-Feb-2025');</v>
      </c>
    </row>
    <row r="38" spans="1:8" ht="105" x14ac:dyDescent="0.25">
      <c r="A38" s="2" t="s">
        <v>781</v>
      </c>
      <c r="B38" s="16" t="str">
        <f>VLOOKUP(A38,Sheet3!B:C,2,0)</f>
        <v>070000174924</v>
      </c>
      <c r="C38" s="2">
        <v>23499</v>
      </c>
      <c r="D38" s="17">
        <f t="shared" si="1"/>
        <v>23499</v>
      </c>
      <c r="E38" s="22" t="s">
        <v>1048</v>
      </c>
      <c r="F38" s="18" t="str">
        <f t="shared" si="0"/>
        <v>insert into ins_premium_det (premium_rcv_code,assorted_code, rec_amount,premium_rcv_detail_code,remaining_amt, payrec, mode_code,coinsurance_code,class_cd,it_remarks) values</v>
      </c>
      <c r="G38" s="19" t="str">
        <f t="shared" si="2"/>
        <v>('21Feb250007','070000174924','23499',(select max(to_number(i.premium_rcv_detail_code))+1
from ins_premium_det i),'23499','23499','02', '11000003','00','Request by Mr.Saqib Saleem 24-Feb-2025');</v>
      </c>
      <c r="H38" s="20" t="str">
        <f t="shared" si="3"/>
        <v>insert into ins_premium_det (premium_rcv_code,assorted_code, rec_amount,premium_rcv_detail_code,remaining_amt, payrec, mode_code,coinsurance_code,class_cd,it_remarks) values('21Feb250007','070000174924','23499',(select max(to_number(i.premium_rcv_detail_code))+1
from ins_premium_det i),'23499','23499','02', '11000003','00','Request by Mr.Saqib Saleem 24-Feb-2025');</v>
      </c>
    </row>
    <row r="39" spans="1:8" ht="105" x14ac:dyDescent="0.25">
      <c r="A39" s="2" t="s">
        <v>782</v>
      </c>
      <c r="B39" s="16" t="str">
        <f>VLOOKUP(A39,Sheet3!B:C,2,0)</f>
        <v>070000174853</v>
      </c>
      <c r="C39" s="2">
        <v>24008</v>
      </c>
      <c r="D39" s="17">
        <f t="shared" si="1"/>
        <v>24008</v>
      </c>
      <c r="E39" s="22" t="s">
        <v>1048</v>
      </c>
      <c r="F39" s="18" t="str">
        <f t="shared" si="0"/>
        <v>insert into ins_premium_det (premium_rcv_code,assorted_code, rec_amount,premium_rcv_detail_code,remaining_amt, payrec, mode_code,coinsurance_code,class_cd,it_remarks) values</v>
      </c>
      <c r="G39" s="19" t="str">
        <f t="shared" si="2"/>
        <v>('21Feb250007','070000174853','24008',(select max(to_number(i.premium_rcv_detail_code))+1
from ins_premium_det i),'24008','24008','02', '11000003','00','Request by Mr.Saqib Saleem 24-Feb-2025');</v>
      </c>
      <c r="H39" s="20" t="str">
        <f t="shared" si="3"/>
        <v>insert into ins_premium_det (premium_rcv_code,assorted_code, rec_amount,premium_rcv_detail_code,remaining_amt, payrec, mode_code,coinsurance_code,class_cd,it_remarks) values('21Feb250007','070000174853','24008',(select max(to_number(i.premium_rcv_detail_code))+1
from ins_premium_det i),'24008','24008','02', '11000003','00','Request by Mr.Saqib Saleem 24-Feb-2025');</v>
      </c>
    </row>
    <row r="40" spans="1:8" ht="105" x14ac:dyDescent="0.25">
      <c r="A40" s="2" t="s">
        <v>783</v>
      </c>
      <c r="B40" s="16" t="str">
        <f>VLOOKUP(A40,Sheet3!B:C,2,0)</f>
        <v>070000174855</v>
      </c>
      <c r="C40" s="2">
        <v>31153</v>
      </c>
      <c r="D40" s="17">
        <f t="shared" si="1"/>
        <v>31153</v>
      </c>
      <c r="E40" s="22" t="s">
        <v>1048</v>
      </c>
      <c r="F40" s="18" t="str">
        <f t="shared" si="0"/>
        <v>insert into ins_premium_det (premium_rcv_code,assorted_code, rec_amount,premium_rcv_detail_code,remaining_amt, payrec, mode_code,coinsurance_code,class_cd,it_remarks) values</v>
      </c>
      <c r="G40" s="19" t="str">
        <f t="shared" si="2"/>
        <v>('21Feb250007','070000174855','31153',(select max(to_number(i.premium_rcv_detail_code))+1
from ins_premium_det i),'31153','31153','02', '11000003','00','Request by Mr.Saqib Saleem 24-Feb-2025');</v>
      </c>
      <c r="H40" s="20" t="str">
        <f t="shared" si="3"/>
        <v>insert into ins_premium_det (premium_rcv_code,assorted_code, rec_amount,premium_rcv_detail_code,remaining_amt, payrec, mode_code,coinsurance_code,class_cd,it_remarks) values('21Feb250007','070000174855','31153',(select max(to_number(i.premium_rcv_detail_code))+1
from ins_premium_det i),'31153','31153','02', '11000003','00','Request by Mr.Saqib Saleem 24-Feb-2025');</v>
      </c>
    </row>
    <row r="41" spans="1:8" ht="105" x14ac:dyDescent="0.25">
      <c r="A41" s="2" t="s">
        <v>784</v>
      </c>
      <c r="B41" s="16" t="str">
        <f>VLOOKUP(A41,Sheet3!B:C,2,0)</f>
        <v>070000174880</v>
      </c>
      <c r="C41" s="2">
        <v>39623</v>
      </c>
      <c r="D41" s="17">
        <f t="shared" si="1"/>
        <v>39623</v>
      </c>
      <c r="E41" s="22" t="s">
        <v>1048</v>
      </c>
      <c r="F41" s="18" t="str">
        <f t="shared" si="0"/>
        <v>insert into ins_premium_det (premium_rcv_code,assorted_code, rec_amount,premium_rcv_detail_code,remaining_amt, payrec, mode_code,coinsurance_code,class_cd,it_remarks) values</v>
      </c>
      <c r="G41" s="19" t="str">
        <f t="shared" si="2"/>
        <v>('21Feb250007','070000174880','39623',(select max(to_number(i.premium_rcv_detail_code))+1
from ins_premium_det i),'39623','39623','02', '11000003','00','Request by Mr.Saqib Saleem 24-Feb-2025');</v>
      </c>
      <c r="H41" s="20" t="str">
        <f t="shared" si="3"/>
        <v>insert into ins_premium_det (premium_rcv_code,assorted_code, rec_amount,premium_rcv_detail_code,remaining_amt, payrec, mode_code,coinsurance_code,class_cd,it_remarks) values('21Feb250007','070000174880','39623',(select max(to_number(i.premium_rcv_detail_code))+1
from ins_premium_det i),'39623','39623','02', '11000003','00','Request by Mr.Saqib Saleem 24-Feb-2025');</v>
      </c>
    </row>
    <row r="42" spans="1:8" ht="105" x14ac:dyDescent="0.25">
      <c r="A42" s="2" t="s">
        <v>785</v>
      </c>
      <c r="B42" s="16" t="str">
        <f>VLOOKUP(A42,Sheet3!B:C,2,0)</f>
        <v>070000174881</v>
      </c>
      <c r="C42" s="2">
        <v>39623</v>
      </c>
      <c r="D42" s="17">
        <f t="shared" si="1"/>
        <v>39623</v>
      </c>
      <c r="E42" s="22" t="s">
        <v>1048</v>
      </c>
      <c r="F42" s="18" t="str">
        <f t="shared" si="0"/>
        <v>insert into ins_premium_det (premium_rcv_code,assorted_code, rec_amount,premium_rcv_detail_code,remaining_amt, payrec, mode_code,coinsurance_code,class_cd,it_remarks) values</v>
      </c>
      <c r="G42" s="19" t="str">
        <f t="shared" si="2"/>
        <v>('21Feb250007','070000174881','39623',(select max(to_number(i.premium_rcv_detail_code))+1
from ins_premium_det i),'39623','39623','02', '11000003','00','Request by Mr.Saqib Saleem 24-Feb-2025');</v>
      </c>
      <c r="H42" s="20" t="str">
        <f t="shared" si="3"/>
        <v>insert into ins_premium_det (premium_rcv_code,assorted_code, rec_amount,premium_rcv_detail_code,remaining_amt, payrec, mode_code,coinsurance_code,class_cd,it_remarks) values('21Feb250007','070000174881','39623',(select max(to_number(i.premium_rcv_detail_code))+1
from ins_premium_det i),'39623','39623','02', '11000003','00','Request by Mr.Saqib Saleem 24-Feb-2025');</v>
      </c>
    </row>
    <row r="43" spans="1:8" ht="105" x14ac:dyDescent="0.25">
      <c r="A43" s="2" t="s">
        <v>786</v>
      </c>
      <c r="B43" s="16" t="str">
        <f>VLOOKUP(A43,Sheet3!B:C,2,0)</f>
        <v>070000174882</v>
      </c>
      <c r="C43" s="2">
        <v>49154</v>
      </c>
      <c r="D43" s="17">
        <f t="shared" si="1"/>
        <v>49154</v>
      </c>
      <c r="E43" s="22" t="s">
        <v>1048</v>
      </c>
      <c r="F43" s="18" t="str">
        <f t="shared" si="0"/>
        <v>insert into ins_premium_det (premium_rcv_code,assorted_code, rec_amount,premium_rcv_detail_code,remaining_amt, payrec, mode_code,coinsurance_code,class_cd,it_remarks) values</v>
      </c>
      <c r="G43" s="19" t="str">
        <f t="shared" si="2"/>
        <v>('21Feb250007','070000174882','49154',(select max(to_number(i.premium_rcv_detail_code))+1
from ins_premium_det i),'49154','49154','02', '11000003','00','Request by Mr.Saqib Saleem 24-Feb-2025');</v>
      </c>
      <c r="H43" s="20" t="str">
        <f t="shared" si="3"/>
        <v>insert into ins_premium_det (premium_rcv_code,assorted_code, rec_amount,premium_rcv_detail_code,remaining_amt, payrec, mode_code,coinsurance_code,class_cd,it_remarks) values('21Feb250007','070000174882','49154',(select max(to_number(i.premium_rcv_detail_code))+1
from ins_premium_det i),'49154','49154','02', '11000003','00','Request by Mr.Saqib Saleem 24-Feb-2025');</v>
      </c>
    </row>
    <row r="44" spans="1:8" ht="105" x14ac:dyDescent="0.25">
      <c r="A44" s="2" t="s">
        <v>787</v>
      </c>
      <c r="B44" s="16" t="str">
        <f>VLOOKUP(A44,Sheet3!B:C,2,0)</f>
        <v>070000174883</v>
      </c>
      <c r="C44" s="2">
        <v>51300</v>
      </c>
      <c r="D44" s="17">
        <f t="shared" si="1"/>
        <v>51300</v>
      </c>
      <c r="E44" s="22" t="s">
        <v>1048</v>
      </c>
      <c r="F44" s="18" t="str">
        <f t="shared" si="0"/>
        <v>insert into ins_premium_det (premium_rcv_code,assorted_code, rec_amount,premium_rcv_detail_code,remaining_amt, payrec, mode_code,coinsurance_code,class_cd,it_remarks) values</v>
      </c>
      <c r="G44" s="19" t="str">
        <f t="shared" si="2"/>
        <v>('21Feb250007','070000174883','51300',(select max(to_number(i.premium_rcv_detail_code))+1
from ins_premium_det i),'51300','51300','02', '11000003','00','Request by Mr.Saqib Saleem 24-Feb-2025');</v>
      </c>
      <c r="H44" s="20" t="str">
        <f t="shared" si="3"/>
        <v>insert into ins_premium_det (premium_rcv_code,assorted_code, rec_amount,premium_rcv_detail_code,remaining_amt, payrec, mode_code,coinsurance_code,class_cd,it_remarks) values('21Feb250007','070000174883','51300',(select max(to_number(i.premium_rcv_detail_code))+1
from ins_premium_det i),'51300','51300','02', '11000003','00','Request by Mr.Saqib Saleem 24-Feb-2025');</v>
      </c>
    </row>
    <row r="45" spans="1:8" ht="105" x14ac:dyDescent="0.25">
      <c r="A45" s="2" t="s">
        <v>788</v>
      </c>
      <c r="B45" s="16" t="str">
        <f>VLOOKUP(A45,Sheet3!B:C,2,0)</f>
        <v>070000174879</v>
      </c>
      <c r="C45" s="2">
        <v>48600</v>
      </c>
      <c r="D45" s="17">
        <f t="shared" si="1"/>
        <v>48600</v>
      </c>
      <c r="E45" s="22" t="s">
        <v>1048</v>
      </c>
      <c r="F45" s="18" t="str">
        <f t="shared" si="0"/>
        <v>insert into ins_premium_det (premium_rcv_code,assorted_code, rec_amount,premium_rcv_detail_code,remaining_amt, payrec, mode_code,coinsurance_code,class_cd,it_remarks) values</v>
      </c>
      <c r="G45" s="19" t="str">
        <f t="shared" si="2"/>
        <v>('21Feb250007','070000174879','48600',(select max(to_number(i.premium_rcv_detail_code))+1
from ins_premium_det i),'48600','48600','02', '11000003','00','Request by Mr.Saqib Saleem 24-Feb-2025');</v>
      </c>
      <c r="H45" s="20" t="str">
        <f t="shared" si="3"/>
        <v>insert into ins_premium_det (premium_rcv_code,assorted_code, rec_amount,premium_rcv_detail_code,remaining_amt, payrec, mode_code,coinsurance_code,class_cd,it_remarks) values('21Feb250007','070000174879','48600',(select max(to_number(i.premium_rcv_detail_code))+1
from ins_premium_det i),'48600','48600','02', '11000003','00','Request by Mr.Saqib Saleem 24-Feb-2025');</v>
      </c>
    </row>
    <row r="46" spans="1:8" ht="105" x14ac:dyDescent="0.25">
      <c r="A46" s="2" t="s">
        <v>789</v>
      </c>
      <c r="B46" s="16" t="str">
        <f>VLOOKUP(A46,Sheet3!B:C,2,0)</f>
        <v>070000174874</v>
      </c>
      <c r="C46" s="2">
        <v>37532</v>
      </c>
      <c r="D46" s="17">
        <f t="shared" si="1"/>
        <v>37532</v>
      </c>
      <c r="E46" s="22" t="s">
        <v>1048</v>
      </c>
      <c r="F46" s="18" t="str">
        <f t="shared" si="0"/>
        <v>insert into ins_premium_det (premium_rcv_code,assorted_code, rec_amount,premium_rcv_detail_code,remaining_amt, payrec, mode_code,coinsurance_code,class_cd,it_remarks) values</v>
      </c>
      <c r="G46" s="19" t="str">
        <f t="shared" si="2"/>
        <v>('21Feb250007','070000174874','37532',(select max(to_number(i.premium_rcv_detail_code))+1
from ins_premium_det i),'37532','37532','02', '11000003','00','Request by Mr.Saqib Saleem 24-Feb-2025');</v>
      </c>
      <c r="H46" s="20" t="str">
        <f t="shared" si="3"/>
        <v>insert into ins_premium_det (premium_rcv_code,assorted_code, rec_amount,premium_rcv_detail_code,remaining_amt, payrec, mode_code,coinsurance_code,class_cd,it_remarks) values('21Feb250007','070000174874','37532',(select max(to_number(i.premium_rcv_detail_code))+1
from ins_premium_det i),'37532','37532','02', '11000003','00','Request by Mr.Saqib Saleem 24-Feb-2025');</v>
      </c>
    </row>
    <row r="47" spans="1:8" ht="105" x14ac:dyDescent="0.25">
      <c r="A47" s="2" t="s">
        <v>790</v>
      </c>
      <c r="B47" s="16" t="str">
        <f>VLOOKUP(A47,Sheet3!B:C,2,0)</f>
        <v>070000174866</v>
      </c>
      <c r="C47" s="2">
        <v>24932</v>
      </c>
      <c r="D47" s="17">
        <f t="shared" si="1"/>
        <v>24932</v>
      </c>
      <c r="E47" s="22" t="s">
        <v>1048</v>
      </c>
      <c r="F47" s="18" t="str">
        <f t="shared" si="0"/>
        <v>insert into ins_premium_det (premium_rcv_code,assorted_code, rec_amount,premium_rcv_detail_code,remaining_amt, payrec, mode_code,coinsurance_code,class_cd,it_remarks) values</v>
      </c>
      <c r="G47" s="19" t="str">
        <f t="shared" si="2"/>
        <v>('21Feb250007','070000174866','24932',(select max(to_number(i.premium_rcv_detail_code))+1
from ins_premium_det i),'24932','24932','02', '11000003','00','Request by Mr.Saqib Saleem 24-Feb-2025');</v>
      </c>
      <c r="H47" s="20" t="str">
        <f t="shared" si="3"/>
        <v>insert into ins_premium_det (premium_rcv_code,assorted_code, rec_amount,premium_rcv_detail_code,remaining_amt, payrec, mode_code,coinsurance_code,class_cd,it_remarks) values('21Feb250007','070000174866','24932',(select max(to_number(i.premium_rcv_detail_code))+1
from ins_premium_det i),'24932','24932','02', '11000003','00','Request by Mr.Saqib Saleem 24-Feb-2025');</v>
      </c>
    </row>
    <row r="48" spans="1:8" ht="105" x14ac:dyDescent="0.25">
      <c r="A48" s="2" t="s">
        <v>791</v>
      </c>
      <c r="B48" s="16" t="str">
        <f>VLOOKUP(A48,Sheet3!B:C,2,0)</f>
        <v>070000174861</v>
      </c>
      <c r="C48" s="2">
        <v>18097</v>
      </c>
      <c r="D48" s="17">
        <f t="shared" si="1"/>
        <v>18097</v>
      </c>
      <c r="E48" s="22" t="s">
        <v>1048</v>
      </c>
      <c r="F48" s="18" t="str">
        <f t="shared" si="0"/>
        <v>insert into ins_premium_det (premium_rcv_code,assorted_code, rec_amount,premium_rcv_detail_code,remaining_amt, payrec, mode_code,coinsurance_code,class_cd,it_remarks) values</v>
      </c>
      <c r="G48" s="19" t="str">
        <f t="shared" si="2"/>
        <v>('21Feb250007','070000174861','18097',(select max(to_number(i.premium_rcv_detail_code))+1
from ins_premium_det i),'18097','18097','02', '11000003','00','Request by Mr.Saqib Saleem 24-Feb-2025');</v>
      </c>
      <c r="H48" s="20" t="str">
        <f t="shared" si="3"/>
        <v>insert into ins_premium_det (premium_rcv_code,assorted_code, rec_amount,premium_rcv_detail_code,remaining_amt, payrec, mode_code,coinsurance_code,class_cd,it_remarks) values('21Feb250007','070000174861','18097',(select max(to_number(i.premium_rcv_detail_code))+1
from ins_premium_det i),'18097','18097','02', '11000003','00','Request by Mr.Saqib Saleem 24-Feb-2025');</v>
      </c>
    </row>
    <row r="49" spans="1:8" ht="105" x14ac:dyDescent="0.25">
      <c r="A49" s="2" t="s">
        <v>792</v>
      </c>
      <c r="B49" s="16" t="str">
        <f>VLOOKUP(A49,Sheet3!B:C,2,0)</f>
        <v>070000174862</v>
      </c>
      <c r="C49" s="2">
        <v>32072</v>
      </c>
      <c r="D49" s="17">
        <f t="shared" si="1"/>
        <v>32072</v>
      </c>
      <c r="E49" s="22" t="s">
        <v>1048</v>
      </c>
      <c r="F49" s="18" t="str">
        <f t="shared" si="0"/>
        <v>insert into ins_premium_det (premium_rcv_code,assorted_code, rec_amount,premium_rcv_detail_code,remaining_amt, payrec, mode_code,coinsurance_code,class_cd,it_remarks) values</v>
      </c>
      <c r="G49" s="19" t="str">
        <f t="shared" si="2"/>
        <v>('21Feb250007','070000174862','32072',(select max(to_number(i.premium_rcv_detail_code))+1
from ins_premium_det i),'32072','32072','02', '11000003','00','Request by Mr.Saqib Saleem 24-Feb-2025');</v>
      </c>
      <c r="H49" s="20" t="str">
        <f t="shared" si="3"/>
        <v>insert into ins_premium_det (premium_rcv_code,assorted_code, rec_amount,premium_rcv_detail_code,remaining_amt, payrec, mode_code,coinsurance_code,class_cd,it_remarks) values('21Feb250007','070000174862','32072',(select max(to_number(i.premium_rcv_detail_code))+1
from ins_premium_det i),'32072','32072','02', '11000003','00','Request by Mr.Saqib Saleem 24-Feb-2025');</v>
      </c>
    </row>
    <row r="50" spans="1:8" ht="105" x14ac:dyDescent="0.25">
      <c r="A50" s="2" t="s">
        <v>793</v>
      </c>
      <c r="B50" s="16" t="str">
        <f>VLOOKUP(A50,Sheet3!B:C,2,0)</f>
        <v>070000174858</v>
      </c>
      <c r="C50" s="2">
        <v>16490</v>
      </c>
      <c r="D50" s="17">
        <f t="shared" si="1"/>
        <v>16490</v>
      </c>
      <c r="E50" s="22" t="s">
        <v>1048</v>
      </c>
      <c r="F50" s="18" t="str">
        <f t="shared" si="0"/>
        <v>insert into ins_premium_det (premium_rcv_code,assorted_code, rec_amount,premium_rcv_detail_code,remaining_amt, payrec, mode_code,coinsurance_code,class_cd,it_remarks) values</v>
      </c>
      <c r="G50" s="19" t="str">
        <f t="shared" si="2"/>
        <v>('21Feb250007','070000174858','16490',(select max(to_number(i.premium_rcv_detail_code))+1
from ins_premium_det i),'16490','16490','02', '11000003','00','Request by Mr.Saqib Saleem 24-Feb-2025');</v>
      </c>
      <c r="H50" s="20" t="str">
        <f t="shared" si="3"/>
        <v>insert into ins_premium_det (premium_rcv_code,assorted_code, rec_amount,premium_rcv_detail_code,remaining_amt, payrec, mode_code,coinsurance_code,class_cd,it_remarks) values('21Feb250007','070000174858','16490',(select max(to_number(i.premium_rcv_detail_code))+1
from ins_premium_det i),'16490','16490','02', '11000003','00','Request by Mr.Saqib Saleem 24-Feb-2025');</v>
      </c>
    </row>
    <row r="51" spans="1:8" ht="105" x14ac:dyDescent="0.25">
      <c r="A51" s="2" t="s">
        <v>794</v>
      </c>
      <c r="B51" s="16" t="str">
        <f>VLOOKUP(A51,Sheet3!B:C,2,0)</f>
        <v>070000174857</v>
      </c>
      <c r="C51" s="2">
        <v>50410</v>
      </c>
      <c r="D51" s="17">
        <f t="shared" si="1"/>
        <v>50410</v>
      </c>
      <c r="E51" s="22" t="s">
        <v>1048</v>
      </c>
      <c r="F51" s="18" t="str">
        <f t="shared" si="0"/>
        <v>insert into ins_premium_det (premium_rcv_code,assorted_code, rec_amount,premium_rcv_detail_code,remaining_amt, payrec, mode_code,coinsurance_code,class_cd,it_remarks) values</v>
      </c>
      <c r="G51" s="19" t="str">
        <f t="shared" si="2"/>
        <v>('21Feb250007','070000174857','50410',(select max(to_number(i.premium_rcv_detail_code))+1
from ins_premium_det i),'50410','50410','02', '11000003','00','Request by Mr.Saqib Saleem 24-Feb-2025');</v>
      </c>
      <c r="H51" s="20" t="str">
        <f t="shared" si="3"/>
        <v>insert into ins_premium_det (premium_rcv_code,assorted_code, rec_amount,premium_rcv_detail_code,remaining_amt, payrec, mode_code,coinsurance_code,class_cd,it_remarks) values('21Feb250007','070000174857','50410',(select max(to_number(i.premium_rcv_detail_code))+1
from ins_premium_det i),'50410','50410','02', '11000003','00','Request by Mr.Saqib Saleem 24-Feb-2025');</v>
      </c>
    </row>
    <row r="52" spans="1:8" ht="105" x14ac:dyDescent="0.25">
      <c r="A52" s="2" t="s">
        <v>795</v>
      </c>
      <c r="B52" s="16" t="str">
        <f>VLOOKUP(A52,Sheet3!B:C,2,0)</f>
        <v>070000172564</v>
      </c>
      <c r="C52" s="2">
        <v>24008</v>
      </c>
      <c r="D52" s="17">
        <f t="shared" si="1"/>
        <v>24008</v>
      </c>
      <c r="E52" s="22" t="s">
        <v>1048</v>
      </c>
      <c r="F52" s="18" t="str">
        <f t="shared" si="0"/>
        <v>insert into ins_premium_det (premium_rcv_code,assorted_code, rec_amount,premium_rcv_detail_code,remaining_amt, payrec, mode_code,coinsurance_code,class_cd,it_remarks) values</v>
      </c>
      <c r="G52" s="19" t="str">
        <f t="shared" si="2"/>
        <v>('21Feb250007','070000172564','24008',(select max(to_number(i.premium_rcv_detail_code))+1
from ins_premium_det i),'24008','24008','02', '11000003','00','Request by Mr.Saqib Saleem 24-Feb-2025');</v>
      </c>
      <c r="H52" s="20" t="str">
        <f t="shared" si="3"/>
        <v>insert into ins_premium_det (premium_rcv_code,assorted_code, rec_amount,premium_rcv_detail_code,remaining_amt, payrec, mode_code,coinsurance_code,class_cd,it_remarks) values('21Feb250007','070000172564','24008',(select max(to_number(i.premium_rcv_detail_code))+1
from ins_premium_det i),'24008','24008','02', '11000003','00','Request by Mr.Saqib Saleem 24-Feb-2025');</v>
      </c>
    </row>
    <row r="53" spans="1:8" ht="105" x14ac:dyDescent="0.25">
      <c r="A53" s="2" t="s">
        <v>796</v>
      </c>
      <c r="B53" s="16" t="str">
        <f>VLOOKUP(A53,Sheet3!B:C,2,0)</f>
        <v>070000172568</v>
      </c>
      <c r="C53" s="2">
        <v>21056</v>
      </c>
      <c r="D53" s="17">
        <f t="shared" si="1"/>
        <v>21056</v>
      </c>
      <c r="E53" s="22" t="s">
        <v>1048</v>
      </c>
      <c r="F53" s="18" t="str">
        <f t="shared" si="0"/>
        <v>insert into ins_premium_det (premium_rcv_code,assorted_code, rec_amount,premium_rcv_detail_code,remaining_amt, payrec, mode_code,coinsurance_code,class_cd,it_remarks) values</v>
      </c>
      <c r="G53" s="19" t="str">
        <f t="shared" si="2"/>
        <v>('21Feb250007','070000172568','21056',(select max(to_number(i.premium_rcv_detail_code))+1
from ins_premium_det i),'21056','21056','02', '11000003','00','Request by Mr.Saqib Saleem 24-Feb-2025');</v>
      </c>
      <c r="H53" s="20" t="str">
        <f t="shared" si="3"/>
        <v>insert into ins_premium_det (premium_rcv_code,assorted_code, rec_amount,premium_rcv_detail_code,remaining_amt, payrec, mode_code,coinsurance_code,class_cd,it_remarks) values('21Feb250007','070000172568','21056',(select max(to_number(i.premium_rcv_detail_code))+1
from ins_premium_det i),'21056','21056','02', '11000003','00','Request by Mr.Saqib Saleem 24-Feb-2025');</v>
      </c>
    </row>
    <row r="54" spans="1:8" ht="105" x14ac:dyDescent="0.25">
      <c r="A54" s="2" t="s">
        <v>797</v>
      </c>
      <c r="B54" s="16" t="str">
        <f>VLOOKUP(A54,Sheet3!B:C,2,0)</f>
        <v>070000172567</v>
      </c>
      <c r="C54" s="2">
        <v>22478</v>
      </c>
      <c r="D54" s="17">
        <f t="shared" si="1"/>
        <v>22478</v>
      </c>
      <c r="E54" s="22" t="s">
        <v>1048</v>
      </c>
      <c r="F54" s="18" t="str">
        <f t="shared" si="0"/>
        <v>insert into ins_premium_det (premium_rcv_code,assorted_code, rec_amount,premium_rcv_detail_code,remaining_amt, payrec, mode_code,coinsurance_code,class_cd,it_remarks) values</v>
      </c>
      <c r="G54" s="19" t="str">
        <f t="shared" si="2"/>
        <v>('21Feb250007','070000172567','22478',(select max(to_number(i.premium_rcv_detail_code))+1
from ins_premium_det i),'22478','22478','02', '11000003','00','Request by Mr.Saqib Saleem 24-Feb-2025');</v>
      </c>
      <c r="H54" s="20" t="str">
        <f t="shared" si="3"/>
        <v>insert into ins_premium_det (premium_rcv_code,assorted_code, rec_amount,premium_rcv_detail_code,remaining_amt, payrec, mode_code,coinsurance_code,class_cd,it_remarks) values('21Feb250007','070000172567','22478',(select max(to_number(i.premium_rcv_detail_code))+1
from ins_premium_det i),'22478','22478','02', '11000003','00','Request by Mr.Saqib Saleem 24-Feb-2025');</v>
      </c>
    </row>
    <row r="55" spans="1:8" ht="105" x14ac:dyDescent="0.25">
      <c r="A55" s="2" t="s">
        <v>889</v>
      </c>
      <c r="B55" s="16" t="str">
        <f>VLOOKUP(A55,Sheet3!B:C,2,0)</f>
        <v>070000172566</v>
      </c>
      <c r="C55" s="2">
        <v>75616</v>
      </c>
      <c r="D55" s="17">
        <f t="shared" si="1"/>
        <v>75616</v>
      </c>
      <c r="E55" s="22" t="s">
        <v>1048</v>
      </c>
      <c r="F55" s="18" t="str">
        <f t="shared" si="0"/>
        <v>insert into ins_premium_det (premium_rcv_code,assorted_code, rec_amount,premium_rcv_detail_code,remaining_amt, payrec, mode_code,coinsurance_code,class_cd,it_remarks) values</v>
      </c>
      <c r="G55" s="19" t="str">
        <f t="shared" si="2"/>
        <v>('21Feb250007','070000172566','75616',(select max(to_number(i.premium_rcv_detail_code))+1
from ins_premium_det i),'75616','75616','02', '11000003','00','Request by Mr.Saqib Saleem 24-Feb-2025');</v>
      </c>
      <c r="H55" s="20" t="str">
        <f t="shared" si="3"/>
        <v>insert into ins_premium_det (premium_rcv_code,assorted_code, rec_amount,premium_rcv_detail_code,remaining_amt, payrec, mode_code,coinsurance_code,class_cd,it_remarks) values('21Feb250007','070000172566','75616',(select max(to_number(i.premium_rcv_detail_code))+1
from ins_premium_det i),'75616','75616','02', '11000003','00','Request by Mr.Saqib Saleem 24-Feb-2025');</v>
      </c>
    </row>
    <row r="56" spans="1:8" ht="105" x14ac:dyDescent="0.25">
      <c r="A56" s="2" t="s">
        <v>798</v>
      </c>
      <c r="B56" s="16" t="str">
        <f>VLOOKUP(A56,Sheet3!B:C,2,0)</f>
        <v>070000172563</v>
      </c>
      <c r="C56" s="2">
        <v>14580</v>
      </c>
      <c r="D56" s="17">
        <f t="shared" si="1"/>
        <v>14580</v>
      </c>
      <c r="E56" s="22" t="s">
        <v>1048</v>
      </c>
      <c r="F56" s="18" t="str">
        <f t="shared" si="0"/>
        <v>insert into ins_premium_det (premium_rcv_code,assorted_code, rec_amount,premium_rcv_detail_code,remaining_amt, payrec, mode_code,coinsurance_code,class_cd,it_remarks) values</v>
      </c>
      <c r="G56" s="19" t="str">
        <f t="shared" si="2"/>
        <v>('21Feb250007','070000172563','14580',(select max(to_number(i.premium_rcv_detail_code))+1
from ins_premium_det i),'14580','14580','02', '11000003','00','Request by Mr.Saqib Saleem 24-Feb-2025');</v>
      </c>
      <c r="H56" s="20" t="str">
        <f t="shared" si="3"/>
        <v>insert into ins_premium_det (premium_rcv_code,assorted_code, rec_amount,premium_rcv_detail_code,remaining_amt, payrec, mode_code,coinsurance_code,class_cd,it_remarks) values('21Feb250007','070000172563','14580',(select max(to_number(i.premium_rcv_detail_code))+1
from ins_premium_det i),'14580','14580','02', '11000003','00','Request by Mr.Saqib Saleem 24-Feb-2025');</v>
      </c>
    </row>
    <row r="57" spans="1:8" ht="105" x14ac:dyDescent="0.25">
      <c r="A57" s="2" t="s">
        <v>799</v>
      </c>
      <c r="B57" s="16" t="str">
        <f>VLOOKUP(A57,Sheet3!B:C,2,0)</f>
        <v>070000172557</v>
      </c>
      <c r="C57" s="2">
        <v>17474</v>
      </c>
      <c r="D57" s="17">
        <f t="shared" si="1"/>
        <v>17474</v>
      </c>
      <c r="E57" s="22" t="s">
        <v>1048</v>
      </c>
      <c r="F57" s="18" t="str">
        <f t="shared" si="0"/>
        <v>insert into ins_premium_det (premium_rcv_code,assorted_code, rec_amount,premium_rcv_detail_code,remaining_amt, payrec, mode_code,coinsurance_code,class_cd,it_remarks) values</v>
      </c>
      <c r="G57" s="19" t="str">
        <f t="shared" si="2"/>
        <v>('21Feb250007','070000172557','17474',(select max(to_number(i.premium_rcv_detail_code))+1
from ins_premium_det i),'17474','17474','02', '11000003','00','Request by Mr.Saqib Saleem 24-Feb-2025');</v>
      </c>
      <c r="H57" s="20" t="str">
        <f t="shared" si="3"/>
        <v>insert into ins_premium_det (premium_rcv_code,assorted_code, rec_amount,premium_rcv_detail_code,remaining_amt, payrec, mode_code,coinsurance_code,class_cd,it_remarks) values('21Feb250007','070000172557','17474',(select max(to_number(i.premium_rcv_detail_code))+1
from ins_premium_det i),'17474','17474','02', '11000003','00','Request by Mr.Saqib Saleem 24-Feb-2025');</v>
      </c>
    </row>
    <row r="58" spans="1:8" ht="105" x14ac:dyDescent="0.25">
      <c r="A58" s="2" t="s">
        <v>800</v>
      </c>
      <c r="B58" s="16" t="str">
        <f>VLOOKUP(A58,Sheet3!B:C,2,0)</f>
        <v>070000172553</v>
      </c>
      <c r="C58" s="2">
        <v>42493</v>
      </c>
      <c r="D58" s="17">
        <f t="shared" si="1"/>
        <v>42493</v>
      </c>
      <c r="E58" s="22" t="s">
        <v>1048</v>
      </c>
      <c r="F58" s="18" t="str">
        <f t="shared" si="0"/>
        <v>insert into ins_premium_det (premium_rcv_code,assorted_code, rec_amount,premium_rcv_detail_code,remaining_amt, payrec, mode_code,coinsurance_code,class_cd,it_remarks) values</v>
      </c>
      <c r="G58" s="19" t="str">
        <f t="shared" si="2"/>
        <v>('21Feb250007','070000172553','42493',(select max(to_number(i.premium_rcv_detail_code))+1
from ins_premium_det i),'42493','42493','02', '11000003','00','Request by Mr.Saqib Saleem 24-Feb-2025');</v>
      </c>
      <c r="H58" s="20" t="str">
        <f t="shared" si="3"/>
        <v>insert into ins_premium_det (premium_rcv_code,assorted_code, rec_amount,premium_rcv_detail_code,remaining_amt, payrec, mode_code,coinsurance_code,class_cd,it_remarks) values('21Feb250007','070000172553','42493',(select max(to_number(i.premium_rcv_detail_code))+1
from ins_premium_det i),'42493','42493','02', '11000003','00','Request by Mr.Saqib Saleem 24-Feb-2025');</v>
      </c>
    </row>
    <row r="59" spans="1:8" ht="105" x14ac:dyDescent="0.25">
      <c r="A59" s="2" t="s">
        <v>801</v>
      </c>
      <c r="B59" s="16" t="str">
        <f>VLOOKUP(A59,Sheet3!B:C,2,0)</f>
        <v>070000174907</v>
      </c>
      <c r="C59" s="2">
        <v>20252</v>
      </c>
      <c r="D59" s="17">
        <f t="shared" si="1"/>
        <v>20252</v>
      </c>
      <c r="E59" s="22" t="s">
        <v>1048</v>
      </c>
      <c r="F59" s="18" t="str">
        <f t="shared" si="0"/>
        <v>insert into ins_premium_det (premium_rcv_code,assorted_code, rec_amount,premium_rcv_detail_code,remaining_amt, payrec, mode_code,coinsurance_code,class_cd,it_remarks) values</v>
      </c>
      <c r="G59" s="19" t="str">
        <f t="shared" si="2"/>
        <v>('21Feb250007','070000174907','20252',(select max(to_number(i.premium_rcv_detail_code))+1
from ins_premium_det i),'20252','20252','02', '11000003','00','Request by Mr.Saqib Saleem 24-Feb-2025');</v>
      </c>
      <c r="H59" s="20" t="str">
        <f t="shared" si="3"/>
        <v>insert into ins_premium_det (premium_rcv_code,assorted_code, rec_amount,premium_rcv_detail_code,remaining_amt, payrec, mode_code,coinsurance_code,class_cd,it_remarks) values('21Feb250007','070000174907','20252',(select max(to_number(i.premium_rcv_detail_code))+1
from ins_premium_det i),'20252','20252','02', '11000003','00','Request by Mr.Saqib Saleem 24-Feb-2025');</v>
      </c>
    </row>
    <row r="60" spans="1:8" ht="105" x14ac:dyDescent="0.25">
      <c r="A60" s="2" t="s">
        <v>802</v>
      </c>
      <c r="B60" s="16" t="str">
        <f>VLOOKUP(A60,Sheet3!B:C,2,0)</f>
        <v>070000174911</v>
      </c>
      <c r="C60" s="2">
        <v>21056</v>
      </c>
      <c r="D60" s="17">
        <f t="shared" si="1"/>
        <v>21056</v>
      </c>
      <c r="E60" s="22" t="s">
        <v>1048</v>
      </c>
      <c r="F60" s="18" t="str">
        <f t="shared" si="0"/>
        <v>insert into ins_premium_det (premium_rcv_code,assorted_code, rec_amount,premium_rcv_detail_code,remaining_amt, payrec, mode_code,coinsurance_code,class_cd,it_remarks) values</v>
      </c>
      <c r="G60" s="19" t="str">
        <f t="shared" si="2"/>
        <v>('21Feb250007','070000174911','21056',(select max(to_number(i.premium_rcv_detail_code))+1
from ins_premium_det i),'21056','21056','02', '11000003','00','Request by Mr.Saqib Saleem 24-Feb-2025');</v>
      </c>
      <c r="H60" s="20" t="str">
        <f t="shared" si="3"/>
        <v>insert into ins_premium_det (premium_rcv_code,assorted_code, rec_amount,premium_rcv_detail_code,remaining_amt, payrec, mode_code,coinsurance_code,class_cd,it_remarks) values('21Feb250007','070000174911','21056',(select max(to_number(i.premium_rcv_detail_code))+1
from ins_premium_det i),'21056','21056','02', '11000003','00','Request by Mr.Saqib Saleem 24-Feb-2025');</v>
      </c>
    </row>
    <row r="61" spans="1:8" ht="105" x14ac:dyDescent="0.25">
      <c r="A61" s="2" t="s">
        <v>803</v>
      </c>
      <c r="B61" s="16" t="str">
        <f>VLOOKUP(A61,Sheet3!B:C,2,0)</f>
        <v>070000174922</v>
      </c>
      <c r="C61" s="2">
        <v>35262</v>
      </c>
      <c r="D61" s="17">
        <f t="shared" si="1"/>
        <v>35262</v>
      </c>
      <c r="E61" s="22" t="s">
        <v>1048</v>
      </c>
      <c r="F61" s="18" t="str">
        <f t="shared" si="0"/>
        <v>insert into ins_premium_det (premium_rcv_code,assorted_code, rec_amount,premium_rcv_detail_code,remaining_amt, payrec, mode_code,coinsurance_code,class_cd,it_remarks) values</v>
      </c>
      <c r="G61" s="19" t="str">
        <f t="shared" si="2"/>
        <v>('21Feb250007','070000174922','35262',(select max(to_number(i.premium_rcv_detail_code))+1
from ins_premium_det i),'35262','35262','02', '11000003','00','Request by Mr.Saqib Saleem 24-Feb-2025');</v>
      </c>
      <c r="H61" s="20" t="str">
        <f t="shared" si="3"/>
        <v>insert into ins_premium_det (premium_rcv_code,assorted_code, rec_amount,premium_rcv_detail_code,remaining_amt, payrec, mode_code,coinsurance_code,class_cd,it_remarks) values('21Feb250007','070000174922','35262',(select max(to_number(i.premium_rcv_detail_code))+1
from ins_premium_det i),'35262','35262','02', '11000003','00','Request by Mr.Saqib Saleem 24-Feb-2025');</v>
      </c>
    </row>
    <row r="62" spans="1:8" ht="105" x14ac:dyDescent="0.25">
      <c r="A62" s="2" t="s">
        <v>804</v>
      </c>
      <c r="B62" s="16" t="str">
        <f>VLOOKUP(A62,Sheet3!B:C,2,0)</f>
        <v>070000174921</v>
      </c>
      <c r="C62" s="2">
        <v>39623</v>
      </c>
      <c r="D62" s="17">
        <f t="shared" si="1"/>
        <v>39623</v>
      </c>
      <c r="E62" s="22" t="s">
        <v>1048</v>
      </c>
      <c r="F62" s="18" t="str">
        <f t="shared" si="0"/>
        <v>insert into ins_premium_det (premium_rcv_code,assorted_code, rec_amount,premium_rcv_detail_code,remaining_amt, payrec, mode_code,coinsurance_code,class_cd,it_remarks) values</v>
      </c>
      <c r="G62" s="19" t="str">
        <f t="shared" si="2"/>
        <v>('21Feb250007','070000174921','39623',(select max(to_number(i.premium_rcv_detail_code))+1
from ins_premium_det i),'39623','39623','02', '11000003','00','Request by Mr.Saqib Saleem 24-Feb-2025');</v>
      </c>
      <c r="H62" s="20" t="str">
        <f t="shared" si="3"/>
        <v>insert into ins_premium_det (premium_rcv_code,assorted_code, rec_amount,premium_rcv_detail_code,remaining_amt, payrec, mode_code,coinsurance_code,class_cd,it_remarks) values('21Feb250007','070000174921','39623',(select max(to_number(i.premium_rcv_detail_code))+1
from ins_premium_det i),'39623','39623','02', '11000003','00','Request by Mr.Saqib Saleem 24-Feb-2025');</v>
      </c>
    </row>
    <row r="63" spans="1:8" ht="105" x14ac:dyDescent="0.25">
      <c r="A63" s="2" t="s">
        <v>805</v>
      </c>
      <c r="B63" s="16" t="str">
        <f>VLOOKUP(A63,Sheet3!B:C,2,0)</f>
        <v>070000174925</v>
      </c>
      <c r="C63" s="2">
        <v>65502</v>
      </c>
      <c r="D63" s="17">
        <f t="shared" si="1"/>
        <v>65502</v>
      </c>
      <c r="E63" s="22" t="s">
        <v>1048</v>
      </c>
      <c r="F63" s="18" t="str">
        <f t="shared" si="0"/>
        <v>insert into ins_premium_det (premium_rcv_code,assorted_code, rec_amount,premium_rcv_detail_code,remaining_amt, payrec, mode_code,coinsurance_code,class_cd,it_remarks) values</v>
      </c>
      <c r="G63" s="19" t="str">
        <f t="shared" si="2"/>
        <v>('21Feb250007','070000174925','65502',(select max(to_number(i.premium_rcv_detail_code))+1
from ins_premium_det i),'65502','65502','02', '11000003','00','Request by Mr.Saqib Saleem 24-Feb-2025');</v>
      </c>
      <c r="H63" s="20" t="str">
        <f t="shared" si="3"/>
        <v>insert into ins_premium_det (premium_rcv_code,assorted_code, rec_amount,premium_rcv_detail_code,remaining_amt, payrec, mode_code,coinsurance_code,class_cd,it_remarks) values('21Feb250007','070000174925','65502',(select max(to_number(i.premium_rcv_detail_code))+1
from ins_premium_det i),'65502','65502','02', '11000003','00','Request by Mr.Saqib Saleem 24-Feb-2025');</v>
      </c>
    </row>
    <row r="64" spans="1:8" ht="105" x14ac:dyDescent="0.25">
      <c r="A64" s="2" t="s">
        <v>806</v>
      </c>
      <c r="B64" s="16" t="str">
        <f>VLOOKUP(A64,Sheet3!B:C,2,0)</f>
        <v>070000174918</v>
      </c>
      <c r="C64" s="2">
        <v>24932</v>
      </c>
      <c r="D64" s="17">
        <f t="shared" si="1"/>
        <v>24932</v>
      </c>
      <c r="E64" s="22" t="s">
        <v>1048</v>
      </c>
      <c r="F64" s="18" t="str">
        <f t="shared" si="0"/>
        <v>insert into ins_premium_det (premium_rcv_code,assorted_code, rec_amount,premium_rcv_detail_code,remaining_amt, payrec, mode_code,coinsurance_code,class_cd,it_remarks) values</v>
      </c>
      <c r="G64" s="19" t="str">
        <f t="shared" si="2"/>
        <v>('21Feb250007','070000174918','24932',(select max(to_number(i.premium_rcv_detail_code))+1
from ins_premium_det i),'24932','24932','02', '11000003','00','Request by Mr.Saqib Saleem 24-Feb-2025');</v>
      </c>
      <c r="H64" s="20" t="str">
        <f t="shared" si="3"/>
        <v>insert into ins_premium_det (premium_rcv_code,assorted_code, rec_amount,premium_rcv_detail_code,remaining_amt, payrec, mode_code,coinsurance_code,class_cd,it_remarks) values('21Feb250007','070000174918','24932',(select max(to_number(i.premium_rcv_detail_code))+1
from ins_premium_det i),'24932','24932','02', '11000003','00','Request by Mr.Saqib Saleem 24-Feb-2025');</v>
      </c>
    </row>
    <row r="65" spans="1:8" ht="105" x14ac:dyDescent="0.25">
      <c r="A65" s="2" t="s">
        <v>807</v>
      </c>
      <c r="B65" s="16" t="str">
        <f>VLOOKUP(A65,Sheet3!B:C,2,0)</f>
        <v>070000174915</v>
      </c>
      <c r="C65" s="2">
        <v>18097</v>
      </c>
      <c r="D65" s="17">
        <f t="shared" si="1"/>
        <v>18097</v>
      </c>
      <c r="E65" s="22" t="s">
        <v>1048</v>
      </c>
      <c r="F65" s="18" t="str">
        <f t="shared" si="0"/>
        <v>insert into ins_premium_det (premium_rcv_code,assorted_code, rec_amount,premium_rcv_detail_code,remaining_amt, payrec, mode_code,coinsurance_code,class_cd,it_remarks) values</v>
      </c>
      <c r="G65" s="19" t="str">
        <f t="shared" si="2"/>
        <v>('21Feb250007','070000174915','18097',(select max(to_number(i.premium_rcv_detail_code))+1
from ins_premium_det i),'18097','18097','02', '11000003','00','Request by Mr.Saqib Saleem 24-Feb-2025');</v>
      </c>
      <c r="H65" s="20" t="str">
        <f t="shared" si="3"/>
        <v>insert into ins_premium_det (premium_rcv_code,assorted_code, rec_amount,premium_rcv_detail_code,remaining_amt, payrec, mode_code,coinsurance_code,class_cd,it_remarks) values('21Feb250007','070000174915','18097',(select max(to_number(i.premium_rcv_detail_code))+1
from ins_premium_det i),'18097','18097','02', '11000003','00','Request by Mr.Saqib Saleem 24-Feb-2025');</v>
      </c>
    </row>
    <row r="66" spans="1:8" ht="105" x14ac:dyDescent="0.25">
      <c r="A66" s="2" t="s">
        <v>808</v>
      </c>
      <c r="B66" s="16" t="str">
        <f>VLOOKUP(A66,Sheet3!B:C,2,0)</f>
        <v>070000174904</v>
      </c>
      <c r="C66" s="2">
        <v>14598</v>
      </c>
      <c r="D66" s="17">
        <f t="shared" si="1"/>
        <v>14598</v>
      </c>
      <c r="E66" s="22" t="s">
        <v>1048</v>
      </c>
      <c r="F66" s="18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9" t="str">
        <f t="shared" si="2"/>
        <v>('21Feb250007','070000174904','14598',(select max(to_number(i.premium_rcv_detail_code))+1
from ins_premium_det i),'14598','14598','02', '11000003','00','Request by Mr.Saqib Saleem 24-Feb-2025');</v>
      </c>
      <c r="H66" s="20" t="str">
        <f t="shared" si="3"/>
        <v>insert into ins_premium_det (premium_rcv_code,assorted_code, rec_amount,premium_rcv_detail_code,remaining_amt, payrec, mode_code,coinsurance_code,class_cd,it_remarks) values('21Feb250007','070000174904','14598',(select max(to_number(i.premium_rcv_detail_code))+1
from ins_premium_det i),'14598','14598','02', '11000003','00','Request by Mr.Saqib Saleem 24-Feb-2025');</v>
      </c>
    </row>
    <row r="67" spans="1:8" ht="105" x14ac:dyDescent="0.25">
      <c r="A67" s="2" t="s">
        <v>809</v>
      </c>
      <c r="B67" s="16" t="str">
        <f>VLOOKUP(A67,Sheet3!B:C,2,0)</f>
        <v>070000174906</v>
      </c>
      <c r="C67" s="2">
        <v>28568</v>
      </c>
      <c r="D67" s="17">
        <f t="shared" ref="D67:D130" si="5">ROUND(C67,0)</f>
        <v>28568</v>
      </c>
      <c r="E67" s="22" t="s">
        <v>1048</v>
      </c>
      <c r="F67" s="18" t="str">
        <f t="shared" si="4"/>
        <v>insert into ins_premium_det (premium_rcv_code,assorted_code, rec_amount,premium_rcv_detail_code,remaining_amt, payrec, mode_code,coinsurance_code,class_cd,it_remarks) values</v>
      </c>
      <c r="G67" s="19" t="str">
        <f t="shared" ref="G67:G130" si="6">"('"&amp;E67&amp;"','"&amp;B67&amp;"','"&amp;D67&amp;"',(select max(to_number(i.premium_rcv_detail_code))+1
from ins_premium_det i),'"&amp;D67&amp;"','"&amp;D67&amp;"','02', '11000003','00','Request by Mr.Saqib Saleem 24-Feb-2025');"</f>
        <v>('21Feb250007','070000174906','28568',(select max(to_number(i.premium_rcv_detail_code))+1
from ins_premium_det i),'28568','28568','02', '11000003','00','Request by Mr.Saqib Saleem 24-Feb-2025');</v>
      </c>
      <c r="H67" s="20" t="str">
        <f t="shared" ref="H67:H130" si="7">F67&amp;G67</f>
        <v>insert into ins_premium_det (premium_rcv_code,assorted_code, rec_amount,premium_rcv_detail_code,remaining_amt, payrec, mode_code,coinsurance_code,class_cd,it_remarks) values('21Feb250007','070000174906','28568',(select max(to_number(i.premium_rcv_detail_code))+1
from ins_premium_det i),'28568','28568','02', '11000003','00','Request by Mr.Saqib Saleem 24-Feb-2025');</v>
      </c>
    </row>
    <row r="68" spans="1:8" ht="105" x14ac:dyDescent="0.25">
      <c r="A68" s="2" t="s">
        <v>810</v>
      </c>
      <c r="B68" s="16" t="str">
        <f>VLOOKUP(A68,Sheet3!B:C,2,0)</f>
        <v>070000174903</v>
      </c>
      <c r="C68" s="2">
        <v>42898</v>
      </c>
      <c r="D68" s="17">
        <f t="shared" si="5"/>
        <v>42898</v>
      </c>
      <c r="E68" s="22" t="s">
        <v>1048</v>
      </c>
      <c r="F68" s="18" t="str">
        <f t="shared" si="4"/>
        <v>insert into ins_premium_det (premium_rcv_code,assorted_code, rec_amount,premium_rcv_detail_code,remaining_amt, payrec, mode_code,coinsurance_code,class_cd,it_remarks) values</v>
      </c>
      <c r="G68" s="19" t="str">
        <f t="shared" si="6"/>
        <v>('21Feb250007','070000174903','42898',(select max(to_number(i.premium_rcv_detail_code))+1
from ins_premium_det i),'42898','42898','02', '11000003','00','Request by Mr.Saqib Saleem 24-Feb-2025');</v>
      </c>
      <c r="H68" s="20" t="str">
        <f t="shared" si="7"/>
        <v>insert into ins_premium_det (premium_rcv_code,assorted_code, rec_amount,premium_rcv_detail_code,remaining_amt, payrec, mode_code,coinsurance_code,class_cd,it_remarks) values('21Feb250007','070000174903','42898',(select max(to_number(i.premium_rcv_detail_code))+1
from ins_premium_det i),'42898','42898','02', '11000003','00','Request by Mr.Saqib Saleem 24-Feb-2025');</v>
      </c>
    </row>
    <row r="69" spans="1:8" ht="105" x14ac:dyDescent="0.25">
      <c r="A69" s="2" t="s">
        <v>811</v>
      </c>
      <c r="B69" s="16" t="str">
        <f>VLOOKUP(A69,Sheet3!B:C,2,0)</f>
        <v>070000174902</v>
      </c>
      <c r="C69" s="2">
        <v>14598</v>
      </c>
      <c r="D69" s="17">
        <f t="shared" si="5"/>
        <v>14598</v>
      </c>
      <c r="E69" s="22" t="s">
        <v>1048</v>
      </c>
      <c r="F69" s="18" t="str">
        <f t="shared" si="4"/>
        <v>insert into ins_premium_det (premium_rcv_code,assorted_code, rec_amount,premium_rcv_detail_code,remaining_amt, payrec, mode_code,coinsurance_code,class_cd,it_remarks) values</v>
      </c>
      <c r="G69" s="19" t="str">
        <f t="shared" si="6"/>
        <v>('21Feb250007','070000174902','14598',(select max(to_number(i.premium_rcv_detail_code))+1
from ins_premium_det i),'14598','14598','02', '11000003','00','Request by Mr.Saqib Saleem 24-Feb-2025');</v>
      </c>
      <c r="H69" s="20" t="str">
        <f t="shared" si="7"/>
        <v>insert into ins_premium_det (premium_rcv_code,assorted_code, rec_amount,premium_rcv_detail_code,remaining_amt, payrec, mode_code,coinsurance_code,class_cd,it_remarks) values('21Feb250007','070000174902','14598',(select max(to_number(i.premium_rcv_detail_code))+1
from ins_premium_det i),'14598','14598','02', '11000003','00','Request by Mr.Saqib Saleem 24-Feb-2025');</v>
      </c>
    </row>
    <row r="70" spans="1:8" ht="105" x14ac:dyDescent="0.25">
      <c r="A70" s="2" t="s">
        <v>812</v>
      </c>
      <c r="B70" s="16" t="str">
        <f>VLOOKUP(A70,Sheet3!B:C,2,0)</f>
        <v>070000174920</v>
      </c>
      <c r="C70" s="2">
        <v>14598</v>
      </c>
      <c r="D70" s="17">
        <f t="shared" si="5"/>
        <v>14598</v>
      </c>
      <c r="E70" s="22" t="s">
        <v>1048</v>
      </c>
      <c r="F70" s="18" t="str">
        <f t="shared" si="4"/>
        <v>insert into ins_premium_det (premium_rcv_code,assorted_code, rec_amount,premium_rcv_detail_code,remaining_amt, payrec, mode_code,coinsurance_code,class_cd,it_remarks) values</v>
      </c>
      <c r="G70" s="19" t="str">
        <f t="shared" si="6"/>
        <v>('21Feb250007','070000174920','14598',(select max(to_number(i.premium_rcv_detail_code))+1
from ins_premium_det i),'14598','14598','02', '11000003','00','Request by Mr.Saqib Saleem 24-Feb-2025');</v>
      </c>
      <c r="H70" s="20" t="str">
        <f t="shared" si="7"/>
        <v>insert into ins_premium_det (premium_rcv_code,assorted_code, rec_amount,premium_rcv_detail_code,remaining_amt, payrec, mode_code,coinsurance_code,class_cd,it_remarks) values('21Feb250007','070000174920','14598',(select max(to_number(i.premium_rcv_detail_code))+1
from ins_premium_det i),'14598','14598','02', '11000003','00','Request by Mr.Saqib Saleem 24-Feb-2025');</v>
      </c>
    </row>
    <row r="71" spans="1:8" ht="105" x14ac:dyDescent="0.25">
      <c r="A71" s="2" t="s">
        <v>813</v>
      </c>
      <c r="B71" s="21" t="s">
        <v>1044</v>
      </c>
      <c r="C71" s="2">
        <v>16490</v>
      </c>
      <c r="D71" s="17">
        <f t="shared" si="5"/>
        <v>16490</v>
      </c>
      <c r="E71" s="22" t="s">
        <v>1048</v>
      </c>
      <c r="F71" s="18" t="str">
        <f t="shared" si="4"/>
        <v>insert into ins_premium_det (premium_rcv_code,assorted_code, rec_amount,premium_rcv_detail_code,remaining_amt, payrec, mode_code,coinsurance_code,class_cd,it_remarks) values</v>
      </c>
      <c r="G71" s="19" t="str">
        <f t="shared" si="6"/>
        <v>('21Feb250007','040000192126','16490',(select max(to_number(i.premium_rcv_detail_code))+1
from ins_premium_det i),'16490','16490','02', '11000003','00','Request by Mr.Saqib Saleem 24-Feb-2025');</v>
      </c>
      <c r="H71" s="20" t="str">
        <f t="shared" si="7"/>
        <v>insert into ins_premium_det (premium_rcv_code,assorted_code, rec_amount,premium_rcv_detail_code,remaining_amt, payrec, mode_code,coinsurance_code,class_cd,it_remarks) values('21Feb250007','040000192126','16490',(select max(to_number(i.premium_rcv_detail_code))+1
from ins_premium_det i),'16490','16490','02', '11000003','00','Request by Mr.Saqib Saleem 24-Feb-2025');</v>
      </c>
    </row>
    <row r="72" spans="1:8" ht="105" x14ac:dyDescent="0.25">
      <c r="A72" s="2" t="s">
        <v>814</v>
      </c>
      <c r="B72" s="16" t="str">
        <f>VLOOKUP(A72,Sheet3!B:C,2,0)</f>
        <v>070000172591</v>
      </c>
      <c r="C72" s="2">
        <v>67072</v>
      </c>
      <c r="D72" s="17">
        <f t="shared" si="5"/>
        <v>67072</v>
      </c>
      <c r="E72" s="22" t="s">
        <v>1048</v>
      </c>
      <c r="F72" s="18" t="str">
        <f t="shared" si="4"/>
        <v>insert into ins_premium_det (premium_rcv_code,assorted_code, rec_amount,premium_rcv_detail_code,remaining_amt, payrec, mode_code,coinsurance_code,class_cd,it_remarks) values</v>
      </c>
      <c r="G72" s="19" t="str">
        <f t="shared" si="6"/>
        <v>('21Feb250007','070000172591','67072',(select max(to_number(i.premium_rcv_detail_code))+1
from ins_premium_det i),'67072','67072','02', '11000003','00','Request by Mr.Saqib Saleem 24-Feb-2025');</v>
      </c>
      <c r="H72" s="20" t="str">
        <f t="shared" si="7"/>
        <v>insert into ins_premium_det (premium_rcv_code,assorted_code, rec_amount,premium_rcv_detail_code,remaining_amt, payrec, mode_code,coinsurance_code,class_cd,it_remarks) values('21Feb250007','070000172591','67072',(select max(to_number(i.premium_rcv_detail_code))+1
from ins_premium_det i),'67072','67072','02', '11000003','00','Request by Mr.Saqib Saleem 24-Feb-2025');</v>
      </c>
    </row>
    <row r="73" spans="1:8" ht="105" x14ac:dyDescent="0.25">
      <c r="A73" s="2" t="s">
        <v>815</v>
      </c>
      <c r="B73" s="16" t="str">
        <f>VLOOKUP(A73,Sheet3!B:C,2,0)</f>
        <v>070000172593</v>
      </c>
      <c r="C73" s="2">
        <v>39182</v>
      </c>
      <c r="D73" s="17">
        <f t="shared" si="5"/>
        <v>39182</v>
      </c>
      <c r="E73" s="22" t="s">
        <v>1048</v>
      </c>
      <c r="F73" s="18" t="str">
        <f t="shared" si="4"/>
        <v>insert into ins_premium_det (premium_rcv_code,assorted_code, rec_amount,premium_rcv_detail_code,remaining_amt, payrec, mode_code,coinsurance_code,class_cd,it_remarks) values</v>
      </c>
      <c r="G73" s="19" t="str">
        <f t="shared" si="6"/>
        <v>('21Feb250007','070000172593','39182',(select max(to_number(i.premium_rcv_detail_code))+1
from ins_premium_det i),'39182','39182','02', '11000003','00','Request by Mr.Saqib Saleem 24-Feb-2025');</v>
      </c>
      <c r="H73" s="20" t="str">
        <f t="shared" si="7"/>
        <v>insert into ins_premium_det (premium_rcv_code,assorted_code, rec_amount,premium_rcv_detail_code,remaining_amt, payrec, mode_code,coinsurance_code,class_cd,it_remarks) values('21Feb250007','070000172593','39182',(select max(to_number(i.premium_rcv_detail_code))+1
from ins_premium_det i),'39182','39182','02', '11000003','00','Request by Mr.Saqib Saleem 24-Feb-2025');</v>
      </c>
    </row>
    <row r="74" spans="1:8" ht="105" x14ac:dyDescent="0.25">
      <c r="A74" s="2" t="s">
        <v>816</v>
      </c>
      <c r="B74" s="16" t="str">
        <f>VLOOKUP(A74,Sheet3!B:C,2,0)</f>
        <v>070000172595</v>
      </c>
      <c r="C74" s="2">
        <v>16731</v>
      </c>
      <c r="D74" s="17">
        <f t="shared" si="5"/>
        <v>16731</v>
      </c>
      <c r="E74" s="22" t="s">
        <v>1048</v>
      </c>
      <c r="F74" s="18" t="str">
        <f t="shared" si="4"/>
        <v>insert into ins_premium_det (premium_rcv_code,assorted_code, rec_amount,premium_rcv_detail_code,remaining_amt, payrec, mode_code,coinsurance_code,class_cd,it_remarks) values</v>
      </c>
      <c r="G74" s="19" t="str">
        <f t="shared" si="6"/>
        <v>('21Feb250007','070000172595','16731',(select max(to_number(i.premium_rcv_detail_code))+1
from ins_premium_det i),'16731','16731','02', '11000003','00','Request by Mr.Saqib Saleem 24-Feb-2025');</v>
      </c>
      <c r="H74" s="20" t="str">
        <f t="shared" si="7"/>
        <v>insert into ins_premium_det (premium_rcv_code,assorted_code, rec_amount,premium_rcv_detail_code,remaining_amt, payrec, mode_code,coinsurance_code,class_cd,it_remarks) values('21Feb250007','070000172595','16731',(select max(to_number(i.premium_rcv_detail_code))+1
from ins_premium_det i),'16731','16731','02', '11000003','00','Request by Mr.Saqib Saleem 24-Feb-2025');</v>
      </c>
    </row>
    <row r="75" spans="1:8" ht="105" x14ac:dyDescent="0.25">
      <c r="A75" s="2" t="s">
        <v>817</v>
      </c>
      <c r="B75" s="16" t="str">
        <f>VLOOKUP(A75,Sheet3!B:C,2,0)</f>
        <v>070000172585</v>
      </c>
      <c r="C75" s="2">
        <v>14598</v>
      </c>
      <c r="D75" s="17">
        <f t="shared" si="5"/>
        <v>14598</v>
      </c>
      <c r="E75" s="22" t="s">
        <v>1048</v>
      </c>
      <c r="F75" s="18" t="str">
        <f t="shared" si="4"/>
        <v>insert into ins_premium_det (premium_rcv_code,assorted_code, rec_amount,premium_rcv_detail_code,remaining_amt, payrec, mode_code,coinsurance_code,class_cd,it_remarks) values</v>
      </c>
      <c r="G75" s="19" t="str">
        <f t="shared" si="6"/>
        <v>('21Feb250007','070000172585','14598',(select max(to_number(i.premium_rcv_detail_code))+1
from ins_premium_det i),'14598','14598','02', '11000003','00','Request by Mr.Saqib Saleem 24-Feb-2025');</v>
      </c>
      <c r="H75" s="20" t="str">
        <f t="shared" si="7"/>
        <v>insert into ins_premium_det (premium_rcv_code,assorted_code, rec_amount,premium_rcv_detail_code,remaining_amt, payrec, mode_code,coinsurance_code,class_cd,it_remarks) values('21Feb250007','070000172585','14598',(select max(to_number(i.premium_rcv_detail_code))+1
from ins_premium_det i),'14598','14598','02', '11000003','00','Request by Mr.Saqib Saleem 24-Feb-2025');</v>
      </c>
    </row>
    <row r="76" spans="1:8" ht="105" x14ac:dyDescent="0.25">
      <c r="A76" s="2" t="s">
        <v>818</v>
      </c>
      <c r="B76" s="16" t="str">
        <f>VLOOKUP(A76,Sheet3!B:C,2,0)</f>
        <v>070000172589</v>
      </c>
      <c r="C76" s="2">
        <v>28311</v>
      </c>
      <c r="D76" s="17">
        <f t="shared" si="5"/>
        <v>28311</v>
      </c>
      <c r="E76" s="22" t="s">
        <v>1048</v>
      </c>
      <c r="F76" s="18" t="str">
        <f t="shared" si="4"/>
        <v>insert into ins_premium_det (premium_rcv_code,assorted_code, rec_amount,premium_rcv_detail_code,remaining_amt, payrec, mode_code,coinsurance_code,class_cd,it_remarks) values</v>
      </c>
      <c r="G76" s="19" t="str">
        <f t="shared" si="6"/>
        <v>('21Feb250007','070000172589','28311',(select max(to_number(i.premium_rcv_detail_code))+1
from ins_premium_det i),'28311','28311','02', '11000003','00','Request by Mr.Saqib Saleem 24-Feb-2025');</v>
      </c>
      <c r="H76" s="20" t="str">
        <f t="shared" si="7"/>
        <v>insert into ins_premium_det (premium_rcv_code,assorted_code, rec_amount,premium_rcv_detail_code,remaining_amt, payrec, mode_code,coinsurance_code,class_cd,it_remarks) values('21Feb250007','070000172589','28311',(select max(to_number(i.premium_rcv_detail_code))+1
from ins_premium_det i),'28311','28311','02', '11000003','00','Request by Mr.Saqib Saleem 24-Feb-2025');</v>
      </c>
    </row>
    <row r="77" spans="1:8" ht="105" x14ac:dyDescent="0.25">
      <c r="A77" s="2" t="s">
        <v>819</v>
      </c>
      <c r="B77" s="16" t="str">
        <f>VLOOKUP(A77,Sheet3!B:C,2,0)</f>
        <v>070000172586</v>
      </c>
      <c r="C77" s="2">
        <v>22712</v>
      </c>
      <c r="D77" s="17">
        <f t="shared" si="5"/>
        <v>22712</v>
      </c>
      <c r="E77" s="22" t="s">
        <v>1048</v>
      </c>
      <c r="F77" s="18" t="str">
        <f t="shared" si="4"/>
        <v>insert into ins_premium_det (premium_rcv_code,assorted_code, rec_amount,premium_rcv_detail_code,remaining_amt, payrec, mode_code,coinsurance_code,class_cd,it_remarks) values</v>
      </c>
      <c r="G77" s="19" t="str">
        <f t="shared" si="6"/>
        <v>('21Feb250007','070000172586','22712',(select max(to_number(i.premium_rcv_detail_code))+1
from ins_premium_det i),'22712','22712','02', '11000003','00','Request by Mr.Saqib Saleem 24-Feb-2025');</v>
      </c>
      <c r="H77" s="20" t="str">
        <f t="shared" si="7"/>
        <v>insert into ins_premium_det (premium_rcv_code,assorted_code, rec_amount,premium_rcv_detail_code,remaining_amt, payrec, mode_code,coinsurance_code,class_cd,it_remarks) values('21Feb250007','070000172586','22712',(select max(to_number(i.premium_rcv_detail_code))+1
from ins_premium_det i),'22712','22712','02', '11000003','00','Request by Mr.Saqib Saleem 24-Feb-2025');</v>
      </c>
    </row>
    <row r="78" spans="1:8" ht="105" x14ac:dyDescent="0.25">
      <c r="A78" s="2" t="s">
        <v>820</v>
      </c>
      <c r="B78" s="16" t="str">
        <f>VLOOKUP(A78,Sheet3!B:C,2,0)</f>
        <v>070000174936</v>
      </c>
      <c r="C78" s="2">
        <v>25758</v>
      </c>
      <c r="D78" s="17">
        <f t="shared" si="5"/>
        <v>25758</v>
      </c>
      <c r="E78" s="22" t="s">
        <v>1048</v>
      </c>
      <c r="F78" s="18" t="str">
        <f t="shared" si="4"/>
        <v>insert into ins_premium_det (premium_rcv_code,assorted_code, rec_amount,premium_rcv_detail_code,remaining_amt, payrec, mode_code,coinsurance_code,class_cd,it_remarks) values</v>
      </c>
      <c r="G78" s="19" t="str">
        <f t="shared" si="6"/>
        <v>('21Feb250007','070000174936','25758',(select max(to_number(i.premium_rcv_detail_code))+1
from ins_premium_det i),'25758','25758','02', '11000003','00','Request by Mr.Saqib Saleem 24-Feb-2025');</v>
      </c>
      <c r="H78" s="20" t="str">
        <f t="shared" si="7"/>
        <v>insert into ins_premium_det (premium_rcv_code,assorted_code, rec_amount,premium_rcv_detail_code,remaining_amt, payrec, mode_code,coinsurance_code,class_cd,it_remarks) values('21Feb250007','070000174936','25758',(select max(to_number(i.premium_rcv_detail_code))+1
from ins_premium_det i),'25758','25758','02', '11000003','00','Request by Mr.Saqib Saleem 24-Feb-2025');</v>
      </c>
    </row>
    <row r="79" spans="1:8" ht="105" x14ac:dyDescent="0.25">
      <c r="A79" s="2" t="s">
        <v>821</v>
      </c>
      <c r="B79" s="16" t="str">
        <f>VLOOKUP(A79,Sheet3!B:C,2,0)</f>
        <v>070000174932</v>
      </c>
      <c r="C79" s="2">
        <v>17921</v>
      </c>
      <c r="D79" s="17">
        <f t="shared" si="5"/>
        <v>17921</v>
      </c>
      <c r="E79" s="22" t="s">
        <v>1048</v>
      </c>
      <c r="F79" s="18" t="str">
        <f t="shared" si="4"/>
        <v>insert into ins_premium_det (premium_rcv_code,assorted_code, rec_amount,premium_rcv_detail_code,remaining_amt, payrec, mode_code,coinsurance_code,class_cd,it_remarks) values</v>
      </c>
      <c r="G79" s="19" t="str">
        <f t="shared" si="6"/>
        <v>('21Feb250007','070000174932','17921',(select max(to_number(i.premium_rcv_detail_code))+1
from ins_premium_det i),'17921','17921','02', '11000003','00','Request by Mr.Saqib Saleem 24-Feb-2025');</v>
      </c>
      <c r="H79" s="20" t="str">
        <f t="shared" si="7"/>
        <v>insert into ins_premium_det (premium_rcv_code,assorted_code, rec_amount,premium_rcv_detail_code,remaining_amt, payrec, mode_code,coinsurance_code,class_cd,it_remarks) values('21Feb250007','070000174932','17921',(select max(to_number(i.premium_rcv_detail_code))+1
from ins_premium_det i),'17921','17921','02', '11000003','00','Request by Mr.Saqib Saleem 24-Feb-2025');</v>
      </c>
    </row>
    <row r="80" spans="1:8" ht="105" x14ac:dyDescent="0.25">
      <c r="A80" s="2" t="s">
        <v>822</v>
      </c>
      <c r="B80" s="16" t="str">
        <f>VLOOKUP(A80,Sheet3!B:C,2,0)</f>
        <v>070000174934</v>
      </c>
      <c r="C80" s="2">
        <v>31153</v>
      </c>
      <c r="D80" s="17">
        <f t="shared" si="5"/>
        <v>31153</v>
      </c>
      <c r="E80" s="22" t="s">
        <v>1048</v>
      </c>
      <c r="F80" s="18" t="str">
        <f t="shared" si="4"/>
        <v>insert into ins_premium_det (premium_rcv_code,assorted_code, rec_amount,premium_rcv_detail_code,remaining_amt, payrec, mode_code,coinsurance_code,class_cd,it_remarks) values</v>
      </c>
      <c r="G80" s="19" t="str">
        <f t="shared" si="6"/>
        <v>('21Feb250007','070000174934','31153',(select max(to_number(i.premium_rcv_detail_code))+1
from ins_premium_det i),'31153','31153','02', '11000003','00','Request by Mr.Saqib Saleem 24-Feb-2025');</v>
      </c>
      <c r="H80" s="20" t="str">
        <f t="shared" si="7"/>
        <v>insert into ins_premium_det (premium_rcv_code,assorted_code, rec_amount,premium_rcv_detail_code,remaining_amt, payrec, mode_code,coinsurance_code,class_cd,it_remarks) values('21Feb250007','070000174934','31153',(select max(to_number(i.premium_rcv_detail_code))+1
from ins_premium_det i),'31153','31153','02', '11000003','00','Request by Mr.Saqib Saleem 24-Feb-2025');</v>
      </c>
    </row>
    <row r="81" spans="1:8" ht="105" x14ac:dyDescent="0.25">
      <c r="A81" s="2" t="s">
        <v>823</v>
      </c>
      <c r="B81" s="16" t="str">
        <f>VLOOKUP(A81,Sheet3!B:C,2,0)</f>
        <v>070000174938</v>
      </c>
      <c r="C81" s="2">
        <v>42525</v>
      </c>
      <c r="D81" s="17">
        <f t="shared" si="5"/>
        <v>42525</v>
      </c>
      <c r="E81" s="22" t="s">
        <v>1048</v>
      </c>
      <c r="F81" s="18" t="str">
        <f t="shared" si="4"/>
        <v>insert into ins_premium_det (premium_rcv_code,assorted_code, rec_amount,premium_rcv_detail_code,remaining_amt, payrec, mode_code,coinsurance_code,class_cd,it_remarks) values</v>
      </c>
      <c r="G81" s="19" t="str">
        <f t="shared" si="6"/>
        <v>('21Feb250007','070000174938','42525',(select max(to_number(i.premium_rcv_detail_code))+1
from ins_premium_det i),'42525','42525','02', '11000003','00','Request by Mr.Saqib Saleem 24-Feb-2025');</v>
      </c>
      <c r="H81" s="20" t="str">
        <f t="shared" si="7"/>
        <v>insert into ins_premium_det (premium_rcv_code,assorted_code, rec_amount,premium_rcv_detail_code,remaining_amt, payrec, mode_code,coinsurance_code,class_cd,it_remarks) values('21Feb250007','070000174938','42525',(select max(to_number(i.premium_rcv_detail_code))+1
from ins_premium_det i),'42525','42525','02', '11000003','00','Request by Mr.Saqib Saleem 24-Feb-2025');</v>
      </c>
    </row>
    <row r="82" spans="1:8" ht="105" x14ac:dyDescent="0.25">
      <c r="A82" s="2" t="s">
        <v>824</v>
      </c>
      <c r="B82" s="16" t="str">
        <f>VLOOKUP(A82,Sheet3!B:C,2,0)</f>
        <v>070000174937</v>
      </c>
      <c r="C82" s="2">
        <v>61345</v>
      </c>
      <c r="D82" s="17">
        <f t="shared" si="5"/>
        <v>61345</v>
      </c>
      <c r="E82" s="22" t="s">
        <v>1048</v>
      </c>
      <c r="F82" s="18" t="str">
        <f t="shared" si="4"/>
        <v>insert into ins_premium_det (premium_rcv_code,assorted_code, rec_amount,premium_rcv_detail_code,remaining_amt, payrec, mode_code,coinsurance_code,class_cd,it_remarks) values</v>
      </c>
      <c r="G82" s="19" t="str">
        <f t="shared" si="6"/>
        <v>('21Feb250007','070000174937','61345',(select max(to_number(i.premium_rcv_detail_code))+1
from ins_premium_det i),'61345','61345','02', '11000003','00','Request by Mr.Saqib Saleem 24-Feb-2025');</v>
      </c>
      <c r="H82" s="20" t="str">
        <f t="shared" si="7"/>
        <v>insert into ins_premium_det (premium_rcv_code,assorted_code, rec_amount,premium_rcv_detail_code,remaining_amt, payrec, mode_code,coinsurance_code,class_cd,it_remarks) values('21Feb250007','070000174937','61345',(select max(to_number(i.premium_rcv_detail_code))+1
from ins_premium_det i),'61345','61345','02', '11000003','00','Request by Mr.Saqib Saleem 24-Feb-2025');</v>
      </c>
    </row>
    <row r="83" spans="1:8" ht="105" x14ac:dyDescent="0.25">
      <c r="A83" s="2" t="s">
        <v>825</v>
      </c>
      <c r="B83" s="16" t="str">
        <f>VLOOKUP(A83,Sheet3!B:C,2,0)</f>
        <v>070000174933</v>
      </c>
      <c r="C83" s="2">
        <v>39293</v>
      </c>
      <c r="D83" s="17">
        <f t="shared" si="5"/>
        <v>39293</v>
      </c>
      <c r="E83" s="22" t="s">
        <v>1048</v>
      </c>
      <c r="F83" s="18" t="str">
        <f t="shared" si="4"/>
        <v>insert into ins_premium_det (premium_rcv_code,assorted_code, rec_amount,premium_rcv_detail_code,remaining_amt, payrec, mode_code,coinsurance_code,class_cd,it_remarks) values</v>
      </c>
      <c r="G83" s="19" t="str">
        <f t="shared" si="6"/>
        <v>('21Feb250007','070000174933','39293',(select max(to_number(i.premium_rcv_detail_code))+1
from ins_premium_det i),'39293','39293','02', '11000003','00','Request by Mr.Saqib Saleem 24-Feb-2025');</v>
      </c>
      <c r="H83" s="20" t="str">
        <f t="shared" si="7"/>
        <v>insert into ins_premium_det (premium_rcv_code,assorted_code, rec_amount,premium_rcv_detail_code,remaining_amt, payrec, mode_code,coinsurance_code,class_cd,it_remarks) values('21Feb250007','070000174933','39293',(select max(to_number(i.premium_rcv_detail_code))+1
from ins_premium_det i),'39293','39293','02', '11000003','00','Request by Mr.Saqib Saleem 24-Feb-2025');</v>
      </c>
    </row>
    <row r="84" spans="1:8" ht="105" x14ac:dyDescent="0.25">
      <c r="A84" s="2" t="s">
        <v>826</v>
      </c>
      <c r="B84" s="16" t="str">
        <f>VLOOKUP(A84,Sheet3!B:C,2,0)</f>
        <v>070000174935</v>
      </c>
      <c r="C84" s="2">
        <v>39293</v>
      </c>
      <c r="D84" s="17">
        <f t="shared" si="5"/>
        <v>39293</v>
      </c>
      <c r="E84" s="22" t="s">
        <v>1048</v>
      </c>
      <c r="F84" s="18" t="str">
        <f t="shared" si="4"/>
        <v>insert into ins_premium_det (premium_rcv_code,assorted_code, rec_amount,premium_rcv_detail_code,remaining_amt, payrec, mode_code,coinsurance_code,class_cd,it_remarks) values</v>
      </c>
      <c r="G84" s="19" t="str">
        <f t="shared" si="6"/>
        <v>('21Feb250007','070000174935','39293',(select max(to_number(i.premium_rcv_detail_code))+1
from ins_premium_det i),'39293','39293','02', '11000003','00','Request by Mr.Saqib Saleem 24-Feb-2025');</v>
      </c>
      <c r="H84" s="20" t="str">
        <f t="shared" si="7"/>
        <v>insert into ins_premium_det (premium_rcv_code,assorted_code, rec_amount,premium_rcv_detail_code,remaining_amt, payrec, mode_code,coinsurance_code,class_cd,it_remarks) values('21Feb250007','070000174935','39293',(select max(to_number(i.premium_rcv_detail_code))+1
from ins_premium_det i),'39293','39293','02', '11000003','00','Request by Mr.Saqib Saleem 24-Feb-2025');</v>
      </c>
    </row>
    <row r="85" spans="1:8" ht="105" x14ac:dyDescent="0.25">
      <c r="A85" s="2" t="s">
        <v>827</v>
      </c>
      <c r="B85" s="16" t="str">
        <f>VLOOKUP(A85,Sheet3!B:C,2,0)</f>
        <v>070000174931</v>
      </c>
      <c r="C85" s="2">
        <v>117302</v>
      </c>
      <c r="D85" s="17">
        <f t="shared" si="5"/>
        <v>117302</v>
      </c>
      <c r="E85" s="22" t="s">
        <v>1048</v>
      </c>
      <c r="F85" s="18" t="str">
        <f t="shared" si="4"/>
        <v>insert into ins_premium_det (premium_rcv_code,assorted_code, rec_amount,premium_rcv_detail_code,remaining_amt, payrec, mode_code,coinsurance_code,class_cd,it_remarks) values</v>
      </c>
      <c r="G85" s="19" t="str">
        <f t="shared" si="6"/>
        <v>('21Feb250007','070000174931','117302',(select max(to_number(i.premium_rcv_detail_code))+1
from ins_premium_det i),'117302','117302','02', '11000003','00','Request by Mr.Saqib Saleem 24-Feb-2025');</v>
      </c>
      <c r="H85" s="20" t="str">
        <f t="shared" si="7"/>
        <v>insert into ins_premium_det (premium_rcv_code,assorted_code, rec_amount,premium_rcv_detail_code,remaining_amt, payrec, mode_code,coinsurance_code,class_cd,it_remarks) values('21Feb250007','070000174931','117302',(select max(to_number(i.premium_rcv_detail_code))+1
from ins_premium_det i),'117302','117302','02', '11000003','00','Request by Mr.Saqib Saleem 24-Feb-2025');</v>
      </c>
    </row>
    <row r="86" spans="1:8" ht="105" x14ac:dyDescent="0.25">
      <c r="A86" s="2" t="s">
        <v>828</v>
      </c>
      <c r="B86" s="16" t="str">
        <f>VLOOKUP(A86,Sheet3!B:C,2,0)</f>
        <v>070000174930</v>
      </c>
      <c r="C86" s="2">
        <v>32400</v>
      </c>
      <c r="D86" s="17">
        <f t="shared" si="5"/>
        <v>32400</v>
      </c>
      <c r="E86" s="22" t="s">
        <v>1048</v>
      </c>
      <c r="F86" s="18" t="str">
        <f t="shared" si="4"/>
        <v>insert into ins_premium_det (premium_rcv_code,assorted_code, rec_amount,premium_rcv_detail_code,remaining_amt, payrec, mode_code,coinsurance_code,class_cd,it_remarks) values</v>
      </c>
      <c r="G86" s="19" t="str">
        <f t="shared" si="6"/>
        <v>('21Feb250007','070000174930','32400',(select max(to_number(i.premium_rcv_detail_code))+1
from ins_premium_det i),'32400','32400','02', '11000003','00','Request by Mr.Saqib Saleem 24-Feb-2025');</v>
      </c>
      <c r="H86" s="20" t="str">
        <f t="shared" si="7"/>
        <v>insert into ins_premium_det (premium_rcv_code,assorted_code, rec_amount,premium_rcv_detail_code,remaining_amt, payrec, mode_code,coinsurance_code,class_cd,it_remarks) values('21Feb250007','070000174930','32400',(select max(to_number(i.premium_rcv_detail_code))+1
from ins_premium_det i),'32400','32400','02', '11000003','00','Request by Mr.Saqib Saleem 24-Feb-2025');</v>
      </c>
    </row>
    <row r="87" spans="1:8" ht="105" x14ac:dyDescent="0.25">
      <c r="A87" s="2" t="s">
        <v>829</v>
      </c>
      <c r="B87" s="16" t="str">
        <f>VLOOKUP(A87,Sheet3!B:C,2,0)</f>
        <v>070000172605</v>
      </c>
      <c r="C87" s="2">
        <v>21056</v>
      </c>
      <c r="D87" s="17">
        <f t="shared" si="5"/>
        <v>21056</v>
      </c>
      <c r="E87" s="22" t="s">
        <v>1048</v>
      </c>
      <c r="F87" s="18" t="str">
        <f t="shared" si="4"/>
        <v>insert into ins_premium_det (premium_rcv_code,assorted_code, rec_amount,premium_rcv_detail_code,remaining_amt, payrec, mode_code,coinsurance_code,class_cd,it_remarks) values</v>
      </c>
      <c r="G87" s="19" t="str">
        <f t="shared" si="6"/>
        <v>('21Feb250007','070000172605','21056',(select max(to_number(i.premium_rcv_detail_code))+1
from ins_premium_det i),'21056','21056','02', '11000003','00','Request by Mr.Saqib Saleem 24-Feb-2025');</v>
      </c>
      <c r="H87" s="20" t="str">
        <f t="shared" si="7"/>
        <v>insert into ins_premium_det (premium_rcv_code,assorted_code, rec_amount,premium_rcv_detail_code,remaining_amt, payrec, mode_code,coinsurance_code,class_cd,it_remarks) values('21Feb250007','070000172605','21056',(select max(to_number(i.premium_rcv_detail_code))+1
from ins_premium_det i),'21056','21056','02', '11000003','00','Request by Mr.Saqib Saleem 24-Feb-2025');</v>
      </c>
    </row>
    <row r="88" spans="1:8" ht="105" x14ac:dyDescent="0.25">
      <c r="A88" s="2" t="s">
        <v>830</v>
      </c>
      <c r="B88" s="21" t="s">
        <v>1045</v>
      </c>
      <c r="C88" s="2">
        <v>61539</v>
      </c>
      <c r="D88" s="17">
        <f t="shared" si="5"/>
        <v>61539</v>
      </c>
      <c r="E88" s="22" t="s">
        <v>1048</v>
      </c>
      <c r="F88" s="18" t="str">
        <f t="shared" si="4"/>
        <v>insert into ins_premium_det (premium_rcv_code,assorted_code, rec_amount,premium_rcv_detail_code,remaining_amt, payrec, mode_code,coinsurance_code,class_cd,it_remarks) values</v>
      </c>
      <c r="G88" s="19" t="str">
        <f t="shared" si="6"/>
        <v>('21Feb250007','040000192139','61539',(select max(to_number(i.premium_rcv_detail_code))+1
from ins_premium_det i),'61539','61539','02', '11000003','00','Request by Mr.Saqib Saleem 24-Feb-2025');</v>
      </c>
      <c r="H88" s="20" t="str">
        <f t="shared" si="7"/>
        <v>insert into ins_premium_det (premium_rcv_code,assorted_code, rec_amount,premium_rcv_detail_code,remaining_amt, payrec, mode_code,coinsurance_code,class_cd,it_remarks) values('21Feb250007','040000192139','61539',(select max(to_number(i.premium_rcv_detail_code))+1
from ins_premium_det i),'61539','61539','02', '11000003','00','Request by Mr.Saqib Saleem 24-Feb-2025');</v>
      </c>
    </row>
    <row r="89" spans="1:8" ht="105" x14ac:dyDescent="0.25">
      <c r="A89" s="2" t="s">
        <v>831</v>
      </c>
      <c r="B89" s="16" t="str">
        <f>VLOOKUP(A89,Sheet3!B:C,2,0)</f>
        <v>070000174951</v>
      </c>
      <c r="C89" s="2">
        <v>39293</v>
      </c>
      <c r="D89" s="17">
        <f t="shared" si="5"/>
        <v>39293</v>
      </c>
      <c r="E89" s="22" t="s">
        <v>1048</v>
      </c>
      <c r="F89" s="18" t="str">
        <f t="shared" si="4"/>
        <v>insert into ins_premium_det (premium_rcv_code,assorted_code, rec_amount,premium_rcv_detail_code,remaining_amt, payrec, mode_code,coinsurance_code,class_cd,it_remarks) values</v>
      </c>
      <c r="G89" s="19" t="str">
        <f t="shared" si="6"/>
        <v>('21Feb250007','070000174951','39293',(select max(to_number(i.premium_rcv_detail_code))+1
from ins_premium_det i),'39293','39293','02', '11000003','00','Request by Mr.Saqib Saleem 24-Feb-2025');</v>
      </c>
      <c r="H89" s="20" t="str">
        <f t="shared" si="7"/>
        <v>insert into ins_premium_det (premium_rcv_code,assorted_code, rec_amount,premium_rcv_detail_code,remaining_amt, payrec, mode_code,coinsurance_code,class_cd,it_remarks) values('21Feb250007','070000174951','39293',(select max(to_number(i.premium_rcv_detail_code))+1
from ins_premium_det i),'39293','39293','02', '11000003','00','Request by Mr.Saqib Saleem 24-Feb-2025');</v>
      </c>
    </row>
    <row r="90" spans="1:8" ht="105" x14ac:dyDescent="0.25">
      <c r="A90" s="2" t="s">
        <v>832</v>
      </c>
      <c r="B90" s="16" t="str">
        <f>VLOOKUP(A90,Sheet3!B:C,2,0)</f>
        <v>070000174949</v>
      </c>
      <c r="C90" s="2">
        <v>17921</v>
      </c>
      <c r="D90" s="17">
        <f t="shared" si="5"/>
        <v>17921</v>
      </c>
      <c r="E90" s="22" t="s">
        <v>1048</v>
      </c>
      <c r="F90" s="18" t="str">
        <f t="shared" si="4"/>
        <v>insert into ins_premium_det (premium_rcv_code,assorted_code, rec_amount,premium_rcv_detail_code,remaining_amt, payrec, mode_code,coinsurance_code,class_cd,it_remarks) values</v>
      </c>
      <c r="G90" s="19" t="str">
        <f t="shared" si="6"/>
        <v>('21Feb250007','070000174949','17921',(select max(to_number(i.premium_rcv_detail_code))+1
from ins_premium_det i),'17921','17921','02', '11000003','00','Request by Mr.Saqib Saleem 24-Feb-2025');</v>
      </c>
      <c r="H90" s="20" t="str">
        <f t="shared" si="7"/>
        <v>insert into ins_premium_det (premium_rcv_code,assorted_code, rec_amount,premium_rcv_detail_code,remaining_amt, payrec, mode_code,coinsurance_code,class_cd,it_remarks) values('21Feb250007','070000174949','17921',(select max(to_number(i.premium_rcv_detail_code))+1
from ins_premium_det i),'17921','17921','02', '11000003','00','Request by Mr.Saqib Saleem 24-Feb-2025');</v>
      </c>
    </row>
    <row r="91" spans="1:8" ht="105" x14ac:dyDescent="0.25">
      <c r="A91" s="2" t="s">
        <v>833</v>
      </c>
      <c r="B91" s="16" t="str">
        <f>VLOOKUP(A91,Sheet3!B:C,2,0)</f>
        <v>070000174950</v>
      </c>
      <c r="C91" s="2">
        <v>21870</v>
      </c>
      <c r="D91" s="17">
        <f t="shared" si="5"/>
        <v>21870</v>
      </c>
      <c r="E91" s="22" t="s">
        <v>1048</v>
      </c>
      <c r="F91" s="18" t="str">
        <f t="shared" si="4"/>
        <v>insert into ins_premium_det (premium_rcv_code,assorted_code, rec_amount,premium_rcv_detail_code,remaining_amt, payrec, mode_code,coinsurance_code,class_cd,it_remarks) values</v>
      </c>
      <c r="G91" s="19" t="str">
        <f t="shared" si="6"/>
        <v>('21Feb250007','070000174950','21870',(select max(to_number(i.premium_rcv_detail_code))+1
from ins_premium_det i),'21870','21870','02', '11000003','00','Request by Mr.Saqib Saleem 24-Feb-2025');</v>
      </c>
      <c r="H91" s="20" t="str">
        <f t="shared" si="7"/>
        <v>insert into ins_premium_det (premium_rcv_code,assorted_code, rec_amount,premium_rcv_detail_code,remaining_amt, payrec, mode_code,coinsurance_code,class_cd,it_remarks) values('21Feb250007','070000174950','21870',(select max(to_number(i.premium_rcv_detail_code))+1
from ins_premium_det i),'21870','21870','02', '11000003','00','Request by Mr.Saqib Saleem 24-Feb-2025');</v>
      </c>
    </row>
    <row r="92" spans="1:8" ht="105" x14ac:dyDescent="0.25">
      <c r="A92" s="2" t="s">
        <v>834</v>
      </c>
      <c r="B92" s="16" t="str">
        <f>VLOOKUP(A92,Sheet3!B:C,2,0)</f>
        <v>070000174946</v>
      </c>
      <c r="C92" s="2">
        <v>39623</v>
      </c>
      <c r="D92" s="17">
        <f t="shared" si="5"/>
        <v>39623</v>
      </c>
      <c r="E92" s="22" t="s">
        <v>1048</v>
      </c>
      <c r="F92" s="18" t="str">
        <f t="shared" si="4"/>
        <v>insert into ins_premium_det (premium_rcv_code,assorted_code, rec_amount,premium_rcv_detail_code,remaining_amt, payrec, mode_code,coinsurance_code,class_cd,it_remarks) values</v>
      </c>
      <c r="G92" s="19" t="str">
        <f t="shared" si="6"/>
        <v>('21Feb250007','070000174946','39623',(select max(to_number(i.premium_rcv_detail_code))+1
from ins_premium_det i),'39623','39623','02', '11000003','00','Request by Mr.Saqib Saleem 24-Feb-2025');</v>
      </c>
      <c r="H92" s="20" t="str">
        <f t="shared" si="7"/>
        <v>insert into ins_premium_det (premium_rcv_code,assorted_code, rec_amount,premium_rcv_detail_code,remaining_amt, payrec, mode_code,coinsurance_code,class_cd,it_remarks) values('21Feb250007','070000174946','39623',(select max(to_number(i.premium_rcv_detail_code))+1
from ins_premium_det i),'39623','39623','02', '11000003','00','Request by Mr.Saqib Saleem 24-Feb-2025');</v>
      </c>
    </row>
    <row r="93" spans="1:8" ht="105" x14ac:dyDescent="0.25">
      <c r="A93" s="2" t="s">
        <v>835</v>
      </c>
      <c r="B93" s="16" t="str">
        <f>VLOOKUP(A93,Sheet3!B:C,2,0)</f>
        <v>070000174948</v>
      </c>
      <c r="C93" s="2">
        <v>67500</v>
      </c>
      <c r="D93" s="17">
        <f t="shared" si="5"/>
        <v>67500</v>
      </c>
      <c r="E93" s="22" t="s">
        <v>1048</v>
      </c>
      <c r="F93" s="18" t="str">
        <f t="shared" si="4"/>
        <v>insert into ins_premium_det (premium_rcv_code,assorted_code, rec_amount,premium_rcv_detail_code,remaining_amt, payrec, mode_code,coinsurance_code,class_cd,it_remarks) values</v>
      </c>
      <c r="G93" s="19" t="str">
        <f t="shared" si="6"/>
        <v>('21Feb250007','070000174948','67500',(select max(to_number(i.premium_rcv_detail_code))+1
from ins_premium_det i),'67500','67500','02', '11000003','00','Request by Mr.Saqib Saleem 24-Feb-2025');</v>
      </c>
      <c r="H93" s="20" t="str">
        <f t="shared" si="7"/>
        <v>insert into ins_premium_det (premium_rcv_code,assorted_code, rec_amount,premium_rcv_detail_code,remaining_amt, payrec, mode_code,coinsurance_code,class_cd,it_remarks) values('21Feb250007','070000174948','67500',(select max(to_number(i.premium_rcv_detail_code))+1
from ins_premium_det i),'67500','67500','02', '11000003','00','Request by Mr.Saqib Saleem 24-Feb-2025');</v>
      </c>
    </row>
    <row r="94" spans="1:8" ht="105" x14ac:dyDescent="0.25">
      <c r="A94" s="2" t="s">
        <v>836</v>
      </c>
      <c r="B94" s="16" t="str">
        <f>VLOOKUP(A94,Sheet3!B:C,2,0)</f>
        <v>070000174947</v>
      </c>
      <c r="C94" s="2">
        <v>39623</v>
      </c>
      <c r="D94" s="17">
        <f t="shared" si="5"/>
        <v>39623</v>
      </c>
      <c r="E94" s="22" t="s">
        <v>1048</v>
      </c>
      <c r="F94" s="18" t="str">
        <f t="shared" si="4"/>
        <v>insert into ins_premium_det (premium_rcv_code,assorted_code, rec_amount,premium_rcv_detail_code,remaining_amt, payrec, mode_code,coinsurance_code,class_cd,it_remarks) values</v>
      </c>
      <c r="G94" s="19" t="str">
        <f t="shared" si="6"/>
        <v>('21Feb250007','070000174947','39623',(select max(to_number(i.premium_rcv_detail_code))+1
from ins_premium_det i),'39623','39623','02', '11000003','00','Request by Mr.Saqib Saleem 24-Feb-2025');</v>
      </c>
      <c r="H94" s="20" t="str">
        <f t="shared" si="7"/>
        <v>insert into ins_premium_det (premium_rcv_code,assorted_code, rec_amount,premium_rcv_detail_code,remaining_amt, payrec, mode_code,coinsurance_code,class_cd,it_remarks) values('21Feb250007','070000174947','39623',(select max(to_number(i.premium_rcv_detail_code))+1
from ins_premium_det i),'39623','39623','02', '11000003','00','Request by Mr.Saqib Saleem 24-Feb-2025');</v>
      </c>
    </row>
    <row r="95" spans="1:8" ht="105" x14ac:dyDescent="0.25">
      <c r="A95" s="2" t="s">
        <v>837</v>
      </c>
      <c r="B95" s="16" t="str">
        <f>VLOOKUP(A95,Sheet3!B:C,2,0)</f>
        <v>070000172641</v>
      </c>
      <c r="C95" s="2">
        <v>27009</v>
      </c>
      <c r="D95" s="17">
        <f t="shared" si="5"/>
        <v>27009</v>
      </c>
      <c r="E95" s="22" t="s">
        <v>1048</v>
      </c>
      <c r="F95" s="18" t="str">
        <f t="shared" si="4"/>
        <v>insert into ins_premium_det (premium_rcv_code,assorted_code, rec_amount,premium_rcv_detail_code,remaining_amt, payrec, mode_code,coinsurance_code,class_cd,it_remarks) values</v>
      </c>
      <c r="G95" s="19" t="str">
        <f t="shared" si="6"/>
        <v>('21Feb250007','070000172641','27009',(select max(to_number(i.premium_rcv_detail_code))+1
from ins_premium_det i),'27009','27009','02', '11000003','00','Request by Mr.Saqib Saleem 24-Feb-2025');</v>
      </c>
      <c r="H95" s="20" t="str">
        <f t="shared" si="7"/>
        <v>insert into ins_premium_det (premium_rcv_code,assorted_code, rec_amount,premium_rcv_detail_code,remaining_amt, payrec, mode_code,coinsurance_code,class_cd,it_remarks) values('21Feb250007','070000172641','27009',(select max(to_number(i.premium_rcv_detail_code))+1
from ins_premium_det i),'27009','27009','02', '11000003','00','Request by Mr.Saqib Saleem 24-Feb-2025');</v>
      </c>
    </row>
    <row r="96" spans="1:8" ht="105" x14ac:dyDescent="0.25">
      <c r="A96" s="2" t="s">
        <v>838</v>
      </c>
      <c r="B96" s="16" t="str">
        <f>VLOOKUP(A96,Sheet3!B:C,2,0)</f>
        <v>070000172643</v>
      </c>
      <c r="C96" s="2">
        <v>23705</v>
      </c>
      <c r="D96" s="17">
        <f t="shared" si="5"/>
        <v>23705</v>
      </c>
      <c r="E96" s="22" t="s">
        <v>1048</v>
      </c>
      <c r="F96" s="18" t="str">
        <f t="shared" si="4"/>
        <v>insert into ins_premium_det (premium_rcv_code,assorted_code, rec_amount,premium_rcv_detail_code,remaining_amt, payrec, mode_code,coinsurance_code,class_cd,it_remarks) values</v>
      </c>
      <c r="G96" s="19" t="str">
        <f t="shared" si="6"/>
        <v>('21Feb250007','070000172643','23705',(select max(to_number(i.premium_rcv_detail_code))+1
from ins_premium_det i),'23705','23705','02', '11000003','00','Request by Mr.Saqib Saleem 24-Feb-2025');</v>
      </c>
      <c r="H96" s="20" t="str">
        <f t="shared" si="7"/>
        <v>insert into ins_premium_det (premium_rcv_code,assorted_code, rec_amount,premium_rcv_detail_code,remaining_amt, payrec, mode_code,coinsurance_code,class_cd,it_remarks) values('21Feb250007','070000172643','23705',(select max(to_number(i.premium_rcv_detail_code))+1
from ins_premium_det i),'23705','23705','02', '11000003','00','Request by Mr.Saqib Saleem 24-Feb-2025');</v>
      </c>
    </row>
    <row r="97" spans="1:8" ht="105" x14ac:dyDescent="0.25">
      <c r="A97" s="2" t="s">
        <v>890</v>
      </c>
      <c r="B97" s="16" t="str">
        <f>VLOOKUP(A97,Sheet3!B:C,2,0)</f>
        <v>070000172640</v>
      </c>
      <c r="C97" s="2">
        <v>21056</v>
      </c>
      <c r="D97" s="17">
        <f t="shared" si="5"/>
        <v>21056</v>
      </c>
      <c r="E97" s="22" t="s">
        <v>1048</v>
      </c>
      <c r="F97" s="18" t="str">
        <f t="shared" si="4"/>
        <v>insert into ins_premium_det (premium_rcv_code,assorted_code, rec_amount,premium_rcv_detail_code,remaining_amt, payrec, mode_code,coinsurance_code,class_cd,it_remarks) values</v>
      </c>
      <c r="G97" s="19" t="str">
        <f t="shared" si="6"/>
        <v>('21Feb250007','070000172640','21056',(select max(to_number(i.premium_rcv_detail_code))+1
from ins_premium_det i),'21056','21056','02', '11000003','00','Request by Mr.Saqib Saleem 24-Feb-2025');</v>
      </c>
      <c r="H97" s="20" t="str">
        <f t="shared" si="7"/>
        <v>insert into ins_premium_det (premium_rcv_code,assorted_code, rec_amount,premium_rcv_detail_code,remaining_amt, payrec, mode_code,coinsurance_code,class_cd,it_remarks) values('21Feb250007','070000172640','21056',(select max(to_number(i.premium_rcv_detail_code))+1
from ins_premium_det i),'21056','21056','02', '11000003','00','Request by Mr.Saqib Saleem 24-Feb-2025');</v>
      </c>
    </row>
    <row r="98" spans="1:8" ht="105" x14ac:dyDescent="0.25">
      <c r="A98" s="2" t="s">
        <v>839</v>
      </c>
      <c r="B98" s="16" t="str">
        <f>VLOOKUP(A98,Sheet3!B:C,2,0)</f>
        <v>070000172642</v>
      </c>
      <c r="C98" s="2">
        <v>21056</v>
      </c>
      <c r="D98" s="17">
        <f t="shared" si="5"/>
        <v>21056</v>
      </c>
      <c r="E98" s="22" t="s">
        <v>1048</v>
      </c>
      <c r="F98" s="18" t="str">
        <f t="shared" si="4"/>
        <v>insert into ins_premium_det (premium_rcv_code,assorted_code, rec_amount,premium_rcv_detail_code,remaining_amt, payrec, mode_code,coinsurance_code,class_cd,it_remarks) values</v>
      </c>
      <c r="G98" s="19" t="str">
        <f t="shared" si="6"/>
        <v>('21Feb250007','070000172642','21056',(select max(to_number(i.premium_rcv_detail_code))+1
from ins_premium_det i),'21056','21056','02', '11000003','00','Request by Mr.Saqib Saleem 24-Feb-2025');</v>
      </c>
      <c r="H98" s="20" t="str">
        <f t="shared" si="7"/>
        <v>insert into ins_premium_det (premium_rcv_code,assorted_code, rec_amount,premium_rcv_detail_code,remaining_amt, payrec, mode_code,coinsurance_code,class_cd,it_remarks) values('21Feb250007','070000172642','21056',(select max(to_number(i.premium_rcv_detail_code))+1
from ins_premium_det i),'21056','21056','02', '11000003','00','Request by Mr.Saqib Saleem 24-Feb-2025');</v>
      </c>
    </row>
    <row r="99" spans="1:8" ht="105" x14ac:dyDescent="0.25">
      <c r="A99" s="2" t="s">
        <v>840</v>
      </c>
      <c r="B99" s="16" t="str">
        <f>VLOOKUP(A99,Sheet3!B:C,2,0)</f>
        <v>070000172671</v>
      </c>
      <c r="C99" s="2">
        <v>57591</v>
      </c>
      <c r="D99" s="17">
        <f t="shared" si="5"/>
        <v>57591</v>
      </c>
      <c r="E99" s="22" t="s">
        <v>1048</v>
      </c>
      <c r="F99" s="18" t="str">
        <f t="shared" si="4"/>
        <v>insert into ins_premium_det (premium_rcv_code,assorted_code, rec_amount,premium_rcv_detail_code,remaining_amt, payrec, mode_code,coinsurance_code,class_cd,it_remarks) values</v>
      </c>
      <c r="G99" s="19" t="str">
        <f t="shared" si="6"/>
        <v>('21Feb250007','070000172671','57591',(select max(to_number(i.premium_rcv_detail_code))+1
from ins_premium_det i),'57591','57591','02', '11000003','00','Request by Mr.Saqib Saleem 24-Feb-2025');</v>
      </c>
      <c r="H99" s="20" t="str">
        <f t="shared" si="7"/>
        <v>insert into ins_premium_det (premium_rcv_code,assorted_code, rec_amount,premium_rcv_detail_code,remaining_amt, payrec, mode_code,coinsurance_code,class_cd,it_remarks) values('21Feb250007','070000172671','57591',(select max(to_number(i.premium_rcv_detail_code))+1
from ins_premium_det i),'57591','57591','02', '11000003','00','Request by Mr.Saqib Saleem 24-Feb-2025');</v>
      </c>
    </row>
    <row r="100" spans="1:8" ht="105" x14ac:dyDescent="0.25">
      <c r="A100" s="2" t="s">
        <v>841</v>
      </c>
      <c r="B100" s="16" t="str">
        <f>VLOOKUP(A100,Sheet3!B:C,2,0)</f>
        <v>070000174827</v>
      </c>
      <c r="C100" s="2">
        <v>28311</v>
      </c>
      <c r="D100" s="17">
        <f t="shared" si="5"/>
        <v>28311</v>
      </c>
      <c r="E100" s="22" t="s">
        <v>1048</v>
      </c>
      <c r="F100" s="18" t="str">
        <f t="shared" si="4"/>
        <v>insert into ins_premium_det (premium_rcv_code,assorted_code, rec_amount,premium_rcv_detail_code,remaining_amt, payrec, mode_code,coinsurance_code,class_cd,it_remarks) values</v>
      </c>
      <c r="G100" s="19" t="str">
        <f t="shared" si="6"/>
        <v>('21Feb250007','070000174827','28311',(select max(to_number(i.premium_rcv_detail_code))+1
from ins_premium_det i),'28311','28311','02', '11000003','00','Request by Mr.Saqib Saleem 24-Feb-2025');</v>
      </c>
      <c r="H100" s="20" t="str">
        <f t="shared" si="7"/>
        <v>insert into ins_premium_det (premium_rcv_code,assorted_code, rec_amount,premium_rcv_detail_code,remaining_amt, payrec, mode_code,coinsurance_code,class_cd,it_remarks) values('21Feb250007','070000174827','28311',(select max(to_number(i.premium_rcv_detail_code))+1
from ins_premium_det i),'28311','28311','02', '11000003','00','Request by Mr.Saqib Saleem 24-Feb-2025');</v>
      </c>
    </row>
    <row r="101" spans="1:8" ht="105" x14ac:dyDescent="0.25">
      <c r="A101" s="2" t="s">
        <v>842</v>
      </c>
      <c r="B101" s="16" t="str">
        <f>VLOOKUP(A101,Sheet3!B:C,2,0)</f>
        <v>070000174944</v>
      </c>
      <c r="C101" s="2">
        <v>47671</v>
      </c>
      <c r="D101" s="17">
        <f t="shared" si="5"/>
        <v>47671</v>
      </c>
      <c r="E101" s="22" t="s">
        <v>1048</v>
      </c>
      <c r="F101" s="18" t="str">
        <f t="shared" si="4"/>
        <v>insert into ins_premium_det (premium_rcv_code,assorted_code, rec_amount,premium_rcv_detail_code,remaining_amt, payrec, mode_code,coinsurance_code,class_cd,it_remarks) values</v>
      </c>
      <c r="G101" s="19" t="str">
        <f t="shared" si="6"/>
        <v>('21Feb250007','070000174944','47671',(select max(to_number(i.premium_rcv_detail_code))+1
from ins_premium_det i),'47671','47671','02', '11000003','00','Request by Mr.Saqib Saleem 24-Feb-2025');</v>
      </c>
      <c r="H101" s="20" t="str">
        <f t="shared" si="7"/>
        <v>insert into ins_premium_det (premium_rcv_code,assorted_code, rec_amount,premium_rcv_detail_code,remaining_amt, payrec, mode_code,coinsurance_code,class_cd,it_remarks) values('21Feb250007','070000174944','47671',(select max(to_number(i.premium_rcv_detail_code))+1
from ins_premium_det i),'47671','47671','02', '11000003','00','Request by Mr.Saqib Saleem 24-Feb-2025');</v>
      </c>
    </row>
    <row r="102" spans="1:8" ht="105" x14ac:dyDescent="0.25">
      <c r="A102" s="2" t="s">
        <v>843</v>
      </c>
      <c r="B102" s="16" t="str">
        <f>VLOOKUP(A102,Sheet3!B:C,2,0)</f>
        <v>070000172618</v>
      </c>
      <c r="C102" s="2">
        <v>21056</v>
      </c>
      <c r="D102" s="17">
        <f t="shared" si="5"/>
        <v>21056</v>
      </c>
      <c r="E102" s="22" t="s">
        <v>1048</v>
      </c>
      <c r="F102" s="18" t="str">
        <f t="shared" si="4"/>
        <v>insert into ins_premium_det (premium_rcv_code,assorted_code, rec_amount,premium_rcv_detail_code,remaining_amt, payrec, mode_code,coinsurance_code,class_cd,it_remarks) values</v>
      </c>
      <c r="G102" s="19" t="str">
        <f t="shared" si="6"/>
        <v>('21Feb250007','070000172618','21056',(select max(to_number(i.premium_rcv_detail_code))+1
from ins_premium_det i),'21056','21056','02', '11000003','00','Request by Mr.Saqib Saleem 24-Feb-2025');</v>
      </c>
      <c r="H102" s="20" t="str">
        <f t="shared" si="7"/>
        <v>insert into ins_premium_det (premium_rcv_code,assorted_code, rec_amount,premium_rcv_detail_code,remaining_amt, payrec, mode_code,coinsurance_code,class_cd,it_remarks) values('21Feb250007','070000172618','21056',(select max(to_number(i.premium_rcv_detail_code))+1
from ins_premium_det i),'21056','21056','02', '11000003','00','Request by Mr.Saqib Saleem 24-Feb-2025');</v>
      </c>
    </row>
    <row r="103" spans="1:8" ht="105" x14ac:dyDescent="0.25">
      <c r="A103" s="2" t="s">
        <v>844</v>
      </c>
      <c r="B103" s="16" t="str">
        <f>VLOOKUP(A103,Sheet3!B:C,2,0)</f>
        <v>070000174884</v>
      </c>
      <c r="C103" s="2">
        <v>34020</v>
      </c>
      <c r="D103" s="17">
        <f t="shared" si="5"/>
        <v>34020</v>
      </c>
      <c r="E103" s="22" t="s">
        <v>1048</v>
      </c>
      <c r="F103" s="18" t="str">
        <f t="shared" si="4"/>
        <v>insert into ins_premium_det (premium_rcv_code,assorted_code, rec_amount,premium_rcv_detail_code,remaining_amt, payrec, mode_code,coinsurance_code,class_cd,it_remarks) values</v>
      </c>
      <c r="G103" s="19" t="str">
        <f t="shared" si="6"/>
        <v>('21Feb250007','070000174884','34020',(select max(to_number(i.premium_rcv_detail_code))+1
from ins_premium_det i),'34020','34020','02', '11000003','00','Request by Mr.Saqib Saleem 24-Feb-2025');</v>
      </c>
      <c r="H103" s="20" t="str">
        <f t="shared" si="7"/>
        <v>insert into ins_premium_det (premium_rcv_code,assorted_code, rec_amount,premium_rcv_detail_code,remaining_amt, payrec, mode_code,coinsurance_code,class_cd,it_remarks) values('21Feb250007','070000174884','34020',(select max(to_number(i.premium_rcv_detail_code))+1
from ins_premium_det i),'34020','34020','02', '11000003','00','Request by Mr.Saqib Saleem 24-Feb-2025');</v>
      </c>
    </row>
    <row r="104" spans="1:8" ht="105" x14ac:dyDescent="0.25">
      <c r="A104" s="2" t="s">
        <v>845</v>
      </c>
      <c r="B104" s="16" t="str">
        <f>VLOOKUP(A104,Sheet3!B:C,2,0)</f>
        <v>070000174843</v>
      </c>
      <c r="C104" s="2">
        <v>24008</v>
      </c>
      <c r="D104" s="17">
        <f t="shared" si="5"/>
        <v>24008</v>
      </c>
      <c r="E104" s="22" t="s">
        <v>1048</v>
      </c>
      <c r="F104" s="18" t="str">
        <f t="shared" si="4"/>
        <v>insert into ins_premium_det (premium_rcv_code,assorted_code, rec_amount,premium_rcv_detail_code,remaining_amt, payrec, mode_code,coinsurance_code,class_cd,it_remarks) values</v>
      </c>
      <c r="G104" s="19" t="str">
        <f t="shared" si="6"/>
        <v>('21Feb250007','070000174843','24008',(select max(to_number(i.premium_rcv_detail_code))+1
from ins_premium_det i),'24008','24008','02', '11000003','00','Request by Mr.Saqib Saleem 24-Feb-2025');</v>
      </c>
      <c r="H104" s="20" t="str">
        <f t="shared" si="7"/>
        <v>insert into ins_premium_det (premium_rcv_code,assorted_code, rec_amount,premium_rcv_detail_code,remaining_amt, payrec, mode_code,coinsurance_code,class_cd,it_remarks) values('21Feb250007','070000174843','24008',(select max(to_number(i.premium_rcv_detail_code))+1
from ins_premium_det i),'24008','24008','02', '11000003','00','Request by Mr.Saqib Saleem 24-Feb-2025');</v>
      </c>
    </row>
    <row r="105" spans="1:8" ht="105" x14ac:dyDescent="0.25">
      <c r="A105" s="2" t="s">
        <v>846</v>
      </c>
      <c r="B105" s="16" t="str">
        <f>VLOOKUP(A105,Sheet3!B:C,2,0)</f>
        <v>070000174833</v>
      </c>
      <c r="C105" s="2">
        <v>43740</v>
      </c>
      <c r="D105" s="17">
        <f t="shared" si="5"/>
        <v>43740</v>
      </c>
      <c r="E105" s="22" t="s">
        <v>1048</v>
      </c>
      <c r="F105" s="18" t="str">
        <f t="shared" si="4"/>
        <v>insert into ins_premium_det (premium_rcv_code,assorted_code, rec_amount,premium_rcv_detail_code,remaining_amt, payrec, mode_code,coinsurance_code,class_cd,it_remarks) values</v>
      </c>
      <c r="G105" s="19" t="str">
        <f t="shared" si="6"/>
        <v>('21Feb250007','070000174833','43740',(select max(to_number(i.premium_rcv_detail_code))+1
from ins_premium_det i),'43740','43740','02', '11000003','00','Request by Mr.Saqib Saleem 24-Feb-2025');</v>
      </c>
      <c r="H105" s="20" t="str">
        <f t="shared" si="7"/>
        <v>insert into ins_premium_det (premium_rcv_code,assorted_code, rec_amount,premium_rcv_detail_code,remaining_amt, payrec, mode_code,coinsurance_code,class_cd,it_remarks) values('21Feb250007','070000174833','43740',(select max(to_number(i.premium_rcv_detail_code))+1
from ins_premium_det i),'43740','43740','02', '11000003','00','Request by Mr.Saqib Saleem 24-Feb-2025');</v>
      </c>
    </row>
    <row r="106" spans="1:8" ht="105" x14ac:dyDescent="0.25">
      <c r="A106" s="2" t="s">
        <v>847</v>
      </c>
      <c r="B106" s="16" t="str">
        <f>VLOOKUP(A106,Sheet3!B:C,2,0)</f>
        <v>070000174837</v>
      </c>
      <c r="C106" s="2">
        <v>83628</v>
      </c>
      <c r="D106" s="17">
        <f t="shared" si="5"/>
        <v>83628</v>
      </c>
      <c r="E106" s="22" t="s">
        <v>1048</v>
      </c>
      <c r="F106" s="18" t="str">
        <f t="shared" si="4"/>
        <v>insert into ins_premium_det (premium_rcv_code,assorted_code, rec_amount,premium_rcv_detail_code,remaining_amt, payrec, mode_code,coinsurance_code,class_cd,it_remarks) values</v>
      </c>
      <c r="G106" s="19" t="str">
        <f t="shared" si="6"/>
        <v>('21Feb250007','070000174837','83628',(select max(to_number(i.premium_rcv_detail_code))+1
from ins_premium_det i),'83628','83628','02', '11000003','00','Request by Mr.Saqib Saleem 24-Feb-2025');</v>
      </c>
      <c r="H106" s="20" t="str">
        <f t="shared" si="7"/>
        <v>insert into ins_premium_det (premium_rcv_code,assorted_code, rec_amount,premium_rcv_detail_code,remaining_amt, payrec, mode_code,coinsurance_code,class_cd,it_remarks) values('21Feb250007','070000174837','83628',(select max(to_number(i.premium_rcv_detail_code))+1
from ins_premium_det i),'83628','83628','02', '11000003','00','Request by Mr.Saqib Saleem 24-Feb-2025');</v>
      </c>
    </row>
    <row r="107" spans="1:8" ht="105" x14ac:dyDescent="0.25">
      <c r="A107" s="2" t="s">
        <v>848</v>
      </c>
      <c r="B107" s="16" t="str">
        <f>VLOOKUP(A107,Sheet3!B:C,2,0)</f>
        <v>070000174834</v>
      </c>
      <c r="C107" s="2">
        <v>23705</v>
      </c>
      <c r="D107" s="17">
        <f t="shared" si="5"/>
        <v>23705</v>
      </c>
      <c r="E107" s="22" t="s">
        <v>1048</v>
      </c>
      <c r="F107" s="18" t="str">
        <f t="shared" si="4"/>
        <v>insert into ins_premium_det (premium_rcv_code,assorted_code, rec_amount,premium_rcv_detail_code,remaining_amt, payrec, mode_code,coinsurance_code,class_cd,it_remarks) values</v>
      </c>
      <c r="G107" s="19" t="str">
        <f t="shared" si="6"/>
        <v>('21Feb250007','070000174834','23705',(select max(to_number(i.premium_rcv_detail_code))+1
from ins_premium_det i),'23705','23705','02', '11000003','00','Request by Mr.Saqib Saleem 24-Feb-2025');</v>
      </c>
      <c r="H107" s="20" t="str">
        <f t="shared" si="7"/>
        <v>insert into ins_premium_det (premium_rcv_code,assorted_code, rec_amount,premium_rcv_detail_code,remaining_amt, payrec, mode_code,coinsurance_code,class_cd,it_remarks) values('21Feb250007','070000174834','23705',(select max(to_number(i.premium_rcv_detail_code))+1
from ins_premium_det i),'23705','23705','02', '11000003','00','Request by Mr.Saqib Saleem 24-Feb-2025');</v>
      </c>
    </row>
    <row r="108" spans="1:8" ht="105" x14ac:dyDescent="0.25">
      <c r="A108" s="2" t="s">
        <v>849</v>
      </c>
      <c r="B108" s="16" t="str">
        <f>VLOOKUP(A108,Sheet3!B:C,2,0)</f>
        <v>070000174841</v>
      </c>
      <c r="C108" s="2">
        <v>21056</v>
      </c>
      <c r="D108" s="17">
        <f t="shared" si="5"/>
        <v>21056</v>
      </c>
      <c r="E108" s="22" t="s">
        <v>1048</v>
      </c>
      <c r="F108" s="18" t="str">
        <f t="shared" si="4"/>
        <v>insert into ins_premium_det (premium_rcv_code,assorted_code, rec_amount,premium_rcv_detail_code,remaining_amt, payrec, mode_code,coinsurance_code,class_cd,it_remarks) values</v>
      </c>
      <c r="G108" s="19" t="str">
        <f t="shared" si="6"/>
        <v>('21Feb250007','070000174841','21056',(select max(to_number(i.premium_rcv_detail_code))+1
from ins_premium_det i),'21056','21056','02', '11000003','00','Request by Mr.Saqib Saleem 24-Feb-2025');</v>
      </c>
      <c r="H108" s="20" t="str">
        <f t="shared" si="7"/>
        <v>insert into ins_premium_det (premium_rcv_code,assorted_code, rec_amount,premium_rcv_detail_code,remaining_amt, payrec, mode_code,coinsurance_code,class_cd,it_remarks) values('21Feb250007','070000174841','21056',(select max(to_number(i.premium_rcv_detail_code))+1
from ins_premium_det i),'21056','21056','02', '11000003','00','Request by Mr.Saqib Saleem 24-Feb-2025');</v>
      </c>
    </row>
    <row r="109" spans="1:8" ht="105" x14ac:dyDescent="0.25">
      <c r="A109" s="2" t="s">
        <v>850</v>
      </c>
      <c r="B109" s="16" t="str">
        <f>VLOOKUP(A109,Sheet3!B:C,2,0)</f>
        <v>070000174836</v>
      </c>
      <c r="C109" s="2">
        <v>23705</v>
      </c>
      <c r="D109" s="17">
        <f t="shared" si="5"/>
        <v>23705</v>
      </c>
      <c r="E109" s="22" t="s">
        <v>1048</v>
      </c>
      <c r="F109" s="18" t="str">
        <f t="shared" si="4"/>
        <v>insert into ins_premium_det (premium_rcv_code,assorted_code, rec_amount,premium_rcv_detail_code,remaining_amt, payrec, mode_code,coinsurance_code,class_cd,it_remarks) values</v>
      </c>
      <c r="G109" s="19" t="str">
        <f t="shared" si="6"/>
        <v>('21Feb250007','070000174836','23705',(select max(to_number(i.premium_rcv_detail_code))+1
from ins_premium_det i),'23705','23705','02', '11000003','00','Request by Mr.Saqib Saleem 24-Feb-2025');</v>
      </c>
      <c r="H109" s="20" t="str">
        <f t="shared" si="7"/>
        <v>insert into ins_premium_det (premium_rcv_code,assorted_code, rec_amount,premium_rcv_detail_code,remaining_amt, payrec, mode_code,coinsurance_code,class_cd,it_remarks) values('21Feb250007','070000174836','23705',(select max(to_number(i.premium_rcv_detail_code))+1
from ins_premium_det i),'23705','23705','02', '11000003','00','Request by Mr.Saqib Saleem 24-Feb-2025');</v>
      </c>
    </row>
    <row r="110" spans="1:8" ht="105" x14ac:dyDescent="0.25">
      <c r="A110" s="2" t="s">
        <v>851</v>
      </c>
      <c r="B110" s="16" t="str">
        <f>VLOOKUP(A110,Sheet3!B:C,2,0)</f>
        <v>070000174840</v>
      </c>
      <c r="C110" s="2">
        <v>54541</v>
      </c>
      <c r="D110" s="17">
        <f t="shared" si="5"/>
        <v>54541</v>
      </c>
      <c r="E110" s="22" t="s">
        <v>1048</v>
      </c>
      <c r="F110" s="18" t="str">
        <f t="shared" si="4"/>
        <v>insert into ins_premium_det (premium_rcv_code,assorted_code, rec_amount,premium_rcv_detail_code,remaining_amt, payrec, mode_code,coinsurance_code,class_cd,it_remarks) values</v>
      </c>
      <c r="G110" s="19" t="str">
        <f t="shared" si="6"/>
        <v>('21Feb250007','070000174840','54541',(select max(to_number(i.premium_rcv_detail_code))+1
from ins_premium_det i),'54541','54541','02', '11000003','00','Request by Mr.Saqib Saleem 24-Feb-2025');</v>
      </c>
      <c r="H110" s="20" t="str">
        <f t="shared" si="7"/>
        <v>insert into ins_premium_det (premium_rcv_code,assorted_code, rec_amount,premium_rcv_detail_code,remaining_amt, payrec, mode_code,coinsurance_code,class_cd,it_remarks) values('21Feb250007','070000174840','54541',(select max(to_number(i.premium_rcv_detail_code))+1
from ins_premium_det i),'54541','54541','02', '11000003','00','Request by Mr.Saqib Saleem 24-Feb-2025');</v>
      </c>
    </row>
    <row r="111" spans="1:8" ht="105" x14ac:dyDescent="0.25">
      <c r="A111" s="2" t="s">
        <v>852</v>
      </c>
      <c r="B111" s="16" t="str">
        <f>VLOOKUP(A111,Sheet3!B:C,2,0)</f>
        <v>070000174835</v>
      </c>
      <c r="C111" s="2">
        <v>43740</v>
      </c>
      <c r="D111" s="17">
        <f t="shared" si="5"/>
        <v>43740</v>
      </c>
      <c r="E111" s="22" t="s">
        <v>1048</v>
      </c>
      <c r="F111" s="18" t="str">
        <f t="shared" si="4"/>
        <v>insert into ins_premium_det (premium_rcv_code,assorted_code, rec_amount,premium_rcv_detail_code,remaining_amt, payrec, mode_code,coinsurance_code,class_cd,it_remarks) values</v>
      </c>
      <c r="G111" s="19" t="str">
        <f t="shared" si="6"/>
        <v>('21Feb250007','070000174835','43740',(select max(to_number(i.premium_rcv_detail_code))+1
from ins_premium_det i),'43740','43740','02', '11000003','00','Request by Mr.Saqib Saleem 24-Feb-2025');</v>
      </c>
      <c r="H111" s="20" t="str">
        <f t="shared" si="7"/>
        <v>insert into ins_premium_det (premium_rcv_code,assorted_code, rec_amount,premium_rcv_detail_code,remaining_amt, payrec, mode_code,coinsurance_code,class_cd,it_remarks) values('21Feb250007','070000174835','43740',(select max(to_number(i.premium_rcv_detail_code))+1
from ins_premium_det i),'43740','43740','02', '11000003','00','Request by Mr.Saqib Saleem 24-Feb-2025');</v>
      </c>
    </row>
    <row r="112" spans="1:8" ht="105" x14ac:dyDescent="0.25">
      <c r="A112" s="2" t="s">
        <v>853</v>
      </c>
      <c r="B112" s="16" t="str">
        <f>VLOOKUP(A112,Sheet3!B:C,2,0)</f>
        <v>070000174842</v>
      </c>
      <c r="C112" s="2">
        <v>34044</v>
      </c>
      <c r="D112" s="17">
        <f t="shared" si="5"/>
        <v>34044</v>
      </c>
      <c r="E112" s="22" t="s">
        <v>1048</v>
      </c>
      <c r="F112" s="18" t="str">
        <f t="shared" si="4"/>
        <v>insert into ins_premium_det (premium_rcv_code,assorted_code, rec_amount,premium_rcv_detail_code,remaining_amt, payrec, mode_code,coinsurance_code,class_cd,it_remarks) values</v>
      </c>
      <c r="G112" s="19" t="str">
        <f t="shared" si="6"/>
        <v>('21Feb250007','070000174842','34044',(select max(to_number(i.premium_rcv_detail_code))+1
from ins_premium_det i),'34044','34044','02', '11000003','00','Request by Mr.Saqib Saleem 24-Feb-2025');</v>
      </c>
      <c r="H112" s="20" t="str">
        <f t="shared" si="7"/>
        <v>insert into ins_premium_det (premium_rcv_code,assorted_code, rec_amount,premium_rcv_detail_code,remaining_amt, payrec, mode_code,coinsurance_code,class_cd,it_remarks) values('21Feb250007','070000174842','34044',(select max(to_number(i.premium_rcv_detail_code))+1
from ins_premium_det i),'34044','34044','02', '11000003','00','Request by Mr.Saqib Saleem 24-Feb-2025');</v>
      </c>
    </row>
    <row r="113" spans="1:8" ht="105" x14ac:dyDescent="0.25">
      <c r="A113" s="2" t="s">
        <v>854</v>
      </c>
      <c r="B113" s="16" t="str">
        <f>VLOOKUP(A113,Sheet3!B:C,2,0)</f>
        <v>070000174844</v>
      </c>
      <c r="C113" s="2">
        <v>36742</v>
      </c>
      <c r="D113" s="17">
        <f t="shared" si="5"/>
        <v>36742</v>
      </c>
      <c r="E113" s="22" t="s">
        <v>1048</v>
      </c>
      <c r="F113" s="18" t="str">
        <f t="shared" si="4"/>
        <v>insert into ins_premium_det (premium_rcv_code,assorted_code, rec_amount,premium_rcv_detail_code,remaining_amt, payrec, mode_code,coinsurance_code,class_cd,it_remarks) values</v>
      </c>
      <c r="G113" s="19" t="str">
        <f t="shared" si="6"/>
        <v>('21Feb250007','070000174844','36742',(select max(to_number(i.premium_rcv_detail_code))+1
from ins_premium_det i),'36742','36742','02', '11000003','00','Request by Mr.Saqib Saleem 24-Feb-2025');</v>
      </c>
      <c r="H113" s="20" t="str">
        <f t="shared" si="7"/>
        <v>insert into ins_premium_det (premium_rcv_code,assorted_code, rec_amount,premium_rcv_detail_code,remaining_amt, payrec, mode_code,coinsurance_code,class_cd,it_remarks) values('21Feb250007','070000174844','36742',(select max(to_number(i.premium_rcv_detail_code))+1
from ins_premium_det i),'36742','36742','02', '11000003','00','Request by Mr.Saqib Saleem 24-Feb-2025');</v>
      </c>
    </row>
    <row r="114" spans="1:8" ht="105" x14ac:dyDescent="0.25">
      <c r="A114" s="2" t="s">
        <v>855</v>
      </c>
      <c r="B114" s="16" t="str">
        <f>VLOOKUP(A114,Sheet3!B:C,2,0)</f>
        <v>070000174885</v>
      </c>
      <c r="C114" s="2">
        <v>75600</v>
      </c>
      <c r="D114" s="17">
        <f t="shared" si="5"/>
        <v>75600</v>
      </c>
      <c r="E114" s="22" t="s">
        <v>1048</v>
      </c>
      <c r="F114" s="18" t="str">
        <f t="shared" si="4"/>
        <v>insert into ins_premium_det (premium_rcv_code,assorted_code, rec_amount,premium_rcv_detail_code,remaining_amt, payrec, mode_code,coinsurance_code,class_cd,it_remarks) values</v>
      </c>
      <c r="G114" s="19" t="str">
        <f t="shared" si="6"/>
        <v>('21Feb250007','070000174885','75600',(select max(to_number(i.premium_rcv_detail_code))+1
from ins_premium_det i),'75600','75600','02', '11000003','00','Request by Mr.Saqib Saleem 24-Feb-2025');</v>
      </c>
      <c r="H114" s="20" t="str">
        <f t="shared" si="7"/>
        <v>insert into ins_premium_det (premium_rcv_code,assorted_code, rec_amount,premium_rcv_detail_code,remaining_amt, payrec, mode_code,coinsurance_code,class_cd,it_remarks) values('21Feb250007','070000174885','75600',(select max(to_number(i.premium_rcv_detail_code))+1
from ins_premium_det i),'75600','75600','02', '11000003','00','Request by Mr.Saqib Saleem 24-Feb-2025');</v>
      </c>
    </row>
    <row r="115" spans="1:8" ht="105" x14ac:dyDescent="0.25">
      <c r="A115" s="2" t="s">
        <v>856</v>
      </c>
      <c r="B115" s="16" t="str">
        <f>VLOOKUP(A115,Sheet3!B:C,2,0)</f>
        <v>070000174887</v>
      </c>
      <c r="C115" s="2">
        <v>28311</v>
      </c>
      <c r="D115" s="17">
        <f t="shared" si="5"/>
        <v>28311</v>
      </c>
      <c r="E115" s="22" t="s">
        <v>1048</v>
      </c>
      <c r="F115" s="18" t="str">
        <f t="shared" si="4"/>
        <v>insert into ins_premium_det (premium_rcv_code,assorted_code, rec_amount,premium_rcv_detail_code,remaining_amt, payrec, mode_code,coinsurance_code,class_cd,it_remarks) values</v>
      </c>
      <c r="G115" s="19" t="str">
        <f t="shared" si="6"/>
        <v>('21Feb250007','070000174887','28311',(select max(to_number(i.premium_rcv_detail_code))+1
from ins_premium_det i),'28311','28311','02', '11000003','00','Request by Mr.Saqib Saleem 24-Feb-2025');</v>
      </c>
      <c r="H115" s="20" t="str">
        <f t="shared" si="7"/>
        <v>insert into ins_premium_det (premium_rcv_code,assorted_code, rec_amount,premium_rcv_detail_code,remaining_amt, payrec, mode_code,coinsurance_code,class_cd,it_remarks) values('21Feb250007','070000174887','28311',(select max(to_number(i.premium_rcv_detail_code))+1
from ins_premium_det i),'28311','28311','02', '11000003','00','Request by Mr.Saqib Saleem 24-Feb-2025');</v>
      </c>
    </row>
    <row r="116" spans="1:8" ht="105" x14ac:dyDescent="0.25">
      <c r="A116" s="2" t="s">
        <v>857</v>
      </c>
      <c r="B116" s="16" t="str">
        <f>VLOOKUP(A116,Sheet3!B:C,2,0)</f>
        <v>070000174893</v>
      </c>
      <c r="C116" s="2">
        <v>32072</v>
      </c>
      <c r="D116" s="17">
        <f t="shared" si="5"/>
        <v>32072</v>
      </c>
      <c r="E116" s="22" t="s">
        <v>1048</v>
      </c>
      <c r="F116" s="18" t="str">
        <f t="shared" si="4"/>
        <v>insert into ins_premium_det (premium_rcv_code,assorted_code, rec_amount,premium_rcv_detail_code,remaining_amt, payrec, mode_code,coinsurance_code,class_cd,it_remarks) values</v>
      </c>
      <c r="G116" s="19" t="str">
        <f t="shared" si="6"/>
        <v>('21Feb250007','070000174893','32072',(select max(to_number(i.premium_rcv_detail_code))+1
from ins_premium_det i),'32072','32072','02', '11000003','00','Request by Mr.Saqib Saleem 24-Feb-2025');</v>
      </c>
      <c r="H116" s="20" t="str">
        <f t="shared" si="7"/>
        <v>insert into ins_premium_det (premium_rcv_code,assorted_code, rec_amount,premium_rcv_detail_code,remaining_amt, payrec, mode_code,coinsurance_code,class_cd,it_remarks) values('21Feb250007','070000174893','32072',(select max(to_number(i.premium_rcv_detail_code))+1
from ins_premium_det i),'32072','32072','02', '11000003','00','Request by Mr.Saqib Saleem 24-Feb-2025');</v>
      </c>
    </row>
    <row r="117" spans="1:8" ht="105" x14ac:dyDescent="0.25">
      <c r="A117" s="2" t="s">
        <v>858</v>
      </c>
      <c r="B117" s="16" t="str">
        <f>VLOOKUP(A117,Sheet3!B:C,2,0)</f>
        <v>070000174892</v>
      </c>
      <c r="C117" s="2">
        <v>26714</v>
      </c>
      <c r="D117" s="17">
        <f t="shared" si="5"/>
        <v>26714</v>
      </c>
      <c r="E117" s="22" t="s">
        <v>1048</v>
      </c>
      <c r="F117" s="18" t="str">
        <f t="shared" si="4"/>
        <v>insert into ins_premium_det (premium_rcv_code,assorted_code, rec_amount,premium_rcv_detail_code,remaining_amt, payrec, mode_code,coinsurance_code,class_cd,it_remarks) values</v>
      </c>
      <c r="G117" s="19" t="str">
        <f t="shared" si="6"/>
        <v>('21Feb250007','070000174892','26714',(select max(to_number(i.premium_rcv_detail_code))+1
from ins_premium_det i),'26714','26714','02', '11000003','00','Request by Mr.Saqib Saleem 24-Feb-2025');</v>
      </c>
      <c r="H117" s="20" t="str">
        <f t="shared" si="7"/>
        <v>insert into ins_premium_det (premium_rcv_code,assorted_code, rec_amount,premium_rcv_detail_code,remaining_amt, payrec, mode_code,coinsurance_code,class_cd,it_remarks) values('21Feb250007','070000174892','26714',(select max(to_number(i.premium_rcv_detail_code))+1
from ins_premium_det i),'26714','26714','02', '11000003','00','Request by Mr.Saqib Saleem 24-Feb-2025');</v>
      </c>
    </row>
    <row r="118" spans="1:8" ht="105" x14ac:dyDescent="0.25">
      <c r="A118" s="2" t="s">
        <v>859</v>
      </c>
      <c r="B118" s="16" t="str">
        <f>VLOOKUP(A118,Sheet3!B:C,2,0)</f>
        <v>070000174980</v>
      </c>
      <c r="C118" s="2">
        <v>49815</v>
      </c>
      <c r="D118" s="17">
        <f t="shared" si="5"/>
        <v>49815</v>
      </c>
      <c r="E118" s="22" t="s">
        <v>1048</v>
      </c>
      <c r="F118" s="18" t="str">
        <f t="shared" si="4"/>
        <v>insert into ins_premium_det (premium_rcv_code,assorted_code, rec_amount,premium_rcv_detail_code,remaining_amt, payrec, mode_code,coinsurance_code,class_cd,it_remarks) values</v>
      </c>
      <c r="G118" s="19" t="str">
        <f t="shared" si="6"/>
        <v>('21Feb250007','070000174980','49815',(select max(to_number(i.premium_rcv_detail_code))+1
from ins_premium_det i),'49815','49815','02', '11000003','00','Request by Mr.Saqib Saleem 24-Feb-2025');</v>
      </c>
      <c r="H118" s="20" t="str">
        <f t="shared" si="7"/>
        <v>insert into ins_premium_det (premium_rcv_code,assorted_code, rec_amount,premium_rcv_detail_code,remaining_amt, payrec, mode_code,coinsurance_code,class_cd,it_remarks) values('21Feb250007','070000174980','49815',(select max(to_number(i.premium_rcv_detail_code))+1
from ins_premium_det i),'49815','49815','02', '11000003','00','Request by Mr.Saqib Saleem 24-Feb-2025');</v>
      </c>
    </row>
    <row r="119" spans="1:8" ht="105" x14ac:dyDescent="0.25">
      <c r="A119" s="2" t="s">
        <v>860</v>
      </c>
      <c r="B119" s="16" t="str">
        <f>VLOOKUP(A119,Sheet3!B:C,2,0)</f>
        <v>070000174978</v>
      </c>
      <c r="C119" s="2">
        <v>34044</v>
      </c>
      <c r="D119" s="17">
        <f t="shared" si="5"/>
        <v>34044</v>
      </c>
      <c r="E119" s="22" t="s">
        <v>1048</v>
      </c>
      <c r="F119" s="18" t="str">
        <f t="shared" si="4"/>
        <v>insert into ins_premium_det (premium_rcv_code,assorted_code, rec_amount,premium_rcv_detail_code,remaining_amt, payrec, mode_code,coinsurance_code,class_cd,it_remarks) values</v>
      </c>
      <c r="G119" s="19" t="str">
        <f t="shared" si="6"/>
        <v>('21Feb250007','070000174978','34044',(select max(to_number(i.premium_rcv_detail_code))+1
from ins_premium_det i),'34044','34044','02', '11000003','00','Request by Mr.Saqib Saleem 24-Feb-2025');</v>
      </c>
      <c r="H119" s="20" t="str">
        <f t="shared" si="7"/>
        <v>insert into ins_premium_det (premium_rcv_code,assorted_code, rec_amount,premium_rcv_detail_code,remaining_amt, payrec, mode_code,coinsurance_code,class_cd,it_remarks) values('21Feb250007','070000174978','34044',(select max(to_number(i.premium_rcv_detail_code))+1
from ins_premium_det i),'34044','34044','02', '11000003','00','Request by Mr.Saqib Saleem 24-Feb-2025');</v>
      </c>
    </row>
    <row r="120" spans="1:8" ht="105" x14ac:dyDescent="0.25">
      <c r="A120" s="2" t="s">
        <v>861</v>
      </c>
      <c r="B120" s="16" t="str">
        <f>VLOOKUP(A120,Sheet3!B:C,2,0)</f>
        <v>070000174886</v>
      </c>
      <c r="C120" s="2">
        <v>47804</v>
      </c>
      <c r="D120" s="17">
        <f t="shared" si="5"/>
        <v>47804</v>
      </c>
      <c r="E120" s="22" t="s">
        <v>1048</v>
      </c>
      <c r="F120" s="18" t="str">
        <f t="shared" si="4"/>
        <v>insert into ins_premium_det (premium_rcv_code,assorted_code, rec_amount,premium_rcv_detail_code,remaining_amt, payrec, mode_code,coinsurance_code,class_cd,it_remarks) values</v>
      </c>
      <c r="G120" s="19" t="str">
        <f t="shared" si="6"/>
        <v>('21Feb250007','070000174886','47804',(select max(to_number(i.premium_rcv_detail_code))+1
from ins_premium_det i),'47804','47804','02', '11000003','00','Request by Mr.Saqib Saleem 24-Feb-2025');</v>
      </c>
      <c r="H120" s="20" t="str">
        <f t="shared" si="7"/>
        <v>insert into ins_premium_det (premium_rcv_code,assorted_code, rec_amount,premium_rcv_detail_code,remaining_amt, payrec, mode_code,coinsurance_code,class_cd,it_remarks) values('21Feb250007','070000174886','47804',(select max(to_number(i.premium_rcv_detail_code))+1
from ins_premium_det i),'47804','47804','02', '11000003','00','Request by Mr.Saqib Saleem 24-Feb-2025');</v>
      </c>
    </row>
    <row r="121" spans="1:8" ht="105" x14ac:dyDescent="0.25">
      <c r="A121" s="2" t="s">
        <v>862</v>
      </c>
      <c r="B121" s="16" t="str">
        <f>VLOOKUP(A121,Sheet3!B:C,2,0)</f>
        <v>070000174890</v>
      </c>
      <c r="C121" s="2">
        <v>48191</v>
      </c>
      <c r="D121" s="17">
        <f t="shared" si="5"/>
        <v>48191</v>
      </c>
      <c r="E121" s="22" t="s">
        <v>1048</v>
      </c>
      <c r="F121" s="18" t="str">
        <f t="shared" si="4"/>
        <v>insert into ins_premium_det (premium_rcv_code,assorted_code, rec_amount,premium_rcv_detail_code,remaining_amt, payrec, mode_code,coinsurance_code,class_cd,it_remarks) values</v>
      </c>
      <c r="G121" s="19" t="str">
        <f t="shared" si="6"/>
        <v>('21Feb250007','070000174890','48191',(select max(to_number(i.premium_rcv_detail_code))+1
from ins_premium_det i),'48191','48191','02', '11000003','00','Request by Mr.Saqib Saleem 24-Feb-2025');</v>
      </c>
      <c r="H121" s="20" t="str">
        <f t="shared" si="7"/>
        <v>insert into ins_premium_det (premium_rcv_code,assorted_code, rec_amount,premium_rcv_detail_code,remaining_amt, payrec, mode_code,coinsurance_code,class_cd,it_remarks) values('21Feb250007','070000174890','48191',(select max(to_number(i.premium_rcv_detail_code))+1
from ins_premium_det i),'48191','48191','02', '11000003','00','Request by Mr.Saqib Saleem 24-Feb-2025');</v>
      </c>
    </row>
    <row r="122" spans="1:8" ht="105" x14ac:dyDescent="0.25">
      <c r="A122" s="2" t="s">
        <v>863</v>
      </c>
      <c r="B122" s="16" t="str">
        <f>VLOOKUP(A122,Sheet3!B:C,2,0)</f>
        <v>070000174963</v>
      </c>
      <c r="C122" s="2">
        <v>26564</v>
      </c>
      <c r="D122" s="17">
        <f t="shared" si="5"/>
        <v>26564</v>
      </c>
      <c r="E122" s="22" t="s">
        <v>1048</v>
      </c>
      <c r="F122" s="18" t="str">
        <f t="shared" si="4"/>
        <v>insert into ins_premium_det (premium_rcv_code,assorted_code, rec_amount,premium_rcv_detail_code,remaining_amt, payrec, mode_code,coinsurance_code,class_cd,it_remarks) values</v>
      </c>
      <c r="G122" s="19" t="str">
        <f t="shared" si="6"/>
        <v>('21Feb250007','070000174963','26564',(select max(to_number(i.premium_rcv_detail_code))+1
from ins_premium_det i),'26564','26564','02', '11000003','00','Request by Mr.Saqib Saleem 24-Feb-2025');</v>
      </c>
      <c r="H122" s="20" t="str">
        <f t="shared" si="7"/>
        <v>insert into ins_premium_det (premium_rcv_code,assorted_code, rec_amount,premium_rcv_detail_code,remaining_amt, payrec, mode_code,coinsurance_code,class_cd,it_remarks) values('21Feb250007','070000174963','26564',(select max(to_number(i.premium_rcv_detail_code))+1
from ins_premium_det i),'26564','26564','02', '11000003','00','Request by Mr.Saqib Saleem 24-Feb-2025');</v>
      </c>
    </row>
    <row r="123" spans="1:8" ht="105" x14ac:dyDescent="0.25">
      <c r="A123" s="2" t="s">
        <v>864</v>
      </c>
      <c r="B123" s="16" t="str">
        <f>VLOOKUP(A123,Sheet3!B:C,2,0)</f>
        <v>070000174965</v>
      </c>
      <c r="C123" s="2">
        <v>44101</v>
      </c>
      <c r="D123" s="17">
        <f t="shared" si="5"/>
        <v>44101</v>
      </c>
      <c r="E123" s="22" t="s">
        <v>1048</v>
      </c>
      <c r="F123" s="18" t="str">
        <f t="shared" si="4"/>
        <v>insert into ins_premium_det (premium_rcv_code,assorted_code, rec_amount,premium_rcv_detail_code,remaining_amt, payrec, mode_code,coinsurance_code,class_cd,it_remarks) values</v>
      </c>
      <c r="G123" s="19" t="str">
        <f t="shared" si="6"/>
        <v>('21Feb250007','070000174965','44101',(select max(to_number(i.premium_rcv_detail_code))+1
from ins_premium_det i),'44101','44101','02', '11000003','00','Request by Mr.Saqib Saleem 24-Feb-2025');</v>
      </c>
      <c r="H123" s="20" t="str">
        <f t="shared" si="7"/>
        <v>insert into ins_premium_det (premium_rcv_code,assorted_code, rec_amount,premium_rcv_detail_code,remaining_amt, payrec, mode_code,coinsurance_code,class_cd,it_remarks) values('21Feb250007','070000174965','44101',(select max(to_number(i.premium_rcv_detail_code))+1
from ins_premium_det i),'44101','44101','02', '11000003','00','Request by Mr.Saqib Saleem 24-Feb-2025');</v>
      </c>
    </row>
    <row r="124" spans="1:8" ht="105" x14ac:dyDescent="0.25">
      <c r="A124" s="2" t="s">
        <v>865</v>
      </c>
      <c r="B124" s="16" t="str">
        <f>VLOOKUP(A124,Sheet3!B:C,2,0)</f>
        <v>070000174967</v>
      </c>
      <c r="C124" s="2">
        <v>28311</v>
      </c>
      <c r="D124" s="17">
        <f t="shared" si="5"/>
        <v>28311</v>
      </c>
      <c r="E124" s="22" t="s">
        <v>1048</v>
      </c>
      <c r="F124" s="18" t="str">
        <f t="shared" si="4"/>
        <v>insert into ins_premium_det (premium_rcv_code,assorted_code, rec_amount,premium_rcv_detail_code,remaining_amt, payrec, mode_code,coinsurance_code,class_cd,it_remarks) values</v>
      </c>
      <c r="G124" s="19" t="str">
        <f t="shared" si="6"/>
        <v>('21Feb250007','070000174967','28311',(select max(to_number(i.premium_rcv_detail_code))+1
from ins_premium_det i),'28311','28311','02', '11000003','00','Request by Mr.Saqib Saleem 24-Feb-2025');</v>
      </c>
      <c r="H124" s="20" t="str">
        <f t="shared" si="7"/>
        <v>insert into ins_premium_det (premium_rcv_code,assorted_code, rec_amount,premium_rcv_detail_code,remaining_amt, payrec, mode_code,coinsurance_code,class_cd,it_remarks) values('21Feb250007','070000174967','28311',(select max(to_number(i.premium_rcv_detail_code))+1
from ins_premium_det i),'28311','28311','02', '11000003','00','Request by Mr.Saqib Saleem 24-Feb-2025');</v>
      </c>
    </row>
    <row r="125" spans="1:8" ht="105" x14ac:dyDescent="0.25">
      <c r="A125" s="2" t="s">
        <v>866</v>
      </c>
      <c r="B125" s="16" t="str">
        <f>VLOOKUP(A125,Sheet3!B:C,2,0)</f>
        <v>070000174959</v>
      </c>
      <c r="C125" s="2">
        <v>29979</v>
      </c>
      <c r="D125" s="17">
        <f t="shared" si="5"/>
        <v>29979</v>
      </c>
      <c r="E125" s="22" t="s">
        <v>1048</v>
      </c>
      <c r="F125" s="18" t="str">
        <f t="shared" si="4"/>
        <v>insert into ins_premium_det (premium_rcv_code,assorted_code, rec_amount,premium_rcv_detail_code,remaining_amt, payrec, mode_code,coinsurance_code,class_cd,it_remarks) values</v>
      </c>
      <c r="G125" s="19" t="str">
        <f t="shared" si="6"/>
        <v>('21Feb250007','070000174959','29979',(select max(to_number(i.premium_rcv_detail_code))+1
from ins_premium_det i),'29979','29979','02', '11000003','00','Request by Mr.Saqib Saleem 24-Feb-2025');</v>
      </c>
      <c r="H125" s="20" t="str">
        <f t="shared" si="7"/>
        <v>insert into ins_premium_det (premium_rcv_code,assorted_code, rec_amount,premium_rcv_detail_code,remaining_amt, payrec, mode_code,coinsurance_code,class_cd,it_remarks) values('21Feb250007','070000174959','29979',(select max(to_number(i.premium_rcv_detail_code))+1
from ins_premium_det i),'29979','29979','02', '11000003','00','Request by Mr.Saqib Saleem 24-Feb-2025');</v>
      </c>
    </row>
    <row r="126" spans="1:8" ht="105" x14ac:dyDescent="0.25">
      <c r="A126" s="2" t="s">
        <v>867</v>
      </c>
      <c r="B126" s="21" t="s">
        <v>1046</v>
      </c>
      <c r="C126" s="2">
        <v>23705</v>
      </c>
      <c r="D126" s="17">
        <f t="shared" si="5"/>
        <v>23705</v>
      </c>
      <c r="E126" s="22" t="s">
        <v>1048</v>
      </c>
      <c r="F126" s="18" t="str">
        <f t="shared" si="4"/>
        <v>insert into ins_premium_det (premium_rcv_code,assorted_code, rec_amount,premium_rcv_detail_code,remaining_amt, payrec, mode_code,coinsurance_code,class_cd,it_remarks) values</v>
      </c>
      <c r="G126" s="19" t="str">
        <f t="shared" si="6"/>
        <v>('21Feb250007','040000196130','23705',(select max(to_number(i.premium_rcv_detail_code))+1
from ins_premium_det i),'23705','23705','02', '11000003','00','Request by Mr.Saqib Saleem 24-Feb-2025');</v>
      </c>
      <c r="H126" s="20" t="str">
        <f t="shared" si="7"/>
        <v>insert into ins_premium_det (premium_rcv_code,assorted_code, rec_amount,premium_rcv_detail_code,remaining_amt, payrec, mode_code,coinsurance_code,class_cd,it_remarks) values('21Feb250007','040000196130','23705',(select max(to_number(i.premium_rcv_detail_code))+1
from ins_premium_det i),'23705','23705','02', '11000003','00','Request by Mr.Saqib Saleem 24-Feb-2025');</v>
      </c>
    </row>
    <row r="127" spans="1:8" ht="105" x14ac:dyDescent="0.25">
      <c r="A127" s="2" t="s">
        <v>868</v>
      </c>
      <c r="B127" s="16" t="str">
        <f>VLOOKUP(A127,Sheet3!B:C,2,0)</f>
        <v>070000174971</v>
      </c>
      <c r="C127" s="2">
        <v>45684</v>
      </c>
      <c r="D127" s="17">
        <f t="shared" si="5"/>
        <v>45684</v>
      </c>
      <c r="E127" s="22" t="s">
        <v>1048</v>
      </c>
      <c r="F127" s="18" t="str">
        <f t="shared" si="4"/>
        <v>insert into ins_premium_det (premium_rcv_code,assorted_code, rec_amount,premium_rcv_detail_code,remaining_amt, payrec, mode_code,coinsurance_code,class_cd,it_remarks) values</v>
      </c>
      <c r="G127" s="19" t="str">
        <f t="shared" si="6"/>
        <v>('21Feb250007','070000174971','45684',(select max(to_number(i.premium_rcv_detail_code))+1
from ins_premium_det i),'45684','45684','02', '11000003','00','Request by Mr.Saqib Saleem 24-Feb-2025');</v>
      </c>
      <c r="H127" s="20" t="str">
        <f t="shared" si="7"/>
        <v>insert into ins_premium_det (premium_rcv_code,assorted_code, rec_amount,premium_rcv_detail_code,remaining_amt, payrec, mode_code,coinsurance_code,class_cd,it_remarks) values('21Feb250007','070000174971','45684',(select max(to_number(i.premium_rcv_detail_code))+1
from ins_premium_det i),'45684','45684','02', '11000003','00','Request by Mr.Saqib Saleem 24-Feb-2025');</v>
      </c>
    </row>
    <row r="128" spans="1:8" ht="105" x14ac:dyDescent="0.25">
      <c r="A128" s="2" t="s">
        <v>869</v>
      </c>
      <c r="B128" s="16" t="str">
        <f>VLOOKUP(A128,Sheet3!B:C,2,0)</f>
        <v>070000174968</v>
      </c>
      <c r="C128" s="2">
        <v>57456</v>
      </c>
      <c r="D128" s="17">
        <f t="shared" si="5"/>
        <v>57456</v>
      </c>
      <c r="E128" s="22" t="s">
        <v>1048</v>
      </c>
      <c r="F128" s="18" t="str">
        <f t="shared" si="4"/>
        <v>insert into ins_premium_det (premium_rcv_code,assorted_code, rec_amount,premium_rcv_detail_code,remaining_amt, payrec, mode_code,coinsurance_code,class_cd,it_remarks) values</v>
      </c>
      <c r="G128" s="19" t="str">
        <f t="shared" si="6"/>
        <v>('21Feb250007','070000174968','57456',(select max(to_number(i.premium_rcv_detail_code))+1
from ins_premium_det i),'57456','57456','02', '11000003','00','Request by Mr.Saqib Saleem 24-Feb-2025');</v>
      </c>
      <c r="H128" s="20" t="str">
        <f t="shared" si="7"/>
        <v>insert into ins_premium_det (premium_rcv_code,assorted_code, rec_amount,premium_rcv_detail_code,remaining_amt, payrec, mode_code,coinsurance_code,class_cd,it_remarks) values('21Feb250007','070000174968','57456',(select max(to_number(i.premium_rcv_detail_code))+1
from ins_premium_det i),'57456','57456','02', '11000003','00','Request by Mr.Saqib Saleem 24-Feb-2025');</v>
      </c>
    </row>
    <row r="129" spans="1:8" ht="105" x14ac:dyDescent="0.25">
      <c r="A129" s="2" t="s">
        <v>870</v>
      </c>
      <c r="B129" s="16" t="str">
        <f>VLOOKUP(A129,Sheet3!B:C,2,0)</f>
        <v>070000174969</v>
      </c>
      <c r="C129" s="2">
        <v>85415</v>
      </c>
      <c r="D129" s="17">
        <f t="shared" si="5"/>
        <v>85415</v>
      </c>
      <c r="E129" s="22" t="s">
        <v>1048</v>
      </c>
      <c r="F129" s="18" t="str">
        <f t="shared" si="4"/>
        <v>insert into ins_premium_det (premium_rcv_code,assorted_code, rec_amount,premium_rcv_detail_code,remaining_amt, payrec, mode_code,coinsurance_code,class_cd,it_remarks) values</v>
      </c>
      <c r="G129" s="19" t="str">
        <f t="shared" si="6"/>
        <v>('21Feb250007','070000174969','85415',(select max(to_number(i.premium_rcv_detail_code))+1
from ins_premium_det i),'85415','85415','02', '11000003','00','Request by Mr.Saqib Saleem 24-Feb-2025');</v>
      </c>
      <c r="H129" s="20" t="str">
        <f t="shared" si="7"/>
        <v>insert into ins_premium_det (premium_rcv_code,assorted_code, rec_amount,premium_rcv_detail_code,remaining_amt, payrec, mode_code,coinsurance_code,class_cd,it_remarks) values('21Feb250007','070000174969','85415',(select max(to_number(i.premium_rcv_detail_code))+1
from ins_premium_det i),'85415','85415','02', '11000003','00','Request by Mr.Saqib Saleem 24-Feb-2025');</v>
      </c>
    </row>
    <row r="130" spans="1:8" ht="105" x14ac:dyDescent="0.25">
      <c r="A130" s="2" t="s">
        <v>871</v>
      </c>
      <c r="B130" s="16" t="str">
        <f>VLOOKUP(A130,Sheet3!B:C,2,0)</f>
        <v>070000174970</v>
      </c>
      <c r="C130" s="2">
        <v>66960</v>
      </c>
      <c r="D130" s="17">
        <f t="shared" si="5"/>
        <v>66960</v>
      </c>
      <c r="E130" s="22" t="s">
        <v>1048</v>
      </c>
      <c r="F130" s="18" t="str">
        <f t="shared" ref="F130:F134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19" t="str">
        <f t="shared" si="6"/>
        <v>('21Feb250007','070000174970','66960',(select max(to_number(i.premium_rcv_detail_code))+1
from ins_premium_det i),'66960','66960','02', '11000003','00','Request by Mr.Saqib Saleem 24-Feb-2025');</v>
      </c>
      <c r="H130" s="20" t="str">
        <f t="shared" si="7"/>
        <v>insert into ins_premium_det (premium_rcv_code,assorted_code, rec_amount,premium_rcv_detail_code,remaining_amt, payrec, mode_code,coinsurance_code,class_cd,it_remarks) values('21Feb250007','070000174970','66960',(select max(to_number(i.premium_rcv_detail_code))+1
from ins_premium_det i),'66960','66960','02', '11000003','00','Request by Mr.Saqib Saleem 24-Feb-2025');</v>
      </c>
    </row>
    <row r="131" spans="1:8" ht="105" x14ac:dyDescent="0.25">
      <c r="A131" s="2" t="s">
        <v>872</v>
      </c>
      <c r="B131" s="16" t="str">
        <f>VLOOKUP(A131,Sheet3!B:C,2,0)</f>
        <v>070000174960</v>
      </c>
      <c r="C131" s="2">
        <v>31838</v>
      </c>
      <c r="D131" s="17">
        <f t="shared" ref="D131:D134" si="9">ROUND(C131,0)</f>
        <v>31838</v>
      </c>
      <c r="E131" s="22" t="s">
        <v>1048</v>
      </c>
      <c r="F131" s="18" t="str">
        <f t="shared" si="8"/>
        <v>insert into ins_premium_det (premium_rcv_code,assorted_code, rec_amount,premium_rcv_detail_code,remaining_amt, payrec, mode_code,coinsurance_code,class_cd,it_remarks) values</v>
      </c>
      <c r="G131" s="19" t="str">
        <f t="shared" ref="G131:G134" si="10">"('"&amp;E131&amp;"','"&amp;B131&amp;"','"&amp;D131&amp;"',(select max(to_number(i.premium_rcv_detail_code))+1
from ins_premium_det i),'"&amp;D131&amp;"','"&amp;D131&amp;"','02', '11000003','00','Request by Mr.Saqib Saleem 24-Feb-2025');"</f>
        <v>('21Feb250007','070000174960','31838',(select max(to_number(i.premium_rcv_detail_code))+1
from ins_premium_det i),'31838','31838','02', '11000003','00','Request by Mr.Saqib Saleem 24-Feb-2025');</v>
      </c>
      <c r="H131" s="20" t="str">
        <f t="shared" ref="H131:H134" si="11">F131&amp;G131</f>
        <v>insert into ins_premium_det (premium_rcv_code,assorted_code, rec_amount,premium_rcv_detail_code,remaining_amt, payrec, mode_code,coinsurance_code,class_cd,it_remarks) values('21Feb250007','070000174960','31838',(select max(to_number(i.premium_rcv_detail_code))+1
from ins_premium_det i),'31838','31838','02', '11000003','00','Request by Mr.Saqib Saleem 24-Feb-2025');</v>
      </c>
    </row>
    <row r="132" spans="1:8" ht="105" x14ac:dyDescent="0.25">
      <c r="A132" s="2" t="s">
        <v>873</v>
      </c>
      <c r="B132" s="16" t="str">
        <f>VLOOKUP(A132,Sheet3!B:C,2,0)</f>
        <v>070000174962</v>
      </c>
      <c r="C132" s="2">
        <v>31580</v>
      </c>
      <c r="D132" s="17">
        <f t="shared" si="9"/>
        <v>31580</v>
      </c>
      <c r="E132" s="22" t="s">
        <v>1048</v>
      </c>
      <c r="F132" s="18" t="str">
        <f t="shared" si="8"/>
        <v>insert into ins_premium_det (premium_rcv_code,assorted_code, rec_amount,premium_rcv_detail_code,remaining_amt, payrec, mode_code,coinsurance_code,class_cd,it_remarks) values</v>
      </c>
      <c r="G132" s="19" t="str">
        <f t="shared" si="10"/>
        <v>('21Feb250007','070000174962','31580',(select max(to_number(i.premium_rcv_detail_code))+1
from ins_premium_det i),'31580','31580','02', '11000003','00','Request by Mr.Saqib Saleem 24-Feb-2025');</v>
      </c>
      <c r="H132" s="20" t="str">
        <f t="shared" si="11"/>
        <v>insert into ins_premium_det (premium_rcv_code,assorted_code, rec_amount,premium_rcv_detail_code,remaining_amt, payrec, mode_code,coinsurance_code,class_cd,it_remarks) values('21Feb250007','070000174962','31580',(select max(to_number(i.premium_rcv_detail_code))+1
from ins_premium_det i),'31580','31580','02', '11000003','00','Request by Mr.Saqib Saleem 24-Feb-2025');</v>
      </c>
    </row>
    <row r="133" spans="1:8" ht="105" x14ac:dyDescent="0.25">
      <c r="A133" s="2" t="s">
        <v>874</v>
      </c>
      <c r="B133" s="21" t="s">
        <v>1047</v>
      </c>
      <c r="C133" s="2">
        <v>31460</v>
      </c>
      <c r="D133" s="17">
        <f t="shared" si="9"/>
        <v>31460</v>
      </c>
      <c r="E133" s="22" t="s">
        <v>1048</v>
      </c>
      <c r="F133" s="18" t="str">
        <f t="shared" si="8"/>
        <v>insert into ins_premium_det (premium_rcv_code,assorted_code, rec_amount,premium_rcv_detail_code,remaining_amt, payrec, mode_code,coinsurance_code,class_cd,it_remarks) values</v>
      </c>
      <c r="G133" s="19" t="str">
        <f t="shared" si="10"/>
        <v>('21Feb250007','040000192175','31460',(select max(to_number(i.premium_rcv_detail_code))+1
from ins_premium_det i),'31460','31460','02', '11000003','00','Request by Mr.Saqib Saleem 24-Feb-2025');</v>
      </c>
      <c r="H133" s="20" t="str">
        <f t="shared" si="11"/>
        <v>insert into ins_premium_det (premium_rcv_code,assorted_code, rec_amount,premium_rcv_detail_code,remaining_amt, payrec, mode_code,coinsurance_code,class_cd,it_remarks) values('21Feb250007','040000192175','31460',(select max(to_number(i.premium_rcv_detail_code))+1
from ins_premium_det i),'31460','31460','02', '11000003','00','Request by Mr.Saqib Saleem 24-Feb-2025');</v>
      </c>
    </row>
    <row r="134" spans="1:8" ht="105" x14ac:dyDescent="0.25">
      <c r="A134" s="2" t="s">
        <v>875</v>
      </c>
      <c r="B134" s="16" t="str">
        <f>VLOOKUP(A134,Sheet3!B:C,2,0)</f>
        <v>070000174901</v>
      </c>
      <c r="C134" s="2">
        <v>23705</v>
      </c>
      <c r="D134" s="17">
        <f t="shared" si="9"/>
        <v>23705</v>
      </c>
      <c r="E134" s="22" t="s">
        <v>1048</v>
      </c>
      <c r="F134" s="18" t="str">
        <f t="shared" si="8"/>
        <v>insert into ins_premium_det (premium_rcv_code,assorted_code, rec_amount,premium_rcv_detail_code,remaining_amt, payrec, mode_code,coinsurance_code,class_cd,it_remarks) values</v>
      </c>
      <c r="G134" s="19" t="str">
        <f t="shared" si="10"/>
        <v>('21Feb250007','070000174901','23705',(select max(to_number(i.premium_rcv_detail_code))+1
from ins_premium_det i),'23705','23705','02', '11000003','00','Request by Mr.Saqib Saleem 24-Feb-2025');</v>
      </c>
      <c r="H134" s="20" t="str">
        <f t="shared" si="11"/>
        <v>insert into ins_premium_det (premium_rcv_code,assorted_code, rec_amount,premium_rcv_detail_code,remaining_amt, payrec, mode_code,coinsurance_code,class_cd,it_remarks) values('21Feb250007','070000174901','23705',(select max(to_number(i.premium_rcv_detail_code))+1
from ins_premium_det i),'23705','23705','02', '11000003','00','Request by Mr.Saqib Saleem 24-Feb-2025');</v>
      </c>
    </row>
  </sheetData>
  <conditionalFormatting sqref="A1">
    <cfRule type="duplicateValues" dxfId="4" priority="2"/>
  </conditionalFormatting>
  <conditionalFormatting sqref="B2:B134">
    <cfRule type="duplicateValues" dxfId="3" priority="3"/>
    <cfRule type="duplicateValues" dxfId="2" priority="4"/>
    <cfRule type="duplicateValues" dxfId="1" priority="5"/>
  </conditionalFormatting>
  <conditionalFormatting sqref="A2:A134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5654-DC5D-4724-BBD6-21E6F7EA2550}">
  <dimension ref="A1:C130"/>
  <sheetViews>
    <sheetView workbookViewId="0">
      <selection activeCell="B2" sqref="B2"/>
    </sheetView>
  </sheetViews>
  <sheetFormatPr defaultColWidth="7.85546875" defaultRowHeight="15" x14ac:dyDescent="0.25"/>
  <cols>
    <col min="1" max="1" width="3.140625" customWidth="1"/>
    <col min="2" max="2" width="43.28515625" bestFit="1" customWidth="1"/>
    <col min="3" max="3" width="14" customWidth="1"/>
  </cols>
  <sheetData>
    <row r="1" spans="1:3" s="13" customFormat="1" ht="12" x14ac:dyDescent="0.2">
      <c r="A1" s="13" t="s">
        <v>909</v>
      </c>
      <c r="B1" s="13" t="s">
        <v>910</v>
      </c>
      <c r="C1" s="13" t="s">
        <v>911</v>
      </c>
    </row>
    <row r="2" spans="1:3" x14ac:dyDescent="0.25">
      <c r="A2">
        <v>1</v>
      </c>
      <c r="B2" t="s">
        <v>754</v>
      </c>
      <c r="C2" t="s">
        <v>912</v>
      </c>
    </row>
    <row r="3" spans="1:3" x14ac:dyDescent="0.25">
      <c r="A3">
        <v>2</v>
      </c>
      <c r="B3" t="s">
        <v>755</v>
      </c>
      <c r="C3" t="s">
        <v>913</v>
      </c>
    </row>
    <row r="4" spans="1:3" x14ac:dyDescent="0.25">
      <c r="A4">
        <v>3</v>
      </c>
      <c r="B4" t="s">
        <v>753</v>
      </c>
      <c r="C4" t="s">
        <v>914</v>
      </c>
    </row>
    <row r="5" spans="1:3" x14ac:dyDescent="0.25">
      <c r="A5">
        <v>4</v>
      </c>
      <c r="B5" t="s">
        <v>757</v>
      </c>
      <c r="C5" t="s">
        <v>915</v>
      </c>
    </row>
    <row r="6" spans="1:3" x14ac:dyDescent="0.25">
      <c r="A6">
        <v>5</v>
      </c>
      <c r="B6" t="s">
        <v>756</v>
      </c>
      <c r="C6" t="s">
        <v>916</v>
      </c>
    </row>
    <row r="7" spans="1:3" x14ac:dyDescent="0.25">
      <c r="A7">
        <v>6</v>
      </c>
      <c r="B7" t="s">
        <v>781</v>
      </c>
      <c r="C7" t="s">
        <v>917</v>
      </c>
    </row>
    <row r="8" spans="1:3" x14ac:dyDescent="0.25">
      <c r="A8">
        <v>7</v>
      </c>
      <c r="B8" t="s">
        <v>870</v>
      </c>
      <c r="C8" t="s">
        <v>918</v>
      </c>
    </row>
    <row r="9" spans="1:3" x14ac:dyDescent="0.25">
      <c r="A9">
        <v>8</v>
      </c>
      <c r="B9" t="s">
        <v>871</v>
      </c>
      <c r="C9" t="s">
        <v>919</v>
      </c>
    </row>
    <row r="10" spans="1:3" x14ac:dyDescent="0.25">
      <c r="A10">
        <v>9</v>
      </c>
      <c r="B10" t="s">
        <v>841</v>
      </c>
      <c r="C10" t="s">
        <v>920</v>
      </c>
    </row>
    <row r="11" spans="1:3" x14ac:dyDescent="0.25">
      <c r="A11">
        <v>10</v>
      </c>
      <c r="B11" t="s">
        <v>858</v>
      </c>
      <c r="C11" t="s">
        <v>921</v>
      </c>
    </row>
    <row r="12" spans="1:3" x14ac:dyDescent="0.25">
      <c r="A12">
        <v>11</v>
      </c>
      <c r="B12" t="s">
        <v>857</v>
      </c>
      <c r="C12" t="s">
        <v>922</v>
      </c>
    </row>
    <row r="13" spans="1:3" x14ac:dyDescent="0.25">
      <c r="A13">
        <v>12</v>
      </c>
      <c r="B13" t="s">
        <v>811</v>
      </c>
      <c r="C13" t="s">
        <v>923</v>
      </c>
    </row>
    <row r="14" spans="1:3" x14ac:dyDescent="0.25">
      <c r="A14">
        <v>13</v>
      </c>
      <c r="B14" t="s">
        <v>810</v>
      </c>
      <c r="C14" t="s">
        <v>924</v>
      </c>
    </row>
    <row r="15" spans="1:3" x14ac:dyDescent="0.25">
      <c r="A15">
        <v>14</v>
      </c>
      <c r="B15" t="s">
        <v>808</v>
      </c>
      <c r="C15" t="s">
        <v>925</v>
      </c>
    </row>
    <row r="16" spans="1:3" x14ac:dyDescent="0.25">
      <c r="A16">
        <v>15</v>
      </c>
      <c r="B16" t="s">
        <v>809</v>
      </c>
      <c r="C16" t="s">
        <v>926</v>
      </c>
    </row>
    <row r="17" spans="1:3" x14ac:dyDescent="0.25">
      <c r="A17">
        <v>16</v>
      </c>
      <c r="B17" t="s">
        <v>801</v>
      </c>
      <c r="C17" t="s">
        <v>927</v>
      </c>
    </row>
    <row r="18" spans="1:3" x14ac:dyDescent="0.25">
      <c r="A18">
        <v>17</v>
      </c>
      <c r="B18" t="s">
        <v>802</v>
      </c>
      <c r="C18" t="s">
        <v>928</v>
      </c>
    </row>
    <row r="19" spans="1:3" x14ac:dyDescent="0.25">
      <c r="A19">
        <v>18</v>
      </c>
      <c r="B19" t="s">
        <v>807</v>
      </c>
      <c r="C19" t="s">
        <v>929</v>
      </c>
    </row>
    <row r="20" spans="1:3" x14ac:dyDescent="0.25">
      <c r="A20">
        <v>19</v>
      </c>
      <c r="B20" t="s">
        <v>806</v>
      </c>
      <c r="C20" t="s">
        <v>930</v>
      </c>
    </row>
    <row r="21" spans="1:3" x14ac:dyDescent="0.25">
      <c r="A21">
        <v>20</v>
      </c>
      <c r="B21" t="s">
        <v>812</v>
      </c>
      <c r="C21" t="s">
        <v>931</v>
      </c>
    </row>
    <row r="22" spans="1:3" x14ac:dyDescent="0.25">
      <c r="A22">
        <v>21</v>
      </c>
      <c r="B22" t="s">
        <v>834</v>
      </c>
      <c r="C22" t="s">
        <v>932</v>
      </c>
    </row>
    <row r="23" spans="1:3" x14ac:dyDescent="0.25">
      <c r="A23">
        <v>22</v>
      </c>
      <c r="B23" t="s">
        <v>836</v>
      </c>
      <c r="C23" t="s">
        <v>933</v>
      </c>
    </row>
    <row r="24" spans="1:3" x14ac:dyDescent="0.25">
      <c r="A24">
        <v>23</v>
      </c>
      <c r="B24" t="s">
        <v>835</v>
      </c>
      <c r="C24" t="s">
        <v>934</v>
      </c>
    </row>
    <row r="25" spans="1:3" x14ac:dyDescent="0.25">
      <c r="A25">
        <v>24</v>
      </c>
      <c r="B25" t="s">
        <v>868</v>
      </c>
      <c r="C25" t="s">
        <v>935</v>
      </c>
    </row>
    <row r="26" spans="1:3" x14ac:dyDescent="0.25">
      <c r="A26">
        <v>25</v>
      </c>
      <c r="B26" t="s">
        <v>890</v>
      </c>
      <c r="C26" t="s">
        <v>936</v>
      </c>
    </row>
    <row r="27" spans="1:3" x14ac:dyDescent="0.25">
      <c r="A27">
        <v>26</v>
      </c>
      <c r="B27" t="s">
        <v>837</v>
      </c>
      <c r="C27" t="s">
        <v>937</v>
      </c>
    </row>
    <row r="28" spans="1:3" x14ac:dyDescent="0.25">
      <c r="A28">
        <v>27</v>
      </c>
      <c r="B28" t="s">
        <v>839</v>
      </c>
      <c r="C28" t="s">
        <v>938</v>
      </c>
    </row>
    <row r="29" spans="1:3" x14ac:dyDescent="0.25">
      <c r="A29">
        <v>28</v>
      </c>
      <c r="B29" t="s">
        <v>838</v>
      </c>
      <c r="C29" t="s">
        <v>939</v>
      </c>
    </row>
    <row r="30" spans="1:3" x14ac:dyDescent="0.25">
      <c r="A30">
        <v>29</v>
      </c>
      <c r="B30" t="s">
        <v>747</v>
      </c>
      <c r="C30" t="s">
        <v>940</v>
      </c>
    </row>
    <row r="31" spans="1:3" x14ac:dyDescent="0.25">
      <c r="A31">
        <v>30</v>
      </c>
      <c r="B31" t="s">
        <v>751</v>
      </c>
      <c r="C31" t="s">
        <v>941</v>
      </c>
    </row>
    <row r="32" spans="1:3" x14ac:dyDescent="0.25">
      <c r="A32">
        <v>31</v>
      </c>
      <c r="B32" t="s">
        <v>749</v>
      </c>
      <c r="C32" t="s">
        <v>942</v>
      </c>
    </row>
    <row r="33" spans="1:3" x14ac:dyDescent="0.25">
      <c r="A33">
        <v>32</v>
      </c>
      <c r="B33" t="s">
        <v>748</v>
      </c>
      <c r="C33" t="s">
        <v>943</v>
      </c>
    </row>
    <row r="34" spans="1:3" x14ac:dyDescent="0.25">
      <c r="A34">
        <v>33</v>
      </c>
      <c r="B34" t="s">
        <v>752</v>
      </c>
      <c r="C34" t="s">
        <v>944</v>
      </c>
    </row>
    <row r="35" spans="1:3" x14ac:dyDescent="0.25">
      <c r="A35">
        <v>34</v>
      </c>
      <c r="B35" t="s">
        <v>750</v>
      </c>
      <c r="C35" t="s">
        <v>945</v>
      </c>
    </row>
    <row r="36" spans="1:3" x14ac:dyDescent="0.25">
      <c r="A36">
        <v>35</v>
      </c>
      <c r="B36" t="s">
        <v>769</v>
      </c>
      <c r="C36" t="s">
        <v>946</v>
      </c>
    </row>
    <row r="37" spans="1:3" x14ac:dyDescent="0.25">
      <c r="A37">
        <v>36</v>
      </c>
      <c r="B37" t="s">
        <v>776</v>
      </c>
      <c r="C37" t="s">
        <v>947</v>
      </c>
    </row>
    <row r="38" spans="1:3" x14ac:dyDescent="0.25">
      <c r="A38">
        <v>37</v>
      </c>
      <c r="B38" t="s">
        <v>775</v>
      </c>
      <c r="C38" t="s">
        <v>948</v>
      </c>
    </row>
    <row r="39" spans="1:3" x14ac:dyDescent="0.25">
      <c r="A39">
        <v>38</v>
      </c>
      <c r="B39" t="s">
        <v>778</v>
      </c>
      <c r="C39" t="s">
        <v>949</v>
      </c>
    </row>
    <row r="40" spans="1:3" x14ac:dyDescent="0.25">
      <c r="A40">
        <v>39</v>
      </c>
      <c r="B40" t="s">
        <v>862</v>
      </c>
      <c r="C40" t="s">
        <v>950</v>
      </c>
    </row>
    <row r="41" spans="1:3" x14ac:dyDescent="0.25">
      <c r="A41">
        <v>40</v>
      </c>
      <c r="B41" t="s">
        <v>804</v>
      </c>
      <c r="C41" t="s">
        <v>951</v>
      </c>
    </row>
    <row r="42" spans="1:3" x14ac:dyDescent="0.25">
      <c r="A42">
        <v>41</v>
      </c>
      <c r="B42" t="s">
        <v>803</v>
      </c>
      <c r="C42" t="s">
        <v>952</v>
      </c>
    </row>
    <row r="43" spans="1:3" x14ac:dyDescent="0.25">
      <c r="A43">
        <v>42</v>
      </c>
      <c r="B43" t="s">
        <v>842</v>
      </c>
      <c r="C43" t="s">
        <v>953</v>
      </c>
    </row>
    <row r="44" spans="1:3" x14ac:dyDescent="0.25">
      <c r="A44">
        <v>43</v>
      </c>
      <c r="B44" t="s">
        <v>794</v>
      </c>
      <c r="C44" t="s">
        <v>954</v>
      </c>
    </row>
    <row r="45" spans="1:3" x14ac:dyDescent="0.25">
      <c r="A45">
        <v>44</v>
      </c>
      <c r="B45" t="s">
        <v>793</v>
      </c>
      <c r="C45" t="s">
        <v>955</v>
      </c>
    </row>
    <row r="46" spans="1:3" x14ac:dyDescent="0.25">
      <c r="A46">
        <v>45</v>
      </c>
      <c r="B46" t="s">
        <v>791</v>
      </c>
      <c r="C46" t="s">
        <v>956</v>
      </c>
    </row>
    <row r="47" spans="1:3" x14ac:dyDescent="0.25">
      <c r="A47">
        <v>46</v>
      </c>
      <c r="B47" t="s">
        <v>792</v>
      </c>
      <c r="C47" t="s">
        <v>957</v>
      </c>
    </row>
    <row r="48" spans="1:3" x14ac:dyDescent="0.25">
      <c r="A48">
        <v>47</v>
      </c>
      <c r="B48" t="s">
        <v>790</v>
      </c>
      <c r="C48" t="s">
        <v>958</v>
      </c>
    </row>
    <row r="49" spans="1:3" x14ac:dyDescent="0.25">
      <c r="A49">
        <v>48</v>
      </c>
      <c r="B49" t="s">
        <v>788</v>
      </c>
      <c r="C49" t="s">
        <v>959</v>
      </c>
    </row>
    <row r="50" spans="1:3" x14ac:dyDescent="0.25">
      <c r="A50">
        <v>49</v>
      </c>
      <c r="B50" t="s">
        <v>784</v>
      </c>
      <c r="C50" t="s">
        <v>960</v>
      </c>
    </row>
    <row r="51" spans="1:3" x14ac:dyDescent="0.25">
      <c r="A51">
        <v>50</v>
      </c>
      <c r="B51" t="s">
        <v>785</v>
      </c>
      <c r="C51" t="s">
        <v>961</v>
      </c>
    </row>
    <row r="52" spans="1:3" x14ac:dyDescent="0.25">
      <c r="A52">
        <v>51</v>
      </c>
      <c r="B52" t="s">
        <v>786</v>
      </c>
      <c r="C52" t="s">
        <v>962</v>
      </c>
    </row>
    <row r="53" spans="1:3" x14ac:dyDescent="0.25">
      <c r="A53">
        <v>52</v>
      </c>
      <c r="B53" t="s">
        <v>787</v>
      </c>
      <c r="C53" t="s">
        <v>963</v>
      </c>
    </row>
    <row r="54" spans="1:3" x14ac:dyDescent="0.25">
      <c r="A54">
        <v>53</v>
      </c>
      <c r="B54" t="s">
        <v>875</v>
      </c>
      <c r="C54" t="s">
        <v>964</v>
      </c>
    </row>
    <row r="55" spans="1:3" x14ac:dyDescent="0.25">
      <c r="A55">
        <v>54</v>
      </c>
      <c r="B55" t="s">
        <v>817</v>
      </c>
      <c r="C55" t="s">
        <v>965</v>
      </c>
    </row>
    <row r="56" spans="1:3" x14ac:dyDescent="0.25">
      <c r="A56">
        <v>55</v>
      </c>
      <c r="B56" t="s">
        <v>819</v>
      </c>
      <c r="C56" t="s">
        <v>966</v>
      </c>
    </row>
    <row r="57" spans="1:3" x14ac:dyDescent="0.25">
      <c r="A57">
        <v>56</v>
      </c>
      <c r="B57" t="s">
        <v>818</v>
      </c>
      <c r="C57" t="s">
        <v>967</v>
      </c>
    </row>
    <row r="58" spans="1:3" x14ac:dyDescent="0.25">
      <c r="A58">
        <v>57</v>
      </c>
      <c r="B58" t="s">
        <v>765</v>
      </c>
      <c r="C58" t="s">
        <v>968</v>
      </c>
    </row>
    <row r="59" spans="1:3" x14ac:dyDescent="0.25">
      <c r="A59">
        <v>58</v>
      </c>
      <c r="B59" t="s">
        <v>767</v>
      </c>
      <c r="C59" t="s">
        <v>969</v>
      </c>
    </row>
    <row r="60" spans="1:3" x14ac:dyDescent="0.25">
      <c r="A60">
        <v>59</v>
      </c>
      <c r="B60" t="s">
        <v>766</v>
      </c>
      <c r="C60" t="s">
        <v>970</v>
      </c>
    </row>
    <row r="61" spans="1:3" x14ac:dyDescent="0.25">
      <c r="A61">
        <v>60</v>
      </c>
      <c r="B61" t="s">
        <v>798</v>
      </c>
      <c r="C61" t="s">
        <v>971</v>
      </c>
    </row>
    <row r="62" spans="1:3" x14ac:dyDescent="0.25">
      <c r="A62">
        <v>61</v>
      </c>
      <c r="B62" t="s">
        <v>795</v>
      </c>
      <c r="C62" t="s">
        <v>972</v>
      </c>
    </row>
    <row r="63" spans="1:3" x14ac:dyDescent="0.25">
      <c r="A63">
        <v>62</v>
      </c>
      <c r="B63" t="s">
        <v>889</v>
      </c>
      <c r="C63" t="s">
        <v>973</v>
      </c>
    </row>
    <row r="64" spans="1:3" x14ac:dyDescent="0.25">
      <c r="A64">
        <v>63</v>
      </c>
      <c r="B64" t="s">
        <v>797</v>
      </c>
      <c r="C64" t="s">
        <v>974</v>
      </c>
    </row>
    <row r="65" spans="1:3" x14ac:dyDescent="0.25">
      <c r="A65">
        <v>64</v>
      </c>
      <c r="B65" t="s">
        <v>814</v>
      </c>
      <c r="C65" t="s">
        <v>975</v>
      </c>
    </row>
    <row r="66" spans="1:3" x14ac:dyDescent="0.25">
      <c r="A66">
        <v>65</v>
      </c>
      <c r="B66" t="s">
        <v>815</v>
      </c>
      <c r="C66" t="s">
        <v>976</v>
      </c>
    </row>
    <row r="67" spans="1:3" x14ac:dyDescent="0.25">
      <c r="A67">
        <v>66</v>
      </c>
      <c r="B67" t="s">
        <v>816</v>
      </c>
      <c r="C67" t="s">
        <v>977</v>
      </c>
    </row>
    <row r="68" spans="1:3" x14ac:dyDescent="0.25">
      <c r="A68">
        <v>67</v>
      </c>
      <c r="B68" t="s">
        <v>840</v>
      </c>
      <c r="C68" t="s">
        <v>978</v>
      </c>
    </row>
    <row r="69" spans="1:3" x14ac:dyDescent="0.25">
      <c r="A69">
        <v>68</v>
      </c>
      <c r="B69" t="s">
        <v>796</v>
      </c>
      <c r="C69" t="s">
        <v>979</v>
      </c>
    </row>
    <row r="70" spans="1:3" x14ac:dyDescent="0.25">
      <c r="A70">
        <v>69</v>
      </c>
      <c r="B70" t="s">
        <v>762</v>
      </c>
      <c r="C70" t="s">
        <v>980</v>
      </c>
    </row>
    <row r="71" spans="1:3" x14ac:dyDescent="0.25">
      <c r="A71">
        <v>70</v>
      </c>
      <c r="B71" t="s">
        <v>758</v>
      </c>
      <c r="C71" t="s">
        <v>981</v>
      </c>
    </row>
    <row r="72" spans="1:3" x14ac:dyDescent="0.25">
      <c r="A72">
        <v>71</v>
      </c>
      <c r="B72" t="s">
        <v>759</v>
      </c>
      <c r="C72" t="s">
        <v>982</v>
      </c>
    </row>
    <row r="73" spans="1:3" x14ac:dyDescent="0.25">
      <c r="A73">
        <v>72</v>
      </c>
      <c r="B73" t="s">
        <v>760</v>
      </c>
      <c r="C73" t="s">
        <v>983</v>
      </c>
    </row>
    <row r="74" spans="1:3" x14ac:dyDescent="0.25">
      <c r="A74">
        <v>73</v>
      </c>
      <c r="B74" t="s">
        <v>763</v>
      </c>
      <c r="C74" t="s">
        <v>984</v>
      </c>
    </row>
    <row r="75" spans="1:3" x14ac:dyDescent="0.25">
      <c r="A75">
        <v>74</v>
      </c>
      <c r="B75" t="s">
        <v>761</v>
      </c>
      <c r="C75" t="s">
        <v>985</v>
      </c>
    </row>
    <row r="76" spans="1:3" x14ac:dyDescent="0.25">
      <c r="A76">
        <v>75</v>
      </c>
      <c r="B76" t="s">
        <v>848</v>
      </c>
      <c r="C76" t="s">
        <v>986</v>
      </c>
    </row>
    <row r="77" spans="1:3" x14ac:dyDescent="0.25">
      <c r="A77">
        <v>76</v>
      </c>
      <c r="B77" t="s">
        <v>849</v>
      </c>
      <c r="C77" t="s">
        <v>987</v>
      </c>
    </row>
    <row r="78" spans="1:3" x14ac:dyDescent="0.25">
      <c r="A78">
        <v>77</v>
      </c>
      <c r="B78" t="s">
        <v>846</v>
      </c>
      <c r="C78" t="s">
        <v>988</v>
      </c>
    </row>
    <row r="79" spans="1:3" x14ac:dyDescent="0.25">
      <c r="A79">
        <v>78</v>
      </c>
      <c r="B79" t="s">
        <v>852</v>
      </c>
      <c r="C79" t="s">
        <v>989</v>
      </c>
    </row>
    <row r="80" spans="1:3" x14ac:dyDescent="0.25">
      <c r="A80">
        <v>79</v>
      </c>
      <c r="B80" t="s">
        <v>850</v>
      </c>
      <c r="C80" t="s">
        <v>990</v>
      </c>
    </row>
    <row r="81" spans="1:3" x14ac:dyDescent="0.25">
      <c r="A81">
        <v>80</v>
      </c>
      <c r="B81" t="s">
        <v>847</v>
      </c>
      <c r="C81" t="s">
        <v>991</v>
      </c>
    </row>
    <row r="82" spans="1:3" x14ac:dyDescent="0.25">
      <c r="A82">
        <v>81</v>
      </c>
      <c r="B82" t="s">
        <v>851</v>
      </c>
      <c r="C82" t="s">
        <v>992</v>
      </c>
    </row>
    <row r="83" spans="1:3" x14ac:dyDescent="0.25">
      <c r="A83">
        <v>82</v>
      </c>
      <c r="B83" t="s">
        <v>853</v>
      </c>
      <c r="C83" t="s">
        <v>993</v>
      </c>
    </row>
    <row r="84" spans="1:3" x14ac:dyDescent="0.25">
      <c r="A84">
        <v>83</v>
      </c>
      <c r="B84" t="s">
        <v>845</v>
      </c>
      <c r="C84" t="s">
        <v>994</v>
      </c>
    </row>
    <row r="85" spans="1:3" x14ac:dyDescent="0.25">
      <c r="A85">
        <v>84</v>
      </c>
      <c r="B85" t="s">
        <v>854</v>
      </c>
      <c r="C85" t="s">
        <v>995</v>
      </c>
    </row>
    <row r="86" spans="1:3" x14ac:dyDescent="0.25">
      <c r="A86">
        <v>85</v>
      </c>
      <c r="B86" t="s">
        <v>777</v>
      </c>
      <c r="C86" t="s">
        <v>996</v>
      </c>
    </row>
    <row r="87" spans="1:3" x14ac:dyDescent="0.25">
      <c r="A87">
        <v>86</v>
      </c>
      <c r="B87" t="s">
        <v>782</v>
      </c>
      <c r="C87" t="s">
        <v>997</v>
      </c>
    </row>
    <row r="88" spans="1:3" x14ac:dyDescent="0.25">
      <c r="A88">
        <v>87</v>
      </c>
      <c r="B88" t="s">
        <v>783</v>
      </c>
      <c r="C88" t="s">
        <v>998</v>
      </c>
    </row>
    <row r="89" spans="1:3" x14ac:dyDescent="0.25">
      <c r="A89">
        <v>88</v>
      </c>
      <c r="B89" t="s">
        <v>772</v>
      </c>
      <c r="C89" t="s">
        <v>999</v>
      </c>
    </row>
    <row r="90" spans="1:3" x14ac:dyDescent="0.25">
      <c r="A90">
        <v>89</v>
      </c>
      <c r="B90" t="s">
        <v>773</v>
      </c>
      <c r="C90" t="s">
        <v>1000</v>
      </c>
    </row>
    <row r="91" spans="1:3" x14ac:dyDescent="0.25">
      <c r="A91">
        <v>90</v>
      </c>
      <c r="B91" t="s">
        <v>887</v>
      </c>
      <c r="C91" t="s">
        <v>1001</v>
      </c>
    </row>
    <row r="92" spans="1:3" x14ac:dyDescent="0.25">
      <c r="A92">
        <v>91</v>
      </c>
      <c r="B92" t="s">
        <v>800</v>
      </c>
      <c r="C92" t="s">
        <v>1002</v>
      </c>
    </row>
    <row r="93" spans="1:3" x14ac:dyDescent="0.25">
      <c r="A93">
        <v>92</v>
      </c>
      <c r="B93" t="s">
        <v>799</v>
      </c>
      <c r="C93" t="s">
        <v>1003</v>
      </c>
    </row>
    <row r="94" spans="1:3" x14ac:dyDescent="0.25">
      <c r="A94">
        <v>93</v>
      </c>
      <c r="B94" t="s">
        <v>832</v>
      </c>
      <c r="C94" t="s">
        <v>1004</v>
      </c>
    </row>
    <row r="95" spans="1:3" x14ac:dyDescent="0.25">
      <c r="A95">
        <v>94</v>
      </c>
      <c r="B95" t="s">
        <v>833</v>
      </c>
      <c r="C95" t="s">
        <v>1005</v>
      </c>
    </row>
    <row r="96" spans="1:3" x14ac:dyDescent="0.25">
      <c r="A96">
        <v>95</v>
      </c>
      <c r="B96" t="s">
        <v>831</v>
      </c>
      <c r="C96" t="s">
        <v>1006</v>
      </c>
    </row>
    <row r="97" spans="1:3" x14ac:dyDescent="0.25">
      <c r="A97">
        <v>96</v>
      </c>
      <c r="B97" t="s">
        <v>869</v>
      </c>
      <c r="C97" t="s">
        <v>1007</v>
      </c>
    </row>
    <row r="98" spans="1:3" x14ac:dyDescent="0.25">
      <c r="A98">
        <v>97</v>
      </c>
      <c r="B98" t="s">
        <v>855</v>
      </c>
      <c r="C98" t="s">
        <v>1008</v>
      </c>
    </row>
    <row r="99" spans="1:3" x14ac:dyDescent="0.25">
      <c r="A99">
        <v>98</v>
      </c>
      <c r="B99" t="s">
        <v>861</v>
      </c>
      <c r="C99" t="s">
        <v>1009</v>
      </c>
    </row>
    <row r="100" spans="1:3" x14ac:dyDescent="0.25">
      <c r="A100">
        <v>99</v>
      </c>
      <c r="B100" t="s">
        <v>805</v>
      </c>
      <c r="C100" t="s">
        <v>1010</v>
      </c>
    </row>
    <row r="101" spans="1:3" x14ac:dyDescent="0.25">
      <c r="A101">
        <v>100</v>
      </c>
      <c r="B101" t="s">
        <v>843</v>
      </c>
      <c r="C101" t="s">
        <v>1011</v>
      </c>
    </row>
    <row r="102" spans="1:3" x14ac:dyDescent="0.25">
      <c r="A102">
        <v>101</v>
      </c>
      <c r="B102" t="s">
        <v>888</v>
      </c>
      <c r="C102" t="s">
        <v>1012</v>
      </c>
    </row>
    <row r="103" spans="1:3" x14ac:dyDescent="0.25">
      <c r="A103">
        <v>102</v>
      </c>
      <c r="B103" t="s">
        <v>866</v>
      </c>
      <c r="C103" t="s">
        <v>1013</v>
      </c>
    </row>
    <row r="104" spans="1:3" x14ac:dyDescent="0.25">
      <c r="A104">
        <v>103</v>
      </c>
      <c r="B104" t="s">
        <v>872</v>
      </c>
      <c r="C104" t="s">
        <v>1014</v>
      </c>
    </row>
    <row r="105" spans="1:3" x14ac:dyDescent="0.25">
      <c r="A105">
        <v>104</v>
      </c>
      <c r="B105" t="s">
        <v>873</v>
      </c>
      <c r="C105" t="s">
        <v>1015</v>
      </c>
    </row>
    <row r="106" spans="1:3" x14ac:dyDescent="0.25">
      <c r="A106">
        <v>105</v>
      </c>
      <c r="B106" t="s">
        <v>863</v>
      </c>
      <c r="C106" t="s">
        <v>1016</v>
      </c>
    </row>
    <row r="107" spans="1:3" x14ac:dyDescent="0.25">
      <c r="A107">
        <v>106</v>
      </c>
      <c r="B107" t="s">
        <v>864</v>
      </c>
      <c r="C107" t="s">
        <v>1017</v>
      </c>
    </row>
    <row r="108" spans="1:3" x14ac:dyDescent="0.25">
      <c r="A108">
        <v>107</v>
      </c>
      <c r="B108" t="s">
        <v>865</v>
      </c>
      <c r="C108" t="s">
        <v>1018</v>
      </c>
    </row>
    <row r="109" spans="1:3" x14ac:dyDescent="0.25">
      <c r="A109">
        <v>108</v>
      </c>
      <c r="B109" t="s">
        <v>779</v>
      </c>
      <c r="C109" t="s">
        <v>1019</v>
      </c>
    </row>
    <row r="110" spans="1:3" x14ac:dyDescent="0.25">
      <c r="A110">
        <v>109</v>
      </c>
      <c r="B110" t="s">
        <v>764</v>
      </c>
      <c r="C110" t="s">
        <v>1020</v>
      </c>
    </row>
    <row r="111" spans="1:3" x14ac:dyDescent="0.25">
      <c r="A111">
        <v>110</v>
      </c>
      <c r="B111" t="s">
        <v>768</v>
      </c>
      <c r="C111" t="s">
        <v>1021</v>
      </c>
    </row>
    <row r="112" spans="1:3" x14ac:dyDescent="0.25">
      <c r="A112">
        <v>111</v>
      </c>
      <c r="B112" t="s">
        <v>789</v>
      </c>
      <c r="C112" t="s">
        <v>1022</v>
      </c>
    </row>
    <row r="113" spans="1:3" x14ac:dyDescent="0.25">
      <c r="A113">
        <v>112</v>
      </c>
      <c r="B113" t="s">
        <v>771</v>
      </c>
      <c r="C113" t="s">
        <v>1023</v>
      </c>
    </row>
    <row r="114" spans="1:3" x14ac:dyDescent="0.25">
      <c r="A114">
        <v>113</v>
      </c>
      <c r="B114" t="s">
        <v>770</v>
      </c>
      <c r="C114" t="s">
        <v>1024</v>
      </c>
    </row>
    <row r="115" spans="1:3" x14ac:dyDescent="0.25">
      <c r="A115">
        <v>114</v>
      </c>
      <c r="B115" t="s">
        <v>828</v>
      </c>
      <c r="C115" t="s">
        <v>1025</v>
      </c>
    </row>
    <row r="116" spans="1:3" x14ac:dyDescent="0.25">
      <c r="A116">
        <v>115</v>
      </c>
      <c r="B116" t="s">
        <v>827</v>
      </c>
      <c r="C116" t="s">
        <v>1026</v>
      </c>
    </row>
    <row r="117" spans="1:3" x14ac:dyDescent="0.25">
      <c r="A117">
        <v>116</v>
      </c>
      <c r="B117" t="s">
        <v>821</v>
      </c>
      <c r="C117" t="s">
        <v>1027</v>
      </c>
    </row>
    <row r="118" spans="1:3" x14ac:dyDescent="0.25">
      <c r="A118">
        <v>117</v>
      </c>
      <c r="B118" t="s">
        <v>825</v>
      </c>
      <c r="C118" t="s">
        <v>1028</v>
      </c>
    </row>
    <row r="119" spans="1:3" x14ac:dyDescent="0.25">
      <c r="A119">
        <v>118</v>
      </c>
      <c r="B119" t="s">
        <v>822</v>
      </c>
      <c r="C119" t="s">
        <v>1029</v>
      </c>
    </row>
    <row r="120" spans="1:3" x14ac:dyDescent="0.25">
      <c r="A120">
        <v>119</v>
      </c>
      <c r="B120" t="s">
        <v>826</v>
      </c>
      <c r="C120" t="s">
        <v>1030</v>
      </c>
    </row>
    <row r="121" spans="1:3" x14ac:dyDescent="0.25">
      <c r="A121">
        <v>120</v>
      </c>
      <c r="B121" t="s">
        <v>820</v>
      </c>
      <c r="C121" t="s">
        <v>1031</v>
      </c>
    </row>
    <row r="122" spans="1:3" x14ac:dyDescent="0.25">
      <c r="A122">
        <v>121</v>
      </c>
      <c r="B122" t="s">
        <v>824</v>
      </c>
      <c r="C122" t="s">
        <v>1032</v>
      </c>
    </row>
    <row r="123" spans="1:3" x14ac:dyDescent="0.25">
      <c r="A123">
        <v>122</v>
      </c>
      <c r="B123" t="s">
        <v>823</v>
      </c>
      <c r="C123" t="s">
        <v>1033</v>
      </c>
    </row>
    <row r="124" spans="1:3" x14ac:dyDescent="0.25">
      <c r="A124">
        <v>123</v>
      </c>
      <c r="B124" t="s">
        <v>860</v>
      </c>
      <c r="C124" t="s">
        <v>1034</v>
      </c>
    </row>
    <row r="125" spans="1:3" x14ac:dyDescent="0.25">
      <c r="A125">
        <v>124</v>
      </c>
      <c r="B125" t="s">
        <v>859</v>
      </c>
      <c r="C125" t="s">
        <v>1035</v>
      </c>
    </row>
    <row r="126" spans="1:3" x14ac:dyDescent="0.25">
      <c r="A126">
        <v>125</v>
      </c>
      <c r="B126" t="s">
        <v>774</v>
      </c>
      <c r="C126" t="s">
        <v>1036</v>
      </c>
    </row>
    <row r="127" spans="1:3" x14ac:dyDescent="0.25">
      <c r="A127">
        <v>126</v>
      </c>
      <c r="B127" t="s">
        <v>829</v>
      </c>
      <c r="C127" t="s">
        <v>1037</v>
      </c>
    </row>
    <row r="128" spans="1:3" x14ac:dyDescent="0.25">
      <c r="A128">
        <v>127</v>
      </c>
      <c r="B128" t="s">
        <v>844</v>
      </c>
      <c r="C128" t="s">
        <v>1038</v>
      </c>
    </row>
    <row r="129" spans="1:3" x14ac:dyDescent="0.25">
      <c r="A129">
        <v>128</v>
      </c>
      <c r="B129" t="s">
        <v>856</v>
      </c>
      <c r="C129" t="s">
        <v>1039</v>
      </c>
    </row>
    <row r="130" spans="1:3" x14ac:dyDescent="0.25">
      <c r="A130">
        <v>129</v>
      </c>
      <c r="B130" t="s">
        <v>780</v>
      </c>
      <c r="C130" t="s">
        <v>1040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922F-D00C-44C4-A893-4982B4372E4C}">
  <dimension ref="A1:J134"/>
  <sheetViews>
    <sheetView topLeftCell="A115" workbookViewId="0">
      <selection activeCell="F142" sqref="F142"/>
    </sheetView>
  </sheetViews>
  <sheetFormatPr defaultRowHeight="15" x14ac:dyDescent="0.25"/>
  <cols>
    <col min="1" max="1" width="43.28515625" bestFit="1" customWidth="1"/>
  </cols>
  <sheetData>
    <row r="1" spans="1:10" x14ac:dyDescent="0.25">
      <c r="H1" t="s">
        <v>894</v>
      </c>
    </row>
    <row r="2" spans="1:10" x14ac:dyDescent="0.25">
      <c r="A2" s="2" t="s">
        <v>747</v>
      </c>
      <c r="B2" t="s">
        <v>891</v>
      </c>
      <c r="H2">
        <v>105699</v>
      </c>
      <c r="I2" t="s">
        <v>895</v>
      </c>
      <c r="J2" t="str">
        <f>"ia.assorted_string like '%"&amp;H2&amp;"-"&amp;I2&amp;B2&amp;"%' or"</f>
        <v>ia.assorted_string like '%105699-00001-01-2025%' or</v>
      </c>
    </row>
    <row r="3" spans="1:10" x14ac:dyDescent="0.25">
      <c r="A3" s="2" t="s">
        <v>748</v>
      </c>
      <c r="B3" t="s">
        <v>891</v>
      </c>
      <c r="H3">
        <v>105699</v>
      </c>
      <c r="I3" t="s">
        <v>896</v>
      </c>
      <c r="J3" t="str">
        <f t="shared" ref="J3:J66" si="0">"ia.assorted_string like '%"&amp;H3&amp;"-"&amp;I3&amp;B3&amp;"%' or"</f>
        <v>ia.assorted_string like '%105699-00005-01-2025%' or</v>
      </c>
    </row>
    <row r="4" spans="1:10" x14ac:dyDescent="0.25">
      <c r="A4" s="2" t="s">
        <v>749</v>
      </c>
      <c r="B4" t="s">
        <v>891</v>
      </c>
      <c r="H4">
        <v>105699</v>
      </c>
      <c r="I4" t="s">
        <v>897</v>
      </c>
      <c r="J4" t="str">
        <f t="shared" si="0"/>
        <v>ia.assorted_string like '%105699-00004-01-2025%' or</v>
      </c>
    </row>
    <row r="5" spans="1:10" x14ac:dyDescent="0.25">
      <c r="A5" s="2" t="s">
        <v>750</v>
      </c>
      <c r="B5" t="s">
        <v>891</v>
      </c>
      <c r="H5">
        <v>105699</v>
      </c>
      <c r="I5" t="s">
        <v>898</v>
      </c>
      <c r="J5" t="str">
        <f t="shared" si="0"/>
        <v>ia.assorted_string like '%105699-00007-01-2025%' or</v>
      </c>
    </row>
    <row r="6" spans="1:10" x14ac:dyDescent="0.25">
      <c r="A6" s="2" t="s">
        <v>751</v>
      </c>
      <c r="B6" t="s">
        <v>891</v>
      </c>
      <c r="H6">
        <v>105699</v>
      </c>
      <c r="I6" t="s">
        <v>899</v>
      </c>
      <c r="J6" t="str">
        <f t="shared" si="0"/>
        <v>ia.assorted_string like '%105699-00003-01-2025%' or</v>
      </c>
    </row>
    <row r="7" spans="1:10" x14ac:dyDescent="0.25">
      <c r="A7" s="2" t="s">
        <v>752</v>
      </c>
      <c r="B7" t="s">
        <v>891</v>
      </c>
      <c r="H7">
        <v>105699</v>
      </c>
      <c r="I7" t="s">
        <v>900</v>
      </c>
      <c r="J7" t="str">
        <f t="shared" si="0"/>
        <v>ia.assorted_string like '%105699-00006-01-2025%' or</v>
      </c>
    </row>
    <row r="8" spans="1:10" x14ac:dyDescent="0.25">
      <c r="A8" s="2" t="s">
        <v>753</v>
      </c>
      <c r="B8" t="s">
        <v>891</v>
      </c>
      <c r="H8">
        <v>106617</v>
      </c>
      <c r="I8" t="s">
        <v>899</v>
      </c>
      <c r="J8" t="str">
        <f t="shared" si="0"/>
        <v>ia.assorted_string like '%106617-00003-01-2025%' or</v>
      </c>
    </row>
    <row r="9" spans="1:10" x14ac:dyDescent="0.25">
      <c r="A9" s="2" t="s">
        <v>754</v>
      </c>
      <c r="B9" t="s">
        <v>891</v>
      </c>
      <c r="H9">
        <v>106617</v>
      </c>
      <c r="I9" t="s">
        <v>895</v>
      </c>
      <c r="J9" t="str">
        <f t="shared" si="0"/>
        <v>ia.assorted_string like '%106617-00001-01-2025%' or</v>
      </c>
    </row>
    <row r="10" spans="1:10" x14ac:dyDescent="0.25">
      <c r="A10" s="2" t="s">
        <v>755</v>
      </c>
      <c r="B10" t="s">
        <v>891</v>
      </c>
      <c r="H10">
        <v>106617</v>
      </c>
      <c r="I10" t="s">
        <v>901</v>
      </c>
      <c r="J10" t="str">
        <f t="shared" si="0"/>
        <v>ia.assorted_string like '%106617-00002-01-2025%' or</v>
      </c>
    </row>
    <row r="11" spans="1:10" x14ac:dyDescent="0.25">
      <c r="A11" s="2" t="s">
        <v>756</v>
      </c>
      <c r="B11" t="s">
        <v>891</v>
      </c>
      <c r="H11">
        <v>106617</v>
      </c>
      <c r="I11" t="s">
        <v>896</v>
      </c>
      <c r="J11" t="str">
        <f t="shared" si="0"/>
        <v>ia.assorted_string like '%106617-00005-01-2025%' or</v>
      </c>
    </row>
    <row r="12" spans="1:10" x14ac:dyDescent="0.25">
      <c r="A12" s="2" t="s">
        <v>757</v>
      </c>
      <c r="B12" t="s">
        <v>891</v>
      </c>
      <c r="H12">
        <v>106617</v>
      </c>
      <c r="I12" t="s">
        <v>897</v>
      </c>
      <c r="J12" t="str">
        <f t="shared" si="0"/>
        <v>ia.assorted_string like '%106617-00004-01-2025%' or</v>
      </c>
    </row>
    <row r="13" spans="1:10" x14ac:dyDescent="0.25">
      <c r="A13" s="2" t="s">
        <v>758</v>
      </c>
      <c r="B13" t="s">
        <v>891</v>
      </c>
      <c r="H13">
        <v>106616</v>
      </c>
      <c r="I13" t="s">
        <v>901</v>
      </c>
      <c r="J13" t="str">
        <f t="shared" si="0"/>
        <v>ia.assorted_string like '%106616-00002-01-2025%' or</v>
      </c>
    </row>
    <row r="14" spans="1:10" x14ac:dyDescent="0.25">
      <c r="A14" s="2" t="s">
        <v>759</v>
      </c>
      <c r="B14" t="s">
        <v>891</v>
      </c>
      <c r="H14">
        <v>106616</v>
      </c>
      <c r="I14" t="s">
        <v>899</v>
      </c>
      <c r="J14" t="str">
        <f t="shared" si="0"/>
        <v>ia.assorted_string like '%106616-00003-01-2025%' or</v>
      </c>
    </row>
    <row r="15" spans="1:10" x14ac:dyDescent="0.25">
      <c r="A15" s="2" t="s">
        <v>760</v>
      </c>
      <c r="B15" t="s">
        <v>891</v>
      </c>
      <c r="H15">
        <v>106616</v>
      </c>
      <c r="I15" t="s">
        <v>897</v>
      </c>
      <c r="J15" t="str">
        <f t="shared" si="0"/>
        <v>ia.assorted_string like '%106616-00004-01-2025%' or</v>
      </c>
    </row>
    <row r="16" spans="1:10" x14ac:dyDescent="0.25">
      <c r="A16" s="2" t="s">
        <v>761</v>
      </c>
      <c r="B16" t="s">
        <v>891</v>
      </c>
      <c r="H16">
        <v>106616</v>
      </c>
      <c r="I16" t="s">
        <v>900</v>
      </c>
      <c r="J16" t="str">
        <f t="shared" si="0"/>
        <v>ia.assorted_string like '%106616-00006-01-2025%' or</v>
      </c>
    </row>
    <row r="17" spans="1:10" x14ac:dyDescent="0.25">
      <c r="A17" s="2" t="s">
        <v>762</v>
      </c>
      <c r="B17" t="s">
        <v>891</v>
      </c>
      <c r="H17">
        <v>106616</v>
      </c>
      <c r="I17" t="s">
        <v>895</v>
      </c>
      <c r="J17" t="str">
        <f t="shared" si="0"/>
        <v>ia.assorted_string like '%106616-00001-01-2025%' or</v>
      </c>
    </row>
    <row r="18" spans="1:10" x14ac:dyDescent="0.25">
      <c r="A18" s="2" t="s">
        <v>763</v>
      </c>
      <c r="B18" t="s">
        <v>891</v>
      </c>
      <c r="H18">
        <v>106616</v>
      </c>
      <c r="I18" t="s">
        <v>896</v>
      </c>
      <c r="J18" t="str">
        <f t="shared" si="0"/>
        <v>ia.assorted_string like '%106616-00005-01-2025%' or</v>
      </c>
    </row>
    <row r="19" spans="1:10" x14ac:dyDescent="0.25">
      <c r="A19" s="2" t="s">
        <v>764</v>
      </c>
      <c r="B19" t="s">
        <v>891</v>
      </c>
      <c r="H19">
        <v>106621</v>
      </c>
      <c r="I19" t="s">
        <v>895</v>
      </c>
      <c r="J19" t="str">
        <f t="shared" si="0"/>
        <v>ia.assorted_string like '%106621-00001-01-2025%' or</v>
      </c>
    </row>
    <row r="20" spans="1:10" x14ac:dyDescent="0.25">
      <c r="A20" s="2" t="s">
        <v>765</v>
      </c>
      <c r="B20" t="s">
        <v>891</v>
      </c>
      <c r="H20">
        <v>106619</v>
      </c>
      <c r="I20" t="s">
        <v>895</v>
      </c>
      <c r="J20" t="str">
        <f t="shared" si="0"/>
        <v>ia.assorted_string like '%106619-00001-01-2025%' or</v>
      </c>
    </row>
    <row r="21" spans="1:10" x14ac:dyDescent="0.25">
      <c r="A21" s="2" t="s">
        <v>766</v>
      </c>
      <c r="B21" t="s">
        <v>891</v>
      </c>
      <c r="H21">
        <v>106619</v>
      </c>
      <c r="I21" t="s">
        <v>899</v>
      </c>
      <c r="J21" t="str">
        <f t="shared" si="0"/>
        <v>ia.assorted_string like '%106619-00003-01-2025%' or</v>
      </c>
    </row>
    <row r="22" spans="1:10" x14ac:dyDescent="0.25">
      <c r="A22" s="2" t="s">
        <v>767</v>
      </c>
      <c r="B22" t="s">
        <v>891</v>
      </c>
      <c r="H22">
        <v>106619</v>
      </c>
      <c r="I22" t="s">
        <v>901</v>
      </c>
      <c r="J22" t="str">
        <f t="shared" si="0"/>
        <v>ia.assorted_string like '%106619-00002-01-2025%' or</v>
      </c>
    </row>
    <row r="23" spans="1:10" x14ac:dyDescent="0.25">
      <c r="A23" s="2" t="s">
        <v>768</v>
      </c>
      <c r="B23" t="s">
        <v>891</v>
      </c>
      <c r="H23">
        <v>106621</v>
      </c>
      <c r="I23" t="s">
        <v>901</v>
      </c>
      <c r="J23" t="str">
        <f t="shared" si="0"/>
        <v>ia.assorted_string like '%106621-00002-01-2025%' or</v>
      </c>
    </row>
    <row r="24" spans="1:10" x14ac:dyDescent="0.25">
      <c r="A24" s="2" t="s">
        <v>769</v>
      </c>
      <c r="B24" t="s">
        <v>891</v>
      </c>
      <c r="H24">
        <v>105699</v>
      </c>
      <c r="I24" t="s">
        <v>902</v>
      </c>
      <c r="J24" t="str">
        <f t="shared" si="0"/>
        <v>ia.assorted_string like '%105699-00009-01-2025%' or</v>
      </c>
    </row>
    <row r="25" spans="1:10" x14ac:dyDescent="0.25">
      <c r="A25" s="2" t="s">
        <v>770</v>
      </c>
      <c r="B25" t="s">
        <v>892</v>
      </c>
      <c r="H25">
        <v>104220</v>
      </c>
      <c r="I25" t="s">
        <v>903</v>
      </c>
      <c r="J25" t="str">
        <f t="shared" si="0"/>
        <v>ia.assorted_string like '%104220-00010-12-2024%' or</v>
      </c>
    </row>
    <row r="26" spans="1:10" x14ac:dyDescent="0.25">
      <c r="A26" s="2" t="s">
        <v>771</v>
      </c>
      <c r="B26" t="s">
        <v>892</v>
      </c>
      <c r="H26">
        <v>104220</v>
      </c>
      <c r="I26" t="s">
        <v>902</v>
      </c>
      <c r="J26" t="str">
        <f t="shared" si="0"/>
        <v>ia.assorted_string like '%104220-00009-12-2024%' or</v>
      </c>
    </row>
    <row r="27" spans="1:10" x14ac:dyDescent="0.25">
      <c r="A27" s="2" t="s">
        <v>772</v>
      </c>
      <c r="B27" t="s">
        <v>892</v>
      </c>
      <c r="H27">
        <v>104213</v>
      </c>
      <c r="I27" t="s">
        <v>899</v>
      </c>
      <c r="J27" t="str">
        <f t="shared" si="0"/>
        <v>ia.assorted_string like '%104213-00003-12-2024%' or</v>
      </c>
    </row>
    <row r="28" spans="1:10" x14ac:dyDescent="0.25">
      <c r="A28" s="2" t="s">
        <v>773</v>
      </c>
      <c r="B28" t="s">
        <v>892</v>
      </c>
      <c r="H28">
        <v>104213</v>
      </c>
      <c r="I28" t="s">
        <v>897</v>
      </c>
      <c r="J28" t="str">
        <f t="shared" si="0"/>
        <v>ia.assorted_string like '%104213-00004-12-2024%' or</v>
      </c>
    </row>
    <row r="29" spans="1:10" x14ac:dyDescent="0.25">
      <c r="A29" s="2" t="s">
        <v>887</v>
      </c>
      <c r="B29" t="s">
        <v>892</v>
      </c>
      <c r="H29">
        <v>104213</v>
      </c>
      <c r="I29" t="s">
        <v>896</v>
      </c>
      <c r="J29" t="str">
        <f t="shared" si="0"/>
        <v>ia.assorted_string like '%104213-00005-12-2024%' or</v>
      </c>
    </row>
    <row r="30" spans="1:10" x14ac:dyDescent="0.25">
      <c r="A30" s="2" t="s">
        <v>888</v>
      </c>
      <c r="B30" t="s">
        <v>891</v>
      </c>
      <c r="H30">
        <v>106715</v>
      </c>
      <c r="I30" t="s">
        <v>901</v>
      </c>
      <c r="J30" t="str">
        <f t="shared" si="0"/>
        <v>ia.assorted_string like '%106715-00002-01-2025%' or</v>
      </c>
    </row>
    <row r="31" spans="1:10" x14ac:dyDescent="0.25">
      <c r="A31" s="2" t="s">
        <v>774</v>
      </c>
      <c r="B31" t="s">
        <v>891</v>
      </c>
      <c r="H31">
        <v>106715</v>
      </c>
      <c r="I31" t="s">
        <v>895</v>
      </c>
      <c r="J31" t="str">
        <f t="shared" si="0"/>
        <v>ia.assorted_string like '%106715-00001-01-2025%' or</v>
      </c>
    </row>
    <row r="32" spans="1:10" x14ac:dyDescent="0.25">
      <c r="A32" s="2" t="s">
        <v>775</v>
      </c>
      <c r="B32" t="s">
        <v>892</v>
      </c>
      <c r="H32">
        <v>104273</v>
      </c>
      <c r="I32" t="s">
        <v>901</v>
      </c>
      <c r="J32" t="str">
        <f t="shared" si="0"/>
        <v>ia.assorted_string like '%104273-00002-12-2024%' or</v>
      </c>
    </row>
    <row r="33" spans="1:10" x14ac:dyDescent="0.25">
      <c r="A33" s="2" t="s">
        <v>776</v>
      </c>
      <c r="B33" t="s">
        <v>892</v>
      </c>
      <c r="H33">
        <v>104273</v>
      </c>
      <c r="I33" t="s">
        <v>895</v>
      </c>
      <c r="J33" t="str">
        <f t="shared" si="0"/>
        <v>ia.assorted_string like '%104273-00001-12-2024%' or</v>
      </c>
    </row>
    <row r="34" spans="1:10" x14ac:dyDescent="0.25">
      <c r="A34" s="2" t="s">
        <v>777</v>
      </c>
      <c r="B34" t="s">
        <v>891</v>
      </c>
      <c r="H34">
        <v>106692</v>
      </c>
      <c r="I34" t="s">
        <v>895</v>
      </c>
      <c r="J34" t="str">
        <f t="shared" si="0"/>
        <v>ia.assorted_string like '%106692-00001-01-2025%' or</v>
      </c>
    </row>
    <row r="35" spans="1:10" x14ac:dyDescent="0.25">
      <c r="A35" s="2" t="s">
        <v>778</v>
      </c>
      <c r="B35" t="s">
        <v>891</v>
      </c>
      <c r="H35">
        <v>106690</v>
      </c>
      <c r="I35" t="s">
        <v>895</v>
      </c>
      <c r="J35" t="str">
        <f t="shared" si="0"/>
        <v>ia.assorted_string like '%106690-00001-01-2025%' or</v>
      </c>
    </row>
    <row r="36" spans="1:10" x14ac:dyDescent="0.25">
      <c r="A36" s="2" t="s">
        <v>779</v>
      </c>
      <c r="B36" t="s">
        <v>892</v>
      </c>
      <c r="H36">
        <v>104307</v>
      </c>
      <c r="I36" t="s">
        <v>895</v>
      </c>
      <c r="J36" t="str">
        <f t="shared" si="0"/>
        <v>ia.assorted_string like '%104307-00001-12-2024%' or</v>
      </c>
    </row>
    <row r="37" spans="1:10" x14ac:dyDescent="0.25">
      <c r="A37" s="2" t="s">
        <v>780</v>
      </c>
      <c r="B37" t="s">
        <v>891</v>
      </c>
      <c r="H37">
        <v>106702</v>
      </c>
      <c r="I37" t="s">
        <v>901</v>
      </c>
      <c r="J37" t="str">
        <f t="shared" si="0"/>
        <v>ia.assorted_string like '%106702-00002-01-2025%' or</v>
      </c>
    </row>
    <row r="38" spans="1:10" x14ac:dyDescent="0.25">
      <c r="A38" s="2" t="s">
        <v>781</v>
      </c>
      <c r="B38" t="s">
        <v>891</v>
      </c>
      <c r="H38">
        <v>106708</v>
      </c>
      <c r="I38" t="s">
        <v>895</v>
      </c>
      <c r="J38" t="str">
        <f t="shared" si="0"/>
        <v>ia.assorted_string like '%106708-00001-01-2025%' or</v>
      </c>
    </row>
    <row r="39" spans="1:10" x14ac:dyDescent="0.25">
      <c r="A39" s="2" t="s">
        <v>782</v>
      </c>
      <c r="B39" t="s">
        <v>891</v>
      </c>
      <c r="H39">
        <v>106697</v>
      </c>
      <c r="I39" t="s">
        <v>895</v>
      </c>
      <c r="J39" t="str">
        <f t="shared" si="0"/>
        <v>ia.assorted_string like '%106697-00001-01-2025%' or</v>
      </c>
    </row>
    <row r="40" spans="1:10" x14ac:dyDescent="0.25">
      <c r="A40" s="2" t="s">
        <v>783</v>
      </c>
      <c r="B40" t="s">
        <v>891</v>
      </c>
      <c r="H40">
        <v>106697</v>
      </c>
      <c r="I40" t="s">
        <v>901</v>
      </c>
      <c r="J40" t="str">
        <f t="shared" si="0"/>
        <v>ia.assorted_string like '%106697-00002-01-2025%' or</v>
      </c>
    </row>
    <row r="41" spans="1:10" x14ac:dyDescent="0.25">
      <c r="A41" s="2" t="s">
        <v>784</v>
      </c>
      <c r="B41" t="s">
        <v>891</v>
      </c>
      <c r="H41">
        <v>106694</v>
      </c>
      <c r="I41" t="s">
        <v>901</v>
      </c>
      <c r="J41" t="str">
        <f t="shared" si="0"/>
        <v>ia.assorted_string like '%106694-00002-01-2025%' or</v>
      </c>
    </row>
    <row r="42" spans="1:10" x14ac:dyDescent="0.25">
      <c r="A42" s="2" t="s">
        <v>785</v>
      </c>
      <c r="B42" t="s">
        <v>891</v>
      </c>
      <c r="H42">
        <v>106694</v>
      </c>
      <c r="I42" t="s">
        <v>899</v>
      </c>
      <c r="J42" t="str">
        <f t="shared" si="0"/>
        <v>ia.assorted_string like '%106694-00003-01-2025%' or</v>
      </c>
    </row>
    <row r="43" spans="1:10" x14ac:dyDescent="0.25">
      <c r="A43" s="2" t="s">
        <v>786</v>
      </c>
      <c r="B43" t="s">
        <v>891</v>
      </c>
      <c r="H43">
        <v>106694</v>
      </c>
      <c r="I43" t="s">
        <v>897</v>
      </c>
      <c r="J43" t="str">
        <f t="shared" si="0"/>
        <v>ia.assorted_string like '%106694-00004-01-2025%' or</v>
      </c>
    </row>
    <row r="44" spans="1:10" x14ac:dyDescent="0.25">
      <c r="A44" s="2" t="s">
        <v>787</v>
      </c>
      <c r="B44" t="s">
        <v>891</v>
      </c>
      <c r="H44">
        <v>106694</v>
      </c>
      <c r="I44" t="s">
        <v>896</v>
      </c>
      <c r="J44" t="str">
        <f t="shared" si="0"/>
        <v>ia.assorted_string like '%106694-00005-01-2025%' or</v>
      </c>
    </row>
    <row r="45" spans="1:10" x14ac:dyDescent="0.25">
      <c r="A45" s="2" t="s">
        <v>788</v>
      </c>
      <c r="B45" t="s">
        <v>891</v>
      </c>
      <c r="H45">
        <v>106694</v>
      </c>
      <c r="I45" t="s">
        <v>895</v>
      </c>
      <c r="J45" t="str">
        <f t="shared" si="0"/>
        <v>ia.assorted_string like '%106694-00001-01-2025%' or</v>
      </c>
    </row>
    <row r="46" spans="1:10" x14ac:dyDescent="0.25">
      <c r="A46" s="2" t="s">
        <v>789</v>
      </c>
      <c r="B46" t="s">
        <v>891</v>
      </c>
      <c r="H46">
        <v>106695</v>
      </c>
      <c r="I46" t="s">
        <v>901</v>
      </c>
      <c r="J46" t="str">
        <f t="shared" si="0"/>
        <v>ia.assorted_string like '%106695-00002-01-2025%' or</v>
      </c>
    </row>
    <row r="47" spans="1:10" x14ac:dyDescent="0.25">
      <c r="A47" s="2" t="s">
        <v>790</v>
      </c>
      <c r="B47" t="s">
        <v>891</v>
      </c>
      <c r="H47">
        <v>106696</v>
      </c>
      <c r="I47" t="s">
        <v>898</v>
      </c>
      <c r="J47" t="str">
        <f t="shared" si="0"/>
        <v>ia.assorted_string like '%106696-00007-01-2025%' or</v>
      </c>
    </row>
    <row r="48" spans="1:10" x14ac:dyDescent="0.25">
      <c r="A48" s="2" t="s">
        <v>791</v>
      </c>
      <c r="B48" t="s">
        <v>891</v>
      </c>
      <c r="H48">
        <v>106696</v>
      </c>
      <c r="I48" t="s">
        <v>897</v>
      </c>
      <c r="J48" t="str">
        <f t="shared" si="0"/>
        <v>ia.assorted_string like '%106696-00004-01-2025%' or</v>
      </c>
    </row>
    <row r="49" spans="1:10" x14ac:dyDescent="0.25">
      <c r="A49" s="2" t="s">
        <v>792</v>
      </c>
      <c r="B49" t="s">
        <v>891</v>
      </c>
      <c r="H49">
        <v>106696</v>
      </c>
      <c r="I49" t="s">
        <v>896</v>
      </c>
      <c r="J49" t="str">
        <f t="shared" si="0"/>
        <v>ia.assorted_string like '%106696-00005-01-2025%' or</v>
      </c>
    </row>
    <row r="50" spans="1:10" x14ac:dyDescent="0.25">
      <c r="A50" s="2" t="s">
        <v>793</v>
      </c>
      <c r="B50" t="s">
        <v>891</v>
      </c>
      <c r="H50">
        <v>106696</v>
      </c>
      <c r="I50" t="s">
        <v>901</v>
      </c>
      <c r="J50" t="str">
        <f t="shared" si="0"/>
        <v>ia.assorted_string like '%106696-00002-01-2025%' or</v>
      </c>
    </row>
    <row r="51" spans="1:10" x14ac:dyDescent="0.25">
      <c r="A51" s="2" t="s">
        <v>794</v>
      </c>
      <c r="B51" t="s">
        <v>891</v>
      </c>
      <c r="H51">
        <v>106696</v>
      </c>
      <c r="I51" t="s">
        <v>895</v>
      </c>
      <c r="J51" t="str">
        <f t="shared" si="0"/>
        <v>ia.assorted_string like '%106696-00001-01-2025%' or</v>
      </c>
    </row>
    <row r="52" spans="1:10" x14ac:dyDescent="0.25">
      <c r="A52" s="2" t="s">
        <v>795</v>
      </c>
      <c r="B52" t="s">
        <v>892</v>
      </c>
      <c r="H52">
        <v>104233</v>
      </c>
      <c r="I52" t="s">
        <v>900</v>
      </c>
      <c r="J52" t="str">
        <f t="shared" si="0"/>
        <v>ia.assorted_string like '%104233-00006-12-2024%' or</v>
      </c>
    </row>
    <row r="53" spans="1:10" x14ac:dyDescent="0.25">
      <c r="A53" s="2" t="s">
        <v>796</v>
      </c>
      <c r="B53" t="s">
        <v>892</v>
      </c>
      <c r="H53">
        <v>104233</v>
      </c>
      <c r="I53" t="s">
        <v>903</v>
      </c>
      <c r="J53" t="str">
        <f t="shared" si="0"/>
        <v>ia.assorted_string like '%104233-00010-12-2024%' or</v>
      </c>
    </row>
    <row r="54" spans="1:10" x14ac:dyDescent="0.25">
      <c r="A54" s="2" t="s">
        <v>797</v>
      </c>
      <c r="B54" t="s">
        <v>892</v>
      </c>
      <c r="H54">
        <v>104233</v>
      </c>
      <c r="I54" t="s">
        <v>902</v>
      </c>
      <c r="J54" t="str">
        <f t="shared" si="0"/>
        <v>ia.assorted_string like '%104233-00009-12-2024%' or</v>
      </c>
    </row>
    <row r="55" spans="1:10" x14ac:dyDescent="0.25">
      <c r="A55" s="2" t="s">
        <v>889</v>
      </c>
      <c r="B55" t="s">
        <v>892</v>
      </c>
      <c r="H55">
        <v>104233</v>
      </c>
      <c r="I55" t="s">
        <v>904</v>
      </c>
      <c r="J55" t="str">
        <f t="shared" si="0"/>
        <v>ia.assorted_string like '%104233-00008-12-2024%' or</v>
      </c>
    </row>
    <row r="56" spans="1:10" x14ac:dyDescent="0.25">
      <c r="A56" s="2" t="s">
        <v>798</v>
      </c>
      <c r="B56" t="s">
        <v>892</v>
      </c>
      <c r="H56">
        <v>104233</v>
      </c>
      <c r="I56" t="s">
        <v>896</v>
      </c>
      <c r="J56" t="str">
        <f t="shared" si="0"/>
        <v>ia.assorted_string like '%104233-00005-12-2024%' or</v>
      </c>
    </row>
    <row r="57" spans="1:10" x14ac:dyDescent="0.25">
      <c r="A57" s="2" t="s">
        <v>799</v>
      </c>
      <c r="B57" t="s">
        <v>892</v>
      </c>
      <c r="H57">
        <v>104230</v>
      </c>
      <c r="I57" t="s">
        <v>898</v>
      </c>
      <c r="J57" t="str">
        <f t="shared" si="0"/>
        <v>ia.assorted_string like '%104230-00007-12-2024%' or</v>
      </c>
    </row>
    <row r="58" spans="1:10" x14ac:dyDescent="0.25">
      <c r="A58" s="2" t="s">
        <v>800</v>
      </c>
      <c r="B58" t="s">
        <v>892</v>
      </c>
      <c r="H58">
        <v>104230</v>
      </c>
      <c r="I58" t="s">
        <v>900</v>
      </c>
      <c r="J58" t="str">
        <f t="shared" si="0"/>
        <v>ia.assorted_string like '%104230-00006-12-2024%' or</v>
      </c>
    </row>
    <row r="59" spans="1:10" x14ac:dyDescent="0.25">
      <c r="A59" s="2" t="s">
        <v>801</v>
      </c>
      <c r="B59" t="s">
        <v>891</v>
      </c>
      <c r="H59">
        <v>106707</v>
      </c>
      <c r="I59" t="s">
        <v>896</v>
      </c>
      <c r="J59" t="str">
        <f t="shared" si="0"/>
        <v>ia.assorted_string like '%106707-00005-01-2025%' or</v>
      </c>
    </row>
    <row r="60" spans="1:10" x14ac:dyDescent="0.25">
      <c r="A60" s="2" t="s">
        <v>802</v>
      </c>
      <c r="B60" t="s">
        <v>891</v>
      </c>
      <c r="H60">
        <v>106707</v>
      </c>
      <c r="I60" t="s">
        <v>900</v>
      </c>
      <c r="J60" t="str">
        <f t="shared" si="0"/>
        <v>ia.assorted_string like '%106707-00006-01-2025%' or</v>
      </c>
    </row>
    <row r="61" spans="1:10" x14ac:dyDescent="0.25">
      <c r="A61" s="2" t="s">
        <v>803</v>
      </c>
      <c r="B61" t="s">
        <v>891</v>
      </c>
      <c r="H61">
        <v>106705</v>
      </c>
      <c r="I61" t="s">
        <v>901</v>
      </c>
      <c r="J61" t="str">
        <f t="shared" si="0"/>
        <v>ia.assorted_string like '%106705-00002-01-2025%' or</v>
      </c>
    </row>
    <row r="62" spans="1:10" x14ac:dyDescent="0.25">
      <c r="A62" s="2" t="s">
        <v>804</v>
      </c>
      <c r="B62" t="s">
        <v>891</v>
      </c>
      <c r="H62">
        <v>106705</v>
      </c>
      <c r="I62" t="s">
        <v>895</v>
      </c>
      <c r="J62" t="str">
        <f t="shared" si="0"/>
        <v>ia.assorted_string like '%106705-00001-01-2025%' or</v>
      </c>
    </row>
    <row r="63" spans="1:10" x14ac:dyDescent="0.25">
      <c r="A63" s="2" t="s">
        <v>805</v>
      </c>
      <c r="B63" t="s">
        <v>891</v>
      </c>
      <c r="H63">
        <v>106705</v>
      </c>
      <c r="I63" t="s">
        <v>899</v>
      </c>
      <c r="J63" t="str">
        <f t="shared" si="0"/>
        <v>ia.assorted_string like '%106705-00003-01-2025%' or</v>
      </c>
    </row>
    <row r="64" spans="1:10" x14ac:dyDescent="0.25">
      <c r="A64" s="2" t="s">
        <v>806</v>
      </c>
      <c r="B64" t="s">
        <v>891</v>
      </c>
      <c r="H64">
        <v>106707</v>
      </c>
      <c r="I64" t="s">
        <v>902</v>
      </c>
      <c r="J64" t="str">
        <f t="shared" si="0"/>
        <v>ia.assorted_string like '%106707-00009-01-2025%' or</v>
      </c>
    </row>
    <row r="65" spans="1:10" x14ac:dyDescent="0.25">
      <c r="A65" s="2" t="s">
        <v>807</v>
      </c>
      <c r="B65" t="s">
        <v>891</v>
      </c>
      <c r="H65">
        <v>106707</v>
      </c>
      <c r="I65" t="s">
        <v>904</v>
      </c>
      <c r="J65" t="str">
        <f t="shared" si="0"/>
        <v>ia.assorted_string like '%106707-00008-01-2025%' or</v>
      </c>
    </row>
    <row r="66" spans="1:10" x14ac:dyDescent="0.25">
      <c r="A66" s="2" t="s">
        <v>808</v>
      </c>
      <c r="B66" t="s">
        <v>891</v>
      </c>
      <c r="H66">
        <v>106707</v>
      </c>
      <c r="I66" t="s">
        <v>899</v>
      </c>
      <c r="J66" t="str">
        <f t="shared" si="0"/>
        <v>ia.assorted_string like '%106707-00003-01-2025%' or</v>
      </c>
    </row>
    <row r="67" spans="1:10" x14ac:dyDescent="0.25">
      <c r="A67" s="2" t="s">
        <v>809</v>
      </c>
      <c r="B67" t="s">
        <v>891</v>
      </c>
      <c r="H67">
        <v>106707</v>
      </c>
      <c r="I67" t="s">
        <v>897</v>
      </c>
      <c r="J67" t="str">
        <f t="shared" ref="J67:J130" si="1">"ia.assorted_string like '%"&amp;H67&amp;"-"&amp;I67&amp;B67&amp;"%' or"</f>
        <v>ia.assorted_string like '%106707-00004-01-2025%' or</v>
      </c>
    </row>
    <row r="68" spans="1:10" x14ac:dyDescent="0.25">
      <c r="A68" s="2" t="s">
        <v>810</v>
      </c>
      <c r="B68" t="s">
        <v>891</v>
      </c>
      <c r="H68">
        <v>106707</v>
      </c>
      <c r="I68" t="s">
        <v>901</v>
      </c>
      <c r="J68" t="str">
        <f t="shared" si="1"/>
        <v>ia.assorted_string like '%106707-00002-01-2025%' or</v>
      </c>
    </row>
    <row r="69" spans="1:10" x14ac:dyDescent="0.25">
      <c r="A69" s="2" t="s">
        <v>811</v>
      </c>
      <c r="B69" t="s">
        <v>891</v>
      </c>
      <c r="H69">
        <v>106707</v>
      </c>
      <c r="I69" t="s">
        <v>895</v>
      </c>
      <c r="J69" t="str">
        <f t="shared" si="1"/>
        <v>ia.assorted_string like '%106707-00001-01-2025%' or</v>
      </c>
    </row>
    <row r="70" spans="1:10" x14ac:dyDescent="0.25">
      <c r="A70" s="2" t="s">
        <v>812</v>
      </c>
      <c r="B70" t="s">
        <v>891</v>
      </c>
      <c r="H70">
        <v>106707</v>
      </c>
      <c r="I70" t="s">
        <v>903</v>
      </c>
      <c r="J70" t="str">
        <f t="shared" si="1"/>
        <v>ia.assorted_string like '%106707-00010-01-2025%' or</v>
      </c>
    </row>
    <row r="71" spans="1:10" x14ac:dyDescent="0.25">
      <c r="A71" s="2" t="s">
        <v>813</v>
      </c>
      <c r="B71" t="s">
        <v>892</v>
      </c>
      <c r="H71">
        <v>104253</v>
      </c>
      <c r="I71" t="s">
        <v>905</v>
      </c>
      <c r="J71" t="str">
        <f t="shared" si="1"/>
        <v>ia.assorted_string like '%104253-00012-12-2024%' or</v>
      </c>
    </row>
    <row r="72" spans="1:10" x14ac:dyDescent="0.25">
      <c r="A72" s="2" t="s">
        <v>814</v>
      </c>
      <c r="B72" t="s">
        <v>892</v>
      </c>
      <c r="H72">
        <v>104257</v>
      </c>
      <c r="I72" t="s">
        <v>895</v>
      </c>
      <c r="J72" t="str">
        <f t="shared" si="1"/>
        <v>ia.assorted_string like '%104257-00001-12-2024%' or</v>
      </c>
    </row>
    <row r="73" spans="1:10" x14ac:dyDescent="0.25">
      <c r="A73" s="2" t="s">
        <v>815</v>
      </c>
      <c r="B73" t="s">
        <v>892</v>
      </c>
      <c r="H73">
        <v>104257</v>
      </c>
      <c r="I73" t="s">
        <v>901</v>
      </c>
      <c r="J73" t="str">
        <f t="shared" si="1"/>
        <v>ia.assorted_string like '%104257-00002-12-2024%' or</v>
      </c>
    </row>
    <row r="74" spans="1:10" x14ac:dyDescent="0.25">
      <c r="A74" s="2" t="s">
        <v>816</v>
      </c>
      <c r="B74" t="s">
        <v>892</v>
      </c>
      <c r="H74">
        <v>104257</v>
      </c>
      <c r="I74" t="s">
        <v>899</v>
      </c>
      <c r="J74" t="str">
        <f t="shared" si="1"/>
        <v>ia.assorted_string like '%104257-00003-12-2024%' or</v>
      </c>
    </row>
    <row r="75" spans="1:10" x14ac:dyDescent="0.25">
      <c r="A75" s="2" t="s">
        <v>817</v>
      </c>
      <c r="B75" t="s">
        <v>892</v>
      </c>
      <c r="H75">
        <v>104253</v>
      </c>
      <c r="I75" t="s">
        <v>901</v>
      </c>
      <c r="J75" t="str">
        <f t="shared" si="1"/>
        <v>ia.assorted_string like '%104253-00002-12-2024%' or</v>
      </c>
    </row>
    <row r="76" spans="1:10" x14ac:dyDescent="0.25">
      <c r="A76" s="2" t="s">
        <v>818</v>
      </c>
      <c r="B76" t="s">
        <v>892</v>
      </c>
      <c r="H76">
        <v>104253</v>
      </c>
      <c r="I76" t="s">
        <v>897</v>
      </c>
      <c r="J76" t="str">
        <f t="shared" si="1"/>
        <v>ia.assorted_string like '%104253-00004-12-2024%' or</v>
      </c>
    </row>
    <row r="77" spans="1:10" x14ac:dyDescent="0.25">
      <c r="A77" s="2" t="s">
        <v>819</v>
      </c>
      <c r="B77" t="s">
        <v>892</v>
      </c>
      <c r="H77">
        <v>104253</v>
      </c>
      <c r="I77" t="s">
        <v>899</v>
      </c>
      <c r="J77" t="str">
        <f t="shared" si="1"/>
        <v>ia.assorted_string like '%104253-00003-12-2024%' or</v>
      </c>
    </row>
    <row r="78" spans="1:10" x14ac:dyDescent="0.25">
      <c r="A78" s="2" t="s">
        <v>820</v>
      </c>
      <c r="B78" t="s">
        <v>891</v>
      </c>
      <c r="H78">
        <v>106712</v>
      </c>
      <c r="I78" t="s">
        <v>896</v>
      </c>
      <c r="J78" t="str">
        <f t="shared" si="1"/>
        <v>ia.assorted_string like '%106712-00005-01-2025%' or</v>
      </c>
    </row>
    <row r="79" spans="1:10" x14ac:dyDescent="0.25">
      <c r="A79" s="2" t="s">
        <v>821</v>
      </c>
      <c r="B79" t="s">
        <v>891</v>
      </c>
      <c r="H79">
        <v>106712</v>
      </c>
      <c r="I79" t="s">
        <v>895</v>
      </c>
      <c r="J79" t="str">
        <f t="shared" si="1"/>
        <v>ia.assorted_string like '%106712-00001-01-2025%' or</v>
      </c>
    </row>
    <row r="80" spans="1:10" x14ac:dyDescent="0.25">
      <c r="A80" s="2" t="s">
        <v>822</v>
      </c>
      <c r="B80" t="s">
        <v>891</v>
      </c>
      <c r="H80">
        <v>106712</v>
      </c>
      <c r="I80" t="s">
        <v>899</v>
      </c>
      <c r="J80" t="str">
        <f t="shared" si="1"/>
        <v>ia.assorted_string like '%106712-00003-01-2025%' or</v>
      </c>
    </row>
    <row r="81" spans="1:10" x14ac:dyDescent="0.25">
      <c r="A81" s="2" t="s">
        <v>823</v>
      </c>
      <c r="B81" t="s">
        <v>891</v>
      </c>
      <c r="H81">
        <v>106712</v>
      </c>
      <c r="I81" t="s">
        <v>898</v>
      </c>
      <c r="J81" t="str">
        <f t="shared" si="1"/>
        <v>ia.assorted_string like '%106712-00007-01-2025%' or</v>
      </c>
    </row>
    <row r="82" spans="1:10" x14ac:dyDescent="0.25">
      <c r="A82" s="2" t="s">
        <v>824</v>
      </c>
      <c r="B82" t="s">
        <v>891</v>
      </c>
      <c r="H82">
        <v>106712</v>
      </c>
      <c r="I82" t="s">
        <v>900</v>
      </c>
      <c r="J82" t="str">
        <f t="shared" si="1"/>
        <v>ia.assorted_string like '%106712-00006-01-2025%' or</v>
      </c>
    </row>
    <row r="83" spans="1:10" x14ac:dyDescent="0.25">
      <c r="A83" s="2" t="s">
        <v>825</v>
      </c>
      <c r="B83" t="s">
        <v>891</v>
      </c>
      <c r="H83">
        <v>106712</v>
      </c>
      <c r="I83" t="s">
        <v>901</v>
      </c>
      <c r="J83" t="str">
        <f t="shared" si="1"/>
        <v>ia.assorted_string like '%106712-00002-01-2025%' or</v>
      </c>
    </row>
    <row r="84" spans="1:10" x14ac:dyDescent="0.25">
      <c r="A84" s="2" t="s">
        <v>826</v>
      </c>
      <c r="B84" t="s">
        <v>891</v>
      </c>
      <c r="H84">
        <v>106712</v>
      </c>
      <c r="I84" t="s">
        <v>897</v>
      </c>
      <c r="J84" t="str">
        <f t="shared" si="1"/>
        <v>ia.assorted_string like '%106712-00004-01-2025%' or</v>
      </c>
    </row>
    <row r="85" spans="1:10" x14ac:dyDescent="0.25">
      <c r="A85" s="2" t="s">
        <v>827</v>
      </c>
      <c r="B85" t="s">
        <v>891</v>
      </c>
      <c r="H85">
        <v>106713</v>
      </c>
      <c r="I85" t="s">
        <v>901</v>
      </c>
      <c r="J85" t="str">
        <f t="shared" si="1"/>
        <v>ia.assorted_string like '%106713-00002-01-2025%' or</v>
      </c>
    </row>
    <row r="86" spans="1:10" x14ac:dyDescent="0.25">
      <c r="A86" s="2" t="s">
        <v>828</v>
      </c>
      <c r="B86" t="s">
        <v>891</v>
      </c>
      <c r="H86">
        <v>106713</v>
      </c>
      <c r="I86" t="s">
        <v>895</v>
      </c>
      <c r="J86" t="str">
        <f t="shared" si="1"/>
        <v>ia.assorted_string like '%106713-00001-01-2025%' or</v>
      </c>
    </row>
    <row r="87" spans="1:10" x14ac:dyDescent="0.25">
      <c r="A87" s="2" t="s">
        <v>829</v>
      </c>
      <c r="B87" t="s">
        <v>892</v>
      </c>
      <c r="H87">
        <v>104265</v>
      </c>
      <c r="I87" t="s">
        <v>896</v>
      </c>
      <c r="J87" t="str">
        <f t="shared" si="1"/>
        <v>ia.assorted_string like '%104265-00005-12-2024%' or</v>
      </c>
    </row>
    <row r="88" spans="1:10" x14ac:dyDescent="0.25">
      <c r="A88" s="2" t="s">
        <v>830</v>
      </c>
      <c r="B88" t="s">
        <v>892</v>
      </c>
      <c r="H88">
        <v>104265</v>
      </c>
      <c r="I88" t="s">
        <v>905</v>
      </c>
      <c r="J88" t="str">
        <f t="shared" si="1"/>
        <v>ia.assorted_string like '%104265-00012-12-2024%' or</v>
      </c>
    </row>
    <row r="89" spans="1:10" x14ac:dyDescent="0.25">
      <c r="A89" s="2" t="s">
        <v>831</v>
      </c>
      <c r="B89" t="s">
        <v>891</v>
      </c>
      <c r="H89">
        <v>106719</v>
      </c>
      <c r="I89" t="s">
        <v>899</v>
      </c>
      <c r="J89" t="str">
        <f t="shared" si="1"/>
        <v>ia.assorted_string like '%106719-00003-01-2025%' or</v>
      </c>
    </row>
    <row r="90" spans="1:10" x14ac:dyDescent="0.25">
      <c r="A90" s="2" t="s">
        <v>832</v>
      </c>
      <c r="B90" t="s">
        <v>891</v>
      </c>
      <c r="H90">
        <v>106719</v>
      </c>
      <c r="I90" t="s">
        <v>895</v>
      </c>
      <c r="J90" t="str">
        <f t="shared" si="1"/>
        <v>ia.assorted_string like '%106719-00001-01-2025%' or</v>
      </c>
    </row>
    <row r="91" spans="1:10" x14ac:dyDescent="0.25">
      <c r="A91" s="2" t="s">
        <v>833</v>
      </c>
      <c r="B91" t="s">
        <v>891</v>
      </c>
      <c r="H91">
        <v>106719</v>
      </c>
      <c r="I91" t="s">
        <v>901</v>
      </c>
      <c r="J91" t="str">
        <f t="shared" si="1"/>
        <v>ia.assorted_string like '%106719-00002-01-2025%' or</v>
      </c>
    </row>
    <row r="92" spans="1:10" x14ac:dyDescent="0.25">
      <c r="A92" s="2" t="s">
        <v>834</v>
      </c>
      <c r="B92" t="s">
        <v>891</v>
      </c>
      <c r="H92">
        <v>106720</v>
      </c>
      <c r="I92" t="s">
        <v>895</v>
      </c>
      <c r="J92" t="str">
        <f t="shared" si="1"/>
        <v>ia.assorted_string like '%106720-00001-01-2025%' or</v>
      </c>
    </row>
    <row r="93" spans="1:10" x14ac:dyDescent="0.25">
      <c r="A93" s="2" t="s">
        <v>835</v>
      </c>
      <c r="B93" t="s">
        <v>891</v>
      </c>
      <c r="H93">
        <v>106720</v>
      </c>
      <c r="I93" t="s">
        <v>899</v>
      </c>
      <c r="J93" t="str">
        <f t="shared" si="1"/>
        <v>ia.assorted_string like '%106720-00003-01-2025%' or</v>
      </c>
    </row>
    <row r="94" spans="1:10" x14ac:dyDescent="0.25">
      <c r="A94" s="2" t="s">
        <v>836</v>
      </c>
      <c r="B94" t="s">
        <v>891</v>
      </c>
      <c r="H94">
        <v>106720</v>
      </c>
      <c r="I94" t="s">
        <v>901</v>
      </c>
      <c r="J94" t="str">
        <f t="shared" si="1"/>
        <v>ia.assorted_string like '%106720-00002-01-2025%' or</v>
      </c>
    </row>
    <row r="95" spans="1:10" x14ac:dyDescent="0.25">
      <c r="A95" s="2" t="s">
        <v>837</v>
      </c>
      <c r="B95" t="s">
        <v>892</v>
      </c>
      <c r="H95">
        <v>104283</v>
      </c>
      <c r="I95" t="s">
        <v>898</v>
      </c>
      <c r="J95" t="str">
        <f t="shared" si="1"/>
        <v>ia.assorted_string like '%104283-00007-12-2024%' or</v>
      </c>
    </row>
    <row r="96" spans="1:10" x14ac:dyDescent="0.25">
      <c r="A96" s="2" t="s">
        <v>838</v>
      </c>
      <c r="B96" t="s">
        <v>892</v>
      </c>
      <c r="H96">
        <v>104283</v>
      </c>
      <c r="I96" t="s">
        <v>902</v>
      </c>
      <c r="J96" t="str">
        <f t="shared" si="1"/>
        <v>ia.assorted_string like '%104283-00009-12-2024%' or</v>
      </c>
    </row>
    <row r="97" spans="1:10" x14ac:dyDescent="0.25">
      <c r="A97" s="2" t="s">
        <v>890</v>
      </c>
      <c r="B97" t="s">
        <v>892</v>
      </c>
      <c r="H97">
        <v>104283</v>
      </c>
      <c r="I97" t="s">
        <v>900</v>
      </c>
      <c r="J97" t="str">
        <f t="shared" si="1"/>
        <v>ia.assorted_string like '%104283-00006-12-2024%' or</v>
      </c>
    </row>
    <row r="98" spans="1:10" x14ac:dyDescent="0.25">
      <c r="A98" s="2" t="s">
        <v>839</v>
      </c>
      <c r="B98" t="s">
        <v>892</v>
      </c>
      <c r="H98">
        <v>104283</v>
      </c>
      <c r="I98" t="s">
        <v>904</v>
      </c>
      <c r="J98" t="str">
        <f t="shared" si="1"/>
        <v>ia.assorted_string like '%104283-00008-12-2024%' or</v>
      </c>
    </row>
    <row r="99" spans="1:10" x14ac:dyDescent="0.25">
      <c r="A99" s="2" t="s">
        <v>840</v>
      </c>
      <c r="B99" t="s">
        <v>892</v>
      </c>
      <c r="H99">
        <v>104281</v>
      </c>
      <c r="I99" t="s">
        <v>899</v>
      </c>
      <c r="J99" t="str">
        <f t="shared" si="1"/>
        <v>ia.assorted_string like '%104281-00003-12-2024%' or</v>
      </c>
    </row>
    <row r="100" spans="1:10" x14ac:dyDescent="0.25">
      <c r="A100" s="2" t="s">
        <v>841</v>
      </c>
      <c r="B100" t="s">
        <v>891</v>
      </c>
      <c r="H100">
        <v>106685</v>
      </c>
      <c r="I100" t="s">
        <v>895</v>
      </c>
      <c r="J100" t="str">
        <f t="shared" si="1"/>
        <v>ia.assorted_string like '%106685-00001-01-2025%' or</v>
      </c>
    </row>
    <row r="101" spans="1:10" x14ac:dyDescent="0.25">
      <c r="A101" s="2" t="s">
        <v>842</v>
      </c>
      <c r="B101" t="s">
        <v>891</v>
      </c>
      <c r="H101">
        <v>106716</v>
      </c>
      <c r="I101" t="s">
        <v>895</v>
      </c>
      <c r="J101" t="str">
        <f t="shared" si="1"/>
        <v>ia.assorted_string like '%106716-00001-01-2025%' or</v>
      </c>
    </row>
    <row r="102" spans="1:10" x14ac:dyDescent="0.25">
      <c r="A102" s="2" t="s">
        <v>843</v>
      </c>
      <c r="B102" t="s">
        <v>892</v>
      </c>
      <c r="H102">
        <v>104274</v>
      </c>
      <c r="I102" t="s">
        <v>901</v>
      </c>
      <c r="J102" t="str">
        <f t="shared" si="1"/>
        <v>ia.assorted_string like '%104274-00002-12-2024%' or</v>
      </c>
    </row>
    <row r="103" spans="1:10" x14ac:dyDescent="0.25">
      <c r="A103" s="2" t="s">
        <v>844</v>
      </c>
      <c r="B103" t="s">
        <v>891</v>
      </c>
      <c r="H103">
        <v>106688</v>
      </c>
      <c r="I103" t="s">
        <v>906</v>
      </c>
      <c r="J103" t="str">
        <f t="shared" si="1"/>
        <v>ia.assorted_string like '%106688-00011-01-2025%' or</v>
      </c>
    </row>
    <row r="104" spans="1:10" x14ac:dyDescent="0.25">
      <c r="A104" s="2" t="s">
        <v>845</v>
      </c>
      <c r="B104" t="s">
        <v>891</v>
      </c>
      <c r="H104">
        <v>106688</v>
      </c>
      <c r="I104" t="s">
        <v>902</v>
      </c>
      <c r="J104" t="str">
        <f t="shared" si="1"/>
        <v>ia.assorted_string like '%106688-00009-01-2025%' or</v>
      </c>
    </row>
    <row r="105" spans="1:10" x14ac:dyDescent="0.25">
      <c r="A105" s="2" t="s">
        <v>846</v>
      </c>
      <c r="B105" t="s">
        <v>891</v>
      </c>
      <c r="H105">
        <v>106688</v>
      </c>
      <c r="I105" t="s">
        <v>895</v>
      </c>
      <c r="J105" t="str">
        <f t="shared" si="1"/>
        <v>ia.assorted_string like '%106688-00001-01-2025%' or</v>
      </c>
    </row>
    <row r="106" spans="1:10" x14ac:dyDescent="0.25">
      <c r="A106" s="2" t="s">
        <v>847</v>
      </c>
      <c r="B106" t="s">
        <v>891</v>
      </c>
      <c r="H106">
        <v>106688</v>
      </c>
      <c r="I106" t="s">
        <v>896</v>
      </c>
      <c r="J106" t="str">
        <f t="shared" si="1"/>
        <v>ia.assorted_string like '%106688-00005-01-2025%' or</v>
      </c>
    </row>
    <row r="107" spans="1:10" x14ac:dyDescent="0.25">
      <c r="A107" s="2" t="s">
        <v>848</v>
      </c>
      <c r="B107" t="s">
        <v>891</v>
      </c>
      <c r="H107">
        <v>106688</v>
      </c>
      <c r="I107" t="s">
        <v>901</v>
      </c>
      <c r="J107" t="str">
        <f t="shared" si="1"/>
        <v>ia.assorted_string like '%106688-00002-01-2025%' or</v>
      </c>
    </row>
    <row r="108" spans="1:10" x14ac:dyDescent="0.25">
      <c r="A108" s="2" t="s">
        <v>849</v>
      </c>
      <c r="B108" t="s">
        <v>891</v>
      </c>
      <c r="H108">
        <v>106688</v>
      </c>
      <c r="I108" t="s">
        <v>898</v>
      </c>
      <c r="J108" t="str">
        <f t="shared" si="1"/>
        <v>ia.assorted_string like '%106688-00007-01-2025%' or</v>
      </c>
    </row>
    <row r="109" spans="1:10" x14ac:dyDescent="0.25">
      <c r="A109" s="2" t="s">
        <v>850</v>
      </c>
      <c r="B109" t="s">
        <v>891</v>
      </c>
      <c r="H109">
        <v>106688</v>
      </c>
      <c r="I109" t="s">
        <v>897</v>
      </c>
      <c r="J109" t="str">
        <f t="shared" si="1"/>
        <v>ia.assorted_string like '%106688-00004-01-2025%' or</v>
      </c>
    </row>
    <row r="110" spans="1:10" x14ac:dyDescent="0.25">
      <c r="A110" s="2" t="s">
        <v>851</v>
      </c>
      <c r="B110" t="s">
        <v>891</v>
      </c>
      <c r="H110">
        <v>106688</v>
      </c>
      <c r="I110" t="s">
        <v>900</v>
      </c>
      <c r="J110" t="str">
        <f t="shared" si="1"/>
        <v>ia.assorted_string like '%106688-00006-01-2025%' or</v>
      </c>
    </row>
    <row r="111" spans="1:10" x14ac:dyDescent="0.25">
      <c r="A111" s="2" t="s">
        <v>852</v>
      </c>
      <c r="B111" t="s">
        <v>891</v>
      </c>
      <c r="H111">
        <v>106688</v>
      </c>
      <c r="I111" t="s">
        <v>899</v>
      </c>
      <c r="J111" t="str">
        <f t="shared" si="1"/>
        <v>ia.assorted_string like '%106688-00003-01-2025%' or</v>
      </c>
    </row>
    <row r="112" spans="1:10" x14ac:dyDescent="0.25">
      <c r="A112" s="2" t="s">
        <v>853</v>
      </c>
      <c r="B112" t="s">
        <v>891</v>
      </c>
      <c r="H112">
        <v>106688</v>
      </c>
      <c r="I112" t="s">
        <v>904</v>
      </c>
      <c r="J112" t="str">
        <f t="shared" si="1"/>
        <v>ia.assorted_string like '%106688-00008-01-2025%' or</v>
      </c>
    </row>
    <row r="113" spans="1:10" x14ac:dyDescent="0.25">
      <c r="A113" s="2" t="s">
        <v>854</v>
      </c>
      <c r="B113" t="s">
        <v>891</v>
      </c>
      <c r="H113">
        <v>106688</v>
      </c>
      <c r="I113" t="s">
        <v>903</v>
      </c>
      <c r="J113" t="str">
        <f t="shared" si="1"/>
        <v>ia.assorted_string like '%106688-00010-01-2025%' or</v>
      </c>
    </row>
    <row r="114" spans="1:10" x14ac:dyDescent="0.25">
      <c r="A114" s="2" t="s">
        <v>855</v>
      </c>
      <c r="B114" t="s">
        <v>891</v>
      </c>
      <c r="H114">
        <v>106688</v>
      </c>
      <c r="I114" t="s">
        <v>905</v>
      </c>
      <c r="J114" t="str">
        <f t="shared" si="1"/>
        <v>ia.assorted_string like '%106688-00012-01-2025%' or</v>
      </c>
    </row>
    <row r="115" spans="1:10" x14ac:dyDescent="0.25">
      <c r="A115" s="2" t="s">
        <v>856</v>
      </c>
      <c r="B115" t="s">
        <v>891</v>
      </c>
      <c r="H115">
        <v>106688</v>
      </c>
      <c r="I115" t="s">
        <v>907</v>
      </c>
      <c r="J115" t="str">
        <f t="shared" si="1"/>
        <v>ia.assorted_string like '%106688-00014-01-2025%' or</v>
      </c>
    </row>
    <row r="116" spans="1:10" x14ac:dyDescent="0.25">
      <c r="A116" s="2" t="s">
        <v>857</v>
      </c>
      <c r="B116" t="s">
        <v>891</v>
      </c>
      <c r="H116">
        <v>106701</v>
      </c>
      <c r="I116" t="s">
        <v>901</v>
      </c>
      <c r="J116" t="str">
        <f t="shared" si="1"/>
        <v>ia.assorted_string like '%106701-00002-01-2025%' or</v>
      </c>
    </row>
    <row r="117" spans="1:10" x14ac:dyDescent="0.25">
      <c r="A117" s="2" t="s">
        <v>858</v>
      </c>
      <c r="B117" t="s">
        <v>891</v>
      </c>
      <c r="H117">
        <v>106701</v>
      </c>
      <c r="I117" t="s">
        <v>895</v>
      </c>
      <c r="J117" t="str">
        <f t="shared" si="1"/>
        <v>ia.assorted_string like '%106701-00001-01-2025%' or</v>
      </c>
    </row>
    <row r="118" spans="1:10" x14ac:dyDescent="0.25">
      <c r="A118" s="2" t="s">
        <v>859</v>
      </c>
      <c r="B118" t="s">
        <v>891</v>
      </c>
      <c r="H118">
        <v>106734</v>
      </c>
      <c r="I118" t="s">
        <v>901</v>
      </c>
      <c r="J118" t="str">
        <f t="shared" si="1"/>
        <v>ia.assorted_string like '%106734-00002-01-2025%' or</v>
      </c>
    </row>
    <row r="119" spans="1:10" x14ac:dyDescent="0.25">
      <c r="A119" s="2" t="s">
        <v>860</v>
      </c>
      <c r="B119" t="s">
        <v>891</v>
      </c>
      <c r="H119">
        <v>106734</v>
      </c>
      <c r="I119" t="s">
        <v>895</v>
      </c>
      <c r="J119" t="str">
        <f t="shared" si="1"/>
        <v>ia.assorted_string like '%106734-00001-01-2025%' or</v>
      </c>
    </row>
    <row r="120" spans="1:10" x14ac:dyDescent="0.25">
      <c r="A120" s="2" t="s">
        <v>861</v>
      </c>
      <c r="B120" t="s">
        <v>891</v>
      </c>
      <c r="H120">
        <v>106688</v>
      </c>
      <c r="I120" t="s">
        <v>908</v>
      </c>
      <c r="J120" t="str">
        <f t="shared" si="1"/>
        <v>ia.assorted_string like '%106688-00013-01-2025%' or</v>
      </c>
    </row>
    <row r="121" spans="1:10" x14ac:dyDescent="0.25">
      <c r="A121" s="2" t="s">
        <v>862</v>
      </c>
      <c r="B121" t="s">
        <v>891</v>
      </c>
      <c r="H121">
        <v>106700</v>
      </c>
      <c r="I121" t="s">
        <v>895</v>
      </c>
      <c r="J121" t="str">
        <f t="shared" si="1"/>
        <v>ia.assorted_string like '%106700-00001-01-2025%' or</v>
      </c>
    </row>
    <row r="122" spans="1:10" x14ac:dyDescent="0.25">
      <c r="A122" s="2" t="s">
        <v>863</v>
      </c>
      <c r="B122" t="s">
        <v>891</v>
      </c>
      <c r="H122">
        <v>106724</v>
      </c>
      <c r="I122" t="s">
        <v>897</v>
      </c>
      <c r="J122" t="str">
        <f t="shared" si="1"/>
        <v>ia.assorted_string like '%106724-00004-01-2025%' or</v>
      </c>
    </row>
    <row r="123" spans="1:10" x14ac:dyDescent="0.25">
      <c r="A123" s="2" t="s">
        <v>864</v>
      </c>
      <c r="B123" t="s">
        <v>891</v>
      </c>
      <c r="H123">
        <v>106724</v>
      </c>
      <c r="I123" t="s">
        <v>896</v>
      </c>
      <c r="J123" t="str">
        <f t="shared" si="1"/>
        <v>ia.assorted_string like '%106724-00005-01-2025%' or</v>
      </c>
    </row>
    <row r="124" spans="1:10" x14ac:dyDescent="0.25">
      <c r="A124" s="2" t="s">
        <v>865</v>
      </c>
      <c r="B124" t="s">
        <v>891</v>
      </c>
      <c r="H124">
        <v>106724</v>
      </c>
      <c r="I124" t="s">
        <v>900</v>
      </c>
      <c r="J124" t="str">
        <f t="shared" si="1"/>
        <v>ia.assorted_string like '%106724-00006-01-2025%' or</v>
      </c>
    </row>
    <row r="125" spans="1:10" x14ac:dyDescent="0.25">
      <c r="A125" s="2" t="s">
        <v>866</v>
      </c>
      <c r="B125" t="s">
        <v>891</v>
      </c>
      <c r="H125">
        <v>106724</v>
      </c>
      <c r="I125" t="s">
        <v>895</v>
      </c>
      <c r="J125" t="str">
        <f t="shared" si="1"/>
        <v>ia.assorted_string like '%106724-00001-01-2025%' or</v>
      </c>
    </row>
    <row r="126" spans="1:10" x14ac:dyDescent="0.25">
      <c r="A126" s="2" t="s">
        <v>867</v>
      </c>
      <c r="B126" t="s">
        <v>893</v>
      </c>
      <c r="H126">
        <v>107426</v>
      </c>
      <c r="I126" t="s">
        <v>901</v>
      </c>
      <c r="J126" t="str">
        <f t="shared" si="1"/>
        <v>ia.assorted_string like '%107426-00002-02-2025%' or</v>
      </c>
    </row>
    <row r="127" spans="1:10" x14ac:dyDescent="0.25">
      <c r="A127" s="2" t="s">
        <v>868</v>
      </c>
      <c r="B127" t="s">
        <v>891</v>
      </c>
      <c r="H127">
        <v>106702</v>
      </c>
      <c r="I127" t="s">
        <v>899</v>
      </c>
      <c r="J127" t="str">
        <f t="shared" si="1"/>
        <v>ia.assorted_string like '%106702-00003-01-2025%' or</v>
      </c>
    </row>
    <row r="128" spans="1:10" x14ac:dyDescent="0.25">
      <c r="A128" s="2" t="s">
        <v>869</v>
      </c>
      <c r="B128" t="s">
        <v>891</v>
      </c>
      <c r="H128">
        <v>106723</v>
      </c>
      <c r="I128" t="s">
        <v>895</v>
      </c>
      <c r="J128" t="str">
        <f t="shared" si="1"/>
        <v>ia.assorted_string like '%106723-00001-01-2025%' or</v>
      </c>
    </row>
    <row r="129" spans="1:10" x14ac:dyDescent="0.25">
      <c r="A129" s="2" t="s">
        <v>870</v>
      </c>
      <c r="B129" t="s">
        <v>891</v>
      </c>
      <c r="H129">
        <v>106722</v>
      </c>
      <c r="I129" t="s">
        <v>895</v>
      </c>
      <c r="J129" t="str">
        <f t="shared" si="1"/>
        <v>ia.assorted_string like '%106722-00001-01-2025%' or</v>
      </c>
    </row>
    <row r="130" spans="1:10" x14ac:dyDescent="0.25">
      <c r="A130" s="2" t="s">
        <v>871</v>
      </c>
      <c r="B130" t="s">
        <v>891</v>
      </c>
      <c r="H130">
        <v>106722</v>
      </c>
      <c r="I130" t="s">
        <v>901</v>
      </c>
      <c r="J130" t="str">
        <f t="shared" si="1"/>
        <v>ia.assorted_string like '%106722-00002-01-2025%' or</v>
      </c>
    </row>
    <row r="131" spans="1:10" x14ac:dyDescent="0.25">
      <c r="A131" s="2" t="s">
        <v>872</v>
      </c>
      <c r="B131" t="s">
        <v>891</v>
      </c>
      <c r="H131">
        <v>106724</v>
      </c>
      <c r="I131" t="s">
        <v>901</v>
      </c>
      <c r="J131" t="str">
        <f t="shared" ref="J131:J134" si="2">"ia.assorted_string like '%"&amp;H131&amp;"-"&amp;I131&amp;B131&amp;"%' or"</f>
        <v>ia.assorted_string like '%106724-00002-01-2025%' or</v>
      </c>
    </row>
    <row r="132" spans="1:10" x14ac:dyDescent="0.25">
      <c r="A132" s="2" t="s">
        <v>873</v>
      </c>
      <c r="B132" t="s">
        <v>891</v>
      </c>
      <c r="H132">
        <v>106724</v>
      </c>
      <c r="I132" t="s">
        <v>899</v>
      </c>
      <c r="J132" t="str">
        <f t="shared" si="2"/>
        <v>ia.assorted_string like '%106724-00003-01-2025%' or</v>
      </c>
    </row>
    <row r="133" spans="1:10" x14ac:dyDescent="0.25">
      <c r="A133" s="2" t="s">
        <v>874</v>
      </c>
      <c r="B133" t="s">
        <v>892</v>
      </c>
      <c r="H133">
        <v>104299</v>
      </c>
      <c r="I133" t="s">
        <v>905</v>
      </c>
      <c r="J133" t="str">
        <f t="shared" si="2"/>
        <v>ia.assorted_string like '%104299-00012-12-2024%' or</v>
      </c>
    </row>
    <row r="134" spans="1:10" x14ac:dyDescent="0.25">
      <c r="A134" s="2" t="s">
        <v>875</v>
      </c>
      <c r="B134" t="s">
        <v>891</v>
      </c>
      <c r="H134">
        <v>106702</v>
      </c>
      <c r="I134" t="s">
        <v>895</v>
      </c>
      <c r="J134" t="str">
        <f t="shared" si="2"/>
        <v>ia.assorted_string like '%106702-00001-01-2025%' or</v>
      </c>
    </row>
  </sheetData>
  <conditionalFormatting sqref="A2:A134">
    <cfRule type="duplicateValues" dxfId="5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working</vt:lpstr>
      <vt:lpstr>Sheet3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Umair Hassan</dc:creator>
  <cp:lastModifiedBy>IT User Software</cp:lastModifiedBy>
  <dcterms:created xsi:type="dcterms:W3CDTF">2015-06-05T18:17:20Z</dcterms:created>
  <dcterms:modified xsi:type="dcterms:W3CDTF">2025-02-24T05:17:28Z</dcterms:modified>
</cp:coreProperties>
</file>