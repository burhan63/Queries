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3-Dec-2024\"/>
    </mc:Choice>
  </mc:AlternateContent>
  <xr:revisionPtr revIDLastSave="0" documentId="13_ncr:1_{61024FB4-F33D-49F1-AA91-30FDCD13DBB3}" xr6:coauthVersionLast="47" xr6:coauthVersionMax="47" xr10:uidLastSave="{00000000-0000-0000-0000-000000000000}"/>
  <bookViews>
    <workbookView xWindow="-120" yWindow="-120" windowWidth="20730" windowHeight="11040" firstSheet="5" activeTab="9" xr2:uid="{00000000-000D-0000-FFFF-FFFF00000000}"/>
  </bookViews>
  <sheets>
    <sheet name="Fresh" sheetId="3" r:id="rId1"/>
    <sheet name="Renewal" sheetId="4" r:id="rId2"/>
    <sheet name="Previous" sheetId="2" r:id="rId3"/>
    <sheet name="Summary" sheetId="5" state="hidden" r:id="rId4"/>
    <sheet name="Fresh Billing" sheetId="7" r:id="rId5"/>
    <sheet name="working" sheetId="8" r:id="rId6"/>
    <sheet name="Sheet2" sheetId="9" r:id="rId7"/>
    <sheet name="policy" sheetId="10" r:id="rId8"/>
    <sheet name="Renewal Billing" sheetId="6" r:id="rId9"/>
    <sheet name="working1" sheetId="11" r:id="rId10"/>
    <sheet name="Sheet5" sheetId="12" r:id="rId11"/>
    <sheet name="policy1" sheetId="13" r:id="rId12"/>
  </sheets>
  <definedNames>
    <definedName name="_xlnm._FilterDatabase" localSheetId="0" hidden="1">Fresh!$A$1:$U$47</definedName>
    <definedName name="_xlnm._FilterDatabase" localSheetId="4" hidden="1">'Fresh Billing'!$A$1:$AN$58</definedName>
    <definedName name="_xlnm._FilterDatabase" localSheetId="2" hidden="1">Previous!$A$1:$V$122</definedName>
    <definedName name="_xlnm._FilterDatabase" localSheetId="1" hidden="1">Renewal!$A$1:$V$206</definedName>
    <definedName name="_xlnm._FilterDatabase" localSheetId="8" hidden="1">'Renewal Billing'!$A$1:$AM$301</definedName>
    <definedName name="_xlnm._FilterDatabase" localSheetId="6" hidden="1">Sheet2!$H$1:$H$46</definedName>
    <definedName name="_xlnm._FilterDatabase" localSheetId="10" hidden="1">Sheet5!$H$1:$H$195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D196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C19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2" i="11"/>
  <c r="F2" i="11"/>
  <c r="D2" i="1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2" i="12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AI59" i="7"/>
  <c r="D47" i="8"/>
  <c r="C47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2" i="8"/>
  <c r="F2" i="8"/>
  <c r="D2" i="8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2" i="9"/>
  <c r="H2" i="11" l="1"/>
  <c r="H2" i="8"/>
  <c r="V87" i="6" l="1"/>
  <c r="W87" i="6" s="1"/>
  <c r="Y87" i="6" s="1"/>
  <c r="V86" i="6"/>
  <c r="W86" i="6" s="1"/>
  <c r="Y86" i="6" s="1"/>
  <c r="V85" i="6"/>
  <c r="W85" i="6" s="1"/>
  <c r="Y85" i="6" s="1"/>
  <c r="V106" i="6"/>
  <c r="W106" i="6" s="1"/>
  <c r="Y106" i="6" s="1"/>
  <c r="V105" i="6"/>
  <c r="W105" i="6" s="1"/>
  <c r="Y105" i="6" s="1"/>
  <c r="V104" i="6"/>
  <c r="W104" i="6" s="1"/>
  <c r="Y104" i="6" s="1"/>
  <c r="V103" i="6"/>
  <c r="W103" i="6" s="1"/>
  <c r="Y103" i="6" s="1"/>
  <c r="V102" i="6"/>
  <c r="W102" i="6" s="1"/>
  <c r="Y102" i="6" s="1"/>
  <c r="V300" i="6"/>
  <c r="W300" i="6" s="1"/>
  <c r="Y300" i="6" s="1"/>
  <c r="V101" i="6"/>
  <c r="W101" i="6" s="1"/>
  <c r="Y101" i="6" s="1"/>
  <c r="V299" i="6"/>
  <c r="W299" i="6" s="1"/>
  <c r="Y299" i="6" s="1"/>
  <c r="V100" i="6"/>
  <c r="W100" i="6" s="1"/>
  <c r="Y100" i="6" s="1"/>
  <c r="V298" i="6"/>
  <c r="W298" i="6" s="1"/>
  <c r="Y298" i="6" s="1"/>
  <c r="V297" i="6"/>
  <c r="W297" i="6" s="1"/>
  <c r="Y297" i="6" s="1"/>
  <c r="V296" i="6"/>
  <c r="W296" i="6" s="1"/>
  <c r="Y296" i="6" s="1"/>
  <c r="V295" i="6"/>
  <c r="W295" i="6" s="1"/>
  <c r="Y295" i="6" s="1"/>
  <c r="V294" i="6"/>
  <c r="W294" i="6" s="1"/>
  <c r="Y294" i="6" s="1"/>
  <c r="V293" i="6"/>
  <c r="W293" i="6" s="1"/>
  <c r="Y293" i="6" s="1"/>
  <c r="V292" i="6"/>
  <c r="W292" i="6" s="1"/>
  <c r="Y292" i="6" s="1"/>
  <c r="V291" i="6"/>
  <c r="W291" i="6" s="1"/>
  <c r="Y291" i="6" s="1"/>
  <c r="V290" i="6"/>
  <c r="W290" i="6" s="1"/>
  <c r="Y290" i="6" s="1"/>
  <c r="V289" i="6"/>
  <c r="W289" i="6" s="1"/>
  <c r="Y289" i="6" s="1"/>
  <c r="V288" i="6"/>
  <c r="W288" i="6" s="1"/>
  <c r="Y288" i="6" s="1"/>
  <c r="V287" i="6"/>
  <c r="W287" i="6" s="1"/>
  <c r="Y287" i="6" s="1"/>
  <c r="V286" i="6"/>
  <c r="W286" i="6" s="1"/>
  <c r="Y286" i="6" s="1"/>
  <c r="V285" i="6"/>
  <c r="W285" i="6" s="1"/>
  <c r="Y285" i="6" s="1"/>
  <c r="V284" i="6"/>
  <c r="W284" i="6" s="1"/>
  <c r="Y284" i="6" s="1"/>
  <c r="V283" i="6"/>
  <c r="W283" i="6" s="1"/>
  <c r="Y283" i="6" s="1"/>
  <c r="V282" i="6"/>
  <c r="W282" i="6" s="1"/>
  <c r="Y282" i="6" s="1"/>
  <c r="V281" i="6"/>
  <c r="W281" i="6" s="1"/>
  <c r="Y281" i="6" s="1"/>
  <c r="V280" i="6"/>
  <c r="W280" i="6" s="1"/>
  <c r="Y280" i="6" s="1"/>
  <c r="V279" i="6"/>
  <c r="W279" i="6" s="1"/>
  <c r="Y279" i="6" s="1"/>
  <c r="V278" i="6"/>
  <c r="W278" i="6" s="1"/>
  <c r="Y278" i="6" s="1"/>
  <c r="V277" i="6"/>
  <c r="W277" i="6" s="1"/>
  <c r="Y277" i="6" s="1"/>
  <c r="V276" i="6"/>
  <c r="W276" i="6" s="1"/>
  <c r="Y276" i="6" s="1"/>
  <c r="V275" i="6"/>
  <c r="W275" i="6" s="1"/>
  <c r="Y275" i="6" s="1"/>
  <c r="V274" i="6"/>
  <c r="W274" i="6" s="1"/>
  <c r="Y274" i="6" s="1"/>
  <c r="V273" i="6"/>
  <c r="W273" i="6" s="1"/>
  <c r="Y273" i="6" s="1"/>
  <c r="V272" i="6"/>
  <c r="W272" i="6" s="1"/>
  <c r="Y272" i="6" s="1"/>
  <c r="V271" i="6"/>
  <c r="W271" i="6" s="1"/>
  <c r="Y271" i="6" s="1"/>
  <c r="V270" i="6"/>
  <c r="W270" i="6" s="1"/>
  <c r="Y270" i="6" s="1"/>
  <c r="V269" i="6"/>
  <c r="W269" i="6" s="1"/>
  <c r="Y269" i="6" s="1"/>
  <c r="V268" i="6"/>
  <c r="W268" i="6" s="1"/>
  <c r="Y268" i="6" s="1"/>
  <c r="V267" i="6"/>
  <c r="W267" i="6" s="1"/>
  <c r="Y267" i="6" s="1"/>
  <c r="V266" i="6"/>
  <c r="W266" i="6" s="1"/>
  <c r="Y266" i="6" s="1"/>
  <c r="V265" i="6"/>
  <c r="W265" i="6" s="1"/>
  <c r="Y265" i="6" s="1"/>
  <c r="V264" i="6"/>
  <c r="W264" i="6" s="1"/>
  <c r="Y264" i="6" s="1"/>
  <c r="V263" i="6"/>
  <c r="W263" i="6" s="1"/>
  <c r="Y263" i="6" s="1"/>
  <c r="V262" i="6"/>
  <c r="W262" i="6" s="1"/>
  <c r="Y262" i="6" s="1"/>
  <c r="V261" i="6"/>
  <c r="W261" i="6" s="1"/>
  <c r="Y261" i="6" s="1"/>
  <c r="V260" i="6"/>
  <c r="W260" i="6" s="1"/>
  <c r="Y260" i="6" s="1"/>
  <c r="V99" i="6"/>
  <c r="W99" i="6" s="1"/>
  <c r="Y99" i="6" s="1"/>
  <c r="V259" i="6"/>
  <c r="W259" i="6" s="1"/>
  <c r="Y259" i="6" s="1"/>
  <c r="V258" i="6"/>
  <c r="W258" i="6" s="1"/>
  <c r="Y258" i="6" s="1"/>
  <c r="V257" i="6"/>
  <c r="W257" i="6" s="1"/>
  <c r="Y257" i="6" s="1"/>
  <c r="V256" i="6"/>
  <c r="W256" i="6" s="1"/>
  <c r="Y256" i="6" s="1"/>
  <c r="V255" i="6"/>
  <c r="W255" i="6" s="1"/>
  <c r="Y255" i="6" s="1"/>
  <c r="V254" i="6"/>
  <c r="W254" i="6" s="1"/>
  <c r="Y254" i="6" s="1"/>
  <c r="V253" i="6"/>
  <c r="W253" i="6" s="1"/>
  <c r="Y253" i="6" s="1"/>
  <c r="V252" i="6"/>
  <c r="W252" i="6" s="1"/>
  <c r="Y252" i="6" s="1"/>
  <c r="V251" i="6"/>
  <c r="W251" i="6" s="1"/>
  <c r="Y251" i="6" s="1"/>
  <c r="V250" i="6"/>
  <c r="W250" i="6" s="1"/>
  <c r="Y250" i="6" s="1"/>
  <c r="V249" i="6"/>
  <c r="W249" i="6" s="1"/>
  <c r="Y249" i="6" s="1"/>
  <c r="V248" i="6"/>
  <c r="W248" i="6" s="1"/>
  <c r="Y248" i="6" s="1"/>
  <c r="V247" i="6"/>
  <c r="W247" i="6" s="1"/>
  <c r="Y247" i="6" s="1"/>
  <c r="V246" i="6"/>
  <c r="W246" i="6" s="1"/>
  <c r="Y246" i="6" s="1"/>
  <c r="V245" i="6"/>
  <c r="W245" i="6" s="1"/>
  <c r="Y245" i="6" s="1"/>
  <c r="V244" i="6"/>
  <c r="W244" i="6" s="1"/>
  <c r="Y244" i="6" s="1"/>
  <c r="V243" i="6"/>
  <c r="W243" i="6" s="1"/>
  <c r="Y243" i="6" s="1"/>
  <c r="V242" i="6"/>
  <c r="W242" i="6" s="1"/>
  <c r="Y242" i="6" s="1"/>
  <c r="V241" i="6"/>
  <c r="W241" i="6" s="1"/>
  <c r="Y241" i="6" s="1"/>
  <c r="V240" i="6"/>
  <c r="W240" i="6" s="1"/>
  <c r="Y240" i="6" s="1"/>
  <c r="V239" i="6"/>
  <c r="W239" i="6" s="1"/>
  <c r="Y239" i="6" s="1"/>
  <c r="V238" i="6"/>
  <c r="W238" i="6" s="1"/>
  <c r="Y238" i="6" s="1"/>
  <c r="V237" i="6"/>
  <c r="W237" i="6" s="1"/>
  <c r="Y237" i="6" s="1"/>
  <c r="V236" i="6"/>
  <c r="W236" i="6" s="1"/>
  <c r="Y236" i="6" s="1"/>
  <c r="V235" i="6"/>
  <c r="W235" i="6" s="1"/>
  <c r="Y235" i="6" s="1"/>
  <c r="V234" i="6"/>
  <c r="W234" i="6" s="1"/>
  <c r="Y234" i="6" s="1"/>
  <c r="V233" i="6"/>
  <c r="W233" i="6" s="1"/>
  <c r="Y233" i="6" s="1"/>
  <c r="V232" i="6"/>
  <c r="W232" i="6" s="1"/>
  <c r="Y232" i="6" s="1"/>
  <c r="V98" i="6"/>
  <c r="W98" i="6" s="1"/>
  <c r="Y98" i="6" s="1"/>
  <c r="V231" i="6"/>
  <c r="W231" i="6" s="1"/>
  <c r="Y231" i="6" s="1"/>
  <c r="V230" i="6"/>
  <c r="W230" i="6" s="1"/>
  <c r="Y230" i="6" s="1"/>
  <c r="V229" i="6"/>
  <c r="W229" i="6" s="1"/>
  <c r="Y229" i="6" s="1"/>
  <c r="V228" i="6"/>
  <c r="W228" i="6" s="1"/>
  <c r="Y228" i="6" s="1"/>
  <c r="V227" i="6"/>
  <c r="W227" i="6" s="1"/>
  <c r="Y227" i="6" s="1"/>
  <c r="V226" i="6"/>
  <c r="W226" i="6" s="1"/>
  <c r="Y226" i="6" s="1"/>
  <c r="V225" i="6"/>
  <c r="W225" i="6" s="1"/>
  <c r="Y225" i="6" s="1"/>
  <c r="V224" i="6"/>
  <c r="W224" i="6" s="1"/>
  <c r="Y224" i="6" s="1"/>
  <c r="V223" i="6"/>
  <c r="W223" i="6" s="1"/>
  <c r="Y223" i="6" s="1"/>
  <c r="V222" i="6"/>
  <c r="W222" i="6" s="1"/>
  <c r="Y222" i="6" s="1"/>
  <c r="V221" i="6"/>
  <c r="W221" i="6" s="1"/>
  <c r="Y221" i="6" s="1"/>
  <c r="V220" i="6"/>
  <c r="W220" i="6" s="1"/>
  <c r="Y220" i="6" s="1"/>
  <c r="V219" i="6"/>
  <c r="W219" i="6" s="1"/>
  <c r="Y219" i="6" s="1"/>
  <c r="V218" i="6"/>
  <c r="W218" i="6" s="1"/>
  <c r="Y218" i="6" s="1"/>
  <c r="V217" i="6"/>
  <c r="W217" i="6" s="1"/>
  <c r="Y217" i="6" s="1"/>
  <c r="V216" i="6"/>
  <c r="W216" i="6" s="1"/>
  <c r="Y216" i="6" s="1"/>
  <c r="V215" i="6"/>
  <c r="W215" i="6" s="1"/>
  <c r="Y215" i="6" s="1"/>
  <c r="V214" i="6"/>
  <c r="W214" i="6" s="1"/>
  <c r="Y214" i="6" s="1"/>
  <c r="V213" i="6"/>
  <c r="W213" i="6" s="1"/>
  <c r="Y213" i="6" s="1"/>
  <c r="V212" i="6"/>
  <c r="W212" i="6" s="1"/>
  <c r="Y212" i="6" s="1"/>
  <c r="V211" i="6"/>
  <c r="W211" i="6" s="1"/>
  <c r="Y211" i="6" s="1"/>
  <c r="V210" i="6"/>
  <c r="W210" i="6" s="1"/>
  <c r="Y210" i="6" s="1"/>
  <c r="V209" i="6"/>
  <c r="W209" i="6" s="1"/>
  <c r="Y209" i="6" s="1"/>
  <c r="V208" i="6"/>
  <c r="W208" i="6" s="1"/>
  <c r="Y208" i="6" s="1"/>
  <c r="V207" i="6"/>
  <c r="W207" i="6" s="1"/>
  <c r="Y207" i="6" s="1"/>
  <c r="V206" i="6"/>
  <c r="W206" i="6" s="1"/>
  <c r="Y206" i="6" s="1"/>
  <c r="V205" i="6"/>
  <c r="W205" i="6" s="1"/>
  <c r="Y205" i="6" s="1"/>
  <c r="V204" i="6"/>
  <c r="W204" i="6" s="1"/>
  <c r="Y204" i="6" s="1"/>
  <c r="V203" i="6"/>
  <c r="W203" i="6" s="1"/>
  <c r="Y203" i="6" s="1"/>
  <c r="V202" i="6"/>
  <c r="W202" i="6" s="1"/>
  <c r="Y202" i="6" s="1"/>
  <c r="V201" i="6"/>
  <c r="W201" i="6" s="1"/>
  <c r="Y201" i="6" s="1"/>
  <c r="V200" i="6"/>
  <c r="W200" i="6" s="1"/>
  <c r="Y200" i="6" s="1"/>
  <c r="V199" i="6"/>
  <c r="W199" i="6" s="1"/>
  <c r="Y199" i="6" s="1"/>
  <c r="V198" i="6"/>
  <c r="W198" i="6" s="1"/>
  <c r="Y198" i="6" s="1"/>
  <c r="V197" i="6"/>
  <c r="W197" i="6" s="1"/>
  <c r="Y197" i="6" s="1"/>
  <c r="V196" i="6"/>
  <c r="W196" i="6" s="1"/>
  <c r="Y196" i="6" s="1"/>
  <c r="V195" i="6"/>
  <c r="W195" i="6" s="1"/>
  <c r="Y195" i="6" s="1"/>
  <c r="V194" i="6"/>
  <c r="W194" i="6" s="1"/>
  <c r="Y194" i="6" s="1"/>
  <c r="V193" i="6"/>
  <c r="W193" i="6" s="1"/>
  <c r="Y193" i="6" s="1"/>
  <c r="V192" i="6"/>
  <c r="W192" i="6" s="1"/>
  <c r="Y192" i="6" s="1"/>
  <c r="V191" i="6"/>
  <c r="W191" i="6" s="1"/>
  <c r="Y191" i="6" s="1"/>
  <c r="V190" i="6"/>
  <c r="W190" i="6" s="1"/>
  <c r="Y190" i="6" s="1"/>
  <c r="V189" i="6"/>
  <c r="W189" i="6" s="1"/>
  <c r="Y189" i="6" s="1"/>
  <c r="V188" i="6"/>
  <c r="W188" i="6" s="1"/>
  <c r="Y188" i="6" s="1"/>
  <c r="V187" i="6"/>
  <c r="W187" i="6" s="1"/>
  <c r="Y187" i="6" s="1"/>
  <c r="V186" i="6"/>
  <c r="W186" i="6" s="1"/>
  <c r="Y186" i="6" s="1"/>
  <c r="V185" i="6"/>
  <c r="W185" i="6" s="1"/>
  <c r="Y185" i="6" s="1"/>
  <c r="V184" i="6"/>
  <c r="W184" i="6" s="1"/>
  <c r="Y184" i="6" s="1"/>
  <c r="V183" i="6"/>
  <c r="W183" i="6" s="1"/>
  <c r="Y183" i="6" s="1"/>
  <c r="V182" i="6"/>
  <c r="W182" i="6" s="1"/>
  <c r="Y182" i="6" s="1"/>
  <c r="V181" i="6"/>
  <c r="W181" i="6" s="1"/>
  <c r="Y181" i="6" s="1"/>
  <c r="V180" i="6"/>
  <c r="W180" i="6" s="1"/>
  <c r="Y180" i="6" s="1"/>
  <c r="V179" i="6"/>
  <c r="W179" i="6" s="1"/>
  <c r="Y179" i="6" s="1"/>
  <c r="V178" i="6"/>
  <c r="W178" i="6" s="1"/>
  <c r="Y178" i="6" s="1"/>
  <c r="V177" i="6"/>
  <c r="W177" i="6" s="1"/>
  <c r="Y177" i="6" s="1"/>
  <c r="V97" i="6"/>
  <c r="W97" i="6" s="1"/>
  <c r="Y97" i="6" s="1"/>
  <c r="V176" i="6"/>
  <c r="W176" i="6" s="1"/>
  <c r="Y176" i="6" s="1"/>
  <c r="V175" i="6"/>
  <c r="W175" i="6" s="1"/>
  <c r="Y175" i="6" s="1"/>
  <c r="V174" i="6"/>
  <c r="W174" i="6" s="1"/>
  <c r="Y174" i="6" s="1"/>
  <c r="V173" i="6"/>
  <c r="W173" i="6" s="1"/>
  <c r="Y173" i="6" s="1"/>
  <c r="V172" i="6"/>
  <c r="W172" i="6" s="1"/>
  <c r="Y172" i="6" s="1"/>
  <c r="V171" i="6"/>
  <c r="W171" i="6" s="1"/>
  <c r="Y171" i="6" s="1"/>
  <c r="V170" i="6"/>
  <c r="W170" i="6" s="1"/>
  <c r="Y170" i="6" s="1"/>
  <c r="V169" i="6"/>
  <c r="W169" i="6" s="1"/>
  <c r="Y169" i="6" s="1"/>
  <c r="V168" i="6"/>
  <c r="W168" i="6" s="1"/>
  <c r="Y168" i="6" s="1"/>
  <c r="V167" i="6"/>
  <c r="W167" i="6" s="1"/>
  <c r="Y167" i="6" s="1"/>
  <c r="V166" i="6"/>
  <c r="W166" i="6" s="1"/>
  <c r="Y166" i="6" s="1"/>
  <c r="V165" i="6"/>
  <c r="W165" i="6" s="1"/>
  <c r="Y165" i="6" s="1"/>
  <c r="V164" i="6"/>
  <c r="W164" i="6" s="1"/>
  <c r="Y164" i="6" s="1"/>
  <c r="V163" i="6"/>
  <c r="W163" i="6" s="1"/>
  <c r="Y163" i="6" s="1"/>
  <c r="V162" i="6"/>
  <c r="W162" i="6" s="1"/>
  <c r="Y162" i="6" s="1"/>
  <c r="V161" i="6"/>
  <c r="W161" i="6" s="1"/>
  <c r="Y161" i="6" s="1"/>
  <c r="V160" i="6"/>
  <c r="W160" i="6" s="1"/>
  <c r="Y160" i="6" s="1"/>
  <c r="V159" i="6"/>
  <c r="W159" i="6" s="1"/>
  <c r="Y159" i="6" s="1"/>
  <c r="V158" i="6"/>
  <c r="W158" i="6" s="1"/>
  <c r="Y158" i="6" s="1"/>
  <c r="V157" i="6"/>
  <c r="W157" i="6" s="1"/>
  <c r="Y157" i="6" s="1"/>
  <c r="V156" i="6"/>
  <c r="W156" i="6" s="1"/>
  <c r="Y156" i="6" s="1"/>
  <c r="V155" i="6"/>
  <c r="W155" i="6" s="1"/>
  <c r="Y155" i="6" s="1"/>
  <c r="V154" i="6"/>
  <c r="W154" i="6" s="1"/>
  <c r="Y154" i="6" s="1"/>
  <c r="V153" i="6"/>
  <c r="W153" i="6" s="1"/>
  <c r="Y153" i="6" s="1"/>
  <c r="V96" i="6"/>
  <c r="W96" i="6" s="1"/>
  <c r="Y96" i="6" s="1"/>
  <c r="V84" i="6"/>
  <c r="W84" i="6" s="1"/>
  <c r="Y84" i="6" s="1"/>
  <c r="V152" i="6"/>
  <c r="W152" i="6" s="1"/>
  <c r="Y152" i="6" s="1"/>
  <c r="V151" i="6"/>
  <c r="W151" i="6" s="1"/>
  <c r="Y151" i="6" s="1"/>
  <c r="V150" i="6"/>
  <c r="W150" i="6" s="1"/>
  <c r="Y150" i="6" s="1"/>
  <c r="V149" i="6"/>
  <c r="W149" i="6" s="1"/>
  <c r="Y149" i="6" s="1"/>
  <c r="V148" i="6"/>
  <c r="W148" i="6" s="1"/>
  <c r="Y148" i="6" s="1"/>
  <c r="V147" i="6"/>
  <c r="W147" i="6" s="1"/>
  <c r="Y147" i="6" s="1"/>
  <c r="V146" i="6"/>
  <c r="W146" i="6" s="1"/>
  <c r="Y146" i="6" s="1"/>
  <c r="V145" i="6"/>
  <c r="W145" i="6" s="1"/>
  <c r="Y145" i="6" s="1"/>
  <c r="V144" i="6"/>
  <c r="W144" i="6" s="1"/>
  <c r="Y144" i="6" s="1"/>
  <c r="V143" i="6"/>
  <c r="W143" i="6" s="1"/>
  <c r="Y143" i="6" s="1"/>
  <c r="V142" i="6"/>
  <c r="W142" i="6" s="1"/>
  <c r="Y142" i="6" s="1"/>
  <c r="V141" i="6"/>
  <c r="W141" i="6" s="1"/>
  <c r="Y141" i="6" s="1"/>
  <c r="V140" i="6"/>
  <c r="W140" i="6" s="1"/>
  <c r="Y140" i="6" s="1"/>
  <c r="V139" i="6"/>
  <c r="W139" i="6" s="1"/>
  <c r="Y139" i="6" s="1"/>
  <c r="V138" i="6"/>
  <c r="W138" i="6" s="1"/>
  <c r="Y138" i="6" s="1"/>
  <c r="V95" i="6"/>
  <c r="W95" i="6" s="1"/>
  <c r="Y95" i="6" s="1"/>
  <c r="V137" i="6"/>
  <c r="W137" i="6" s="1"/>
  <c r="Y137" i="6" s="1"/>
  <c r="V136" i="6"/>
  <c r="W136" i="6" s="1"/>
  <c r="Y136" i="6" s="1"/>
  <c r="V135" i="6"/>
  <c r="W135" i="6" s="1"/>
  <c r="Y135" i="6" s="1"/>
  <c r="V134" i="6"/>
  <c r="W134" i="6" s="1"/>
  <c r="Y134" i="6" s="1"/>
  <c r="V133" i="6"/>
  <c r="W133" i="6" s="1"/>
  <c r="Y133" i="6" s="1"/>
  <c r="V132" i="6"/>
  <c r="W132" i="6" s="1"/>
  <c r="Y132" i="6" s="1"/>
  <c r="V94" i="6"/>
  <c r="W94" i="6" s="1"/>
  <c r="Y94" i="6" s="1"/>
  <c r="V131" i="6"/>
  <c r="W131" i="6" s="1"/>
  <c r="Y131" i="6" s="1"/>
  <c r="V130" i="6"/>
  <c r="W130" i="6" s="1"/>
  <c r="Y130" i="6" s="1"/>
  <c r="V129" i="6"/>
  <c r="W129" i="6" s="1"/>
  <c r="Y129" i="6" s="1"/>
  <c r="V128" i="6"/>
  <c r="W128" i="6" s="1"/>
  <c r="Y128" i="6" s="1"/>
  <c r="V127" i="6"/>
  <c r="W127" i="6" s="1"/>
  <c r="Y127" i="6" s="1"/>
  <c r="V126" i="6"/>
  <c r="W126" i="6" s="1"/>
  <c r="Y126" i="6" s="1"/>
  <c r="V125" i="6"/>
  <c r="W125" i="6" s="1"/>
  <c r="Y125" i="6" s="1"/>
  <c r="V124" i="6"/>
  <c r="W124" i="6" s="1"/>
  <c r="Y124" i="6" s="1"/>
  <c r="V123" i="6"/>
  <c r="W123" i="6" s="1"/>
  <c r="Y123" i="6" s="1"/>
  <c r="V122" i="6"/>
  <c r="W122" i="6" s="1"/>
  <c r="Y122" i="6" s="1"/>
  <c r="V121" i="6"/>
  <c r="W121" i="6" s="1"/>
  <c r="Y121" i="6" s="1"/>
  <c r="V120" i="6"/>
  <c r="W120" i="6" s="1"/>
  <c r="Y120" i="6" s="1"/>
  <c r="V119" i="6"/>
  <c r="W119" i="6" s="1"/>
  <c r="Y119" i="6" s="1"/>
  <c r="V118" i="6"/>
  <c r="W118" i="6" s="1"/>
  <c r="Y118" i="6" s="1"/>
  <c r="V117" i="6"/>
  <c r="W117" i="6" s="1"/>
  <c r="Y117" i="6" s="1"/>
  <c r="V116" i="6"/>
  <c r="W116" i="6" s="1"/>
  <c r="Y116" i="6" s="1"/>
  <c r="V115" i="6"/>
  <c r="W115" i="6" s="1"/>
  <c r="Y115" i="6" s="1"/>
  <c r="V114" i="6"/>
  <c r="W114" i="6" s="1"/>
  <c r="Y114" i="6" s="1"/>
  <c r="V113" i="6"/>
  <c r="W113" i="6" s="1"/>
  <c r="Y113" i="6" s="1"/>
  <c r="V112" i="6"/>
  <c r="W112" i="6" s="1"/>
  <c r="Y112" i="6" s="1"/>
  <c r="V111" i="6"/>
  <c r="W111" i="6" s="1"/>
  <c r="Y111" i="6" s="1"/>
  <c r="V110" i="6"/>
  <c r="W110" i="6" s="1"/>
  <c r="Y110" i="6" s="1"/>
  <c r="V109" i="6"/>
  <c r="W109" i="6" s="1"/>
  <c r="Y109" i="6" s="1"/>
  <c r="V108" i="6"/>
  <c r="W108" i="6" s="1"/>
  <c r="Y108" i="6" s="1"/>
  <c r="V107" i="6"/>
  <c r="W107" i="6" s="1"/>
  <c r="Y107" i="6" s="1"/>
  <c r="Y301" i="6" l="1"/>
  <c r="W57" i="7"/>
  <c r="W56" i="7"/>
  <c r="W55" i="7"/>
  <c r="W54" i="7"/>
  <c r="W53" i="7"/>
  <c r="W52" i="7"/>
  <c r="W14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5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4" i="7"/>
  <c r="W18" i="7"/>
  <c r="W17" i="7"/>
  <c r="W13" i="7"/>
  <c r="Y51" i="7" l="1"/>
  <c r="Y17" i="7"/>
  <c r="Y24" i="7"/>
  <c r="Y32" i="7"/>
  <c r="Y43" i="7"/>
  <c r="Y54" i="7"/>
  <c r="Y25" i="7"/>
  <c r="Y5" i="7"/>
  <c r="Y48" i="7"/>
  <c r="Y55" i="7"/>
  <c r="Y4" i="7"/>
  <c r="Y22" i="7"/>
  <c r="Y26" i="7"/>
  <c r="Y30" i="7"/>
  <c r="Y34" i="7"/>
  <c r="Y37" i="7"/>
  <c r="Y41" i="7"/>
  <c r="Y45" i="7"/>
  <c r="Y49" i="7"/>
  <c r="Y52" i="7"/>
  <c r="Y56" i="7"/>
  <c r="Y20" i="7"/>
  <c r="Y28" i="7"/>
  <c r="Y36" i="7"/>
  <c r="Y39" i="7"/>
  <c r="Y47" i="7"/>
  <c r="Y18" i="7"/>
  <c r="Y21" i="7"/>
  <c r="Y29" i="7"/>
  <c r="Y33" i="7"/>
  <c r="Y40" i="7"/>
  <c r="Y44" i="7"/>
  <c r="Y14" i="7"/>
  <c r="Y13" i="7"/>
  <c r="Y19" i="7"/>
  <c r="Y23" i="7"/>
  <c r="Y27" i="7"/>
  <c r="Y31" i="7"/>
  <c r="Y35" i="7"/>
  <c r="Y38" i="7"/>
  <c r="Y42" i="7"/>
  <c r="Y46" i="7"/>
  <c r="Y50" i="7"/>
  <c r="Y53" i="7"/>
  <c r="Y57" i="7"/>
  <c r="W3" i="7"/>
  <c r="W2" i="7"/>
  <c r="Y58" i="7" l="1"/>
  <c r="Y3" i="7"/>
  <c r="Y2" i="7"/>
  <c r="V60" i="6"/>
  <c r="W60" i="6" s="1"/>
  <c r="V22" i="6"/>
  <c r="W22" i="6" s="1"/>
  <c r="V50" i="6"/>
  <c r="W50" i="6" s="1"/>
  <c r="V43" i="6"/>
  <c r="W43" i="6" s="1"/>
  <c r="V55" i="6"/>
  <c r="W55" i="6" s="1"/>
  <c r="V20" i="6"/>
  <c r="W20" i="6" s="1"/>
  <c r="Y43" i="6" l="1"/>
  <c r="Y20" i="6"/>
  <c r="Y22" i="6"/>
  <c r="Y50" i="6"/>
  <c r="Y55" i="6"/>
  <c r="Y60" i="6"/>
  <c r="V27" i="6"/>
  <c r="W27" i="6" s="1"/>
  <c r="V33" i="6"/>
  <c r="W33" i="6" s="1"/>
  <c r="V46" i="6"/>
  <c r="W46" i="6" s="1"/>
  <c r="V47" i="6"/>
  <c r="W47" i="6" s="1"/>
  <c r="V81" i="6"/>
  <c r="W81" i="6" s="1"/>
  <c r="V79" i="6"/>
  <c r="W79" i="6" s="1"/>
  <c r="V78" i="6"/>
  <c r="W78" i="6" s="1"/>
  <c r="V80" i="6"/>
  <c r="W80" i="6" s="1"/>
  <c r="V52" i="6"/>
  <c r="W52" i="6" s="1"/>
  <c r="V82" i="6"/>
  <c r="W82" i="6" s="1"/>
  <c r="V65" i="6"/>
  <c r="W65" i="6" s="1"/>
  <c r="V19" i="6"/>
  <c r="W19" i="6" s="1"/>
  <c r="V40" i="6"/>
  <c r="W40" i="6" s="1"/>
  <c r="V30" i="6"/>
  <c r="W30" i="6" s="1"/>
  <c r="V51" i="6"/>
  <c r="W51" i="6" s="1"/>
  <c r="V23" i="6"/>
  <c r="W23" i="6" s="1"/>
  <c r="V45" i="6"/>
  <c r="W45" i="6" s="1"/>
  <c r="V25" i="6"/>
  <c r="W25" i="6" s="1"/>
  <c r="V35" i="6"/>
  <c r="W35" i="6" s="1"/>
  <c r="V77" i="6"/>
  <c r="W77" i="6" s="1"/>
  <c r="V18" i="6"/>
  <c r="W18" i="6" s="1"/>
  <c r="V14" i="6"/>
  <c r="W14" i="6" s="1"/>
  <c r="V58" i="6"/>
  <c r="W58" i="6" s="1"/>
  <c r="V44" i="6"/>
  <c r="W44" i="6" s="1"/>
  <c r="V32" i="6"/>
  <c r="W32" i="6" s="1"/>
  <c r="V66" i="6"/>
  <c r="W66" i="6" s="1"/>
  <c r="V76" i="6"/>
  <c r="W76" i="6" s="1"/>
  <c r="V12" i="6"/>
  <c r="W12" i="6" s="1"/>
  <c r="V68" i="6"/>
  <c r="W68" i="6" s="1"/>
  <c r="V3" i="6"/>
  <c r="W3" i="6" s="1"/>
  <c r="V67" i="6"/>
  <c r="W67" i="6" s="1"/>
  <c r="V11" i="6"/>
  <c r="W11" i="6" s="1"/>
  <c r="V56" i="6"/>
  <c r="W56" i="6" s="1"/>
  <c r="V38" i="6"/>
  <c r="W38" i="6" s="1"/>
  <c r="V64" i="6"/>
  <c r="W64" i="6" s="1"/>
  <c r="V54" i="6"/>
  <c r="W54" i="6" s="1"/>
  <c r="V63" i="6"/>
  <c r="W63" i="6" s="1"/>
  <c r="V5" i="6"/>
  <c r="W5" i="6" s="1"/>
  <c r="V93" i="6"/>
  <c r="W93" i="6" s="1"/>
  <c r="V37" i="6"/>
  <c r="W37" i="6" s="1"/>
  <c r="V36" i="6"/>
  <c r="W36" i="6" s="1"/>
  <c r="V57" i="6"/>
  <c r="W57" i="6" s="1"/>
  <c r="V90" i="6"/>
  <c r="W90" i="6" s="1"/>
  <c r="V61" i="6"/>
  <c r="W61" i="6" s="1"/>
  <c r="V24" i="6"/>
  <c r="W24" i="6" s="1"/>
  <c r="V28" i="6"/>
  <c r="W28" i="6" s="1"/>
  <c r="V49" i="6"/>
  <c r="W49" i="6" s="1"/>
  <c r="V17" i="6"/>
  <c r="W17" i="6" s="1"/>
  <c r="V88" i="6"/>
  <c r="W88" i="6" s="1"/>
  <c r="V29" i="6"/>
  <c r="W29" i="6" s="1"/>
  <c r="V62" i="6"/>
  <c r="W62" i="6" s="1"/>
  <c r="V6" i="6"/>
  <c r="W6" i="6" s="1"/>
  <c r="V4" i="6"/>
  <c r="W4" i="6" s="1"/>
  <c r="V10" i="6"/>
  <c r="W10" i="6" s="1"/>
  <c r="V15" i="6"/>
  <c r="W15" i="6" s="1"/>
  <c r="V75" i="6"/>
  <c r="W75" i="6" s="1"/>
  <c r="V53" i="6"/>
  <c r="W53" i="6" s="1"/>
  <c r="V9" i="6"/>
  <c r="W9" i="6" s="1"/>
  <c r="V8" i="6"/>
  <c r="W8" i="6" s="1"/>
  <c r="V7" i="6"/>
  <c r="W7" i="6" s="1"/>
  <c r="V13" i="6"/>
  <c r="W13" i="6" s="1"/>
  <c r="V69" i="6"/>
  <c r="W69" i="6" s="1"/>
  <c r="V89" i="6"/>
  <c r="W89" i="6" s="1"/>
  <c r="V48" i="6"/>
  <c r="W48" i="6" s="1"/>
  <c r="V92" i="6"/>
  <c r="W92" i="6" s="1"/>
  <c r="V21" i="6"/>
  <c r="W21" i="6" s="1"/>
  <c r="V39" i="6"/>
  <c r="W39" i="6" s="1"/>
  <c r="V2" i="6"/>
  <c r="W2" i="6" s="1"/>
  <c r="V74" i="6"/>
  <c r="W74" i="6" s="1"/>
  <c r="V73" i="6"/>
  <c r="W73" i="6" s="1"/>
  <c r="V72" i="6"/>
  <c r="W72" i="6" s="1"/>
  <c r="V91" i="6"/>
  <c r="W91" i="6" s="1"/>
  <c r="V71" i="6"/>
  <c r="W71" i="6" s="1"/>
  <c r="V70" i="6"/>
  <c r="W70" i="6" s="1"/>
  <c r="V83" i="6"/>
  <c r="W83" i="6" s="1"/>
  <c r="V31" i="6"/>
  <c r="W31" i="6" s="1"/>
  <c r="V34" i="6"/>
  <c r="W34" i="6" s="1"/>
  <c r="V26" i="6"/>
  <c r="W26" i="6" s="1"/>
  <c r="V42" i="6"/>
  <c r="W42" i="6" s="1"/>
  <c r="V59" i="6"/>
  <c r="W59" i="6" s="1"/>
  <c r="V16" i="6"/>
  <c r="W16" i="6" s="1"/>
  <c r="V41" i="6"/>
  <c r="W41" i="6" s="1"/>
  <c r="Y31" i="6" l="1"/>
  <c r="Y2" i="6"/>
  <c r="Y7" i="6"/>
  <c r="Y6" i="6"/>
  <c r="Y61" i="6"/>
  <c r="Y54" i="6"/>
  <c r="Y12" i="6"/>
  <c r="Y77" i="6"/>
  <c r="Y19" i="6"/>
  <c r="Y47" i="6"/>
  <c r="Y42" i="6"/>
  <c r="Y72" i="6"/>
  <c r="Y89" i="6"/>
  <c r="Y15" i="6"/>
  <c r="Y49" i="6"/>
  <c r="Y93" i="6"/>
  <c r="Y67" i="6"/>
  <c r="Y58" i="6"/>
  <c r="Y35" i="6"/>
  <c r="Y65" i="6"/>
  <c r="Y46" i="6"/>
  <c r="Y41" i="6"/>
  <c r="Y26" i="6"/>
  <c r="Y70" i="6"/>
  <c r="Y73" i="6"/>
  <c r="Y21" i="6"/>
  <c r="Y69" i="6"/>
  <c r="Y9" i="6"/>
  <c r="Y10" i="6"/>
  <c r="Y29" i="6"/>
  <c r="Y28" i="6"/>
  <c r="Y57" i="6"/>
  <c r="Y5" i="6"/>
  <c r="Y38" i="6"/>
  <c r="Y3" i="6"/>
  <c r="Y66" i="6"/>
  <c r="Y14" i="6"/>
  <c r="Y25" i="6"/>
  <c r="Y30" i="6"/>
  <c r="Y82" i="6"/>
  <c r="Y79" i="6"/>
  <c r="Y33" i="6"/>
  <c r="Y59" i="6"/>
  <c r="Y91" i="6"/>
  <c r="Y48" i="6"/>
  <c r="Y75" i="6"/>
  <c r="Y17" i="6"/>
  <c r="Y37" i="6"/>
  <c r="Y11" i="6"/>
  <c r="Y44" i="6"/>
  <c r="Y23" i="6"/>
  <c r="Y80" i="6"/>
  <c r="Y83" i="6"/>
  <c r="Y39" i="6"/>
  <c r="Y8" i="6"/>
  <c r="Y62" i="6"/>
  <c r="Y90" i="6"/>
  <c r="Y64" i="6"/>
  <c r="Y76" i="6"/>
  <c r="Y51" i="6"/>
  <c r="Y78" i="6"/>
  <c r="Y16" i="6"/>
  <c r="Y34" i="6"/>
  <c r="Y71" i="6"/>
  <c r="Y74" i="6"/>
  <c r="Y92" i="6"/>
  <c r="Y13" i="6"/>
  <c r="Y53" i="6"/>
  <c r="Y4" i="6"/>
  <c r="Y88" i="6"/>
  <c r="Y24" i="6"/>
  <c r="Y36" i="6"/>
  <c r="Y63" i="6"/>
  <c r="Y56" i="6"/>
  <c r="Y68" i="6"/>
  <c r="Y32" i="6"/>
  <c r="Y18" i="6"/>
  <c r="Y45" i="6"/>
  <c r="Y40" i="6"/>
  <c r="Y52" i="6"/>
  <c r="Y81" i="6"/>
  <c r="Y27" i="6"/>
  <c r="S123" i="2"/>
</calcChain>
</file>

<file path=xl/sharedStrings.xml><?xml version="1.0" encoding="utf-8"?>
<sst xmlns="http://schemas.openxmlformats.org/spreadsheetml/2006/main" count="12729" uniqueCount="4596">
  <si>
    <t>S.No.</t>
  </si>
  <si>
    <t>Policy</t>
  </si>
  <si>
    <t>Endorsement</t>
  </si>
  <si>
    <t>Issue Date</t>
  </si>
  <si>
    <t>Period
From</t>
  </si>
  <si>
    <t>Period
To</t>
  </si>
  <si>
    <t>Client
Code</t>
  </si>
  <si>
    <t>Client Name</t>
  </si>
  <si>
    <t>Insured Name</t>
  </si>
  <si>
    <t>Make</t>
  </si>
  <si>
    <t>Model</t>
  </si>
  <si>
    <t>Reg No</t>
  </si>
  <si>
    <t>Engine</t>
  </si>
  <si>
    <t>Chassis</t>
  </si>
  <si>
    <t>Bank P.O No.</t>
  </si>
  <si>
    <t>Sum Covered</t>
  </si>
  <si>
    <t>Gross</t>
  </si>
  <si>
    <t xml:space="preserve">Net </t>
  </si>
  <si>
    <t>Outstanding</t>
  </si>
  <si>
    <t>CNIC</t>
  </si>
  <si>
    <t>MOBILE</t>
  </si>
  <si>
    <t>Fre / Ren / Roll</t>
  </si>
  <si>
    <t xml:space="preserve"> 08004499</t>
  </si>
  <si>
    <t xml:space="preserve"> AL BARAKA BANK (PAKISTAN) LIMITED</t>
  </si>
  <si>
    <t>SUZUKI CULTUS VXR EURO-II</t>
  </si>
  <si>
    <t>2017</t>
  </si>
  <si>
    <t>REN</t>
  </si>
  <si>
    <t>KHI/HO/D/MO/PC COMP/C/100245/13/10/2024</t>
  </si>
  <si>
    <t>M/S. Al Baraka Bank (Pakistan) Limited 
User:Abdul Raheem Khan</t>
  </si>
  <si>
    <t>SUZUKI ALTO VXR E-2</t>
  </si>
  <si>
    <t>2022</t>
  </si>
  <si>
    <t>AMC-809</t>
  </si>
  <si>
    <t>6R250482</t>
  </si>
  <si>
    <t>1150468</t>
  </si>
  <si>
    <t>3520113900661</t>
  </si>
  <si>
    <t>0321-9460000</t>
  </si>
  <si>
    <t>KHI/HO/D/MO/PC COMP/C/100245/148/10/2024</t>
  </si>
  <si>
    <t>M/S. Al Baraka Bank (Pakistan) Limited 
User:Khawaja Adnan Farqalet</t>
  </si>
  <si>
    <t>HYUNDAI ELANTRA 2.0 MP1 A</t>
  </si>
  <si>
    <t>ALZ-424</t>
  </si>
  <si>
    <t>633253</t>
  </si>
  <si>
    <t>304093</t>
  </si>
  <si>
    <t>3130141526033</t>
  </si>
  <si>
    <t>0300-3212333</t>
  </si>
  <si>
    <t>KHI/HO/D/MO/PC COMP/C/100245/15/10/2024</t>
  </si>
  <si>
    <t>M/S. Al Baraka Bank (Pakistan) Limited 
User:Muhammad Imran</t>
  </si>
  <si>
    <t>SUZUKI ALTO</t>
  </si>
  <si>
    <t>AMJ-926</t>
  </si>
  <si>
    <t>6R250637</t>
  </si>
  <si>
    <t>H1150643</t>
  </si>
  <si>
    <t>3520106651813</t>
  </si>
  <si>
    <t>0322-9333300</t>
  </si>
  <si>
    <t>KHI/HO/D/MO/PC COMP/C/100245/16/10/2024</t>
  </si>
  <si>
    <t>M/S. Al Baraka Bank (Pakistan) Limited 
User:Rehan Mehmood</t>
  </si>
  <si>
    <t>SUZUKI ALTO VX EURO II</t>
  </si>
  <si>
    <t>AMD-568</t>
  </si>
  <si>
    <t>250961</t>
  </si>
  <si>
    <t>1150921</t>
  </si>
  <si>
    <t>3640115109781</t>
  </si>
  <si>
    <t>0333-4977723</t>
  </si>
  <si>
    <t>KHI/HO/D/MO/PC COMP/C/100245/168/10/2024</t>
  </si>
  <si>
    <t>M/S. Al Baraka Bank (Pakistan) Limited 
User:Layon Ivan Patrick Lobo</t>
  </si>
  <si>
    <t>HONDA CITY 1.2  LS CVT</t>
  </si>
  <si>
    <t>2023</t>
  </si>
  <si>
    <t>BZB-199</t>
  </si>
  <si>
    <t>51019539</t>
  </si>
  <si>
    <t>034236</t>
  </si>
  <si>
    <t>4220198430769</t>
  </si>
  <si>
    <t>0300-8257704</t>
  </si>
  <si>
    <t>KHI/HO/D/MO/PC COMP/C/100245/17/10/2024</t>
  </si>
  <si>
    <t>M/S. Al Baraka Bank (Pakistan) Limited 
User:Nehal Ahmed</t>
  </si>
  <si>
    <t>SUZUKI ALTO VXL AGS E-2</t>
  </si>
  <si>
    <t>BAW-147</t>
  </si>
  <si>
    <t>6R253021</t>
  </si>
  <si>
    <t>H-1153014</t>
  </si>
  <si>
    <t>5230103220055</t>
  </si>
  <si>
    <t>0333-7887700</t>
  </si>
  <si>
    <t>KHI/HO/D/MO/PC COMP/C/100245/26/10/2024</t>
  </si>
  <si>
    <t>M/S. Al Baraka Bank (Pakistan) Limited 
User:Aziz Batool</t>
  </si>
  <si>
    <t>2021</t>
  </si>
  <si>
    <t>AVH-254</t>
  </si>
  <si>
    <t>187234</t>
  </si>
  <si>
    <t>1087224</t>
  </si>
  <si>
    <t>3720192460774</t>
  </si>
  <si>
    <t>0343-1969934</t>
  </si>
  <si>
    <t>KHI/HO/D/MO/PC COMP/C/100245/28/10/2024</t>
  </si>
  <si>
    <t>M/S. Al Baraka Bank (Pakistan) Limited 
User:Imran Haider Leghari</t>
  </si>
  <si>
    <t>AFV-613</t>
  </si>
  <si>
    <t>187642</t>
  </si>
  <si>
    <t>1087640</t>
  </si>
  <si>
    <t>3210260846063</t>
  </si>
  <si>
    <t>0333-6474347</t>
  </si>
  <si>
    <t>KHI/HO/D/MO/PC COMP/C/100245/40/10/2024</t>
  </si>
  <si>
    <t>M/S. Al Baraka Bank (Pakistan) Limited 
User:Muhammad Imran Khan</t>
  </si>
  <si>
    <t>TOYOTA COROLLA ALTIS VVT-</t>
  </si>
  <si>
    <t>2020</t>
  </si>
  <si>
    <t>ART-351</t>
  </si>
  <si>
    <t>Q067506</t>
  </si>
  <si>
    <t>6045004</t>
  </si>
  <si>
    <t>3540219739381</t>
  </si>
  <si>
    <t>0300-4041366</t>
  </si>
  <si>
    <t>KHI/HO/D/MO/PC COMP/C/100245/54/10/2024</t>
  </si>
  <si>
    <t>M/S. Al Baraka Bank (Pakistan) Limited 
User:Syeda Zehra Batool</t>
  </si>
  <si>
    <t>BSL-343</t>
  </si>
  <si>
    <t>142335</t>
  </si>
  <si>
    <t>1042275</t>
  </si>
  <si>
    <t>4210169995720</t>
  </si>
  <si>
    <t>0335-3053466</t>
  </si>
  <si>
    <t>SUZUKI HUSTLER</t>
  </si>
  <si>
    <t>2014</t>
  </si>
  <si>
    <t>KHI/HO/D/MO/PC COMP/C/100245/62/10/2024</t>
  </si>
  <si>
    <t>M/S. Al Baraka Bank (Pakistan) Limited 
User:Salman Ali</t>
  </si>
  <si>
    <t>PRINCE PEARL</t>
  </si>
  <si>
    <t>AAT-347</t>
  </si>
  <si>
    <t>K12611481W</t>
  </si>
  <si>
    <t>RAILPPM20E00125</t>
  </si>
  <si>
    <t>3120251917929</t>
  </si>
  <si>
    <t>0308-8208208</t>
  </si>
  <si>
    <t>KHI/HO/D/MO/PC COMP/C/100245/7/10/2024</t>
  </si>
  <si>
    <t>M/S. Al Baraka Bank (Pakistan) Limited 
User:Malik Javed</t>
  </si>
  <si>
    <t>HONDA N BOX</t>
  </si>
  <si>
    <t>LE-19A-6513</t>
  </si>
  <si>
    <t>S07A 1766029</t>
  </si>
  <si>
    <t>JF1-1505594</t>
  </si>
  <si>
    <t>3520198476263</t>
  </si>
  <si>
    <t>0301-4465015</t>
  </si>
  <si>
    <t>KHI/HO/D/MO/PC COMP/C/101342/1/11/2024</t>
  </si>
  <si>
    <t>Mr. Muhammad Ayaz
Hpa M/S. Al Baraka Bank Pakitan Limited</t>
  </si>
  <si>
    <t>SUZUKI CULTUS</t>
  </si>
  <si>
    <t>2024</t>
  </si>
  <si>
    <t>211066</t>
  </si>
  <si>
    <t>10111066</t>
  </si>
  <si>
    <t>0567-0158403371095</t>
  </si>
  <si>
    <t>32102-0974587-9</t>
  </si>
  <si>
    <t>0333-6488267</t>
  </si>
  <si>
    <t>FRE</t>
  </si>
  <si>
    <t>KHI/HO/D/MO/PC COMP/C/101342/10/11/2024</t>
  </si>
  <si>
    <t>Mr. Suleman Ghufrani
Hpa M/S. Al Baraka Bank Pakitan Limited</t>
  </si>
  <si>
    <t>BYF-059</t>
  </si>
  <si>
    <t>4603174W</t>
  </si>
  <si>
    <t>04244</t>
  </si>
  <si>
    <t>0144-0158662200017</t>
  </si>
  <si>
    <t>42401-7461409-5</t>
  </si>
  <si>
    <t>03243313987</t>
  </si>
  <si>
    <t>KHI/HO/D/MO/PC COMP/C/101342/11/11/2024</t>
  </si>
  <si>
    <t>Mr. Muhammad Asghar
Hpa M/S. Al Baraka Bank Pakitan Limited</t>
  </si>
  <si>
    <t>2019</t>
  </si>
  <si>
    <t>LE-19A-8013</t>
  </si>
  <si>
    <t>6R111597</t>
  </si>
  <si>
    <t>H1011547</t>
  </si>
  <si>
    <t>0329-0158296002093</t>
  </si>
  <si>
    <t>0300-1868767</t>
  </si>
  <si>
    <t>35201-8547758-3</t>
  </si>
  <si>
    <t>KHI/HO/D/MO/PC COMP/C/101342/12/11/2024</t>
  </si>
  <si>
    <t>Mr. Yashwa 
Hpa M/S. Al Baraka Bank Pakitan Limited</t>
  </si>
  <si>
    <t>SUZUKI WAGON-R</t>
  </si>
  <si>
    <t>2018</t>
  </si>
  <si>
    <t>LEE-18-4617</t>
  </si>
  <si>
    <t>159369</t>
  </si>
  <si>
    <t>10059359</t>
  </si>
  <si>
    <t>0329-0158657010017</t>
  </si>
  <si>
    <t>35202-1038412-1</t>
  </si>
  <si>
    <t>0309-8489803</t>
  </si>
  <si>
    <t>KHI/HO/D/MO/PC COMP/C/101342/13/11/2024</t>
  </si>
  <si>
    <t>Mr. Syed Shariq Hussain
Hpa M/S. Al Baraka Bank Pakitan Limited</t>
  </si>
  <si>
    <t>ANT-559</t>
  </si>
  <si>
    <t>6R264676</t>
  </si>
  <si>
    <t>H1164657</t>
  </si>
  <si>
    <t>0329-0158659820016</t>
  </si>
  <si>
    <t>35202-0198993-4</t>
  </si>
  <si>
    <t>0334-4427974</t>
  </si>
  <si>
    <t>KHI/HO/D/MO/PC COMP/C/101342/14/11/2024</t>
  </si>
  <si>
    <t>Mr. Shehroze Sajjad
Hpa M/S. Al Baraka Bank Pakitan Limited</t>
  </si>
  <si>
    <t>HONDA CIVIC</t>
  </si>
  <si>
    <t>2016</t>
  </si>
  <si>
    <t>LEH-16-929</t>
  </si>
  <si>
    <t>R18Z 12900366</t>
  </si>
  <si>
    <t>NFBFC6668GR000568</t>
  </si>
  <si>
    <t>0423-0158655221012</t>
  </si>
  <si>
    <t>33100-9728986-9</t>
  </si>
  <si>
    <t>03218022007</t>
  </si>
  <si>
    <t>KHI/HO/D/MO/PC COMP/C/101342/15/11/2024</t>
  </si>
  <si>
    <t>Mr. Muhammad Waqar Yasir
Hpa M/S. Al Baraka Bank Pakitan Limited</t>
  </si>
  <si>
    <t>LEB-18A-2079</t>
  </si>
  <si>
    <t>PK10B171472</t>
  </si>
  <si>
    <t>A1J310PK10071464</t>
  </si>
  <si>
    <t>0423-0158659609018</t>
  </si>
  <si>
    <t>33100-8698249-7</t>
  </si>
  <si>
    <t>03006243112</t>
  </si>
  <si>
    <t>KHI/HO/D/MO/PC COMP/C/101342/16/11/2024</t>
  </si>
  <si>
    <t>Mr. Arslan Ahmad
Hpa M/S. Al Baraka Bank Pakitan Limited</t>
  </si>
  <si>
    <t>CHANGAN ALSVIN</t>
  </si>
  <si>
    <t>AED-252</t>
  </si>
  <si>
    <t>504844</t>
  </si>
  <si>
    <t>1001076</t>
  </si>
  <si>
    <t>0329-0158659585016</t>
  </si>
  <si>
    <t>35202-5978593-3</t>
  </si>
  <si>
    <t>03230121377</t>
  </si>
  <si>
    <t>KHI/HO/D/MO/PC COMP/C/101342/17/11/2024</t>
  </si>
  <si>
    <t>Mr. Muhammad Ali Amjad
Hpa M/S. Al Baraka Bank Pakitan Limited</t>
  </si>
  <si>
    <t>51028599</t>
  </si>
  <si>
    <t>RR045379</t>
  </si>
  <si>
    <t>0329-0158599461021</t>
  </si>
  <si>
    <t>35202-0356548-1</t>
  </si>
  <si>
    <t>0305-7912778</t>
  </si>
  <si>
    <t>KHI/HO/D/MO/PC COMP/C/101342/18/11/2024</t>
  </si>
  <si>
    <t>Mr. Tariq Zaman
Hpa M/S. Al Baraka Bank Pakitan Limited</t>
  </si>
  <si>
    <t>CHANGAN OSHAN X7 COMFORT</t>
  </si>
  <si>
    <t>258334</t>
  </si>
  <si>
    <t>0557-0158631946060</t>
  </si>
  <si>
    <t>35404-1231863-9</t>
  </si>
  <si>
    <t>0333-4696856</t>
  </si>
  <si>
    <t>KHI/HO/D/MO/PC COMP/C/101342/19/11/2024</t>
  </si>
  <si>
    <t>Mr. Zain Kamran
Hpa M/S. Al Baraka Bank Pakitan Limited</t>
  </si>
  <si>
    <t>LEA-18-5005</t>
  </si>
  <si>
    <t>2923652</t>
  </si>
  <si>
    <t>R026853</t>
  </si>
  <si>
    <t>0329-0158662329019</t>
  </si>
  <si>
    <t>35202-1661348-5</t>
  </si>
  <si>
    <t>03224375761</t>
  </si>
  <si>
    <t>KHI/HO/D/MO/PC COMP/C/101342/2/11/2024</t>
  </si>
  <si>
    <t>M/S Al Baraka Bank Pvt Limited 
User Qamar Uz Zaman</t>
  </si>
  <si>
    <t>HONDA BRV - S</t>
  </si>
  <si>
    <t>BG-7323</t>
  </si>
  <si>
    <t>13508318</t>
  </si>
  <si>
    <t>008323</t>
  </si>
  <si>
    <t>0150-0158356943080</t>
  </si>
  <si>
    <t>13101-0987747-9</t>
  </si>
  <si>
    <t>0300-8293676</t>
  </si>
  <si>
    <t>KHI/HO/D/MO/PC COMP/C/101342/20/11/2024</t>
  </si>
  <si>
    <t>Mr. Muhammad Ashfaq
Hpa M/S. Al Baraka Bank Pakitan Limited</t>
  </si>
  <si>
    <t>SUZUKI ALTO AGS A/T</t>
  </si>
  <si>
    <t>327572</t>
  </si>
  <si>
    <t>1227594</t>
  </si>
  <si>
    <t>0329-0158354737051</t>
  </si>
  <si>
    <t>35201-8495750-1</t>
  </si>
  <si>
    <t>03154842519</t>
  </si>
  <si>
    <t>KHI/HO/D/MO/PC COMP/C/101342/21/11/2024</t>
  </si>
  <si>
    <t>Mr. Muhammad Ishaq 
Hpa M/S. Al Baraka Bank Pakitan Limited</t>
  </si>
  <si>
    <t>TOYOTA COROLLA XLI 1.3</t>
  </si>
  <si>
    <t>LEE-16-7683</t>
  </si>
  <si>
    <t>Z-453472</t>
  </si>
  <si>
    <t>R-4082875</t>
  </si>
  <si>
    <t>0329-0190663097017</t>
  </si>
  <si>
    <t>35202-2743264-1</t>
  </si>
  <si>
    <t>0300-4124797</t>
  </si>
  <si>
    <t>KHI/HO/D/MO/PC COMP/C/101342/22/11/2024</t>
  </si>
  <si>
    <t>Mr. Muhammad Ishaq
Hpa M/S. Al Baraka Bank Pakitan Limited</t>
  </si>
  <si>
    <t>0329-0190663098017</t>
  </si>
  <si>
    <t>KHI/HO/D/MO/PC COMP/C/101342/23/11/2024</t>
  </si>
  <si>
    <t>Ms. Shazia
Hpa M/S. Al Baraka Bank Pakitan Limited</t>
  </si>
  <si>
    <t>BRU-904</t>
  </si>
  <si>
    <t>132859</t>
  </si>
  <si>
    <t>1032848</t>
  </si>
  <si>
    <t>0144-0158662498016</t>
  </si>
  <si>
    <t>41304-5386428-2</t>
  </si>
  <si>
    <t>0316-2290124 / 0332-0129532</t>
  </si>
  <si>
    <t>KHI/HO/D/MO/PC COMP/C/101342/24/11/2024</t>
  </si>
  <si>
    <t>Mr. Fahad Khan
Hpa M/S. Al Baraka Bank Pakitan Limited</t>
  </si>
  <si>
    <t>BXX-585</t>
  </si>
  <si>
    <t>259073</t>
  </si>
  <si>
    <t>1159056</t>
  </si>
  <si>
    <t>0144-0158484136024</t>
  </si>
  <si>
    <t>42201-8269267-9</t>
  </si>
  <si>
    <t>0321-3892668</t>
  </si>
  <si>
    <t>KHI/HO/D/MO/PC COMP/C/101342/25/11/2024</t>
  </si>
  <si>
    <t>Ms. Najma Khalid
Hpa M/S. Al Baraka Bank Pakitan Limited</t>
  </si>
  <si>
    <t>BZP-223</t>
  </si>
  <si>
    <t>6R301631</t>
  </si>
  <si>
    <t>1201615</t>
  </si>
  <si>
    <t>0144-0158662042011</t>
  </si>
  <si>
    <t>42401-4528238-2</t>
  </si>
  <si>
    <t>0335-0364261</t>
  </si>
  <si>
    <t>KHI/HO/D/MO/PC COMP/C/101342/26/11/2024</t>
  </si>
  <si>
    <t>Mr. Masroor Hussain Shaikh
Hpa M/S. Al Baraka Bank Pakitan Limited</t>
  </si>
  <si>
    <t>HAVAL H6</t>
  </si>
  <si>
    <t>24458525345</t>
  </si>
  <si>
    <t>NF9EF4A55R2011384</t>
  </si>
  <si>
    <t>0423-0158453239055</t>
  </si>
  <si>
    <t>33100-8457855-3</t>
  </si>
  <si>
    <t>03006622609</t>
  </si>
  <si>
    <t>KHI/HO/D/MO/PC COMP/C/101342/27/11/2024</t>
  </si>
  <si>
    <t>Mr. Shoaib Mumtaz Karimi
Hpa M/S. Al Baraka Bank Pakitan Limited</t>
  </si>
  <si>
    <t>HONDA CITY</t>
  </si>
  <si>
    <t>BVL-063</t>
  </si>
  <si>
    <t>1002546</t>
  </si>
  <si>
    <t>R007831</t>
  </si>
  <si>
    <t>0144-0158573635040</t>
  </si>
  <si>
    <t>42201-1922431-9</t>
  </si>
  <si>
    <t>0323-2427407</t>
  </si>
  <si>
    <t>KHI/HO/D/MO/PC COMP/C/101342/28/11/2024</t>
  </si>
  <si>
    <t>Mr. Anwar Hussain
Hpa M/S. Al Baraka Bank Pakitan Limited</t>
  </si>
  <si>
    <t>SUZUKI ALTO VXR</t>
  </si>
  <si>
    <t>ACE-549</t>
  </si>
  <si>
    <t>6R155121</t>
  </si>
  <si>
    <t>NF1AET306H1055115</t>
  </si>
  <si>
    <t>0423-0158659786022</t>
  </si>
  <si>
    <t>33100-1018236-7</t>
  </si>
  <si>
    <t>03018477696</t>
  </si>
  <si>
    <t>KHI/HO/D/MO/PC COMP/C/101342/29/11/2024</t>
  </si>
  <si>
    <t>Mr. Abbas Ali Raza 
Hpa M/S. Al Baraka Bank Pakitan Limited</t>
  </si>
  <si>
    <t>SUZUKI ALTO VXL</t>
  </si>
  <si>
    <t>AAM-115</t>
  </si>
  <si>
    <t>141367</t>
  </si>
  <si>
    <t>1041346</t>
  </si>
  <si>
    <t>0329-0158393263093</t>
  </si>
  <si>
    <t>35202-2788820-9</t>
  </si>
  <si>
    <t>0321-8418668/03218877199</t>
  </si>
  <si>
    <t>KHI/HO/D/MO/PC COMP/C/101342/3/11/2024</t>
  </si>
  <si>
    <t>M/S. Al Baraka Bank Pakistan Limited
User Mr. Salman Ul Hasan Farooqui</t>
  </si>
  <si>
    <t>TOYOTA Yaris ATIV 1.3 (CV</t>
  </si>
  <si>
    <t>BTJ-559</t>
  </si>
  <si>
    <t>23589</t>
  </si>
  <si>
    <t>7014189</t>
  </si>
  <si>
    <t>0150-0158660005011</t>
  </si>
  <si>
    <t>42201-3793346-7</t>
  </si>
  <si>
    <t>0334-2935319</t>
  </si>
  <si>
    <t>KHI/HO/D/MO/PC COMP/C/101342/30/11/2024</t>
  </si>
  <si>
    <t>Mr. Muhammad Imran
Hpa M/S. Al Baraka Bank Pakitan Limited</t>
  </si>
  <si>
    <t>329402</t>
  </si>
  <si>
    <t>1229433</t>
  </si>
  <si>
    <t>0471-0158539789073</t>
  </si>
  <si>
    <t>31202-7193485-7</t>
  </si>
  <si>
    <t>0331-9750269</t>
  </si>
  <si>
    <t>KHI/HO/D/MO/PC COMP/C/101342/31/11/2024</t>
  </si>
  <si>
    <t>Mr. Muhammad Khizar Shahid
Hpa M/S. Al Baraka Bank Pakitan Limited</t>
  </si>
  <si>
    <t>JL473Q4R3EE503388</t>
  </si>
  <si>
    <t>NKMA2CBR4R1002269</t>
  </si>
  <si>
    <t>0423-0158622007049</t>
  </si>
  <si>
    <t>33100-9965645-9</t>
  </si>
  <si>
    <t>03054752845</t>
  </si>
  <si>
    <t>KHI/HO/D/MO/PC COMP/C/101342/32/11/2024</t>
  </si>
  <si>
    <t>Mr. Ali Sajdain
Hpa M/S. Al Baraka Bank Pakitan Limited</t>
  </si>
  <si>
    <t>TOYOTA FORTUNER</t>
  </si>
  <si>
    <t>LEB-17-85</t>
  </si>
  <si>
    <t>2TRA191376</t>
  </si>
  <si>
    <t>R0440023</t>
  </si>
  <si>
    <t>0555-0158661913017</t>
  </si>
  <si>
    <t>36401-6862732-9</t>
  </si>
  <si>
    <t>0300-1737659</t>
  </si>
  <si>
    <t>KHI/HO/D/MO/PC COMP/C/101342/33/11/2024</t>
  </si>
  <si>
    <t>Mr. Muhammad Nafees Ul Hasan
Hpa M/S. Al Baraka Bank Pakitan Limited</t>
  </si>
  <si>
    <t>HONDA CITY A/T</t>
  </si>
  <si>
    <t>AMY-625</t>
  </si>
  <si>
    <t>17528374</t>
  </si>
  <si>
    <t>246273</t>
  </si>
  <si>
    <t>0158212747061</t>
  </si>
  <si>
    <t>37406-4790615-3</t>
  </si>
  <si>
    <t>0334-5493469</t>
  </si>
  <si>
    <t>KHI/HO/D/MO/PC COMP/C/101342/34/11/2024</t>
  </si>
  <si>
    <t>Mr. Muhammad Kashif Riaz
Hpa M/S. Al Baraka Bank Pakitan Limited</t>
  </si>
  <si>
    <t>TOYOTA COROLLA ALTIS GRAN</t>
  </si>
  <si>
    <t>AFL-382</t>
  </si>
  <si>
    <t>352872</t>
  </si>
  <si>
    <t>7052027</t>
  </si>
  <si>
    <t>0329-0190537150046</t>
  </si>
  <si>
    <t>35202-2738726-1</t>
  </si>
  <si>
    <t>0300-4274750</t>
  </si>
  <si>
    <t>KHI/HO/D/MO/PC COMP/C/101342/35/11/2024</t>
  </si>
  <si>
    <t>Mr. Muhammad Shahid Kamran
Hpa M/S. Al Baraka Bank Pakitan Limited</t>
  </si>
  <si>
    <t>ADT-706</t>
  </si>
  <si>
    <t>173118</t>
  </si>
  <si>
    <t>1073104</t>
  </si>
  <si>
    <t>04310158656888025</t>
  </si>
  <si>
    <t>36302-7849860-1</t>
  </si>
  <si>
    <t>0302-8281828</t>
  </si>
  <si>
    <t>KHI/HO/D/MO/PC COMP/C/101342/36/11/2024</t>
  </si>
  <si>
    <t>Mr. Jawad Ali
Hpa M/S. Al Baraka Bank Pakitan Limited</t>
  </si>
  <si>
    <t>SUZUKI WAGON R VXL</t>
  </si>
  <si>
    <t>AHS-798</t>
  </si>
  <si>
    <t>154325</t>
  </si>
  <si>
    <t>10054284</t>
  </si>
  <si>
    <t>0158661996011</t>
  </si>
  <si>
    <t>37402-56363775</t>
  </si>
  <si>
    <t>0370-3607475</t>
  </si>
  <si>
    <t>KHI/HO/D/MO/PC COMP/C/101342/37/11/2024</t>
  </si>
  <si>
    <t>Mr. Malik Mudasir Ishaq Awan
Hpa M/S. Al Baraka Bank Pakitan Limited</t>
  </si>
  <si>
    <t>157394</t>
  </si>
  <si>
    <t>10057383</t>
  </si>
  <si>
    <t>0158656884017</t>
  </si>
  <si>
    <t>38403-5962463-5</t>
  </si>
  <si>
    <t>0343-6900055</t>
  </si>
  <si>
    <t>KHI/HO/D/MO/PC COMP/C/101342/38/11/2024</t>
  </si>
  <si>
    <t>Mr. Ali Raza
Hpa M/S. Al Baraka Bank Pakitan Limited</t>
  </si>
  <si>
    <t>6R327743</t>
  </si>
  <si>
    <t>NF1AET306H1227717</t>
  </si>
  <si>
    <t>0423-0158664040019</t>
  </si>
  <si>
    <t>33102-7155367-3</t>
  </si>
  <si>
    <t>03009665273</t>
  </si>
  <si>
    <t>KHI/HO/D/MO/PC COMP/C/101342/39/11/2024</t>
  </si>
  <si>
    <t>Mr. Mashhood Hussain
Hpa M/S. Al Baraka Bank Pakitan Limite</t>
  </si>
  <si>
    <t>TOYOTA COROLLA GLI M/T 1.</t>
  </si>
  <si>
    <t>LEB-17-9993</t>
  </si>
  <si>
    <t>Z 488598</t>
  </si>
  <si>
    <t>NZE170R-4115365</t>
  </si>
  <si>
    <t>0423-0158662834010</t>
  </si>
  <si>
    <t>33101-1692539-3</t>
  </si>
  <si>
    <t>03005812280</t>
  </si>
  <si>
    <t>KHI/HO/D/MO/PC COMP/C/101342/4/11/2024</t>
  </si>
  <si>
    <t>Mr. Saad Ali Malik
Hpa M/S. Al Baraka Bank Pakitan Limited</t>
  </si>
  <si>
    <t>CHANGAN KARVAAN PLUS</t>
  </si>
  <si>
    <t>503240</t>
  </si>
  <si>
    <t>1002056</t>
  </si>
  <si>
    <t>0329-0158639985010</t>
  </si>
  <si>
    <t>35202-2530201-9</t>
  </si>
  <si>
    <t>0323-4276411</t>
  </si>
  <si>
    <t>KHI/HO/D/MO/PC COMP/C/101342/40/11/2024</t>
  </si>
  <si>
    <t>Mr. Muhammad Shahbaz Hussain
Hpa M/S. Al Baraka Bank Pakitan Limited</t>
  </si>
  <si>
    <t>TOYOTA COROLLA ALTIS 1.6</t>
  </si>
  <si>
    <t>BPP-903</t>
  </si>
  <si>
    <t>055473</t>
  </si>
  <si>
    <t>6032976</t>
  </si>
  <si>
    <t>0431-0158663831015</t>
  </si>
  <si>
    <t>36302-6044116-3</t>
  </si>
  <si>
    <t>0300-6326541</t>
  </si>
  <si>
    <t>KHI/HO/D/MO/PC COMP/C/101342/41/11/2024</t>
  </si>
  <si>
    <t>Applicant Name: Yasir Malik
Co Applicant Name: Noman Malik
Hpa M/S. Al Baraka Bank Pakitan Limited
Cnic No. 42301-8517065-9</t>
  </si>
  <si>
    <t>TOYOTA COROLLA GLI</t>
  </si>
  <si>
    <t>BHQ-926</t>
  </si>
  <si>
    <t>Z478235</t>
  </si>
  <si>
    <t>4103790</t>
  </si>
  <si>
    <t>0144-0158149211078</t>
  </si>
  <si>
    <t>42301-1696748-9</t>
  </si>
  <si>
    <t>0345-8127868 / 0315-3178600</t>
  </si>
  <si>
    <t>KHI/HO/D/MO/PC COMP/C/101342/42/11/2024</t>
  </si>
  <si>
    <t>Mr. Muhammad Shafiq
Hpa M/S. Al Baraka Bank Pakitan Limited</t>
  </si>
  <si>
    <t>ALE-716</t>
  </si>
  <si>
    <t>B238601</t>
  </si>
  <si>
    <t>PK10138615</t>
  </si>
  <si>
    <t>0329-0158662901013</t>
  </si>
  <si>
    <t>35202-6534038-3</t>
  </si>
  <si>
    <t>0304-1490988</t>
  </si>
  <si>
    <t>KHI/HO/D/MO/PC COMP/C/101342/43/11/2024</t>
  </si>
  <si>
    <t>Mr. Muhammad Naeem
Hpa M/S. Al Baraka Bank Pakitan Limited</t>
  </si>
  <si>
    <t>AJB-629</t>
  </si>
  <si>
    <t>2934155</t>
  </si>
  <si>
    <t>037588</t>
  </si>
  <si>
    <t>0190663734017</t>
  </si>
  <si>
    <t>38103-9411169-1</t>
  </si>
  <si>
    <t>0313-5298606</t>
  </si>
  <si>
    <t>KHI/HO/D/MO/PC COMP/C/101342/44/11/2024</t>
  </si>
  <si>
    <t>Mr. Muhammad Mustafa Zaidi
Hpa M/S. Al Baraka Bank Pakitan Limited</t>
  </si>
  <si>
    <t>TOYOTA YARIS ATIV X CVT</t>
  </si>
  <si>
    <t>AWU-417</t>
  </si>
  <si>
    <t>42433</t>
  </si>
  <si>
    <t>7026645</t>
  </si>
  <si>
    <t>0431-0190552825056</t>
  </si>
  <si>
    <t>36101-0262152-9</t>
  </si>
  <si>
    <t>03006884855</t>
  </si>
  <si>
    <t>KHI/HO/D/MO/PC COMP/C/101342/45/11/2024</t>
  </si>
  <si>
    <t>Mr. Syed Abrar Hussain
Hpa M/S. Al Baraka Bank Pakitan Limited</t>
  </si>
  <si>
    <t>SUZUKI WAGONR</t>
  </si>
  <si>
    <t>AXH-751</t>
  </si>
  <si>
    <t>228208</t>
  </si>
  <si>
    <t>10128214</t>
  </si>
  <si>
    <t>0190552720054</t>
  </si>
  <si>
    <t>37405-0386799-7</t>
  </si>
  <si>
    <t>0335-1590470</t>
  </si>
  <si>
    <t>KHI/HO/D/MO/PC COMP/C/101342/5/11/2024</t>
  </si>
  <si>
    <t>Mr. Muhammad Ashiq 
Hpa M/S. Al Baraka Bank Pakitan Limited</t>
  </si>
  <si>
    <t>SUZUKI ALTO VX</t>
  </si>
  <si>
    <t>325664</t>
  </si>
  <si>
    <t>1225540</t>
  </si>
  <si>
    <t>0329-0158498405031</t>
  </si>
  <si>
    <t>35103-7479025-1</t>
  </si>
  <si>
    <t>0301-8494431</t>
  </si>
  <si>
    <t>KHI/HO/D/MO/PC COMP/C/101342/6/11/2024</t>
  </si>
  <si>
    <t>Mr. Faiz Ur Rehman
Hpa M/S. Al Baraka Bank Pakitan Limited</t>
  </si>
  <si>
    <t>SUZUKI BOLAN</t>
  </si>
  <si>
    <t>1033484</t>
  </si>
  <si>
    <t>01149993</t>
  </si>
  <si>
    <t>0158659626024</t>
  </si>
  <si>
    <t>13101-1353721-5</t>
  </si>
  <si>
    <t>0315-5783048</t>
  </si>
  <si>
    <t>KHI/HO/D/MO/PC COMP/C/101342/7/11/2024</t>
  </si>
  <si>
    <t>Mr. Muhammad Sufyan
Hpa M/S. Al Baraka Bank Pakitan Limited</t>
  </si>
  <si>
    <t>AJH-188</t>
  </si>
  <si>
    <t>R18Z12935735</t>
  </si>
  <si>
    <t>NFBFC6667JR039157</t>
  </si>
  <si>
    <t>0423-0158660365013</t>
  </si>
  <si>
    <t>3</t>
  </si>
  <si>
    <t>03006040310</t>
  </si>
  <si>
    <t>KHI/HO/D/MO/PC COMP/C/101342/8/11/2024</t>
  </si>
  <si>
    <t>Mr. Muhammad Usman Safdar
Hpa M/S. Al Baraka Bank Pakitan Limited</t>
  </si>
  <si>
    <t>AMH-741</t>
  </si>
  <si>
    <t>51014701</t>
  </si>
  <si>
    <t>R026400</t>
  </si>
  <si>
    <t>0329-0158657565012</t>
  </si>
  <si>
    <t>35201-1611588-7</t>
  </si>
  <si>
    <t>0334-4003528</t>
  </si>
  <si>
    <t>KHI/HO/D/MO/PC COMP/C/101342/9/11/2024</t>
  </si>
  <si>
    <t>Mr. Aqeel Ahmed 
Hpa M/S. Al Baraka Bank Pakitan Limited</t>
  </si>
  <si>
    <t>SUZUKI MEHRAN VXR EURO-II</t>
  </si>
  <si>
    <t>2001</t>
  </si>
  <si>
    <t>LEH-18-3574</t>
  </si>
  <si>
    <t>PKB735264</t>
  </si>
  <si>
    <t>SB 308PK01273780</t>
  </si>
  <si>
    <t>0423-0158520099119</t>
  </si>
  <si>
    <t>33100-9033464-9</t>
  </si>
  <si>
    <t>03087021861</t>
  </si>
  <si>
    <t>KHI/HO/D/MO/PC COMP/C/102088/1/11/2024</t>
  </si>
  <si>
    <t>Mr. Muhammad Habib Ullah 
Hpa M/S. Al Baraka Bank (Pakistan) Limited</t>
  </si>
  <si>
    <t>AFQ-947</t>
  </si>
  <si>
    <t>190976</t>
  </si>
  <si>
    <t>1091001</t>
  </si>
  <si>
    <t>0421-0158538331013</t>
  </si>
  <si>
    <t>3310477555807</t>
  </si>
  <si>
    <t>03217645628</t>
  </si>
  <si>
    <t>KHI/HO/D/MO/PC COMP/C/102088/10/11/2024</t>
  </si>
  <si>
    <t>Mr. Ch Zubair Sultan 
Hpa M/S. Al Baraka Bank (Pakistan) Limited</t>
  </si>
  <si>
    <t>286437</t>
  </si>
  <si>
    <t>1186398</t>
  </si>
  <si>
    <t>0158629318015</t>
  </si>
  <si>
    <t>37405-4068374-5</t>
  </si>
  <si>
    <t>0312-5062087</t>
  </si>
  <si>
    <t>KHI/HO/D/MO/PC COMP/C/102088/11/11/2024</t>
  </si>
  <si>
    <t>Mr. Khawaja Ghulam Qutubiddin Faridi
Hpa M/S. Al Baraka Bank (Pakistan) Limited</t>
  </si>
  <si>
    <t>HYUNDAI TUSCON AWD</t>
  </si>
  <si>
    <t>AQL-303</t>
  </si>
  <si>
    <t>363639</t>
  </si>
  <si>
    <t>214684</t>
  </si>
  <si>
    <t>0475-0190561643031</t>
  </si>
  <si>
    <t>31301-1481658-9</t>
  </si>
  <si>
    <t>0300-9411696</t>
  </si>
  <si>
    <t>KHI/HO/D/MO/PC COMP/C/102088/12/11/2024</t>
  </si>
  <si>
    <t>Mr. Muhammad Sajid Akbar
Hpa M/S. Al Baraka Bank (Pakistan) Limited</t>
  </si>
  <si>
    <t>HONDA CITY ASPIRE A/T</t>
  </si>
  <si>
    <t>2015</t>
  </si>
  <si>
    <t>LEB-15-154</t>
  </si>
  <si>
    <t>17424195</t>
  </si>
  <si>
    <t>161447</t>
  </si>
  <si>
    <t>0329-015862878014</t>
  </si>
  <si>
    <t>35202-3989676-1</t>
  </si>
  <si>
    <t>0307-4139338</t>
  </si>
  <si>
    <t>KHI/HO/D/MO/PC COMP/C/102088/13/11/2024</t>
  </si>
  <si>
    <t>Mr. Muhammad Tahir Khan
Hpa M/S. Al Baraka Bank (Pakistan) Limited</t>
  </si>
  <si>
    <t>TOYOTA HILUX REVO 4X4 AT</t>
  </si>
  <si>
    <t>KY-7676</t>
  </si>
  <si>
    <t>0555514</t>
  </si>
  <si>
    <t>5533920</t>
  </si>
  <si>
    <t>0144-0190191987101</t>
  </si>
  <si>
    <t>42101-2186939-5</t>
  </si>
  <si>
    <t>0336-7000414</t>
  </si>
  <si>
    <t>KHI/HO/D/MO/PC COMP/C/102088/14/11/2024</t>
  </si>
  <si>
    <t>Mr. Muhammad Afzaal
Hpa M/S. Al Baraka Bank (Pakistan) Limited</t>
  </si>
  <si>
    <t>SUZUKI Swift GLX CVT</t>
  </si>
  <si>
    <t>1016022</t>
  </si>
  <si>
    <t>116050</t>
  </si>
  <si>
    <t>0329-0158398326082</t>
  </si>
  <si>
    <t>36502-3335632-3</t>
  </si>
  <si>
    <t>0301-6925966</t>
  </si>
  <si>
    <t>KHI/HO/D/MO/PC COMP/C/102088/15/11/2024</t>
  </si>
  <si>
    <t>Mr. Mola Bux
Hpa M/S. Al Baraka Bank (Pakistan) Limited</t>
  </si>
  <si>
    <t>SUZUKI CULTUS VXL</t>
  </si>
  <si>
    <t>BVK-050</t>
  </si>
  <si>
    <t>176740</t>
  </si>
  <si>
    <t>10076759</t>
  </si>
  <si>
    <t>0291- 0158630981013</t>
  </si>
  <si>
    <t>41201-9470144-9</t>
  </si>
  <si>
    <t>0345-3559379</t>
  </si>
  <si>
    <t>KHI/HO/D/MO/PC COMP/C/102088/16/11/2024</t>
  </si>
  <si>
    <t>Ms. Rubina Shakil 
Hpa M/S. Al Baraka Bank (Pakistan) Limited</t>
  </si>
  <si>
    <t>HONDA CITY ASPIRE CVT PT</t>
  </si>
  <si>
    <t>AAP-682</t>
  </si>
  <si>
    <t>7979967</t>
  </si>
  <si>
    <t>263769</t>
  </si>
  <si>
    <t>0329-0158630213016</t>
  </si>
  <si>
    <t>35202-2631910-2</t>
  </si>
  <si>
    <t>0306-4006048</t>
  </si>
  <si>
    <t>KHI/HO/D/MO/PC COMP/C/102088/17/11/2024</t>
  </si>
  <si>
    <t>Mr. Ubaid Ul Hassan
Hpa M/S. Al Baraka Bank (Pakistan) Limited</t>
  </si>
  <si>
    <t>SUZUKI MEHRAN</t>
  </si>
  <si>
    <t>BPZ-328</t>
  </si>
  <si>
    <t>769467</t>
  </si>
  <si>
    <t>PK01307999</t>
  </si>
  <si>
    <t>0475-0158481245022</t>
  </si>
  <si>
    <t>31301-0794482-1</t>
  </si>
  <si>
    <t>0300-7595760</t>
  </si>
  <si>
    <t>KHI/HO/D/MO/PC COMP/C/102088/18/11/2024</t>
  </si>
  <si>
    <t>Mr. Adnan Manzoor
Hpa M/S. Al Baraka Bank (Pakistan) Limited</t>
  </si>
  <si>
    <t>245535</t>
  </si>
  <si>
    <t>10145532</t>
  </si>
  <si>
    <t>0329-0158535719082</t>
  </si>
  <si>
    <t>35202-6351581-9</t>
  </si>
  <si>
    <t>0300-4955525</t>
  </si>
  <si>
    <t>KHI/HO/D/MO/PC COMP/C/102088/19/11/2024</t>
  </si>
  <si>
    <t>Ms. Shazia Ilyas
Hpa M/S. Al Baraka Bank (Pakistan) Limited</t>
  </si>
  <si>
    <t>LE-19A-8665</t>
  </si>
  <si>
    <t>6R114253</t>
  </si>
  <si>
    <t>1014246</t>
  </si>
  <si>
    <t>0329-0158631406016</t>
  </si>
  <si>
    <t>35201-8805782-4</t>
  </si>
  <si>
    <t>0320-0481224</t>
  </si>
  <si>
    <t>KHI/HO/D/MO/PC COMP/C/102088/2/11/2024</t>
  </si>
  <si>
    <t>Mr. Maqbool Hussain 
Hpa M/S. Al Baraka Bank (Pakistan) Limited</t>
  </si>
  <si>
    <t>MND-16-513</t>
  </si>
  <si>
    <t>646276</t>
  </si>
  <si>
    <t>1184768</t>
  </si>
  <si>
    <t>0431-0190629229014</t>
  </si>
  <si>
    <t>36303-1218351-3</t>
  </si>
  <si>
    <t>0308-7337513</t>
  </si>
  <si>
    <t>KHI/HO/D/MO/PC COMP/C/102088/20/11/2024</t>
  </si>
  <si>
    <t>Mr. Umair Khurshid 
Hpa M/S. Al Baraka Bank (Pakistan) Limited</t>
  </si>
  <si>
    <t>BZD-416</t>
  </si>
  <si>
    <t>206862</t>
  </si>
  <si>
    <t>10106865</t>
  </si>
  <si>
    <t>0251-0158630197010</t>
  </si>
  <si>
    <t>4180106338861</t>
  </si>
  <si>
    <t>0301-2547511/0301-3625771</t>
  </si>
  <si>
    <t>KHI/HO/D/MO/PC COMP/C/102088/21/11/2024</t>
  </si>
  <si>
    <t>Mr. Abdul Latif Anjum
Hpa M/S. Al Baraka Bank (Pakistan) Limited</t>
  </si>
  <si>
    <t>LE-15-4944</t>
  </si>
  <si>
    <t>Q305485</t>
  </si>
  <si>
    <t>7004493</t>
  </si>
  <si>
    <t>0329-0190625798015</t>
  </si>
  <si>
    <t>35301-7228382-3</t>
  </si>
  <si>
    <t>KHI/HO/D/MO/PC COMP/C/102088/22/11/2024</t>
  </si>
  <si>
    <t>Mr. Muhammad Bilal
Hpa M/S. Al Baraka Bank (Pakistan) Limited</t>
  </si>
  <si>
    <t>LEA-19A-8848</t>
  </si>
  <si>
    <t>153572</t>
  </si>
  <si>
    <t>10053552</t>
  </si>
  <si>
    <t>0329-0158631531011</t>
  </si>
  <si>
    <t>34501-5066738-3</t>
  </si>
  <si>
    <t>0344-9508864</t>
  </si>
  <si>
    <t>KHI/HO/D/MO/PC COMP/C/102088/23/11/2024</t>
  </si>
  <si>
    <t>Mr. Muhammad Faisal
Hpa M/S. Al Baraka Bank (Pakistan) Limited</t>
  </si>
  <si>
    <t>TOYOTA COROLLA ALTIS  1.6</t>
  </si>
  <si>
    <t>BUZ-973</t>
  </si>
  <si>
    <t>Q076041</t>
  </si>
  <si>
    <t>6053544</t>
  </si>
  <si>
    <t>0144-015831554019</t>
  </si>
  <si>
    <t>42201-7547271-3</t>
  </si>
  <si>
    <t>0321-9234561</t>
  </si>
  <si>
    <t>KHI/HO/D/MO/PC COMP/C/102088/24/11/2024</t>
  </si>
  <si>
    <t>Mr. Waseem Ur Rehman Khan
Hpa M/S. Al Baraka Bank (Pakistan) Limited</t>
  </si>
  <si>
    <t>ADY-423</t>
  </si>
  <si>
    <t>14805426</t>
  </si>
  <si>
    <t>R-022099</t>
  </si>
  <si>
    <t>0329-0158598069018</t>
  </si>
  <si>
    <t>35202-3039501-5</t>
  </si>
  <si>
    <t>0321-4447860</t>
  </si>
  <si>
    <t>KHI/HO/D/MO/PC COMP/C/102088/25/11/2024</t>
  </si>
  <si>
    <t>Mr. Irshad Hussain Shah 
Hpa M/S. Al Baraka Bank (Pakistan) Limited</t>
  </si>
  <si>
    <t>TOYOTA COROLLA GLI A/T 1.</t>
  </si>
  <si>
    <t>LEH-18-3592</t>
  </si>
  <si>
    <t>Z522826</t>
  </si>
  <si>
    <t>NZE170R4149473</t>
  </si>
  <si>
    <t>KHI/HO/D/MO/PC COMP/C/102088/26/11/2024</t>
  </si>
  <si>
    <t>Mr. Zee Waqar Hamdani
Hpa M/S. Al Baraka Bank (Pakistan) Limited</t>
  </si>
  <si>
    <t>BGM-568</t>
  </si>
  <si>
    <t>Q317657</t>
  </si>
  <si>
    <t>7016745</t>
  </si>
  <si>
    <t>0461-0158628225027</t>
  </si>
  <si>
    <t>31303-3792229-9</t>
  </si>
  <si>
    <t>0300-9672044</t>
  </si>
  <si>
    <t>KHI/HO/D/MO/PC COMP/C/102088/27/11/2024</t>
  </si>
  <si>
    <t>Mr. Qaseem Ghouri
Hpa M/S. Al Baraka Bank (Pakistan) Limited</t>
  </si>
  <si>
    <t>AHQ-222</t>
  </si>
  <si>
    <t>51005042</t>
  </si>
  <si>
    <t>MR007389</t>
  </si>
  <si>
    <t>0329-0158631731015</t>
  </si>
  <si>
    <t>35200-6187214-5</t>
  </si>
  <si>
    <t>0333-4438757</t>
  </si>
  <si>
    <t>KHI/HO/D/MO/PC COMP/C/102088/28/11/2024</t>
  </si>
  <si>
    <t>Ms. Kousar Parveen
Hpa M/S. Al Baraka Bank (Pakistan) Limited</t>
  </si>
  <si>
    <t>KIA SPORTAGE</t>
  </si>
  <si>
    <t>AQT-792</t>
  </si>
  <si>
    <t>G4NALH311475</t>
  </si>
  <si>
    <t>NNAQL51AZKP301959</t>
  </si>
  <si>
    <t>0423-0190631887012</t>
  </si>
  <si>
    <t>33100-7585016-4</t>
  </si>
  <si>
    <t>03335372555</t>
  </si>
  <si>
    <t>KHI/HO/D/MO/PC COMP/C/102088/29/11/2024</t>
  </si>
  <si>
    <t>Mr. Azhar Iqbal
Hpa M/S. Al Baraka Bank (Pakistan) Limited</t>
  </si>
  <si>
    <t>ABT-951</t>
  </si>
  <si>
    <t>12902029</t>
  </si>
  <si>
    <t>002548</t>
  </si>
  <si>
    <t>0329-0158055720024</t>
  </si>
  <si>
    <t>61101-2557033-3</t>
  </si>
  <si>
    <t>0321-7766666</t>
  </si>
  <si>
    <t>KHI/HO/D/MO/PC COMP/C/102088/3/11/2024</t>
  </si>
  <si>
    <t>Mr. Malik Azhar Rasheed
Hpa M/S. Al Baraka Bank (Pakistan) Limited</t>
  </si>
  <si>
    <t>HONDA CITY I-VTEC (M/T)</t>
  </si>
  <si>
    <t>LE-19-4802</t>
  </si>
  <si>
    <t>17523976</t>
  </si>
  <si>
    <t>241102</t>
  </si>
  <si>
    <t>0431-0158623451011</t>
  </si>
  <si>
    <t>32302-0126354-7</t>
  </si>
  <si>
    <t>0300-6303070</t>
  </si>
  <si>
    <t>KHI/HO/D/MO/PC COMP/C/102088/30/11/2024</t>
  </si>
  <si>
    <t>Mr. Muhammad Kashif 
Hpa M/S. Al Baraka Bank (Pakistan) Limited</t>
  </si>
  <si>
    <t>AKG-180</t>
  </si>
  <si>
    <t>6R207097</t>
  </si>
  <si>
    <t>NF1AET306H1107105</t>
  </si>
  <si>
    <t>0431-0158631573019</t>
  </si>
  <si>
    <t>36303-8077968-9</t>
  </si>
  <si>
    <t>0305-7093427</t>
  </si>
  <si>
    <t>KHI/HO/D/MO/PC COMP/C/102088/31/11/2024</t>
  </si>
  <si>
    <t>Mr. Muhammad Danish Alvi
Hpa M/S. Al Baraka Bank (Pakistan) Limited</t>
  </si>
  <si>
    <t>BZF-681</t>
  </si>
  <si>
    <t>285749</t>
  </si>
  <si>
    <t>1185525</t>
  </si>
  <si>
    <t>0144-0158520859021</t>
  </si>
  <si>
    <t>42000-4320363-1</t>
  </si>
  <si>
    <t>0333-0388313</t>
  </si>
  <si>
    <t>KHI/HO/D/MO/PC COMP/C/102088/32/11/2024</t>
  </si>
  <si>
    <t>Mr. Waseem Ali
Hpa M/S. Al Baraka Bank (Pakistan) Limited</t>
  </si>
  <si>
    <t>503682</t>
  </si>
  <si>
    <t>1000024</t>
  </si>
  <si>
    <t>0329-0158632233010</t>
  </si>
  <si>
    <t>35202-1851552-9</t>
  </si>
  <si>
    <t>0300-8809800</t>
  </si>
  <si>
    <t>KHI/HO/D/MO/PC COMP/C/102088/33/11/2024</t>
  </si>
  <si>
    <t>Mr. Muhammad Zahid Hameed
Hpa M/S. Al Baraka Bank (Pakistan) Limited</t>
  </si>
  <si>
    <t>AKY-395</t>
  </si>
  <si>
    <t>237005</t>
  </si>
  <si>
    <t>1037003</t>
  </si>
  <si>
    <t>0158619518057</t>
  </si>
  <si>
    <t>36502-6470474-3</t>
  </si>
  <si>
    <t>0313-6472414</t>
  </si>
  <si>
    <t>KHI/HO/D/MO/PC COMP/C/102088/34/11/2024</t>
  </si>
  <si>
    <t>Mr. Tauqeer Nasir
Hpa M/S. Al Baraka Bank (Pakistan) Limited</t>
  </si>
  <si>
    <t>TOYOTA COROLL A/T</t>
  </si>
  <si>
    <t>LEF-16-6741</t>
  </si>
  <si>
    <t>Z456113</t>
  </si>
  <si>
    <t>4085409</t>
  </si>
  <si>
    <t>0401-0158630603013</t>
  </si>
  <si>
    <t>34101-2376692-5</t>
  </si>
  <si>
    <t>0321-6492517</t>
  </si>
  <si>
    <t>KHI/HO/D/MO/PC COMP/C/102088/35/11/2024</t>
  </si>
  <si>
    <t>Mr. Arslan Amanat 
Hpa M/S. Al Baraka Bank (Pakistan) Limited</t>
  </si>
  <si>
    <t>TOYOTA YARIS ATIV X 1.5 A</t>
  </si>
  <si>
    <t>AAG-432</t>
  </si>
  <si>
    <t>2A06448</t>
  </si>
  <si>
    <t>R9502991</t>
  </si>
  <si>
    <t>0329-0158632221015</t>
  </si>
  <si>
    <t>35401-1388807-9</t>
  </si>
  <si>
    <t>03037127132</t>
  </si>
  <si>
    <t>KHI/HO/D/MO/PC COMP/C/102088/36/11/2024</t>
  </si>
  <si>
    <t>Mr. Syed Tasawar Hussain Shah
Hpa M/S. Al Baraka Bank (Pakistan) Limited</t>
  </si>
  <si>
    <t>APY-19-105</t>
  </si>
  <si>
    <t>H039166</t>
  </si>
  <si>
    <t>P501200</t>
  </si>
  <si>
    <t>0329-0190535930038</t>
  </si>
  <si>
    <t>35202-3947424-3</t>
  </si>
  <si>
    <t>0309-8935828</t>
  </si>
  <si>
    <t>KHI/HO/D/MO/PC COMP/C/102088/37/11/2024</t>
  </si>
  <si>
    <t>Mr. Syed Kazim Raza
Hpa M/S. Al Baraka Bank (Pakistan) Limited</t>
  </si>
  <si>
    <t>HYUNDAI TUCSON</t>
  </si>
  <si>
    <t>AXF-110</t>
  </si>
  <si>
    <t>166986</t>
  </si>
  <si>
    <t>205930</t>
  </si>
  <si>
    <t>0158512836103</t>
  </si>
  <si>
    <t>37405-2794958-7</t>
  </si>
  <si>
    <t>0300-8562457</t>
  </si>
  <si>
    <t>KHI/HO/D/MO/PC COMP/C/102088/38/11/2024</t>
  </si>
  <si>
    <t>Mr. Muhammad Atif
Hpa M/S. Al Baraka Bank (Pakistan) Limited</t>
  </si>
  <si>
    <t>HONDA HRV-S</t>
  </si>
  <si>
    <t>BL-1701</t>
  </si>
  <si>
    <t>1000065</t>
  </si>
  <si>
    <t>R000036</t>
  </si>
  <si>
    <t>0150-0158468151066</t>
  </si>
  <si>
    <t>42201-4240047-9</t>
  </si>
  <si>
    <t>0321-8992399</t>
  </si>
  <si>
    <t>KHI/HO/D/MO/PC COMP/C/102088/39/11/2024</t>
  </si>
  <si>
    <t>Mr. Asif Ali
Hpa M/S. Al Baraka Bank (Pakistan) Limited</t>
  </si>
  <si>
    <t>502000</t>
  </si>
  <si>
    <t>1000118</t>
  </si>
  <si>
    <t>0150-0158620484017</t>
  </si>
  <si>
    <t>42501-1452686-1</t>
  </si>
  <si>
    <t>0300-2664207</t>
  </si>
  <si>
    <t>KHI/HO/D/MO/PC COMP/C/102088/4/11/2024</t>
  </si>
  <si>
    <t>Mr. Asghar
Hpa M/S. Al Baraka Bank (Pakistan) Limited</t>
  </si>
  <si>
    <t>BYR-476</t>
  </si>
  <si>
    <t>272065</t>
  </si>
  <si>
    <t>1172053</t>
  </si>
  <si>
    <t>0431-0158630120019</t>
  </si>
  <si>
    <t>36302-2216170-1</t>
  </si>
  <si>
    <t>0306-7348540</t>
  </si>
  <si>
    <t>KHI/HO/D/MO/PC COMP/C/102088/40/11/2024</t>
  </si>
  <si>
    <t>Mr. Noman Yaqoob 
Hpa M/S. Al Baraka Bank (Pakistan) Limited</t>
  </si>
  <si>
    <t>BAW-357</t>
  </si>
  <si>
    <t>253142</t>
  </si>
  <si>
    <t>1153131</t>
  </si>
  <si>
    <t>0158632025019</t>
  </si>
  <si>
    <t>36201-1892246-9</t>
  </si>
  <si>
    <t>0333-5227921</t>
  </si>
  <si>
    <t>KHI/HO/D/MO/PC COMP/C/102088/41/11/2024</t>
  </si>
  <si>
    <t>Mr. Naik Muhammad
Hpa M/S. Al Baraka Bank (Pakistan) Limited</t>
  </si>
  <si>
    <t>BVR-062</t>
  </si>
  <si>
    <t>172572</t>
  </si>
  <si>
    <t>1072558</t>
  </si>
  <si>
    <t>0252-0158632587019</t>
  </si>
  <si>
    <t>56201-8524762-9</t>
  </si>
  <si>
    <t>0312-8138981</t>
  </si>
  <si>
    <t>KHI/HO/D/MO/PC COMP/C/102088/42/11/2024</t>
  </si>
  <si>
    <t>Mr. Muhammad Maqsood Ahmad
Hpa M/S. Al Baraka Bank (Pakistan) Limited</t>
  </si>
  <si>
    <t>LEB-18-8695</t>
  </si>
  <si>
    <t>107875</t>
  </si>
  <si>
    <t>10007825</t>
  </si>
  <si>
    <t>0329-0158631063018</t>
  </si>
  <si>
    <t>31103-1148491-1</t>
  </si>
  <si>
    <t>03004169209</t>
  </si>
  <si>
    <t>KHI/HO/D/MO/PC COMP/C/102088/43/11/2024</t>
  </si>
  <si>
    <t>Applicant Name. Mr. Syed Saad Ahmed 
Co Applicant Name. Mr. Syed Mubussir Ahmed Cnic No. 42401-7695120-3
Hpa M/S. Al Baraka Bank (Pakistan) Limited</t>
  </si>
  <si>
    <t>FAW FAW V2 M/T</t>
  </si>
  <si>
    <t>BMZ ? 934</t>
  </si>
  <si>
    <t>HJ-300217</t>
  </si>
  <si>
    <t>M-18001686</t>
  </si>
  <si>
    <t>0144-0158631438013</t>
  </si>
  <si>
    <t>42401-2815097-9</t>
  </si>
  <si>
    <t>0313-2360329 - 0333-3144016</t>
  </si>
  <si>
    <t>KHI/HO/D/MO/PC COMP/C/102088/44/11/2024</t>
  </si>
  <si>
    <t>Mr. Anees Ahmad
Hpa M/S. Al Baraka Bank (Pakistan) Limited</t>
  </si>
  <si>
    <t>DAIHATSU MOVE</t>
  </si>
  <si>
    <t>AQE-149</t>
  </si>
  <si>
    <t>K091977KF</t>
  </si>
  <si>
    <t>LA150S2108067</t>
  </si>
  <si>
    <t>0471-0190632194014</t>
  </si>
  <si>
    <t>36201-2910103-7</t>
  </si>
  <si>
    <t>03002677666</t>
  </si>
  <si>
    <t>KHI/HO/D/MO/PC COMP/C/102088/45/11/2024</t>
  </si>
  <si>
    <t>Mr. Rizwan
Hpa M/S. Al Baraka Bank (Pakistan) Limited</t>
  </si>
  <si>
    <t>TOYOTA COROLLA XE</t>
  </si>
  <si>
    <t>BMA-037</t>
  </si>
  <si>
    <t>518521</t>
  </si>
  <si>
    <t>4144486</t>
  </si>
  <si>
    <t>0144-0190633136013</t>
  </si>
  <si>
    <t>42201-6559168-7</t>
  </si>
  <si>
    <t>0333-3230783</t>
  </si>
  <si>
    <t>KHI/HO/D/MO/PC COMP/C/102088/46/11/2024</t>
  </si>
  <si>
    <t>Mr. Abdul Jalil Abbasi
Hpa M/S. Al Baraka Bank (Pakistan) Limited</t>
  </si>
  <si>
    <t>ARJ-208</t>
  </si>
  <si>
    <t>139546</t>
  </si>
  <si>
    <t>1039442</t>
  </si>
  <si>
    <t>0158447295025</t>
  </si>
  <si>
    <t>61101-1986302-3</t>
  </si>
  <si>
    <t>0321-5022958</t>
  </si>
  <si>
    <t>KHI/HO/D/MO/PC COMP/C/102088/47/11/2024</t>
  </si>
  <si>
    <t>Mr. Hafiz Muhammad Yousaf
Hpa M/S Al Baraka Bank ( Pakistan ) Limited</t>
  </si>
  <si>
    <t>ANK-346</t>
  </si>
  <si>
    <t>1010003</t>
  </si>
  <si>
    <t>110123</t>
  </si>
  <si>
    <t>0475-0158451884030</t>
  </si>
  <si>
    <t>31301-1435409-9</t>
  </si>
  <si>
    <t>0300-8676765</t>
  </si>
  <si>
    <t>KHI/HO/D/MO/PC COMP/C/102088/48/11/2024</t>
  </si>
  <si>
    <t>Hpa M/S. Al Baraka Bank (Pakistan) Limited
User: Muhammad Saleem</t>
  </si>
  <si>
    <t>TOYOTA YARIS ATIV CVT</t>
  </si>
  <si>
    <t>ABA-391</t>
  </si>
  <si>
    <t>2A12878</t>
  </si>
  <si>
    <t>7007542</t>
  </si>
  <si>
    <t>0158487450013</t>
  </si>
  <si>
    <t>3520180913293</t>
  </si>
  <si>
    <t>0300-4270214</t>
  </si>
  <si>
    <t>KHI/HO/D/MO/PC COMP/C/102088/5/11/2024</t>
  </si>
  <si>
    <t>Mr. Abdul Hameed
Hpa M/S. Al Baraka Bank (Pakistan) Limited</t>
  </si>
  <si>
    <t>TOYOTA YARIS ATIV X CVT 1</t>
  </si>
  <si>
    <t>AFM-964</t>
  </si>
  <si>
    <t>2A10202</t>
  </si>
  <si>
    <t>R7005830</t>
  </si>
  <si>
    <t>0329-0158372799033</t>
  </si>
  <si>
    <t>31303-9156805-3</t>
  </si>
  <si>
    <t>0300-8623373</t>
  </si>
  <si>
    <t>KHI/HO/D/MO/PC COMP/C/102088/6/11/2024</t>
  </si>
  <si>
    <t>Mr. Muhammad Umair Yaqoob
Hpa M/S. Al Baraka Bank (Pakistan) Limited</t>
  </si>
  <si>
    <t>LEH-18-3356</t>
  </si>
  <si>
    <t>160576</t>
  </si>
  <si>
    <t>10060572</t>
  </si>
  <si>
    <t>0329-0158627912013</t>
  </si>
  <si>
    <t>35201-9124786-1</t>
  </si>
  <si>
    <t>03174045764</t>
  </si>
  <si>
    <t>KHI/HO/D/MO/PC COMP/C/102088/7/11/2024</t>
  </si>
  <si>
    <t>Mr. Zafar Iqbal Khan Niazi
Hpa M/S. Al Baraka Bank (Pakistan) Limited</t>
  </si>
  <si>
    <t>AJY-976</t>
  </si>
  <si>
    <t>PK 10B 33337</t>
  </si>
  <si>
    <t>A1J310 PK 10133369</t>
  </si>
  <si>
    <t>0423-0158308402216</t>
  </si>
  <si>
    <t>33100-0580096-3</t>
  </si>
  <si>
    <t>03006667682</t>
  </si>
  <si>
    <t>KHI/HO/D/MO/PC COMP/C/102088/8/11/2024</t>
  </si>
  <si>
    <t>Mrs. Saba Ahmad
Hpa M/S. Al Baraka Bank (Pakistan) Limited</t>
  </si>
  <si>
    <t>LED-15-3862</t>
  </si>
  <si>
    <t>612097</t>
  </si>
  <si>
    <t>1150603</t>
  </si>
  <si>
    <t>0329-0158630413010</t>
  </si>
  <si>
    <t>35404-5752006-2</t>
  </si>
  <si>
    <t>0301-4988455</t>
  </si>
  <si>
    <t>KHI/HO/D/MO/PC COMP/C/102088/9/11/2024</t>
  </si>
  <si>
    <t>Mr. Mubasher Abbas 
Hpa M/S. Al Baraka Bank (Pakistan) Limited</t>
  </si>
  <si>
    <t>TOYOTA HILUX REVO V A/T</t>
  </si>
  <si>
    <t>LE-17-3006</t>
  </si>
  <si>
    <t>928482</t>
  </si>
  <si>
    <t>R0960853</t>
  </si>
  <si>
    <t>0329-0158585284059</t>
  </si>
  <si>
    <t>35202-4085734-3</t>
  </si>
  <si>
    <t>0334-4717782</t>
  </si>
  <si>
    <t>KHI/HO/D/MO/CV/C/102121/1/11/2024</t>
  </si>
  <si>
    <t>Mr. Prem Ji
Hpa M/S Al Baraka Bank Pakistan Limited</t>
  </si>
  <si>
    <t>SUZUKI RAVI PICK UP</t>
  </si>
  <si>
    <t>LC-0994</t>
  </si>
  <si>
    <t>386827</t>
  </si>
  <si>
    <t>491493</t>
  </si>
  <si>
    <t>0144-0158590557015</t>
  </si>
  <si>
    <t>42301-0620690-9</t>
  </si>
  <si>
    <t>03243385076</t>
  </si>
  <si>
    <t>KHI/HO/D/MO/CV/C/102121/2/11/2024</t>
  </si>
  <si>
    <t>Mr. Muhammad Abdullah
Hpa M/S Al Baraka Bank ( Pakistan ) Limited</t>
  </si>
  <si>
    <t>TAB-592</t>
  </si>
  <si>
    <t>387190</t>
  </si>
  <si>
    <t>491850</t>
  </si>
  <si>
    <t>0158555821043</t>
  </si>
  <si>
    <t>61101-3432929-5</t>
  </si>
  <si>
    <t>0307-5133367</t>
  </si>
  <si>
    <t>KHI/HO/D/MO/CV/C/102121/3/11/2024</t>
  </si>
  <si>
    <t>Ms. Nida Bibi
Hpa M/S Al Baraka Bank ( Pakistan ) Limited</t>
  </si>
  <si>
    <t>SUZUKI RAVI STD</t>
  </si>
  <si>
    <t>LC-3878</t>
  </si>
  <si>
    <t>387366</t>
  </si>
  <si>
    <t>492008</t>
  </si>
  <si>
    <t>0134-0158593449019</t>
  </si>
  <si>
    <t>42201-6922962-8</t>
  </si>
  <si>
    <t>0331-0273513 / 0333-8234313</t>
  </si>
  <si>
    <t>KHI/HO/D/MO/CV/C/102122/1/11/2024</t>
  </si>
  <si>
    <t>Ms.Shamim Bano
Hpa M/S. Al Baraka Bank (Pakistan) Limited</t>
  </si>
  <si>
    <t>SUZUKI RAVI VX</t>
  </si>
  <si>
    <t>LA-6554</t>
  </si>
  <si>
    <t>376145</t>
  </si>
  <si>
    <t>480812</t>
  </si>
  <si>
    <t>0138-0158539829029</t>
  </si>
  <si>
    <t>42401-3718062-4</t>
  </si>
  <si>
    <t>0320-1287301</t>
  </si>
  <si>
    <t>KHI/HO/D/MO/CV/C/102122/2/11/2024</t>
  </si>
  <si>
    <t>Mr.Rao Muhammad Khalid Shabbir
Hpa M/S. Al Baraka Bank (Pakistan) Limited</t>
  </si>
  <si>
    <t>SUZUKI RAVI VX EURO II</t>
  </si>
  <si>
    <t>LA-7026</t>
  </si>
  <si>
    <t>376737</t>
  </si>
  <si>
    <t>481397</t>
  </si>
  <si>
    <t>36303-4488045-9</t>
  </si>
  <si>
    <t>0308-4337508</t>
  </si>
  <si>
    <t>KHI/HO/D/MO/CV/C/102122/3/11/2024</t>
  </si>
  <si>
    <t>Mr. Muhammad Saeed
Hpa M/S. Al Baraka Bank (Pakistan) Limited</t>
  </si>
  <si>
    <t>AEH-743</t>
  </si>
  <si>
    <t>377774</t>
  </si>
  <si>
    <t>482449</t>
  </si>
  <si>
    <t>0158443262052</t>
  </si>
  <si>
    <t>61101-3203413-9</t>
  </si>
  <si>
    <t>0300-5279006</t>
  </si>
  <si>
    <t>KHI/HO/D/MO/PC COMP/C/102191/1/11/2024</t>
  </si>
  <si>
    <t>Mr. Zohaib Zulqarnain
Hpa M/S Al Baraka Bank ( Pakistan ) Limited</t>
  </si>
  <si>
    <t>AML-790</t>
  </si>
  <si>
    <t>51015773</t>
  </si>
  <si>
    <t>NR027882</t>
  </si>
  <si>
    <t>0329-0158571516016</t>
  </si>
  <si>
    <t>35202-8639968-9</t>
  </si>
  <si>
    <t>0320-2380740</t>
  </si>
  <si>
    <t>KHI/HO/D/MO/PC COMP/C/102191/10/11/2024</t>
  </si>
  <si>
    <t>Mr. Sabir Ali 
Hpa M/S Al Baraka Bank ( Pakistan ) Limited</t>
  </si>
  <si>
    <t>AML-875</t>
  </si>
  <si>
    <t>256255</t>
  </si>
  <si>
    <t>H1156288</t>
  </si>
  <si>
    <t>0329-0158575634010</t>
  </si>
  <si>
    <t>35501-0483245-5</t>
  </si>
  <si>
    <t>0300-3030662</t>
  </si>
  <si>
    <t>KHI/HO/D/MO/PC COMP/C/102191/11/11/2024</t>
  </si>
  <si>
    <t>Mr. Muhammad Shakeel
Hpa M/S Al Baraka Bank ( Pakistan ) Limited</t>
  </si>
  <si>
    <t>ANE-387</t>
  </si>
  <si>
    <t>MR1010166</t>
  </si>
  <si>
    <t>S00110168</t>
  </si>
  <si>
    <t>0329-0158570359011</t>
  </si>
  <si>
    <t>35202-6551819-5</t>
  </si>
  <si>
    <t>0321-4249022</t>
  </si>
  <si>
    <t>KHI/HO/D/MO/PC COMP/C/102191/12/11/2024</t>
  </si>
  <si>
    <t>Mr. Moeez Shahbaz 
Hpa M/S Al Baraka Bank ( Pakistan ) Limited</t>
  </si>
  <si>
    <t>AAZ-669</t>
  </si>
  <si>
    <t>6R143354</t>
  </si>
  <si>
    <t>1043372</t>
  </si>
  <si>
    <t>0329-0158576430019</t>
  </si>
  <si>
    <t>35202-0293460-1</t>
  </si>
  <si>
    <t>0323-3332765</t>
  </si>
  <si>
    <t>KHI/HO/D/MO/PC COMP/C/102191/13/11/2024</t>
  </si>
  <si>
    <t>Mr. Nasir Mehmood 
Hpa M/S Al Baraka Bank ( Pakistan ) Limited</t>
  </si>
  <si>
    <t>AMM-603</t>
  </si>
  <si>
    <t>256379</t>
  </si>
  <si>
    <t>1156418</t>
  </si>
  <si>
    <t>0329-0158480718054</t>
  </si>
  <si>
    <t>38401-5828577-5</t>
  </si>
  <si>
    <t>0301-4957779</t>
  </si>
  <si>
    <t>KHI/HO/D/MO/PC COMP/C/102191/14/11/2024</t>
  </si>
  <si>
    <t>Mr. Rehman Irshad 
Hpa M/S Al Baraka Bank ( Pakistan ) Limited</t>
  </si>
  <si>
    <t>256854</t>
  </si>
  <si>
    <t>156705</t>
  </si>
  <si>
    <t>0158575280019</t>
  </si>
  <si>
    <t>37405-9155975-3</t>
  </si>
  <si>
    <t>0304-5319574</t>
  </si>
  <si>
    <t>KHI/HO/D/MO/PC COMP/C/102191/15/11/2024</t>
  </si>
  <si>
    <t>Ms.  Farhat Zahoor  
Hpa M/S Al Baraka Bank ( Pakistan ) Limited</t>
  </si>
  <si>
    <t>BAH-543</t>
  </si>
  <si>
    <t>257213</t>
  </si>
  <si>
    <t>1156938</t>
  </si>
  <si>
    <t>0158575156016</t>
  </si>
  <si>
    <t>61101-3479619-6</t>
  </si>
  <si>
    <t>0347-5600062</t>
  </si>
  <si>
    <t>KHI/HO/D/MO/PC COMP/C/102191/16/11/2024</t>
  </si>
  <si>
    <t>Mr. Waqas Ali Qureshi   
Hpa M/S Al Baraka Bank ( Pakistan ) Limited</t>
  </si>
  <si>
    <t>AMU-492</t>
  </si>
  <si>
    <t>255783</t>
  </si>
  <si>
    <t>1155799</t>
  </si>
  <si>
    <t>0329-0158574578019</t>
  </si>
  <si>
    <t>35202-5557189-9</t>
  </si>
  <si>
    <t>0316-5927439</t>
  </si>
  <si>
    <t>KHI/HO/D/MO/PC COMP/C/102191/17/11/2024</t>
  </si>
  <si>
    <t>Mr. Ehsan Ahmed    
Hpa M/S Al Baraka Bank ( Pakistan ) Limited</t>
  </si>
  <si>
    <t>258246</t>
  </si>
  <si>
    <t>1158257</t>
  </si>
  <si>
    <t>0158575159012</t>
  </si>
  <si>
    <t>61101-0704616-3</t>
  </si>
  <si>
    <t>0333-5650544</t>
  </si>
  <si>
    <t>KHI/HO/D/MO/PC COMP/C/102191/18/11/2024</t>
  </si>
  <si>
    <t>Mr. Shahzad Ahmad Butt
Hpa M/S Al Baraka Bank ( Pakistan ) Limited</t>
  </si>
  <si>
    <t>LEC-19-8771</t>
  </si>
  <si>
    <t>PK10B185016</t>
  </si>
  <si>
    <t>PK10085020</t>
  </si>
  <si>
    <t>0329-0158576897017</t>
  </si>
  <si>
    <t>35202-9691310-7</t>
  </si>
  <si>
    <t>0300-8080103</t>
  </si>
  <si>
    <t>KHI/HO/D/MO/PC COMP/C/102191/19/11/2024</t>
  </si>
  <si>
    <t>Mr. Abdul Ghaffar
Hpa M/S Al Baraka Bank ( Pakistan ) Limited</t>
  </si>
  <si>
    <t>AMJ-793</t>
  </si>
  <si>
    <t>504273</t>
  </si>
  <si>
    <t>1016789</t>
  </si>
  <si>
    <t>0431-0158568513015</t>
  </si>
  <si>
    <t>36302-7731344-3</t>
  </si>
  <si>
    <t>0301-8918858</t>
  </si>
  <si>
    <t>KHI/HO/D/MO/PC COMP/C/102191/2/11/2024</t>
  </si>
  <si>
    <t>Mr. Muhammad Irfan 
Hpa M/S Al Baraka Bank ( Pakistan ) Limited</t>
  </si>
  <si>
    <t>253842</t>
  </si>
  <si>
    <t>1153739</t>
  </si>
  <si>
    <t>0471-0158568846010</t>
  </si>
  <si>
    <t>31202-3307641-1</t>
  </si>
  <si>
    <t>0312-6890278</t>
  </si>
  <si>
    <t>KHI/HO/D/MO/PC COMP/C/102191/20/11/2024</t>
  </si>
  <si>
    <t>Mr. Muhammad Khubaib  
Hpa M/S Al Baraka Bank ( Pakistan ) Limited</t>
  </si>
  <si>
    <t>ANJ-022</t>
  </si>
  <si>
    <t>256303</t>
  </si>
  <si>
    <t>1156248</t>
  </si>
  <si>
    <t>0329-0158530557013</t>
  </si>
  <si>
    <t>35201-8335165-7</t>
  </si>
  <si>
    <t>0309-7400005</t>
  </si>
  <si>
    <t>KHI/HO/D/MO/PC COMP/C/102191/21/11/2024</t>
  </si>
  <si>
    <t>Ms. Shazina John
Hpa M/S Al Baraka Bank ( Pakistan ) Limited</t>
  </si>
  <si>
    <t>DZ-213</t>
  </si>
  <si>
    <t>105141</t>
  </si>
  <si>
    <t>10005137</t>
  </si>
  <si>
    <t>0190590773011</t>
  </si>
  <si>
    <t>44303-1219030-4</t>
  </si>
  <si>
    <t>0333-2513061</t>
  </si>
  <si>
    <t>KHI/HO/D/MO/PC COMP/C/102191/22/11/2024</t>
  </si>
  <si>
    <t>Ms. Sadia Nadeem
Hpa M/S Al Baraka Bank ( Pakistan ) Limited</t>
  </si>
  <si>
    <t>BAY-541</t>
  </si>
  <si>
    <t>240557</t>
  </si>
  <si>
    <t>10140568</t>
  </si>
  <si>
    <t>0158565497026</t>
  </si>
  <si>
    <t>61101-2441878-8</t>
  </si>
  <si>
    <t>0316-5770128</t>
  </si>
  <si>
    <t>KHI/HO/D/MO/PC COMP/C/102191/23/11/2024</t>
  </si>
  <si>
    <t>Mr. Daud Sarwar
Hpa M/S Al Baraka Bank ( Pakistan ) Limited</t>
  </si>
  <si>
    <t>HONDA CIVIC VTI</t>
  </si>
  <si>
    <t>AKU-021</t>
  </si>
  <si>
    <t>2941344</t>
  </si>
  <si>
    <t>044773</t>
  </si>
  <si>
    <t>0158336445040</t>
  </si>
  <si>
    <t>374055873571-5</t>
  </si>
  <si>
    <t>03335103308</t>
  </si>
  <si>
    <t>KHI/HO/D/MO/PC COMP/C/102191/24/11/2024</t>
  </si>
  <si>
    <t>Ms. Sumeira Nadir
Hpa M/S Al Baraka Bank ( Pakistan ) Limited</t>
  </si>
  <si>
    <t>AMM-502</t>
  </si>
  <si>
    <t>1011182</t>
  </si>
  <si>
    <t>00111194</t>
  </si>
  <si>
    <t>0329-0158494434058</t>
  </si>
  <si>
    <t>35202-2331048-0</t>
  </si>
  <si>
    <t>0321-4581739</t>
  </si>
  <si>
    <t>KHI/HO/D/MO/PC COMP/C/102191/25/11/2024</t>
  </si>
  <si>
    <t>Ms. Shahida Parveen
Hpa M/S Al Baraka Bank ( Pakistan ) Limited</t>
  </si>
  <si>
    <t>LEA-3290</t>
  </si>
  <si>
    <t>118761</t>
  </si>
  <si>
    <t>1018775</t>
  </si>
  <si>
    <t>0158592370021</t>
  </si>
  <si>
    <t>37405-6191698-4</t>
  </si>
  <si>
    <t>0309-9288322</t>
  </si>
  <si>
    <t>KHI/HO/D/MO/PC COMP/C/102191/26/11/2024</t>
  </si>
  <si>
    <t>Mr. Muhammad Bilal
Hpa M/S Al Baraka Bank ( Pakistan ) Limited</t>
  </si>
  <si>
    <t>LEA-16-8138</t>
  </si>
  <si>
    <t>Z393525</t>
  </si>
  <si>
    <t>R4062138</t>
  </si>
  <si>
    <t>0329-0158592832011</t>
  </si>
  <si>
    <t>35202-3862088-7</t>
  </si>
  <si>
    <t>0321-8874171</t>
  </si>
  <si>
    <t>KHI/HO/D/MO/PC COMP/C/102191/27/11/2024</t>
  </si>
  <si>
    <t>Mr. Waseem Raza
Hpa M/S Al Baraka Bank ( Pakistan ) Limit</t>
  </si>
  <si>
    <t>AMK-924</t>
  </si>
  <si>
    <t>203186</t>
  </si>
  <si>
    <t>10103171</t>
  </si>
  <si>
    <t>0329-015855774703</t>
  </si>
  <si>
    <t>35202-0505113-9</t>
  </si>
  <si>
    <t>0300-0854522</t>
  </si>
  <si>
    <t>KHI/HO/D/MO/PC COMP/C/102191/28/11/2024</t>
  </si>
  <si>
    <t>Mr. Naeem Aslam
Hpa M/S Al Baraka Bank ( Pakistan ) Limited</t>
  </si>
  <si>
    <t>AML-515</t>
  </si>
  <si>
    <t>6R256431</t>
  </si>
  <si>
    <t>6H1156434</t>
  </si>
  <si>
    <t>0471-0158528441064</t>
  </si>
  <si>
    <t>36203-9008385-3</t>
  </si>
  <si>
    <t>0302-5265048</t>
  </si>
  <si>
    <t>KHI/HO/D/MO/PC COMP/C/102191/29/11/2024</t>
  </si>
  <si>
    <t>Mr. Usman Shaukat 
Hpa M/S Al Baraka Bank ( Pakistan ) Limited</t>
  </si>
  <si>
    <t>AMD-845</t>
  </si>
  <si>
    <t>13513958</t>
  </si>
  <si>
    <t>R013970</t>
  </si>
  <si>
    <t>0329-0190433355105</t>
  </si>
  <si>
    <t>35201-8762468-3</t>
  </si>
  <si>
    <t>0323-7335873</t>
  </si>
  <si>
    <t>KHI/HO/D/MO/PC COMP/C/102191/3/11/2024</t>
  </si>
  <si>
    <t>Mr. Shahzaib Iftikhar 
Hpa M/S Al Baraka Bank ( Pakistan ) Limited</t>
  </si>
  <si>
    <t>1015881</t>
  </si>
  <si>
    <t>NR027988</t>
  </si>
  <si>
    <t>0329-0158575740015</t>
  </si>
  <si>
    <t>35202-2786489-3</t>
  </si>
  <si>
    <t>0322-7199172</t>
  </si>
  <si>
    <t>KHI/HO/D/MO/PC COMP/C/102191/30/11/2024</t>
  </si>
  <si>
    <t>Mr. Hassan Shakeel
Hpa M/S Al Baraka Bank ( Pakistan ) Limited</t>
  </si>
  <si>
    <t>LEA-17-6300</t>
  </si>
  <si>
    <t>12906604</t>
  </si>
  <si>
    <t>9674</t>
  </si>
  <si>
    <t>0329-0158591966013</t>
  </si>
  <si>
    <t>33102-9611078-7</t>
  </si>
  <si>
    <t>0306-4225991</t>
  </si>
  <si>
    <t>KHI/HO/D/MO/PC COMP/C/102191/31/11/2024</t>
  </si>
  <si>
    <t>Mr. Umair Waheed
Hpa M/S Al Baraka Bank ( Pakistan ) Limited</t>
  </si>
  <si>
    <t>LE-19-5412</t>
  </si>
  <si>
    <t>B176125</t>
  </si>
  <si>
    <t>PK10076124</t>
  </si>
  <si>
    <t>0329-0158591537014</t>
  </si>
  <si>
    <t>35202-5395746-7</t>
  </si>
  <si>
    <t>0307-4341557</t>
  </si>
  <si>
    <t>KHI/HO/D/MO/PC COMP/C/102191/32/11/2024</t>
  </si>
  <si>
    <t>Mr. Tanzeel Ur Rahman Azad
Hpa M/S Al Baraka Bank ( Pakistan ) Limited</t>
  </si>
  <si>
    <t>AMH-022</t>
  </si>
  <si>
    <t>242232</t>
  </si>
  <si>
    <t>10142228</t>
  </si>
  <si>
    <t>0329-0158591467015</t>
  </si>
  <si>
    <t>36502-1149063-3</t>
  </si>
  <si>
    <t>0321-6931322</t>
  </si>
  <si>
    <t>KHI/HO/D/MO/PC COMP/C/102191/33/11/2024</t>
  </si>
  <si>
    <t>Mr. Muhammad Arqam Iqbal
Hpa M/S Al Baraka Bank ( Pakistan ) Limited</t>
  </si>
  <si>
    <t>502585</t>
  </si>
  <si>
    <t>1016896</t>
  </si>
  <si>
    <t>015853433016</t>
  </si>
  <si>
    <t>61101-0215250-5</t>
  </si>
  <si>
    <t>0332-5178419</t>
  </si>
  <si>
    <t>KHI/HO/D/MO/PC COMP/C/102191/34/11/2024</t>
  </si>
  <si>
    <t>Mr. Adnan Dilawar 
Hpa M/S Al Baraka Bank ( Pakistan ) Limited</t>
  </si>
  <si>
    <t>BNM-205</t>
  </si>
  <si>
    <t>12918709</t>
  </si>
  <si>
    <t>22088</t>
  </si>
  <si>
    <t>0144-0158591967015</t>
  </si>
  <si>
    <t>42201-1157698-3</t>
  </si>
  <si>
    <t>0342-1399429</t>
  </si>
  <si>
    <t>KHI/HO/D/MO/PC COMP/C/102191/35/11/2024</t>
  </si>
  <si>
    <t>Mr. Nisar Ahmad Baig
Hpa M/S Al Baraka Bank ( Pakistan ) Limited</t>
  </si>
  <si>
    <t>LEA-16-3855</t>
  </si>
  <si>
    <t>Q313629</t>
  </si>
  <si>
    <t>7012656</t>
  </si>
  <si>
    <t>0329-0158580117021</t>
  </si>
  <si>
    <t>34101-1475270-9</t>
  </si>
  <si>
    <t>0323-2786000</t>
  </si>
  <si>
    <t>KHI/HO/D/MO/PC COMP/C/102191/36/11/2024</t>
  </si>
  <si>
    <t>Mr. Danish Ali
Hpa M/S Al Baraka Bank ( Pakistan ) Limited</t>
  </si>
  <si>
    <t>LEB-20-9587</t>
  </si>
  <si>
    <t>6R130166</t>
  </si>
  <si>
    <t>1030152</t>
  </si>
  <si>
    <t>0329-0158592072019</t>
  </si>
  <si>
    <t>35201-0363875-3</t>
  </si>
  <si>
    <t>0310-4446911</t>
  </si>
  <si>
    <t>KHI/HO/D/MO/PC COMP/C/102191/37/11/2024</t>
  </si>
  <si>
    <t>Mr. Zohaib Ahmed
Hpa M/S Al Baraka Bank ( Pakistan ) Limited</t>
  </si>
  <si>
    <t>332748</t>
  </si>
  <si>
    <t>7031872</t>
  </si>
  <si>
    <t>0329-0158593334016</t>
  </si>
  <si>
    <t>33100-2604037-5</t>
  </si>
  <si>
    <t>0322-4222022</t>
  </si>
  <si>
    <t>KHI/HO/D/MO/PC COMP/C/102191/38/11/2024</t>
  </si>
  <si>
    <t>Mr. Raoof Khan
Hpa M/S Al Baraka Bank ( Pakistan ) Limited</t>
  </si>
  <si>
    <t>TOYOTA PRIUS</t>
  </si>
  <si>
    <t>AHG-518</t>
  </si>
  <si>
    <t>6180376</t>
  </si>
  <si>
    <t>1868305</t>
  </si>
  <si>
    <t>0190537732050</t>
  </si>
  <si>
    <t>21303-4923267-1</t>
  </si>
  <si>
    <t>0313-49877929</t>
  </si>
  <si>
    <t>KHI/HO/D/MO/PC COMP/C/102191/39/11/2024</t>
  </si>
  <si>
    <t>Mr. Adeel Ahmed 
Hpa M/S Al Baraka Bank ( Pakistan ) Limited</t>
  </si>
  <si>
    <t>AKJ 15</t>
  </si>
  <si>
    <t>Q333307</t>
  </si>
  <si>
    <t>ZRE172R7032406</t>
  </si>
  <si>
    <t>0423-0158552294021</t>
  </si>
  <si>
    <t>33100-2028538-5</t>
  </si>
  <si>
    <t>03216617281</t>
  </si>
  <si>
    <t>KHI/HO/D/MO/PC COMP/C/102191/4/11/2024</t>
  </si>
  <si>
    <t>Mr. Faraz Ahmed Quddusi   
Hpa M/S Al Baraka Bank ( Pakistan ) Limited</t>
  </si>
  <si>
    <t>MG MG ZS</t>
  </si>
  <si>
    <t>BJ-8523</t>
  </si>
  <si>
    <t>2230961</t>
  </si>
  <si>
    <t>105627</t>
  </si>
  <si>
    <t>0144-0190508826024</t>
  </si>
  <si>
    <t>42201-3371158-5</t>
  </si>
  <si>
    <t>KHI/HO/D/MO/PC COMP/C/102191/40/11/2024</t>
  </si>
  <si>
    <t>Mr. Awais Ali
Hpa M/S Al Baraka Bank ( Pakistan ) Limited</t>
  </si>
  <si>
    <t>LE-18-8870</t>
  </si>
  <si>
    <t>114115</t>
  </si>
  <si>
    <t>10014117</t>
  </si>
  <si>
    <t>0329-0158505723065</t>
  </si>
  <si>
    <t>35201-4577626-7</t>
  </si>
  <si>
    <t>0321-1704440</t>
  </si>
  <si>
    <t>KHI/HO/D/MO/PC COMP/C/102191/41/11/2024</t>
  </si>
  <si>
    <t>Mr. Farman Ullah 
Hpa M/S Al Baraka Bank ( Pakistan ) Limited</t>
  </si>
  <si>
    <t>AYX-387</t>
  </si>
  <si>
    <t>1004632</t>
  </si>
  <si>
    <t>104619</t>
  </si>
  <si>
    <t>0158587130026</t>
  </si>
  <si>
    <t>17301-4399043-5</t>
  </si>
  <si>
    <t xml:space="preserve">  0333-5660760</t>
  </si>
  <si>
    <t>KHI/HO/D/MO/PC COMP/C/102191/5/11/2024</t>
  </si>
  <si>
    <t>Mr. Muhammad Zeeshan Khan
Hpa M/S Al Baraka Bank ( Pakistan ) Limited</t>
  </si>
  <si>
    <t>AMF-599</t>
  </si>
  <si>
    <t>2A58007</t>
  </si>
  <si>
    <t>7036700</t>
  </si>
  <si>
    <t>0329-0158568360020</t>
  </si>
  <si>
    <t>35402-1202726-7</t>
  </si>
  <si>
    <t>0307-4408856</t>
  </si>
  <si>
    <t>KHI/HO/D/MO/PC COMP/C/102191/6/11/2024</t>
  </si>
  <si>
    <t>TOYOTA COROLLA ALTIS CVT</t>
  </si>
  <si>
    <t>BAW-794</t>
  </si>
  <si>
    <t>Q363357</t>
  </si>
  <si>
    <t>ZRE172R-7062522</t>
  </si>
  <si>
    <t>0423-0158563989017</t>
  </si>
  <si>
    <t>3310272552567</t>
  </si>
  <si>
    <t>03216084506</t>
  </si>
  <si>
    <t>KHI/HO/D/MO/PC COMP/C/102191/7/11/2024</t>
  </si>
  <si>
    <t>Mr. Aijaz Ullah Khan
Hpa M/S Al Baraka Bank ( Pakistan ) Limited</t>
  </si>
  <si>
    <t>BXW-878</t>
  </si>
  <si>
    <t>1010126</t>
  </si>
  <si>
    <t>110117</t>
  </si>
  <si>
    <t>0144-0158429899063</t>
  </si>
  <si>
    <t>42101-9737708-7</t>
  </si>
  <si>
    <t>0333-2121418</t>
  </si>
  <si>
    <t>KHI/HO/D/MO/PC COMP/C/102191/8/11/2024</t>
  </si>
  <si>
    <t>Mr. Afzaal Anjum 
Hpa M/S Al Baraka Bank ( Pakistan ) Limited</t>
  </si>
  <si>
    <t>AMG-897</t>
  </si>
  <si>
    <t>R252234</t>
  </si>
  <si>
    <t>H1152244</t>
  </si>
  <si>
    <t>0329-0158557969017</t>
  </si>
  <si>
    <t>3520236546705</t>
  </si>
  <si>
    <t>0316-4032201</t>
  </si>
  <si>
    <t>KHI/HO/D/MO/PC COMP/C/102191/9/11/2024</t>
  </si>
  <si>
    <t>Mr. Ali Nasir 
Hpa M/S Al Baraka Bank ( Pakistan ) Limited</t>
  </si>
  <si>
    <t>256504</t>
  </si>
  <si>
    <t>1156534</t>
  </si>
  <si>
    <t>0329-0158571523011</t>
  </si>
  <si>
    <t>35202-3695488-9</t>
  </si>
  <si>
    <t>0300-8859036</t>
  </si>
  <si>
    <t>KHI/HO/D/MO/PC COMP/C/102208/1/11/2024</t>
  </si>
  <si>
    <t>Mr. Mukhtar Ahmed 
Hpa M/S. Al Baraka Bank (Pakistan) Limited</t>
  </si>
  <si>
    <t>39729</t>
  </si>
  <si>
    <t>9514839</t>
  </si>
  <si>
    <t>0329-0158550530011</t>
  </si>
  <si>
    <t>35202-7196928-9</t>
  </si>
  <si>
    <t>0321-8484289</t>
  </si>
  <si>
    <t>KHI/HO/D/MO/PC COMP/C/102208/10/11/2024</t>
  </si>
  <si>
    <t>Mr. Muhammad Asif Haneef
Hpa M/S. Al Baraka Bank (Pakistan) Limited</t>
  </si>
  <si>
    <t>ASS-167</t>
  </si>
  <si>
    <t>2A39451</t>
  </si>
  <si>
    <t>7024580</t>
  </si>
  <si>
    <t>0329-0158553109011</t>
  </si>
  <si>
    <t>31101-6843400-1</t>
  </si>
  <si>
    <t>0300-0049848</t>
  </si>
  <si>
    <t>KHI/HO/D/MO/PC COMP/C/102208/11/11/2024</t>
  </si>
  <si>
    <t>Mr. Muhammad Usman
Hpa M/S. Al Baraka Bank (Pakistan) Limited</t>
  </si>
  <si>
    <t>HONDA CITY 1.2 LS MT</t>
  </si>
  <si>
    <t>ADH-003</t>
  </si>
  <si>
    <t>L13Z17542478</t>
  </si>
  <si>
    <t>NFBGM1640LR265885</t>
  </si>
  <si>
    <t>0402-0158464734028</t>
  </si>
  <si>
    <t>34102-7913160-1</t>
  </si>
  <si>
    <t>0301-5000034</t>
  </si>
  <si>
    <t>KHI/HO/D/MO/PC COMP/C/102208/12/11/2024</t>
  </si>
  <si>
    <t>Mr. Muhammad Iqbal
Hpa M/S. Al Baraka Bank (Pakistan) Limited</t>
  </si>
  <si>
    <t>HONDA CITY CVT ASPIRE A/T</t>
  </si>
  <si>
    <t>AVX-278</t>
  </si>
  <si>
    <t>81001482</t>
  </si>
  <si>
    <t>005613</t>
  </si>
  <si>
    <t>0158493038057</t>
  </si>
  <si>
    <t>15101-0353213-1</t>
  </si>
  <si>
    <t>0333-8478777</t>
  </si>
  <si>
    <t>KHI/HO/D/MO/PC COMP/C/102208/13/11/2024</t>
  </si>
  <si>
    <t>Mr. Allah Ditta Kiani 
Hpa M/S. Al Baraka Bank (Pakistan) Limited</t>
  </si>
  <si>
    <t>ALX-910</t>
  </si>
  <si>
    <t>761271</t>
  </si>
  <si>
    <t>01299820</t>
  </si>
  <si>
    <t>61101-0334096-3</t>
  </si>
  <si>
    <t>0341-9610005</t>
  </si>
  <si>
    <t>KHI/HO/D/MO/PC COMP/C/102208/14/11/2024</t>
  </si>
  <si>
    <t>Mr. Hassan Shabbir
Hpa M/S. Al Baraka Bank (Pakistan) Limited</t>
  </si>
  <si>
    <t>ABK-183</t>
  </si>
  <si>
    <t>6R149047</t>
  </si>
  <si>
    <t>H1049030</t>
  </si>
  <si>
    <t>35202-8266789-1</t>
  </si>
  <si>
    <t>0321-6702911</t>
  </si>
  <si>
    <t>KHI/HO/D/MO/PC COMP/C/102208/15/11/2024</t>
  </si>
  <si>
    <t>Mr. Salman Umer
Hpa M/S. Al Baraka Bank (Pakistan) Limited</t>
  </si>
  <si>
    <t>Z81001435</t>
  </si>
  <si>
    <t>MR005578</t>
  </si>
  <si>
    <t>35202-0739044-5</t>
  </si>
  <si>
    <t>0334-4092612, 0321-8429993</t>
  </si>
  <si>
    <t>KHI/HO/D/MO/PC COMP/C/102208/16/11/2024</t>
  </si>
  <si>
    <t>Mr. Abdul Salam
Hpa M/S. Al Baraka Bank (Pakistan) Limited</t>
  </si>
  <si>
    <t>503396</t>
  </si>
  <si>
    <t>1010660</t>
  </si>
  <si>
    <t>95404</t>
  </si>
  <si>
    <t>42401-2867342-9</t>
  </si>
  <si>
    <t>0345-2306660</t>
  </si>
  <si>
    <t>KHI/HO/D/MO/PC COMP/C/102208/17/11/2024</t>
  </si>
  <si>
    <t>Mr. Fazal Ameen Khan
Hpa M/S. Al Baraka Bank (Pakistan) Limited</t>
  </si>
  <si>
    <t>PK10B219264</t>
  </si>
  <si>
    <t>PK10119260</t>
  </si>
  <si>
    <t>0423-0158433285058</t>
  </si>
  <si>
    <t>33100-2265343-9</t>
  </si>
  <si>
    <t>0300-8660958</t>
  </si>
  <si>
    <t>KHI/HO/D/MO/PC COMP/C/102208/18/11/2024</t>
  </si>
  <si>
    <t>Mr. Muhammad Ishraq
Hpa M/S. Al Baraka Bank (Pakistan) Limited</t>
  </si>
  <si>
    <t>AGG-840</t>
  </si>
  <si>
    <t>194188</t>
  </si>
  <si>
    <t>1094160</t>
  </si>
  <si>
    <t>0329-0158554550017</t>
  </si>
  <si>
    <t>35202-0774799-9</t>
  </si>
  <si>
    <t>0321-4022011</t>
  </si>
  <si>
    <t>KHI/HO/D/MO/PC COMP/C/102208/19/11/2024</t>
  </si>
  <si>
    <t>Mr. Sajjad Akhtar
Hpa M/S. Al Baraka Bank (Pakistan) Limited</t>
  </si>
  <si>
    <t>AVY-438</t>
  </si>
  <si>
    <t>6927717</t>
  </si>
  <si>
    <t>080396</t>
  </si>
  <si>
    <t>0158336779097</t>
  </si>
  <si>
    <t>37405-6897108-7</t>
  </si>
  <si>
    <t>0321-5127700</t>
  </si>
  <si>
    <t>KHI/HO/D/MO/PC COMP/C/102208/2/11/2024</t>
  </si>
  <si>
    <t>Mr. Khalid Mehmood 
Hpa M/S. Al Baraka Bank (Pakistan) Limited</t>
  </si>
  <si>
    <t>AFX-840</t>
  </si>
  <si>
    <t>6R191077</t>
  </si>
  <si>
    <t>H1090970</t>
  </si>
  <si>
    <t>0329-0158541641015</t>
  </si>
  <si>
    <t>35201-6046839-5</t>
  </si>
  <si>
    <t>0315-4158675</t>
  </si>
  <si>
    <t>KHI/HO/D/MO/PC COMP/C/102208/20/11/2024</t>
  </si>
  <si>
    <t>Mr. Muhammad Rashid
Hpa M/S. Al Baraka Bank (Pakistan) Limited</t>
  </si>
  <si>
    <t>LEE-19-3291</t>
  </si>
  <si>
    <t>B156985</t>
  </si>
  <si>
    <t>10056997</t>
  </si>
  <si>
    <t>0329-0158549948103</t>
  </si>
  <si>
    <t>35201-3914862-3</t>
  </si>
  <si>
    <t>0320-0477890</t>
  </si>
  <si>
    <t>KHI/HO/D/MO/PC COMP/C/102208/21/11/2024</t>
  </si>
  <si>
    <t>Mr. Muhammad Sadaqat 
Hpa M/S. Al Baraka Bank (Pakistan) Limited</t>
  </si>
  <si>
    <t>AFJ-982</t>
  </si>
  <si>
    <t>222770</t>
  </si>
  <si>
    <t>10122770</t>
  </si>
  <si>
    <t>0329-01585499442041</t>
  </si>
  <si>
    <t>35202-7742546-3</t>
  </si>
  <si>
    <t>0305-4686457</t>
  </si>
  <si>
    <t>KHI/HO/D/MO/PC COMP/C/102208/22/11/2024</t>
  </si>
  <si>
    <t>Mr. Usman Amin
Hpa M/S. Al Baraka Bank (Pakistan) Limited</t>
  </si>
  <si>
    <t>AGR-857</t>
  </si>
  <si>
    <t>6R194129</t>
  </si>
  <si>
    <t>H1094122</t>
  </si>
  <si>
    <t>0312-0158506070021</t>
  </si>
  <si>
    <t>35201-5077067-1</t>
  </si>
  <si>
    <t>03071477477</t>
  </si>
  <si>
    <t>KHI/HO/D/MO/PC COMP/C/102208/23/11/2024</t>
  </si>
  <si>
    <t>Mr. Kashif Raza Zafar
Hpa M/S. Al Baraka Bank (Pakistan) Limited</t>
  </si>
  <si>
    <t>HONDA BRV I-VTEC</t>
  </si>
  <si>
    <t>AGM-089</t>
  </si>
  <si>
    <t>4807227</t>
  </si>
  <si>
    <t>23874</t>
  </si>
  <si>
    <t>0329-158544420020</t>
  </si>
  <si>
    <t>36104-6878770-9</t>
  </si>
  <si>
    <t>0322-4667754</t>
  </si>
  <si>
    <t>KHI/HO/D/MO/PC COMP/C/102208/24/11/2024</t>
  </si>
  <si>
    <t>Mr. Syed Ali Raza Naqvi
Hpa M/S. Al Baraka Bank (Pakistan) Limited</t>
  </si>
  <si>
    <t>AWA-967</t>
  </si>
  <si>
    <t>521434</t>
  </si>
  <si>
    <t>1003984</t>
  </si>
  <si>
    <t>0158539965017</t>
  </si>
  <si>
    <t>61101-7905495-1</t>
  </si>
  <si>
    <t>0300-5381370</t>
  </si>
  <si>
    <t>KHI/HO/D/MO/PC COMP/C/102208/25/11/2024</t>
  </si>
  <si>
    <t xml:space="preserve"> Falak Sher Tabasum 
Hpa M/S. Al Baraka Bank (Pakistan) Limited</t>
  </si>
  <si>
    <t>AFU-854</t>
  </si>
  <si>
    <t>1017187</t>
  </si>
  <si>
    <t>1133702</t>
  </si>
  <si>
    <t>0423-0158545117018</t>
  </si>
  <si>
    <t>33100-2913489-9</t>
  </si>
  <si>
    <t>03005537195</t>
  </si>
  <si>
    <t>KHI/HO/D/MO/PC COMP/C/102208/26/11/2024</t>
  </si>
  <si>
    <t>Mr. Ayaz Ali 
Hpa M/S. Al Baraka Bank (Pakistan) Limited</t>
  </si>
  <si>
    <t>PRINCE GLORY 580 PRO TURB</t>
  </si>
  <si>
    <t>AFW-927</t>
  </si>
  <si>
    <t>21745500</t>
  </si>
  <si>
    <t>LR2111889</t>
  </si>
  <si>
    <t>0329-0158554943010</t>
  </si>
  <si>
    <t>17201-6990660-5</t>
  </si>
  <si>
    <t>0323-4873498</t>
  </si>
  <si>
    <t>KHI/HO/D/MO/PC COMP/C/102208/27/11/2024</t>
  </si>
  <si>
    <t>Mr. Abu Sufyan 
Hpa M/S. Al Baraka Bank (Pakistan) Limited</t>
  </si>
  <si>
    <t>SUZUKI CULTUS VXL EURO II</t>
  </si>
  <si>
    <t>AGT-699</t>
  </si>
  <si>
    <t>K113408</t>
  </si>
  <si>
    <t>H10013400</t>
  </si>
  <si>
    <t>0329-0158551646017</t>
  </si>
  <si>
    <t>31205-8550383-3</t>
  </si>
  <si>
    <t>0306-8732793</t>
  </si>
  <si>
    <t>KHI/HO/D/MO/PC COMP/C/102208/28/11/2024</t>
  </si>
  <si>
    <t>Mr. Sohail Akhtar
Hpa M/S. Al Baraka Bank (Pakistan) Limited</t>
  </si>
  <si>
    <t>TOYOTA COROLLA ALTIS  A/T</t>
  </si>
  <si>
    <t>BVB-717</t>
  </si>
  <si>
    <t>Q083847</t>
  </si>
  <si>
    <t>6061338</t>
  </si>
  <si>
    <t>0144-0158532430017</t>
  </si>
  <si>
    <t>42000-4357310-7</t>
  </si>
  <si>
    <t>0333-1034923</t>
  </si>
  <si>
    <t>KHI/HO/D/MO/PC COMP/C/102208/29/11/2024</t>
  </si>
  <si>
    <t>Mr. Azeem Elahi  
Hpa M/S. Al Baraka Bank (Pakistan) Limited</t>
  </si>
  <si>
    <t>2A40868</t>
  </si>
  <si>
    <t>7025597</t>
  </si>
  <si>
    <t>0329-0158535162011</t>
  </si>
  <si>
    <t>35202-1582959-9</t>
  </si>
  <si>
    <t>0345-1582959</t>
  </si>
  <si>
    <t>KHI/HO/D/MO/PC COMP/C/102208/3/11/2024</t>
  </si>
  <si>
    <t>Mr. Malik Naveed Sarwar
Hpa M/S. Al Baraka Bank (Pakistan) Limited</t>
  </si>
  <si>
    <t>LEE-17-8573</t>
  </si>
  <si>
    <t>Z48763</t>
  </si>
  <si>
    <t>4113804</t>
  </si>
  <si>
    <t>102912</t>
  </si>
  <si>
    <t>35401-1764026-7</t>
  </si>
  <si>
    <t>0323-4943272</t>
  </si>
  <si>
    <t>KHI/HO/D/MO/PC COMP/C/102208/30/11/2024</t>
  </si>
  <si>
    <t>Mr. Faisal Shabbir 
Hpa M/S. Al Baraka Bank (Pakistan) Limited</t>
  </si>
  <si>
    <t>CHANGAN ALSVIN LUMEIRE</t>
  </si>
  <si>
    <t>50756</t>
  </si>
  <si>
    <t>1001513</t>
  </si>
  <si>
    <t>0329-0158554362018</t>
  </si>
  <si>
    <t>35202-4745889-9</t>
  </si>
  <si>
    <t>0324-8981170</t>
  </si>
  <si>
    <t>KHI/HO/D/MO/PC COMP/C/102208/31/11/2024</t>
  </si>
  <si>
    <t>Mr. Mehtab Ahmed 
Hpa M/S. Al Baraka Bank (Pakistan) Limited</t>
  </si>
  <si>
    <t>G4KMMA955503</t>
  </si>
  <si>
    <t>400533</t>
  </si>
  <si>
    <t>0471-0158556100026</t>
  </si>
  <si>
    <t>31202-2533289-1</t>
  </si>
  <si>
    <t>0307-2167700</t>
  </si>
  <si>
    <t>KHI/HO/D/MO/PC COMP/C/102208/32/11/2024</t>
  </si>
  <si>
    <t>Mr. Mehran Wahid 
Hpa M/S. Al Baraka Bank (Pakistan) Limited</t>
  </si>
  <si>
    <t>SUZUKI WAGON-R VXL E2</t>
  </si>
  <si>
    <t>LE-18-110</t>
  </si>
  <si>
    <t>148639</t>
  </si>
  <si>
    <t>10048629</t>
  </si>
  <si>
    <t>0329-0158554236011</t>
  </si>
  <si>
    <t>35401-0652442-5</t>
  </si>
  <si>
    <t>0335-2712735</t>
  </si>
  <si>
    <t>KHI/HO/D/MO/PC COMP/C/102208/33/11/2024</t>
  </si>
  <si>
    <t>Mr. Qamar Khan  
Hpa M/S. Al Baraka Bank (Pakistan) Limited</t>
  </si>
  <si>
    <t>HONDA CIVIC VTI  ORIEL PT</t>
  </si>
  <si>
    <t>AGC-330</t>
  </si>
  <si>
    <t>Z16928022</t>
  </si>
  <si>
    <t>MR080611</t>
  </si>
  <si>
    <t>0322-0158551357014</t>
  </si>
  <si>
    <t>35201-8935701-9</t>
  </si>
  <si>
    <t>0321-1111579</t>
  </si>
  <si>
    <t>KHI/HO/D/MO/PC COMP/C/102208/34/11/2024</t>
  </si>
  <si>
    <t>Mr. Muhammad Saleem
Hpa M/S. Al Baraka Bank (Pakistan) Limited</t>
  </si>
  <si>
    <t>AGN-947</t>
  </si>
  <si>
    <t>194048</t>
  </si>
  <si>
    <t>1094023</t>
  </si>
  <si>
    <t>0471-0158553282017</t>
  </si>
  <si>
    <t>31202-5399479-7</t>
  </si>
  <si>
    <t>0300-8682618</t>
  </si>
  <si>
    <t>KHI/HO/D/MO/PC COMP/C/102208/35/11/2024</t>
  </si>
  <si>
    <t>Mr. Muhammad Sajjad Hanif 
Hpa M/S. Al Baraka Bank (Pakistan) Limited</t>
  </si>
  <si>
    <t>LEC-17-3820</t>
  </si>
  <si>
    <t>17458633</t>
  </si>
  <si>
    <t>HR201283</t>
  </si>
  <si>
    <t>0340-0158554293021</t>
  </si>
  <si>
    <t>35201-5050396-9</t>
  </si>
  <si>
    <t>0321-4044098</t>
  </si>
  <si>
    <t>KHI/HO/D/MO/PC COMP/C/102208/36/11/2024</t>
  </si>
  <si>
    <t>Mr. Syed Zeerak Hussain 
Hpa M/S. Al Baraka Bank (Pakistan) Limited</t>
  </si>
  <si>
    <t>LEH-18-8052</t>
  </si>
  <si>
    <t>124418</t>
  </si>
  <si>
    <t>10024408</t>
  </si>
  <si>
    <t>0329-0158555041019</t>
  </si>
  <si>
    <t>35201-0925028-3</t>
  </si>
  <si>
    <t>0321-4383095</t>
  </si>
  <si>
    <t>KHI/HO/D/MO/PC COMP/C/102208/37/11/2024</t>
  </si>
  <si>
    <t>Mr. Mahboob  Ali Shaikh 
Hpa M/S. Al Baraka Bank (Pakistan) Limited</t>
  </si>
  <si>
    <t>ACJ-634</t>
  </si>
  <si>
    <t>2A08194</t>
  </si>
  <si>
    <t>9503526</t>
  </si>
  <si>
    <t>0329-0158409778023</t>
  </si>
  <si>
    <t>35202-1053131-9</t>
  </si>
  <si>
    <t>0300-4775565</t>
  </si>
  <si>
    <t>KHI/HO/D/MO/PC COMP/C/102208/38/11/2024</t>
  </si>
  <si>
    <t>Mr. Rana Majid 
Hpa M/S. Al Baraka Bank (Pakistan) Limited</t>
  </si>
  <si>
    <t>LEH-17-2490</t>
  </si>
  <si>
    <t>104553</t>
  </si>
  <si>
    <t>10004573</t>
  </si>
  <si>
    <t>0329-0158414877050</t>
  </si>
  <si>
    <t>35202-3616682-3</t>
  </si>
  <si>
    <t>0307-7054852</t>
  </si>
  <si>
    <t>KHI/HO/D/MO/PC COMP/C/102208/39/11/2024</t>
  </si>
  <si>
    <t>Mr. Waqas Saleem  
Hpa M/S. Al Baraka Bank (Pakistan) Limited</t>
  </si>
  <si>
    <t>AHE-042</t>
  </si>
  <si>
    <t>189135</t>
  </si>
  <si>
    <t>1089117</t>
  </si>
  <si>
    <t>0402- 0158268029045</t>
  </si>
  <si>
    <t>34102-8422617-1</t>
  </si>
  <si>
    <t>0321-7173903 - 0321-3333323</t>
  </si>
  <si>
    <t>KHI/HO/D/MO/PC COMP/C/102208/4/11/2024</t>
  </si>
  <si>
    <t>Mr. Haris Rehman Shamsi 
Hpa M/S. Al Baraka Bank (Pakistan) Limited</t>
  </si>
  <si>
    <t>AHP-193</t>
  </si>
  <si>
    <t>190962</t>
  </si>
  <si>
    <t>1090974</t>
  </si>
  <si>
    <t>0329-0158504905050</t>
  </si>
  <si>
    <t>35202-4194319-9</t>
  </si>
  <si>
    <t>3228702644</t>
  </si>
  <si>
    <t>KHI/HO/D/MO/PC COMP/C/102208/40/11/2024</t>
  </si>
  <si>
    <t>Mr. Hafiz Sharjeel Ashraf  
Hpa M/S. Al Baraka Bank (Pakistan) Limited</t>
  </si>
  <si>
    <t>LE-20-9676</t>
  </si>
  <si>
    <t>120952</t>
  </si>
  <si>
    <t>1020954</t>
  </si>
  <si>
    <t>0329-015855358014</t>
  </si>
  <si>
    <t>35201-5009579-3</t>
  </si>
  <si>
    <t>0324-4999495</t>
  </si>
  <si>
    <t>KHI/HO/D/MO/PC COMP/C/102208/41/11/2024</t>
  </si>
  <si>
    <t>Mr. Rana Waheed Murad  
Hpa M/S. Al Baraka Bank (Pakistan) Limited</t>
  </si>
  <si>
    <t>194197</t>
  </si>
  <si>
    <t>1094203</t>
  </si>
  <si>
    <t>0471-0158552202018</t>
  </si>
  <si>
    <t>36203-5364108-3</t>
  </si>
  <si>
    <t>0301-7748185</t>
  </si>
  <si>
    <t>KHI/HO/D/MO/PC COMP/C/102208/42/11/2024</t>
  </si>
  <si>
    <t>Mr. Tanveer Masih Gill
Hpa M/S. Al Baraka Bank (Pakistan) Limited</t>
  </si>
  <si>
    <t>SUZUKI WAGON R VXL AGS</t>
  </si>
  <si>
    <t>ACD-304</t>
  </si>
  <si>
    <t>PK10B204099</t>
  </si>
  <si>
    <t>PK10104096</t>
  </si>
  <si>
    <t>0402- 0158554368010</t>
  </si>
  <si>
    <t>34101-4415031-5</t>
  </si>
  <si>
    <t>0315-2577780</t>
  </si>
  <si>
    <t>KHI/HO/D/MO/PC COMP/C/102208/43/11/2024</t>
  </si>
  <si>
    <t>Mr. Usman Mehmood 
Hpa M/S. Al Baraka Bank (Pakistan) Limited</t>
  </si>
  <si>
    <t>AWB-161</t>
  </si>
  <si>
    <t>224188</t>
  </si>
  <si>
    <t>10124221</t>
  </si>
  <si>
    <t>0158527619030</t>
  </si>
  <si>
    <t>37405-9634352-3</t>
  </si>
  <si>
    <t>0344-8080805</t>
  </si>
  <si>
    <t>KHI/HO/D/MO/PC COMP/C/102208/44/11/2024</t>
  </si>
  <si>
    <t>Mr. Iftikhar Ahmad
Hpa M/S. Al Baraka Bank (Pakistan) Limited</t>
  </si>
  <si>
    <t>AGD-363</t>
  </si>
  <si>
    <t>224168</t>
  </si>
  <si>
    <t>10124188</t>
  </si>
  <si>
    <t>0562-0158552384012</t>
  </si>
  <si>
    <t>33301-5639062-1</t>
  </si>
  <si>
    <t>0300-7974989</t>
  </si>
  <si>
    <t>KHI/HO/D/MO/PC COMP/C/102208/45/11/2024</t>
  </si>
  <si>
    <t>Mr. Muhammad Tahir Shah  
Hpa M/S. Al Baraka Bank (Pakistan) Limited</t>
  </si>
  <si>
    <t>SUZUKI CULTUS VXL AGS EUR</t>
  </si>
  <si>
    <t>AEA-477</t>
  </si>
  <si>
    <t>172741</t>
  </si>
  <si>
    <t>10072763</t>
  </si>
  <si>
    <t>0431-0158556218015</t>
  </si>
  <si>
    <t>36302-3359014-1</t>
  </si>
  <si>
    <t>0300-7300786</t>
  </si>
  <si>
    <t>KHI/HO/D/MO/PC COMP/C/102208/46/11/2024</t>
  </si>
  <si>
    <t>Mr. Liaquat Ali 
Hpa M/S. Al Baraka Bank (Pakistan) Limited</t>
  </si>
  <si>
    <t>51004105</t>
  </si>
  <si>
    <t>5474</t>
  </si>
  <si>
    <t>0405-0158168719027</t>
  </si>
  <si>
    <t>35102-8171295-7</t>
  </si>
  <si>
    <t>0321-6574021</t>
  </si>
  <si>
    <t>KHI/HO/D/MO/PC COMP/C/102208/47/11/2024</t>
  </si>
  <si>
    <t>Mr. Waseem Arshad 
Hpa M/S. Al Baraka Bank (Pakistan) Limited</t>
  </si>
  <si>
    <t>AWA-502</t>
  </si>
  <si>
    <t>51004292</t>
  </si>
  <si>
    <t>MR005833</t>
  </si>
  <si>
    <t>0426-0158229298037</t>
  </si>
  <si>
    <t>33105-0365770-3</t>
  </si>
  <si>
    <t>0300-7682467</t>
  </si>
  <si>
    <t>KHI/HO/D/MO/PC COMP/C/102208/48/11/2024</t>
  </si>
  <si>
    <t>Mr. Qalab Abbas
Hpa M/S. Al Baraka Bank (Pakistan) Limited</t>
  </si>
  <si>
    <t>HONDA CITY ASPIRE</t>
  </si>
  <si>
    <t>AFY-674</t>
  </si>
  <si>
    <t>1001563</t>
  </si>
  <si>
    <t>MR006076</t>
  </si>
  <si>
    <t>0329-0158555120017</t>
  </si>
  <si>
    <t>35202-8284720-5</t>
  </si>
  <si>
    <t>0300-8423677</t>
  </si>
  <si>
    <t>KHI/HO/D/MO/PC COMP/C/102208/49/11/2024</t>
  </si>
  <si>
    <t>Ms. Maira Malik 
Hpa M/S. Al Baraka Bank (Pakistan) Limited</t>
  </si>
  <si>
    <t>KIA SPORTAGE FWD</t>
  </si>
  <si>
    <t>AWK-309</t>
  </si>
  <si>
    <t>318819</t>
  </si>
  <si>
    <t>102432</t>
  </si>
  <si>
    <t>0431-0158534766010</t>
  </si>
  <si>
    <t>36302-6836873-0</t>
  </si>
  <si>
    <t>0310-6017776</t>
  </si>
  <si>
    <t>KHI/HO/D/MO/PC COMP/C/102208/5/11/2024</t>
  </si>
  <si>
    <t>Mr. Syed Zeeshan Ali 
Hpa M/S. Al Baraka Bank (Pakistan) Limited</t>
  </si>
  <si>
    <t>AHP-757</t>
  </si>
  <si>
    <t>189796</t>
  </si>
  <si>
    <t>1089797</t>
  </si>
  <si>
    <t>108560</t>
  </si>
  <si>
    <t>35201-0148703-5</t>
  </si>
  <si>
    <t>0312-4400650</t>
  </si>
  <si>
    <t>KHI/HO/D/MO/PC COMP/C/102208/50/11/2024</t>
  </si>
  <si>
    <t>Mr. Faisal Mahmood 
Hpa M/S. Al Baraka Bank (Pakistan) Limited</t>
  </si>
  <si>
    <t>SUZUKI CULTUS VXR</t>
  </si>
  <si>
    <t>189555</t>
  </si>
  <si>
    <t>10089537</t>
  </si>
  <si>
    <t>0423-0158542279017</t>
  </si>
  <si>
    <t>33100-2917674-7</t>
  </si>
  <si>
    <t>0301-7071369</t>
  </si>
  <si>
    <t>KHI/HO/D/MO/PC COMP/C/102208/51/11/2024</t>
  </si>
  <si>
    <t>Mr. Muhammad Usman  
Hpa M/S. Al Baraka Bank (Pakistan) Limited</t>
  </si>
  <si>
    <t>LEC-18-5264</t>
  </si>
  <si>
    <t>L13Z17505930</t>
  </si>
  <si>
    <t>NFBGM1645JR217537</t>
  </si>
  <si>
    <t>0423-0158551256010</t>
  </si>
  <si>
    <t>3310068805931</t>
  </si>
  <si>
    <t>03008610238</t>
  </si>
  <si>
    <t>KHI/HO/D/MO/PC COMP/C/102208/52/11/2024</t>
  </si>
  <si>
    <t>Mr. Inam Ul Haq Shah  
Hpa M/S. Al Baraka Bank (Pakistan) Limited</t>
  </si>
  <si>
    <t>LE-18-8459</t>
  </si>
  <si>
    <t>147451</t>
  </si>
  <si>
    <t>10047452</t>
  </si>
  <si>
    <t>0329-0158553071010</t>
  </si>
  <si>
    <t>35202-9951627-7</t>
  </si>
  <si>
    <t>3334431615</t>
  </si>
  <si>
    <t>KHI/HO/D/MO/PC COMP/C/102208/53/11/2024</t>
  </si>
  <si>
    <t>Mr. Afzal Mahmood Sheikh 
Hpa M/S. Al Baraka Bank (Pakistan) Limited</t>
  </si>
  <si>
    <t>522085</t>
  </si>
  <si>
    <t>1004564</t>
  </si>
  <si>
    <t>0329-0158551028017</t>
  </si>
  <si>
    <t>35201-2919537-9</t>
  </si>
  <si>
    <t>0322-5251111</t>
  </si>
  <si>
    <t>KHI/HO/D/MO/PC COMP/C/102208/54/11/2024</t>
  </si>
  <si>
    <t>Mr. Hafiz Fahad Bin Munir  
Hpa M/S. Al Baraka Bank (Pakistan) Limited</t>
  </si>
  <si>
    <t>AGB-461</t>
  </si>
  <si>
    <t>223264</t>
  </si>
  <si>
    <t>10123256</t>
  </si>
  <si>
    <t>03239-0158530827026</t>
  </si>
  <si>
    <t>35202-6194063-7</t>
  </si>
  <si>
    <t>0300-8860848</t>
  </si>
  <si>
    <t>KHI/HO/D/MO/PC COMP/C/102208/55/11/2024</t>
  </si>
  <si>
    <t>Mr. Muhammad Saqib 
Hpa M/S. Al Baraka Bank (Pakistan) Limited</t>
  </si>
  <si>
    <t>AGW-508</t>
  </si>
  <si>
    <t>PK10123971</t>
  </si>
  <si>
    <t>PK10B223993</t>
  </si>
  <si>
    <t>0329-0158556072015</t>
  </si>
  <si>
    <t>35201-9441557-9</t>
  </si>
  <si>
    <t>0305-4160510</t>
  </si>
  <si>
    <t>KHI/HO/D/MO/PC COMP/C/102208/56/11/2024</t>
  </si>
  <si>
    <t>Mr. Muhammad Irfan Ahmad  
Hpa M/S. Al Baraka Bank (Pakistan) Limited</t>
  </si>
  <si>
    <t>MND-18-384</t>
  </si>
  <si>
    <t>168007</t>
  </si>
  <si>
    <t>10068002</t>
  </si>
  <si>
    <t>0431-0158554791017</t>
  </si>
  <si>
    <t>36303-1410136-5</t>
  </si>
  <si>
    <t>0315-6346135</t>
  </si>
  <si>
    <t>KHI/HO/D/MO/PC COMP/C/102208/57/11/2024</t>
  </si>
  <si>
    <t>Mr. Taimoor Shoukat
Hpa M/S. Al Baraka Bank (Pakistan) Limited</t>
  </si>
  <si>
    <t>HONDA Civic CVT Oriel NAV</t>
  </si>
  <si>
    <t>AAY-065</t>
  </si>
  <si>
    <t>R18Z12927157</t>
  </si>
  <si>
    <t>R030515</t>
  </si>
  <si>
    <t>0329-0158344286082</t>
  </si>
  <si>
    <t>35202-2586739-3</t>
  </si>
  <si>
    <t>0322-4444113</t>
  </si>
  <si>
    <t>KHI/HO/D/MO/PC COMP/C/102208/58/11/2024</t>
  </si>
  <si>
    <t>Ms. Nayyar Jabeen  
Hpa M/S. Al Baraka Bank (Pakistan) Limited</t>
  </si>
  <si>
    <t>HONDA BRV MTI I-VTEC 1.5L</t>
  </si>
  <si>
    <t>LE-20-694</t>
  </si>
  <si>
    <t>14800921</t>
  </si>
  <si>
    <t>017610</t>
  </si>
  <si>
    <t>0329-0158541914014</t>
  </si>
  <si>
    <t>42201-9324265-0</t>
  </si>
  <si>
    <t>0349-8704080</t>
  </si>
  <si>
    <t>KHI/HO/D/MO/PC COMP/C/102208/59/11/2024</t>
  </si>
  <si>
    <t>Mr. Shaikh Muhammad Talha 
Hpa M/S. Al Baraka Bank (Pakistan) Limited</t>
  </si>
  <si>
    <t>AFY-880</t>
  </si>
  <si>
    <t>Q083607</t>
  </si>
  <si>
    <t>R6061107</t>
  </si>
  <si>
    <t>0329-0158554318015</t>
  </si>
  <si>
    <t>35202-1335976-1</t>
  </si>
  <si>
    <t>0310-9515555</t>
  </si>
  <si>
    <t>KHI/HO/D/MO/PC COMP/C/102208/6/11/2024</t>
  </si>
  <si>
    <t>Mr. Ali Muhammad 
Hpa M/S. Al Baraka Bank (Pakistan) Limited</t>
  </si>
  <si>
    <t>BVG-190</t>
  </si>
  <si>
    <t>192847</t>
  </si>
  <si>
    <t>1092829</t>
  </si>
  <si>
    <t>1066597</t>
  </si>
  <si>
    <t>42201-8869939-3</t>
  </si>
  <si>
    <t>0341-3765060</t>
  </si>
  <si>
    <t>KHI/HO/D/MO/PC COMP/C/102208/60/11/2024</t>
  </si>
  <si>
    <t>Mr. Muhammad Arham 
Hpa M/S. Al Baraka Bank (Pakistan) Limited</t>
  </si>
  <si>
    <t>AQX-311</t>
  </si>
  <si>
    <t>505740</t>
  </si>
  <si>
    <t>1009995</t>
  </si>
  <si>
    <t>0158555819018</t>
  </si>
  <si>
    <t>37405-0378346-1</t>
  </si>
  <si>
    <t>0303-0786518</t>
  </si>
  <si>
    <t>KHI/HO/D/MO/PC COMP/C/102208/61/11/2024</t>
  </si>
  <si>
    <t>Mr. Muhammad Ehsan 
Hpa M/S. Al Baraka Bank (Pakistan) Limited</t>
  </si>
  <si>
    <t>AHE-308</t>
  </si>
  <si>
    <t>PK10B224110</t>
  </si>
  <si>
    <t>PK10124065</t>
  </si>
  <si>
    <t>0329-0158508365058</t>
  </si>
  <si>
    <t>35202-3143949-5</t>
  </si>
  <si>
    <t>0321-9442799</t>
  </si>
  <si>
    <t>KHI/HO/D/MO/PC COMP/C/102208/62/11/2024</t>
  </si>
  <si>
    <t>Mr. Muhammad Naveed 
Hpa M/S. Al Baraka Bank (Pakistan) Limited</t>
  </si>
  <si>
    <t>Reg no AGB-265</t>
  </si>
  <si>
    <t>Q084726</t>
  </si>
  <si>
    <t>6062194</t>
  </si>
  <si>
    <t>0423-0158557406015</t>
  </si>
  <si>
    <t>3410251121983</t>
  </si>
  <si>
    <t>03008288485</t>
  </si>
  <si>
    <t>KHI/HO/D/MO/PC COMP/C/102208/63/11/2024</t>
  </si>
  <si>
    <t>Mr. Humayun 
Hpa M/S. Al Baraka Bank (Pakistan) Limited</t>
  </si>
  <si>
    <t>AGG-672</t>
  </si>
  <si>
    <t>10124645</t>
  </si>
  <si>
    <t>224693</t>
  </si>
  <si>
    <t>0329-0158556023012</t>
  </si>
  <si>
    <t>35202-3268566-7</t>
  </si>
  <si>
    <t>0321-4804688</t>
  </si>
  <si>
    <t>KHI/HO/D/MO/PC COMP/C/102208/7/11/2024</t>
  </si>
  <si>
    <t>Mr. Hashim Raza
Hpa M/S. Al Baraka Bank (Pakistan) Limited</t>
  </si>
  <si>
    <t>AGG-110</t>
  </si>
  <si>
    <t>Q354150</t>
  </si>
  <si>
    <t>7053318</t>
  </si>
  <si>
    <t>0329-0158392985052</t>
  </si>
  <si>
    <t>35202-9110531-9</t>
  </si>
  <si>
    <t>0314-4455888</t>
  </si>
  <si>
    <t>KHI/HO/D/MO/PC COMP/C/102208/8/11/2024</t>
  </si>
  <si>
    <t>Mr. Akhtar Ayub Khan
Hpa M/S. Al Baraka Bank (Pakistan) Limited</t>
  </si>
  <si>
    <t>AGF-626</t>
  </si>
  <si>
    <t>352550</t>
  </si>
  <si>
    <t>7051779</t>
  </si>
  <si>
    <t>0312-0158126736043</t>
  </si>
  <si>
    <t>35202-2914176-5</t>
  </si>
  <si>
    <t>0300-4377595</t>
  </si>
  <si>
    <t>KHI/HO/D/MO/PC COMP/C/102208/9/11/2024</t>
  </si>
  <si>
    <t>Mr. Syed Ameer Ul Hassan Shah
Hpa M/S. Al Baraka Bank (Pakistan) Limited</t>
  </si>
  <si>
    <t>HONDA CITY ASPIRE M/T</t>
  </si>
  <si>
    <t>AGS-019</t>
  </si>
  <si>
    <t>L15A79788666</t>
  </si>
  <si>
    <t>NFBGM2642JR217940</t>
  </si>
  <si>
    <t>0423-0158554155019</t>
  </si>
  <si>
    <t>38403-9979842-1</t>
  </si>
  <si>
    <t>0303-9100075</t>
  </si>
  <si>
    <t>KHI/HO/D/MO/PC COMP/C/102212/1/11/2024</t>
  </si>
  <si>
    <t>Hpa M/S. Al Baraka Bank (Pakistan) Limited
User: Zafar  Ahmad</t>
  </si>
  <si>
    <t>HONDA CITY I-VTEC A/T PT</t>
  </si>
  <si>
    <t>LEC-18A-8746</t>
  </si>
  <si>
    <t>7523473</t>
  </si>
  <si>
    <t>R240467</t>
  </si>
  <si>
    <t>0423-0158404177401</t>
  </si>
  <si>
    <t>3310006006431</t>
  </si>
  <si>
    <t>0300-9661863</t>
  </si>
  <si>
    <t>KHI/HO/D/MO/PC COMP/C/102212/10/11/2024</t>
  </si>
  <si>
    <t>Hpa M/S. Al Baraka Bank (Pakistan) Limited
User: Abdul  Raheem</t>
  </si>
  <si>
    <t>BEL-535</t>
  </si>
  <si>
    <t>Q027808</t>
  </si>
  <si>
    <t>6005283</t>
  </si>
  <si>
    <t>0150-0158399168027</t>
  </si>
  <si>
    <t>4220105836869</t>
  </si>
  <si>
    <t>0333-3155877</t>
  </si>
  <si>
    <t>KHI/HO/D/MO/PC COMP/C/102212/11/11/2024</t>
  </si>
  <si>
    <t>Hpa M/S. Al Baraka Bank (Pakistan) Limited
User: Rana Maqsood  Mehmood  Khan</t>
  </si>
  <si>
    <t>SUZUKI BOLAN STD VX EURO</t>
  </si>
  <si>
    <t>AAZ-531</t>
  </si>
  <si>
    <t>1006681</t>
  </si>
  <si>
    <t>1123193</t>
  </si>
  <si>
    <t>0555-0158504094019</t>
  </si>
  <si>
    <t>3640199876531</t>
  </si>
  <si>
    <t>0302-6947076</t>
  </si>
  <si>
    <t>KHI/HO/D/MO/PC COMP/C/102212/12/11/2024</t>
  </si>
  <si>
    <t>Hpa M/S. Al Baraka Bank (Pakistan) Limited
User: Muhammad Yaseen Khan</t>
  </si>
  <si>
    <t>BSP-832</t>
  </si>
  <si>
    <t>1425246</t>
  </si>
  <si>
    <t>1045199</t>
  </si>
  <si>
    <t>0150-0158511818014</t>
  </si>
  <si>
    <t>4210165749355</t>
  </si>
  <si>
    <t>0333-2296425</t>
  </si>
  <si>
    <t>KHI/HO/D/MO/PC COMP/C/102212/13/11/2024</t>
  </si>
  <si>
    <t>Hpa M/S. Al Baraka Bank (Pakistan) Limited
User: Muhammad Adil Ameen</t>
  </si>
  <si>
    <t>MNB-19-678</t>
  </si>
  <si>
    <t>527568</t>
  </si>
  <si>
    <t>245352</t>
  </si>
  <si>
    <t>0431-0158504591023</t>
  </si>
  <si>
    <t>3630242530565</t>
  </si>
  <si>
    <t>0301-2477771</t>
  </si>
  <si>
    <t>KHI/HO/D/MO/PC COMP/C/102212/14/11/2024</t>
  </si>
  <si>
    <t>Hpa M/S. Al Baraka Bank (Pakistan) Limited
User: Muhammad  Rafique</t>
  </si>
  <si>
    <t>ABG-991</t>
  </si>
  <si>
    <t>206564</t>
  </si>
  <si>
    <t>10106588</t>
  </si>
  <si>
    <t>0329-0158508634019</t>
  </si>
  <si>
    <t>3520225240377</t>
  </si>
  <si>
    <t>0321-4170574</t>
  </si>
  <si>
    <t>KHI/HO/D/MO/PC COMP/C/102212/15/11/2024</t>
  </si>
  <si>
    <t>Hpa M/S. Al Baraka Bank (Pakistan) Limited
User: Abdul  Waheed</t>
  </si>
  <si>
    <t>BPP-141</t>
  </si>
  <si>
    <t>Q338818</t>
  </si>
  <si>
    <t>7037957</t>
  </si>
  <si>
    <t>0461-0158445898051</t>
  </si>
  <si>
    <t>3130308189335</t>
  </si>
  <si>
    <t>0300-8677000</t>
  </si>
  <si>
    <t>KHI/HO/D/MO/PC COMP/C/102212/16/11/2024</t>
  </si>
  <si>
    <t>Hpa M/S. Al Baraka Bank (Pakistan) Limited
User: Nabeel  Mughal</t>
  </si>
  <si>
    <t>HONDA VEZEL HYBRID A/T.</t>
  </si>
  <si>
    <t>LEF-15-3470</t>
  </si>
  <si>
    <t>387449</t>
  </si>
  <si>
    <t>RU31071095</t>
  </si>
  <si>
    <t>0329-0158511387019</t>
  </si>
  <si>
    <t>3520191594311</t>
  </si>
  <si>
    <t>0304-8955558</t>
  </si>
  <si>
    <t>KHI/HO/D/MO/PC COMP/C/102212/17/11/2024</t>
  </si>
  <si>
    <t>Hpa M/S. Al Baraka Bank (Pakistan) Limited
User: Samar  Abbas</t>
  </si>
  <si>
    <t>LEA-20-1775</t>
  </si>
  <si>
    <t>154891</t>
  </si>
  <si>
    <t>10054871</t>
  </si>
  <si>
    <t>0329-0158510656019</t>
  </si>
  <si>
    <t>3520117810525</t>
  </si>
  <si>
    <t>0306-4433888</t>
  </si>
  <si>
    <t>KHI/HO/D/MO/PC COMP/C/102212/18/11/2024</t>
  </si>
  <si>
    <t>Hpa M/S. Al Baraka Bank (Pakistan) Limited
User: Ahmad Raza Khan</t>
  </si>
  <si>
    <t>ARJ-710</t>
  </si>
  <si>
    <t>16914895</t>
  </si>
  <si>
    <t>LR066815</t>
  </si>
  <si>
    <t>0559-0158145970032</t>
  </si>
  <si>
    <t>3520225951861</t>
  </si>
  <si>
    <t>0307-7770772</t>
  </si>
  <si>
    <t>KHI/HO/D/MO/PC COMP/C/102212/19/11/2024</t>
  </si>
  <si>
    <t>Hpa M/S. Al Baraka Bank (Pakistan) Limited
User: Umar Shahab Ud Din</t>
  </si>
  <si>
    <t>HONDA BRV I-VTEC S STD</t>
  </si>
  <si>
    <t>ABE-846</t>
  </si>
  <si>
    <t>4803097</t>
  </si>
  <si>
    <t>LR019785</t>
  </si>
  <si>
    <t>0555-0158504007026</t>
  </si>
  <si>
    <t>3640177468271</t>
  </si>
  <si>
    <t>0300-0970653</t>
  </si>
  <si>
    <t>KHI/HO/D/MO/PC COMP/C/102212/2/11/2024</t>
  </si>
  <si>
    <t>Hpa M/S. Al Baraka Bank (Pakistan) Limited
User: Samina  Rafique</t>
  </si>
  <si>
    <t>LEC-18A-9360</t>
  </si>
  <si>
    <t>131230</t>
  </si>
  <si>
    <t>H10031240</t>
  </si>
  <si>
    <t>0405-0158426917010</t>
  </si>
  <si>
    <t>3510183976794</t>
  </si>
  <si>
    <t>0331-4988328</t>
  </si>
  <si>
    <t>KHI/HO/D/MO/PC COMP/C/102212/20/11/2024</t>
  </si>
  <si>
    <t>Hpa M/S. Al Baraka Bank (Pakistan) Limited
User: Hafiz Muhammad Athar</t>
  </si>
  <si>
    <t>ACE-313</t>
  </si>
  <si>
    <t>2A10214</t>
  </si>
  <si>
    <t>9504297</t>
  </si>
  <si>
    <t>0553-0158033014041</t>
  </si>
  <si>
    <t>3660315146957</t>
  </si>
  <si>
    <t>0300-8695313</t>
  </si>
  <si>
    <t>KHI/HO/D/MO/PC COMP/C/102212/21/11/2024</t>
  </si>
  <si>
    <t>Hpa M/S. Al Baraka Bank (Pakistan) Limited
User: Muhammad Asif Awan</t>
  </si>
  <si>
    <t>ABA-659</t>
  </si>
  <si>
    <t>Z579487</t>
  </si>
  <si>
    <t>4204393</t>
  </si>
  <si>
    <t>0401-0158513000013</t>
  </si>
  <si>
    <t>3410132897359</t>
  </si>
  <si>
    <t>0300-6498570</t>
  </si>
  <si>
    <t>KHI/HO/D/MO/PC COMP/C/102212/22/11/2024</t>
  </si>
  <si>
    <t>Hpa M/S. Al Baraka Bank (Pakistan) Limited
User: Shabbir  Ahmed</t>
  </si>
  <si>
    <t>SUZUKI EVERY WAGON</t>
  </si>
  <si>
    <t>AFA-374</t>
  </si>
  <si>
    <t>1771488</t>
  </si>
  <si>
    <t>167838</t>
  </si>
  <si>
    <t>0158500097011</t>
  </si>
  <si>
    <t>6110118245785</t>
  </si>
  <si>
    <t>0333-5500945</t>
  </si>
  <si>
    <t>KHI/HO/D/MO/PC COMP/C/102212/23/11/2024</t>
  </si>
  <si>
    <t>Hpa M/S. Al Baraka Bank (Pakistan) Limited
User: Muhammad Adeel Asif</t>
  </si>
  <si>
    <t>TOYOTA COROLLA GLI A/T LE</t>
  </si>
  <si>
    <t>LEH-15-2847</t>
  </si>
  <si>
    <t>Z324684</t>
  </si>
  <si>
    <t>4047465</t>
  </si>
  <si>
    <t>0158509647027</t>
  </si>
  <si>
    <t>3660375323151</t>
  </si>
  <si>
    <t>0332-7190813</t>
  </si>
  <si>
    <t>KHI/HO/D/MO/PC COMP/C/102212/24/11/2024</t>
  </si>
  <si>
    <t>Hpa M/S. Al Baraka Bank (Pakistan) Limited
User: Aman  Ullah</t>
  </si>
  <si>
    <t>ABC-220</t>
  </si>
  <si>
    <t>7542019</t>
  </si>
  <si>
    <t>265148</t>
  </si>
  <si>
    <t>0329-0158511882019</t>
  </si>
  <si>
    <t>3550403441359</t>
  </si>
  <si>
    <t>0321-4537557</t>
  </si>
  <si>
    <t>KHI/HO/D/MO/PC COMP/C/102212/25/11/2024</t>
  </si>
  <si>
    <t>Hpa M/S. Al Baraka Bank (Pakistan) Limited
User: Jalil Ur Rehman Khan Kakar</t>
  </si>
  <si>
    <t>SUZUKI SWIFT DLX M/T NAV.</t>
  </si>
  <si>
    <t>ABB-426</t>
  </si>
  <si>
    <t>13048912</t>
  </si>
  <si>
    <t>10048916</t>
  </si>
  <si>
    <t>0559-0158204351022</t>
  </si>
  <si>
    <t>3530184068785</t>
  </si>
  <si>
    <t>0300-6965100</t>
  </si>
  <si>
    <t>KHI/HO/D/MO/PC COMP/C/102212/26/11/2024</t>
  </si>
  <si>
    <t>Hpa M/S. Al Baraka Bank (Pakistan) Limited
User: Muhammad    Abbas</t>
  </si>
  <si>
    <t>1045648</t>
  </si>
  <si>
    <t>145651</t>
  </si>
  <si>
    <t>0158506604024</t>
  </si>
  <si>
    <t>3530119729913</t>
  </si>
  <si>
    <t>0345-7536991</t>
  </si>
  <si>
    <t>KHI/HO/D/MO/PC COMP/C/102212/27/11/2024</t>
  </si>
  <si>
    <t>Hpa M/S. Al Baraka Bank (Pakistan) Limited
User: Muhammad  Najeeb Younas</t>
  </si>
  <si>
    <t>ABB - 857</t>
  </si>
  <si>
    <t>207419</t>
  </si>
  <si>
    <t>10107428</t>
  </si>
  <si>
    <t>0413-0158511044033</t>
  </si>
  <si>
    <t>3820199208097</t>
  </si>
  <si>
    <t>0300-0573210</t>
  </si>
  <si>
    <t>KHI/HO/D/MO/PC COMP/C/102212/28/11/2024</t>
  </si>
  <si>
    <t>Hpa M/S. Al Baraka Bank (Pakistan) Limited
User: Muhammad Shakeel Rafiq</t>
  </si>
  <si>
    <t>206881</t>
  </si>
  <si>
    <t>10106878</t>
  </si>
  <si>
    <t>0329-0158509852012</t>
  </si>
  <si>
    <t>3520228581151</t>
  </si>
  <si>
    <t>0333-4773191</t>
  </si>
  <si>
    <t>KHI/HO/D/MO/PC COMP/C/102212/29/11/2024</t>
  </si>
  <si>
    <t>Hpa M/S. Al Baraka Bank (Pakistan) Limited
User: Ibrar  Nisar</t>
  </si>
  <si>
    <t>TOYOTA COROLLA ALTIS CVTI</t>
  </si>
  <si>
    <t>Q345946</t>
  </si>
  <si>
    <t>7045103</t>
  </si>
  <si>
    <t>015820866785</t>
  </si>
  <si>
    <t>3840136534353</t>
  </si>
  <si>
    <t>0304-6063550</t>
  </si>
  <si>
    <t>KHI/HO/D/MO/PC COMP/C/102212/3/11/2024</t>
  </si>
  <si>
    <t>Hpa M/S. Al Baraka Bank (Pakistan) Limited
User: Muhammad Idrees</t>
  </si>
  <si>
    <t>LEC-18A-6259</t>
  </si>
  <si>
    <t>175093</t>
  </si>
  <si>
    <t>10075076</t>
  </si>
  <si>
    <t>0318-0158394143050</t>
  </si>
  <si>
    <t>3520253901285</t>
  </si>
  <si>
    <t>0300-4629435</t>
  </si>
  <si>
    <t>KHI/HO/D/MO/PC COMP/C/102212/30/11/2024</t>
  </si>
  <si>
    <t>Hpa M/S. Al Baraka Bank (Pakistan) Limited
User: Rana Muhammad Gulman Ashraf</t>
  </si>
  <si>
    <t>LEC-18-2673</t>
  </si>
  <si>
    <t>17507832</t>
  </si>
  <si>
    <t>JR220214</t>
  </si>
  <si>
    <t>0471-0158510187014</t>
  </si>
  <si>
    <t>3120115108609</t>
  </si>
  <si>
    <t>0300-0300569</t>
  </si>
  <si>
    <t>KHI/HO/D/MO/PC COMP/C/102212/31/11/2024</t>
  </si>
  <si>
    <t>Hpa M/S. Al Baraka Bank (Pakistan) Limited
User: Mahboob  - Ali</t>
  </si>
  <si>
    <t>ABC-643</t>
  </si>
  <si>
    <t>206528</t>
  </si>
  <si>
    <t>10106533</t>
  </si>
  <si>
    <t>0329-0158512076011</t>
  </si>
  <si>
    <t>3520277100975</t>
  </si>
  <si>
    <t>0322-2223913</t>
  </si>
  <si>
    <t>KHI/HO/D/MO/PC COMP/C/102212/32/11/2024</t>
  </si>
  <si>
    <t>Hpa M/S. Al Baraka Bank (Pakistan) Limited
User: Wahab  Ali</t>
  </si>
  <si>
    <t>ABB-894</t>
  </si>
  <si>
    <t>6915121</t>
  </si>
  <si>
    <t>067047</t>
  </si>
  <si>
    <t>0406-0158511642011</t>
  </si>
  <si>
    <t>3540420411167</t>
  </si>
  <si>
    <t>0321-4241701</t>
  </si>
  <si>
    <t>KHI/HO/D/MO/PC COMP/C/102212/33/11/2024</t>
  </si>
  <si>
    <t>Hpa M/S. Al Baraka Bank (Pakistan) Limited
User: Muhammad  Rashid</t>
  </si>
  <si>
    <t>144917</t>
  </si>
  <si>
    <t>1044900</t>
  </si>
  <si>
    <t>0329-0158503449021</t>
  </si>
  <si>
    <t>3520181854437</t>
  </si>
  <si>
    <t>0321-4907653</t>
  </si>
  <si>
    <t>KHI/HO/D/MO/PC COMP/C/102212/34/11/2024</t>
  </si>
  <si>
    <t>Hpa M/S. Al Baraka Bank (Pakistan) Limited
User: Muhammad Sharif Bhatti</t>
  </si>
  <si>
    <t>Z579754</t>
  </si>
  <si>
    <t>4205893</t>
  </si>
  <si>
    <t>0406-0158511601015</t>
  </si>
  <si>
    <t>3540118033389</t>
  </si>
  <si>
    <t>0300-4473612</t>
  </si>
  <si>
    <t>KHI/HO/D/MO/PC COMP/C/102212/35/11/2024</t>
  </si>
  <si>
    <t>Hpa M/S. Al Baraka Bank (Pakistan) Limited
User: Muhammad  Jahangir</t>
  </si>
  <si>
    <t>6R146408</t>
  </si>
  <si>
    <t>1046358</t>
  </si>
  <si>
    <t>0431-0158508988018</t>
  </si>
  <si>
    <t>3210295499691</t>
  </si>
  <si>
    <t>0300-0201799</t>
  </si>
  <si>
    <t>KHI/HO/D/MO/PC COMP/C/102212/36/11/2024</t>
  </si>
  <si>
    <t>Hpa M/S. Al Baraka Bank (Pakistan) Limited
User: Muhammad  Iqbal</t>
  </si>
  <si>
    <t>KIA SPORTAGE AWD-CW</t>
  </si>
  <si>
    <t>LHA-134</t>
  </si>
  <si>
    <t>H331873</t>
  </si>
  <si>
    <t>P506465</t>
  </si>
  <si>
    <t>0329-0158509734012</t>
  </si>
  <si>
    <t>3520105896895</t>
  </si>
  <si>
    <t>0321-8436496</t>
  </si>
  <si>
    <t>KHI/HO/D/MO/PC COMP/C/102212/37/11/2024</t>
  </si>
  <si>
    <t>Hpa M/S. Al Baraka Bank (Pakistan) Limited
User: Zeeshan</t>
  </si>
  <si>
    <t>CHANGAN KARVAAN VAN</t>
  </si>
  <si>
    <t>ABG-970</t>
  </si>
  <si>
    <t>501055</t>
  </si>
  <si>
    <t>1003230</t>
  </si>
  <si>
    <t>0329-0158491552025</t>
  </si>
  <si>
    <t>3120342655745</t>
  </si>
  <si>
    <t>0300-7853858</t>
  </si>
  <si>
    <t>KHI/HO/D/MO/PC COMP/C/102212/38/11/2024</t>
  </si>
  <si>
    <t>Hpa M/S. Al Baraka Bank (Pakistan) Limited
User: Muhammad  Ashraf</t>
  </si>
  <si>
    <t>LEE-15-5693</t>
  </si>
  <si>
    <t>107665</t>
  </si>
  <si>
    <t>10007685</t>
  </si>
  <si>
    <t>0329-0158511975016</t>
  </si>
  <si>
    <t>3520246686773</t>
  </si>
  <si>
    <t>0323-4090230</t>
  </si>
  <si>
    <t>KHI/HO/D/MO/PC COMP/C/102212/39/11/2024</t>
  </si>
  <si>
    <t>Hpa M/S. Al Baraka Bank (Pakistan) Limited
User: Zaib  Riaz</t>
  </si>
  <si>
    <t>ABB-858</t>
  </si>
  <si>
    <t>2A10296</t>
  </si>
  <si>
    <t>7005926</t>
  </si>
  <si>
    <t>0329-0158439745090</t>
  </si>
  <si>
    <t>3520107311885</t>
  </si>
  <si>
    <t>0321-4494441</t>
  </si>
  <si>
    <t>KHI/HO/D/MO/PC COMP/C/102212/4/11/2024</t>
  </si>
  <si>
    <t>Hpa M/S. Al Baraka Bank (Pakistan) Limited
User: Muhammad   Ahmad</t>
  </si>
  <si>
    <t>119291</t>
  </si>
  <si>
    <t>1019405</t>
  </si>
  <si>
    <t>0456-0158466937030</t>
  </si>
  <si>
    <t>3110508411037</t>
  </si>
  <si>
    <t>0303-4700976</t>
  </si>
  <si>
    <t>KHI/HO/D/MO/PC COMP/C/102212/40/11/2024</t>
  </si>
  <si>
    <t>Hpa M/S. Al Baraka Bank (Pakistan) Limited
User: Gulab  Khan</t>
  </si>
  <si>
    <t>ACB-362</t>
  </si>
  <si>
    <t>7542463</t>
  </si>
  <si>
    <t>265888</t>
  </si>
  <si>
    <t>0329-0158498858010</t>
  </si>
  <si>
    <t>3520061158937</t>
  </si>
  <si>
    <t>0300-4259560</t>
  </si>
  <si>
    <t>KHI/HO/D/MO/PC COMP/C/102212/41/11/2024</t>
  </si>
  <si>
    <t>Hpa M/S. Al Baraka Bank (Pakistan) Limited
User: Ahmed  Raza</t>
  </si>
  <si>
    <t>ASV-952</t>
  </si>
  <si>
    <t>6915467</t>
  </si>
  <si>
    <t>LR067450</t>
  </si>
  <si>
    <t>0471-0158502555075</t>
  </si>
  <si>
    <t>3120170904149</t>
  </si>
  <si>
    <t>0300-8544715</t>
  </si>
  <si>
    <t>KHI/HO/D/MO/PC COMP/C/102212/42/11/2024</t>
  </si>
  <si>
    <t>Mr. Muhammad Shahid Qureshi
Hpa M/S. Al Baraka Bank (Pakistan) Limited</t>
  </si>
  <si>
    <t>LEA-17A-3704</t>
  </si>
  <si>
    <t>R18Z12922253</t>
  </si>
  <si>
    <t>R025616</t>
  </si>
  <si>
    <t>0336-0158553030014</t>
  </si>
  <si>
    <t>35202-6788179-9</t>
  </si>
  <si>
    <t>0300-4443803</t>
  </si>
  <si>
    <t>KHI/HO/D/MO/PC COMP/C/102212/43/11/2024</t>
  </si>
  <si>
    <t>Mr. Tahir Mehmood 
Hpa M/S. Al Baraka Bank (Pakistan) Limited</t>
  </si>
  <si>
    <t>224406</t>
  </si>
  <si>
    <t>10124415</t>
  </si>
  <si>
    <t>0422-0158163196022</t>
  </si>
  <si>
    <t>33100-1534346-7</t>
  </si>
  <si>
    <t>0300-6651297</t>
  </si>
  <si>
    <t>KHI/HO/D/MO/PC COMP/C/102212/44/11/2024</t>
  </si>
  <si>
    <t>Hpa M/S. Al Baraka Bank (Pakistan) Limited
User: Mujahid Saeed</t>
  </si>
  <si>
    <t>LED-17-2255</t>
  </si>
  <si>
    <t>127829</t>
  </si>
  <si>
    <t>10027834</t>
  </si>
  <si>
    <t>0567-0158502495027</t>
  </si>
  <si>
    <t>3210260214993</t>
  </si>
  <si>
    <t>0334-5635290</t>
  </si>
  <si>
    <t>KHI/HO/D/MO/PC COMP/C/102212/45/11/2024</t>
  </si>
  <si>
    <t>Mr. Adnan Ramzan
Hpa M/S. Al Baraka Bank (Pakistan) Limited</t>
  </si>
  <si>
    <t>AMM-825</t>
  </si>
  <si>
    <t>257977</t>
  </si>
  <si>
    <t>1157948</t>
  </si>
  <si>
    <t>0423-0158573808017</t>
  </si>
  <si>
    <t>33100-2821915-7</t>
  </si>
  <si>
    <t>03217673646 P.O #</t>
  </si>
  <si>
    <t>KHI/HO/D/MO/PC COMP/C/102212/46/11/2024</t>
  </si>
  <si>
    <t>1004169</t>
  </si>
  <si>
    <t>MR005742</t>
  </si>
  <si>
    <t xml:space="preserve"> 0329-0158556284014</t>
  </si>
  <si>
    <t>35401-7078946-3</t>
  </si>
  <si>
    <t>0304-0495261</t>
  </si>
  <si>
    <t>KHI/HO/D/MO/PC COMP/C/102212/5/11/2024</t>
  </si>
  <si>
    <t>Hpa M/S. Al Baraka Bank (Pakistan) Limited
User: Muhammad Baqir Sharif</t>
  </si>
  <si>
    <t>APY-295</t>
  </si>
  <si>
    <t>Q063308</t>
  </si>
  <si>
    <t>ZRE171R-6040805</t>
  </si>
  <si>
    <t>0334-0158432805021</t>
  </si>
  <si>
    <t>3630308031771</t>
  </si>
  <si>
    <t>0345-4400130</t>
  </si>
  <si>
    <t>KHI/HO/D/MO/PC COMP/C/102212/6/11/2024</t>
  </si>
  <si>
    <t>Hpa M/S. Al Baraka Bank (Pakistan) Limited
User: Shamia  Zeeshan</t>
  </si>
  <si>
    <t>LEC-8164</t>
  </si>
  <si>
    <t>122635</t>
  </si>
  <si>
    <t>1022661</t>
  </si>
  <si>
    <t>0304-0158469942014</t>
  </si>
  <si>
    <t>3520227274820</t>
  </si>
  <si>
    <t>0301-8403996</t>
  </si>
  <si>
    <t>KHI/HO/D/MO/PC COMP/C/102212/7/11/2024</t>
  </si>
  <si>
    <t>Hpa M/S. Al Baraka Bank (Pakistan) Limited
User: Arif  Mehmood</t>
  </si>
  <si>
    <t>TOYOTA YARIS GLI MT</t>
  </si>
  <si>
    <t>ABA-031</t>
  </si>
  <si>
    <t>2A12855</t>
  </si>
  <si>
    <t>7007570</t>
  </si>
  <si>
    <t>0431-0158492162019</t>
  </si>
  <si>
    <t>3630270982119</t>
  </si>
  <si>
    <t>0300-6336440</t>
  </si>
  <si>
    <t>KHI/HO/D/MO/PC COMP/C/102212/8/11/2024</t>
  </si>
  <si>
    <t>Hpa M/S. Al Baraka Bank (Pakistan) Limited
User: Tayyab  Mudassar</t>
  </si>
  <si>
    <t>6R145684</t>
  </si>
  <si>
    <t>1045669</t>
  </si>
  <si>
    <t>0158315749039</t>
  </si>
  <si>
    <t>3520295694273</t>
  </si>
  <si>
    <t>0300-9436212</t>
  </si>
  <si>
    <t>KHI/HO/D/MO/PC COMP/C/102212/9/11/2024</t>
  </si>
  <si>
    <t>Hpa M/S. Al Baraka Bank (Pakistan) Limited
User: Sheikh Muhammad Ali Madni</t>
  </si>
  <si>
    <t>ABZ-808</t>
  </si>
  <si>
    <t>L15A79799965</t>
  </si>
  <si>
    <t>R265321</t>
  </si>
  <si>
    <t>0475-0158284823029</t>
  </si>
  <si>
    <t>3130182065213</t>
  </si>
  <si>
    <t>0300-6720660</t>
  </si>
  <si>
    <t>KHI/HO/D/MO/PC COMP/C/49561/15/05/2018</t>
  </si>
  <si>
    <t>M/S Al Baraka Bank Pakistan Limited 
User: Mr. Muhammad Muzaffar Mughal
(Cnic No. 35202-5119350-3),(Cell No. 0321-4832045)</t>
  </si>
  <si>
    <t>TOYOTA COROLLA GLI 588W M</t>
  </si>
  <si>
    <t>Z252513</t>
  </si>
  <si>
    <t>4031441</t>
  </si>
  <si>
    <t>KHI/HO/D/MO/PC COMP/C/50726/6/05/2019</t>
  </si>
  <si>
    <t>M/S Al Baraka Bank Pakistan Limited 
User: Mr. Muhammad Muzaffar Mughal</t>
  </si>
  <si>
    <t>24052-1</t>
  </si>
  <si>
    <t>35202-5119350-3</t>
  </si>
  <si>
    <t>0321-4832045</t>
  </si>
  <si>
    <t>KHI/HO/D/MO/PC COMP/C/54476/35/05/2021</t>
  </si>
  <si>
    <t>Mr. Safdar Abbas
M/S. Al Baraka Bank (Pakistan) Limited</t>
  </si>
  <si>
    <t>AKV-369</t>
  </si>
  <si>
    <t>Q329822</t>
  </si>
  <si>
    <t>7028877</t>
  </si>
  <si>
    <t>36302-0314989-7</t>
  </si>
  <si>
    <t>0345-7309684</t>
  </si>
  <si>
    <t>KHI/HO/D/MO/PC COMP/C/54476/36/05/2021</t>
  </si>
  <si>
    <t>Mr. Atif Manzoor  
Hpa M/S. Al Baraka Bank (Pakistan) Limited</t>
  </si>
  <si>
    <t>Z547382</t>
  </si>
  <si>
    <t>4173230</t>
  </si>
  <si>
    <t>0333-0158347835070</t>
  </si>
  <si>
    <t>35201-4190422-9</t>
  </si>
  <si>
    <t>0300-4895056</t>
  </si>
  <si>
    <t>371822</t>
  </si>
  <si>
    <t>476484</t>
  </si>
  <si>
    <t>0340-0881101</t>
  </si>
  <si>
    <t>178707</t>
  </si>
  <si>
    <t>10078700</t>
  </si>
  <si>
    <t>0158531470010</t>
  </si>
  <si>
    <t>61101-0332684-9</t>
  </si>
  <si>
    <t>372466</t>
  </si>
  <si>
    <t>477141</t>
  </si>
  <si>
    <t>0158539937018</t>
  </si>
  <si>
    <t>37405-6908226-1</t>
  </si>
  <si>
    <t>KHI/HO/D/MO/PC COMP/C/55237/68/08/2021</t>
  </si>
  <si>
    <t>KHI/HO/D/MO/PC COMP/E/17584/00068/09/2021</t>
  </si>
  <si>
    <t>Hpa M/S. Al Baraka Bank (Pakistan) Limited
User: Mr. Muhammad Babar</t>
  </si>
  <si>
    <t>HONDA CIVIC VTI PT ORIEL</t>
  </si>
  <si>
    <t>Z16925066</t>
  </si>
  <si>
    <t>R-077528</t>
  </si>
  <si>
    <t>35202-4084513-3</t>
  </si>
  <si>
    <t>0333-4455210</t>
  </si>
  <si>
    <t>KHI/HO/D/MO/PC COMP/C/55586/10/09/2021</t>
  </si>
  <si>
    <t>KHI/HO/D/MO/PC COMP/E/17902/00010/10/2021</t>
  </si>
  <si>
    <t>Mr. Muhammad Shahnawaz      
Hpa M/S. Al Baraka Bank (Pakistan) Limited</t>
  </si>
  <si>
    <t>TOYOTA YARIS ATIV MT 1.3</t>
  </si>
  <si>
    <t>BUK-180</t>
  </si>
  <si>
    <t>2A35165</t>
  </si>
  <si>
    <t>R-7021901</t>
  </si>
  <si>
    <t>0144-0158539397012</t>
  </si>
  <si>
    <t>3130490402153</t>
  </si>
  <si>
    <t>03002841960</t>
  </si>
  <si>
    <t>KHI/HO/D/MO/PC COMP/C/58494/24/02/2022</t>
  </si>
  <si>
    <t>Mr. Fahad Mushtaq  
Hpa M/S Al Baraka Bank (Pakistan) Limited</t>
  </si>
  <si>
    <t>962406</t>
  </si>
  <si>
    <t>302794</t>
  </si>
  <si>
    <t>0329-0158551869019</t>
  </si>
  <si>
    <t>35202-0788593-1</t>
  </si>
  <si>
    <t>3330457507</t>
  </si>
  <si>
    <t>KHI/HO/D/MO/PC COMP/C/60196/1/04/2022</t>
  </si>
  <si>
    <t>Mr. Imran Ali 
Hpa M/S. Al Baraka Bank (Pakistan) Limited</t>
  </si>
  <si>
    <t>LEA20-101</t>
  </si>
  <si>
    <t>Z575212</t>
  </si>
  <si>
    <t>4200921</t>
  </si>
  <si>
    <t>0329-0158477069012</t>
  </si>
  <si>
    <t>3520271630131</t>
  </si>
  <si>
    <t>0300-4129113</t>
  </si>
  <si>
    <t>KHI/HO/D/MO/PC COMP/C/62063/54/07/2022</t>
  </si>
  <si>
    <t>Mr. Sadaqat
Hpa M/S. Al Baraka Bank (Pakistan) Limited</t>
  </si>
  <si>
    <t>239025</t>
  </si>
  <si>
    <t>10139045</t>
  </si>
  <si>
    <t>0158492561015</t>
  </si>
  <si>
    <t>35202-1714731-5</t>
  </si>
  <si>
    <t>0300-4185945</t>
  </si>
  <si>
    <t>KHI/HO/D/MO/PC COMP/C/64082/19/10/2022</t>
  </si>
  <si>
    <t>Mr. Muhammad Imran
Hpa M/S. Al Baraka Bank (Pakistan) Limited</t>
  </si>
  <si>
    <t>0329-0158568232019</t>
  </si>
  <si>
    <t>35201-0665181-3</t>
  </si>
  <si>
    <t>KHI/HO/D/MO/PC COMP/E/22204/00019/11/2022</t>
  </si>
  <si>
    <t>KHI/HO/D/MO/PC COMP/C/67797/108/02/2023</t>
  </si>
  <si>
    <t>Mr. Umair Shahzad 
Hpa M/S Al Baraka Bank (Pakistan) Limited</t>
  </si>
  <si>
    <t>L E - 19A- 4333</t>
  </si>
  <si>
    <t>pk10B 199398</t>
  </si>
  <si>
    <t>A1J310PK 10099391</t>
  </si>
  <si>
    <t>0423-0158565040019</t>
  </si>
  <si>
    <t>33100-8960123-9</t>
  </si>
  <si>
    <t>0306-7923001</t>
  </si>
  <si>
    <t>0333-4443107</t>
  </si>
  <si>
    <t>KHI/HO/D/MO/PC COMP/C/70036/33/04/2023</t>
  </si>
  <si>
    <t>Mr. Noman Mehdi 
Hpa M/S. Al Baraka Bank Pakistan Limited</t>
  </si>
  <si>
    <t>24518</t>
  </si>
  <si>
    <t>9509772</t>
  </si>
  <si>
    <t>0150-0158513906013</t>
  </si>
  <si>
    <t>42201-0298934-3</t>
  </si>
  <si>
    <t>0331-2156400</t>
  </si>
  <si>
    <t>KHI/HO/D/MO/PC COMP/E/33621/00033/10/2023</t>
  </si>
  <si>
    <t>KHI/HO/D/MO/PC COMP/C/70038/18/04/2023</t>
  </si>
  <si>
    <t>Mr. Muhammad Kamran Riaz
Hpa M/S. Al Baraka Bank (Pakistan) Limited</t>
  </si>
  <si>
    <t>LEE-19-8850</t>
  </si>
  <si>
    <t>192111</t>
  </si>
  <si>
    <t>10092099</t>
  </si>
  <si>
    <t>8880-0158445660018</t>
  </si>
  <si>
    <t>35202-8023349-3</t>
  </si>
  <si>
    <t>0310-4400042</t>
  </si>
  <si>
    <t>KHI/HO/D/MO/PC COMP/C/71697/10/06/2023</t>
  </si>
  <si>
    <t>Mr. Manzoor Ahmad 
M/S Al Baraka Bank Pakistan Limited</t>
  </si>
  <si>
    <t>APK-834</t>
  </si>
  <si>
    <t>6R233563</t>
  </si>
  <si>
    <t>1133544</t>
  </si>
  <si>
    <t>0158527786023</t>
  </si>
  <si>
    <t>35202-6840699-1</t>
  </si>
  <si>
    <t>0346-4625052</t>
  </si>
  <si>
    <t>KHI/HO/D/MO/PC COMP/C/72871/6/07/2023</t>
  </si>
  <si>
    <t>Mr. Sarwar Ijaz Yousaf 
Hpa M/S. Al Baraka Bank Pakistan Limited</t>
  </si>
  <si>
    <t>KIA PICANTO 1.0L A/T</t>
  </si>
  <si>
    <t>AED-923</t>
  </si>
  <si>
    <t>007315</t>
  </si>
  <si>
    <t>705193</t>
  </si>
  <si>
    <t>0329-015853493948035</t>
  </si>
  <si>
    <t>35201-1366351-9</t>
  </si>
  <si>
    <t>0305-4051947</t>
  </si>
  <si>
    <t>KHI/HO/D/MO/PC COMP/C/72882/14/07/2023</t>
  </si>
  <si>
    <t>Mr. Tariq Mehmood Khan
Hpa M/S. Al Baraka Bank Pakistan Limited</t>
  </si>
  <si>
    <t>AUE-852</t>
  </si>
  <si>
    <t xml:space="preserve"> 0331-5022818</t>
  </si>
  <si>
    <t>KHI/HO/D/MO/PC COMP/C/73558/29/08/2023</t>
  </si>
  <si>
    <t>Mr Faraz Khan
Hpa M/S. Al Baraka Bank (Pakistan) Limited</t>
  </si>
  <si>
    <t>BVY-587</t>
  </si>
  <si>
    <t>507324</t>
  </si>
  <si>
    <t>001530</t>
  </si>
  <si>
    <t>0150-0158286624029</t>
  </si>
  <si>
    <t>4210179692533</t>
  </si>
  <si>
    <t>03361175137</t>
  </si>
  <si>
    <t>KHI/HO/D/MO/PC COMP/C/73778/42/08/2023</t>
  </si>
  <si>
    <t>Mr. Nadeem Iqbal     
Hpa M/S. Al Baraka Bank (Pakistan) Limited</t>
  </si>
  <si>
    <t>AEM-451</t>
  </si>
  <si>
    <t>2A33905</t>
  </si>
  <si>
    <t>7021031</t>
  </si>
  <si>
    <t>0329-0158542406018</t>
  </si>
  <si>
    <t>35202-2956612-5</t>
  </si>
  <si>
    <t>0300-4434559</t>
  </si>
  <si>
    <t>SUZUKI WAGON-R VXR</t>
  </si>
  <si>
    <t>KHI/HO/D/MO/PC COMP/C/73783/5/08/2023</t>
  </si>
  <si>
    <t>Mr. Muhammad Iftikhar Shaheen   Hpa M/S. Al Baraka Bank (Pakistan) Limited</t>
  </si>
  <si>
    <t>LE-14-1776</t>
  </si>
  <si>
    <t>587861</t>
  </si>
  <si>
    <t>494732</t>
  </si>
  <si>
    <t>0432-0158420677024</t>
  </si>
  <si>
    <t>36303-2959950-7</t>
  </si>
  <si>
    <t>0301-6585071</t>
  </si>
  <si>
    <t>KHI/HO/D/MO/PC COMP/C/73784/17/08/2023</t>
  </si>
  <si>
    <t>Mr. Ahmad Murtaza      
Hpa M/S. Al Baraka Bank (Pakistan) Limited</t>
  </si>
  <si>
    <t>LEH-19-8447</t>
  </si>
  <si>
    <t>R100670</t>
  </si>
  <si>
    <t>1000635</t>
  </si>
  <si>
    <t>0334-0158460045013</t>
  </si>
  <si>
    <t>35202-2678669-9</t>
  </si>
  <si>
    <t>0345-6380511</t>
  </si>
  <si>
    <t>Mr.  Syed Muhammad Bilal Adil 
Hpa M/S. Al Baraka Bank (Pakistan) Limited</t>
  </si>
  <si>
    <t>530592</t>
  </si>
  <si>
    <t>1011137</t>
  </si>
  <si>
    <t>0158625648010</t>
  </si>
  <si>
    <t>61101-2105722-3</t>
  </si>
  <si>
    <t>0333-5132662</t>
  </si>
  <si>
    <t>KHI/HO/D/MO/PC COMP/C/75212/45/09/2023</t>
  </si>
  <si>
    <t>Mr. Muzammil Sultan                   
Hpa M/S. Al Baraka Bank (Pakistan) Limited</t>
  </si>
  <si>
    <t>LEF-18-1825</t>
  </si>
  <si>
    <t>587928</t>
  </si>
  <si>
    <t>248447</t>
  </si>
  <si>
    <t>0329-0158504578015</t>
  </si>
  <si>
    <t>35201-8859207-5</t>
  </si>
  <si>
    <t>0304-4868643</t>
  </si>
  <si>
    <t>KHI/HO/D/MO/CV/C/76377/2/10/2023</t>
  </si>
  <si>
    <t>Mr. Muhammad Irfan Hassan
Hpa M/S. Al Baraka Bank (Pakistan) Limited</t>
  </si>
  <si>
    <t>LET-18-2500</t>
  </si>
  <si>
    <t>340052</t>
  </si>
  <si>
    <t>444709</t>
  </si>
  <si>
    <t>0318-0158393987047</t>
  </si>
  <si>
    <t>35202-1142411-3</t>
  </si>
  <si>
    <t>0322-4057066</t>
  </si>
  <si>
    <t>KHI/HO/D/MO/PC COMP/C/77944/49/11/2023</t>
  </si>
  <si>
    <t>Mr. Asad Ur Rehman
Hpa M/S Al Baraka Bank ( Pakistan ) Limited</t>
  </si>
  <si>
    <t>LEB-18-5272</t>
  </si>
  <si>
    <t>116918</t>
  </si>
  <si>
    <t>10016932</t>
  </si>
  <si>
    <t>0329-0158588327024</t>
  </si>
  <si>
    <t>35202-6681934-9</t>
  </si>
  <si>
    <t>0322-8844215</t>
  </si>
  <si>
    <t>KHI/HO/D/MO/PC COMP/C/77949/38/11/2023</t>
  </si>
  <si>
    <t>KHI/HO/D/MO/CV/P/78003/11/2023</t>
  </si>
  <si>
    <t>Mr. Zulfiqar Ali  
HPA M/s. Al Baraka Bank (Pakistan) Limited 
Cnic No. 33100-2489572-1 Cell No.</t>
  </si>
  <si>
    <t>MESSY FERGUSEN MF-385</t>
  </si>
  <si>
    <t>CAQ-8730</t>
  </si>
  <si>
    <t>618004 J</t>
  </si>
  <si>
    <t>902141723</t>
  </si>
  <si>
    <t>KHI/HO/D/MO/PC COMP/C/78104/4/11/2023</t>
  </si>
  <si>
    <t>Hpa M/S. Al Baraka Bank (Pakistan) Limited
User: Imran  Mehmood</t>
  </si>
  <si>
    <t>LEA-19-3100</t>
  </si>
  <si>
    <t>177360</t>
  </si>
  <si>
    <t>10077353</t>
  </si>
  <si>
    <t>0318-0158420742013</t>
  </si>
  <si>
    <t>3520104051913</t>
  </si>
  <si>
    <t>0321-9464455</t>
  </si>
  <si>
    <t>KHI/HO/D/MO/PC COMP/C/78104/5/11/2023</t>
  </si>
  <si>
    <t>Hpa M/S. Al Baraka Bank (Pakistan) Limited
User: Muhammad Kashif Javed</t>
  </si>
  <si>
    <t>LED-19-3004</t>
  </si>
  <si>
    <t>Z541722</t>
  </si>
  <si>
    <t>4167558</t>
  </si>
  <si>
    <t>0318-0158427595017</t>
  </si>
  <si>
    <t>3520222692645</t>
  </si>
  <si>
    <t>KHI/HO/D/MO/CV/C/79892/1/12/2023</t>
  </si>
  <si>
    <t>Mr. Mehmood Ali
Hpa M/S. Al Baraka Bank (Pakistan) Limited</t>
  </si>
  <si>
    <t>LES-19-1191</t>
  </si>
  <si>
    <t>346303</t>
  </si>
  <si>
    <t>450982</t>
  </si>
  <si>
    <t>0329-0158433025018</t>
  </si>
  <si>
    <t>35202-9682038-5</t>
  </si>
  <si>
    <t>0300-4489674</t>
  </si>
  <si>
    <t>KHI/HO/D/MO/CV/P/80024/12/2023</t>
  </si>
  <si>
    <t>Mr. Kashif Munawar
HPA M/s. Al Baraka Bank Limited 
CNIC No. 35401-5116956-3</t>
  </si>
  <si>
    <t>CAQ-2884</t>
  </si>
  <si>
    <t>619521-J</t>
  </si>
  <si>
    <t>90277/22/23</t>
  </si>
  <si>
    <t>KHI/HO/D/MO/PC COMP/C/80337/1/12/2023</t>
  </si>
  <si>
    <t>Mr. Kashif Farooq
Hpa M/S. Al Baraka Bank (Pakistan) Limited</t>
  </si>
  <si>
    <t>AHK-788</t>
  </si>
  <si>
    <t>224515</t>
  </si>
  <si>
    <t>10124530</t>
  </si>
  <si>
    <t>015855351010</t>
  </si>
  <si>
    <t>37201-3381269-1</t>
  </si>
  <si>
    <t>0303-5647788</t>
  </si>
  <si>
    <t>KHI/HO/D/MO/PC COMP/E/42115/00001/05/2024</t>
  </si>
  <si>
    <t>KHI/HO/D/MO/PC COMP/C/80337/44/12/2023</t>
  </si>
  <si>
    <t>Mr. Malik Qaiser Muhammad Awan 
Hpa M/S. Al Baraka Bank (Pakistan) Limited</t>
  </si>
  <si>
    <t>314721</t>
  </si>
  <si>
    <t>109160</t>
  </si>
  <si>
    <t>0307-0158561548011</t>
  </si>
  <si>
    <t>35201-1561662-9</t>
  </si>
  <si>
    <t>0302-6999215</t>
  </si>
  <si>
    <t>KHI/HO/D/MO/PC COMP/C/80354/14/12/2023</t>
  </si>
  <si>
    <t>Mr. Salamat Ali    
Hpa M/S. Al Baraka Bank (Pakistan) Limited</t>
  </si>
  <si>
    <t>2013</t>
  </si>
  <si>
    <t>LED-13-6321</t>
  </si>
  <si>
    <t>PKF578852</t>
  </si>
  <si>
    <t>SF410PK485721</t>
  </si>
  <si>
    <t>0423-0158469382016</t>
  </si>
  <si>
    <t>33102-8128335-5</t>
  </si>
  <si>
    <t>0307-2816206</t>
  </si>
  <si>
    <t>KHI/HO/D/MO/PC COMP/C/82368/10/01/2024</t>
  </si>
  <si>
    <t>Mr. Muhammad Aism Qayyum Chohan
Hpa M/S. Al Baraka Bank (Pakistan) Limited</t>
  </si>
  <si>
    <t>154791</t>
  </si>
  <si>
    <t>10054777</t>
  </si>
  <si>
    <t>0158475258021</t>
  </si>
  <si>
    <t>33202-9592951-7</t>
  </si>
  <si>
    <t>0313-8611177</t>
  </si>
  <si>
    <t>KHI/HO/D/MO/PC COMP/C/82384/48/01/2024</t>
  </si>
  <si>
    <t>KHI/HO/D/MO/PC COMP/E/36994/00048/02/2024</t>
  </si>
  <si>
    <t>Mr. Hassan Ali Sadiq
Hpa M/S Al Baraka Bank (Pakistan) Limited</t>
  </si>
  <si>
    <t>BRD-806</t>
  </si>
  <si>
    <t>148179</t>
  </si>
  <si>
    <t>700519</t>
  </si>
  <si>
    <t>0144-0158561149015</t>
  </si>
  <si>
    <t>42201-6304795-5</t>
  </si>
  <si>
    <t>0305-5766501</t>
  </si>
  <si>
    <t>KHI/HO/D/MO/PC COMP/C/83022/7/02/2024</t>
  </si>
  <si>
    <t>Mr Muhammad Tayyab 
Hpa M/S. Al Baraka Bank (Pakistan) Limited</t>
  </si>
  <si>
    <t>LEC-17-8578</t>
  </si>
  <si>
    <t>637250</t>
  </si>
  <si>
    <t>544125</t>
  </si>
  <si>
    <t>0329-015863780</t>
  </si>
  <si>
    <t>35201-2967966-9</t>
  </si>
  <si>
    <t>0307-4190145</t>
  </si>
  <si>
    <t>KHI/HO/D/MO/CV/P/83823/02/2024</t>
  </si>
  <si>
    <t>Mr. Naseer Ahmad 
CNIC No. 31303-3836555-9
Cell No. 03039795100</t>
  </si>
  <si>
    <t>MILLAT TRACTOR MF 385</t>
  </si>
  <si>
    <t>CAR-9912</t>
  </si>
  <si>
    <t>619338 J</t>
  </si>
  <si>
    <t>902702423</t>
  </si>
  <si>
    <t>KHI/HO/D/MO/PC COMP/C/84011/21/02/2024</t>
  </si>
  <si>
    <t>Ms.Urfa Noreen
Hpa M/S Al Baraka Bank (Pakistan) Limited</t>
  </si>
  <si>
    <t>AEQ-20-307</t>
  </si>
  <si>
    <t>460339</t>
  </si>
  <si>
    <t>20G00427</t>
  </si>
  <si>
    <t>0329-0158564704016</t>
  </si>
  <si>
    <t>35202-2078937-0</t>
  </si>
  <si>
    <t>0303-0284480</t>
  </si>
  <si>
    <t>KHI/HO/D/MO/PC COMP/C/84285/14/02/2024</t>
  </si>
  <si>
    <t>Mr. Nadeem Bashir               
Hpa M/S. Al Baraka Bank Pakistan Limited</t>
  </si>
  <si>
    <t>204303</t>
  </si>
  <si>
    <t>10104290</t>
  </si>
  <si>
    <t>0150-0158357180053</t>
  </si>
  <si>
    <t>61101-0527571-9</t>
  </si>
  <si>
    <t>0300-5555840</t>
  </si>
  <si>
    <t>KHI/HO/D/MO/PC COMP/C/84685/4/02/2024</t>
  </si>
  <si>
    <t>Mr. Khair Muhammad    
Hpa M/S. Al Baraka Bank (Pakistan) Limited</t>
  </si>
  <si>
    <t>CY-4337</t>
  </si>
  <si>
    <t>994495</t>
  </si>
  <si>
    <t>01111007</t>
  </si>
  <si>
    <t>0144-0158440228017</t>
  </si>
  <si>
    <t>42201-0262788-9</t>
  </si>
  <si>
    <t>0345-2200737</t>
  </si>
  <si>
    <t>KHI/HO/D/MO/CV/C/85008/1/03/2024</t>
  </si>
  <si>
    <t>Mr. Atif Khan
Hpa M/S. Al Baraka Bank (Pakistan) Limited</t>
  </si>
  <si>
    <t>JAC X-200</t>
  </si>
  <si>
    <t>KZ-7066</t>
  </si>
  <si>
    <t>L4018839</t>
  </si>
  <si>
    <t>L1803436</t>
  </si>
  <si>
    <t>0144-0158493263054</t>
  </si>
  <si>
    <t>42101-1681732-7</t>
  </si>
  <si>
    <t>0342-8114827</t>
  </si>
  <si>
    <t>KHI/HO/D/MO/PC COMP/C/85019/1/03/2024</t>
  </si>
  <si>
    <t>Ms. Salma Shaikh 
Hp M/S. Al Baraka Bank (Pakistan) Limited</t>
  </si>
  <si>
    <t>BDG-776</t>
  </si>
  <si>
    <t>102174</t>
  </si>
  <si>
    <t>10002272</t>
  </si>
  <si>
    <t>0150-0158527775010</t>
  </si>
  <si>
    <t>4210172567246</t>
  </si>
  <si>
    <t>0331-3189198</t>
  </si>
  <si>
    <t>KHI/HO/D/MO/PC COMP/C/85019/15/03/2024</t>
  </si>
  <si>
    <t>Mr. Kashif Ali 
Hpa M/S. Al Baraka Bank (Pakistan) Limited</t>
  </si>
  <si>
    <t>BJZ-008</t>
  </si>
  <si>
    <t>L13Z17463762</t>
  </si>
  <si>
    <t>NFBGM1645HR207133</t>
  </si>
  <si>
    <t>0423-0158603150019</t>
  </si>
  <si>
    <t>33102-3628047-1</t>
  </si>
  <si>
    <t>03216665512</t>
  </si>
  <si>
    <t>KHI/HO/D/MO/PC COMP/C/85019/17/03/2024</t>
  </si>
  <si>
    <t>Mr. Muhammad Haider  Ali
Hpa M/S. Al Baraka Bank (Pakistan) Limited</t>
  </si>
  <si>
    <t>LEH-16-764</t>
  </si>
  <si>
    <t>71400471</t>
  </si>
  <si>
    <t>R02095</t>
  </si>
  <si>
    <t>0431-018603126018</t>
  </si>
  <si>
    <t>32302-0497990-1</t>
  </si>
  <si>
    <t>0313-8638888</t>
  </si>
  <si>
    <t>KHI/HO/D/MO/PC COMP/C/85019/32/03/2024</t>
  </si>
  <si>
    <t>Mr. Shafqat Hussain Khan
Hpa M/S. Al Baraka Bank (Pakistan) Limited</t>
  </si>
  <si>
    <t>BBU-776</t>
  </si>
  <si>
    <t>212123</t>
  </si>
  <si>
    <t>1112123</t>
  </si>
  <si>
    <t>0158603822024</t>
  </si>
  <si>
    <t>38403-2067662-9</t>
  </si>
  <si>
    <t>0333-1910331</t>
  </si>
  <si>
    <t>KHI/HO/D/MO/PC COMP/C/85019/8/03/2024</t>
  </si>
  <si>
    <t>Mr. Amir Shahzad
Hpa M/S. Al Baraka Bank (Pakistan) Limited</t>
  </si>
  <si>
    <t>ANQ-547</t>
  </si>
  <si>
    <t>269806</t>
  </si>
  <si>
    <t>1169772</t>
  </si>
  <si>
    <t>0461-158549989029</t>
  </si>
  <si>
    <t>31303-0625854-7</t>
  </si>
  <si>
    <t>0300-8778898</t>
  </si>
  <si>
    <t>KHI/HO/D/MO/PC COMP/C/85019/9/03/2024</t>
  </si>
  <si>
    <t>Mr. Muhammad Junaid 
Hpa M/S. Al Baraka Bank (Pakistan) Limited</t>
  </si>
  <si>
    <t>SUZUKI SWIFT DLX A/T NAV.</t>
  </si>
  <si>
    <t>LE-20-9097</t>
  </si>
  <si>
    <t>PKS13047710</t>
  </si>
  <si>
    <t>K10047707</t>
  </si>
  <si>
    <t>0329-0158603283010</t>
  </si>
  <si>
    <t>42501-1490482-3</t>
  </si>
  <si>
    <t>0300-4595937</t>
  </si>
  <si>
    <t>KHI/HO/D/MO/PC COMP/C/85047/40/03/2024</t>
  </si>
  <si>
    <t>Mr. Hafiz Muhammad Adeel
Hpa M/S Al Baraka Bank (Pakistan) Limited</t>
  </si>
  <si>
    <t>AJH-569</t>
  </si>
  <si>
    <t>206921</t>
  </si>
  <si>
    <t>1106853</t>
  </si>
  <si>
    <t>0431-0158546300028</t>
  </si>
  <si>
    <t>36302-6073244-5</t>
  </si>
  <si>
    <t>0301-2913388</t>
  </si>
  <si>
    <t>KHI/HO/D/MO/PC COMP/C/85047/45/03/2024</t>
  </si>
  <si>
    <t>Mr. Adil Usman 
Hpa M/S Al Baraka Bank (Pakistan) Limited</t>
  </si>
  <si>
    <t>AJD-145</t>
  </si>
  <si>
    <t>193915</t>
  </si>
  <si>
    <t>10093892</t>
  </si>
  <si>
    <t>0423-0158565457042</t>
  </si>
  <si>
    <t>33102-4986364-5</t>
  </si>
  <si>
    <t>03187000337</t>
  </si>
  <si>
    <t>KHI/HO/D/MO/PC COMP/C/85047/48/03/2024</t>
  </si>
  <si>
    <t>Mr. Awais Aslam  
Hpa M/S Al Baraka Bank (Pakistan) Limited</t>
  </si>
  <si>
    <t>AMJ-889</t>
  </si>
  <si>
    <t>170011</t>
  </si>
  <si>
    <t>709496</t>
  </si>
  <si>
    <t>0329-0158552897029</t>
  </si>
  <si>
    <t>35202-1188244-1</t>
  </si>
  <si>
    <t>0321-4048418</t>
  </si>
  <si>
    <t>KHI/HO/D/MO/PC COMP/C/85047/49/03/2024</t>
  </si>
  <si>
    <t>Mr. Waleed Islam 
Hpa M/S Al Baraka Bank (Pakistan) Limited</t>
  </si>
  <si>
    <t>LEH-19-8656</t>
  </si>
  <si>
    <t>K149355</t>
  </si>
  <si>
    <t>H10049366</t>
  </si>
  <si>
    <t>0329-0158562172025</t>
  </si>
  <si>
    <t>35202-5797543-3</t>
  </si>
  <si>
    <t>0300-9445549</t>
  </si>
  <si>
    <t>KHI/HO/D/MO/PC COMP/C/85065/9/03/2024</t>
  </si>
  <si>
    <t>Mr. Ysir Usman
Hpa M/S. Al Baraka Bank (Pakistan) Limited</t>
  </si>
  <si>
    <t>TOYOTA HILUX REVO V DC A/</t>
  </si>
  <si>
    <t>ATA-426</t>
  </si>
  <si>
    <t>D0934531</t>
  </si>
  <si>
    <t>5543938</t>
  </si>
  <si>
    <t>0423-0158503227011</t>
  </si>
  <si>
    <t>33100-7770345-1</t>
  </si>
  <si>
    <t>0301-8666426</t>
  </si>
  <si>
    <t>KHI/HO/D/MO/PC COMP/C/85077/4/03/2024</t>
  </si>
  <si>
    <t>Mr. Raheel Anwar  
Hpa M/S. Al Baraka Bank (Pakistan) Limited.</t>
  </si>
  <si>
    <t>LE-17-2611</t>
  </si>
  <si>
    <t>Z470251</t>
  </si>
  <si>
    <t>R4100346</t>
  </si>
  <si>
    <t>0329-01584351600016</t>
  </si>
  <si>
    <t>32203-3815501-7</t>
  </si>
  <si>
    <t>0321-2737003</t>
  </si>
  <si>
    <t>KHI/HO/D/MO/CV/P/86492/04/2024</t>
  </si>
  <si>
    <t>HPA Mr. Shah Nawaz 
M/s.Al Baraka Bank Pakistan Limited
CNIC No. 12101-2072396-1 Cell No. 03467870044</t>
  </si>
  <si>
    <t>K-3113</t>
  </si>
  <si>
    <t>619053J</t>
  </si>
  <si>
    <t>90256/13/23</t>
  </si>
  <si>
    <t>KHI/HO/D/MO/CV/P/86495/04/2024</t>
  </si>
  <si>
    <t>Mr. Muhammad Ibrahim
HPA M/s. Al Baraka Bank Pakistan Limited 
CNIC No. 12101-2236831-1 Cell No. 03459871478</t>
  </si>
  <si>
    <t>BELARUS TRACTOR</t>
  </si>
  <si>
    <t>K3000</t>
  </si>
  <si>
    <t>208827</t>
  </si>
  <si>
    <t>Y4R510Z02P1105082</t>
  </si>
  <si>
    <t>KHI/HO/D/MO/PC COMP/C/86550/22/04/2024</t>
  </si>
  <si>
    <t>User Mr. Khalid Mehmood
Hpa M/S. Al Baraka Bank Pakistan Limited</t>
  </si>
  <si>
    <t>TOYOTA YARIS</t>
  </si>
  <si>
    <t>AAN-359</t>
  </si>
  <si>
    <t>2A08640</t>
  </si>
  <si>
    <t>NSP151R9503669</t>
  </si>
  <si>
    <t>0423-0158642882017</t>
  </si>
  <si>
    <t>33100-3122209-7</t>
  </si>
  <si>
    <t>0304-6167418</t>
  </si>
  <si>
    <t>Mr. Ashar Azfar Hussain
Hpa M/S. Al Baraka Bank Pakistan Limited</t>
  </si>
  <si>
    <t>BXS-357</t>
  </si>
  <si>
    <t>Q096872</t>
  </si>
  <si>
    <t>R6074367</t>
  </si>
  <si>
    <t>42101-4023636-7</t>
  </si>
  <si>
    <t>KHI/HO/D/MO/PC COMP/C/86550/7/04/2024</t>
  </si>
  <si>
    <t>0144-0158639122012</t>
  </si>
  <si>
    <t>KHI/HO/D/MO/PC COMP/C/86550/9/04/2024</t>
  </si>
  <si>
    <t>M/S. Meezan Bank Limited Main Branch Karachi
User A/C .Muhammad Yusuf Munim Mohajir</t>
  </si>
  <si>
    <t>6R297940</t>
  </si>
  <si>
    <t>NF1AET306H1197915</t>
  </si>
  <si>
    <t>CI-2024-9920-0003</t>
  </si>
  <si>
    <t>4230197595821</t>
  </si>
  <si>
    <t>03323155306</t>
  </si>
  <si>
    <t>KHI/HO/D/MO/CV/P/86585/04/2024</t>
  </si>
  <si>
    <t>Mr. Muhammad Mumtaz
HPA M/s. AL Baraka Bank Pakistan Limited 
CNIC No. 36603-0733661-9 Cell No. 0300-7665595</t>
  </si>
  <si>
    <t>CAR-4516</t>
  </si>
  <si>
    <t>619918J</t>
  </si>
  <si>
    <t>902950123</t>
  </si>
  <si>
    <t>KHI/HO/D/MO/PC COMP/C/86635/1/04/2024</t>
  </si>
  <si>
    <t>Mr. Muhammad Ghufran
Hp M/S. Al Baraka Bank (Pakistan) Limited</t>
  </si>
  <si>
    <t>BBX-536</t>
  </si>
  <si>
    <t>272099</t>
  </si>
  <si>
    <t>1172073</t>
  </si>
  <si>
    <t>0158580354013</t>
  </si>
  <si>
    <t>14203-6263542-1</t>
  </si>
  <si>
    <t xml:space="preserve"> 0346-7017457</t>
  </si>
  <si>
    <t>KHI/HO/D/MO/PC COMP/C/86646/30/04/2024</t>
  </si>
  <si>
    <t>Mr. Muhammad Mujahid Iqbal
Hpa M/S. Al Baraka Bank (Pakistan) Limited</t>
  </si>
  <si>
    <t>AYT-667</t>
  </si>
  <si>
    <t>231645</t>
  </si>
  <si>
    <t>10131653</t>
  </si>
  <si>
    <t>0158560030023</t>
  </si>
  <si>
    <t>37103-7230925-3</t>
  </si>
  <si>
    <t>0316-5759599</t>
  </si>
  <si>
    <t>KHI/HO/D/MO/PC COMP/C/86646/38/04/2024</t>
  </si>
  <si>
    <t>Mr. Muhammad Sarfaraz Akhtar   
Hpa M/S. Al Baraka Bank (Pakistan) Limited</t>
  </si>
  <si>
    <t>AJP-160</t>
  </si>
  <si>
    <t>B233079</t>
  </si>
  <si>
    <t>PK10133088</t>
  </si>
  <si>
    <t>0303-0158256147021</t>
  </si>
  <si>
    <t>35202-2643632-3</t>
  </si>
  <si>
    <t>0333-4345136</t>
  </si>
  <si>
    <t>KHI/HO/D/MO/PC COMP/C/86646/39/04/2024</t>
  </si>
  <si>
    <t>Mr. Shahid Jamil Malik
Hpa M/S. Al Baraka Bank (Pakistan) Limited</t>
  </si>
  <si>
    <t>ACT-571</t>
  </si>
  <si>
    <t>476417</t>
  </si>
  <si>
    <t>4103217</t>
  </si>
  <si>
    <t>015871185013</t>
  </si>
  <si>
    <t>61101-3918946-7</t>
  </si>
  <si>
    <t>0333-5221249</t>
  </si>
  <si>
    <t>KHI/HO/D/MO/PC COMP/C/86646/50/04/2024</t>
  </si>
  <si>
    <t>Mr. Hafiz Dilawar Hussain 
Hpa M/S. Al Baraka Bank (Pakistan) Limited</t>
  </si>
  <si>
    <t>AGX-876</t>
  </si>
  <si>
    <t>233940</t>
  </si>
  <si>
    <t>10133915</t>
  </si>
  <si>
    <t>0158260415056</t>
  </si>
  <si>
    <t>31203-1719042-7</t>
  </si>
  <si>
    <t>0300-7858502</t>
  </si>
  <si>
    <t>KHI/HO/D/MO/PC COMP/C/86646/51/04/2024</t>
  </si>
  <si>
    <t>KHI/HO/D/MO/PC COMP/E/44401/00051/08/2024</t>
  </si>
  <si>
    <t>Mr. Muhammad Danish  
Hpa M/S. Al Baraka Bank (Pakistan) Limited</t>
  </si>
  <si>
    <t>AZE-365</t>
  </si>
  <si>
    <t>1022789</t>
  </si>
  <si>
    <t>01139300</t>
  </si>
  <si>
    <t>0158573734010</t>
  </si>
  <si>
    <t>37405-5247345-9</t>
  </si>
  <si>
    <t>0311-0051602</t>
  </si>
  <si>
    <t>KHI/HO/D/MO/PC COMP/C/86646/7/04/2024</t>
  </si>
  <si>
    <t>Ms. Abida Ishaq Mir
Hpa M/S Al Baraka Bank (Pakistan) Limited</t>
  </si>
  <si>
    <t>AYC-360</t>
  </si>
  <si>
    <t>223962</t>
  </si>
  <si>
    <t>1123951</t>
  </si>
  <si>
    <t>0158337068041</t>
  </si>
  <si>
    <t>37405-9566520-2</t>
  </si>
  <si>
    <t>0333-8302220</t>
  </si>
  <si>
    <t>KHI/HO/D/MO/PC COMP/C/86646/74/04/2024</t>
  </si>
  <si>
    <t>Mr. Sheharyar Tanveer
Hpa M/S. Al Baraka Bank Pakistan Limited</t>
  </si>
  <si>
    <t>TOYOTA YARIS GLI CVT</t>
  </si>
  <si>
    <t>AJU-241</t>
  </si>
  <si>
    <t>2A50591</t>
  </si>
  <si>
    <t>7031867</t>
  </si>
  <si>
    <t>03290158560159015</t>
  </si>
  <si>
    <t>35202-1484849-7</t>
  </si>
  <si>
    <t>0311-7502422</t>
  </si>
  <si>
    <t>KHI/HO/D/MO/PC COMP/C/86646/89/04/2024</t>
  </si>
  <si>
    <t>Mr. Ahmad Saeed 
Hpa M/S. Al Baraka Bank Pakistan Limited</t>
  </si>
  <si>
    <t>231412</t>
  </si>
  <si>
    <t>10131402</t>
  </si>
  <si>
    <t>0329-0158572994019</t>
  </si>
  <si>
    <t>35202-1821062-1</t>
  </si>
  <si>
    <t>0321-7474740</t>
  </si>
  <si>
    <t>KHI/HO/D/MO/PC COMP/C/86646/95/04/2024</t>
  </si>
  <si>
    <t>Mr Muhammad  Riaz</t>
  </si>
  <si>
    <t>AXB-744</t>
  </si>
  <si>
    <t>2A49465</t>
  </si>
  <si>
    <t>7031052</t>
  </si>
  <si>
    <t>3310203075981</t>
  </si>
  <si>
    <t>KHI/HO/D/MO/PC COMP/C/86662/2/04/2024</t>
  </si>
  <si>
    <t>Mr. Farooq Jan  
Hpa M/S. Al Baraka Bank (Pakistan) Limited.</t>
  </si>
  <si>
    <t>BGU-083</t>
  </si>
  <si>
    <t>120488</t>
  </si>
  <si>
    <t>10020488</t>
  </si>
  <si>
    <t>0155-0158445852015</t>
  </si>
  <si>
    <t>42401-1584227-1</t>
  </si>
  <si>
    <t>0341-8121775</t>
  </si>
  <si>
    <t>KHI/HO/D/MO/PC COMP/C/86676/15/04/2024</t>
  </si>
  <si>
    <t>Mr. Arshad Majeed               
Hpa M/S. Al Baraka Bank Pakistan Limited</t>
  </si>
  <si>
    <t>LEB-20-9614</t>
  </si>
  <si>
    <t>469791</t>
  </si>
  <si>
    <t>0097370</t>
  </si>
  <si>
    <t>0329-0158524400014</t>
  </si>
  <si>
    <t>35202-7395627-1</t>
  </si>
  <si>
    <t>0321-3391538</t>
  </si>
  <si>
    <t>KHI/HO/D/MO/PC COMP/C/86676/36/04/2024</t>
  </si>
  <si>
    <t>Mr. Sikandar Akbar Khan     
Hpa M/S. Al Baraka Bank Pakistan Limited</t>
  </si>
  <si>
    <t>LEA-17A-8099</t>
  </si>
  <si>
    <t>13503595</t>
  </si>
  <si>
    <t>HR003521</t>
  </si>
  <si>
    <t>0329-0158531382013</t>
  </si>
  <si>
    <t>35202-9021925-3</t>
  </si>
  <si>
    <t>0301-6666115</t>
  </si>
  <si>
    <t>KHI/HO/D/MO/PC COMP/C/86676/40/04/2024</t>
  </si>
  <si>
    <t>Mr. Haifz Muhammad  Nadeem  
Hpa M/S. Al Baraka Bank Pakistan Limited</t>
  </si>
  <si>
    <t>LEB-17A-9612</t>
  </si>
  <si>
    <t>Z505896</t>
  </si>
  <si>
    <t>4132038</t>
  </si>
  <si>
    <t>0329-0158532655013</t>
  </si>
  <si>
    <t>35202-2345769-9</t>
  </si>
  <si>
    <t>0321-4770096</t>
  </si>
  <si>
    <t>KHI/HO/D/MO/PC COMP/C/88407/3/05/2024</t>
  </si>
  <si>
    <t>Mr. Muhammad Umar
Hpa M/S. Al Baraka Bank (Pakistan) Limited</t>
  </si>
  <si>
    <t>HONDA GRACE HYBRID</t>
  </si>
  <si>
    <t>BGS-112</t>
  </si>
  <si>
    <t>3397246</t>
  </si>
  <si>
    <t>1007246</t>
  </si>
  <si>
    <t>0106-015835054902</t>
  </si>
  <si>
    <t>42201-224668-1</t>
  </si>
  <si>
    <t>0300-8231006</t>
  </si>
  <si>
    <t>KHI/HO/D/MO/PC COMP/C/88407/4/05/2024</t>
  </si>
  <si>
    <t>KHI/HO/D/MO/PC COMP/E/44399/00004/08/2024</t>
  </si>
  <si>
    <t>Mr. Hassan Tahir
Hpa M/S. Al Baraka Bank (Pakistan) Limited</t>
  </si>
  <si>
    <t>211262</t>
  </si>
  <si>
    <t>10111249</t>
  </si>
  <si>
    <t>0329-015839672055</t>
  </si>
  <si>
    <t>35202-8474280-7</t>
  </si>
  <si>
    <t>0315-6540973</t>
  </si>
  <si>
    <t>KHI/HO/D/MO/PC COMP/C/88626/136/05/2024</t>
  </si>
  <si>
    <t>Mr. 
Hpa M/S. Al Baraka Bank (Pakistan) Limited 
User:Khalid  Hussain</t>
  </si>
  <si>
    <t>SUZUKI BOLAN STD VX</t>
  </si>
  <si>
    <t>CY-5525</t>
  </si>
  <si>
    <t>997419</t>
  </si>
  <si>
    <t>1113883</t>
  </si>
  <si>
    <t>4520416091005</t>
  </si>
  <si>
    <t>0333-8544424</t>
  </si>
  <si>
    <t>KHI/HO/D/MO/PC COMP/C/88626/137/05/2024</t>
  </si>
  <si>
    <t>Mr. 
Hpa M/S. Al Baraka Bank (Pakistan) Limited 
User:Naveed    Rauf</t>
  </si>
  <si>
    <t>ANK-401</t>
  </si>
  <si>
    <t>12950769</t>
  </si>
  <si>
    <t>KR054255</t>
  </si>
  <si>
    <t>331004549073</t>
  </si>
  <si>
    <t>0333-6602233</t>
  </si>
  <si>
    <t>KHI/HO/D/MO/PC COMP/C/90920/144/06/2024</t>
  </si>
  <si>
    <t>M/S. Al Baraka Bank (Pakistan) Limited
User:Safdar  Hussain</t>
  </si>
  <si>
    <t>AQU-965</t>
  </si>
  <si>
    <t>6910489</t>
  </si>
  <si>
    <t>R062067</t>
  </si>
  <si>
    <t>3630309487075</t>
  </si>
  <si>
    <t>0300-8969411</t>
  </si>
  <si>
    <t>KHI/HO/D/MO/PC COMP/C/90920/147/06/2024</t>
  </si>
  <si>
    <t>M/S. Al Baraka Bank (Pakistan) Limited
User:Kashif  Ghafoor</t>
  </si>
  <si>
    <t>FD-16-369</t>
  </si>
  <si>
    <t>619501</t>
  </si>
  <si>
    <t>526354</t>
  </si>
  <si>
    <t>3630269292171</t>
  </si>
  <si>
    <t>0334-6016919</t>
  </si>
  <si>
    <t>KHI/HO/D/MO/PC COMP/C/90920/152/06/2024</t>
  </si>
  <si>
    <t>M/S. Al Baraka Bank (Pakistan) Limited
User:Muhammad Saqib Amanat</t>
  </si>
  <si>
    <t>LEB20-6258</t>
  </si>
  <si>
    <t>134384</t>
  </si>
  <si>
    <t>1034376</t>
  </si>
  <si>
    <t>3520256314901</t>
  </si>
  <si>
    <t>0321-4208806</t>
  </si>
  <si>
    <t>KHI/HO/D/MO/PC COMP/C/90920/3/06/2024</t>
  </si>
  <si>
    <t>M/S. Al Baraka Bank (Pakistan) Limited
User:Ihsan  Danish</t>
  </si>
  <si>
    <t>TB-996</t>
  </si>
  <si>
    <t>3840604904169</t>
  </si>
  <si>
    <t>KHI/HO/D/MO/PC COMP/C/90920/5/06/2024</t>
  </si>
  <si>
    <t>M/S. Al Baraka Bank (Pakistan) Limited
User:Shahid  Pervaiz Khan</t>
  </si>
  <si>
    <t>CAP-2283</t>
  </si>
  <si>
    <t>T389728</t>
  </si>
  <si>
    <t>PK494396</t>
  </si>
  <si>
    <t>3520015033529</t>
  </si>
  <si>
    <t>0303-2054648</t>
  </si>
  <si>
    <t>KHI/HO/D/MO/PC COMP/C/90920/78/06/2024</t>
  </si>
  <si>
    <t>M/S. Al Baraka Bank (Pakistan) Limited
User:Muhammad  Waleed  Idrees</t>
  </si>
  <si>
    <t>AKX-618</t>
  </si>
  <si>
    <t>238918</t>
  </si>
  <si>
    <t>1138933</t>
  </si>
  <si>
    <t>3520144174297</t>
  </si>
  <si>
    <t>0344-4432255</t>
  </si>
  <si>
    <t>KHI/HO/D/MO/CV/C/93454/3/07/2024</t>
  </si>
  <si>
    <t>Mr. Takbeer Ullah
Hpa M/S. Al Baraka Bank (Pakistan) Limited</t>
  </si>
  <si>
    <t>TB-994</t>
  </si>
  <si>
    <t xml:space="preserve"> 0334-8283060</t>
  </si>
  <si>
    <t>KHI/HO/D/MO/PC COMP/C/93457/15/07/2024</t>
  </si>
  <si>
    <t>Mr. Muhammad Uzair Zafar
Hpa M/S. Al Baraka Bank (Pakistan) Limited</t>
  </si>
  <si>
    <t>ALN-405</t>
  </si>
  <si>
    <t>199338</t>
  </si>
  <si>
    <t>10099348</t>
  </si>
  <si>
    <t>0431-0158445682054</t>
  </si>
  <si>
    <t>36302-1919152-1</t>
  </si>
  <si>
    <t>0302-8314100</t>
  </si>
  <si>
    <t>KHI/HO/D/MO/PC COMP/C/93458/34/07/2024</t>
  </si>
  <si>
    <t>Mr. Mohsin Inayat Ullah    
Hpa M/S. Al Baraka Bank Pakistan Limited</t>
  </si>
  <si>
    <t>AGP-087</t>
  </si>
  <si>
    <t>17546959</t>
  </si>
  <si>
    <t>272009</t>
  </si>
  <si>
    <t>0329-0158529057010</t>
  </si>
  <si>
    <t>35202-7012205-5</t>
  </si>
  <si>
    <t>0333-4087819</t>
  </si>
  <si>
    <t>KHI/HO/D/MO/PC COMP/C/93459/28/07/2024</t>
  </si>
  <si>
    <t>Mr. Ali Abbas
Hpa M/S. Al Baraka Bank (Pakistan) Limited</t>
  </si>
  <si>
    <t>AAF-613</t>
  </si>
  <si>
    <t>137307</t>
  </si>
  <si>
    <t>1037292</t>
  </si>
  <si>
    <t>0158491865028</t>
  </si>
  <si>
    <t>34104-1776735-9</t>
  </si>
  <si>
    <t>KHI/HO/D/MO/PC COMP/C/93460/11/07/2024</t>
  </si>
  <si>
    <t>KHI/HO/D/MO/PC COMP/C/93460/3/07/2024</t>
  </si>
  <si>
    <t>M/S. Al Baraka Bank (Pakistan) Limited
User. Mr. Abid Masih</t>
  </si>
  <si>
    <t>LE-18A-8646</t>
  </si>
  <si>
    <t>738211</t>
  </si>
  <si>
    <t>01276735</t>
  </si>
  <si>
    <t>0318-0158416631012</t>
  </si>
  <si>
    <t>35201-3132603-9</t>
  </si>
  <si>
    <t>0302-4275964 0302-3132603-9</t>
  </si>
  <si>
    <t>KHI/HO/D/MO/PC COMP/C/95193/20/08/2024</t>
  </si>
  <si>
    <t>Mr. Akleem Abbas 
Hpa M/S. Al Baraka Bank (Pakistan) Limited</t>
  </si>
  <si>
    <t>CHANGAN OSHAN FS</t>
  </si>
  <si>
    <t>AH310824</t>
  </si>
  <si>
    <t>P1003774</t>
  </si>
  <si>
    <t>0329-0158622983017</t>
  </si>
  <si>
    <t>35202-5426979-1</t>
  </si>
  <si>
    <t>03444392391</t>
  </si>
  <si>
    <t>KHI/HO/D/MO/PC COMP/C/95193/6/08/2024</t>
  </si>
  <si>
    <t>Mr Sikandar Hayat Khan Bosan
Hpa M/S. Al Baraka Bank (Pakistan) Limited</t>
  </si>
  <si>
    <t>279717</t>
  </si>
  <si>
    <t>1179729</t>
  </si>
  <si>
    <t>0431-0158502999045</t>
  </si>
  <si>
    <t>36303-0939815-7</t>
  </si>
  <si>
    <t>0300-8737772</t>
  </si>
  <si>
    <t>KHI/HO/D/MO/PC COMP/C/95230/29/08/2024</t>
  </si>
  <si>
    <t>Mr. Mumtaz Ali
Hpa M/S. Al Baraka Bank ( Pakistan ) Limited</t>
  </si>
  <si>
    <t>BXQ-910</t>
  </si>
  <si>
    <t>246912</t>
  </si>
  <si>
    <t>1146858</t>
  </si>
  <si>
    <t>108346</t>
  </si>
  <si>
    <t>45402-6693725-9</t>
  </si>
  <si>
    <t>0304-3295108</t>
  </si>
  <si>
    <t>KHI/HO/D/MO/PC COMP/C/95230/30/08/2024</t>
  </si>
  <si>
    <t>Mr. Ahsan Kareem
Hpa M/S. Al Baraka Bank ( Pakistan ) Limited</t>
  </si>
  <si>
    <t>AMK-192</t>
  </si>
  <si>
    <t>247922</t>
  </si>
  <si>
    <t>1147850</t>
  </si>
  <si>
    <t>015855661906</t>
  </si>
  <si>
    <t>32102-1001629-9</t>
  </si>
  <si>
    <t>0333-6474192</t>
  </si>
  <si>
    <t>KHI/HO/D/MO/PC COMP/C/95230/33/08/2024</t>
  </si>
  <si>
    <t>Mr. Hafiz Sheraz Khalid
Al Baraka Bank ( Pakistan ) Limited</t>
  </si>
  <si>
    <t>ALR-425</t>
  </si>
  <si>
    <t>248595</t>
  </si>
  <si>
    <t>1148602</t>
  </si>
  <si>
    <t>0158566009014</t>
  </si>
  <si>
    <t>36302-2451716-3</t>
  </si>
  <si>
    <t>0300-5554149</t>
  </si>
  <si>
    <t>KHI/HO/D/MO/PC COMP/C/95230/38/08/2024</t>
  </si>
  <si>
    <t>Mr. Muhammad Arshad
Al Baraka Bank ( Pakistan ) Limited</t>
  </si>
  <si>
    <t>ALN-281</t>
  </si>
  <si>
    <t>6R246878</t>
  </si>
  <si>
    <t>6H1146857</t>
  </si>
  <si>
    <t>0565-0158566433013</t>
  </si>
  <si>
    <t>35301-1030329-1</t>
  </si>
  <si>
    <t>0307-4952053</t>
  </si>
  <si>
    <t>KHI/HO/D/MO/PC COMP/C/95231/24/08/2024</t>
  </si>
  <si>
    <t>Mr. Muhammad Imran  
Hpa M/S. Al Baraka Bank (Pakistan) Limited</t>
  </si>
  <si>
    <t>182007</t>
  </si>
  <si>
    <t>10081985</t>
  </si>
  <si>
    <t>0329-0158540845016</t>
  </si>
  <si>
    <t>33201-0444793-1</t>
  </si>
  <si>
    <t>0345-6627807</t>
  </si>
  <si>
    <t>KHI/HO/D/MO/PC COMP/C/95234/2/08/2024</t>
  </si>
  <si>
    <t>Ms. Summera Sheraz     
Hpa M/S. Al Baraka Bank (Pakistan) Limited</t>
  </si>
  <si>
    <t>LEA-18A-8566</t>
  </si>
  <si>
    <t>740811</t>
  </si>
  <si>
    <t>01279328</t>
  </si>
  <si>
    <t>0318-0158419623018</t>
  </si>
  <si>
    <t>35202-8625817-0</t>
  </si>
  <si>
    <t>0300-4939048</t>
  </si>
  <si>
    <t>KHI/HO/D/MO/PC COMP/C/95236/5/08/2024</t>
  </si>
  <si>
    <t>Mr. Muhammad Ishaq 
Hpa M/S. Al Baraka Bank (Pakistan) Limited</t>
  </si>
  <si>
    <t>LE-19A-5757</t>
  </si>
  <si>
    <t>2953803</t>
  </si>
  <si>
    <t>KR057224</t>
  </si>
  <si>
    <t>0329-0158459292013</t>
  </si>
  <si>
    <t>35202-1305454-3</t>
  </si>
  <si>
    <t>0323-4043626</t>
  </si>
  <si>
    <t>KHI/HO/D/MO/CV/C/96713/3/09/2024</t>
  </si>
  <si>
    <t>Mr. Adeel Ahmed
Hpa M/S.  Al Baraka Bank ( Pakistan ) Limited</t>
  </si>
  <si>
    <t>TAB-399</t>
  </si>
  <si>
    <t>386723</t>
  </si>
  <si>
    <t>491390</t>
  </si>
  <si>
    <t>0158578531015</t>
  </si>
  <si>
    <t>61101-1872708-7</t>
  </si>
  <si>
    <t>0312-1544052</t>
  </si>
  <si>
    <t>KHI/HO/D/MO/PC COMP/C/96715/12/09/2024</t>
  </si>
  <si>
    <t>Mr.  Farhan Khan  
Hpa M/S. Al Baraka Bank (Pakistan) Limited</t>
  </si>
  <si>
    <t>SUZUKI SWIFT DLX EURO II</t>
  </si>
  <si>
    <t>AJU-304</t>
  </si>
  <si>
    <t>13041541</t>
  </si>
  <si>
    <t>10041525</t>
  </si>
  <si>
    <t>0190336397085</t>
  </si>
  <si>
    <t>0333-6010122-5</t>
  </si>
  <si>
    <t>37401-5356552</t>
  </si>
  <si>
    <t>KHI/HO/D/MO/PC COMP/C/96715/19/09/2024</t>
  </si>
  <si>
    <t>KHI/HO/D/MO/PC COMP/C/96726/14/09/2024</t>
  </si>
  <si>
    <t>Mr. Abdul Qadeer           
Hpa M/S. Al Baraka Bank (Pakistan) Limited</t>
  </si>
  <si>
    <t>RO6A-K673266</t>
  </si>
  <si>
    <t>MH55S-184998</t>
  </si>
  <si>
    <t>0401-0158504151011</t>
  </si>
  <si>
    <t>34604-0396986-5</t>
  </si>
  <si>
    <t>0322-3335313</t>
  </si>
  <si>
    <t>KHI/HO/D/MO/PC COMP/C/96726/6/09/2024</t>
  </si>
  <si>
    <t>Mr. Muhammad Zeeshan Iqbal  
Hpa M/S. Al Baraka Bank (Pakistan) Limited</t>
  </si>
  <si>
    <t>LE-18A-6967</t>
  </si>
  <si>
    <t>Z529405</t>
  </si>
  <si>
    <t>4155412</t>
  </si>
  <si>
    <t>0401-0158502548010</t>
  </si>
  <si>
    <t>34101-9709556-3</t>
  </si>
  <si>
    <t>0305-5086400</t>
  </si>
  <si>
    <t>KHI/HO/D/MO/PC COMP/C/96729/13/09/2024</t>
  </si>
  <si>
    <t>Mr. Muhammad Nadeem Butt
Hpa M/S. Al Baraka Bank ( Pakistan ) Limited</t>
  </si>
  <si>
    <t>201204</t>
  </si>
  <si>
    <t>10101191</t>
  </si>
  <si>
    <t>0329-0158583326017</t>
  </si>
  <si>
    <t>35202-1553189-5</t>
  </si>
  <si>
    <t>0342-4216546</t>
  </si>
  <si>
    <t>KHI/HO/D/MO/PC COMP/C/96729/28/09/2024</t>
  </si>
  <si>
    <t>Mr. Muhammad Ahmad
Hpa M/S.  Al Baraka Bank ( Pakistan ) Limited</t>
  </si>
  <si>
    <t>AHQ-378</t>
  </si>
  <si>
    <t>6R208753</t>
  </si>
  <si>
    <t>1108795</t>
  </si>
  <si>
    <t>0329-0158572400022</t>
  </si>
  <si>
    <t>38403-3151804-5</t>
  </si>
  <si>
    <t>0344-4931257</t>
  </si>
  <si>
    <t>KHI/HO/D/MO/PC COMP/C/96729/30/09/2024</t>
  </si>
  <si>
    <t>Mr. Sheikh Zaka Ullah Javed
Hpa M/S.  Al Baraka Bank ( Pakistan ) Limited</t>
  </si>
  <si>
    <t>AHM-858</t>
  </si>
  <si>
    <t>U504226</t>
  </si>
  <si>
    <t>N1016637</t>
  </si>
  <si>
    <t>0329-158585047017</t>
  </si>
  <si>
    <t>35200-1421303-7</t>
  </si>
  <si>
    <t>0321-4114343</t>
  </si>
  <si>
    <t>KHI/HO/D/MO/PC COMP/C/96729/35/09/2024</t>
  </si>
  <si>
    <t>Mr. Jahangir Ahmad
Hpa M/S. Al Baraka Bank ( Pakistan ) Limited</t>
  </si>
  <si>
    <t>LED-19-1375</t>
  </si>
  <si>
    <t>Z17528777</t>
  </si>
  <si>
    <t>R246677</t>
  </si>
  <si>
    <t>0329-0158580878013</t>
  </si>
  <si>
    <t>35201-1522226-7</t>
  </si>
  <si>
    <t>0323-4698281</t>
  </si>
  <si>
    <t>KHI/HO/D/MO/PC COMP/C/96729/49/09/2024</t>
  </si>
  <si>
    <t>Mr. Muhammad Ishaq Kamran 
Hpa M/S. Al Baraka Bank ( Pakistan ) Limited</t>
  </si>
  <si>
    <t>BSA-248</t>
  </si>
  <si>
    <t>13048294</t>
  </si>
  <si>
    <t>10048309</t>
  </si>
  <si>
    <t>0150-0190472830150</t>
  </si>
  <si>
    <t>90406-0148864-5</t>
  </si>
  <si>
    <t>0334-3454240</t>
  </si>
  <si>
    <t>KHI/HO/D/MO/PC COMP/C/96731/1/09/2024</t>
  </si>
  <si>
    <t>Mr. Mohsin Raza 
Hpa M/S. Al Baraka Bank (Pakistan) Limited</t>
  </si>
  <si>
    <t>LE-19A-57</t>
  </si>
  <si>
    <t>2954724</t>
  </si>
  <si>
    <t>KR058441</t>
  </si>
  <si>
    <t>35202-5822911-9</t>
  </si>
  <si>
    <t>0321-4266756</t>
  </si>
  <si>
    <t>KHI/HO/D/MO/PC COMP/C/98823/23/10/2024</t>
  </si>
  <si>
    <t>Mr. Ishtiaq Bhatti
Hpa M/S. Al Baraka Bank Pakistan Limited</t>
  </si>
  <si>
    <t>AYF-893</t>
  </si>
  <si>
    <t>215646</t>
  </si>
  <si>
    <t>1115638</t>
  </si>
  <si>
    <t>0158397683077</t>
  </si>
  <si>
    <t>35202-2956875-1</t>
  </si>
  <si>
    <t>0322-5553200</t>
  </si>
  <si>
    <t>Cases</t>
  </si>
  <si>
    <t>Total No. of Policies</t>
  </si>
  <si>
    <t xml:space="preserve">Fresh </t>
  </si>
  <si>
    <t xml:space="preserve">Previous </t>
  </si>
  <si>
    <t>Total</t>
  </si>
  <si>
    <t>Renewal</t>
  </si>
  <si>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</si>
  <si>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</si>
  <si>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</si>
  <si>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</si>
  <si>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</si>
  <si>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</si>
  <si>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</si>
  <si>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</si>
  <si>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</si>
  <si>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</si>
  <si>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</si>
  <si>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</si>
  <si>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</si>
  <si>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</si>
  <si>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</si>
  <si>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</si>
  <si>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</si>
  <si>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</si>
  <si>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</si>
  <si>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</si>
  <si>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</si>
  <si>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</si>
  <si>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</si>
  <si>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</si>
  <si>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</si>
  <si>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</si>
  <si>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</si>
  <si>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</si>
  <si>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</si>
  <si>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Fresh</t>
  </si>
  <si>
    <t>56144/1</t>
  </si>
  <si>
    <t>60692/1</t>
  </si>
  <si>
    <t>55496/1</t>
  </si>
  <si>
    <t>56918/1</t>
  </si>
  <si>
    <t>62644/1</t>
  </si>
  <si>
    <t>56342/1</t>
  </si>
  <si>
    <t>49605/1</t>
  </si>
  <si>
    <t>49738/1</t>
  </si>
  <si>
    <t>43893/1</t>
  </si>
  <si>
    <t>44243/1</t>
  </si>
  <si>
    <t>67576/1</t>
  </si>
  <si>
    <t>39044/1</t>
  </si>
  <si>
    <t>40738/1</t>
  </si>
  <si>
    <t>55233/1</t>
  </si>
  <si>
    <t>36992/1</t>
  </si>
  <si>
    <t>55228/1</t>
  </si>
  <si>
    <t>49264/1</t>
  </si>
  <si>
    <t>50151/1</t>
  </si>
  <si>
    <t>32780/1</t>
  </si>
  <si>
    <t>38539/1</t>
  </si>
  <si>
    <t>43812/1</t>
  </si>
  <si>
    <t>33510/1</t>
  </si>
  <si>
    <t>61327/1</t>
  </si>
  <si>
    <t>34491/1</t>
  </si>
  <si>
    <t>36152/1</t>
  </si>
  <si>
    <t>34742/1</t>
  </si>
  <si>
    <t>53337/1</t>
  </si>
  <si>
    <t>39946/1</t>
  </si>
  <si>
    <t>40240/1</t>
  </si>
  <si>
    <t>54733/1</t>
  </si>
  <si>
    <t>46303/1</t>
  </si>
  <si>
    <t>35938/1</t>
  </si>
  <si>
    <t>46477/2</t>
  </si>
  <si>
    <t>47235/1</t>
  </si>
  <si>
    <t>63338/1</t>
  </si>
  <si>
    <t>63376/1</t>
  </si>
  <si>
    <t>63476/1</t>
  </si>
  <si>
    <t>61027/1</t>
  </si>
  <si>
    <t>63177/1</t>
  </si>
  <si>
    <t>55734/1</t>
  </si>
  <si>
    <t>55790/1</t>
  </si>
  <si>
    <t>43628/1</t>
  </si>
  <si>
    <t>36428/1</t>
  </si>
  <si>
    <t>58362/1</t>
  </si>
  <si>
    <t>56491/1</t>
  </si>
  <si>
    <t>52165/1</t>
  </si>
  <si>
    <t>56515/1</t>
  </si>
  <si>
    <t>56643/1</t>
  </si>
  <si>
    <t>53208/1</t>
  </si>
  <si>
    <t>53446/1</t>
  </si>
  <si>
    <t>57178/2</t>
  </si>
  <si>
    <t>51928/1</t>
  </si>
  <si>
    <t>36673/1</t>
  </si>
  <si>
    <t>47819/2</t>
  </si>
  <si>
    <t>47973/2</t>
  </si>
  <si>
    <t>48026/1</t>
  </si>
  <si>
    <t>48998/2</t>
  </si>
  <si>
    <t>36979/1</t>
  </si>
  <si>
    <t>37086/1</t>
  </si>
  <si>
    <t>41739/1</t>
  </si>
  <si>
    <t>41750/1</t>
  </si>
  <si>
    <t>41740/1</t>
  </si>
  <si>
    <t>54749/1</t>
  </si>
  <si>
    <t>64898/1</t>
  </si>
  <si>
    <t>52339/1</t>
  </si>
  <si>
    <t>52969/1</t>
  </si>
  <si>
    <t>56043/1</t>
  </si>
  <si>
    <t>49787/1</t>
  </si>
  <si>
    <t>42603/1</t>
  </si>
  <si>
    <t>55440/1</t>
  </si>
  <si>
    <t>32235/1</t>
  </si>
  <si>
    <t>66286/1</t>
  </si>
  <si>
    <t>66063/1</t>
  </si>
  <si>
    <t>55111/1</t>
  </si>
  <si>
    <t>53873/1</t>
  </si>
  <si>
    <t>55229/1</t>
  </si>
  <si>
    <t>54824/1</t>
  </si>
  <si>
    <t>50167/1</t>
  </si>
  <si>
    <t>32805/1</t>
  </si>
  <si>
    <t>38498/1</t>
  </si>
  <si>
    <t>60176/1</t>
  </si>
  <si>
    <t>67478/1</t>
  </si>
  <si>
    <t>66908/1</t>
  </si>
  <si>
    <t>43649/1</t>
  </si>
  <si>
    <t>43414/1</t>
  </si>
  <si>
    <t>59613/1</t>
  </si>
  <si>
    <t>60183/1</t>
  </si>
  <si>
    <t>60207/1</t>
  </si>
  <si>
    <t>60168/1</t>
  </si>
  <si>
    <t>60202/1</t>
  </si>
  <si>
    <t>38671/1</t>
  </si>
  <si>
    <t>Early terminated dt. 03-10-2024</t>
  </si>
  <si>
    <t>Early terminated dt. 24-09-2024</t>
  </si>
  <si>
    <t>Early terminated dt. 17-10-2024</t>
  </si>
  <si>
    <t>Early terminated dt. 07-10-2024</t>
  </si>
  <si>
    <t>Early terminated dt. 11-10-2024</t>
  </si>
  <si>
    <t>Early terminated dt. 09-10-2024</t>
  </si>
  <si>
    <t>high dpd case</t>
  </si>
  <si>
    <t>already paid</t>
  </si>
  <si>
    <t>Early terminated dt. 16-05-2024</t>
  </si>
  <si>
    <t>Early terminated dt. 05-09-2023</t>
  </si>
  <si>
    <t>customer default</t>
  </si>
  <si>
    <t>Early terminated dt. 18-12-2023</t>
  </si>
  <si>
    <t>Early terminated dt. 31-10-2024</t>
  </si>
  <si>
    <t>Early terminaed dt. 28-08-2024</t>
  </si>
  <si>
    <t>Early terminated dt. 22-05-2024</t>
  </si>
  <si>
    <t>Early terminated dt. 03-04-2024</t>
  </si>
  <si>
    <t>Covered with EFU SITE</t>
  </si>
  <si>
    <t>Early terminated dt. 26/03/2024</t>
  </si>
  <si>
    <t>Early terminated dt. 09/04/2024</t>
  </si>
  <si>
    <t>Settled dt. 05-04-2024</t>
  </si>
  <si>
    <t>Early terminated dt. 04/04/2024</t>
  </si>
  <si>
    <t>Early terminated dt. 19-04-2024</t>
  </si>
  <si>
    <t>Early terminated dt. 07-02-2024</t>
  </si>
  <si>
    <t>Early terminated dt. 26/02/2024</t>
  </si>
  <si>
    <t>Settled dt. 23-04-2024</t>
  </si>
  <si>
    <t>Early terminated dt. 24-05-2024</t>
  </si>
  <si>
    <t>Early terminated dt. 14-06-2024</t>
  </si>
  <si>
    <t>Early terminated dt. 15-05-2024</t>
  </si>
  <si>
    <t>Thef loss</t>
  </si>
  <si>
    <t>Early terminated dt. 26-03-2024</t>
  </si>
  <si>
    <t>Early terminated dt. 26-04-2024</t>
  </si>
  <si>
    <t>Early terminated dt. 24-04-2024</t>
  </si>
  <si>
    <t>Early terminaed dt. 06-06-2024</t>
  </si>
  <si>
    <t>Early terminated dt. 29-03-2024</t>
  </si>
  <si>
    <t>Early terminated dt. 30-04-2024</t>
  </si>
  <si>
    <t>Early terminaed dt. 10-06-2024</t>
  </si>
  <si>
    <t>Early Terminated Dt. 27-05-2024</t>
  </si>
  <si>
    <t>Early terminated dt. 11-07-2024</t>
  </si>
  <si>
    <t>Early terminated dt. 18-07-2024</t>
  </si>
  <si>
    <t>Early Terminated Dt. 24-06-2024</t>
  </si>
  <si>
    <t>Early terminated dt 22-07-2024</t>
  </si>
  <si>
    <t>Early terminated dt. 04-09-2024</t>
  </si>
  <si>
    <t>Early terminated dt. 13-08-2024</t>
  </si>
  <si>
    <t>Early terminated dt. 07-08-2024</t>
  </si>
  <si>
    <t>Early terminated dt. 18-09-2024</t>
  </si>
  <si>
    <t>Early terminated dt. 06-08-2024</t>
  </si>
  <si>
    <t>Early terminated dt. 20-08-2024</t>
  </si>
  <si>
    <t>Early terminated dt. 09-08-2024</t>
  </si>
  <si>
    <t>Early terminated dt. 16-08-2024</t>
  </si>
  <si>
    <t>Early terminated dt. 04-10-2024</t>
  </si>
  <si>
    <t>Early terminated dt. 26-08-2024</t>
  </si>
  <si>
    <t>Early terminated dt. 21-10-2024</t>
  </si>
  <si>
    <t>Early terminated dt. 08-10-2024</t>
  </si>
  <si>
    <t>Early terminated dt. 16-10-2024</t>
  </si>
  <si>
    <t>24052/1</t>
  </si>
  <si>
    <t>30553/2</t>
  </si>
  <si>
    <t>settled dt. 27-06-2024</t>
  </si>
  <si>
    <t>30576/1</t>
  </si>
  <si>
    <t>0329</t>
  </si>
  <si>
    <t>389932</t>
  </si>
  <si>
    <t>EARLY TERMINATED</t>
  </si>
  <si>
    <t>0475</t>
  </si>
  <si>
    <t>177719</t>
  </si>
  <si>
    <t>568232</t>
  </si>
  <si>
    <t>DISBURSED</t>
  </si>
  <si>
    <t>447474</t>
  </si>
  <si>
    <t>South</t>
  </si>
  <si>
    <t>0150</t>
  </si>
  <si>
    <t>599331</t>
  </si>
  <si>
    <t>0701</t>
  </si>
  <si>
    <t>569134</t>
  </si>
  <si>
    <t>North</t>
  </si>
  <si>
    <t>0804</t>
  </si>
  <si>
    <t>29242</t>
  </si>
  <si>
    <t>0567</t>
  </si>
  <si>
    <t>406259</t>
  </si>
  <si>
    <t>0423</t>
  </si>
  <si>
    <t>493571</t>
  </si>
  <si>
    <t>0139</t>
  </si>
  <si>
    <t>504716</t>
  </si>
  <si>
    <t>0471</t>
  </si>
  <si>
    <t>628071</t>
  </si>
  <si>
    <t>458370</t>
  </si>
  <si>
    <t>389552</t>
  </si>
  <si>
    <t>0433</t>
  </si>
  <si>
    <t>408162</t>
  </si>
  <si>
    <t>SETTLED</t>
  </si>
  <si>
    <t>0333</t>
  </si>
  <si>
    <t>347835</t>
  </si>
  <si>
    <t>477069</t>
  </si>
  <si>
    <t>STOPPED</t>
  </si>
  <si>
    <t>565040</t>
  </si>
  <si>
    <t>0336</t>
  </si>
  <si>
    <t>445660</t>
  </si>
  <si>
    <t>527786</t>
  </si>
  <si>
    <t>343948</t>
  </si>
  <si>
    <t>542406</t>
  </si>
  <si>
    <t>0432</t>
  </si>
  <si>
    <t>420677</t>
  </si>
  <si>
    <t>0319</t>
  </si>
  <si>
    <t>460045</t>
  </si>
  <si>
    <t>504578</t>
  </si>
  <si>
    <t>0318</t>
  </si>
  <si>
    <t>393987</t>
  </si>
  <si>
    <t>588327</t>
  </si>
  <si>
    <t>420742</t>
  </si>
  <si>
    <t>427595</t>
  </si>
  <si>
    <t>433025</t>
  </si>
  <si>
    <t>0307</t>
  </si>
  <si>
    <t>561548</t>
  </si>
  <si>
    <t>469382</t>
  </si>
  <si>
    <t>0455</t>
  </si>
  <si>
    <t>475258</t>
  </si>
  <si>
    <t>564704</t>
  </si>
  <si>
    <t>357180</t>
  </si>
  <si>
    <t>0144</t>
  </si>
  <si>
    <t>440228</t>
  </si>
  <si>
    <t>493263</t>
  </si>
  <si>
    <t>527775</t>
  </si>
  <si>
    <t>603150</t>
  </si>
  <si>
    <t>0431</t>
  </si>
  <si>
    <t>603126</t>
  </si>
  <si>
    <t>603822</t>
  </si>
  <si>
    <t>0461</t>
  </si>
  <si>
    <t>549989</t>
  </si>
  <si>
    <t>603283</t>
  </si>
  <si>
    <t>546300</t>
  </si>
  <si>
    <t>562172</t>
  </si>
  <si>
    <t>503227</t>
  </si>
  <si>
    <t>435160</t>
  </si>
  <si>
    <t>580354</t>
  </si>
  <si>
    <t>0825</t>
  </si>
  <si>
    <t>560030</t>
  </si>
  <si>
    <t>0303</t>
  </si>
  <si>
    <t>256147</t>
  </si>
  <si>
    <t>571185</t>
  </si>
  <si>
    <t>0409</t>
  </si>
  <si>
    <t>260415</t>
  </si>
  <si>
    <t>337068</t>
  </si>
  <si>
    <t>560159</t>
  </si>
  <si>
    <t>572994</t>
  </si>
  <si>
    <t>553794</t>
  </si>
  <si>
    <t>0155</t>
  </si>
  <si>
    <t>445852</t>
  </si>
  <si>
    <t>524400</t>
  </si>
  <si>
    <t>531382</t>
  </si>
  <si>
    <t>532655</t>
  </si>
  <si>
    <t>0106</t>
  </si>
  <si>
    <t>350549</t>
  </si>
  <si>
    <t>445441</t>
  </si>
  <si>
    <t>0338</t>
  </si>
  <si>
    <t>307206</t>
  </si>
  <si>
    <t>492641</t>
  </si>
  <si>
    <t>0454</t>
  </si>
  <si>
    <t>489376</t>
  </si>
  <si>
    <t>491120</t>
  </si>
  <si>
    <t>538707</t>
  </si>
  <si>
    <t>392217</t>
  </si>
  <si>
    <t>548228</t>
  </si>
  <si>
    <t>539937</t>
  </si>
  <si>
    <t>445682</t>
  </si>
  <si>
    <t>529057</t>
  </si>
  <si>
    <t>0401</t>
  </si>
  <si>
    <t>491865</t>
  </si>
  <si>
    <t>531470</t>
  </si>
  <si>
    <t>416631</t>
  </si>
  <si>
    <t>622983</t>
  </si>
  <si>
    <t>502999</t>
  </si>
  <si>
    <t>0202</t>
  </si>
  <si>
    <t>562891</t>
  </si>
  <si>
    <t>556619</t>
  </si>
  <si>
    <t>566009</t>
  </si>
  <si>
    <t>0565</t>
  </si>
  <si>
    <t>566433</t>
  </si>
  <si>
    <t>540845</t>
  </si>
  <si>
    <t>419623</t>
  </si>
  <si>
    <t>459292</t>
  </si>
  <si>
    <t>578531</t>
  </si>
  <si>
    <t>336397</t>
  </si>
  <si>
    <t>625648</t>
  </si>
  <si>
    <t>504151</t>
  </si>
  <si>
    <t>502548</t>
  </si>
  <si>
    <t>583326</t>
  </si>
  <si>
    <t>572400</t>
  </si>
  <si>
    <t>585047</t>
  </si>
  <si>
    <t>580878</t>
  </si>
  <si>
    <t>472830</t>
  </si>
  <si>
    <t>459621</t>
  </si>
  <si>
    <t>Early terminated dt. 18-11-2024</t>
  </si>
  <si>
    <t>55849/1</t>
  </si>
  <si>
    <t>52906/1</t>
  </si>
  <si>
    <t>49670/1</t>
  </si>
  <si>
    <t>44785/1</t>
  </si>
  <si>
    <t>56576/1</t>
  </si>
  <si>
    <t>49741/1</t>
  </si>
  <si>
    <t>68401/1</t>
  </si>
  <si>
    <t>68739/1</t>
  </si>
  <si>
    <t>67716/1</t>
  </si>
  <si>
    <t>68302/1</t>
  </si>
  <si>
    <t>67870/1</t>
  </si>
  <si>
    <t>68111/1</t>
  </si>
  <si>
    <t>68028/1</t>
  </si>
  <si>
    <t>68303/1</t>
  </si>
  <si>
    <t>67173/1</t>
  </si>
  <si>
    <t>67873/1</t>
  </si>
  <si>
    <t>68221/2</t>
  </si>
  <si>
    <t>68502/1</t>
  </si>
  <si>
    <t>68749/1</t>
  </si>
  <si>
    <t>68233/1</t>
  </si>
  <si>
    <t>68318/1</t>
  </si>
  <si>
    <t>68055/1</t>
  </si>
  <si>
    <t>68281/1</t>
  </si>
  <si>
    <t>67487/1</t>
  </si>
  <si>
    <t>68323/1</t>
  </si>
  <si>
    <t>68747/1</t>
  </si>
  <si>
    <t>68321/1</t>
  </si>
  <si>
    <t>68232/1</t>
  </si>
  <si>
    <t>68297/1</t>
  </si>
  <si>
    <t>68279/1</t>
  </si>
  <si>
    <t>68496/1</t>
  </si>
  <si>
    <t>67583/1</t>
  </si>
  <si>
    <t>68243/1</t>
  </si>
  <si>
    <t>68490/1</t>
  </si>
  <si>
    <t>68812/1</t>
  </si>
  <si>
    <t>68174/1</t>
  </si>
  <si>
    <t>68818/1</t>
  </si>
  <si>
    <t>65722/1</t>
  </si>
  <si>
    <t>67989/1</t>
  </si>
  <si>
    <t>68408/1</t>
  </si>
  <si>
    <t>68821/1</t>
  </si>
  <si>
    <t>68249/1</t>
  </si>
  <si>
    <t>68278/1</t>
  </si>
  <si>
    <t>68840/1</t>
  </si>
  <si>
    <t>68839/1</t>
  </si>
  <si>
    <t>68466/1</t>
  </si>
  <si>
    <t>55682/1</t>
  </si>
  <si>
    <t>42504/1</t>
  </si>
  <si>
    <t>67817/1</t>
  </si>
  <si>
    <t>67496/1</t>
  </si>
  <si>
    <t>68065/1</t>
  </si>
  <si>
    <t>68064/1</t>
  </si>
  <si>
    <t>67705/1</t>
  </si>
  <si>
    <t>60881/1</t>
  </si>
  <si>
    <t>61162/1</t>
  </si>
  <si>
    <t>61275/1</t>
  </si>
  <si>
    <t>50244/1</t>
  </si>
  <si>
    <t>51861/1</t>
  </si>
  <si>
    <t>52057/1</t>
  </si>
  <si>
    <t>56864/1</t>
  </si>
  <si>
    <t>56935/1</t>
  </si>
  <si>
    <t>55798/1</t>
  </si>
  <si>
    <t>61028/1</t>
  </si>
  <si>
    <t>55131/1</t>
  </si>
  <si>
    <t>57469/1</t>
  </si>
  <si>
    <t>56878/4</t>
  </si>
  <si>
    <t>56924/1</t>
  </si>
  <si>
    <t>57271/1</t>
  </si>
  <si>
    <t>61091/1</t>
  </si>
  <si>
    <t>55825/1</t>
  </si>
  <si>
    <t>56015/1</t>
  </si>
  <si>
    <t>61165/1</t>
  </si>
  <si>
    <t>61200/1</t>
  </si>
  <si>
    <t>61176/1</t>
  </si>
  <si>
    <t>61212/1</t>
  </si>
  <si>
    <t>55701/1</t>
  </si>
  <si>
    <t>61262/1</t>
  </si>
  <si>
    <t>61251/1</t>
  </si>
  <si>
    <t>61293/1</t>
  </si>
  <si>
    <t>61247/1</t>
  </si>
  <si>
    <t>61265/1</t>
  </si>
  <si>
    <t>57475/1</t>
  </si>
  <si>
    <t>61286/1</t>
  </si>
  <si>
    <t>61316/1</t>
  </si>
  <si>
    <t>61290/1</t>
  </si>
  <si>
    <t>61260/1</t>
  </si>
  <si>
    <t>61249/1</t>
  </si>
  <si>
    <t>61333/1</t>
  </si>
  <si>
    <t>61324/1</t>
  </si>
  <si>
    <t>61314/1</t>
  </si>
  <si>
    <t>61288/1</t>
  </si>
  <si>
    <t>61315/1</t>
  </si>
  <si>
    <t>60918/1</t>
  </si>
  <si>
    <t>61335/1</t>
  </si>
  <si>
    <t>61276/1</t>
  </si>
  <si>
    <t>60963/1</t>
  </si>
  <si>
    <t>54886/1</t>
  </si>
  <si>
    <t>53705/1</t>
  </si>
  <si>
    <t>55984/1</t>
  </si>
  <si>
    <t>52377/1</t>
  </si>
  <si>
    <t>52279/1</t>
  </si>
  <si>
    <t>52299/1</t>
  </si>
  <si>
    <t>50791/1</t>
  </si>
  <si>
    <t>52327/1</t>
  </si>
  <si>
    <t>52298/2</t>
  </si>
  <si>
    <t>52365/1</t>
  </si>
  <si>
    <t>47379/2</t>
  </si>
  <si>
    <t>52415/1</t>
  </si>
  <si>
    <t>52428/1</t>
  </si>
  <si>
    <t>49180/1</t>
  </si>
  <si>
    <t>49709/1</t>
  </si>
  <si>
    <t>52394/1</t>
  </si>
  <si>
    <t>52406/1</t>
  </si>
  <si>
    <t>52434/1</t>
  </si>
  <si>
    <t>50557/1</t>
  </si>
  <si>
    <t>49346/2</t>
  </si>
  <si>
    <t>51231/1</t>
  </si>
  <si>
    <t>52463/1</t>
  </si>
  <si>
    <t>52395/1</t>
  </si>
  <si>
    <t>47828/1</t>
  </si>
  <si>
    <t>50303/1</t>
  </si>
  <si>
    <t>52150/1</t>
  </si>
  <si>
    <t>52518/1</t>
  </si>
  <si>
    <t>52636/1</t>
  </si>
  <si>
    <t>52533/1</t>
  </si>
  <si>
    <t>52578/1</t>
  </si>
  <si>
    <t>52577/1</t>
  </si>
  <si>
    <t>52512/1</t>
  </si>
  <si>
    <t>52501/1</t>
  </si>
  <si>
    <t>52565/1</t>
  </si>
  <si>
    <t>52570/1</t>
  </si>
  <si>
    <t>52572/1</t>
  </si>
  <si>
    <t>49510/1</t>
  </si>
  <si>
    <t>52568/1</t>
  </si>
  <si>
    <t>52571/1</t>
  </si>
  <si>
    <t>52630/1</t>
  </si>
  <si>
    <t>52670/1</t>
  </si>
  <si>
    <t>52718/2</t>
  </si>
  <si>
    <t>52646/1</t>
  </si>
  <si>
    <t>52601/1</t>
  </si>
  <si>
    <t>48314/1</t>
  </si>
  <si>
    <t>52637/1</t>
  </si>
  <si>
    <t>49688/1</t>
  </si>
  <si>
    <t>53786/1</t>
  </si>
  <si>
    <t>50215/1</t>
  </si>
  <si>
    <t>52881/1</t>
  </si>
  <si>
    <t>52875/1</t>
  </si>
  <si>
    <t>52018/1</t>
  </si>
  <si>
    <t>52823/1</t>
  </si>
  <si>
    <t>52783/1</t>
  </si>
  <si>
    <t>52762/1</t>
  </si>
  <si>
    <t>52834/1</t>
  </si>
  <si>
    <t>52840/1</t>
  </si>
  <si>
    <t>52829/1</t>
  </si>
  <si>
    <t>52112/2</t>
  </si>
  <si>
    <t>52917/1</t>
  </si>
  <si>
    <t>52864/1</t>
  </si>
  <si>
    <t>52836/1</t>
  </si>
  <si>
    <t>52909/1</t>
  </si>
  <si>
    <t>48264/1</t>
  </si>
  <si>
    <t>52364/1</t>
  </si>
  <si>
    <t>52256/1</t>
  </si>
  <si>
    <t>29545/1</t>
  </si>
  <si>
    <t>44507/1</t>
  </si>
  <si>
    <t>44526/1</t>
  </si>
  <si>
    <t>44562/1</t>
  </si>
  <si>
    <t>44566/1</t>
  </si>
  <si>
    <t>44683/1</t>
  </si>
  <si>
    <t>44684/1</t>
  </si>
  <si>
    <t>44716/1</t>
  </si>
  <si>
    <t>44718/1</t>
  </si>
  <si>
    <t>44730/1</t>
  </si>
  <si>
    <t>44733/1</t>
  </si>
  <si>
    <t>34023/1</t>
  </si>
  <si>
    <t>44736/1</t>
  </si>
  <si>
    <t>44737/1</t>
  </si>
  <si>
    <t>44745/1</t>
  </si>
  <si>
    <t>44758/1</t>
  </si>
  <si>
    <t>44765/1</t>
  </si>
  <si>
    <t>44780/1</t>
  </si>
  <si>
    <t>44783/1</t>
  </si>
  <si>
    <t>44811/1</t>
  </si>
  <si>
    <t>44828/1</t>
  </si>
  <si>
    <t>44843/1</t>
  </si>
  <si>
    <t>34037/1</t>
  </si>
  <si>
    <t>44868/1</t>
  </si>
  <si>
    <t>44873/1</t>
  </si>
  <si>
    <t>44883/1</t>
  </si>
  <si>
    <t>44907/1</t>
  </si>
  <si>
    <t>44910/1</t>
  </si>
  <si>
    <t>44937/1</t>
  </si>
  <si>
    <t>44940/2</t>
  </si>
  <si>
    <t>44947/1</t>
  </si>
  <si>
    <t>44954/1</t>
  </si>
  <si>
    <t>44960/1</t>
  </si>
  <si>
    <t>39270/1</t>
  </si>
  <si>
    <t>43720/1</t>
  </si>
  <si>
    <t>43546/1</t>
  </si>
  <si>
    <t>52818/1</t>
  </si>
  <si>
    <t>39524/1</t>
  </si>
  <si>
    <t>39584/1</t>
  </si>
  <si>
    <t>41725/1</t>
  </si>
  <si>
    <t>43851/1</t>
  </si>
  <si>
    <t>44171/1</t>
  </si>
  <si>
    <t>0421</t>
  </si>
  <si>
    <t>538331</t>
  </si>
  <si>
    <t>629318</t>
  </si>
  <si>
    <t>561643</t>
  </si>
  <si>
    <t>628738</t>
  </si>
  <si>
    <t>191987</t>
  </si>
  <si>
    <t>398326</t>
  </si>
  <si>
    <t>0291</t>
  </si>
  <si>
    <t>630981</t>
  </si>
  <si>
    <t>630213</t>
  </si>
  <si>
    <t>481245</t>
  </si>
  <si>
    <t>535719</t>
  </si>
  <si>
    <t>631406</t>
  </si>
  <si>
    <t>629229</t>
  </si>
  <si>
    <t>0251</t>
  </si>
  <si>
    <t>630197</t>
  </si>
  <si>
    <t>625798</t>
  </si>
  <si>
    <t>631531</t>
  </si>
  <si>
    <t>631554</t>
  </si>
  <si>
    <t>598069</t>
  </si>
  <si>
    <t>631588</t>
  </si>
  <si>
    <t>628225</t>
  </si>
  <si>
    <t>631731</t>
  </si>
  <si>
    <t>631887</t>
  </si>
  <si>
    <t>55720</t>
  </si>
  <si>
    <t>623451</t>
  </si>
  <si>
    <t>631573</t>
  </si>
  <si>
    <t>520859</t>
  </si>
  <si>
    <t>632233</t>
  </si>
  <si>
    <t>619518</t>
  </si>
  <si>
    <t>630603</t>
  </si>
  <si>
    <t>632221</t>
  </si>
  <si>
    <t>535930</t>
  </si>
  <si>
    <t>512836</t>
  </si>
  <si>
    <t>468151</t>
  </si>
  <si>
    <t>620484</t>
  </si>
  <si>
    <t>630120</t>
  </si>
  <si>
    <t>632025</t>
  </si>
  <si>
    <t>0252</t>
  </si>
  <si>
    <t>632587</t>
  </si>
  <si>
    <t>631063</t>
  </si>
  <si>
    <t>631438</t>
  </si>
  <si>
    <t>632194</t>
  </si>
  <si>
    <t>633136</t>
  </si>
  <si>
    <t>0805</t>
  </si>
  <si>
    <t>447295</t>
  </si>
  <si>
    <t>451884</t>
  </si>
  <si>
    <t>487450</t>
  </si>
  <si>
    <t>372799</t>
  </si>
  <si>
    <t>627912</t>
  </si>
  <si>
    <t>308402</t>
  </si>
  <si>
    <t>630413</t>
  </si>
  <si>
    <t>585284</t>
  </si>
  <si>
    <t>590557</t>
  </si>
  <si>
    <t>555821</t>
  </si>
  <si>
    <t>0134</t>
  </si>
  <si>
    <t>593449</t>
  </si>
  <si>
    <t>0138</t>
  </si>
  <si>
    <t>539829</t>
  </si>
  <si>
    <t>553988</t>
  </si>
  <si>
    <t>0810</t>
  </si>
  <si>
    <t>443262</t>
  </si>
  <si>
    <t>571516</t>
  </si>
  <si>
    <t>575634</t>
  </si>
  <si>
    <t>570359</t>
  </si>
  <si>
    <t>576430</t>
  </si>
  <si>
    <t>480718</t>
  </si>
  <si>
    <t>575280</t>
  </si>
  <si>
    <t>575156</t>
  </si>
  <si>
    <t>574578</t>
  </si>
  <si>
    <t>575159</t>
  </si>
  <si>
    <t>576897</t>
  </si>
  <si>
    <t>568513</t>
  </si>
  <si>
    <t>568846</t>
  </si>
  <si>
    <t>530557</t>
  </si>
  <si>
    <t>590773</t>
  </si>
  <si>
    <t>565497</t>
  </si>
  <si>
    <t>336445</t>
  </si>
  <si>
    <t>494434</t>
  </si>
  <si>
    <t>592370</t>
  </si>
  <si>
    <t>592832</t>
  </si>
  <si>
    <t>557747</t>
  </si>
  <si>
    <t>528441</t>
  </si>
  <si>
    <t>433355</t>
  </si>
  <si>
    <t>575740</t>
  </si>
  <si>
    <t>591966</t>
  </si>
  <si>
    <t>591537</t>
  </si>
  <si>
    <t>591467</t>
  </si>
  <si>
    <t>593433</t>
  </si>
  <si>
    <t>591967</t>
  </si>
  <si>
    <t>580117</t>
  </si>
  <si>
    <t>592072</t>
  </si>
  <si>
    <t>593334</t>
  </si>
  <si>
    <t>537732</t>
  </si>
  <si>
    <t>552294</t>
  </si>
  <si>
    <t>508826</t>
  </si>
  <si>
    <t>505723</t>
  </si>
  <si>
    <t>587130</t>
  </si>
  <si>
    <t>568360</t>
  </si>
  <si>
    <t>563989</t>
  </si>
  <si>
    <t>429899</t>
  </si>
  <si>
    <t>557969</t>
  </si>
  <si>
    <t>571523</t>
  </si>
  <si>
    <t>550530</t>
  </si>
  <si>
    <t>553109</t>
  </si>
  <si>
    <t>0402</t>
  </si>
  <si>
    <t>464734</t>
  </si>
  <si>
    <t>0610</t>
  </si>
  <si>
    <t>493038</t>
  </si>
  <si>
    <t>552771</t>
  </si>
  <si>
    <t>545258</t>
  </si>
  <si>
    <t>479359</t>
  </si>
  <si>
    <t>529803</t>
  </si>
  <si>
    <t>433285</t>
  </si>
  <si>
    <t>554550</t>
  </si>
  <si>
    <t>0809</t>
  </si>
  <si>
    <t>336779</t>
  </si>
  <si>
    <t>541641</t>
  </si>
  <si>
    <t>549948</t>
  </si>
  <si>
    <t>549942</t>
  </si>
  <si>
    <t>0312</t>
  </si>
  <si>
    <t>506070</t>
  </si>
  <si>
    <t>544420</t>
  </si>
  <si>
    <t>539965</t>
  </si>
  <si>
    <t>545117</t>
  </si>
  <si>
    <t>554943</t>
  </si>
  <si>
    <t>551646</t>
  </si>
  <si>
    <t>532430</t>
  </si>
  <si>
    <t>535162</t>
  </si>
  <si>
    <t>549354</t>
  </si>
  <si>
    <t>554362</t>
  </si>
  <si>
    <t>556100</t>
  </si>
  <si>
    <t>554236</t>
  </si>
  <si>
    <t>0322</t>
  </si>
  <si>
    <t>551357</t>
  </si>
  <si>
    <t>553282</t>
  </si>
  <si>
    <t>0340</t>
  </si>
  <si>
    <t>554293</t>
  </si>
  <si>
    <t>555041</t>
  </si>
  <si>
    <t>409778</t>
  </si>
  <si>
    <t>414877</t>
  </si>
  <si>
    <t>268029</t>
  </si>
  <si>
    <t>504905</t>
  </si>
  <si>
    <t>553578</t>
  </si>
  <si>
    <t>552202</t>
  </si>
  <si>
    <t>554368</t>
  </si>
  <si>
    <t>527619</t>
  </si>
  <si>
    <t>552384</t>
  </si>
  <si>
    <t>556218</t>
  </si>
  <si>
    <t>0405</t>
  </si>
  <si>
    <t>168719</t>
  </si>
  <si>
    <t>0426</t>
  </si>
  <si>
    <t>229298</t>
  </si>
  <si>
    <t>555120</t>
  </si>
  <si>
    <t>534766</t>
  </si>
  <si>
    <t>554024</t>
  </si>
  <si>
    <t>542279</t>
  </si>
  <si>
    <t>551256</t>
  </si>
  <si>
    <t>553071</t>
  </si>
  <si>
    <t>551028</t>
  </si>
  <si>
    <t>530827</t>
  </si>
  <si>
    <t>556072</t>
  </si>
  <si>
    <t>554791</t>
  </si>
  <si>
    <t>344286</t>
  </si>
  <si>
    <t>541914</t>
  </si>
  <si>
    <t>554318</t>
  </si>
  <si>
    <t>0125</t>
  </si>
  <si>
    <t>540768</t>
  </si>
  <si>
    <t>555819</t>
  </si>
  <si>
    <t>508365</t>
  </si>
  <si>
    <t>557406</t>
  </si>
  <si>
    <t>556023</t>
  </si>
  <si>
    <t>392985</t>
  </si>
  <si>
    <t>126736</t>
  </si>
  <si>
    <t>554155</t>
  </si>
  <si>
    <t>404177</t>
  </si>
  <si>
    <t>399168</t>
  </si>
  <si>
    <t>0555</t>
  </si>
  <si>
    <t>504094</t>
  </si>
  <si>
    <t>511818</t>
  </si>
  <si>
    <t>504591</t>
  </si>
  <si>
    <t>508634</t>
  </si>
  <si>
    <t>445898</t>
  </si>
  <si>
    <t>511387</t>
  </si>
  <si>
    <t>510656</t>
  </si>
  <si>
    <t>0559</t>
  </si>
  <si>
    <t>145970</t>
  </si>
  <si>
    <t>504007</t>
  </si>
  <si>
    <t>426917</t>
  </si>
  <si>
    <t>0553</t>
  </si>
  <si>
    <t>33014</t>
  </si>
  <si>
    <t>513000</t>
  </si>
  <si>
    <t>500097</t>
  </si>
  <si>
    <t>509647</t>
  </si>
  <si>
    <t>511882</t>
  </si>
  <si>
    <t>204351</t>
  </si>
  <si>
    <t>0416</t>
  </si>
  <si>
    <t>506604</t>
  </si>
  <si>
    <t>0413</t>
  </si>
  <si>
    <t>511044</t>
  </si>
  <si>
    <t>509852</t>
  </si>
  <si>
    <t>0452</t>
  </si>
  <si>
    <t>208667</t>
  </si>
  <si>
    <t>394143</t>
  </si>
  <si>
    <t>510187</t>
  </si>
  <si>
    <t>512076</t>
  </si>
  <si>
    <t>0406</t>
  </si>
  <si>
    <t>511642</t>
  </si>
  <si>
    <t>503449</t>
  </si>
  <si>
    <t>511601</t>
  </si>
  <si>
    <t>508988</t>
  </si>
  <si>
    <t>509734</t>
  </si>
  <si>
    <t>491552</t>
  </si>
  <si>
    <t>511975</t>
  </si>
  <si>
    <t>439745</t>
  </si>
  <si>
    <t>0563</t>
  </si>
  <si>
    <t>466937</t>
  </si>
  <si>
    <t>498858</t>
  </si>
  <si>
    <t>502555</t>
  </si>
  <si>
    <t>553030</t>
  </si>
  <si>
    <t>541091</t>
  </si>
  <si>
    <t>502495</t>
  </si>
  <si>
    <t>573808</t>
  </si>
  <si>
    <t>556284</t>
  </si>
  <si>
    <t>432805</t>
  </si>
  <si>
    <t>0304</t>
  </si>
  <si>
    <t>469942</t>
  </si>
  <si>
    <t>492162</t>
  </si>
  <si>
    <t>0321</t>
  </si>
  <si>
    <t>315749</t>
  </si>
  <si>
    <t>284823</t>
  </si>
  <si>
    <t>SALAAM TAKAFUL LTD</t>
  </si>
  <si>
    <t>MUHAMMAD MUZAFFAR MUGHAL</t>
  </si>
  <si>
    <t>ATIF MANZOOR</t>
  </si>
  <si>
    <t>SAFDAR  ABBAS</t>
  </si>
  <si>
    <t>IMRAN  ALI</t>
  </si>
  <si>
    <t>UMAIR  SHAHZAD</t>
  </si>
  <si>
    <t>MUHAMMAD KAMRAN RIAZ</t>
  </si>
  <si>
    <t>MANZOOR  AHMAD</t>
  </si>
  <si>
    <t>MUHAMMAD   UMAR</t>
  </si>
  <si>
    <t>SARWAR  IJAZ  YOUSAF</t>
  </si>
  <si>
    <t>NADEEM  IQBAL</t>
  </si>
  <si>
    <t>AHMAD  MURTAZA</t>
  </si>
  <si>
    <t>MUHAMMAD IFTIKHAR SHAHEEN</t>
  </si>
  <si>
    <t>MUZAMMIL  SULTAN</t>
  </si>
  <si>
    <t>MUHAMMAD IRFAN HASSAN</t>
  </si>
  <si>
    <t>MUHAMMAD KASHIF JAVED</t>
  </si>
  <si>
    <t>IMRAN  MEHMOOD</t>
  </si>
  <si>
    <t>ASAD UR REHMAN</t>
  </si>
  <si>
    <t>MALIK QAISER HUSSAIN AWAN</t>
  </si>
  <si>
    <t>MEHMOOD  ALI</t>
  </si>
  <si>
    <t>SALAMAT  ALI</t>
  </si>
  <si>
    <t>MUHAMMAD  ASIM QAYYUM CHOHAN</t>
  </si>
  <si>
    <t>URFA   NOREEN</t>
  </si>
  <si>
    <t>NADEEM  BASHIR</t>
  </si>
  <si>
    <t>KHAIR  MUHAMMAD</t>
  </si>
  <si>
    <t>ATIF  KHAN</t>
  </si>
  <si>
    <t>YASIR  USMAN</t>
  </si>
  <si>
    <t>AMIR  SHAHZAD</t>
  </si>
  <si>
    <t>MUHAMMAD  JUNAID</t>
  </si>
  <si>
    <t>HAFIZ MUHAMMAD ADEEL</t>
  </si>
  <si>
    <t>WALEED  ISLAM</t>
  </si>
  <si>
    <t>KASHIF  ALI</t>
  </si>
  <si>
    <t>MUHAMMAD HAIDER ALI</t>
  </si>
  <si>
    <t>RAHEEL  ANWAAR</t>
  </si>
  <si>
    <t>SALMA  SHAIKH</t>
  </si>
  <si>
    <t>SHAFQAT HUSSAIN KHAN</t>
  </si>
  <si>
    <t>MUHAMMAD  GHUFRAN</t>
  </si>
  <si>
    <t>ABIDA  ISHAQ  MIR</t>
  </si>
  <si>
    <t>MUHAMMAD MUJAHID IQBAL</t>
  </si>
  <si>
    <t>MUHAMMAD SARFRAZ AKHTAR</t>
  </si>
  <si>
    <t>SHAHID JAMIL  MALIK</t>
  </si>
  <si>
    <t>HAFIZ DILAWAR HUSSAIN</t>
  </si>
  <si>
    <t>FAROOQ  JAN</t>
  </si>
  <si>
    <t>ARSHAD  MAJEED</t>
  </si>
  <si>
    <t>SHEHARYAR  TANVEER</t>
  </si>
  <si>
    <t>SIKANDAR AKBAR KHAN</t>
  </si>
  <si>
    <t>AHMAD  SAEED</t>
  </si>
  <si>
    <t>HAFIZ MUHAMMAD NADEEM</t>
  </si>
  <si>
    <t>MUHAMMAD  RIAZ</t>
  </si>
  <si>
    <t>KHALID  HUSSAIN</t>
  </si>
  <si>
    <t>NAVEED    RAUF</t>
  </si>
  <si>
    <t>SHAHID  PERVAIZ KHAN</t>
  </si>
  <si>
    <t>SAFDAR  HUSSAIN</t>
  </si>
  <si>
    <t>MUHAMMAD  WALEED  IDREES</t>
  </si>
  <si>
    <t>MUHAMMAD SAQIB AMANAT</t>
  </si>
  <si>
    <t>KASHIF  GHAFOOR</t>
  </si>
  <si>
    <t>IHSAN  DANISH</t>
  </si>
  <si>
    <t>MUHAMMAD UZAIR ZAFFAR</t>
  </si>
  <si>
    <t>TAKBEER  ULLAH</t>
  </si>
  <si>
    <t>TARIQ MEHMOOD KHAN</t>
  </si>
  <si>
    <t>ALI  ABBAS</t>
  </si>
  <si>
    <t>ABID  MASIH</t>
  </si>
  <si>
    <t>MOHSIN INAYAT  ULLAH</t>
  </si>
  <si>
    <t>MUMTAZ  ALI</t>
  </si>
  <si>
    <t>MUHAMMAD  IMRAN</t>
  </si>
  <si>
    <t>SIKANDAR HAYAT KHAN BOSAN</t>
  </si>
  <si>
    <t>AHSAN   KAREEM</t>
  </si>
  <si>
    <t>MUHAMMAD   ARSHAD</t>
  </si>
  <si>
    <t>HAFIZ SHERAZ  KHALID</t>
  </si>
  <si>
    <t>AKLEEM  ABBAS</t>
  </si>
  <si>
    <t>MUHAMMAD  ISHAQ</t>
  </si>
  <si>
    <t>SUMMERA  SHERAZ</t>
  </si>
  <si>
    <t>MUHAMMAD ZEESHAN IQBAL</t>
  </si>
  <si>
    <t>MUHAMMAD NADEEM BUTT</t>
  </si>
  <si>
    <t>MOHSIN  RAZA</t>
  </si>
  <si>
    <t>ABDUL   QADEER</t>
  </si>
  <si>
    <t>MUHAMMAD  AHMED</t>
  </si>
  <si>
    <t>JAHANGIR  AHMAD</t>
  </si>
  <si>
    <t>SHEIKH  ZAKA  ULLAH</t>
  </si>
  <si>
    <t>FARHAN  KHAN</t>
  </si>
  <si>
    <t>SYED MUHAMMAD BILAL ADIL</t>
  </si>
  <si>
    <t>ADEEL  AHMED</t>
  </si>
  <si>
    <t>MOHAMMAD ISHAQ KAMRAN</t>
  </si>
  <si>
    <t>MUHAMMAD IMRAN KHAN</t>
  </si>
  <si>
    <t>ABDUL  RAHEEM  KHAN</t>
  </si>
  <si>
    <t>AZIZ  BATOOL</t>
  </si>
  <si>
    <t>LAYON    IVAN PATRICK LOBO</t>
  </si>
  <si>
    <t>REHAN  MEHMOOD</t>
  </si>
  <si>
    <t>MALIK  JAVED</t>
  </si>
  <si>
    <t>NEHAL  AHMED</t>
  </si>
  <si>
    <t>IMRAN HAIDER LEGHARI</t>
  </si>
  <si>
    <t>SALMAN  ALI</t>
  </si>
  <si>
    <t>KHAWAJA ADNAN FARQALET</t>
  </si>
  <si>
    <t>SYEDA ZEHRA BATOOL</t>
  </si>
  <si>
    <t>MAQBOOL  HUSSAIN</t>
  </si>
  <si>
    <t>MALIK AZHAR RASHEED</t>
  </si>
  <si>
    <t>ASGHAR  .</t>
  </si>
  <si>
    <t>ABDUL   .HAMEED</t>
  </si>
  <si>
    <t>MUHAMMAD  UMAIR  YAQOOB</t>
  </si>
  <si>
    <t>ZAFAR IQBAL KHAN   NIAZI</t>
  </si>
  <si>
    <t>SABA   AHMAD</t>
  </si>
  <si>
    <t>ZOHAIB   ZULQARNAIN</t>
  </si>
  <si>
    <t>MUBBSHER  ABBAS</t>
  </si>
  <si>
    <t>PREM   JI</t>
  </si>
  <si>
    <t>MUHAMMAD  IRFAN</t>
  </si>
  <si>
    <t>MUHAMMAD HABIB ULLAH</t>
  </si>
  <si>
    <t>MUKHTAR  AHMAD</t>
  </si>
  <si>
    <t>KHALID   MEHMOOD</t>
  </si>
  <si>
    <t>MALIK NAVEED SARWAR</t>
  </si>
  <si>
    <t>HARIS  REHMAN SHAMSI</t>
  </si>
  <si>
    <t>SAMINA  RAFIQUE</t>
  </si>
  <si>
    <t>MUHAMMAD IDREES</t>
  </si>
  <si>
    <t>MUHAMMAD   AHMAD</t>
  </si>
  <si>
    <t>CH ZUBAIR SULTAN</t>
  </si>
  <si>
    <t>MUHAMMAD  AFZAAL</t>
  </si>
  <si>
    <t>RANA MAQSOOD  MEHMOOD  KHAN</t>
  </si>
  <si>
    <t>MUHAMMAD SAJID AKBAR</t>
  </si>
  <si>
    <t>MUHAMMAD TAHIR KHAN</t>
  </si>
  <si>
    <t>SHAHZAIB   IFTIKHAR</t>
  </si>
  <si>
    <t>SHAMIM  BANO</t>
  </si>
  <si>
    <t>SYED ZEESHAN ALI</t>
  </si>
  <si>
    <t>ALI   MUHAMMAD</t>
  </si>
  <si>
    <t>FARAZ AHMED QUDDUSI</t>
  </si>
  <si>
    <t>MUHAMMAD ZEESHAN  KHAN</t>
  </si>
  <si>
    <t>HASHIM   RAZA</t>
  </si>
  <si>
    <t>AKHTAR  AYUB KHAN</t>
  </si>
  <si>
    <t>RAO MUHAMMAD KHALID SHABBIR</t>
  </si>
  <si>
    <t>MUHAMMAD   IRFAN</t>
  </si>
  <si>
    <t>AIJAZ ULLAH KHAN</t>
  </si>
  <si>
    <t>AFZAAL  ANJUM</t>
  </si>
  <si>
    <t>MUHAMMAD  ASIF HANEEF</t>
  </si>
  <si>
    <t>ALLAH  DITTA KIANI</t>
  </si>
  <si>
    <t>SYED AMEER UL HASSAN SHAH</t>
  </si>
  <si>
    <t>MUHAMMAD   USMAN</t>
  </si>
  <si>
    <t>HASSAN  SHABBIR</t>
  </si>
  <si>
    <t>SALMAN  UMER</t>
  </si>
  <si>
    <t>ABDUL  RAHEEM</t>
  </si>
  <si>
    <t>MUHAMMAD ADIL AMEEN</t>
  </si>
  <si>
    <t>SHEIKH MUHAMMAD ALI MADNI</t>
  </si>
  <si>
    <t>KHAWAJA GHULAM QUTUBUDDIN FARIDI</t>
  </si>
  <si>
    <t>MOLA  BUX</t>
  </si>
  <si>
    <t>ALI  NASIR</t>
  </si>
  <si>
    <t>RUBINA  SHAKIL</t>
  </si>
  <si>
    <t>SABIR   ALI</t>
  </si>
  <si>
    <t>ABDUL  SALAM</t>
  </si>
  <si>
    <t>FAZAL AMIN KHAN</t>
  </si>
  <si>
    <t>KASHIF RAZA ZAFAR</t>
  </si>
  <si>
    <t>SAMAR  ABBAS</t>
  </si>
  <si>
    <t>UBAID UL HASSAN</t>
  </si>
  <si>
    <t>HAFIZ MUHAMMAD YOUSAF</t>
  </si>
  <si>
    <t>MUHAMMAD   SHAKEEL</t>
  </si>
  <si>
    <t>MOEEZ  SHAHBAZ</t>
  </si>
  <si>
    <t>NASIR  MAHMOOD</t>
  </si>
  <si>
    <t>MUHAMMAD  ISHRAQ</t>
  </si>
  <si>
    <t>SAJJAD  AKHTAR</t>
  </si>
  <si>
    <t>MUHAMMAD  RASHID</t>
  </si>
  <si>
    <t>MUHAMMAD  SADAQAT</t>
  </si>
  <si>
    <t>USMAN  AMIN</t>
  </si>
  <si>
    <t>SYED ALI RAZA NAQVI</t>
  </si>
  <si>
    <t>FALAK SHER TABASSUM</t>
  </si>
  <si>
    <t>ABDUL  WAHEED</t>
  </si>
  <si>
    <t>UMAR SHAHAB UD DIN</t>
  </si>
  <si>
    <t>REHMAN  IRSHAD</t>
  </si>
  <si>
    <t>AYAZ  ALI</t>
  </si>
  <si>
    <t>ABU  SUFIYAN</t>
  </si>
  <si>
    <t>MUHAMMAD  SALEEM</t>
  </si>
  <si>
    <t>MUHAMMAD YASEEN KHAN</t>
  </si>
  <si>
    <t>MUHAMMAD  RAFIQUE</t>
  </si>
  <si>
    <t>MUHAMMAD  IQBAL</t>
  </si>
  <si>
    <t>SOHAIL  AKHTAR</t>
  </si>
  <si>
    <t>JAMEEL &amp; SONS (PROP : HAFIZ MUHAMMAD ATHAR)</t>
  </si>
  <si>
    <t>SHAZIA   ILYAS</t>
  </si>
  <si>
    <t>UMAIR  KHURSHID</t>
  </si>
  <si>
    <t>NABEEL  MUGHAL</t>
  </si>
  <si>
    <t>AHMAD RAZA KHAN</t>
  </si>
  <si>
    <t>MUHAMMAD ASIF AWAN</t>
  </si>
  <si>
    <t>SHABBIR  AHMED</t>
  </si>
  <si>
    <t>AMAN  ULLAH</t>
  </si>
  <si>
    <t>MUHAMMAD  NAJEEB YOUNAS</t>
  </si>
  <si>
    <t>MUJAHID  SAEED</t>
  </si>
  <si>
    <t>ARIF  MEHMOOD</t>
  </si>
  <si>
    <t>ABDUL LATIF ANJUM</t>
  </si>
  <si>
    <t>MUHAMMAD   BILAL</t>
  </si>
  <si>
    <t>MUHAMMAD  FAISAL</t>
  </si>
  <si>
    <t>FARHAT  ZAHOOR</t>
  </si>
  <si>
    <t>WAQAS  ALI QURESHI</t>
  </si>
  <si>
    <t>EHSAN   AHMED</t>
  </si>
  <si>
    <t>SHAHZAD  AHMAD BUTT</t>
  </si>
  <si>
    <t>ABDUL   GHAFFAR</t>
  </si>
  <si>
    <t>WASEEM  UR REHMAN  KHAN</t>
  </si>
  <si>
    <t>IRSHAD HUSSAIN   SHAH</t>
  </si>
  <si>
    <t>AZEEM  ELAHI</t>
  </si>
  <si>
    <t>IFTIKHAR  AHMAD</t>
  </si>
  <si>
    <t>ZEE WAQAR  HAMDANI</t>
  </si>
  <si>
    <t>QASEEM   GHOURI</t>
  </si>
  <si>
    <t>KOUSAR  PARVEEN</t>
  </si>
  <si>
    <t>FAISAL  SHABBIR</t>
  </si>
  <si>
    <t>MEHTAB  AHMAD</t>
  </si>
  <si>
    <t>MEHRAN  WAHID</t>
  </si>
  <si>
    <t>QAMAR  KHAN</t>
  </si>
  <si>
    <t>MUHAMMAD SAJJAD HANIF</t>
  </si>
  <si>
    <t>SYED ZEERAK HUSSAIN</t>
  </si>
  <si>
    <t>MAHBOOB ALI SHEIKH</t>
  </si>
  <si>
    <t>RANA  MAJID</t>
  </si>
  <si>
    <t>WAQAS  SALEEM</t>
  </si>
  <si>
    <t>HAFIZ SHARJEEL ASHRAF</t>
  </si>
  <si>
    <t>IBRAR  NISAR</t>
  </si>
  <si>
    <t>TAYYAB  MUDASSAR</t>
  </si>
  <si>
    <t>AZHAR  IQBAL</t>
  </si>
  <si>
    <t>MUHAMMAD   KHUBAIB</t>
  </si>
  <si>
    <t>RANA WAHEED MURAD</t>
  </si>
  <si>
    <t>TANVEER MASIH GILL</t>
  </si>
  <si>
    <t>QALAB   ABBAS</t>
  </si>
  <si>
    <t>MAIRA  MALIK</t>
  </si>
  <si>
    <t>MUHAMMAD ADEEL ASIF</t>
  </si>
  <si>
    <t>MUHAMMAD    ABBAS</t>
  </si>
  <si>
    <t>MUHAMMAD  ABDULLAH</t>
  </si>
  <si>
    <t>MUHAMMAD  SAEED</t>
  </si>
  <si>
    <t>SHAZINA   JHON</t>
  </si>
  <si>
    <t>SADIA  NADEEM</t>
  </si>
  <si>
    <t>USMAN   MEHMOOD</t>
  </si>
  <si>
    <t>MUHAMMAD TAHIR SHAH</t>
  </si>
  <si>
    <t>LIAQAT  ALI</t>
  </si>
  <si>
    <t>WASEEM  ARSHAD</t>
  </si>
  <si>
    <t>JALIL UR REHMAN KHAN KAKAR</t>
  </si>
  <si>
    <t>MUHAMMAD SHAKEEL RAFIQ</t>
  </si>
  <si>
    <t>MUHAMMAD BAQIR SHARIF</t>
  </si>
  <si>
    <t>ADNAN  MANZOOR</t>
  </si>
  <si>
    <t>MUHAMMAD  KASHIF</t>
  </si>
  <si>
    <t>MAHBOOB  - ALI</t>
  </si>
  <si>
    <t>WAHAB  ALI</t>
  </si>
  <si>
    <t>MUHAMMAD DANISH ALVI</t>
  </si>
  <si>
    <t>WASEEM  ALI</t>
  </si>
  <si>
    <t>MUHAMMAD ZAHID HAMEED</t>
  </si>
  <si>
    <t>TAUQEER  NASIR</t>
  </si>
  <si>
    <t>DAUD   SARWAR</t>
  </si>
  <si>
    <t>SUMEIRA  NADIR</t>
  </si>
  <si>
    <t>ARSLAN  AMANAT</t>
  </si>
  <si>
    <t>SYED TASAWAR HUSSAIN SHAH</t>
  </si>
  <si>
    <t>SYED  KAZIM RAZA</t>
  </si>
  <si>
    <t>MUHAMMAD  ATIF</t>
  </si>
  <si>
    <t>ASIF  ALI</t>
  </si>
  <si>
    <t>SHAHIDA  PARVEEN</t>
  </si>
  <si>
    <t>MUHAMMAD  BILAL</t>
  </si>
  <si>
    <t>WASEEM  RAZA</t>
  </si>
  <si>
    <t>NAEEM  ASLAM</t>
  </si>
  <si>
    <t>USMAN  SHAUKAT</t>
  </si>
  <si>
    <t>FAISAL  MEHMOOD</t>
  </si>
  <si>
    <t>ZAFAR  AHMAD</t>
  </si>
  <si>
    <t>SHAMIA  ZEESHAN</t>
  </si>
  <si>
    <t>NOMAN   YAQOOB</t>
  </si>
  <si>
    <t>NAIK   MUHAMMAD</t>
  </si>
  <si>
    <t>MUHAMMAD  MAQSOOD  AHMED</t>
  </si>
  <si>
    <t>SYED  SAAD  AHMED</t>
  </si>
  <si>
    <t>ANEES  AHMAD</t>
  </si>
  <si>
    <t>RIZWAN  .</t>
  </si>
  <si>
    <t>ABDUL JALIL ABBASI</t>
  </si>
  <si>
    <t>NIDA   BIBI</t>
  </si>
  <si>
    <t>HASSAN  SHAKEEL</t>
  </si>
  <si>
    <t>UMAIR   WAHEED</t>
  </si>
  <si>
    <t>TANZEEL  UR RAHMAN  AZAD</t>
  </si>
  <si>
    <t>MUHAMMAD  ARQAM IQBAL</t>
  </si>
  <si>
    <t>ADNAN   DILAWAR</t>
  </si>
  <si>
    <t>NISAR AHMAD BAIG</t>
  </si>
  <si>
    <t>DANISH   ALI</t>
  </si>
  <si>
    <t>ZOHAIB   AHMAD</t>
  </si>
  <si>
    <t>RAOOF  KHAN</t>
  </si>
  <si>
    <t>ADEEL  AHMAD</t>
  </si>
  <si>
    <t>AWAIS  ALI</t>
  </si>
  <si>
    <t>FARMAN   ULLAH</t>
  </si>
  <si>
    <t>INAM UL HAQ SHAH</t>
  </si>
  <si>
    <t>AFZAL MAHMOOD SHAIKH</t>
  </si>
  <si>
    <t>HAFIZ FAHAD BIN  MUNIR</t>
  </si>
  <si>
    <t>MUHAMMAD   SAQIB</t>
  </si>
  <si>
    <t>MUHAMMAD  IRFAN  AHMAD</t>
  </si>
  <si>
    <t>TAIMOOR  SHOUKAT</t>
  </si>
  <si>
    <t>NAYYAR  JABEEN</t>
  </si>
  <si>
    <t>SHEIKH MUHAMMAD TALHA</t>
  </si>
  <si>
    <t>MUHAMMAD  ARHAM</t>
  </si>
  <si>
    <t>MUHAMMAD  EHSAN</t>
  </si>
  <si>
    <t>MUHAMMAD  NAVEED</t>
  </si>
  <si>
    <t>HUMAYUN  .</t>
  </si>
  <si>
    <t>RANA MUHAMMAD GULMAN ASHRAF</t>
  </si>
  <si>
    <t>MUHAMMAD SHARIF BHATTI</t>
  </si>
  <si>
    <t>MUHAMMAD  JAHANGIR</t>
  </si>
  <si>
    <t>ZEESHAN  -</t>
  </si>
  <si>
    <t>MUHAMMAD  ASHRAF</t>
  </si>
  <si>
    <t>ZAIB  RIAZ</t>
  </si>
  <si>
    <t>GULAB  KHAN</t>
  </si>
  <si>
    <t>AHMED  RAZA</t>
  </si>
  <si>
    <t>MUHAMMAD SHAHID QURESHI</t>
  </si>
  <si>
    <t>TAHIR  MEHMOOD</t>
  </si>
  <si>
    <t>ADNAN  RAMZAN</t>
  </si>
  <si>
    <t>Central</t>
  </si>
  <si>
    <t>paid</t>
  </si>
  <si>
    <t>wrong data</t>
  </si>
  <si>
    <t>Corporate</t>
  </si>
  <si>
    <t>71350/1</t>
  </si>
  <si>
    <t>70289/1</t>
  </si>
  <si>
    <t>Meezan Case</t>
  </si>
  <si>
    <t>75531/1</t>
  </si>
  <si>
    <t>74166/1</t>
  </si>
  <si>
    <t>75818/1</t>
  </si>
  <si>
    <t>73786/1</t>
  </si>
  <si>
    <t>76278/1</t>
  </si>
  <si>
    <t>74942/1</t>
  </si>
  <si>
    <t>75675/1</t>
  </si>
  <si>
    <t>76386/1</t>
  </si>
  <si>
    <t>75885/1</t>
  </si>
  <si>
    <t>75596/1</t>
  </si>
  <si>
    <t>75568/1</t>
  </si>
  <si>
    <t>74159/1</t>
  </si>
  <si>
    <t>75008/1</t>
  </si>
  <si>
    <t>76327/1</t>
  </si>
  <si>
    <t>75989/1</t>
  </si>
  <si>
    <t>76219/1</t>
  </si>
  <si>
    <t>76723/1</t>
  </si>
  <si>
    <t>76237/1</t>
  </si>
  <si>
    <t>76197/1</t>
  </si>
  <si>
    <t>76246/1</t>
  </si>
  <si>
    <t>74874/1</t>
  </si>
  <si>
    <t>75255/1</t>
  </si>
  <si>
    <t>76529/1</t>
  </si>
  <si>
    <t>75932/1</t>
  </si>
  <si>
    <t>76727/1</t>
  </si>
  <si>
    <t>76312/1</t>
  </si>
  <si>
    <t>76191/1</t>
  </si>
  <si>
    <t>76584/1</t>
  </si>
  <si>
    <t>76809/1</t>
  </si>
  <si>
    <t>74904/1</t>
  </si>
  <si>
    <t>76208/1</t>
  </si>
  <si>
    <t>74768/1</t>
  </si>
  <si>
    <t>76624/1</t>
  </si>
  <si>
    <t>76439/1</t>
  </si>
  <si>
    <t>73718/1</t>
  </si>
  <si>
    <t>76659/1</t>
  </si>
  <si>
    <t>76243/1</t>
  </si>
  <si>
    <t>76403/1</t>
  </si>
  <si>
    <t>76821/1</t>
  </si>
  <si>
    <t>76818/1</t>
  </si>
  <si>
    <t>76823/1</t>
  </si>
  <si>
    <t>74047/1</t>
  </si>
  <si>
    <t>75043/1</t>
  </si>
  <si>
    <t>76285/1</t>
  </si>
  <si>
    <t>75618/1</t>
  </si>
  <si>
    <t>642882</t>
  </si>
  <si>
    <t>639122</t>
  </si>
  <si>
    <t>397683</t>
  </si>
  <si>
    <t>APPROVED</t>
  </si>
  <si>
    <t>403371</t>
  </si>
  <si>
    <t>662200</t>
  </si>
  <si>
    <t>296002</t>
  </si>
  <si>
    <t>657010</t>
  </si>
  <si>
    <t>659820</t>
  </si>
  <si>
    <t>655221</t>
  </si>
  <si>
    <t>659609</t>
  </si>
  <si>
    <t>659585</t>
  </si>
  <si>
    <t>599461</t>
  </si>
  <si>
    <t>0557</t>
  </si>
  <si>
    <t>631946</t>
  </si>
  <si>
    <t>662329</t>
  </si>
  <si>
    <t>356943</t>
  </si>
  <si>
    <t>354737</t>
  </si>
  <si>
    <t>663098</t>
  </si>
  <si>
    <t>662498</t>
  </si>
  <si>
    <t>484136</t>
  </si>
  <si>
    <t>662042</t>
  </si>
  <si>
    <t>453239</t>
  </si>
  <si>
    <t>573635</t>
  </si>
  <si>
    <t>659786</t>
  </si>
  <si>
    <t>393263</t>
  </si>
  <si>
    <t>660005</t>
  </si>
  <si>
    <t>539789</t>
  </si>
  <si>
    <t>622007</t>
  </si>
  <si>
    <t>661913</t>
  </si>
  <si>
    <t>537150</t>
  </si>
  <si>
    <t>656888</t>
  </si>
  <si>
    <t>661996</t>
  </si>
  <si>
    <t>656884</t>
  </si>
  <si>
    <t>664040</t>
  </si>
  <si>
    <t>662834</t>
  </si>
  <si>
    <t>639985</t>
  </si>
  <si>
    <t>663831</t>
  </si>
  <si>
    <t>0142</t>
  </si>
  <si>
    <t>149211</t>
  </si>
  <si>
    <t>662901</t>
  </si>
  <si>
    <t>663734</t>
  </si>
  <si>
    <t>552825</t>
  </si>
  <si>
    <t>APPLICATION</t>
  </si>
  <si>
    <t>552720</t>
  </si>
  <si>
    <t>498405</t>
  </si>
  <si>
    <t>0680</t>
  </si>
  <si>
    <t>659626</t>
  </si>
  <si>
    <t>660365</t>
  </si>
  <si>
    <t>657565</t>
  </si>
  <si>
    <t>520099</t>
  </si>
  <si>
    <t>-</t>
  </si>
  <si>
    <t>Zulfiqar Ali</t>
  </si>
  <si>
    <t>Kashif Munawar</t>
  </si>
  <si>
    <t xml:space="preserve">Naseer Ahmad </t>
  </si>
  <si>
    <t xml:space="preserve">Shah Nawaz </t>
  </si>
  <si>
    <t>Muhammad Ibrahim</t>
  </si>
  <si>
    <t>Muhammad Mumtaz</t>
  </si>
  <si>
    <t>Meezan Bank Limited Main Branch Karachi</t>
  </si>
  <si>
    <t>Faraz Khan</t>
  </si>
  <si>
    <t xml:space="preserve">Muhammad Tayyab </t>
  </si>
  <si>
    <t>Ashar Azfar Hussain</t>
  </si>
  <si>
    <t>Khalid Mehmood</t>
  </si>
  <si>
    <t>3520185477583</t>
  </si>
  <si>
    <t>3520201989935</t>
  </si>
  <si>
    <t>4230185170659</t>
  </si>
  <si>
    <t>3310070748891</t>
  </si>
  <si>
    <t>ISHTIAQ  BHATTI</t>
  </si>
  <si>
    <t>MUHAMMAD  AYAZ</t>
  </si>
  <si>
    <t>SULEMAN   GHUFRANI</t>
  </si>
  <si>
    <t>MUHAMMAD   ASGHAR</t>
  </si>
  <si>
    <t>YASHWA  .</t>
  </si>
  <si>
    <t>SYED SHARIQ HUSSAIN</t>
  </si>
  <si>
    <t>SHEHROZE  SAJJAD</t>
  </si>
  <si>
    <t>MUHAMMAD WAQAR YASIR</t>
  </si>
  <si>
    <t>ARSLAN  AHMAD</t>
  </si>
  <si>
    <t>MUHAMMAD ALI AMJAD</t>
  </si>
  <si>
    <t>TARIQ   ZAMAN</t>
  </si>
  <si>
    <t>ZAIN   KAMRAN</t>
  </si>
  <si>
    <t>QAMAR UZ ZAMAN  .</t>
  </si>
  <si>
    <t>MUHAMMAD   ASHFAQ</t>
  </si>
  <si>
    <t>MUHAMMAD   ISHAQ</t>
  </si>
  <si>
    <t>SHAZIA  .</t>
  </si>
  <si>
    <t>FAHAD  KHAN</t>
  </si>
  <si>
    <t>NAJMA  KHALID</t>
  </si>
  <si>
    <t>MASROOR HUSSAIN SHAIKH</t>
  </si>
  <si>
    <t>SHOAIB  MUMTAZ  KARIMI</t>
  </si>
  <si>
    <t>ANWAR   HUSSAIN</t>
  </si>
  <si>
    <t>ABBAS ALI RAZA  .</t>
  </si>
  <si>
    <t>SALMAN UL HASAN FAROOQUI</t>
  </si>
  <si>
    <t>MUHAMMAD  KHIZAR SHAHID</t>
  </si>
  <si>
    <t>ALI   SAJDAIN</t>
  </si>
  <si>
    <t>MUHAMMAD KASHIF RIAZ</t>
  </si>
  <si>
    <t>MUHAMMAD SHAHID KAMRAN</t>
  </si>
  <si>
    <t>JAWWAD  ALI</t>
  </si>
  <si>
    <t>MALIK MUDDASIR ISHAQ AWAN</t>
  </si>
  <si>
    <t>ALI   RAZA</t>
  </si>
  <si>
    <t>MASHHOOD    HUSSAIN</t>
  </si>
  <si>
    <t>SAAD ALI MALIK</t>
  </si>
  <si>
    <t>MUHAMMAD  SHAHBAZ HUSSAIN</t>
  </si>
  <si>
    <t>YASIR  MALIK</t>
  </si>
  <si>
    <t>MUHAMMAD ` SHAFIQ</t>
  </si>
  <si>
    <t>MUHAMMAD   NAEEM</t>
  </si>
  <si>
    <t>MUHAMMAD MUSTAFA ZAIDI</t>
  </si>
  <si>
    <t>SYED ABRAR HUSSAIN</t>
  </si>
  <si>
    <t>MUHAMMAD  ASHIQ</t>
  </si>
  <si>
    <t>FAIZ UR REHMAN</t>
  </si>
  <si>
    <t>MUHAMMAD   SUFYAN</t>
  </si>
  <si>
    <t>MUHAMMAD USMAN SAFDAR</t>
  </si>
  <si>
    <t>AQEEL  AHMAD</t>
  </si>
  <si>
    <t>Early terminated dt. 24-10-2024</t>
  </si>
  <si>
    <t>Early terminated dt. 04-11-2024</t>
  </si>
  <si>
    <t>Early terminated dt. 19-11-2024</t>
  </si>
  <si>
    <t>Early terminated dt. 23-10-2024</t>
  </si>
  <si>
    <t>Early terminated dt. 05-12-2024</t>
  </si>
  <si>
    <t>ALTO VXR  (METALLIC)</t>
  </si>
  <si>
    <t>CULTUS VXL (NON-METALIC)</t>
  </si>
  <si>
    <t>WAGON R VXL</t>
  </si>
  <si>
    <t>CIVIC (AUTOMATIC)</t>
  </si>
  <si>
    <t>ALSVIN 1.3</t>
  </si>
  <si>
    <t>CITY (MANUAL)</t>
  </si>
  <si>
    <t>OSHAN X7</t>
  </si>
  <si>
    <t>CIVIC (AUTOMATIC) UPGRADED PTSR</t>
  </si>
  <si>
    <t>BRV</t>
  </si>
  <si>
    <t>ALTO VXL AGS</t>
  </si>
  <si>
    <t>TOYOTA COROLLA XLI</t>
  </si>
  <si>
    <t>HAVAL H6 TURBO</t>
  </si>
  <si>
    <t>CITY (AUTOMATIC)</t>
  </si>
  <si>
    <t>ALTO VXR  (NON-METALLIC)</t>
  </si>
  <si>
    <t>ALTO VXL</t>
  </si>
  <si>
    <t>YARIS</t>
  </si>
  <si>
    <t>ALSVIN 1.5 L LUMIERE</t>
  </si>
  <si>
    <t>TOYOTA FORTUNER 4*4 A/T</t>
  </si>
  <si>
    <t>MUHAMMAD NAFEES UL HASAN .</t>
  </si>
  <si>
    <t>ALTIS GRANDE</t>
  </si>
  <si>
    <t>COROLLA GLI A/T</t>
  </si>
  <si>
    <t>KARVAN PLUS</t>
  </si>
  <si>
    <t>TOYOTA COROLLA ALTIS (AUTOMATIC)</t>
  </si>
  <si>
    <t>ALTO VX (METALLIC)</t>
  </si>
  <si>
    <t>BOLAN STD</t>
  </si>
  <si>
    <t>CITY (AUTOMATIC) UPGRADED</t>
  </si>
  <si>
    <t>MEHRAN VXR (METALLIC)</t>
  </si>
  <si>
    <t>will pay later</t>
  </si>
  <si>
    <t>MEHRAN VXR (NON-METALLIC)</t>
  </si>
  <si>
    <t>YARIS ATIV 1.3 M/T</t>
  </si>
  <si>
    <t>MEHRAN VX (METALLIC)</t>
  </si>
  <si>
    <t>HILUX REVO AT (V)</t>
  </si>
  <si>
    <t>RAVI STD</t>
  </si>
  <si>
    <t>ALTO VX (NON-METALLIC)</t>
  </si>
  <si>
    <t>CULTUS VXL (METALIC)</t>
  </si>
  <si>
    <t>SWIFT</t>
  </si>
  <si>
    <t>CITY ASPIRE PT</t>
  </si>
  <si>
    <t>REVO</t>
  </si>
  <si>
    <t>HONDA CITY 1.5 CVT</t>
  </si>
  <si>
    <t>ZS</t>
  </si>
  <si>
    <t>GRANDE AT</t>
  </si>
  <si>
    <t>COROLLA  ATLIS GRANDE</t>
  </si>
  <si>
    <t>SUZUKI CULTUS AGS</t>
  </si>
  <si>
    <t>CHANGAN KARVAAN</t>
  </si>
  <si>
    <t>WAGON R</t>
  </si>
  <si>
    <t>CIVIC 1.8 ORIEL</t>
  </si>
  <si>
    <t>GLORY 580 PRO</t>
  </si>
  <si>
    <t>CULTUS VXR (NON-METALIC)</t>
  </si>
  <si>
    <t>VEZEL</t>
  </si>
  <si>
    <t>EVERY VAN</t>
  </si>
  <si>
    <t>SONATA</t>
  </si>
  <si>
    <t>CIVIC (AUTOMATIC) UPGRADED MTSR</t>
  </si>
  <si>
    <t>CITY ASPIRE MANUAL</t>
  </si>
  <si>
    <t>YARIS 1.3 GLI CVT</t>
  </si>
  <si>
    <t>HRV</t>
  </si>
  <si>
    <t>V2</t>
  </si>
  <si>
    <t>MOVE</t>
  </si>
  <si>
    <t>PRIUS</t>
  </si>
  <si>
    <t>CIVIC (MANUAL)</t>
  </si>
  <si>
    <t>TOYOTA COROLLA ALTIS (MANUAL)</t>
  </si>
  <si>
    <t>CIVIC I VTEC</t>
  </si>
  <si>
    <t>N BOX</t>
  </si>
  <si>
    <t>HUSTLER</t>
  </si>
  <si>
    <t>settled dt. 30-10-2024</t>
  </si>
  <si>
    <t>settled dt. 15-11-2024</t>
  </si>
  <si>
    <t>Policy No.</t>
  </si>
  <si>
    <t>Diff Amount</t>
  </si>
  <si>
    <t>Tagging</t>
  </si>
  <si>
    <t>Tracker Name</t>
  </si>
  <si>
    <t>TRACKER (TRASUR)</t>
  </si>
  <si>
    <t>KHI/HO/D/MO/PC COMP/P/100245/10/2024</t>
  </si>
  <si>
    <t>KHI/HO/D/MO/PC COMP/P/86676/04/2024</t>
  </si>
  <si>
    <t>KHI/HO/D/MO/PC COMP/P/78104/11/2023</t>
  </si>
  <si>
    <t>KHI/HO/D/MO/PC COMP/P/93457/07/2024</t>
  </si>
  <si>
    <t>KHI/HO/D/MO/PC COMP/P/84285/02/2024</t>
  </si>
  <si>
    <t>KHI/HO/D/MO/PC COMP/P/85019/03/2024</t>
  </si>
  <si>
    <t>KHI/HO/D/MO/PC COMP/P/93458/07/2024</t>
  </si>
  <si>
    <t>KHI/HO/D/MO/PC COMP/P/95234/08/2024</t>
  </si>
  <si>
    <t>KHI/HO/D/MO/PC COMP/P/77479/11/2023</t>
  </si>
  <si>
    <t>KHI/HO/D/MO/PC COMP/P/73778/08/2023</t>
  </si>
  <si>
    <t>KHI/HO/D/MO/PC COMP/P/95230/08/2024</t>
  </si>
  <si>
    <t>KHI/HO/D/MO/PC COMP/P/85047/03/2024</t>
  </si>
  <si>
    <t>KHI/HO/D/MO/PC COMP/P/95193/08/2024</t>
  </si>
  <si>
    <t>KHI/HO/D/MO/PC COMP/P/96731/09/2024</t>
  </si>
  <si>
    <t>KHI/HO/D/MO/PC COMP/P/90920/06/2024</t>
  </si>
  <si>
    <t>KHI/HO/D/MO/PC COMP/P/96729/09/2024</t>
  </si>
  <si>
    <t>KHI/HO/D/MO/PC COMP/P/93460/07/2024</t>
  </si>
  <si>
    <t>KHI/HO/D/MO/PC COMP/P/86646/04/2024</t>
  </si>
  <si>
    <t>KHI/HO/D/MO/PC COMP/P/86662/04/2024</t>
  </si>
  <si>
    <t>KHI/HO/D/MO/PC COMP/P/72871/07/2023</t>
  </si>
  <si>
    <t>KHI/HO/D/MO/PC COMP/P/95231/08/2024</t>
  </si>
  <si>
    <t>KHI/HO/D/MO/PC COMP/P/73784/08/2023</t>
  </si>
  <si>
    <t>KHI/HO/D/MO/PC COMP/P/77944/11/2023</t>
  </si>
  <si>
    <t>KHI/HO/D/MO/PC COMP/P/82368/01/2024</t>
  </si>
  <si>
    <t>KHI/HO/D/MO/PC COMP/P/86635/04/2024</t>
  </si>
  <si>
    <t>KHI/HO/D/MO/PC COMP/P/85065/03/2024</t>
  </si>
  <si>
    <t>KHI/HO/D/MO/PC COMP/P/95236/08/2024</t>
  </si>
  <si>
    <t>KHI/HO/D/MO/PC COMP/P/88626/05/2024</t>
  </si>
  <si>
    <t>KHI/HO/D/MO/PC COMP/P/85077/03/2024</t>
  </si>
  <si>
    <t>KHI/HO/D/MO/PC COMP/C/86550/5/04/2024</t>
  </si>
  <si>
    <t>KHI/HO/D/MO/PC COMP/E/50287/00021/12/2024, KHI/HO/D/MO/PC COMP/E/50288/00021/12/2024</t>
  </si>
  <si>
    <t>d</t>
  </si>
  <si>
    <t>00022</t>
  </si>
  <si>
    <t>00005</t>
  </si>
  <si>
    <t>00011</t>
  </si>
  <si>
    <t>00003</t>
  </si>
  <si>
    <t>00001</t>
  </si>
  <si>
    <t>00010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</si>
  <si>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</si>
  <si>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</si>
  <si>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</si>
  <si>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</si>
  <si>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</si>
  <si>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</si>
  <si>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</si>
  <si>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</si>
  <si>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00002</t>
  </si>
  <si>
    <t>00020</t>
  </si>
  <si>
    <t>00021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</si>
  <si>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</si>
  <si>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</si>
  <si>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</si>
  <si>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</si>
  <si>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</si>
  <si>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</si>
  <si>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</si>
  <si>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</si>
  <si>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</si>
  <si>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</si>
  <si>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</si>
  <si>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</si>
  <si>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</si>
  <si>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</si>
  <si>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</si>
  <si>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</si>
  <si>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</si>
  <si>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00004</t>
  </si>
  <si>
    <t>00040</t>
  </si>
  <si>
    <t>00041</t>
  </si>
  <si>
    <t>00042</t>
  </si>
  <si>
    <t>00043</t>
  </si>
  <si>
    <t>00045</t>
  </si>
  <si>
    <t>00006</t>
  </si>
  <si>
    <t>00007</t>
  </si>
  <si>
    <t>00008</t>
  </si>
  <si>
    <t>00009</t>
  </si>
  <si>
    <t>-04-2024</t>
  </si>
  <si>
    <t>-11-2024</t>
  </si>
  <si>
    <t xml:space="preserve">   </t>
  </si>
  <si>
    <t>FUNC_ASSORTED_STRING(IA.ASSORTED_CODE)</t>
  </si>
  <si>
    <t>ASSORTED_CODE</t>
  </si>
  <si>
    <t>070000156968</t>
  </si>
  <si>
    <t>070000157155</t>
  </si>
  <si>
    <t>070000169487</t>
  </si>
  <si>
    <t>070000169497</t>
  </si>
  <si>
    <t>070000169503</t>
  </si>
  <si>
    <t>070000169501</t>
  </si>
  <si>
    <t>070000169498</t>
  </si>
  <si>
    <t>070000171313</t>
  </si>
  <si>
    <t>070000171362</t>
  </si>
  <si>
    <t>070000169742</t>
  </si>
  <si>
    <t>070000169743</t>
  </si>
  <si>
    <t>070000171310</t>
  </si>
  <si>
    <t>070000171348</t>
  </si>
  <si>
    <t>070000171456</t>
  </si>
  <si>
    <t>070000169615</t>
  </si>
  <si>
    <t>070000171461</t>
  </si>
  <si>
    <t>070000171460</t>
  </si>
  <si>
    <t>070000169926</t>
  </si>
  <si>
    <t>070000171273</t>
  </si>
  <si>
    <t>070000171296</t>
  </si>
  <si>
    <t>070000169634</t>
  </si>
  <si>
    <t>070000171424</t>
  </si>
  <si>
    <t>070000171436</t>
  </si>
  <si>
    <t>070000171438</t>
  </si>
  <si>
    <t>070000171463</t>
  </si>
  <si>
    <t>070000171464</t>
  </si>
  <si>
    <t>070000169918</t>
  </si>
  <si>
    <t>070000169927</t>
  </si>
  <si>
    <t>070000171465</t>
  </si>
  <si>
    <t>070000171466</t>
  </si>
  <si>
    <t>070000171468</t>
  </si>
  <si>
    <t>070000171381</t>
  </si>
  <si>
    <t>070000170556</t>
  </si>
  <si>
    <t>070000171323</t>
  </si>
  <si>
    <t>070000170261</t>
  </si>
  <si>
    <t>070000170548</t>
  </si>
  <si>
    <t>070000170562</t>
  </si>
  <si>
    <t>070000170563</t>
  </si>
  <si>
    <t>070000171377</t>
  </si>
  <si>
    <t>070000169838</t>
  </si>
  <si>
    <t>070000169839</t>
  </si>
  <si>
    <t>070000169922</t>
  </si>
  <si>
    <t>070000171457</t>
  </si>
  <si>
    <t>070000171458</t>
  </si>
  <si>
    <t>070000171462</t>
  </si>
  <si>
    <t>POLICY NO.</t>
  </si>
  <si>
    <t>Assorted_code</t>
  </si>
  <si>
    <t>Premium</t>
  </si>
  <si>
    <t xml:space="preserve"> </t>
  </si>
  <si>
    <t>23Dec240041</t>
  </si>
  <si>
    <t>-10-2024</t>
  </si>
  <si>
    <t>-09-2024</t>
  </si>
  <si>
    <t>00047</t>
  </si>
  <si>
    <t>00044</t>
  </si>
  <si>
    <t>00048</t>
  </si>
  <si>
    <t>00049</t>
  </si>
  <si>
    <t>00046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</si>
  <si>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</si>
  <si>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</si>
  <si>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</si>
  <si>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</si>
  <si>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</si>
  <si>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</si>
  <si>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</si>
  <si>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</si>
  <si>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</si>
  <si>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</si>
  <si>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</si>
  <si>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</si>
  <si>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</si>
  <si>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</si>
  <si>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070000165051</t>
  </si>
  <si>
    <t>070000169113</t>
  </si>
  <si>
    <t>070000169115</t>
  </si>
  <si>
    <t>070000169906</t>
  </si>
  <si>
    <t>070000169908</t>
  </si>
  <si>
    <t>070000169911</t>
  </si>
  <si>
    <t>070000170188</t>
  </si>
  <si>
    <t>070000170193</t>
  </si>
  <si>
    <t>070000170197</t>
  </si>
  <si>
    <t>070000170206</t>
  </si>
  <si>
    <t>070000170135</t>
  </si>
  <si>
    <t>070000170136</t>
  </si>
  <si>
    <t>070000170140</t>
  </si>
  <si>
    <t>070000170151</t>
  </si>
  <si>
    <t>070000170158</t>
  </si>
  <si>
    <t>070000170160</t>
  </si>
  <si>
    <t>070000170161</t>
  </si>
  <si>
    <t>070000170165</t>
  </si>
  <si>
    <t>070000170167</t>
  </si>
  <si>
    <t>070000170168</t>
  </si>
  <si>
    <t>070000170169</t>
  </si>
  <si>
    <t>070000170170</t>
  </si>
  <si>
    <t>070000170171</t>
  </si>
  <si>
    <t>070000170172</t>
  </si>
  <si>
    <t>070000170173</t>
  </si>
  <si>
    <t>070000170174</t>
  </si>
  <si>
    <t>070000170175</t>
  </si>
  <si>
    <t>070000170176</t>
  </si>
  <si>
    <t>070000170177</t>
  </si>
  <si>
    <t>070000170178</t>
  </si>
  <si>
    <t>070000170179</t>
  </si>
  <si>
    <t>070000170180</t>
  </si>
  <si>
    <t>070000170182</t>
  </si>
  <si>
    <t>070000170183</t>
  </si>
  <si>
    <t>070000170184</t>
  </si>
  <si>
    <t>070000170185</t>
  </si>
  <si>
    <t>070000170186</t>
  </si>
  <si>
    <t>070000170189</t>
  </si>
  <si>
    <t>070000170191</t>
  </si>
  <si>
    <t>070000170192</t>
  </si>
  <si>
    <t>070000170194</t>
  </si>
  <si>
    <t>070000170195</t>
  </si>
  <si>
    <t>070000170196</t>
  </si>
  <si>
    <t>070000170199</t>
  </si>
  <si>
    <t>070000170200</t>
  </si>
  <si>
    <t>070000170201</t>
  </si>
  <si>
    <t>070000170203</t>
  </si>
  <si>
    <t>070000170204</t>
  </si>
  <si>
    <t>070000170205</t>
  </si>
  <si>
    <t>070000170207</t>
  </si>
  <si>
    <t>070000169999</t>
  </si>
  <si>
    <t>070000170000</t>
  </si>
  <si>
    <t>070000170002</t>
  </si>
  <si>
    <t>070000170003</t>
  </si>
  <si>
    <t>070000170004</t>
  </si>
  <si>
    <t>070000170006</t>
  </si>
  <si>
    <t>070000170007</t>
  </si>
  <si>
    <t>070000170008</t>
  </si>
  <si>
    <t>070000170010</t>
  </si>
  <si>
    <t>070000170015</t>
  </si>
  <si>
    <t>070000170016</t>
  </si>
  <si>
    <t>070000170017</t>
  </si>
  <si>
    <t>070000170018</t>
  </si>
  <si>
    <t>070000170019</t>
  </si>
  <si>
    <t>070000170020</t>
  </si>
  <si>
    <t>070000170021</t>
  </si>
  <si>
    <t>070000170022</t>
  </si>
  <si>
    <t>070000170024</t>
  </si>
  <si>
    <t>070000170025</t>
  </si>
  <si>
    <t>070000170029</t>
  </si>
  <si>
    <t>070000170031</t>
  </si>
  <si>
    <t>070000170034</t>
  </si>
  <si>
    <t>070000170035</t>
  </si>
  <si>
    <t>070000170036</t>
  </si>
  <si>
    <t>070000170038</t>
  </si>
  <si>
    <t>070000170039</t>
  </si>
  <si>
    <t>070000170041</t>
  </si>
  <si>
    <t>070000170042</t>
  </si>
  <si>
    <t>070000170043</t>
  </si>
  <si>
    <t>070000170044</t>
  </si>
  <si>
    <t>070000170045</t>
  </si>
  <si>
    <t>070000170046</t>
  </si>
  <si>
    <t>070000170048</t>
  </si>
  <si>
    <t>070000170013</t>
  </si>
  <si>
    <t>070000170033</t>
  </si>
  <si>
    <t>070000170037</t>
  </si>
  <si>
    <t>070000170049</t>
  </si>
  <si>
    <t>070000169978</t>
  </si>
  <si>
    <t>070000169983</t>
  </si>
  <si>
    <t>070000169947</t>
  </si>
  <si>
    <t>070000169948</t>
  </si>
  <si>
    <t>070000169949</t>
  </si>
  <si>
    <t>070000169952</t>
  </si>
  <si>
    <t>070000169953</t>
  </si>
  <si>
    <t>070000169954</t>
  </si>
  <si>
    <t>070000169955</t>
  </si>
  <si>
    <t>070000169956</t>
  </si>
  <si>
    <t>070000169957</t>
  </si>
  <si>
    <t>070000169958</t>
  </si>
  <si>
    <t>070000169959</t>
  </si>
  <si>
    <t>070000169960</t>
  </si>
  <si>
    <t>070000169961</t>
  </si>
  <si>
    <t>070000169962</t>
  </si>
  <si>
    <t>070000169963</t>
  </si>
  <si>
    <t>070000169965</t>
  </si>
  <si>
    <t>070000169966</t>
  </si>
  <si>
    <t>070000169967</t>
  </si>
  <si>
    <t>070000169968</t>
  </si>
  <si>
    <t>070000169969</t>
  </si>
  <si>
    <t>070000169970</t>
  </si>
  <si>
    <t>070000169973</t>
  </si>
  <si>
    <t>070000169974</t>
  </si>
  <si>
    <t>070000169975</t>
  </si>
  <si>
    <t>070000169976</t>
  </si>
  <si>
    <t>070000169977</t>
  </si>
  <si>
    <t>070000169979</t>
  </si>
  <si>
    <t>070000169981</t>
  </si>
  <si>
    <t>070000169982</t>
  </si>
  <si>
    <t>070000169984</t>
  </si>
  <si>
    <t>070000169985</t>
  </si>
  <si>
    <t>070000169988</t>
  </si>
  <si>
    <t>070000169989</t>
  </si>
  <si>
    <t>070000169990</t>
  </si>
  <si>
    <t>070000169991</t>
  </si>
  <si>
    <t>070000169992</t>
  </si>
  <si>
    <t>070000169993</t>
  </si>
  <si>
    <t>070000169994</t>
  </si>
  <si>
    <t>070000169995</t>
  </si>
  <si>
    <t>070000169996</t>
  </si>
  <si>
    <t>070000169997</t>
  </si>
  <si>
    <t>070000170079</t>
  </si>
  <si>
    <t>070000170083</t>
  </si>
  <si>
    <t>070000170100</t>
  </si>
  <si>
    <t>070000170105</t>
  </si>
  <si>
    <t>070000170109</t>
  </si>
  <si>
    <t>070000170131</t>
  </si>
  <si>
    <t>070000170053</t>
  </si>
  <si>
    <t>070000170054</t>
  </si>
  <si>
    <t>070000170057</t>
  </si>
  <si>
    <t>070000170058</t>
  </si>
  <si>
    <t>070000170061</t>
  </si>
  <si>
    <t>070000170062</t>
  </si>
  <si>
    <t>070000170063</t>
  </si>
  <si>
    <t>070000170066</t>
  </si>
  <si>
    <t>070000170067</t>
  </si>
  <si>
    <t>070000170068</t>
  </si>
  <si>
    <t>070000170069</t>
  </si>
  <si>
    <t>070000170070</t>
  </si>
  <si>
    <t>070000170071</t>
  </si>
  <si>
    <t>070000170072</t>
  </si>
  <si>
    <t>070000170077</t>
  </si>
  <si>
    <t>070000170078</t>
  </si>
  <si>
    <t>070000170080</t>
  </si>
  <si>
    <t>070000170081</t>
  </si>
  <si>
    <t>070000170082</t>
  </si>
  <si>
    <t>070000170084</t>
  </si>
  <si>
    <t>070000170086</t>
  </si>
  <si>
    <t>070000170087</t>
  </si>
  <si>
    <t>070000170088</t>
  </si>
  <si>
    <t>070000170092</t>
  </si>
  <si>
    <t>070000170093</t>
  </si>
  <si>
    <t>070000170094</t>
  </si>
  <si>
    <t>070000170095</t>
  </si>
  <si>
    <t>070000170096</t>
  </si>
  <si>
    <t>070000170097</t>
  </si>
  <si>
    <t>070000170098</t>
  </si>
  <si>
    <t>070000170099</t>
  </si>
  <si>
    <t>070000170101</t>
  </si>
  <si>
    <t>070000170102</t>
  </si>
  <si>
    <t>070000170103</t>
  </si>
  <si>
    <t>070000170106</t>
  </si>
  <si>
    <t>070000170107</t>
  </si>
  <si>
    <t>070000170108</t>
  </si>
  <si>
    <t>070000170110</t>
  </si>
  <si>
    <t>070000170113</t>
  </si>
  <si>
    <t>070000170114</t>
  </si>
  <si>
    <t>070000170115</t>
  </si>
  <si>
    <t>070000170116</t>
  </si>
  <si>
    <t>070000170117</t>
  </si>
  <si>
    <t>070000170120</t>
  </si>
  <si>
    <t>070000170121</t>
  </si>
  <si>
    <t>070000170122</t>
  </si>
  <si>
    <t>070000170123</t>
  </si>
  <si>
    <t>070000170124</t>
  </si>
  <si>
    <t>070000170126</t>
  </si>
  <si>
    <t>070000170127</t>
  </si>
  <si>
    <t>070000170129</t>
  </si>
  <si>
    <t>070000170130</t>
  </si>
  <si>
    <t>070000170132</t>
  </si>
  <si>
    <t>070000170133</t>
  </si>
  <si>
    <t>070000169914</t>
  </si>
  <si>
    <t>070000169915</t>
  </si>
  <si>
    <t>070000169905</t>
  </si>
  <si>
    <t>070000171291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</si>
</sst>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\ dd\-mm\-yyyy"/>
    <numFmt numFmtId="165" formatCode="#,##0_);\(#,##0\)"/>
    <numFmt numFmtId="166" formatCode="_-* #,##0_-;\-* #,##0_-;_-* &quot;-&quot;??_-;_-@_-"/>
    <numFmt numFmtId="167" formatCode="[$-409]d\-mmm\-yyyy;@"/>
    <numFmt numFmtId="168" formatCode="[$-409]d\-mmm\-yy;@"/>
    <numFmt numFmtId="169" formatCode="_(* #,##0_);_(* \(#,##0\);_(* &quot;-&quot;??_);_(@_)"/>
  </numFmts>
  <fonts count="20" x14ac:knownFonts="1">
    <font>
      <sz val="10"/>
      <color indexed="8"/>
      <name val="ARIAL"/>
      <charset val="1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/>
    </xf>
    <xf numFmtId="43" fontId="1" fillId="0" borderId="0" applyFont="0" applyFill="0" applyBorder="0" applyAlignment="0" applyProtection="0"/>
    <xf numFmtId="0" fontId="4" fillId="0" borderId="0">
      <alignment vertical="top"/>
    </xf>
    <xf numFmtId="43" fontId="4" fillId="0" borderId="0" applyFont="0" applyFill="0" applyBorder="0" applyAlignment="0" applyProtection="0">
      <alignment vertical="top"/>
    </xf>
    <xf numFmtId="9" fontId="6" fillId="0" borderId="0" applyFont="0" applyFill="0" applyBorder="0" applyAlignment="0" applyProtection="0"/>
  </cellStyleXfs>
  <cellXfs count="73">
    <xf numFmtId="0" fontId="0" fillId="0" borderId="0" xfId="0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top"/>
    </xf>
    <xf numFmtId="0" fontId="0" fillId="0" borderId="1" xfId="0" applyBorder="1">
      <alignment vertical="top"/>
    </xf>
    <xf numFmtId="165" fontId="3" fillId="3" borderId="1" xfId="0" applyNumberFormat="1" applyFont="1" applyFill="1" applyBorder="1">
      <alignment vertical="top"/>
    </xf>
    <xf numFmtId="0" fontId="3" fillId="0" borderId="1" xfId="0" applyFont="1" applyBorder="1">
      <alignment vertical="top"/>
    </xf>
    <xf numFmtId="166" fontId="4" fillId="4" borderId="1" xfId="1" applyNumberFormat="1" applyFont="1" applyFill="1" applyBorder="1" applyAlignment="1">
      <alignment vertical="top"/>
    </xf>
    <xf numFmtId="0" fontId="3" fillId="3" borderId="1" xfId="0" applyFont="1" applyFill="1" applyBorder="1">
      <alignment vertical="top"/>
    </xf>
    <xf numFmtId="166" fontId="3" fillId="3" borderId="1" xfId="1" applyNumberFormat="1" applyFont="1" applyFill="1" applyBorder="1" applyAlignment="1">
      <alignment vertical="top"/>
    </xf>
    <xf numFmtId="0" fontId="3" fillId="5" borderId="1" xfId="0" applyFont="1" applyFill="1" applyBorder="1">
      <alignment vertical="top"/>
    </xf>
    <xf numFmtId="164" fontId="0" fillId="0" borderId="1" xfId="0" applyNumberFormat="1" applyBorder="1">
      <alignment vertical="top"/>
    </xf>
    <xf numFmtId="165" fontId="0" fillId="0" borderId="1" xfId="0" applyNumberFormat="1" applyBorder="1">
      <alignment vertical="top"/>
    </xf>
    <xf numFmtId="1" fontId="0" fillId="0" borderId="1" xfId="0" applyNumberFormat="1" applyBorder="1" applyAlignment="1">
      <alignment horizontal="center" vertical="top"/>
    </xf>
    <xf numFmtId="0" fontId="5" fillId="6" borderId="2" xfId="2" applyFont="1" applyFill="1" applyBorder="1" applyAlignment="1">
      <alignment horizontal="center" vertical="center" wrapText="1"/>
    </xf>
    <xf numFmtId="167" fontId="5" fillId="7" borderId="2" xfId="3" applyNumberFormat="1" applyFont="1" applyFill="1" applyBorder="1" applyAlignment="1">
      <alignment horizontal="center" vertical="center" wrapText="1"/>
    </xf>
    <xf numFmtId="168" fontId="5" fillId="6" borderId="2" xfId="2" applyNumberFormat="1" applyFont="1" applyFill="1" applyBorder="1" applyAlignment="1">
      <alignment horizontal="center" vertical="center" wrapText="1"/>
    </xf>
    <xf numFmtId="1" fontId="5" fillId="6" borderId="2" xfId="2" applyNumberFormat="1" applyFont="1" applyFill="1" applyBorder="1" applyAlignment="1">
      <alignment horizontal="center" vertical="center" wrapText="1"/>
    </xf>
    <xf numFmtId="167" fontId="5" fillId="6" borderId="2" xfId="3" applyNumberFormat="1" applyFont="1" applyFill="1" applyBorder="1" applyAlignment="1">
      <alignment horizontal="center" vertical="center" wrapText="1"/>
    </xf>
    <xf numFmtId="168" fontId="5" fillId="6" borderId="2" xfId="3" applyNumberFormat="1" applyFont="1" applyFill="1" applyBorder="1" applyAlignment="1">
      <alignment horizontal="center" vertical="center" wrapText="1"/>
    </xf>
    <xf numFmtId="169" fontId="5" fillId="6" borderId="2" xfId="3" applyNumberFormat="1" applyFont="1" applyFill="1" applyBorder="1" applyAlignment="1">
      <alignment horizontal="center" vertical="center" wrapText="1"/>
    </xf>
    <xf numFmtId="9" fontId="5" fillId="6" borderId="2" xfId="4" applyFont="1" applyFill="1" applyBorder="1" applyAlignment="1">
      <alignment horizontal="center" vertical="center" wrapText="1"/>
    </xf>
    <xf numFmtId="169" fontId="5" fillId="3" borderId="2" xfId="3" applyNumberFormat="1" applyFont="1" applyFill="1" applyBorder="1" applyAlignment="1">
      <alignment horizontal="center" vertical="center" wrapText="1"/>
    </xf>
    <xf numFmtId="43" fontId="5" fillId="3" borderId="2" xfId="3" applyFont="1" applyFill="1" applyBorder="1" applyAlignment="1">
      <alignment horizontal="center" vertical="center" wrapText="1"/>
    </xf>
    <xf numFmtId="169" fontId="5" fillId="8" borderId="2" xfId="3" applyNumberFormat="1" applyFont="1" applyFill="1" applyBorder="1" applyAlignment="1">
      <alignment horizontal="center" vertical="center" wrapText="1"/>
    </xf>
    <xf numFmtId="169" fontId="7" fillId="6" borderId="2" xfId="3" applyNumberFormat="1" applyFont="1" applyFill="1" applyBorder="1" applyAlignment="1">
      <alignment horizontal="center" vertical="center" wrapText="1"/>
    </xf>
    <xf numFmtId="169" fontId="8" fillId="6" borderId="2" xfId="3" applyNumberFormat="1" applyFont="1" applyFill="1" applyBorder="1" applyAlignment="1">
      <alignment horizontal="center" vertical="center" wrapText="1"/>
    </xf>
    <xf numFmtId="168" fontId="8" fillId="6" borderId="2" xfId="2" applyNumberFormat="1" applyFont="1" applyFill="1" applyBorder="1" applyAlignment="1">
      <alignment horizontal="center" vertical="center" wrapText="1"/>
    </xf>
    <xf numFmtId="169" fontId="5" fillId="7" borderId="2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1" fontId="9" fillId="3" borderId="1" xfId="0" applyNumberFormat="1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3" fillId="0" borderId="3" xfId="0" applyNumberFormat="1" applyFont="1" applyBorder="1">
      <alignment vertical="top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166" fontId="0" fillId="0" borderId="0" xfId="0" applyNumberFormat="1">
      <alignment vertical="top"/>
    </xf>
    <xf numFmtId="166" fontId="14" fillId="9" borderId="2" xfId="1" applyNumberFormat="1" applyFont="1" applyFill="1" applyBorder="1" applyAlignment="1">
      <alignment horizontal="center" vertical="center" wrapText="1"/>
    </xf>
    <xf numFmtId="166" fontId="13" fillId="9" borderId="0" xfId="1" applyNumberFormat="1" applyFont="1" applyFill="1" applyAlignment="1">
      <alignment horizontal="center" vertical="center" wrapText="1"/>
    </xf>
    <xf numFmtId="166" fontId="0" fillId="0" borderId="0" xfId="1" applyNumberFormat="1" applyFont="1" applyAlignment="1">
      <alignment vertical="top"/>
    </xf>
    <xf numFmtId="3" fontId="0" fillId="0" borderId="0" xfId="0" applyNumberFormat="1">
      <alignment vertical="top"/>
    </xf>
    <xf numFmtId="3" fontId="15" fillId="0" borderId="0" xfId="0" applyNumberFormat="1" applyFont="1">
      <alignment vertical="top"/>
    </xf>
    <xf numFmtId="166" fontId="3" fillId="3" borderId="0" xfId="1" applyNumberFormat="1" applyFont="1" applyFill="1" applyAlignment="1">
      <alignment vertical="top"/>
    </xf>
    <xf numFmtId="0" fontId="4" fillId="0" borderId="0" xfId="0" applyFont="1">
      <alignment vertical="top"/>
    </xf>
    <xf numFmtId="165" fontId="0" fillId="0" borderId="0" xfId="0" applyNumberFormat="1">
      <alignment vertical="top"/>
    </xf>
    <xf numFmtId="166" fontId="9" fillId="0" borderId="1" xfId="1" applyNumberFormat="1" applyFont="1" applyFill="1" applyBorder="1" applyAlignment="1">
      <alignment horizontal="center" vertical="center"/>
    </xf>
    <xf numFmtId="166" fontId="0" fillId="0" borderId="0" xfId="1" applyNumberFormat="1" applyFont="1" applyFill="1" applyAlignment="1">
      <alignment vertical="top"/>
    </xf>
    <xf numFmtId="1" fontId="10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17" fillId="0" borderId="0" xfId="0" applyFont="1" applyAlignment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/>
    <xf numFmtId="169" fontId="18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19" fillId="0" borderId="0" xfId="0" applyFont="1">
      <alignment vertical="top"/>
    </xf>
    <xf numFmtId="0" fontId="4" fillId="3" borderId="0" xfId="0" applyFont="1" applyFill="1" applyAlignment="1">
      <alignment horizontal="left" vertical="top" wrapText="1"/>
    </xf>
  </cellXfs>
  <cellStyles count="5">
    <cellStyle name="Comma" xfId="1" builtinId="3"/>
    <cellStyle name="Comma 2" xfId="3" xr:uid="{00000000-0005-0000-0000-000001000000}"/>
    <cellStyle name="Normal" xfId="0" builtinId="0"/>
    <cellStyle name="Normal 2 2 2" xfId="2" xr:uid="{00000000-0005-0000-0000-000003000000}"/>
    <cellStyle name="Percent 2" xfId="4" xr:uid="{00000000-0005-0000-0000-000004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>
      <selection activeCell="C7" sqref="C7"/>
    </sheetView>
  </sheetViews>
  <sheetFormatPr defaultRowHeight="12.75" x14ac:dyDescent="0.2"/>
  <cols>
    <col min="1" max="1" width="40.28515625" bestFit="1" customWidth="1"/>
    <col min="2" max="2" width="12" bestFit="1" customWidth="1"/>
    <col min="3" max="3" width="10.85546875" bestFit="1" customWidth="1"/>
    <col min="4" max="4" width="12" bestFit="1" customWidth="1"/>
    <col min="5" max="5" width="10.85546875" bestFit="1" customWidth="1"/>
    <col min="6" max="6" width="11.140625" bestFit="1" customWidth="1"/>
    <col min="7" max="7" width="36.28515625" bestFit="1" customWidth="1"/>
    <col min="8" max="8" width="113.28515625" bestFit="1" customWidth="1"/>
    <col min="14" max="14" width="18.85546875" bestFit="1" customWidth="1"/>
    <col min="15" max="15" width="12" bestFit="1" customWidth="1"/>
    <col min="16" max="16" width="8.42578125" customWidth="1"/>
    <col min="17" max="17" width="8.28515625" bestFit="1" customWidth="1"/>
    <col min="18" max="18" width="10.5703125" bestFit="1" customWidth="1"/>
    <col min="19" max="19" width="15.42578125" bestFit="1" customWidth="1"/>
    <col min="20" max="20" width="26.42578125" bestFit="1" customWidth="1"/>
    <col min="21" max="21" width="13.28515625" bestFit="1" customWidth="1"/>
  </cols>
  <sheetData>
    <row r="1" spans="1:21" s="2" customFormat="1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2">
      <c r="A2" s="3" t="s">
        <v>126</v>
      </c>
      <c r="B2" s="3"/>
      <c r="C2" s="10">
        <v>45601</v>
      </c>
      <c r="D2" s="10">
        <v>45601</v>
      </c>
      <c r="E2" s="10">
        <v>45965</v>
      </c>
      <c r="F2" s="3" t="s">
        <v>22</v>
      </c>
      <c r="G2" s="3" t="s">
        <v>23</v>
      </c>
      <c r="H2" s="3" t="s">
        <v>127</v>
      </c>
      <c r="I2" s="3" t="s">
        <v>128</v>
      </c>
      <c r="J2" s="3" t="s">
        <v>129</v>
      </c>
      <c r="K2" s="3"/>
      <c r="L2" s="3" t="s">
        <v>130</v>
      </c>
      <c r="M2" s="3" t="s">
        <v>131</v>
      </c>
      <c r="N2" s="3" t="s">
        <v>132</v>
      </c>
      <c r="O2" s="11">
        <v>4546000</v>
      </c>
      <c r="P2" s="11">
        <v>58353</v>
      </c>
      <c r="Q2" s="11">
        <v>68190</v>
      </c>
      <c r="R2" s="11">
        <v>68190</v>
      </c>
      <c r="S2" s="3" t="s">
        <v>133</v>
      </c>
      <c r="T2" s="3" t="s">
        <v>134</v>
      </c>
      <c r="U2" s="3" t="s">
        <v>135</v>
      </c>
    </row>
    <row r="3" spans="1:21" x14ac:dyDescent="0.2">
      <c r="A3" s="3" t="s">
        <v>136</v>
      </c>
      <c r="B3" s="3"/>
      <c r="C3" s="10">
        <v>45611</v>
      </c>
      <c r="D3" s="10">
        <v>45611</v>
      </c>
      <c r="E3" s="10">
        <v>45975</v>
      </c>
      <c r="F3" s="3" t="s">
        <v>22</v>
      </c>
      <c r="G3" s="3" t="s">
        <v>23</v>
      </c>
      <c r="H3" s="3" t="s">
        <v>137</v>
      </c>
      <c r="I3" s="3" t="s">
        <v>112</v>
      </c>
      <c r="J3" s="3" t="s">
        <v>63</v>
      </c>
      <c r="K3" s="3" t="s">
        <v>138</v>
      </c>
      <c r="L3" s="3" t="s">
        <v>139</v>
      </c>
      <c r="M3" s="3" t="s">
        <v>140</v>
      </c>
      <c r="N3" s="3" t="s">
        <v>141</v>
      </c>
      <c r="O3" s="11">
        <v>1430000</v>
      </c>
      <c r="P3" s="11">
        <v>24655</v>
      </c>
      <c r="Q3" s="11">
        <v>28600</v>
      </c>
      <c r="R3" s="11">
        <v>28600</v>
      </c>
      <c r="S3" s="3" t="s">
        <v>142</v>
      </c>
      <c r="T3" s="3" t="s">
        <v>143</v>
      </c>
      <c r="U3" s="3" t="s">
        <v>135</v>
      </c>
    </row>
    <row r="4" spans="1:21" x14ac:dyDescent="0.2">
      <c r="A4" s="3" t="s">
        <v>144</v>
      </c>
      <c r="B4" s="3"/>
      <c r="C4" s="10">
        <v>45611</v>
      </c>
      <c r="D4" s="10">
        <v>45611</v>
      </c>
      <c r="E4" s="10">
        <v>45975</v>
      </c>
      <c r="F4" s="3" t="s">
        <v>22</v>
      </c>
      <c r="G4" s="3" t="s">
        <v>23</v>
      </c>
      <c r="H4" s="3" t="s">
        <v>145</v>
      </c>
      <c r="I4" s="3" t="s">
        <v>29</v>
      </c>
      <c r="J4" s="3" t="s">
        <v>146</v>
      </c>
      <c r="K4" s="3" t="s">
        <v>147</v>
      </c>
      <c r="L4" s="3" t="s">
        <v>148</v>
      </c>
      <c r="M4" s="3" t="s">
        <v>149</v>
      </c>
      <c r="N4" s="3" t="s">
        <v>150</v>
      </c>
      <c r="O4" s="11">
        <v>2150000</v>
      </c>
      <c r="P4" s="11">
        <v>37069</v>
      </c>
      <c r="Q4" s="11">
        <v>43000</v>
      </c>
      <c r="R4" s="11">
        <v>43000</v>
      </c>
      <c r="S4" s="3" t="s">
        <v>151</v>
      </c>
      <c r="T4" s="3" t="s">
        <v>152</v>
      </c>
      <c r="U4" s="3" t="s">
        <v>135</v>
      </c>
    </row>
    <row r="5" spans="1:21" x14ac:dyDescent="0.2">
      <c r="A5" s="3" t="s">
        <v>153</v>
      </c>
      <c r="B5" s="3"/>
      <c r="C5" s="10">
        <v>45614</v>
      </c>
      <c r="D5" s="10">
        <v>45614</v>
      </c>
      <c r="E5" s="10">
        <v>45978</v>
      </c>
      <c r="F5" s="3" t="s">
        <v>22</v>
      </c>
      <c r="G5" s="3" t="s">
        <v>23</v>
      </c>
      <c r="H5" s="3" t="s">
        <v>154</v>
      </c>
      <c r="I5" s="3" t="s">
        <v>155</v>
      </c>
      <c r="J5" s="3" t="s">
        <v>156</v>
      </c>
      <c r="K5" s="3" t="s">
        <v>157</v>
      </c>
      <c r="L5" s="3" t="s">
        <v>158</v>
      </c>
      <c r="M5" s="3" t="s">
        <v>159</v>
      </c>
      <c r="N5" s="3" t="s">
        <v>160</v>
      </c>
      <c r="O5" s="11">
        <v>2200000</v>
      </c>
      <c r="P5" s="11">
        <v>37931</v>
      </c>
      <c r="Q5" s="11">
        <v>44000</v>
      </c>
      <c r="R5" s="11">
        <v>44000</v>
      </c>
      <c r="S5" s="3" t="s">
        <v>161</v>
      </c>
      <c r="T5" s="3" t="s">
        <v>162</v>
      </c>
      <c r="U5" s="3" t="s">
        <v>135</v>
      </c>
    </row>
    <row r="6" spans="1:21" x14ac:dyDescent="0.2">
      <c r="A6" s="3" t="s">
        <v>163</v>
      </c>
      <c r="B6" s="3"/>
      <c r="C6" s="10">
        <v>45614</v>
      </c>
      <c r="D6" s="10">
        <v>45614</v>
      </c>
      <c r="E6" s="10">
        <v>45978</v>
      </c>
      <c r="F6" s="3" t="s">
        <v>22</v>
      </c>
      <c r="G6" s="3" t="s">
        <v>23</v>
      </c>
      <c r="H6" s="3" t="s">
        <v>164</v>
      </c>
      <c r="I6" s="3" t="s">
        <v>46</v>
      </c>
      <c r="J6" s="3" t="s">
        <v>30</v>
      </c>
      <c r="K6" s="3" t="s">
        <v>165</v>
      </c>
      <c r="L6" s="3" t="s">
        <v>166</v>
      </c>
      <c r="M6" s="3" t="s">
        <v>167</v>
      </c>
      <c r="N6" s="3" t="s">
        <v>168</v>
      </c>
      <c r="O6" s="11">
        <v>2350000</v>
      </c>
      <c r="P6" s="11">
        <v>40517</v>
      </c>
      <c r="Q6" s="11">
        <v>47000</v>
      </c>
      <c r="R6" s="11">
        <v>47000</v>
      </c>
      <c r="S6" s="3" t="s">
        <v>169</v>
      </c>
      <c r="T6" s="3" t="s">
        <v>170</v>
      </c>
      <c r="U6" s="3" t="s">
        <v>135</v>
      </c>
    </row>
    <row r="7" spans="1:21" x14ac:dyDescent="0.2">
      <c r="A7" s="3" t="s">
        <v>171</v>
      </c>
      <c r="B7" s="3"/>
      <c r="C7" s="10">
        <v>45615</v>
      </c>
      <c r="D7" s="10">
        <v>45615</v>
      </c>
      <c r="E7" s="10">
        <v>45979</v>
      </c>
      <c r="F7" s="3" t="s">
        <v>22</v>
      </c>
      <c r="G7" s="3" t="s">
        <v>23</v>
      </c>
      <c r="H7" s="3" t="s">
        <v>172</v>
      </c>
      <c r="I7" s="3" t="s">
        <v>173</v>
      </c>
      <c r="J7" s="3" t="s">
        <v>174</v>
      </c>
      <c r="K7" s="3" t="s">
        <v>175</v>
      </c>
      <c r="L7" s="3" t="s">
        <v>176</v>
      </c>
      <c r="M7" s="3" t="s">
        <v>177</v>
      </c>
      <c r="N7" s="3" t="s">
        <v>178</v>
      </c>
      <c r="O7" s="11">
        <v>4200000</v>
      </c>
      <c r="P7" s="11">
        <v>54310</v>
      </c>
      <c r="Q7" s="11">
        <v>63000</v>
      </c>
      <c r="R7" s="11">
        <v>63000</v>
      </c>
      <c r="S7" s="3" t="s">
        <v>179</v>
      </c>
      <c r="T7" s="3" t="s">
        <v>180</v>
      </c>
      <c r="U7" s="3" t="s">
        <v>135</v>
      </c>
    </row>
    <row r="8" spans="1:21" x14ac:dyDescent="0.2">
      <c r="A8" s="3" t="s">
        <v>181</v>
      </c>
      <c r="B8" s="3"/>
      <c r="C8" s="10">
        <v>45615</v>
      </c>
      <c r="D8" s="10">
        <v>45615</v>
      </c>
      <c r="E8" s="10">
        <v>45979</v>
      </c>
      <c r="F8" s="3" t="s">
        <v>22</v>
      </c>
      <c r="G8" s="3" t="s">
        <v>23</v>
      </c>
      <c r="H8" s="3" t="s">
        <v>182</v>
      </c>
      <c r="I8" s="3" t="s">
        <v>155</v>
      </c>
      <c r="J8" s="3" t="s">
        <v>156</v>
      </c>
      <c r="K8" s="3" t="s">
        <v>183</v>
      </c>
      <c r="L8" s="3" t="s">
        <v>184</v>
      </c>
      <c r="M8" s="3" t="s">
        <v>185</v>
      </c>
      <c r="N8" s="3" t="s">
        <v>186</v>
      </c>
      <c r="O8" s="11">
        <v>2200000</v>
      </c>
      <c r="P8" s="11">
        <v>37931</v>
      </c>
      <c r="Q8" s="11">
        <v>44000</v>
      </c>
      <c r="R8" s="11">
        <v>44000</v>
      </c>
      <c r="S8" s="3" t="s">
        <v>187</v>
      </c>
      <c r="T8" s="3" t="s">
        <v>188</v>
      </c>
      <c r="U8" s="3" t="s">
        <v>135</v>
      </c>
    </row>
    <row r="9" spans="1:21" x14ac:dyDescent="0.2">
      <c r="A9" s="3" t="s">
        <v>189</v>
      </c>
      <c r="B9" s="3"/>
      <c r="C9" s="10">
        <v>45615</v>
      </c>
      <c r="D9" s="10">
        <v>45615</v>
      </c>
      <c r="E9" s="10">
        <v>45979</v>
      </c>
      <c r="F9" s="3" t="s">
        <v>22</v>
      </c>
      <c r="G9" s="3" t="s">
        <v>23</v>
      </c>
      <c r="H9" s="3" t="s">
        <v>190</v>
      </c>
      <c r="I9" s="3" t="s">
        <v>191</v>
      </c>
      <c r="J9" s="3" t="s">
        <v>79</v>
      </c>
      <c r="K9" s="3" t="s">
        <v>192</v>
      </c>
      <c r="L9" s="3" t="s">
        <v>193</v>
      </c>
      <c r="M9" s="3" t="s">
        <v>194</v>
      </c>
      <c r="N9" s="3" t="s">
        <v>195</v>
      </c>
      <c r="O9" s="11">
        <v>2200000</v>
      </c>
      <c r="P9" s="11">
        <v>37931</v>
      </c>
      <c r="Q9" s="11">
        <v>44000</v>
      </c>
      <c r="R9" s="11">
        <v>44000</v>
      </c>
      <c r="S9" s="3" t="s">
        <v>196</v>
      </c>
      <c r="T9" s="3" t="s">
        <v>197</v>
      </c>
      <c r="U9" s="3" t="s">
        <v>135</v>
      </c>
    </row>
    <row r="10" spans="1:21" x14ac:dyDescent="0.2">
      <c r="A10" s="3" t="s">
        <v>198</v>
      </c>
      <c r="B10" s="3"/>
      <c r="C10" s="10">
        <v>45616</v>
      </c>
      <c r="D10" s="10">
        <v>45616</v>
      </c>
      <c r="E10" s="10">
        <v>45980</v>
      </c>
      <c r="F10" s="3" t="s">
        <v>22</v>
      </c>
      <c r="G10" s="3" t="s">
        <v>23</v>
      </c>
      <c r="H10" s="3" t="s">
        <v>199</v>
      </c>
      <c r="I10" s="3" t="s">
        <v>62</v>
      </c>
      <c r="J10" s="3" t="s">
        <v>129</v>
      </c>
      <c r="K10" s="3"/>
      <c r="L10" s="3" t="s">
        <v>200</v>
      </c>
      <c r="M10" s="3" t="s">
        <v>201</v>
      </c>
      <c r="N10" s="3" t="s">
        <v>202</v>
      </c>
      <c r="O10" s="11">
        <v>5118000</v>
      </c>
      <c r="P10" s="11">
        <v>66181</v>
      </c>
      <c r="Q10" s="11">
        <v>76770</v>
      </c>
      <c r="R10" s="11">
        <v>76770</v>
      </c>
      <c r="S10" s="3" t="s">
        <v>203</v>
      </c>
      <c r="T10" s="3" t="s">
        <v>204</v>
      </c>
      <c r="U10" s="3" t="s">
        <v>135</v>
      </c>
    </row>
    <row r="11" spans="1:21" x14ac:dyDescent="0.2">
      <c r="A11" s="3" t="s">
        <v>205</v>
      </c>
      <c r="B11" s="3"/>
      <c r="C11" s="10">
        <v>45616</v>
      </c>
      <c r="D11" s="10">
        <v>45616</v>
      </c>
      <c r="E11" s="10">
        <v>45980</v>
      </c>
      <c r="F11" s="3" t="s">
        <v>22</v>
      </c>
      <c r="G11" s="3" t="s">
        <v>23</v>
      </c>
      <c r="H11" s="3" t="s">
        <v>206</v>
      </c>
      <c r="I11" s="3" t="s">
        <v>207</v>
      </c>
      <c r="J11" s="3" t="s">
        <v>129</v>
      </c>
      <c r="K11" s="3"/>
      <c r="L11" s="3" t="s">
        <v>208</v>
      </c>
      <c r="M11" s="3" t="s">
        <v>194</v>
      </c>
      <c r="N11" s="3" t="s">
        <v>209</v>
      </c>
      <c r="O11" s="11">
        <v>8099000</v>
      </c>
      <c r="P11" s="11">
        <v>104729</v>
      </c>
      <c r="Q11" s="11">
        <v>121485</v>
      </c>
      <c r="R11" s="11">
        <v>121485</v>
      </c>
      <c r="S11" s="3" t="s">
        <v>210</v>
      </c>
      <c r="T11" s="3" t="s">
        <v>211</v>
      </c>
      <c r="U11" s="3" t="s">
        <v>135</v>
      </c>
    </row>
    <row r="12" spans="1:21" x14ac:dyDescent="0.2">
      <c r="A12" s="3" t="s">
        <v>212</v>
      </c>
      <c r="B12" s="3"/>
      <c r="C12" s="10">
        <v>45617</v>
      </c>
      <c r="D12" s="10">
        <v>45617</v>
      </c>
      <c r="E12" s="10">
        <v>45981</v>
      </c>
      <c r="F12" s="3" t="s">
        <v>22</v>
      </c>
      <c r="G12" s="3" t="s">
        <v>23</v>
      </c>
      <c r="H12" s="3" t="s">
        <v>213</v>
      </c>
      <c r="I12" s="3" t="s">
        <v>173</v>
      </c>
      <c r="J12" s="3" t="s">
        <v>25</v>
      </c>
      <c r="K12" s="3" t="s">
        <v>214</v>
      </c>
      <c r="L12" s="3" t="s">
        <v>215</v>
      </c>
      <c r="M12" s="3" t="s">
        <v>216</v>
      </c>
      <c r="N12" s="3" t="s">
        <v>217</v>
      </c>
      <c r="O12" s="11">
        <v>4500000</v>
      </c>
      <c r="P12" s="11">
        <v>58190</v>
      </c>
      <c r="Q12" s="11">
        <v>67500</v>
      </c>
      <c r="R12" s="11">
        <v>67500</v>
      </c>
      <c r="S12" s="3" t="s">
        <v>218</v>
      </c>
      <c r="T12" s="3" t="s">
        <v>219</v>
      </c>
      <c r="U12" s="3" t="s">
        <v>135</v>
      </c>
    </row>
    <row r="13" spans="1:21" x14ac:dyDescent="0.2">
      <c r="A13" s="3" t="s">
        <v>220</v>
      </c>
      <c r="B13" s="3"/>
      <c r="C13" s="10">
        <v>45601</v>
      </c>
      <c r="D13" s="10">
        <v>45601</v>
      </c>
      <c r="E13" s="10">
        <v>45965</v>
      </c>
      <c r="F13" s="3" t="s">
        <v>22</v>
      </c>
      <c r="G13" s="3" t="s">
        <v>23</v>
      </c>
      <c r="H13" s="3" t="s">
        <v>221</v>
      </c>
      <c r="I13" s="3" t="s">
        <v>222</v>
      </c>
      <c r="J13" s="3" t="s">
        <v>156</v>
      </c>
      <c r="K13" s="3" t="s">
        <v>223</v>
      </c>
      <c r="L13" s="3" t="s">
        <v>224</v>
      </c>
      <c r="M13" s="3" t="s">
        <v>225</v>
      </c>
      <c r="N13" s="3" t="s">
        <v>226</v>
      </c>
      <c r="O13" s="11">
        <v>4000000</v>
      </c>
      <c r="P13" s="11">
        <v>51724</v>
      </c>
      <c r="Q13" s="11">
        <v>60000</v>
      </c>
      <c r="R13" s="11">
        <v>60000</v>
      </c>
      <c r="S13" s="3" t="s">
        <v>227</v>
      </c>
      <c r="T13" s="3" t="s">
        <v>228</v>
      </c>
      <c r="U13" s="3" t="s">
        <v>135</v>
      </c>
    </row>
    <row r="14" spans="1:21" x14ac:dyDescent="0.2">
      <c r="A14" s="3" t="s">
        <v>229</v>
      </c>
      <c r="B14" s="3"/>
      <c r="C14" s="10">
        <v>45617</v>
      </c>
      <c r="D14" s="10">
        <v>45617</v>
      </c>
      <c r="E14" s="10">
        <v>45981</v>
      </c>
      <c r="F14" s="3" t="s">
        <v>22</v>
      </c>
      <c r="G14" s="3" t="s">
        <v>23</v>
      </c>
      <c r="H14" s="3" t="s">
        <v>230</v>
      </c>
      <c r="I14" s="3" t="s">
        <v>231</v>
      </c>
      <c r="J14" s="3" t="s">
        <v>129</v>
      </c>
      <c r="K14" s="3"/>
      <c r="L14" s="3" t="s">
        <v>232</v>
      </c>
      <c r="M14" s="3" t="s">
        <v>233</v>
      </c>
      <c r="N14" s="3" t="s">
        <v>234</v>
      </c>
      <c r="O14" s="11">
        <v>3045000</v>
      </c>
      <c r="P14" s="11">
        <v>52500</v>
      </c>
      <c r="Q14" s="11">
        <v>60900</v>
      </c>
      <c r="R14" s="11">
        <v>60900</v>
      </c>
      <c r="S14" s="3" t="s">
        <v>235</v>
      </c>
      <c r="T14" s="3" t="s">
        <v>236</v>
      </c>
      <c r="U14" s="3" t="s">
        <v>135</v>
      </c>
    </row>
    <row r="15" spans="1:21" x14ac:dyDescent="0.2">
      <c r="A15" s="3" t="s">
        <v>237</v>
      </c>
      <c r="B15" s="3"/>
      <c r="C15" s="10">
        <v>45618</v>
      </c>
      <c r="D15" s="10">
        <v>45618</v>
      </c>
      <c r="E15" s="10">
        <v>45982</v>
      </c>
      <c r="F15" s="3" t="s">
        <v>22</v>
      </c>
      <c r="G15" s="3" t="s">
        <v>23</v>
      </c>
      <c r="H15" s="3" t="s">
        <v>238</v>
      </c>
      <c r="I15" s="3" t="s">
        <v>239</v>
      </c>
      <c r="J15" s="3" t="s">
        <v>174</v>
      </c>
      <c r="K15" s="3" t="s">
        <v>240</v>
      </c>
      <c r="L15" s="3" t="s">
        <v>241</v>
      </c>
      <c r="M15" s="3" t="s">
        <v>242</v>
      </c>
      <c r="N15" s="3" t="s">
        <v>243</v>
      </c>
      <c r="O15" s="11">
        <v>3500000</v>
      </c>
      <c r="P15" s="11">
        <v>45258</v>
      </c>
      <c r="Q15" s="11">
        <v>52500</v>
      </c>
      <c r="R15" s="11">
        <v>52500</v>
      </c>
      <c r="S15" s="3" t="s">
        <v>244</v>
      </c>
      <c r="T15" s="3" t="s">
        <v>245</v>
      </c>
      <c r="U15" s="3" t="s">
        <v>135</v>
      </c>
    </row>
    <row r="16" spans="1:21" x14ac:dyDescent="0.2">
      <c r="A16" s="3" t="s">
        <v>246</v>
      </c>
      <c r="B16" s="3"/>
      <c r="C16" s="10">
        <v>45621</v>
      </c>
      <c r="D16" s="10">
        <v>45621</v>
      </c>
      <c r="E16" s="10">
        <v>45985</v>
      </c>
      <c r="F16" s="3" t="s">
        <v>22</v>
      </c>
      <c r="G16" s="3" t="s">
        <v>23</v>
      </c>
      <c r="H16" s="3" t="s">
        <v>247</v>
      </c>
      <c r="I16" s="3" t="s">
        <v>239</v>
      </c>
      <c r="J16" s="3" t="s">
        <v>174</v>
      </c>
      <c r="K16" s="3" t="s">
        <v>240</v>
      </c>
      <c r="L16" s="3" t="s">
        <v>241</v>
      </c>
      <c r="M16" s="3" t="s">
        <v>242</v>
      </c>
      <c r="N16" s="3" t="s">
        <v>248</v>
      </c>
      <c r="O16" s="11">
        <v>3500000</v>
      </c>
      <c r="P16" s="11">
        <v>45258</v>
      </c>
      <c r="Q16" s="11">
        <v>52500</v>
      </c>
      <c r="R16" s="11">
        <v>52500</v>
      </c>
      <c r="S16" s="3" t="s">
        <v>244</v>
      </c>
      <c r="T16" s="3" t="s">
        <v>245</v>
      </c>
      <c r="U16" s="3" t="s">
        <v>135</v>
      </c>
    </row>
    <row r="17" spans="1:21" x14ac:dyDescent="0.2">
      <c r="A17" s="3" t="s">
        <v>249</v>
      </c>
      <c r="B17" s="3"/>
      <c r="C17" s="10">
        <v>45622</v>
      </c>
      <c r="D17" s="10">
        <v>45621</v>
      </c>
      <c r="E17" s="10">
        <v>45985</v>
      </c>
      <c r="F17" s="3" t="s">
        <v>22</v>
      </c>
      <c r="G17" s="3" t="s">
        <v>23</v>
      </c>
      <c r="H17" s="3" t="s">
        <v>250</v>
      </c>
      <c r="I17" s="3" t="s">
        <v>46</v>
      </c>
      <c r="J17" s="3" t="s">
        <v>95</v>
      </c>
      <c r="K17" s="3" t="s">
        <v>251</v>
      </c>
      <c r="L17" s="3" t="s">
        <v>252</v>
      </c>
      <c r="M17" s="3" t="s">
        <v>253</v>
      </c>
      <c r="N17" s="3" t="s">
        <v>254</v>
      </c>
      <c r="O17" s="11">
        <v>2200000</v>
      </c>
      <c r="P17" s="11">
        <v>37931</v>
      </c>
      <c r="Q17" s="11">
        <v>44000</v>
      </c>
      <c r="R17" s="11">
        <v>44000</v>
      </c>
      <c r="S17" s="3" t="s">
        <v>255</v>
      </c>
      <c r="T17" s="3" t="s">
        <v>256</v>
      </c>
      <c r="U17" s="3" t="s">
        <v>135</v>
      </c>
    </row>
    <row r="18" spans="1:21" x14ac:dyDescent="0.2">
      <c r="A18" s="3" t="s">
        <v>257</v>
      </c>
      <c r="B18" s="3"/>
      <c r="C18" s="10">
        <v>45623</v>
      </c>
      <c r="D18" s="10">
        <v>45623</v>
      </c>
      <c r="E18" s="10">
        <v>45987</v>
      </c>
      <c r="F18" s="3" t="s">
        <v>22</v>
      </c>
      <c r="G18" s="3" t="s">
        <v>23</v>
      </c>
      <c r="H18" s="3" t="s">
        <v>258</v>
      </c>
      <c r="I18" s="3" t="s">
        <v>46</v>
      </c>
      <c r="J18" s="3" t="s">
        <v>30</v>
      </c>
      <c r="K18" s="3" t="s">
        <v>259</v>
      </c>
      <c r="L18" s="3" t="s">
        <v>260</v>
      </c>
      <c r="M18" s="3" t="s">
        <v>261</v>
      </c>
      <c r="N18" s="3" t="s">
        <v>262</v>
      </c>
      <c r="O18" s="11">
        <v>2580000</v>
      </c>
      <c r="P18" s="11">
        <v>44483</v>
      </c>
      <c r="Q18" s="11">
        <v>51600</v>
      </c>
      <c r="R18" s="11">
        <v>51600</v>
      </c>
      <c r="S18" s="3" t="s">
        <v>263</v>
      </c>
      <c r="T18" s="3" t="s">
        <v>264</v>
      </c>
      <c r="U18" s="3" t="s">
        <v>135</v>
      </c>
    </row>
    <row r="19" spans="1:21" x14ac:dyDescent="0.2">
      <c r="A19" s="3" t="s">
        <v>265</v>
      </c>
      <c r="B19" s="3"/>
      <c r="C19" s="10">
        <v>45623</v>
      </c>
      <c r="D19" s="10">
        <v>45623</v>
      </c>
      <c r="E19" s="10">
        <v>45987</v>
      </c>
      <c r="F19" s="3" t="s">
        <v>22</v>
      </c>
      <c r="G19" s="3" t="s">
        <v>23</v>
      </c>
      <c r="H19" s="3" t="s">
        <v>266</v>
      </c>
      <c r="I19" s="3" t="s">
        <v>46</v>
      </c>
      <c r="J19" s="3" t="s">
        <v>129</v>
      </c>
      <c r="K19" s="3" t="s">
        <v>267</v>
      </c>
      <c r="L19" s="3" t="s">
        <v>268</v>
      </c>
      <c r="M19" s="3" t="s">
        <v>269</v>
      </c>
      <c r="N19" s="3" t="s">
        <v>270</v>
      </c>
      <c r="O19" s="11">
        <v>3045000</v>
      </c>
      <c r="P19" s="11">
        <v>52500</v>
      </c>
      <c r="Q19" s="11">
        <v>60900</v>
      </c>
      <c r="R19" s="11">
        <v>60900</v>
      </c>
      <c r="S19" s="3" t="s">
        <v>271</v>
      </c>
      <c r="T19" s="3" t="s">
        <v>272</v>
      </c>
      <c r="U19" s="3" t="s">
        <v>135</v>
      </c>
    </row>
    <row r="20" spans="1:21" x14ac:dyDescent="0.2">
      <c r="A20" s="3" t="s">
        <v>273</v>
      </c>
      <c r="B20" s="3"/>
      <c r="C20" s="10">
        <v>45623</v>
      </c>
      <c r="D20" s="10">
        <v>45623</v>
      </c>
      <c r="E20" s="10">
        <v>45987</v>
      </c>
      <c r="F20" s="3" t="s">
        <v>22</v>
      </c>
      <c r="G20" s="3" t="s">
        <v>23</v>
      </c>
      <c r="H20" s="3" t="s">
        <v>274</v>
      </c>
      <c r="I20" s="3" t="s">
        <v>275</v>
      </c>
      <c r="J20" s="3" t="s">
        <v>129</v>
      </c>
      <c r="K20" s="3"/>
      <c r="L20" s="3" t="s">
        <v>276</v>
      </c>
      <c r="M20" s="3" t="s">
        <v>277</v>
      </c>
      <c r="N20" s="3" t="s">
        <v>278</v>
      </c>
      <c r="O20" s="11">
        <v>9240990</v>
      </c>
      <c r="P20" s="11">
        <v>119496</v>
      </c>
      <c r="Q20" s="11">
        <v>138615</v>
      </c>
      <c r="R20" s="11">
        <v>138615</v>
      </c>
      <c r="S20" s="3" t="s">
        <v>279</v>
      </c>
      <c r="T20" s="3" t="s">
        <v>280</v>
      </c>
      <c r="U20" s="3" t="s">
        <v>135</v>
      </c>
    </row>
    <row r="21" spans="1:21" x14ac:dyDescent="0.2">
      <c r="A21" s="3" t="s">
        <v>281</v>
      </c>
      <c r="B21" s="3"/>
      <c r="C21" s="10">
        <v>45624</v>
      </c>
      <c r="D21" s="10">
        <v>45624</v>
      </c>
      <c r="E21" s="10">
        <v>45988</v>
      </c>
      <c r="F21" s="3" t="s">
        <v>22</v>
      </c>
      <c r="G21" s="3" t="s">
        <v>23</v>
      </c>
      <c r="H21" s="3" t="s">
        <v>282</v>
      </c>
      <c r="I21" s="3" t="s">
        <v>283</v>
      </c>
      <c r="J21" s="3" t="s">
        <v>30</v>
      </c>
      <c r="K21" s="3" t="s">
        <v>284</v>
      </c>
      <c r="L21" s="3" t="s">
        <v>285</v>
      </c>
      <c r="M21" s="3" t="s">
        <v>286</v>
      </c>
      <c r="N21" s="3" t="s">
        <v>287</v>
      </c>
      <c r="O21" s="11">
        <v>4300000</v>
      </c>
      <c r="P21" s="11">
        <v>55603</v>
      </c>
      <c r="Q21" s="11">
        <v>64500</v>
      </c>
      <c r="R21" s="11">
        <v>64500</v>
      </c>
      <c r="S21" s="3" t="s">
        <v>288</v>
      </c>
      <c r="T21" s="3" t="s">
        <v>289</v>
      </c>
      <c r="U21" s="3" t="s">
        <v>135</v>
      </c>
    </row>
    <row r="22" spans="1:21" x14ac:dyDescent="0.2">
      <c r="A22" s="3" t="s">
        <v>290</v>
      </c>
      <c r="B22" s="3"/>
      <c r="C22" s="10">
        <v>45624</v>
      </c>
      <c r="D22" s="10">
        <v>45624</v>
      </c>
      <c r="E22" s="10">
        <v>45988</v>
      </c>
      <c r="F22" s="3" t="s">
        <v>22</v>
      </c>
      <c r="G22" s="3" t="s">
        <v>23</v>
      </c>
      <c r="H22" s="3" t="s">
        <v>291</v>
      </c>
      <c r="I22" s="3" t="s">
        <v>292</v>
      </c>
      <c r="J22" s="3" t="s">
        <v>79</v>
      </c>
      <c r="K22" s="3" t="s">
        <v>293</v>
      </c>
      <c r="L22" s="3" t="s">
        <v>294</v>
      </c>
      <c r="M22" s="3" t="s">
        <v>295</v>
      </c>
      <c r="N22" s="3" t="s">
        <v>296</v>
      </c>
      <c r="O22" s="11">
        <v>2350000</v>
      </c>
      <c r="P22" s="11">
        <v>40517</v>
      </c>
      <c r="Q22" s="11">
        <v>47000</v>
      </c>
      <c r="R22" s="11">
        <v>47000</v>
      </c>
      <c r="S22" s="3" t="s">
        <v>297</v>
      </c>
      <c r="T22" s="3" t="s">
        <v>298</v>
      </c>
      <c r="U22" s="3" t="s">
        <v>135</v>
      </c>
    </row>
    <row r="23" spans="1:21" x14ac:dyDescent="0.2">
      <c r="A23" s="3" t="s">
        <v>299</v>
      </c>
      <c r="B23" s="3"/>
      <c r="C23" s="10">
        <v>45624</v>
      </c>
      <c r="D23" s="10">
        <v>45624</v>
      </c>
      <c r="E23" s="10">
        <v>45988</v>
      </c>
      <c r="F23" s="3" t="s">
        <v>22</v>
      </c>
      <c r="G23" s="3" t="s">
        <v>23</v>
      </c>
      <c r="H23" s="3" t="s">
        <v>300</v>
      </c>
      <c r="I23" s="3" t="s">
        <v>301</v>
      </c>
      <c r="J23" s="3" t="s">
        <v>95</v>
      </c>
      <c r="K23" s="3" t="s">
        <v>302</v>
      </c>
      <c r="L23" s="3" t="s">
        <v>303</v>
      </c>
      <c r="M23" s="3" t="s">
        <v>304</v>
      </c>
      <c r="N23" s="3" t="s">
        <v>305</v>
      </c>
      <c r="O23" s="11">
        <v>2600000</v>
      </c>
      <c r="P23" s="11">
        <v>44828</v>
      </c>
      <c r="Q23" s="11">
        <v>52000</v>
      </c>
      <c r="R23" s="11">
        <v>52000</v>
      </c>
      <c r="S23" s="3" t="s">
        <v>306</v>
      </c>
      <c r="T23" s="3" t="s">
        <v>307</v>
      </c>
      <c r="U23" s="3" t="s">
        <v>135</v>
      </c>
    </row>
    <row r="24" spans="1:21" x14ac:dyDescent="0.2">
      <c r="A24" s="3" t="s">
        <v>308</v>
      </c>
      <c r="B24" s="3"/>
      <c r="C24" s="10">
        <v>45601</v>
      </c>
      <c r="D24" s="10">
        <v>45601</v>
      </c>
      <c r="E24" s="10">
        <v>45965</v>
      </c>
      <c r="F24" s="3" t="s">
        <v>22</v>
      </c>
      <c r="G24" s="3" t="s">
        <v>23</v>
      </c>
      <c r="H24" s="3" t="s">
        <v>309</v>
      </c>
      <c r="I24" s="3" t="s">
        <v>310</v>
      </c>
      <c r="J24" s="3" t="s">
        <v>79</v>
      </c>
      <c r="K24" s="3" t="s">
        <v>311</v>
      </c>
      <c r="L24" s="3" t="s">
        <v>312</v>
      </c>
      <c r="M24" s="3" t="s">
        <v>313</v>
      </c>
      <c r="N24" s="3" t="s">
        <v>314</v>
      </c>
      <c r="O24" s="11">
        <v>3800000</v>
      </c>
      <c r="P24" s="11">
        <v>49138</v>
      </c>
      <c r="Q24" s="11">
        <v>57000</v>
      </c>
      <c r="R24" s="11">
        <v>57000</v>
      </c>
      <c r="S24" s="3" t="s">
        <v>315</v>
      </c>
      <c r="T24" s="3" t="s">
        <v>316</v>
      </c>
      <c r="U24" s="3" t="s">
        <v>135</v>
      </c>
    </row>
    <row r="25" spans="1:21" x14ac:dyDescent="0.2">
      <c r="A25" s="3" t="s">
        <v>317</v>
      </c>
      <c r="B25" s="3"/>
      <c r="C25" s="10">
        <v>45625</v>
      </c>
      <c r="D25" s="10">
        <v>45625</v>
      </c>
      <c r="E25" s="10">
        <v>45989</v>
      </c>
      <c r="F25" s="3" t="s">
        <v>22</v>
      </c>
      <c r="G25" s="3" t="s">
        <v>23</v>
      </c>
      <c r="H25" s="3" t="s">
        <v>318</v>
      </c>
      <c r="I25" s="3" t="s">
        <v>46</v>
      </c>
      <c r="J25" s="3" t="s">
        <v>129</v>
      </c>
      <c r="K25" s="3"/>
      <c r="L25" s="3" t="s">
        <v>319</v>
      </c>
      <c r="M25" s="3" t="s">
        <v>320</v>
      </c>
      <c r="N25" s="3" t="s">
        <v>321</v>
      </c>
      <c r="O25" s="11">
        <v>2707000</v>
      </c>
      <c r="P25" s="11">
        <v>46672</v>
      </c>
      <c r="Q25" s="11">
        <v>54140</v>
      </c>
      <c r="R25" s="11">
        <v>54140</v>
      </c>
      <c r="S25" s="3" t="s">
        <v>322</v>
      </c>
      <c r="T25" s="3" t="s">
        <v>323</v>
      </c>
      <c r="U25" s="3" t="s">
        <v>135</v>
      </c>
    </row>
    <row r="26" spans="1:21" x14ac:dyDescent="0.2">
      <c r="A26" s="3" t="s">
        <v>324</v>
      </c>
      <c r="B26" s="3"/>
      <c r="C26" s="10">
        <v>45625</v>
      </c>
      <c r="D26" s="10">
        <v>45625</v>
      </c>
      <c r="E26" s="10">
        <v>45989</v>
      </c>
      <c r="F26" s="3" t="s">
        <v>22</v>
      </c>
      <c r="G26" s="3" t="s">
        <v>23</v>
      </c>
      <c r="H26" s="3" t="s">
        <v>325</v>
      </c>
      <c r="I26" s="3" t="s">
        <v>191</v>
      </c>
      <c r="J26" s="3" t="s">
        <v>129</v>
      </c>
      <c r="K26" s="3"/>
      <c r="L26" s="3" t="s">
        <v>326</v>
      </c>
      <c r="M26" s="3" t="s">
        <v>327</v>
      </c>
      <c r="N26" s="3" t="s">
        <v>328</v>
      </c>
      <c r="O26" s="11">
        <v>3799000</v>
      </c>
      <c r="P26" s="11">
        <v>49125</v>
      </c>
      <c r="Q26" s="11">
        <v>56985</v>
      </c>
      <c r="R26" s="11">
        <v>56985</v>
      </c>
      <c r="S26" s="3" t="s">
        <v>329</v>
      </c>
      <c r="T26" s="3" t="s">
        <v>330</v>
      </c>
      <c r="U26" s="3" t="s">
        <v>135</v>
      </c>
    </row>
    <row r="27" spans="1:21" x14ac:dyDescent="0.2">
      <c r="A27" s="3" t="s">
        <v>331</v>
      </c>
      <c r="B27" s="3"/>
      <c r="C27" s="10">
        <v>45625</v>
      </c>
      <c r="D27" s="10">
        <v>45625</v>
      </c>
      <c r="E27" s="10">
        <v>45989</v>
      </c>
      <c r="F27" s="3" t="s">
        <v>22</v>
      </c>
      <c r="G27" s="3" t="s">
        <v>23</v>
      </c>
      <c r="H27" s="3" t="s">
        <v>332</v>
      </c>
      <c r="I27" s="3" t="s">
        <v>333</v>
      </c>
      <c r="J27" s="3" t="s">
        <v>25</v>
      </c>
      <c r="K27" s="3" t="s">
        <v>334</v>
      </c>
      <c r="L27" s="3" t="s">
        <v>335</v>
      </c>
      <c r="M27" s="3" t="s">
        <v>336</v>
      </c>
      <c r="N27" s="3" t="s">
        <v>337</v>
      </c>
      <c r="O27" s="11">
        <v>10000000</v>
      </c>
      <c r="P27" s="11">
        <v>129310</v>
      </c>
      <c r="Q27" s="11">
        <v>150000</v>
      </c>
      <c r="R27" s="11">
        <v>150000</v>
      </c>
      <c r="S27" s="3" t="s">
        <v>338</v>
      </c>
      <c r="T27" s="3" t="s">
        <v>339</v>
      </c>
      <c r="U27" s="3" t="s">
        <v>135</v>
      </c>
    </row>
    <row r="28" spans="1:21" x14ac:dyDescent="0.2">
      <c r="A28" s="3" t="s">
        <v>340</v>
      </c>
      <c r="B28" s="3"/>
      <c r="C28" s="10">
        <v>45625</v>
      </c>
      <c r="D28" s="10">
        <v>45625</v>
      </c>
      <c r="E28" s="10">
        <v>45989</v>
      </c>
      <c r="F28" s="3" t="s">
        <v>22</v>
      </c>
      <c r="G28" s="3" t="s">
        <v>23</v>
      </c>
      <c r="H28" s="3" t="s">
        <v>341</v>
      </c>
      <c r="I28" s="3" t="s">
        <v>342</v>
      </c>
      <c r="J28" s="3" t="s">
        <v>146</v>
      </c>
      <c r="K28" s="3" t="s">
        <v>343</v>
      </c>
      <c r="L28" s="3" t="s">
        <v>344</v>
      </c>
      <c r="M28" s="3" t="s">
        <v>345</v>
      </c>
      <c r="N28" s="3" t="s">
        <v>346</v>
      </c>
      <c r="O28" s="11">
        <v>3700000</v>
      </c>
      <c r="P28" s="11">
        <v>47845</v>
      </c>
      <c r="Q28" s="11">
        <v>55500</v>
      </c>
      <c r="R28" s="11">
        <v>55500</v>
      </c>
      <c r="S28" s="3" t="s">
        <v>347</v>
      </c>
      <c r="T28" s="3" t="s">
        <v>348</v>
      </c>
      <c r="U28" s="3" t="s">
        <v>135</v>
      </c>
    </row>
    <row r="29" spans="1:21" x14ac:dyDescent="0.2">
      <c r="A29" s="3" t="s">
        <v>349</v>
      </c>
      <c r="B29" s="3"/>
      <c r="C29" s="10">
        <v>45625</v>
      </c>
      <c r="D29" s="10">
        <v>45625</v>
      </c>
      <c r="E29" s="10">
        <v>45989</v>
      </c>
      <c r="F29" s="3" t="s">
        <v>22</v>
      </c>
      <c r="G29" s="3" t="s">
        <v>23</v>
      </c>
      <c r="H29" s="3" t="s">
        <v>350</v>
      </c>
      <c r="I29" s="3" t="s">
        <v>351</v>
      </c>
      <c r="J29" s="3" t="s">
        <v>79</v>
      </c>
      <c r="K29" s="3" t="s">
        <v>352</v>
      </c>
      <c r="L29" s="3" t="s">
        <v>353</v>
      </c>
      <c r="M29" s="3" t="s">
        <v>354</v>
      </c>
      <c r="N29" s="3" t="s">
        <v>355</v>
      </c>
      <c r="O29" s="11">
        <v>6500000</v>
      </c>
      <c r="P29" s="11">
        <v>84051</v>
      </c>
      <c r="Q29" s="11">
        <v>97500</v>
      </c>
      <c r="R29" s="11">
        <v>97500</v>
      </c>
      <c r="S29" s="3" t="s">
        <v>356</v>
      </c>
      <c r="T29" s="3" t="s">
        <v>357</v>
      </c>
      <c r="U29" s="3" t="s">
        <v>135</v>
      </c>
    </row>
    <row r="30" spans="1:21" x14ac:dyDescent="0.2">
      <c r="A30" s="3" t="s">
        <v>358</v>
      </c>
      <c r="B30" s="3"/>
      <c r="C30" s="10">
        <v>45625</v>
      </c>
      <c r="D30" s="10">
        <v>45625</v>
      </c>
      <c r="E30" s="10">
        <v>45989</v>
      </c>
      <c r="F30" s="3" t="s">
        <v>22</v>
      </c>
      <c r="G30" s="3" t="s">
        <v>23</v>
      </c>
      <c r="H30" s="3" t="s">
        <v>359</v>
      </c>
      <c r="I30" s="3" t="s">
        <v>292</v>
      </c>
      <c r="J30" s="3" t="s">
        <v>79</v>
      </c>
      <c r="K30" s="3" t="s">
        <v>360</v>
      </c>
      <c r="L30" s="3" t="s">
        <v>361</v>
      </c>
      <c r="M30" s="3" t="s">
        <v>362</v>
      </c>
      <c r="N30" s="3" t="s">
        <v>363</v>
      </c>
      <c r="O30" s="11">
        <v>2300000</v>
      </c>
      <c r="P30" s="11">
        <v>39655</v>
      </c>
      <c r="Q30" s="11">
        <v>46000</v>
      </c>
      <c r="R30" s="11">
        <v>46000</v>
      </c>
      <c r="S30" s="3" t="s">
        <v>364</v>
      </c>
      <c r="T30" s="3" t="s">
        <v>365</v>
      </c>
      <c r="U30" s="3" t="s">
        <v>135</v>
      </c>
    </row>
    <row r="31" spans="1:21" x14ac:dyDescent="0.2">
      <c r="A31" s="3" t="s">
        <v>366</v>
      </c>
      <c r="B31" s="3"/>
      <c r="C31" s="10">
        <v>45625</v>
      </c>
      <c r="D31" s="10">
        <v>45625</v>
      </c>
      <c r="E31" s="10">
        <v>45989</v>
      </c>
      <c r="F31" s="3" t="s">
        <v>22</v>
      </c>
      <c r="G31" s="3" t="s">
        <v>23</v>
      </c>
      <c r="H31" s="3" t="s">
        <v>367</v>
      </c>
      <c r="I31" s="3" t="s">
        <v>368</v>
      </c>
      <c r="J31" s="3" t="s">
        <v>156</v>
      </c>
      <c r="K31" s="3" t="s">
        <v>369</v>
      </c>
      <c r="L31" s="3" t="s">
        <v>370</v>
      </c>
      <c r="M31" s="3" t="s">
        <v>371</v>
      </c>
      <c r="N31" s="3" t="s">
        <v>372</v>
      </c>
      <c r="O31" s="11">
        <v>2000000</v>
      </c>
      <c r="P31" s="11">
        <v>34483</v>
      </c>
      <c r="Q31" s="11">
        <v>40000</v>
      </c>
      <c r="R31" s="11">
        <v>40000</v>
      </c>
      <c r="S31" s="3" t="s">
        <v>373</v>
      </c>
      <c r="T31" s="3" t="s">
        <v>374</v>
      </c>
      <c r="U31" s="3" t="s">
        <v>135</v>
      </c>
    </row>
    <row r="32" spans="1:21" x14ac:dyDescent="0.2">
      <c r="A32" s="3" t="s">
        <v>375</v>
      </c>
      <c r="B32" s="3"/>
      <c r="C32" s="10">
        <v>45625</v>
      </c>
      <c r="D32" s="10">
        <v>45625</v>
      </c>
      <c r="E32" s="10">
        <v>45989</v>
      </c>
      <c r="F32" s="3" t="s">
        <v>22</v>
      </c>
      <c r="G32" s="3" t="s">
        <v>23</v>
      </c>
      <c r="H32" s="3" t="s">
        <v>376</v>
      </c>
      <c r="I32" s="3" t="s">
        <v>155</v>
      </c>
      <c r="J32" s="3" t="s">
        <v>156</v>
      </c>
      <c r="K32" s="3"/>
      <c r="L32" s="3" t="s">
        <v>377</v>
      </c>
      <c r="M32" s="3" t="s">
        <v>378</v>
      </c>
      <c r="N32" s="3" t="s">
        <v>379</v>
      </c>
      <c r="O32" s="11">
        <v>2350000</v>
      </c>
      <c r="P32" s="11">
        <v>40517</v>
      </c>
      <c r="Q32" s="11">
        <v>47000</v>
      </c>
      <c r="R32" s="11">
        <v>47000</v>
      </c>
      <c r="S32" s="3" t="s">
        <v>380</v>
      </c>
      <c r="T32" s="3" t="s">
        <v>381</v>
      </c>
      <c r="U32" s="3" t="s">
        <v>135</v>
      </c>
    </row>
    <row r="33" spans="1:21" x14ac:dyDescent="0.2">
      <c r="A33" s="3" t="s">
        <v>382</v>
      </c>
      <c r="B33" s="3"/>
      <c r="C33" s="10">
        <v>45625</v>
      </c>
      <c r="D33" s="10">
        <v>45625</v>
      </c>
      <c r="E33" s="10">
        <v>45989</v>
      </c>
      <c r="F33" s="3" t="s">
        <v>22</v>
      </c>
      <c r="G33" s="3" t="s">
        <v>23</v>
      </c>
      <c r="H33" s="3" t="s">
        <v>383</v>
      </c>
      <c r="I33" s="3" t="s">
        <v>46</v>
      </c>
      <c r="J33" s="3" t="s">
        <v>129</v>
      </c>
      <c r="K33" s="3"/>
      <c r="L33" s="3" t="s">
        <v>384</v>
      </c>
      <c r="M33" s="3" t="s">
        <v>385</v>
      </c>
      <c r="N33" s="3" t="s">
        <v>386</v>
      </c>
      <c r="O33" s="11">
        <v>3045000</v>
      </c>
      <c r="P33" s="11">
        <v>52500</v>
      </c>
      <c r="Q33" s="11">
        <v>60900</v>
      </c>
      <c r="R33" s="11">
        <v>60900</v>
      </c>
      <c r="S33" s="3" t="s">
        <v>387</v>
      </c>
      <c r="T33" s="3" t="s">
        <v>388</v>
      </c>
      <c r="U33" s="3" t="s">
        <v>135</v>
      </c>
    </row>
    <row r="34" spans="1:21" x14ac:dyDescent="0.2">
      <c r="A34" s="3" t="s">
        <v>389</v>
      </c>
      <c r="B34" s="3"/>
      <c r="C34" s="10">
        <v>45625</v>
      </c>
      <c r="D34" s="10">
        <v>45625</v>
      </c>
      <c r="E34" s="10">
        <v>45989</v>
      </c>
      <c r="F34" s="3" t="s">
        <v>22</v>
      </c>
      <c r="G34" s="3" t="s">
        <v>23</v>
      </c>
      <c r="H34" s="3" t="s">
        <v>390</v>
      </c>
      <c r="I34" s="3" t="s">
        <v>391</v>
      </c>
      <c r="J34" s="3" t="s">
        <v>25</v>
      </c>
      <c r="K34" s="3" t="s">
        <v>392</v>
      </c>
      <c r="L34" s="3" t="s">
        <v>393</v>
      </c>
      <c r="M34" s="3" t="s">
        <v>394</v>
      </c>
      <c r="N34" s="3" t="s">
        <v>395</v>
      </c>
      <c r="O34" s="11">
        <v>3800000</v>
      </c>
      <c r="P34" s="11">
        <v>49138</v>
      </c>
      <c r="Q34" s="11">
        <v>57000</v>
      </c>
      <c r="R34" s="11">
        <v>57000</v>
      </c>
      <c r="S34" s="3" t="s">
        <v>396</v>
      </c>
      <c r="T34" s="3" t="s">
        <v>397</v>
      </c>
      <c r="U34" s="3" t="s">
        <v>135</v>
      </c>
    </row>
    <row r="35" spans="1:21" x14ac:dyDescent="0.2">
      <c r="A35" s="3" t="s">
        <v>398</v>
      </c>
      <c r="B35" s="3"/>
      <c r="C35" s="10">
        <v>45601</v>
      </c>
      <c r="D35" s="10">
        <v>45601</v>
      </c>
      <c r="E35" s="10">
        <v>45965</v>
      </c>
      <c r="F35" s="3" t="s">
        <v>22</v>
      </c>
      <c r="G35" s="3" t="s">
        <v>23</v>
      </c>
      <c r="H35" s="3" t="s">
        <v>399</v>
      </c>
      <c r="I35" s="3" t="s">
        <v>400</v>
      </c>
      <c r="J35" s="3" t="s">
        <v>129</v>
      </c>
      <c r="K35" s="3"/>
      <c r="L35" s="3" t="s">
        <v>401</v>
      </c>
      <c r="M35" s="3" t="s">
        <v>402</v>
      </c>
      <c r="N35" s="3" t="s">
        <v>403</v>
      </c>
      <c r="O35" s="11">
        <v>2999000</v>
      </c>
      <c r="P35" s="11">
        <v>51707</v>
      </c>
      <c r="Q35" s="11">
        <v>59980</v>
      </c>
      <c r="R35" s="11">
        <v>59980</v>
      </c>
      <c r="S35" s="3" t="s">
        <v>404</v>
      </c>
      <c r="T35" s="3" t="s">
        <v>405</v>
      </c>
      <c r="U35" s="3" t="s">
        <v>135</v>
      </c>
    </row>
    <row r="36" spans="1:21" x14ac:dyDescent="0.2">
      <c r="A36" s="3" t="s">
        <v>406</v>
      </c>
      <c r="B36" s="3"/>
      <c r="C36" s="10">
        <v>45625</v>
      </c>
      <c r="D36" s="10">
        <v>45625</v>
      </c>
      <c r="E36" s="10">
        <v>45989</v>
      </c>
      <c r="F36" s="3" t="s">
        <v>22</v>
      </c>
      <c r="G36" s="3" t="s">
        <v>23</v>
      </c>
      <c r="H36" s="3" t="s">
        <v>407</v>
      </c>
      <c r="I36" s="3" t="s">
        <v>408</v>
      </c>
      <c r="J36" s="3" t="s">
        <v>146</v>
      </c>
      <c r="K36" s="3" t="s">
        <v>409</v>
      </c>
      <c r="L36" s="3" t="s">
        <v>410</v>
      </c>
      <c r="M36" s="3" t="s">
        <v>411</v>
      </c>
      <c r="N36" s="3" t="s">
        <v>412</v>
      </c>
      <c r="O36" s="11">
        <v>4700000</v>
      </c>
      <c r="P36" s="11">
        <v>60776</v>
      </c>
      <c r="Q36" s="11">
        <v>70500</v>
      </c>
      <c r="R36" s="11">
        <v>70500</v>
      </c>
      <c r="S36" s="3" t="s">
        <v>413</v>
      </c>
      <c r="T36" s="3" t="s">
        <v>414</v>
      </c>
      <c r="U36" s="3" t="s">
        <v>135</v>
      </c>
    </row>
    <row r="37" spans="1:21" x14ac:dyDescent="0.2">
      <c r="A37" s="3" t="s">
        <v>415</v>
      </c>
      <c r="B37" s="3"/>
      <c r="C37" s="10">
        <v>45625</v>
      </c>
      <c r="D37" s="10">
        <v>45625</v>
      </c>
      <c r="E37" s="10">
        <v>45989</v>
      </c>
      <c r="F37" s="3" t="s">
        <v>22</v>
      </c>
      <c r="G37" s="3" t="s">
        <v>23</v>
      </c>
      <c r="H37" s="3" t="s">
        <v>416</v>
      </c>
      <c r="I37" s="3" t="s">
        <v>417</v>
      </c>
      <c r="J37" s="3" t="s">
        <v>25</v>
      </c>
      <c r="K37" s="3" t="s">
        <v>418</v>
      </c>
      <c r="L37" s="3" t="s">
        <v>419</v>
      </c>
      <c r="M37" s="3" t="s">
        <v>420</v>
      </c>
      <c r="N37" s="3" t="s">
        <v>421</v>
      </c>
      <c r="O37" s="11">
        <v>3640000</v>
      </c>
      <c r="P37" s="11">
        <v>47069</v>
      </c>
      <c r="Q37" s="11">
        <v>54600</v>
      </c>
      <c r="R37" s="11">
        <v>54600</v>
      </c>
      <c r="S37" s="3" t="s">
        <v>422</v>
      </c>
      <c r="T37" s="3" t="s">
        <v>423</v>
      </c>
      <c r="U37" s="3" t="s">
        <v>135</v>
      </c>
    </row>
    <row r="38" spans="1:21" x14ac:dyDescent="0.2">
      <c r="A38" s="3" t="s">
        <v>424</v>
      </c>
      <c r="B38" s="3"/>
      <c r="C38" s="10">
        <v>45625</v>
      </c>
      <c r="D38" s="10">
        <v>45625</v>
      </c>
      <c r="E38" s="10">
        <v>45989</v>
      </c>
      <c r="F38" s="3" t="s">
        <v>22</v>
      </c>
      <c r="G38" s="3" t="s">
        <v>23</v>
      </c>
      <c r="H38" s="3" t="s">
        <v>425</v>
      </c>
      <c r="I38" s="3" t="s">
        <v>368</v>
      </c>
      <c r="J38" s="3" t="s">
        <v>30</v>
      </c>
      <c r="K38" s="3" t="s">
        <v>426</v>
      </c>
      <c r="L38" s="3" t="s">
        <v>427</v>
      </c>
      <c r="M38" s="3" t="s">
        <v>428</v>
      </c>
      <c r="N38" s="3" t="s">
        <v>429</v>
      </c>
      <c r="O38" s="11">
        <v>2500000</v>
      </c>
      <c r="P38" s="11">
        <v>43103</v>
      </c>
      <c r="Q38" s="11">
        <v>50000</v>
      </c>
      <c r="R38" s="11">
        <v>50000</v>
      </c>
      <c r="S38" s="3" t="s">
        <v>430</v>
      </c>
      <c r="T38" s="3" t="s">
        <v>431</v>
      </c>
      <c r="U38" s="3" t="s">
        <v>135</v>
      </c>
    </row>
    <row r="39" spans="1:21" x14ac:dyDescent="0.2">
      <c r="A39" s="3" t="s">
        <v>432</v>
      </c>
      <c r="B39" s="3"/>
      <c r="C39" s="10">
        <v>45625</v>
      </c>
      <c r="D39" s="10">
        <v>45625</v>
      </c>
      <c r="E39" s="10">
        <v>45989</v>
      </c>
      <c r="F39" s="3" t="s">
        <v>22</v>
      </c>
      <c r="G39" s="3" t="s">
        <v>23</v>
      </c>
      <c r="H39" s="3" t="s">
        <v>433</v>
      </c>
      <c r="I39" s="3" t="s">
        <v>173</v>
      </c>
      <c r="J39" s="3" t="s">
        <v>156</v>
      </c>
      <c r="K39" s="3" t="s">
        <v>434</v>
      </c>
      <c r="L39" s="3" t="s">
        <v>435</v>
      </c>
      <c r="M39" s="3" t="s">
        <v>436</v>
      </c>
      <c r="N39" s="3" t="s">
        <v>437</v>
      </c>
      <c r="O39" s="11">
        <v>5000000</v>
      </c>
      <c r="P39" s="11">
        <v>64655</v>
      </c>
      <c r="Q39" s="11">
        <v>75000</v>
      </c>
      <c r="R39" s="11">
        <v>75000</v>
      </c>
      <c r="S39" s="3" t="s">
        <v>438</v>
      </c>
      <c r="T39" s="3" t="s">
        <v>439</v>
      </c>
      <c r="U39" s="3" t="s">
        <v>135</v>
      </c>
    </row>
    <row r="40" spans="1:21" x14ac:dyDescent="0.2">
      <c r="A40" s="3" t="s">
        <v>440</v>
      </c>
      <c r="B40" s="3"/>
      <c r="C40" s="10">
        <v>45625</v>
      </c>
      <c r="D40" s="10">
        <v>45625</v>
      </c>
      <c r="E40" s="10">
        <v>45989</v>
      </c>
      <c r="F40" s="3" t="s">
        <v>22</v>
      </c>
      <c r="G40" s="3" t="s">
        <v>23</v>
      </c>
      <c r="H40" s="3" t="s">
        <v>441</v>
      </c>
      <c r="I40" s="3" t="s">
        <v>442</v>
      </c>
      <c r="J40" s="3" t="s">
        <v>79</v>
      </c>
      <c r="K40" s="3" t="s">
        <v>443</v>
      </c>
      <c r="L40" s="3" t="s">
        <v>444</v>
      </c>
      <c r="M40" s="3" t="s">
        <v>445</v>
      </c>
      <c r="N40" s="3" t="s">
        <v>446</v>
      </c>
      <c r="O40" s="11">
        <v>3700000</v>
      </c>
      <c r="P40" s="11">
        <v>47845</v>
      </c>
      <c r="Q40" s="11">
        <v>55500</v>
      </c>
      <c r="R40" s="11">
        <v>55500</v>
      </c>
      <c r="S40" s="3" t="s">
        <v>447</v>
      </c>
      <c r="T40" s="3" t="s">
        <v>448</v>
      </c>
      <c r="U40" s="3" t="s">
        <v>135</v>
      </c>
    </row>
    <row r="41" spans="1:21" x14ac:dyDescent="0.2">
      <c r="A41" s="3" t="s">
        <v>449</v>
      </c>
      <c r="B41" s="3"/>
      <c r="C41" s="10">
        <v>45625</v>
      </c>
      <c r="D41" s="10">
        <v>45625</v>
      </c>
      <c r="E41" s="10">
        <v>45989</v>
      </c>
      <c r="F41" s="3" t="s">
        <v>22</v>
      </c>
      <c r="G41" s="3" t="s">
        <v>23</v>
      </c>
      <c r="H41" s="3" t="s">
        <v>450</v>
      </c>
      <c r="I41" s="3" t="s">
        <v>451</v>
      </c>
      <c r="J41" s="3" t="s">
        <v>30</v>
      </c>
      <c r="K41" s="3" t="s">
        <v>452</v>
      </c>
      <c r="L41" s="3" t="s">
        <v>453</v>
      </c>
      <c r="M41" s="3" t="s">
        <v>454</v>
      </c>
      <c r="N41" s="3" t="s">
        <v>455</v>
      </c>
      <c r="O41" s="11">
        <v>2700000</v>
      </c>
      <c r="P41" s="11">
        <v>46551</v>
      </c>
      <c r="Q41" s="11">
        <v>54000</v>
      </c>
      <c r="R41" s="11">
        <v>54000</v>
      </c>
      <c r="S41" s="3" t="s">
        <v>456</v>
      </c>
      <c r="T41" s="3" t="s">
        <v>457</v>
      </c>
      <c r="U41" s="3" t="s">
        <v>135</v>
      </c>
    </row>
    <row r="42" spans="1:21" x14ac:dyDescent="0.2">
      <c r="A42" s="3" t="s">
        <v>458</v>
      </c>
      <c r="B42" s="3"/>
      <c r="C42" s="10">
        <v>45601</v>
      </c>
      <c r="D42" s="10">
        <v>45601</v>
      </c>
      <c r="E42" s="10">
        <v>45965</v>
      </c>
      <c r="F42" s="3" t="s">
        <v>22</v>
      </c>
      <c r="G42" s="3" t="s">
        <v>23</v>
      </c>
      <c r="H42" s="3" t="s">
        <v>459</v>
      </c>
      <c r="I42" s="3" t="s">
        <v>460</v>
      </c>
      <c r="J42" s="3" t="s">
        <v>129</v>
      </c>
      <c r="K42" s="3"/>
      <c r="L42" s="3" t="s">
        <v>461</v>
      </c>
      <c r="M42" s="3" t="s">
        <v>462</v>
      </c>
      <c r="N42" s="3" t="s">
        <v>463</v>
      </c>
      <c r="O42" s="11">
        <v>2331000</v>
      </c>
      <c r="P42" s="11">
        <v>40190</v>
      </c>
      <c r="Q42" s="11">
        <v>46620</v>
      </c>
      <c r="R42" s="11">
        <v>46620</v>
      </c>
      <c r="S42" s="3" t="s">
        <v>464</v>
      </c>
      <c r="T42" s="3" t="s">
        <v>465</v>
      </c>
      <c r="U42" s="3" t="s">
        <v>135</v>
      </c>
    </row>
    <row r="43" spans="1:21" x14ac:dyDescent="0.2">
      <c r="A43" s="3" t="s">
        <v>466</v>
      </c>
      <c r="B43" s="3"/>
      <c r="C43" s="10">
        <v>45607</v>
      </c>
      <c r="D43" s="10">
        <v>45607</v>
      </c>
      <c r="E43" s="10">
        <v>45971</v>
      </c>
      <c r="F43" s="3" t="s">
        <v>22</v>
      </c>
      <c r="G43" s="3" t="s">
        <v>23</v>
      </c>
      <c r="H43" s="3" t="s">
        <v>467</v>
      </c>
      <c r="I43" s="3" t="s">
        <v>468</v>
      </c>
      <c r="J43" s="3" t="s">
        <v>129</v>
      </c>
      <c r="K43" s="3"/>
      <c r="L43" s="3" t="s">
        <v>469</v>
      </c>
      <c r="M43" s="3" t="s">
        <v>470</v>
      </c>
      <c r="N43" s="3" t="s">
        <v>471</v>
      </c>
      <c r="O43" s="11">
        <v>1940000</v>
      </c>
      <c r="P43" s="11">
        <v>33449</v>
      </c>
      <c r="Q43" s="11">
        <v>38800</v>
      </c>
      <c r="R43" s="11">
        <v>38800</v>
      </c>
      <c r="S43" s="3" t="s">
        <v>472</v>
      </c>
      <c r="T43" s="3" t="s">
        <v>473</v>
      </c>
      <c r="U43" s="3" t="s">
        <v>135</v>
      </c>
    </row>
    <row r="44" spans="1:21" x14ac:dyDescent="0.2">
      <c r="A44" s="3" t="s">
        <v>474</v>
      </c>
      <c r="B44" s="3"/>
      <c r="C44" s="10">
        <v>45607</v>
      </c>
      <c r="D44" s="10">
        <v>45607</v>
      </c>
      <c r="E44" s="10">
        <v>45971</v>
      </c>
      <c r="F44" s="3" t="s">
        <v>22</v>
      </c>
      <c r="G44" s="3" t="s">
        <v>23</v>
      </c>
      <c r="H44" s="3" t="s">
        <v>475</v>
      </c>
      <c r="I44" s="3" t="s">
        <v>173</v>
      </c>
      <c r="J44" s="3" t="s">
        <v>156</v>
      </c>
      <c r="K44" s="3" t="s">
        <v>476</v>
      </c>
      <c r="L44" s="3" t="s">
        <v>477</v>
      </c>
      <c r="M44" s="3" t="s">
        <v>478</v>
      </c>
      <c r="N44" s="3" t="s">
        <v>479</v>
      </c>
      <c r="O44" s="11">
        <v>5000000</v>
      </c>
      <c r="P44" s="11">
        <v>64655</v>
      </c>
      <c r="Q44" s="11">
        <v>75000</v>
      </c>
      <c r="R44" s="11">
        <v>75000</v>
      </c>
      <c r="S44" s="3" t="s">
        <v>480</v>
      </c>
      <c r="T44" s="3" t="s">
        <v>481</v>
      </c>
      <c r="U44" s="3" t="s">
        <v>135</v>
      </c>
    </row>
    <row r="45" spans="1:21" x14ac:dyDescent="0.2">
      <c r="A45" s="3" t="s">
        <v>482</v>
      </c>
      <c r="B45" s="3"/>
      <c r="C45" s="10">
        <v>45610</v>
      </c>
      <c r="D45" s="10">
        <v>45610</v>
      </c>
      <c r="E45" s="10">
        <v>45974</v>
      </c>
      <c r="F45" s="3" t="s">
        <v>22</v>
      </c>
      <c r="G45" s="3" t="s">
        <v>23</v>
      </c>
      <c r="H45" s="3" t="s">
        <v>483</v>
      </c>
      <c r="I45" s="3" t="s">
        <v>62</v>
      </c>
      <c r="J45" s="3" t="s">
        <v>30</v>
      </c>
      <c r="K45" s="3" t="s">
        <v>484</v>
      </c>
      <c r="L45" s="3" t="s">
        <v>485</v>
      </c>
      <c r="M45" s="3" t="s">
        <v>486</v>
      </c>
      <c r="N45" s="3" t="s">
        <v>487</v>
      </c>
      <c r="O45" s="11">
        <v>4270000</v>
      </c>
      <c r="P45" s="11">
        <v>55216</v>
      </c>
      <c r="Q45" s="11">
        <v>64050</v>
      </c>
      <c r="R45" s="11">
        <v>64050</v>
      </c>
      <c r="S45" s="3" t="s">
        <v>488</v>
      </c>
      <c r="T45" s="3" t="s">
        <v>489</v>
      </c>
      <c r="U45" s="3" t="s">
        <v>135</v>
      </c>
    </row>
    <row r="46" spans="1:21" x14ac:dyDescent="0.2">
      <c r="A46" s="3" t="s">
        <v>490</v>
      </c>
      <c r="B46" s="3"/>
      <c r="C46" s="10">
        <v>45610</v>
      </c>
      <c r="D46" s="10">
        <v>45610</v>
      </c>
      <c r="E46" s="10">
        <v>45974</v>
      </c>
      <c r="F46" s="3" t="s">
        <v>22</v>
      </c>
      <c r="G46" s="3" t="s">
        <v>23</v>
      </c>
      <c r="H46" s="3" t="s">
        <v>491</v>
      </c>
      <c r="I46" s="3" t="s">
        <v>492</v>
      </c>
      <c r="J46" s="3" t="s">
        <v>493</v>
      </c>
      <c r="K46" s="3" t="s">
        <v>494</v>
      </c>
      <c r="L46" s="3" t="s">
        <v>495</v>
      </c>
      <c r="M46" s="3" t="s">
        <v>496</v>
      </c>
      <c r="N46" s="3" t="s">
        <v>497</v>
      </c>
      <c r="O46" s="11">
        <v>1425000</v>
      </c>
      <c r="P46" s="11">
        <v>24569</v>
      </c>
      <c r="Q46" s="11">
        <v>28500</v>
      </c>
      <c r="R46" s="11">
        <v>28500</v>
      </c>
      <c r="S46" s="3" t="s">
        <v>498</v>
      </c>
      <c r="T46" s="3" t="s">
        <v>499</v>
      </c>
      <c r="U46" s="3" t="s">
        <v>135</v>
      </c>
    </row>
    <row r="47" spans="1:2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>
        <v>2726635</v>
      </c>
      <c r="S47" s="3"/>
      <c r="T47" s="3"/>
      <c r="U47" s="3"/>
    </row>
    <row r="48" spans="1:2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</sheetData>
  <autoFilter ref="A1:U4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39"/>
  <sheetViews>
    <sheetView workbookViewId="0"/>
  </sheetViews>
  <sheetFormatPr defaultRowHeight="12.75" x14ac:dyDescent="0.2"/>
  <cols>
    <col min="1" max="1" width="4.85546875" customWidth="1"/>
    <col min="2" max="2" width="41.28515625" bestFit="1" customWidth="1"/>
    <col min="3" max="3" width="42.28515625" bestFit="1" customWidth="1"/>
    <col min="4" max="4" width="10.85546875" bestFit="1" customWidth="1"/>
    <col min="5" max="5" width="12" bestFit="1" customWidth="1"/>
    <col min="6" max="6" width="10.85546875" bestFit="1" customWidth="1"/>
    <col min="7" max="7" width="11.28515625" bestFit="1" customWidth="1"/>
    <col min="8" max="8" width="36.28515625" bestFit="1" customWidth="1"/>
    <col min="9" max="9" width="6.85546875" customWidth="1"/>
    <col min="10" max="10" width="28.7109375" bestFit="1" customWidth="1"/>
    <col min="11" max="11" width="5.7109375" bestFit="1" customWidth="1"/>
    <col min="12" max="12" width="14.85546875" bestFit="1" customWidth="1"/>
    <col min="13" max="13" width="14.7109375" bestFit="1" customWidth="1"/>
    <col min="14" max="15" width="19.85546875" bestFit="1" customWidth="1"/>
    <col min="16" max="16" width="12" bestFit="1" customWidth="1"/>
    <col min="17" max="18" width="8.28515625" bestFit="1" customWidth="1"/>
    <col min="19" max="19" width="10.5703125" bestFit="1" customWidth="1"/>
    <col min="20" max="20" width="15.42578125" bestFit="1" customWidth="1"/>
    <col min="21" max="21" width="26.5703125" bestFit="1" customWidth="1"/>
    <col min="22" max="22" width="15.5703125" bestFit="1" customWidth="1"/>
    <col min="23" max="244" width="6.85546875" customWidth="1"/>
    <col min="245" max="245" width="10.85546875" bestFit="1" customWidth="1"/>
    <col min="246" max="246" width="12" bestFit="1" customWidth="1"/>
    <col min="247" max="247" width="10.85546875" bestFit="1" customWidth="1"/>
    <col min="248" max="248" width="11.28515625" bestFit="1" customWidth="1"/>
    <col min="249" max="500" width="6.85546875" customWidth="1"/>
    <col min="501" max="501" width="10.85546875" bestFit="1" customWidth="1"/>
    <col min="502" max="502" width="12" bestFit="1" customWidth="1"/>
    <col min="503" max="503" width="10.85546875" bestFit="1" customWidth="1"/>
    <col min="504" max="504" width="11.28515625" bestFit="1" customWidth="1"/>
    <col min="505" max="756" width="6.85546875" customWidth="1"/>
    <col min="757" max="757" width="10.85546875" bestFit="1" customWidth="1"/>
    <col min="758" max="758" width="12" bestFit="1" customWidth="1"/>
    <col min="759" max="759" width="10.85546875" bestFit="1" customWidth="1"/>
    <col min="760" max="760" width="11.28515625" bestFit="1" customWidth="1"/>
    <col min="761" max="1012" width="6.85546875" customWidth="1"/>
    <col min="1013" max="1013" width="10.85546875" bestFit="1" customWidth="1"/>
    <col min="1014" max="1014" width="12" bestFit="1" customWidth="1"/>
    <col min="1015" max="1015" width="10.85546875" bestFit="1" customWidth="1"/>
    <col min="1016" max="1016" width="11.28515625" bestFit="1" customWidth="1"/>
    <col min="1017" max="1268" width="6.85546875" customWidth="1"/>
    <col min="1269" max="1269" width="10.85546875" bestFit="1" customWidth="1"/>
    <col min="1270" max="1270" width="12" bestFit="1" customWidth="1"/>
    <col min="1271" max="1271" width="10.85546875" bestFit="1" customWidth="1"/>
    <col min="1272" max="1272" width="11.28515625" bestFit="1" customWidth="1"/>
    <col min="1273" max="1524" width="6.85546875" customWidth="1"/>
    <col min="1525" max="1525" width="10.85546875" bestFit="1" customWidth="1"/>
    <col min="1526" max="1526" width="12" bestFit="1" customWidth="1"/>
    <col min="1527" max="1527" width="10.85546875" bestFit="1" customWidth="1"/>
    <col min="1528" max="1528" width="11.28515625" bestFit="1" customWidth="1"/>
    <col min="1529" max="1780" width="6.85546875" customWidth="1"/>
    <col min="1781" max="1781" width="10.85546875" bestFit="1" customWidth="1"/>
    <col min="1782" max="1782" width="12" bestFit="1" customWidth="1"/>
    <col min="1783" max="1783" width="10.85546875" bestFit="1" customWidth="1"/>
    <col min="1784" max="1784" width="11.28515625" bestFit="1" customWidth="1"/>
    <col min="1785" max="2036" width="6.85546875" customWidth="1"/>
    <col min="2037" max="2037" width="10.85546875" bestFit="1" customWidth="1"/>
    <col min="2038" max="2038" width="12" bestFit="1" customWidth="1"/>
    <col min="2039" max="2039" width="10.85546875" bestFit="1" customWidth="1"/>
    <col min="2040" max="2040" width="11.28515625" bestFit="1" customWidth="1"/>
    <col min="2041" max="2292" width="6.85546875" customWidth="1"/>
    <col min="2293" max="2293" width="10.85546875" bestFit="1" customWidth="1"/>
    <col min="2294" max="2294" width="12" bestFit="1" customWidth="1"/>
    <col min="2295" max="2295" width="10.85546875" bestFit="1" customWidth="1"/>
    <col min="2296" max="2296" width="11.28515625" bestFit="1" customWidth="1"/>
    <col min="2297" max="2548" width="6.85546875" customWidth="1"/>
    <col min="2549" max="2549" width="10.85546875" bestFit="1" customWidth="1"/>
    <col min="2550" max="2550" width="12" bestFit="1" customWidth="1"/>
    <col min="2551" max="2551" width="10.85546875" bestFit="1" customWidth="1"/>
    <col min="2552" max="2552" width="11.28515625" bestFit="1" customWidth="1"/>
    <col min="2553" max="2804" width="6.85546875" customWidth="1"/>
    <col min="2805" max="2805" width="10.85546875" bestFit="1" customWidth="1"/>
    <col min="2806" max="2806" width="12" bestFit="1" customWidth="1"/>
    <col min="2807" max="2807" width="10.85546875" bestFit="1" customWidth="1"/>
    <col min="2808" max="2808" width="11.28515625" bestFit="1" customWidth="1"/>
    <col min="2809" max="3060" width="6.85546875" customWidth="1"/>
    <col min="3061" max="3061" width="10.85546875" bestFit="1" customWidth="1"/>
    <col min="3062" max="3062" width="12" bestFit="1" customWidth="1"/>
    <col min="3063" max="3063" width="10.85546875" bestFit="1" customWidth="1"/>
    <col min="3064" max="3064" width="11.28515625" bestFit="1" customWidth="1"/>
    <col min="3065" max="3316" width="6.85546875" customWidth="1"/>
    <col min="3317" max="3317" width="10.85546875" bestFit="1" customWidth="1"/>
    <col min="3318" max="3318" width="12" bestFit="1" customWidth="1"/>
    <col min="3319" max="3319" width="10.85546875" bestFit="1" customWidth="1"/>
    <col min="3320" max="3320" width="11.28515625" bestFit="1" customWidth="1"/>
    <col min="3321" max="3572" width="6.85546875" customWidth="1"/>
    <col min="3573" max="3573" width="10.85546875" bestFit="1" customWidth="1"/>
    <col min="3574" max="3574" width="12" bestFit="1" customWidth="1"/>
    <col min="3575" max="3575" width="10.85546875" bestFit="1" customWidth="1"/>
    <col min="3576" max="3576" width="11.28515625" bestFit="1" customWidth="1"/>
    <col min="3577" max="3828" width="6.85546875" customWidth="1"/>
    <col min="3829" max="3829" width="10.85546875" bestFit="1" customWidth="1"/>
    <col min="3830" max="3830" width="12" bestFit="1" customWidth="1"/>
    <col min="3831" max="3831" width="10.85546875" bestFit="1" customWidth="1"/>
    <col min="3832" max="3832" width="11.28515625" bestFit="1" customWidth="1"/>
    <col min="3833" max="4084" width="6.85546875" customWidth="1"/>
    <col min="4085" max="4085" width="10.85546875" bestFit="1" customWidth="1"/>
    <col min="4086" max="4086" width="12" bestFit="1" customWidth="1"/>
    <col min="4087" max="4087" width="10.85546875" bestFit="1" customWidth="1"/>
    <col min="4088" max="4088" width="11.28515625" bestFit="1" customWidth="1"/>
    <col min="4089" max="4340" width="6.85546875" customWidth="1"/>
    <col min="4341" max="4341" width="10.85546875" bestFit="1" customWidth="1"/>
    <col min="4342" max="4342" width="12" bestFit="1" customWidth="1"/>
    <col min="4343" max="4343" width="10.85546875" bestFit="1" customWidth="1"/>
    <col min="4344" max="4344" width="11.28515625" bestFit="1" customWidth="1"/>
    <col min="4345" max="4596" width="6.85546875" customWidth="1"/>
    <col min="4597" max="4597" width="10.85546875" bestFit="1" customWidth="1"/>
    <col min="4598" max="4598" width="12" bestFit="1" customWidth="1"/>
    <col min="4599" max="4599" width="10.85546875" bestFit="1" customWidth="1"/>
    <col min="4600" max="4600" width="11.28515625" bestFit="1" customWidth="1"/>
    <col min="4601" max="4852" width="6.85546875" customWidth="1"/>
    <col min="4853" max="4853" width="10.85546875" bestFit="1" customWidth="1"/>
    <col min="4854" max="4854" width="12" bestFit="1" customWidth="1"/>
    <col min="4855" max="4855" width="10.85546875" bestFit="1" customWidth="1"/>
    <col min="4856" max="4856" width="11.28515625" bestFit="1" customWidth="1"/>
    <col min="4857" max="5108" width="6.85546875" customWidth="1"/>
    <col min="5109" max="5109" width="10.85546875" bestFit="1" customWidth="1"/>
    <col min="5110" max="5110" width="12" bestFit="1" customWidth="1"/>
    <col min="5111" max="5111" width="10.85546875" bestFit="1" customWidth="1"/>
    <col min="5112" max="5112" width="11.28515625" bestFit="1" customWidth="1"/>
    <col min="5113" max="5364" width="6.85546875" customWidth="1"/>
    <col min="5365" max="5365" width="10.85546875" bestFit="1" customWidth="1"/>
    <col min="5366" max="5366" width="12" bestFit="1" customWidth="1"/>
    <col min="5367" max="5367" width="10.85546875" bestFit="1" customWidth="1"/>
    <col min="5368" max="5368" width="11.28515625" bestFit="1" customWidth="1"/>
    <col min="5369" max="5620" width="6.85546875" customWidth="1"/>
    <col min="5621" max="5621" width="10.85546875" bestFit="1" customWidth="1"/>
    <col min="5622" max="5622" width="12" bestFit="1" customWidth="1"/>
    <col min="5623" max="5623" width="10.85546875" bestFit="1" customWidth="1"/>
    <col min="5624" max="5624" width="11.28515625" bestFit="1" customWidth="1"/>
    <col min="5625" max="5876" width="6.85546875" customWidth="1"/>
    <col min="5877" max="5877" width="10.85546875" bestFit="1" customWidth="1"/>
    <col min="5878" max="5878" width="12" bestFit="1" customWidth="1"/>
    <col min="5879" max="5879" width="10.85546875" bestFit="1" customWidth="1"/>
    <col min="5880" max="5880" width="11.28515625" bestFit="1" customWidth="1"/>
    <col min="5881" max="6132" width="6.85546875" customWidth="1"/>
    <col min="6133" max="6133" width="10.85546875" bestFit="1" customWidth="1"/>
    <col min="6134" max="6134" width="12" bestFit="1" customWidth="1"/>
    <col min="6135" max="6135" width="10.85546875" bestFit="1" customWidth="1"/>
    <col min="6136" max="6136" width="11.28515625" bestFit="1" customWidth="1"/>
    <col min="6137" max="6388" width="6.85546875" customWidth="1"/>
    <col min="6389" max="6389" width="10.85546875" bestFit="1" customWidth="1"/>
    <col min="6390" max="6390" width="12" bestFit="1" customWidth="1"/>
    <col min="6391" max="6391" width="10.85546875" bestFit="1" customWidth="1"/>
    <col min="6392" max="6392" width="11.28515625" bestFit="1" customWidth="1"/>
    <col min="6393" max="6644" width="6.85546875" customWidth="1"/>
    <col min="6645" max="6645" width="10.85546875" bestFit="1" customWidth="1"/>
    <col min="6646" max="6646" width="12" bestFit="1" customWidth="1"/>
    <col min="6647" max="6647" width="10.85546875" bestFit="1" customWidth="1"/>
    <col min="6648" max="6648" width="11.28515625" bestFit="1" customWidth="1"/>
    <col min="6649" max="6900" width="6.85546875" customWidth="1"/>
    <col min="6901" max="6901" width="10.85546875" bestFit="1" customWidth="1"/>
    <col min="6902" max="6902" width="12" bestFit="1" customWidth="1"/>
    <col min="6903" max="6903" width="10.85546875" bestFit="1" customWidth="1"/>
    <col min="6904" max="6904" width="11.28515625" bestFit="1" customWidth="1"/>
    <col min="6905" max="7156" width="6.85546875" customWidth="1"/>
    <col min="7157" max="7157" width="10.85546875" bestFit="1" customWidth="1"/>
    <col min="7158" max="7158" width="12" bestFit="1" customWidth="1"/>
    <col min="7159" max="7159" width="10.85546875" bestFit="1" customWidth="1"/>
    <col min="7160" max="7160" width="11.28515625" bestFit="1" customWidth="1"/>
    <col min="7161" max="7412" width="6.85546875" customWidth="1"/>
    <col min="7413" max="7413" width="10.85546875" bestFit="1" customWidth="1"/>
    <col min="7414" max="7414" width="12" bestFit="1" customWidth="1"/>
    <col min="7415" max="7415" width="10.85546875" bestFit="1" customWidth="1"/>
    <col min="7416" max="7416" width="11.28515625" bestFit="1" customWidth="1"/>
    <col min="7417" max="7668" width="6.85546875" customWidth="1"/>
    <col min="7669" max="7669" width="10.85546875" bestFit="1" customWidth="1"/>
    <col min="7670" max="7670" width="12" bestFit="1" customWidth="1"/>
    <col min="7671" max="7671" width="10.85546875" bestFit="1" customWidth="1"/>
    <col min="7672" max="7672" width="11.28515625" bestFit="1" customWidth="1"/>
    <col min="7673" max="7924" width="6.85546875" customWidth="1"/>
    <col min="7925" max="7925" width="10.85546875" bestFit="1" customWidth="1"/>
    <col min="7926" max="7926" width="12" bestFit="1" customWidth="1"/>
    <col min="7927" max="7927" width="10.85546875" bestFit="1" customWidth="1"/>
    <col min="7928" max="7928" width="11.28515625" bestFit="1" customWidth="1"/>
    <col min="7929" max="8180" width="6.85546875" customWidth="1"/>
    <col min="8181" max="8181" width="10.85546875" bestFit="1" customWidth="1"/>
    <col min="8182" max="8182" width="12" bestFit="1" customWidth="1"/>
    <col min="8183" max="8183" width="10.85546875" bestFit="1" customWidth="1"/>
    <col min="8184" max="8184" width="11.28515625" bestFit="1" customWidth="1"/>
    <col min="8185" max="8436" width="6.85546875" customWidth="1"/>
    <col min="8437" max="8437" width="10.85546875" bestFit="1" customWidth="1"/>
    <col min="8438" max="8438" width="12" bestFit="1" customWidth="1"/>
    <col min="8439" max="8439" width="10.85546875" bestFit="1" customWidth="1"/>
    <col min="8440" max="8440" width="11.28515625" bestFit="1" customWidth="1"/>
    <col min="8441" max="8692" width="6.85546875" customWidth="1"/>
    <col min="8693" max="8693" width="10.85546875" bestFit="1" customWidth="1"/>
    <col min="8694" max="8694" width="12" bestFit="1" customWidth="1"/>
    <col min="8695" max="8695" width="10.85546875" bestFit="1" customWidth="1"/>
    <col min="8696" max="8696" width="11.28515625" bestFit="1" customWidth="1"/>
    <col min="8697" max="8948" width="6.85546875" customWidth="1"/>
    <col min="8949" max="8949" width="10.85546875" bestFit="1" customWidth="1"/>
    <col min="8950" max="8950" width="12" bestFit="1" customWidth="1"/>
    <col min="8951" max="8951" width="10.85546875" bestFit="1" customWidth="1"/>
    <col min="8952" max="8952" width="11.28515625" bestFit="1" customWidth="1"/>
    <col min="8953" max="9204" width="6.85546875" customWidth="1"/>
    <col min="9205" max="9205" width="10.85546875" bestFit="1" customWidth="1"/>
    <col min="9206" max="9206" width="12" bestFit="1" customWidth="1"/>
    <col min="9207" max="9207" width="10.85546875" bestFit="1" customWidth="1"/>
    <col min="9208" max="9208" width="11.28515625" bestFit="1" customWidth="1"/>
    <col min="9209" max="9460" width="6.85546875" customWidth="1"/>
    <col min="9461" max="9461" width="10.85546875" bestFit="1" customWidth="1"/>
    <col min="9462" max="9462" width="12" bestFit="1" customWidth="1"/>
    <col min="9463" max="9463" width="10.85546875" bestFit="1" customWidth="1"/>
    <col min="9464" max="9464" width="11.28515625" bestFit="1" customWidth="1"/>
    <col min="9465" max="9716" width="6.85546875" customWidth="1"/>
    <col min="9717" max="9717" width="10.85546875" bestFit="1" customWidth="1"/>
    <col min="9718" max="9718" width="12" bestFit="1" customWidth="1"/>
    <col min="9719" max="9719" width="10.85546875" bestFit="1" customWidth="1"/>
    <col min="9720" max="9720" width="11.28515625" bestFit="1" customWidth="1"/>
    <col min="9721" max="9972" width="6.85546875" customWidth="1"/>
    <col min="9973" max="9973" width="10.85546875" bestFit="1" customWidth="1"/>
    <col min="9974" max="9974" width="12" bestFit="1" customWidth="1"/>
    <col min="9975" max="9975" width="10.85546875" bestFit="1" customWidth="1"/>
    <col min="9976" max="9976" width="11.28515625" bestFit="1" customWidth="1"/>
    <col min="9977" max="10228" width="6.85546875" customWidth="1"/>
    <col min="10229" max="10229" width="10.85546875" bestFit="1" customWidth="1"/>
    <col min="10230" max="10230" width="12" bestFit="1" customWidth="1"/>
    <col min="10231" max="10231" width="10.85546875" bestFit="1" customWidth="1"/>
    <col min="10232" max="10232" width="11.28515625" bestFit="1" customWidth="1"/>
    <col min="10233" max="10484" width="6.85546875" customWidth="1"/>
    <col min="10485" max="10485" width="10.85546875" bestFit="1" customWidth="1"/>
    <col min="10486" max="10486" width="12" bestFit="1" customWidth="1"/>
    <col min="10487" max="10487" width="10.85546875" bestFit="1" customWidth="1"/>
    <col min="10488" max="10488" width="11.28515625" bestFit="1" customWidth="1"/>
    <col min="10489" max="10740" width="6.85546875" customWidth="1"/>
    <col min="10741" max="10741" width="10.85546875" bestFit="1" customWidth="1"/>
    <col min="10742" max="10742" width="12" bestFit="1" customWidth="1"/>
    <col min="10743" max="10743" width="10.85546875" bestFit="1" customWidth="1"/>
    <col min="10744" max="10744" width="11.28515625" bestFit="1" customWidth="1"/>
    <col min="10745" max="10996" width="6.85546875" customWidth="1"/>
    <col min="10997" max="10997" width="10.85546875" bestFit="1" customWidth="1"/>
    <col min="10998" max="10998" width="12" bestFit="1" customWidth="1"/>
    <col min="10999" max="10999" width="10.85546875" bestFit="1" customWidth="1"/>
    <col min="11000" max="11000" width="11.28515625" bestFit="1" customWidth="1"/>
    <col min="11001" max="11252" width="6.85546875" customWidth="1"/>
    <col min="11253" max="11253" width="10.85546875" bestFit="1" customWidth="1"/>
    <col min="11254" max="11254" width="12" bestFit="1" customWidth="1"/>
    <col min="11255" max="11255" width="10.85546875" bestFit="1" customWidth="1"/>
    <col min="11256" max="11256" width="11.28515625" bestFit="1" customWidth="1"/>
    <col min="11257" max="11508" width="6.85546875" customWidth="1"/>
    <col min="11509" max="11509" width="10.85546875" bestFit="1" customWidth="1"/>
    <col min="11510" max="11510" width="12" bestFit="1" customWidth="1"/>
    <col min="11511" max="11511" width="10.85546875" bestFit="1" customWidth="1"/>
    <col min="11512" max="11512" width="11.28515625" bestFit="1" customWidth="1"/>
    <col min="11513" max="11764" width="6.85546875" customWidth="1"/>
    <col min="11765" max="11765" width="10.85546875" bestFit="1" customWidth="1"/>
    <col min="11766" max="11766" width="12" bestFit="1" customWidth="1"/>
    <col min="11767" max="11767" width="10.85546875" bestFit="1" customWidth="1"/>
    <col min="11768" max="11768" width="11.28515625" bestFit="1" customWidth="1"/>
    <col min="11769" max="12020" width="6.85546875" customWidth="1"/>
    <col min="12021" max="12021" width="10.85546875" bestFit="1" customWidth="1"/>
    <col min="12022" max="12022" width="12" bestFit="1" customWidth="1"/>
    <col min="12023" max="12023" width="10.85546875" bestFit="1" customWidth="1"/>
    <col min="12024" max="12024" width="11.28515625" bestFit="1" customWidth="1"/>
    <col min="12025" max="12276" width="6.85546875" customWidth="1"/>
    <col min="12277" max="12277" width="10.85546875" bestFit="1" customWidth="1"/>
    <col min="12278" max="12278" width="12" bestFit="1" customWidth="1"/>
    <col min="12279" max="12279" width="10.85546875" bestFit="1" customWidth="1"/>
    <col min="12280" max="12280" width="11.28515625" bestFit="1" customWidth="1"/>
    <col min="12281" max="12532" width="6.85546875" customWidth="1"/>
    <col min="12533" max="12533" width="10.85546875" bestFit="1" customWidth="1"/>
    <col min="12534" max="12534" width="12" bestFit="1" customWidth="1"/>
    <col min="12535" max="12535" width="10.85546875" bestFit="1" customWidth="1"/>
    <col min="12536" max="12536" width="11.28515625" bestFit="1" customWidth="1"/>
    <col min="12537" max="12788" width="6.85546875" customWidth="1"/>
    <col min="12789" max="12789" width="10.85546875" bestFit="1" customWidth="1"/>
    <col min="12790" max="12790" width="12" bestFit="1" customWidth="1"/>
    <col min="12791" max="12791" width="10.85546875" bestFit="1" customWidth="1"/>
    <col min="12792" max="12792" width="11.28515625" bestFit="1" customWidth="1"/>
    <col min="12793" max="13044" width="6.85546875" customWidth="1"/>
    <col min="13045" max="13045" width="10.85546875" bestFit="1" customWidth="1"/>
    <col min="13046" max="13046" width="12" bestFit="1" customWidth="1"/>
    <col min="13047" max="13047" width="10.85546875" bestFit="1" customWidth="1"/>
    <col min="13048" max="13048" width="11.28515625" bestFit="1" customWidth="1"/>
    <col min="13049" max="13300" width="6.85546875" customWidth="1"/>
    <col min="13301" max="13301" width="10.85546875" bestFit="1" customWidth="1"/>
    <col min="13302" max="13302" width="12" bestFit="1" customWidth="1"/>
    <col min="13303" max="13303" width="10.85546875" bestFit="1" customWidth="1"/>
    <col min="13304" max="13304" width="11.28515625" bestFit="1" customWidth="1"/>
    <col min="13305" max="13556" width="6.85546875" customWidth="1"/>
    <col min="13557" max="13557" width="10.85546875" bestFit="1" customWidth="1"/>
    <col min="13558" max="13558" width="12" bestFit="1" customWidth="1"/>
    <col min="13559" max="13559" width="10.85546875" bestFit="1" customWidth="1"/>
    <col min="13560" max="13560" width="11.28515625" bestFit="1" customWidth="1"/>
    <col min="13561" max="13812" width="6.85546875" customWidth="1"/>
    <col min="13813" max="13813" width="10.85546875" bestFit="1" customWidth="1"/>
    <col min="13814" max="13814" width="12" bestFit="1" customWidth="1"/>
    <col min="13815" max="13815" width="10.85546875" bestFit="1" customWidth="1"/>
    <col min="13816" max="13816" width="11.28515625" bestFit="1" customWidth="1"/>
    <col min="13817" max="14068" width="6.85546875" customWidth="1"/>
    <col min="14069" max="14069" width="10.85546875" bestFit="1" customWidth="1"/>
    <col min="14070" max="14070" width="12" bestFit="1" customWidth="1"/>
    <col min="14071" max="14071" width="10.85546875" bestFit="1" customWidth="1"/>
    <col min="14072" max="14072" width="11.28515625" bestFit="1" customWidth="1"/>
    <col min="14073" max="14324" width="6.85546875" customWidth="1"/>
    <col min="14325" max="14325" width="10.85546875" bestFit="1" customWidth="1"/>
    <col min="14326" max="14326" width="12" bestFit="1" customWidth="1"/>
    <col min="14327" max="14327" width="10.85546875" bestFit="1" customWidth="1"/>
    <col min="14328" max="14328" width="11.28515625" bestFit="1" customWidth="1"/>
    <col min="14329" max="14580" width="6.85546875" customWidth="1"/>
    <col min="14581" max="14581" width="10.85546875" bestFit="1" customWidth="1"/>
    <col min="14582" max="14582" width="12" bestFit="1" customWidth="1"/>
    <col min="14583" max="14583" width="10.85546875" bestFit="1" customWidth="1"/>
    <col min="14584" max="14584" width="11.28515625" bestFit="1" customWidth="1"/>
    <col min="14585" max="14836" width="6.85546875" customWidth="1"/>
    <col min="14837" max="14837" width="10.85546875" bestFit="1" customWidth="1"/>
    <col min="14838" max="14838" width="12" bestFit="1" customWidth="1"/>
    <col min="14839" max="14839" width="10.85546875" bestFit="1" customWidth="1"/>
    <col min="14840" max="14840" width="11.28515625" bestFit="1" customWidth="1"/>
    <col min="14841" max="15092" width="6.85546875" customWidth="1"/>
    <col min="15093" max="15093" width="10.85546875" bestFit="1" customWidth="1"/>
    <col min="15094" max="15094" width="12" bestFit="1" customWidth="1"/>
    <col min="15095" max="15095" width="10.85546875" bestFit="1" customWidth="1"/>
    <col min="15096" max="15096" width="11.28515625" bestFit="1" customWidth="1"/>
    <col min="15097" max="15348" width="6.85546875" customWidth="1"/>
    <col min="15349" max="15349" width="10.85546875" bestFit="1" customWidth="1"/>
    <col min="15350" max="15350" width="12" bestFit="1" customWidth="1"/>
    <col min="15351" max="15351" width="10.85546875" bestFit="1" customWidth="1"/>
    <col min="15352" max="15352" width="11.28515625" bestFit="1" customWidth="1"/>
    <col min="15353" max="15604" width="6.85546875" customWidth="1"/>
    <col min="15605" max="15605" width="10.85546875" bestFit="1" customWidth="1"/>
    <col min="15606" max="15606" width="12" bestFit="1" customWidth="1"/>
    <col min="15607" max="15607" width="10.85546875" bestFit="1" customWidth="1"/>
    <col min="15608" max="15608" width="11.28515625" bestFit="1" customWidth="1"/>
    <col min="15609" max="15860" width="6.85546875" customWidth="1"/>
    <col min="15861" max="15861" width="10.85546875" bestFit="1" customWidth="1"/>
    <col min="15862" max="15862" width="12" bestFit="1" customWidth="1"/>
    <col min="15863" max="15863" width="10.85546875" bestFit="1" customWidth="1"/>
    <col min="15864" max="15864" width="11.28515625" bestFit="1" customWidth="1"/>
    <col min="15865" max="16116" width="6.85546875" customWidth="1"/>
    <col min="16117" max="16117" width="10.85546875" bestFit="1" customWidth="1"/>
    <col min="16118" max="16118" width="12" bestFit="1" customWidth="1"/>
    <col min="16119" max="16119" width="10.85546875" bestFit="1" customWidth="1"/>
    <col min="16120" max="16120" width="11.28515625" bestFit="1" customWidth="1"/>
    <col min="16121" max="16384" width="6.85546875" customWidth="1"/>
  </cols>
  <sheetData>
    <row r="1" spans="1:22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2">
        <v>1</v>
      </c>
      <c r="B2" s="3" t="s">
        <v>500</v>
      </c>
      <c r="C2" s="3"/>
      <c r="D2" s="10">
        <v>45614</v>
      </c>
      <c r="E2" s="10">
        <v>45600</v>
      </c>
      <c r="F2" s="10">
        <v>45964</v>
      </c>
      <c r="G2" s="3" t="s">
        <v>22</v>
      </c>
      <c r="H2" s="3" t="s">
        <v>23</v>
      </c>
      <c r="I2" s="3" t="s">
        <v>501</v>
      </c>
      <c r="J2" s="3" t="s">
        <v>29</v>
      </c>
      <c r="K2" s="3" t="s">
        <v>79</v>
      </c>
      <c r="L2" s="3" t="s">
        <v>502</v>
      </c>
      <c r="M2" s="3" t="s">
        <v>503</v>
      </c>
      <c r="N2" s="3" t="s">
        <v>504</v>
      </c>
      <c r="O2" s="3" t="s">
        <v>505</v>
      </c>
      <c r="P2" s="11">
        <v>1068000</v>
      </c>
      <c r="Q2" s="11">
        <v>22586</v>
      </c>
      <c r="R2" s="11">
        <v>26700</v>
      </c>
      <c r="S2" s="11">
        <v>26700</v>
      </c>
      <c r="T2" s="3" t="s">
        <v>506</v>
      </c>
      <c r="U2" s="3" t="s">
        <v>507</v>
      </c>
      <c r="V2" s="3" t="s">
        <v>26</v>
      </c>
    </row>
    <row r="3" spans="1:22" x14ac:dyDescent="0.2">
      <c r="A3" s="12">
        <v>2</v>
      </c>
      <c r="B3" s="3" t="s">
        <v>508</v>
      </c>
      <c r="C3" s="3"/>
      <c r="D3" s="10">
        <v>45615</v>
      </c>
      <c r="E3" s="10">
        <v>45602</v>
      </c>
      <c r="F3" s="10">
        <v>45966</v>
      </c>
      <c r="G3" s="3" t="s">
        <v>22</v>
      </c>
      <c r="H3" s="3" t="s">
        <v>23</v>
      </c>
      <c r="I3" s="3" t="s">
        <v>509</v>
      </c>
      <c r="J3" s="3" t="s">
        <v>301</v>
      </c>
      <c r="K3" s="3" t="s">
        <v>63</v>
      </c>
      <c r="L3" s="3"/>
      <c r="M3" s="3" t="s">
        <v>510</v>
      </c>
      <c r="N3" s="3" t="s">
        <v>511</v>
      </c>
      <c r="O3" s="3" t="s">
        <v>512</v>
      </c>
      <c r="P3" s="11">
        <v>2641500</v>
      </c>
      <c r="Q3" s="11">
        <v>45544</v>
      </c>
      <c r="R3" s="11">
        <v>52830</v>
      </c>
      <c r="S3" s="11">
        <v>52830</v>
      </c>
      <c r="T3" s="3" t="s">
        <v>513</v>
      </c>
      <c r="U3" s="3" t="s">
        <v>514</v>
      </c>
      <c r="V3" s="3" t="s">
        <v>26</v>
      </c>
    </row>
    <row r="4" spans="1:22" x14ac:dyDescent="0.2">
      <c r="A4" s="12">
        <v>3</v>
      </c>
      <c r="B4" s="3" t="s">
        <v>515</v>
      </c>
      <c r="C4" s="3"/>
      <c r="D4" s="10">
        <v>45615</v>
      </c>
      <c r="E4" s="10">
        <v>45609</v>
      </c>
      <c r="F4" s="10">
        <v>45973</v>
      </c>
      <c r="G4" s="3" t="s">
        <v>22</v>
      </c>
      <c r="H4" s="3" t="s">
        <v>23</v>
      </c>
      <c r="I4" s="3" t="s">
        <v>516</v>
      </c>
      <c r="J4" s="3" t="s">
        <v>517</v>
      </c>
      <c r="K4" s="3" t="s">
        <v>63</v>
      </c>
      <c r="L4" s="3" t="s">
        <v>518</v>
      </c>
      <c r="M4" s="3" t="s">
        <v>519</v>
      </c>
      <c r="N4" s="3" t="s">
        <v>520</v>
      </c>
      <c r="O4" s="3" t="s">
        <v>521</v>
      </c>
      <c r="P4" s="11">
        <v>7991100</v>
      </c>
      <c r="Q4" s="11">
        <v>103334</v>
      </c>
      <c r="R4" s="11">
        <v>119867</v>
      </c>
      <c r="S4" s="11">
        <v>119867</v>
      </c>
      <c r="T4" s="3" t="s">
        <v>522</v>
      </c>
      <c r="U4" s="3" t="s">
        <v>523</v>
      </c>
      <c r="V4" s="3" t="s">
        <v>26</v>
      </c>
    </row>
    <row r="5" spans="1:22" x14ac:dyDescent="0.2">
      <c r="A5" s="12">
        <v>4</v>
      </c>
      <c r="B5" s="3" t="s">
        <v>524</v>
      </c>
      <c r="C5" s="3"/>
      <c r="D5" s="10">
        <v>45615</v>
      </c>
      <c r="E5" s="10">
        <v>45603</v>
      </c>
      <c r="F5" s="10">
        <v>45967</v>
      </c>
      <c r="G5" s="3" t="s">
        <v>22</v>
      </c>
      <c r="H5" s="3" t="s">
        <v>23</v>
      </c>
      <c r="I5" s="3" t="s">
        <v>525</v>
      </c>
      <c r="J5" s="3" t="s">
        <v>526</v>
      </c>
      <c r="K5" s="3" t="s">
        <v>527</v>
      </c>
      <c r="L5" s="3" t="s">
        <v>528</v>
      </c>
      <c r="M5" s="3" t="s">
        <v>529</v>
      </c>
      <c r="N5" s="3" t="s">
        <v>530</v>
      </c>
      <c r="O5" s="3" t="s">
        <v>531</v>
      </c>
      <c r="P5" s="11">
        <v>2340000</v>
      </c>
      <c r="Q5" s="11">
        <v>40345</v>
      </c>
      <c r="R5" s="11">
        <v>46800</v>
      </c>
      <c r="S5" s="11">
        <v>46800</v>
      </c>
      <c r="T5" s="3" t="s">
        <v>532</v>
      </c>
      <c r="U5" s="3" t="s">
        <v>533</v>
      </c>
      <c r="V5" s="3" t="s">
        <v>26</v>
      </c>
    </row>
    <row r="6" spans="1:22" x14ac:dyDescent="0.2">
      <c r="A6" s="12">
        <v>5</v>
      </c>
      <c r="B6" s="3" t="s">
        <v>534</v>
      </c>
      <c r="C6" s="3"/>
      <c r="D6" s="10">
        <v>45615</v>
      </c>
      <c r="E6" s="10">
        <v>45603</v>
      </c>
      <c r="F6" s="10">
        <v>45967</v>
      </c>
      <c r="G6" s="3" t="s">
        <v>22</v>
      </c>
      <c r="H6" s="3" t="s">
        <v>23</v>
      </c>
      <c r="I6" s="3" t="s">
        <v>535</v>
      </c>
      <c r="J6" s="3" t="s">
        <v>536</v>
      </c>
      <c r="K6" s="3" t="s">
        <v>146</v>
      </c>
      <c r="L6" s="3" t="s">
        <v>537</v>
      </c>
      <c r="M6" s="3" t="s">
        <v>538</v>
      </c>
      <c r="N6" s="3" t="s">
        <v>539</v>
      </c>
      <c r="O6" s="3" t="s">
        <v>540</v>
      </c>
      <c r="P6" s="11">
        <v>9000000</v>
      </c>
      <c r="Q6" s="11">
        <v>116379</v>
      </c>
      <c r="R6" s="11">
        <v>135000</v>
      </c>
      <c r="S6" s="11">
        <v>135000</v>
      </c>
      <c r="T6" s="3" t="s">
        <v>541</v>
      </c>
      <c r="U6" s="3" t="s">
        <v>542</v>
      </c>
      <c r="V6" s="3" t="s">
        <v>26</v>
      </c>
    </row>
    <row r="7" spans="1:22" x14ac:dyDescent="0.2">
      <c r="A7" s="12">
        <v>6</v>
      </c>
      <c r="B7" s="3" t="s">
        <v>543</v>
      </c>
      <c r="C7" s="3"/>
      <c r="D7" s="10">
        <v>45615</v>
      </c>
      <c r="E7" s="10">
        <v>45602</v>
      </c>
      <c r="F7" s="10">
        <v>45966</v>
      </c>
      <c r="G7" s="3" t="s">
        <v>22</v>
      </c>
      <c r="H7" s="3" t="s">
        <v>23</v>
      </c>
      <c r="I7" s="3" t="s">
        <v>544</v>
      </c>
      <c r="J7" s="3" t="s">
        <v>545</v>
      </c>
      <c r="K7" s="3" t="s">
        <v>63</v>
      </c>
      <c r="L7" s="3"/>
      <c r="M7" s="3" t="s">
        <v>546</v>
      </c>
      <c r="N7" s="3" t="s">
        <v>547</v>
      </c>
      <c r="O7" s="3" t="s">
        <v>548</v>
      </c>
      <c r="P7" s="11">
        <v>4026600</v>
      </c>
      <c r="Q7" s="11">
        <v>52068</v>
      </c>
      <c r="R7" s="11">
        <v>60399</v>
      </c>
      <c r="S7" s="11">
        <v>60399</v>
      </c>
      <c r="T7" s="3" t="s">
        <v>549</v>
      </c>
      <c r="U7" s="3" t="s">
        <v>550</v>
      </c>
      <c r="V7" s="3" t="s">
        <v>26</v>
      </c>
    </row>
    <row r="8" spans="1:22" x14ac:dyDescent="0.2">
      <c r="A8" s="12">
        <v>7</v>
      </c>
      <c r="B8" s="3" t="s">
        <v>551</v>
      </c>
      <c r="C8" s="3"/>
      <c r="D8" s="10">
        <v>45615</v>
      </c>
      <c r="E8" s="10">
        <v>45609</v>
      </c>
      <c r="F8" s="10">
        <v>45973</v>
      </c>
      <c r="G8" s="3" t="s">
        <v>22</v>
      </c>
      <c r="H8" s="3" t="s">
        <v>23</v>
      </c>
      <c r="I8" s="3" t="s">
        <v>552</v>
      </c>
      <c r="J8" s="3" t="s">
        <v>553</v>
      </c>
      <c r="K8" s="3" t="s">
        <v>79</v>
      </c>
      <c r="L8" s="3" t="s">
        <v>554</v>
      </c>
      <c r="M8" s="3" t="s">
        <v>555</v>
      </c>
      <c r="N8" s="3" t="s">
        <v>556</v>
      </c>
      <c r="O8" s="3" t="s">
        <v>557</v>
      </c>
      <c r="P8" s="11">
        <v>2700000</v>
      </c>
      <c r="Q8" s="11">
        <v>46551</v>
      </c>
      <c r="R8" s="11">
        <v>54000</v>
      </c>
      <c r="S8" s="11">
        <v>54000</v>
      </c>
      <c r="T8" s="3" t="s">
        <v>558</v>
      </c>
      <c r="U8" s="3" t="s">
        <v>559</v>
      </c>
      <c r="V8" s="3" t="s">
        <v>26</v>
      </c>
    </row>
    <row r="9" spans="1:22" x14ac:dyDescent="0.2">
      <c r="A9" s="12">
        <v>8</v>
      </c>
      <c r="B9" s="3" t="s">
        <v>560</v>
      </c>
      <c r="C9" s="3"/>
      <c r="D9" s="10">
        <v>45615</v>
      </c>
      <c r="E9" s="10">
        <v>45611</v>
      </c>
      <c r="F9" s="10">
        <v>45975</v>
      </c>
      <c r="G9" s="3" t="s">
        <v>22</v>
      </c>
      <c r="H9" s="3" t="s">
        <v>23</v>
      </c>
      <c r="I9" s="3" t="s">
        <v>561</v>
      </c>
      <c r="J9" s="3" t="s">
        <v>562</v>
      </c>
      <c r="K9" s="3" t="s">
        <v>95</v>
      </c>
      <c r="L9" s="3" t="s">
        <v>563</v>
      </c>
      <c r="M9" s="3" t="s">
        <v>564</v>
      </c>
      <c r="N9" s="3" t="s">
        <v>565</v>
      </c>
      <c r="O9" s="3" t="s">
        <v>566</v>
      </c>
      <c r="P9" s="11">
        <v>3870000</v>
      </c>
      <c r="Q9" s="11">
        <v>50044</v>
      </c>
      <c r="R9" s="11">
        <v>58050</v>
      </c>
      <c r="S9" s="11">
        <v>58050</v>
      </c>
      <c r="T9" s="3" t="s">
        <v>567</v>
      </c>
      <c r="U9" s="3" t="s">
        <v>568</v>
      </c>
      <c r="V9" s="3" t="s">
        <v>26</v>
      </c>
    </row>
    <row r="10" spans="1:22" x14ac:dyDescent="0.2">
      <c r="A10" s="12">
        <v>9</v>
      </c>
      <c r="B10" s="3" t="s">
        <v>569</v>
      </c>
      <c r="C10" s="3"/>
      <c r="D10" s="10">
        <v>45615</v>
      </c>
      <c r="E10" s="10">
        <v>45613</v>
      </c>
      <c r="F10" s="10">
        <v>45977</v>
      </c>
      <c r="G10" s="3" t="s">
        <v>22</v>
      </c>
      <c r="H10" s="3" t="s">
        <v>23</v>
      </c>
      <c r="I10" s="3" t="s">
        <v>570</v>
      </c>
      <c r="J10" s="3" t="s">
        <v>571</v>
      </c>
      <c r="K10" s="3" t="s">
        <v>146</v>
      </c>
      <c r="L10" s="3" t="s">
        <v>572</v>
      </c>
      <c r="M10" s="3" t="s">
        <v>573</v>
      </c>
      <c r="N10" s="3" t="s">
        <v>574</v>
      </c>
      <c r="O10" s="3" t="s">
        <v>575</v>
      </c>
      <c r="P10" s="11">
        <v>1260000</v>
      </c>
      <c r="Q10" s="11">
        <v>21724</v>
      </c>
      <c r="R10" s="11">
        <v>25200</v>
      </c>
      <c r="S10" s="11">
        <v>25200</v>
      </c>
      <c r="T10" s="3" t="s">
        <v>576</v>
      </c>
      <c r="U10" s="3" t="s">
        <v>577</v>
      </c>
      <c r="V10" s="3" t="s">
        <v>26</v>
      </c>
    </row>
    <row r="11" spans="1:22" x14ac:dyDescent="0.2">
      <c r="A11" s="12">
        <v>10</v>
      </c>
      <c r="B11" s="3" t="s">
        <v>578</v>
      </c>
      <c r="C11" s="3"/>
      <c r="D11" s="10">
        <v>45615</v>
      </c>
      <c r="E11" s="10">
        <v>45623</v>
      </c>
      <c r="F11" s="10">
        <v>45987</v>
      </c>
      <c r="G11" s="3" t="s">
        <v>22</v>
      </c>
      <c r="H11" s="3" t="s">
        <v>23</v>
      </c>
      <c r="I11" s="3" t="s">
        <v>579</v>
      </c>
      <c r="J11" s="3" t="s">
        <v>368</v>
      </c>
      <c r="K11" s="3" t="s">
        <v>63</v>
      </c>
      <c r="L11" s="3"/>
      <c r="M11" s="3" t="s">
        <v>580</v>
      </c>
      <c r="N11" s="3" t="s">
        <v>581</v>
      </c>
      <c r="O11" s="3" t="s">
        <v>582</v>
      </c>
      <c r="P11" s="11">
        <v>2889090</v>
      </c>
      <c r="Q11" s="11">
        <v>49812</v>
      </c>
      <c r="R11" s="11">
        <v>57782</v>
      </c>
      <c r="S11" s="11">
        <v>57782</v>
      </c>
      <c r="T11" s="3" t="s">
        <v>583</v>
      </c>
      <c r="U11" s="3" t="s">
        <v>584</v>
      </c>
      <c r="V11" s="3" t="s">
        <v>26</v>
      </c>
    </row>
    <row r="12" spans="1:22" x14ac:dyDescent="0.2">
      <c r="A12" s="12">
        <v>11</v>
      </c>
      <c r="B12" s="3" t="s">
        <v>585</v>
      </c>
      <c r="C12" s="3"/>
      <c r="D12" s="10">
        <v>45615</v>
      </c>
      <c r="E12" s="10">
        <v>45616</v>
      </c>
      <c r="F12" s="10">
        <v>45980</v>
      </c>
      <c r="G12" s="3" t="s">
        <v>22</v>
      </c>
      <c r="H12" s="3" t="s">
        <v>23</v>
      </c>
      <c r="I12" s="3" t="s">
        <v>586</v>
      </c>
      <c r="J12" s="3" t="s">
        <v>231</v>
      </c>
      <c r="K12" s="3" t="s">
        <v>146</v>
      </c>
      <c r="L12" s="3" t="s">
        <v>587</v>
      </c>
      <c r="M12" s="3" t="s">
        <v>588</v>
      </c>
      <c r="N12" s="3" t="s">
        <v>589</v>
      </c>
      <c r="O12" s="3" t="s">
        <v>590</v>
      </c>
      <c r="P12" s="11">
        <v>1980000</v>
      </c>
      <c r="Q12" s="11">
        <v>34138</v>
      </c>
      <c r="R12" s="11">
        <v>39600</v>
      </c>
      <c r="S12" s="11">
        <v>39600</v>
      </c>
      <c r="T12" s="3" t="s">
        <v>591</v>
      </c>
      <c r="U12" s="3" t="s">
        <v>592</v>
      </c>
      <c r="V12" s="3" t="s">
        <v>26</v>
      </c>
    </row>
    <row r="13" spans="1:22" x14ac:dyDescent="0.2">
      <c r="A13" s="12">
        <v>12</v>
      </c>
      <c r="B13" s="3" t="s">
        <v>593</v>
      </c>
      <c r="C13" s="3"/>
      <c r="D13" s="10">
        <v>45615</v>
      </c>
      <c r="E13" s="10">
        <v>45598</v>
      </c>
      <c r="F13" s="10">
        <v>45962</v>
      </c>
      <c r="G13" s="3" t="s">
        <v>22</v>
      </c>
      <c r="H13" s="3" t="s">
        <v>23</v>
      </c>
      <c r="I13" s="3" t="s">
        <v>594</v>
      </c>
      <c r="J13" s="3" t="s">
        <v>492</v>
      </c>
      <c r="K13" s="3" t="s">
        <v>174</v>
      </c>
      <c r="L13" s="3" t="s">
        <v>595</v>
      </c>
      <c r="M13" s="3" t="s">
        <v>596</v>
      </c>
      <c r="N13" s="3" t="s">
        <v>597</v>
      </c>
      <c r="O13" s="3" t="s">
        <v>598</v>
      </c>
      <c r="P13" s="11">
        <v>900000</v>
      </c>
      <c r="Q13" s="11">
        <v>15517</v>
      </c>
      <c r="R13" s="11">
        <v>18000</v>
      </c>
      <c r="S13" s="11">
        <v>18000</v>
      </c>
      <c r="T13" s="3" t="s">
        <v>599</v>
      </c>
      <c r="U13" s="3" t="s">
        <v>600</v>
      </c>
      <c r="V13" s="3" t="s">
        <v>26</v>
      </c>
    </row>
    <row r="14" spans="1:22" x14ac:dyDescent="0.2">
      <c r="A14" s="12">
        <v>13</v>
      </c>
      <c r="B14" s="3" t="s">
        <v>601</v>
      </c>
      <c r="C14" s="3"/>
      <c r="D14" s="10">
        <v>45615</v>
      </c>
      <c r="E14" s="10">
        <v>45616</v>
      </c>
      <c r="F14" s="10">
        <v>45980</v>
      </c>
      <c r="G14" s="3" t="s">
        <v>22</v>
      </c>
      <c r="H14" s="3" t="s">
        <v>23</v>
      </c>
      <c r="I14" s="3" t="s">
        <v>602</v>
      </c>
      <c r="J14" s="3" t="s">
        <v>128</v>
      </c>
      <c r="K14" s="3" t="s">
        <v>63</v>
      </c>
      <c r="L14" s="3" t="s">
        <v>603</v>
      </c>
      <c r="M14" s="3" t="s">
        <v>604</v>
      </c>
      <c r="N14" s="3" t="s">
        <v>605</v>
      </c>
      <c r="O14" s="3" t="s">
        <v>606</v>
      </c>
      <c r="P14" s="11">
        <v>3675600</v>
      </c>
      <c r="Q14" s="11">
        <v>47530</v>
      </c>
      <c r="R14" s="11">
        <v>55134</v>
      </c>
      <c r="S14" s="11">
        <v>55134</v>
      </c>
      <c r="T14" s="3" t="s">
        <v>607</v>
      </c>
      <c r="U14" s="3" t="s">
        <v>608</v>
      </c>
      <c r="V14" s="3" t="s">
        <v>26</v>
      </c>
    </row>
    <row r="15" spans="1:22" x14ac:dyDescent="0.2">
      <c r="A15" s="12">
        <v>14</v>
      </c>
      <c r="B15" s="3" t="s">
        <v>609</v>
      </c>
      <c r="C15" s="3"/>
      <c r="D15" s="10">
        <v>45615</v>
      </c>
      <c r="E15" s="10">
        <v>45617</v>
      </c>
      <c r="F15" s="10">
        <v>45981</v>
      </c>
      <c r="G15" s="3" t="s">
        <v>22</v>
      </c>
      <c r="H15" s="3" t="s">
        <v>23</v>
      </c>
      <c r="I15" s="3" t="s">
        <v>610</v>
      </c>
      <c r="J15" s="3" t="s">
        <v>351</v>
      </c>
      <c r="K15" s="3" t="s">
        <v>527</v>
      </c>
      <c r="L15" s="3" t="s">
        <v>611</v>
      </c>
      <c r="M15" s="3" t="s">
        <v>612</v>
      </c>
      <c r="N15" s="3" t="s">
        <v>613</v>
      </c>
      <c r="O15" s="3" t="s">
        <v>614</v>
      </c>
      <c r="P15" s="11">
        <v>3420000</v>
      </c>
      <c r="Q15" s="11">
        <v>44224</v>
      </c>
      <c r="R15" s="11">
        <v>51300</v>
      </c>
      <c r="S15" s="11">
        <v>51300</v>
      </c>
      <c r="T15" s="3" t="s">
        <v>615</v>
      </c>
      <c r="U15" s="3"/>
      <c r="V15" s="3" t="s">
        <v>26</v>
      </c>
    </row>
    <row r="16" spans="1:22" x14ac:dyDescent="0.2">
      <c r="A16" s="12">
        <v>15</v>
      </c>
      <c r="B16" s="3" t="s">
        <v>616</v>
      </c>
      <c r="C16" s="3"/>
      <c r="D16" s="10">
        <v>45615</v>
      </c>
      <c r="E16" s="10">
        <v>45617</v>
      </c>
      <c r="F16" s="10">
        <v>45981</v>
      </c>
      <c r="G16" s="3" t="s">
        <v>22</v>
      </c>
      <c r="H16" s="3" t="s">
        <v>23</v>
      </c>
      <c r="I16" s="3" t="s">
        <v>617</v>
      </c>
      <c r="J16" s="3" t="s">
        <v>128</v>
      </c>
      <c r="K16" s="3" t="s">
        <v>146</v>
      </c>
      <c r="L16" s="3" t="s">
        <v>618</v>
      </c>
      <c r="M16" s="3" t="s">
        <v>619</v>
      </c>
      <c r="N16" s="3" t="s">
        <v>620</v>
      </c>
      <c r="O16" s="3" t="s">
        <v>621</v>
      </c>
      <c r="P16" s="11">
        <v>2655000</v>
      </c>
      <c r="Q16" s="11">
        <v>45776</v>
      </c>
      <c r="R16" s="11">
        <v>53100</v>
      </c>
      <c r="S16" s="11">
        <v>53100</v>
      </c>
      <c r="T16" s="3" t="s">
        <v>622</v>
      </c>
      <c r="U16" s="3" t="s">
        <v>623</v>
      </c>
      <c r="V16" s="3" t="s">
        <v>26</v>
      </c>
    </row>
    <row r="17" spans="1:22" x14ac:dyDescent="0.2">
      <c r="A17" s="12">
        <v>16</v>
      </c>
      <c r="B17" s="3" t="s">
        <v>624</v>
      </c>
      <c r="C17" s="3"/>
      <c r="D17" s="10">
        <v>45615</v>
      </c>
      <c r="E17" s="10">
        <v>45617</v>
      </c>
      <c r="F17" s="10">
        <v>45981</v>
      </c>
      <c r="G17" s="3" t="s">
        <v>22</v>
      </c>
      <c r="H17" s="3" t="s">
        <v>23</v>
      </c>
      <c r="I17" s="3" t="s">
        <v>625</v>
      </c>
      <c r="J17" s="3" t="s">
        <v>626</v>
      </c>
      <c r="K17" s="3" t="s">
        <v>79</v>
      </c>
      <c r="L17" s="3" t="s">
        <v>627</v>
      </c>
      <c r="M17" s="3" t="s">
        <v>628</v>
      </c>
      <c r="N17" s="3" t="s">
        <v>629</v>
      </c>
      <c r="O17" s="3" t="s">
        <v>630</v>
      </c>
      <c r="P17" s="11">
        <v>4680000</v>
      </c>
      <c r="Q17" s="11">
        <v>60517</v>
      </c>
      <c r="R17" s="11">
        <v>70200</v>
      </c>
      <c r="S17" s="11">
        <v>70200</v>
      </c>
      <c r="T17" s="3" t="s">
        <v>631</v>
      </c>
      <c r="U17" s="3" t="s">
        <v>632</v>
      </c>
      <c r="V17" s="3" t="s">
        <v>26</v>
      </c>
    </row>
    <row r="18" spans="1:22" x14ac:dyDescent="0.2">
      <c r="A18" s="12">
        <v>17</v>
      </c>
      <c r="B18" s="3" t="s">
        <v>633</v>
      </c>
      <c r="C18" s="3"/>
      <c r="D18" s="10">
        <v>45615</v>
      </c>
      <c r="E18" s="10">
        <v>45618</v>
      </c>
      <c r="F18" s="10">
        <v>45982</v>
      </c>
      <c r="G18" s="3" t="s">
        <v>22</v>
      </c>
      <c r="H18" s="3" t="s">
        <v>23</v>
      </c>
      <c r="I18" s="3" t="s">
        <v>634</v>
      </c>
      <c r="J18" s="3" t="s">
        <v>222</v>
      </c>
      <c r="K18" s="3" t="s">
        <v>79</v>
      </c>
      <c r="L18" s="3" t="s">
        <v>635</v>
      </c>
      <c r="M18" s="3" t="s">
        <v>636</v>
      </c>
      <c r="N18" s="3" t="s">
        <v>637</v>
      </c>
      <c r="O18" s="3" t="s">
        <v>638</v>
      </c>
      <c r="P18" s="11">
        <v>4500000</v>
      </c>
      <c r="Q18" s="11">
        <v>58190</v>
      </c>
      <c r="R18" s="11">
        <v>67500</v>
      </c>
      <c r="S18" s="11">
        <v>67500</v>
      </c>
      <c r="T18" s="3" t="s">
        <v>639</v>
      </c>
      <c r="U18" s="3" t="s">
        <v>640</v>
      </c>
      <c r="V18" s="3" t="s">
        <v>26</v>
      </c>
    </row>
    <row r="19" spans="1:22" x14ac:dyDescent="0.2">
      <c r="A19" s="12">
        <v>18</v>
      </c>
      <c r="B19" s="3" t="s">
        <v>641</v>
      </c>
      <c r="C19" s="3"/>
      <c r="D19" s="10">
        <v>45615</v>
      </c>
      <c r="E19" s="10">
        <v>45618</v>
      </c>
      <c r="F19" s="10">
        <v>45982</v>
      </c>
      <c r="G19" s="3" t="s">
        <v>22</v>
      </c>
      <c r="H19" s="3" t="s">
        <v>23</v>
      </c>
      <c r="I19" s="3" t="s">
        <v>642</v>
      </c>
      <c r="J19" s="3" t="s">
        <v>643</v>
      </c>
      <c r="K19" s="3" t="s">
        <v>156</v>
      </c>
      <c r="L19" s="3" t="s">
        <v>644</v>
      </c>
      <c r="M19" s="3" t="s">
        <v>645</v>
      </c>
      <c r="N19" s="3" t="s">
        <v>646</v>
      </c>
      <c r="O19" s="3"/>
      <c r="P19" s="11">
        <v>3600000</v>
      </c>
      <c r="Q19" s="11">
        <v>46551</v>
      </c>
      <c r="R19" s="11">
        <v>54000</v>
      </c>
      <c r="S19" s="11">
        <v>54000</v>
      </c>
      <c r="T19" s="3"/>
      <c r="U19" s="3"/>
      <c r="V19" s="3" t="s">
        <v>26</v>
      </c>
    </row>
    <row r="20" spans="1:22" x14ac:dyDescent="0.2">
      <c r="A20" s="12">
        <v>19</v>
      </c>
      <c r="B20" s="3" t="s">
        <v>647</v>
      </c>
      <c r="C20" s="3"/>
      <c r="D20" s="10">
        <v>45615</v>
      </c>
      <c r="E20" s="10">
        <v>45619</v>
      </c>
      <c r="F20" s="10">
        <v>45983</v>
      </c>
      <c r="G20" s="3" t="s">
        <v>22</v>
      </c>
      <c r="H20" s="3" t="s">
        <v>23</v>
      </c>
      <c r="I20" s="3" t="s">
        <v>648</v>
      </c>
      <c r="J20" s="3" t="s">
        <v>351</v>
      </c>
      <c r="K20" s="3" t="s">
        <v>174</v>
      </c>
      <c r="L20" s="3" t="s">
        <v>649</v>
      </c>
      <c r="M20" s="3" t="s">
        <v>650</v>
      </c>
      <c r="N20" s="3" t="s">
        <v>651</v>
      </c>
      <c r="O20" s="3" t="s">
        <v>652</v>
      </c>
      <c r="P20" s="11">
        <v>3645000</v>
      </c>
      <c r="Q20" s="11">
        <v>47134</v>
      </c>
      <c r="R20" s="11">
        <v>54675</v>
      </c>
      <c r="S20" s="11">
        <v>54675</v>
      </c>
      <c r="T20" s="3" t="s">
        <v>653</v>
      </c>
      <c r="U20" s="3" t="s">
        <v>654</v>
      </c>
      <c r="V20" s="3" t="s">
        <v>26</v>
      </c>
    </row>
    <row r="21" spans="1:22" x14ac:dyDescent="0.2">
      <c r="A21" s="12">
        <v>20</v>
      </c>
      <c r="B21" s="3" t="s">
        <v>655</v>
      </c>
      <c r="C21" s="3"/>
      <c r="D21" s="10">
        <v>45615</v>
      </c>
      <c r="E21" s="10">
        <v>45619</v>
      </c>
      <c r="F21" s="10">
        <v>45983</v>
      </c>
      <c r="G21" s="3" t="s">
        <v>22</v>
      </c>
      <c r="H21" s="3" t="s">
        <v>23</v>
      </c>
      <c r="I21" s="3" t="s">
        <v>656</v>
      </c>
      <c r="J21" s="3" t="s">
        <v>62</v>
      </c>
      <c r="K21" s="3" t="s">
        <v>79</v>
      </c>
      <c r="L21" s="3" t="s">
        <v>657</v>
      </c>
      <c r="M21" s="3" t="s">
        <v>658</v>
      </c>
      <c r="N21" s="3" t="s">
        <v>659</v>
      </c>
      <c r="O21" s="3" t="s">
        <v>660</v>
      </c>
      <c r="P21" s="11">
        <v>3856500</v>
      </c>
      <c r="Q21" s="11">
        <v>49869</v>
      </c>
      <c r="R21" s="11">
        <v>57848</v>
      </c>
      <c r="S21" s="11">
        <v>57848</v>
      </c>
      <c r="T21" s="3" t="s">
        <v>661</v>
      </c>
      <c r="U21" s="3" t="s">
        <v>662</v>
      </c>
      <c r="V21" s="3" t="s">
        <v>26</v>
      </c>
    </row>
    <row r="22" spans="1:22" x14ac:dyDescent="0.2">
      <c r="A22" s="12">
        <v>21</v>
      </c>
      <c r="B22" s="3" t="s">
        <v>663</v>
      </c>
      <c r="C22" s="3"/>
      <c r="D22" s="10">
        <v>45615</v>
      </c>
      <c r="E22" s="10">
        <v>45619</v>
      </c>
      <c r="F22" s="10">
        <v>45983</v>
      </c>
      <c r="G22" s="3" t="s">
        <v>22</v>
      </c>
      <c r="H22" s="3" t="s">
        <v>23</v>
      </c>
      <c r="I22" s="3" t="s">
        <v>664</v>
      </c>
      <c r="J22" s="3" t="s">
        <v>665</v>
      </c>
      <c r="K22" s="3" t="s">
        <v>95</v>
      </c>
      <c r="L22" s="3" t="s">
        <v>666</v>
      </c>
      <c r="M22" s="3" t="s">
        <v>667</v>
      </c>
      <c r="N22" s="3" t="s">
        <v>668</v>
      </c>
      <c r="O22" s="3" t="s">
        <v>669</v>
      </c>
      <c r="P22" s="11">
        <v>6210000</v>
      </c>
      <c r="Q22" s="11">
        <v>80302</v>
      </c>
      <c r="R22" s="11">
        <v>93150</v>
      </c>
      <c r="S22" s="11">
        <v>93150</v>
      </c>
      <c r="T22" s="3" t="s">
        <v>670</v>
      </c>
      <c r="U22" s="3" t="s">
        <v>671</v>
      </c>
      <c r="V22" s="3" t="s">
        <v>26</v>
      </c>
    </row>
    <row r="23" spans="1:22" x14ac:dyDescent="0.2">
      <c r="A23" s="12">
        <v>22</v>
      </c>
      <c r="B23" s="3" t="s">
        <v>672</v>
      </c>
      <c r="C23" s="3"/>
      <c r="D23" s="10">
        <v>45615</v>
      </c>
      <c r="E23" s="10">
        <v>45620</v>
      </c>
      <c r="F23" s="10">
        <v>45984</v>
      </c>
      <c r="G23" s="3" t="s">
        <v>22</v>
      </c>
      <c r="H23" s="3" t="s">
        <v>23</v>
      </c>
      <c r="I23" s="3" t="s">
        <v>673</v>
      </c>
      <c r="J23" s="3" t="s">
        <v>173</v>
      </c>
      <c r="K23" s="3" t="s">
        <v>174</v>
      </c>
      <c r="L23" s="3" t="s">
        <v>674</v>
      </c>
      <c r="M23" s="3" t="s">
        <v>675</v>
      </c>
      <c r="N23" s="3" t="s">
        <v>676</v>
      </c>
      <c r="O23" s="3" t="s">
        <v>677</v>
      </c>
      <c r="P23" s="11">
        <v>3600000</v>
      </c>
      <c r="Q23" s="11">
        <v>46551</v>
      </c>
      <c r="R23" s="11">
        <v>54000</v>
      </c>
      <c r="S23" s="11">
        <v>54000</v>
      </c>
      <c r="T23" s="3" t="s">
        <v>678</v>
      </c>
      <c r="U23" s="3" t="s">
        <v>679</v>
      </c>
      <c r="V23" s="3" t="s">
        <v>26</v>
      </c>
    </row>
    <row r="24" spans="1:22" x14ac:dyDescent="0.2">
      <c r="A24" s="12">
        <v>23</v>
      </c>
      <c r="B24" s="3" t="s">
        <v>680</v>
      </c>
      <c r="C24" s="3"/>
      <c r="D24" s="10">
        <v>45615</v>
      </c>
      <c r="E24" s="10">
        <v>45598</v>
      </c>
      <c r="F24" s="10">
        <v>45962</v>
      </c>
      <c r="G24" s="3" t="s">
        <v>22</v>
      </c>
      <c r="H24" s="3" t="s">
        <v>23</v>
      </c>
      <c r="I24" s="3" t="s">
        <v>681</v>
      </c>
      <c r="J24" s="3" t="s">
        <v>682</v>
      </c>
      <c r="K24" s="3" t="s">
        <v>156</v>
      </c>
      <c r="L24" s="3" t="s">
        <v>683</v>
      </c>
      <c r="M24" s="3" t="s">
        <v>684</v>
      </c>
      <c r="N24" s="3" t="s">
        <v>685</v>
      </c>
      <c r="O24" s="3" t="s">
        <v>686</v>
      </c>
      <c r="P24" s="11">
        <v>3150000</v>
      </c>
      <c r="Q24" s="11">
        <v>40733</v>
      </c>
      <c r="R24" s="11">
        <v>47250</v>
      </c>
      <c r="S24" s="11">
        <v>47250</v>
      </c>
      <c r="T24" s="3" t="s">
        <v>687</v>
      </c>
      <c r="U24" s="3" t="s">
        <v>688</v>
      </c>
      <c r="V24" s="3" t="s">
        <v>26</v>
      </c>
    </row>
    <row r="25" spans="1:22" x14ac:dyDescent="0.2">
      <c r="A25" s="12">
        <v>24</v>
      </c>
      <c r="B25" s="3" t="s">
        <v>689</v>
      </c>
      <c r="C25" s="3"/>
      <c r="D25" s="10">
        <v>45615</v>
      </c>
      <c r="E25" s="10">
        <v>45623</v>
      </c>
      <c r="F25" s="10">
        <v>45987</v>
      </c>
      <c r="G25" s="3" t="s">
        <v>22</v>
      </c>
      <c r="H25" s="3" t="s">
        <v>23</v>
      </c>
      <c r="I25" s="3" t="s">
        <v>690</v>
      </c>
      <c r="J25" s="3" t="s">
        <v>292</v>
      </c>
      <c r="K25" s="3" t="s">
        <v>30</v>
      </c>
      <c r="L25" s="3" t="s">
        <v>691</v>
      </c>
      <c r="M25" s="3" t="s">
        <v>692</v>
      </c>
      <c r="N25" s="3" t="s">
        <v>693</v>
      </c>
      <c r="O25" s="3" t="s">
        <v>694</v>
      </c>
      <c r="P25" s="11">
        <v>1890000</v>
      </c>
      <c r="Q25" s="11">
        <v>32586</v>
      </c>
      <c r="R25" s="11">
        <v>37800</v>
      </c>
      <c r="S25" s="11">
        <v>37800</v>
      </c>
      <c r="T25" s="3" t="s">
        <v>695</v>
      </c>
      <c r="U25" s="3" t="s">
        <v>696</v>
      </c>
      <c r="V25" s="3" t="s">
        <v>26</v>
      </c>
    </row>
    <row r="26" spans="1:22" x14ac:dyDescent="0.2">
      <c r="A26" s="12">
        <v>25</v>
      </c>
      <c r="B26" s="3" t="s">
        <v>697</v>
      </c>
      <c r="C26" s="3"/>
      <c r="D26" s="10">
        <v>45615</v>
      </c>
      <c r="E26" s="10">
        <v>45624</v>
      </c>
      <c r="F26" s="10">
        <v>45988</v>
      </c>
      <c r="G26" s="3" t="s">
        <v>22</v>
      </c>
      <c r="H26" s="3" t="s">
        <v>23</v>
      </c>
      <c r="I26" s="3" t="s">
        <v>698</v>
      </c>
      <c r="J26" s="3" t="s">
        <v>46</v>
      </c>
      <c r="K26" s="3" t="s">
        <v>63</v>
      </c>
      <c r="L26" s="3" t="s">
        <v>699</v>
      </c>
      <c r="M26" s="3" t="s">
        <v>700</v>
      </c>
      <c r="N26" s="3" t="s">
        <v>701</v>
      </c>
      <c r="O26" s="3" t="s">
        <v>702</v>
      </c>
      <c r="P26" s="11">
        <v>2641500</v>
      </c>
      <c r="Q26" s="11">
        <v>45544</v>
      </c>
      <c r="R26" s="11">
        <v>52830</v>
      </c>
      <c r="S26" s="11">
        <v>52830</v>
      </c>
      <c r="T26" s="3" t="s">
        <v>703</v>
      </c>
      <c r="U26" s="3" t="s">
        <v>704</v>
      </c>
      <c r="V26" s="3" t="s">
        <v>26</v>
      </c>
    </row>
    <row r="27" spans="1:22" x14ac:dyDescent="0.2">
      <c r="A27" s="12">
        <v>26</v>
      </c>
      <c r="B27" s="3" t="s">
        <v>705</v>
      </c>
      <c r="C27" s="3"/>
      <c r="D27" s="10">
        <v>45615</v>
      </c>
      <c r="E27" s="10">
        <v>45624</v>
      </c>
      <c r="F27" s="10">
        <v>45988</v>
      </c>
      <c r="G27" s="3" t="s">
        <v>22</v>
      </c>
      <c r="H27" s="3" t="s">
        <v>23</v>
      </c>
      <c r="I27" s="3" t="s">
        <v>706</v>
      </c>
      <c r="J27" s="3" t="s">
        <v>400</v>
      </c>
      <c r="K27" s="3" t="s">
        <v>63</v>
      </c>
      <c r="L27" s="3"/>
      <c r="M27" s="3" t="s">
        <v>707</v>
      </c>
      <c r="N27" s="3" t="s">
        <v>708</v>
      </c>
      <c r="O27" s="3" t="s">
        <v>709</v>
      </c>
      <c r="P27" s="11">
        <v>2699100</v>
      </c>
      <c r="Q27" s="11">
        <v>46537</v>
      </c>
      <c r="R27" s="11">
        <v>53982</v>
      </c>
      <c r="S27" s="11">
        <v>53982</v>
      </c>
      <c r="T27" s="3" t="s">
        <v>710</v>
      </c>
      <c r="U27" s="3" t="s">
        <v>711</v>
      </c>
      <c r="V27" s="3" t="s">
        <v>26</v>
      </c>
    </row>
    <row r="28" spans="1:22" x14ac:dyDescent="0.2">
      <c r="A28" s="12">
        <v>27</v>
      </c>
      <c r="B28" s="3" t="s">
        <v>712</v>
      </c>
      <c r="C28" s="3"/>
      <c r="D28" s="10">
        <v>45615</v>
      </c>
      <c r="E28" s="10">
        <v>45624</v>
      </c>
      <c r="F28" s="10">
        <v>45988</v>
      </c>
      <c r="G28" s="3" t="s">
        <v>22</v>
      </c>
      <c r="H28" s="3" t="s">
        <v>23</v>
      </c>
      <c r="I28" s="3" t="s">
        <v>713</v>
      </c>
      <c r="J28" s="3" t="s">
        <v>368</v>
      </c>
      <c r="K28" s="3" t="s">
        <v>30</v>
      </c>
      <c r="L28" s="3" t="s">
        <v>714</v>
      </c>
      <c r="M28" s="3" t="s">
        <v>715</v>
      </c>
      <c r="N28" s="3" t="s">
        <v>716</v>
      </c>
      <c r="O28" s="3" t="s">
        <v>717</v>
      </c>
      <c r="P28" s="11">
        <v>1800000</v>
      </c>
      <c r="Q28" s="11">
        <v>31035</v>
      </c>
      <c r="R28" s="11">
        <v>36000</v>
      </c>
      <c r="S28" s="11">
        <v>36000</v>
      </c>
      <c r="T28" s="3" t="s">
        <v>718</v>
      </c>
      <c r="U28" s="3" t="s">
        <v>719</v>
      </c>
      <c r="V28" s="3" t="s">
        <v>26</v>
      </c>
    </row>
    <row r="29" spans="1:22" x14ac:dyDescent="0.2">
      <c r="A29" s="12">
        <v>28</v>
      </c>
      <c r="B29" s="3" t="s">
        <v>720</v>
      </c>
      <c r="C29" s="3"/>
      <c r="D29" s="10">
        <v>45615</v>
      </c>
      <c r="E29" s="10">
        <v>45624</v>
      </c>
      <c r="F29" s="10">
        <v>45988</v>
      </c>
      <c r="G29" s="3" t="s">
        <v>22</v>
      </c>
      <c r="H29" s="3" t="s">
        <v>23</v>
      </c>
      <c r="I29" s="3" t="s">
        <v>721</v>
      </c>
      <c r="J29" s="3" t="s">
        <v>722</v>
      </c>
      <c r="K29" s="3" t="s">
        <v>174</v>
      </c>
      <c r="L29" s="3" t="s">
        <v>723</v>
      </c>
      <c r="M29" s="3" t="s">
        <v>724</v>
      </c>
      <c r="N29" s="3" t="s">
        <v>725</v>
      </c>
      <c r="O29" s="3" t="s">
        <v>726</v>
      </c>
      <c r="P29" s="11">
        <v>3420000</v>
      </c>
      <c r="Q29" s="11">
        <v>44224</v>
      </c>
      <c r="R29" s="11">
        <v>51300</v>
      </c>
      <c r="S29" s="11">
        <v>51300</v>
      </c>
      <c r="T29" s="3" t="s">
        <v>727</v>
      </c>
      <c r="U29" s="3" t="s">
        <v>728</v>
      </c>
      <c r="V29" s="3" t="s">
        <v>26</v>
      </c>
    </row>
    <row r="30" spans="1:22" x14ac:dyDescent="0.2">
      <c r="A30" s="12">
        <v>29</v>
      </c>
      <c r="B30" s="3" t="s">
        <v>729</v>
      </c>
      <c r="C30" s="3"/>
      <c r="D30" s="10">
        <v>45615</v>
      </c>
      <c r="E30" s="10">
        <v>45625</v>
      </c>
      <c r="F30" s="10">
        <v>45989</v>
      </c>
      <c r="G30" s="3" t="s">
        <v>22</v>
      </c>
      <c r="H30" s="3" t="s">
        <v>23</v>
      </c>
      <c r="I30" s="3" t="s">
        <v>730</v>
      </c>
      <c r="J30" s="3" t="s">
        <v>731</v>
      </c>
      <c r="K30" s="3" t="s">
        <v>95</v>
      </c>
      <c r="L30" s="3" t="s">
        <v>732</v>
      </c>
      <c r="M30" s="3" t="s">
        <v>733</v>
      </c>
      <c r="N30" s="3" t="s">
        <v>734</v>
      </c>
      <c r="O30" s="3" t="s">
        <v>735</v>
      </c>
      <c r="P30" s="11">
        <v>4050000</v>
      </c>
      <c r="Q30" s="11">
        <v>52370</v>
      </c>
      <c r="R30" s="11">
        <v>60750</v>
      </c>
      <c r="S30" s="11">
        <v>60750</v>
      </c>
      <c r="T30" s="3" t="s">
        <v>736</v>
      </c>
      <c r="U30" s="3" t="s">
        <v>737</v>
      </c>
      <c r="V30" s="3" t="s">
        <v>26</v>
      </c>
    </row>
    <row r="31" spans="1:22" x14ac:dyDescent="0.2">
      <c r="A31" s="12">
        <v>30</v>
      </c>
      <c r="B31" s="3" t="s">
        <v>738</v>
      </c>
      <c r="C31" s="3"/>
      <c r="D31" s="10">
        <v>45615</v>
      </c>
      <c r="E31" s="10">
        <v>45625</v>
      </c>
      <c r="F31" s="10">
        <v>45989</v>
      </c>
      <c r="G31" s="3" t="s">
        <v>22</v>
      </c>
      <c r="H31" s="3" t="s">
        <v>23</v>
      </c>
      <c r="I31" s="3" t="s">
        <v>739</v>
      </c>
      <c r="J31" s="3" t="s">
        <v>665</v>
      </c>
      <c r="K31" s="3" t="s">
        <v>146</v>
      </c>
      <c r="L31" s="3" t="s">
        <v>740</v>
      </c>
      <c r="M31" s="3" t="s">
        <v>741</v>
      </c>
      <c r="N31" s="3" t="s">
        <v>742</v>
      </c>
      <c r="O31" s="3" t="s">
        <v>743</v>
      </c>
      <c r="P31" s="11">
        <v>6300000</v>
      </c>
      <c r="Q31" s="11">
        <v>81465</v>
      </c>
      <c r="R31" s="11">
        <v>94500</v>
      </c>
      <c r="S31" s="11">
        <v>94500</v>
      </c>
      <c r="T31" s="3" t="s">
        <v>744</v>
      </c>
      <c r="U31" s="3" t="s">
        <v>745</v>
      </c>
      <c r="V31" s="3" t="s">
        <v>26</v>
      </c>
    </row>
    <row r="32" spans="1:22" x14ac:dyDescent="0.2">
      <c r="A32" s="12">
        <v>31</v>
      </c>
      <c r="B32" s="3" t="s">
        <v>746</v>
      </c>
      <c r="C32" s="3"/>
      <c r="D32" s="10">
        <v>45615</v>
      </c>
      <c r="E32" s="10">
        <v>45625</v>
      </c>
      <c r="F32" s="10">
        <v>45989</v>
      </c>
      <c r="G32" s="3" t="s">
        <v>22</v>
      </c>
      <c r="H32" s="3" t="s">
        <v>23</v>
      </c>
      <c r="I32" s="3" t="s">
        <v>747</v>
      </c>
      <c r="J32" s="3" t="s">
        <v>748</v>
      </c>
      <c r="K32" s="3" t="s">
        <v>30</v>
      </c>
      <c r="L32" s="3" t="s">
        <v>749</v>
      </c>
      <c r="M32" s="3" t="s">
        <v>750</v>
      </c>
      <c r="N32" s="3" t="s">
        <v>751</v>
      </c>
      <c r="O32" s="3" t="s">
        <v>752</v>
      </c>
      <c r="P32" s="11">
        <v>7200000</v>
      </c>
      <c r="Q32" s="11">
        <v>93103</v>
      </c>
      <c r="R32" s="11">
        <v>108000</v>
      </c>
      <c r="S32" s="11">
        <v>108000</v>
      </c>
      <c r="T32" s="3" t="s">
        <v>753</v>
      </c>
      <c r="U32" s="3" t="s">
        <v>754</v>
      </c>
      <c r="V32" s="3" t="s">
        <v>26</v>
      </c>
    </row>
    <row r="33" spans="1:22" x14ac:dyDescent="0.2">
      <c r="A33" s="12">
        <v>32</v>
      </c>
      <c r="B33" s="3" t="s">
        <v>755</v>
      </c>
      <c r="C33" s="3"/>
      <c r="D33" s="10">
        <v>45615</v>
      </c>
      <c r="E33" s="10">
        <v>45625</v>
      </c>
      <c r="F33" s="10">
        <v>45989</v>
      </c>
      <c r="G33" s="3" t="s">
        <v>22</v>
      </c>
      <c r="H33" s="3" t="s">
        <v>23</v>
      </c>
      <c r="I33" s="3" t="s">
        <v>756</v>
      </c>
      <c r="J33" s="3" t="s">
        <v>757</v>
      </c>
      <c r="K33" s="3" t="s">
        <v>30</v>
      </c>
      <c r="L33" s="3" t="s">
        <v>758</v>
      </c>
      <c r="M33" s="3" t="s">
        <v>759</v>
      </c>
      <c r="N33" s="3" t="s">
        <v>760</v>
      </c>
      <c r="O33" s="3" t="s">
        <v>761</v>
      </c>
      <c r="P33" s="11">
        <v>6075000</v>
      </c>
      <c r="Q33" s="11">
        <v>78556</v>
      </c>
      <c r="R33" s="11">
        <v>91125</v>
      </c>
      <c r="S33" s="11">
        <v>91125</v>
      </c>
      <c r="T33" s="3" t="s">
        <v>762</v>
      </c>
      <c r="U33" s="3" t="s">
        <v>763</v>
      </c>
      <c r="V33" s="3" t="s">
        <v>26</v>
      </c>
    </row>
    <row r="34" spans="1:22" x14ac:dyDescent="0.2">
      <c r="A34" s="12">
        <v>33</v>
      </c>
      <c r="B34" s="3" t="s">
        <v>764</v>
      </c>
      <c r="C34" s="3"/>
      <c r="D34" s="10">
        <v>45615</v>
      </c>
      <c r="E34" s="10">
        <v>45625</v>
      </c>
      <c r="F34" s="10">
        <v>45989</v>
      </c>
      <c r="G34" s="3" t="s">
        <v>22</v>
      </c>
      <c r="H34" s="3" t="s">
        <v>23</v>
      </c>
      <c r="I34" s="3" t="s">
        <v>765</v>
      </c>
      <c r="J34" s="3" t="s">
        <v>400</v>
      </c>
      <c r="K34" s="3" t="s">
        <v>63</v>
      </c>
      <c r="L34" s="3"/>
      <c r="M34" s="3" t="s">
        <v>766</v>
      </c>
      <c r="N34" s="3" t="s">
        <v>767</v>
      </c>
      <c r="O34" s="3" t="s">
        <v>768</v>
      </c>
      <c r="P34" s="11">
        <v>2699100</v>
      </c>
      <c r="Q34" s="11">
        <v>46537</v>
      </c>
      <c r="R34" s="11">
        <v>53982</v>
      </c>
      <c r="S34" s="11">
        <v>53982</v>
      </c>
      <c r="T34" s="3" t="s">
        <v>769</v>
      </c>
      <c r="U34" s="3" t="s">
        <v>770</v>
      </c>
      <c r="V34" s="3" t="s">
        <v>26</v>
      </c>
    </row>
    <row r="35" spans="1:22" x14ac:dyDescent="0.2">
      <c r="A35" s="12">
        <v>34</v>
      </c>
      <c r="B35" s="3" t="s">
        <v>771</v>
      </c>
      <c r="C35" s="3"/>
      <c r="D35" s="10">
        <v>45615</v>
      </c>
      <c r="E35" s="10">
        <v>45598</v>
      </c>
      <c r="F35" s="10">
        <v>45962</v>
      </c>
      <c r="G35" s="3" t="s">
        <v>22</v>
      </c>
      <c r="H35" s="3" t="s">
        <v>23</v>
      </c>
      <c r="I35" s="3" t="s">
        <v>772</v>
      </c>
      <c r="J35" s="3" t="s">
        <v>46</v>
      </c>
      <c r="K35" s="3" t="s">
        <v>63</v>
      </c>
      <c r="L35" s="3" t="s">
        <v>773</v>
      </c>
      <c r="M35" s="3" t="s">
        <v>774</v>
      </c>
      <c r="N35" s="3" t="s">
        <v>775</v>
      </c>
      <c r="O35" s="3" t="s">
        <v>776</v>
      </c>
      <c r="P35" s="11">
        <v>2610000</v>
      </c>
      <c r="Q35" s="11">
        <v>45000</v>
      </c>
      <c r="R35" s="11">
        <v>52200</v>
      </c>
      <c r="S35" s="11">
        <v>52200</v>
      </c>
      <c r="T35" s="3" t="s">
        <v>777</v>
      </c>
      <c r="U35" s="3" t="s">
        <v>778</v>
      </c>
      <c r="V35" s="3" t="s">
        <v>26</v>
      </c>
    </row>
    <row r="36" spans="1:22" x14ac:dyDescent="0.2">
      <c r="A36" s="12">
        <v>35</v>
      </c>
      <c r="B36" s="3" t="s">
        <v>779</v>
      </c>
      <c r="C36" s="3"/>
      <c r="D36" s="10">
        <v>45615</v>
      </c>
      <c r="E36" s="10">
        <v>45626</v>
      </c>
      <c r="F36" s="10">
        <v>45990</v>
      </c>
      <c r="G36" s="3" t="s">
        <v>22</v>
      </c>
      <c r="H36" s="3" t="s">
        <v>23</v>
      </c>
      <c r="I36" s="3" t="s">
        <v>780</v>
      </c>
      <c r="J36" s="3" t="s">
        <v>292</v>
      </c>
      <c r="K36" s="3" t="s">
        <v>30</v>
      </c>
      <c r="L36" s="3" t="s">
        <v>781</v>
      </c>
      <c r="M36" s="3" t="s">
        <v>782</v>
      </c>
      <c r="N36" s="3" t="s">
        <v>783</v>
      </c>
      <c r="O36" s="3" t="s">
        <v>784</v>
      </c>
      <c r="P36" s="11">
        <v>2340000</v>
      </c>
      <c r="Q36" s="11">
        <v>40345</v>
      </c>
      <c r="R36" s="11">
        <v>46800</v>
      </c>
      <c r="S36" s="11">
        <v>46800</v>
      </c>
      <c r="T36" s="3" t="s">
        <v>785</v>
      </c>
      <c r="U36" s="3" t="s">
        <v>786</v>
      </c>
      <c r="V36" s="3" t="s">
        <v>26</v>
      </c>
    </row>
    <row r="37" spans="1:22" x14ac:dyDescent="0.2">
      <c r="A37" s="12">
        <v>36</v>
      </c>
      <c r="B37" s="3" t="s">
        <v>787</v>
      </c>
      <c r="C37" s="3"/>
      <c r="D37" s="10">
        <v>45615</v>
      </c>
      <c r="E37" s="10">
        <v>45626</v>
      </c>
      <c r="F37" s="10">
        <v>45990</v>
      </c>
      <c r="G37" s="3" t="s">
        <v>22</v>
      </c>
      <c r="H37" s="3" t="s">
        <v>23</v>
      </c>
      <c r="I37" s="3" t="s">
        <v>788</v>
      </c>
      <c r="J37" s="3" t="s">
        <v>46</v>
      </c>
      <c r="K37" s="3" t="s">
        <v>79</v>
      </c>
      <c r="L37" s="3" t="s">
        <v>789</v>
      </c>
      <c r="M37" s="3" t="s">
        <v>790</v>
      </c>
      <c r="N37" s="3" t="s">
        <v>791</v>
      </c>
      <c r="O37" s="3" t="s">
        <v>792</v>
      </c>
      <c r="P37" s="11">
        <v>1890000</v>
      </c>
      <c r="Q37" s="11">
        <v>32586</v>
      </c>
      <c r="R37" s="11">
        <v>37800</v>
      </c>
      <c r="S37" s="11">
        <v>37800</v>
      </c>
      <c r="T37" s="3" t="s">
        <v>793</v>
      </c>
      <c r="U37" s="3" t="s">
        <v>794</v>
      </c>
      <c r="V37" s="3" t="s">
        <v>26</v>
      </c>
    </row>
    <row r="38" spans="1:22" x14ac:dyDescent="0.2">
      <c r="A38" s="12">
        <v>37</v>
      </c>
      <c r="B38" s="3" t="s">
        <v>795</v>
      </c>
      <c r="C38" s="3"/>
      <c r="D38" s="10">
        <v>45615</v>
      </c>
      <c r="E38" s="10">
        <v>45626</v>
      </c>
      <c r="F38" s="10">
        <v>45990</v>
      </c>
      <c r="G38" s="3" t="s">
        <v>22</v>
      </c>
      <c r="H38" s="3" t="s">
        <v>23</v>
      </c>
      <c r="I38" s="3" t="s">
        <v>796</v>
      </c>
      <c r="J38" s="3" t="s">
        <v>128</v>
      </c>
      <c r="K38" s="3" t="s">
        <v>156</v>
      </c>
      <c r="L38" s="3" t="s">
        <v>797</v>
      </c>
      <c r="M38" s="3" t="s">
        <v>798</v>
      </c>
      <c r="N38" s="3" t="s">
        <v>799</v>
      </c>
      <c r="O38" s="3" t="s">
        <v>800</v>
      </c>
      <c r="P38" s="11">
        <v>1350000</v>
      </c>
      <c r="Q38" s="11">
        <v>23276</v>
      </c>
      <c r="R38" s="11">
        <v>27000</v>
      </c>
      <c r="S38" s="11">
        <v>27000</v>
      </c>
      <c r="T38" s="3" t="s">
        <v>801</v>
      </c>
      <c r="U38" s="3" t="s">
        <v>802</v>
      </c>
      <c r="V38" s="3" t="s">
        <v>26</v>
      </c>
    </row>
    <row r="39" spans="1:22" x14ac:dyDescent="0.2">
      <c r="A39" s="12">
        <v>38</v>
      </c>
      <c r="B39" s="3" t="s">
        <v>803</v>
      </c>
      <c r="C39" s="3"/>
      <c r="D39" s="10">
        <v>45615</v>
      </c>
      <c r="E39" s="10">
        <v>45626</v>
      </c>
      <c r="F39" s="10">
        <v>45990</v>
      </c>
      <c r="G39" s="3" t="s">
        <v>22</v>
      </c>
      <c r="H39" s="3" t="s">
        <v>23</v>
      </c>
      <c r="I39" s="3" t="s">
        <v>804</v>
      </c>
      <c r="J39" s="3" t="s">
        <v>805</v>
      </c>
      <c r="K39" s="3" t="s">
        <v>156</v>
      </c>
      <c r="L39" s="3" t="s">
        <v>806</v>
      </c>
      <c r="M39" s="3" t="s">
        <v>807</v>
      </c>
      <c r="N39" s="3" t="s">
        <v>808</v>
      </c>
      <c r="O39" s="3" t="s">
        <v>809</v>
      </c>
      <c r="P39" s="11">
        <v>1192500</v>
      </c>
      <c r="Q39" s="11">
        <v>20560</v>
      </c>
      <c r="R39" s="11">
        <v>23850</v>
      </c>
      <c r="S39" s="11">
        <v>23850</v>
      </c>
      <c r="T39" s="3" t="s">
        <v>810</v>
      </c>
      <c r="U39" s="3" t="s">
        <v>811</v>
      </c>
      <c r="V39" s="3" t="s">
        <v>26</v>
      </c>
    </row>
    <row r="40" spans="1:22" x14ac:dyDescent="0.2">
      <c r="A40" s="12">
        <v>39</v>
      </c>
      <c r="B40" s="3" t="s">
        <v>812</v>
      </c>
      <c r="C40" s="3"/>
      <c r="D40" s="10">
        <v>45615</v>
      </c>
      <c r="E40" s="10">
        <v>45626</v>
      </c>
      <c r="F40" s="10">
        <v>45990</v>
      </c>
      <c r="G40" s="3" t="s">
        <v>22</v>
      </c>
      <c r="H40" s="3" t="s">
        <v>23</v>
      </c>
      <c r="I40" s="3" t="s">
        <v>813</v>
      </c>
      <c r="J40" s="3" t="s">
        <v>814</v>
      </c>
      <c r="K40" s="3" t="s">
        <v>79</v>
      </c>
      <c r="L40" s="3" t="s">
        <v>815</v>
      </c>
      <c r="M40" s="3" t="s">
        <v>816</v>
      </c>
      <c r="N40" s="3" t="s">
        <v>817</v>
      </c>
      <c r="O40" s="3" t="s">
        <v>818</v>
      </c>
      <c r="P40" s="11">
        <v>3420000</v>
      </c>
      <c r="Q40" s="11">
        <v>44224</v>
      </c>
      <c r="R40" s="11">
        <v>51300</v>
      </c>
      <c r="S40" s="11">
        <v>51300</v>
      </c>
      <c r="T40" s="3" t="s">
        <v>819</v>
      </c>
      <c r="U40" s="3" t="s">
        <v>820</v>
      </c>
      <c r="V40" s="3" t="s">
        <v>26</v>
      </c>
    </row>
    <row r="41" spans="1:22" x14ac:dyDescent="0.2">
      <c r="A41" s="12">
        <v>40</v>
      </c>
      <c r="B41" s="3" t="s">
        <v>821</v>
      </c>
      <c r="C41" s="3"/>
      <c r="D41" s="10">
        <v>45615</v>
      </c>
      <c r="E41" s="10">
        <v>45626</v>
      </c>
      <c r="F41" s="10">
        <v>45990</v>
      </c>
      <c r="G41" s="3" t="s">
        <v>22</v>
      </c>
      <c r="H41" s="3" t="s">
        <v>23</v>
      </c>
      <c r="I41" s="3" t="s">
        <v>822</v>
      </c>
      <c r="J41" s="3" t="s">
        <v>823</v>
      </c>
      <c r="K41" s="3" t="s">
        <v>156</v>
      </c>
      <c r="L41" s="3" t="s">
        <v>824</v>
      </c>
      <c r="M41" s="3" t="s">
        <v>825</v>
      </c>
      <c r="N41" s="3" t="s">
        <v>826</v>
      </c>
      <c r="O41" s="3" t="s">
        <v>827</v>
      </c>
      <c r="P41" s="11">
        <v>2250000</v>
      </c>
      <c r="Q41" s="11">
        <v>38793</v>
      </c>
      <c r="R41" s="11">
        <v>45000</v>
      </c>
      <c r="S41" s="11">
        <v>45000</v>
      </c>
      <c r="T41" s="3" t="s">
        <v>828</v>
      </c>
      <c r="U41" s="3" t="s">
        <v>829</v>
      </c>
      <c r="V41" s="3" t="s">
        <v>26</v>
      </c>
    </row>
    <row r="42" spans="1:22" x14ac:dyDescent="0.2">
      <c r="A42" s="12">
        <v>41</v>
      </c>
      <c r="B42" s="3" t="s">
        <v>830</v>
      </c>
      <c r="C42" s="3"/>
      <c r="D42" s="10">
        <v>45615</v>
      </c>
      <c r="E42" s="10">
        <v>45626</v>
      </c>
      <c r="F42" s="10">
        <v>45990</v>
      </c>
      <c r="G42" s="3" t="s">
        <v>22</v>
      </c>
      <c r="H42" s="3" t="s">
        <v>23</v>
      </c>
      <c r="I42" s="3" t="s">
        <v>831</v>
      </c>
      <c r="J42" s="3" t="s">
        <v>292</v>
      </c>
      <c r="K42" s="3" t="s">
        <v>95</v>
      </c>
      <c r="L42" s="3" t="s">
        <v>832</v>
      </c>
      <c r="M42" s="3" t="s">
        <v>833</v>
      </c>
      <c r="N42" s="3" t="s">
        <v>834</v>
      </c>
      <c r="O42" s="3" t="s">
        <v>835</v>
      </c>
      <c r="P42" s="11">
        <v>1800000</v>
      </c>
      <c r="Q42" s="11">
        <v>31035</v>
      </c>
      <c r="R42" s="11">
        <v>36000</v>
      </c>
      <c r="S42" s="11">
        <v>36000</v>
      </c>
      <c r="T42" s="3" t="s">
        <v>836</v>
      </c>
      <c r="U42" s="3" t="s">
        <v>837</v>
      </c>
      <c r="V42" s="3" t="s">
        <v>26</v>
      </c>
    </row>
    <row r="43" spans="1:22" x14ac:dyDescent="0.2">
      <c r="A43" s="12">
        <v>42</v>
      </c>
      <c r="B43" s="3" t="s">
        <v>838</v>
      </c>
      <c r="C43" s="3"/>
      <c r="D43" s="10">
        <v>45621</v>
      </c>
      <c r="E43" s="10">
        <v>45613</v>
      </c>
      <c r="F43" s="10">
        <v>45977</v>
      </c>
      <c r="G43" s="3" t="s">
        <v>22</v>
      </c>
      <c r="H43" s="3" t="s">
        <v>23</v>
      </c>
      <c r="I43" s="3" t="s">
        <v>839</v>
      </c>
      <c r="J43" s="3" t="s">
        <v>545</v>
      </c>
      <c r="K43" s="3" t="s">
        <v>30</v>
      </c>
      <c r="L43" s="3" t="s">
        <v>840</v>
      </c>
      <c r="M43" s="3" t="s">
        <v>841</v>
      </c>
      <c r="N43" s="3" t="s">
        <v>842</v>
      </c>
      <c r="O43" s="3" t="s">
        <v>843</v>
      </c>
      <c r="P43" s="11">
        <v>2464150</v>
      </c>
      <c r="Q43" s="11">
        <v>53107</v>
      </c>
      <c r="R43" s="11">
        <v>61604</v>
      </c>
      <c r="S43" s="11">
        <v>61604</v>
      </c>
      <c r="T43" s="3" t="s">
        <v>844</v>
      </c>
      <c r="U43" s="3" t="s">
        <v>845</v>
      </c>
      <c r="V43" s="3" t="s">
        <v>26</v>
      </c>
    </row>
    <row r="44" spans="1:22" x14ac:dyDescent="0.2">
      <c r="A44" s="12">
        <v>43</v>
      </c>
      <c r="B44" s="3" t="s">
        <v>846</v>
      </c>
      <c r="C44" s="3"/>
      <c r="D44" s="10">
        <v>45621</v>
      </c>
      <c r="E44" s="10">
        <v>45620</v>
      </c>
      <c r="F44" s="10">
        <v>45984</v>
      </c>
      <c r="G44" s="3" t="s">
        <v>22</v>
      </c>
      <c r="H44" s="3" t="s">
        <v>23</v>
      </c>
      <c r="I44" s="3" t="s">
        <v>847</v>
      </c>
      <c r="J44" s="3" t="s">
        <v>848</v>
      </c>
      <c r="K44" s="3" t="s">
        <v>95</v>
      </c>
      <c r="L44" s="3" t="s">
        <v>849</v>
      </c>
      <c r="M44" s="3" t="s">
        <v>850</v>
      </c>
      <c r="N44" s="3" t="s">
        <v>851</v>
      </c>
      <c r="O44" s="3" t="s">
        <v>852</v>
      </c>
      <c r="P44" s="11">
        <v>1873500</v>
      </c>
      <c r="Q44" s="11">
        <v>60565</v>
      </c>
      <c r="R44" s="11">
        <v>70256</v>
      </c>
      <c r="S44" s="11">
        <v>70256</v>
      </c>
      <c r="T44" s="3" t="s">
        <v>853</v>
      </c>
      <c r="U44" s="3" t="s">
        <v>854</v>
      </c>
      <c r="V44" s="3" t="s">
        <v>26</v>
      </c>
    </row>
    <row r="45" spans="1:22" x14ac:dyDescent="0.2">
      <c r="A45" s="12">
        <v>44</v>
      </c>
      <c r="B45" s="3" t="s">
        <v>855</v>
      </c>
      <c r="C45" s="3"/>
      <c r="D45" s="10">
        <v>45615</v>
      </c>
      <c r="E45" s="10">
        <v>45598</v>
      </c>
      <c r="F45" s="10">
        <v>45962</v>
      </c>
      <c r="G45" s="3" t="s">
        <v>22</v>
      </c>
      <c r="H45" s="3" t="s">
        <v>23</v>
      </c>
      <c r="I45" s="3" t="s">
        <v>856</v>
      </c>
      <c r="J45" s="3" t="s">
        <v>857</v>
      </c>
      <c r="K45" s="3" t="s">
        <v>95</v>
      </c>
      <c r="L45" s="3" t="s">
        <v>858</v>
      </c>
      <c r="M45" s="3" t="s">
        <v>859</v>
      </c>
      <c r="N45" s="3" t="s">
        <v>860</v>
      </c>
      <c r="O45" s="3" t="s">
        <v>861</v>
      </c>
      <c r="P45" s="11">
        <v>2880000</v>
      </c>
      <c r="Q45" s="11">
        <v>49655</v>
      </c>
      <c r="R45" s="11">
        <v>57600</v>
      </c>
      <c r="S45" s="11">
        <v>57600</v>
      </c>
      <c r="T45" s="3" t="s">
        <v>862</v>
      </c>
      <c r="U45" s="3" t="s">
        <v>863</v>
      </c>
      <c r="V45" s="3" t="s">
        <v>26</v>
      </c>
    </row>
    <row r="46" spans="1:22" x14ac:dyDescent="0.2">
      <c r="A46" s="12">
        <v>45</v>
      </c>
      <c r="B46" s="3" t="s">
        <v>864</v>
      </c>
      <c r="C46" s="3"/>
      <c r="D46" s="10">
        <v>45615</v>
      </c>
      <c r="E46" s="10">
        <v>45598</v>
      </c>
      <c r="F46" s="10">
        <v>45962</v>
      </c>
      <c r="G46" s="3" t="s">
        <v>22</v>
      </c>
      <c r="H46" s="3" t="s">
        <v>23</v>
      </c>
      <c r="I46" s="3" t="s">
        <v>865</v>
      </c>
      <c r="J46" s="3" t="s">
        <v>368</v>
      </c>
      <c r="K46" s="3" t="s">
        <v>156</v>
      </c>
      <c r="L46" s="3" t="s">
        <v>866</v>
      </c>
      <c r="M46" s="3" t="s">
        <v>867</v>
      </c>
      <c r="N46" s="3" t="s">
        <v>868</v>
      </c>
      <c r="O46" s="3" t="s">
        <v>869</v>
      </c>
      <c r="P46" s="11">
        <v>1667700</v>
      </c>
      <c r="Q46" s="11">
        <v>28753</v>
      </c>
      <c r="R46" s="11">
        <v>33354</v>
      </c>
      <c r="S46" s="11">
        <v>33354</v>
      </c>
      <c r="T46" s="3" t="s">
        <v>870</v>
      </c>
      <c r="U46" s="3" t="s">
        <v>871</v>
      </c>
      <c r="V46" s="3" t="s">
        <v>26</v>
      </c>
    </row>
    <row r="47" spans="1:22" x14ac:dyDescent="0.2">
      <c r="A47" s="12">
        <v>46</v>
      </c>
      <c r="B47" s="3" t="s">
        <v>872</v>
      </c>
      <c r="C47" s="3"/>
      <c r="D47" s="10">
        <v>45615</v>
      </c>
      <c r="E47" s="10">
        <v>45598</v>
      </c>
      <c r="F47" s="10">
        <v>45962</v>
      </c>
      <c r="G47" s="3" t="s">
        <v>22</v>
      </c>
      <c r="H47" s="3" t="s">
        <v>23</v>
      </c>
      <c r="I47" s="3" t="s">
        <v>873</v>
      </c>
      <c r="J47" s="3" t="s">
        <v>368</v>
      </c>
      <c r="K47" s="3" t="s">
        <v>30</v>
      </c>
      <c r="L47" s="3" t="s">
        <v>874</v>
      </c>
      <c r="M47" s="3" t="s">
        <v>875</v>
      </c>
      <c r="N47" s="3" t="s">
        <v>876</v>
      </c>
      <c r="O47" s="3" t="s">
        <v>877</v>
      </c>
      <c r="P47" s="11">
        <v>2565000</v>
      </c>
      <c r="Q47" s="11">
        <v>44224</v>
      </c>
      <c r="R47" s="11">
        <v>51300</v>
      </c>
      <c r="S47" s="11">
        <v>51300</v>
      </c>
      <c r="T47" s="3" t="s">
        <v>878</v>
      </c>
      <c r="U47" s="3" t="s">
        <v>879</v>
      </c>
      <c r="V47" s="3" t="s">
        <v>26</v>
      </c>
    </row>
    <row r="48" spans="1:22" x14ac:dyDescent="0.2">
      <c r="A48" s="12">
        <v>47</v>
      </c>
      <c r="B48" s="3" t="s">
        <v>880</v>
      </c>
      <c r="C48" s="3"/>
      <c r="D48" s="10">
        <v>45615</v>
      </c>
      <c r="E48" s="10">
        <v>45598</v>
      </c>
      <c r="F48" s="10">
        <v>45962</v>
      </c>
      <c r="G48" s="3" t="s">
        <v>22</v>
      </c>
      <c r="H48" s="3" t="s">
        <v>23</v>
      </c>
      <c r="I48" s="3" t="s">
        <v>881</v>
      </c>
      <c r="J48" s="3" t="s">
        <v>571</v>
      </c>
      <c r="K48" s="3" t="s">
        <v>527</v>
      </c>
      <c r="L48" s="3" t="s">
        <v>882</v>
      </c>
      <c r="M48" s="3" t="s">
        <v>883</v>
      </c>
      <c r="N48" s="3" t="s">
        <v>884</v>
      </c>
      <c r="O48" s="3" t="s">
        <v>885</v>
      </c>
      <c r="P48" s="11">
        <v>810000</v>
      </c>
      <c r="Q48" s="11">
        <v>13965</v>
      </c>
      <c r="R48" s="11">
        <v>16200</v>
      </c>
      <c r="S48" s="11">
        <v>16200</v>
      </c>
      <c r="T48" s="3" t="s">
        <v>886</v>
      </c>
      <c r="U48" s="3" t="s">
        <v>887</v>
      </c>
      <c r="V48" s="3" t="s">
        <v>26</v>
      </c>
    </row>
    <row r="49" spans="1:22" x14ac:dyDescent="0.2">
      <c r="A49" s="12">
        <v>48</v>
      </c>
      <c r="B49" s="3" t="s">
        <v>888</v>
      </c>
      <c r="C49" s="3"/>
      <c r="D49" s="10">
        <v>45615</v>
      </c>
      <c r="E49" s="10">
        <v>45599</v>
      </c>
      <c r="F49" s="10">
        <v>45963</v>
      </c>
      <c r="G49" s="3" t="s">
        <v>22</v>
      </c>
      <c r="H49" s="3" t="s">
        <v>23</v>
      </c>
      <c r="I49" s="3" t="s">
        <v>889</v>
      </c>
      <c r="J49" s="3" t="s">
        <v>890</v>
      </c>
      <c r="K49" s="3" t="s">
        <v>174</v>
      </c>
      <c r="L49" s="3" t="s">
        <v>891</v>
      </c>
      <c r="M49" s="3" t="s">
        <v>892</v>
      </c>
      <c r="N49" s="3" t="s">
        <v>893</v>
      </c>
      <c r="O49" s="3" t="s">
        <v>894</v>
      </c>
      <c r="P49" s="11">
        <v>7200000</v>
      </c>
      <c r="Q49" s="11">
        <v>93103</v>
      </c>
      <c r="R49" s="11">
        <v>108000</v>
      </c>
      <c r="S49" s="11">
        <v>108000</v>
      </c>
      <c r="T49" s="3" t="s">
        <v>895</v>
      </c>
      <c r="U49" s="3" t="s">
        <v>896</v>
      </c>
      <c r="V49" s="3" t="s">
        <v>26</v>
      </c>
    </row>
    <row r="50" spans="1:22" x14ac:dyDescent="0.2">
      <c r="A50" s="12">
        <v>49</v>
      </c>
      <c r="B50" s="3" t="s">
        <v>897</v>
      </c>
      <c r="C50" s="3"/>
      <c r="D50" s="10">
        <v>45614</v>
      </c>
      <c r="E50" s="10">
        <v>45599</v>
      </c>
      <c r="F50" s="10">
        <v>45963</v>
      </c>
      <c r="G50" s="3" t="s">
        <v>22</v>
      </c>
      <c r="H50" s="3" t="s">
        <v>23</v>
      </c>
      <c r="I50" s="3" t="s">
        <v>898</v>
      </c>
      <c r="J50" s="3" t="s">
        <v>899</v>
      </c>
      <c r="K50" s="3" t="s">
        <v>30</v>
      </c>
      <c r="L50" s="3" t="s">
        <v>900</v>
      </c>
      <c r="M50" s="3" t="s">
        <v>901</v>
      </c>
      <c r="N50" s="3" t="s">
        <v>902</v>
      </c>
      <c r="O50" s="3" t="s">
        <v>903</v>
      </c>
      <c r="P50" s="11">
        <v>1210400</v>
      </c>
      <c r="Q50" s="11">
        <v>20438</v>
      </c>
      <c r="R50" s="11">
        <v>24208</v>
      </c>
      <c r="S50" s="11">
        <v>24208</v>
      </c>
      <c r="T50" s="3" t="s">
        <v>904</v>
      </c>
      <c r="U50" s="3" t="s">
        <v>905</v>
      </c>
      <c r="V50" s="3" t="s">
        <v>26</v>
      </c>
    </row>
    <row r="51" spans="1:22" x14ac:dyDescent="0.2">
      <c r="A51" s="12">
        <v>50</v>
      </c>
      <c r="B51" s="3" t="s">
        <v>906</v>
      </c>
      <c r="C51" s="3"/>
      <c r="D51" s="10">
        <v>45614</v>
      </c>
      <c r="E51" s="10">
        <v>45621</v>
      </c>
      <c r="F51" s="10">
        <v>45985</v>
      </c>
      <c r="G51" s="3" t="s">
        <v>22</v>
      </c>
      <c r="H51" s="3" t="s">
        <v>23</v>
      </c>
      <c r="I51" s="3" t="s">
        <v>907</v>
      </c>
      <c r="J51" s="3" t="s">
        <v>899</v>
      </c>
      <c r="K51" s="3" t="s">
        <v>30</v>
      </c>
      <c r="L51" s="3" t="s">
        <v>908</v>
      </c>
      <c r="M51" s="3" t="s">
        <v>909</v>
      </c>
      <c r="N51" s="3" t="s">
        <v>910</v>
      </c>
      <c r="O51" s="3" t="s">
        <v>911</v>
      </c>
      <c r="P51" s="11">
        <v>1210400</v>
      </c>
      <c r="Q51" s="11">
        <v>20869</v>
      </c>
      <c r="R51" s="11">
        <v>24208</v>
      </c>
      <c r="S51" s="11">
        <v>24208</v>
      </c>
      <c r="T51" s="3" t="s">
        <v>912</v>
      </c>
      <c r="U51" s="3" t="s">
        <v>913</v>
      </c>
      <c r="V51" s="3" t="s">
        <v>26</v>
      </c>
    </row>
    <row r="52" spans="1:22" x14ac:dyDescent="0.2">
      <c r="A52" s="12">
        <v>51</v>
      </c>
      <c r="B52" s="3" t="s">
        <v>914</v>
      </c>
      <c r="C52" s="3"/>
      <c r="D52" s="10">
        <v>45614</v>
      </c>
      <c r="E52" s="10">
        <v>45626</v>
      </c>
      <c r="F52" s="10">
        <v>45990</v>
      </c>
      <c r="G52" s="3" t="s">
        <v>22</v>
      </c>
      <c r="H52" s="3" t="s">
        <v>23</v>
      </c>
      <c r="I52" s="3" t="s">
        <v>915</v>
      </c>
      <c r="J52" s="3" t="s">
        <v>916</v>
      </c>
      <c r="K52" s="3" t="s">
        <v>30</v>
      </c>
      <c r="L52" s="3" t="s">
        <v>917</v>
      </c>
      <c r="M52" s="3" t="s">
        <v>918</v>
      </c>
      <c r="N52" s="3" t="s">
        <v>919</v>
      </c>
      <c r="O52" s="3" t="s">
        <v>920</v>
      </c>
      <c r="P52" s="11">
        <v>1210400</v>
      </c>
      <c r="Q52" s="11">
        <v>20869</v>
      </c>
      <c r="R52" s="11">
        <v>24208</v>
      </c>
      <c r="S52" s="11">
        <v>24208</v>
      </c>
      <c r="T52" s="3" t="s">
        <v>921</v>
      </c>
      <c r="U52" s="3" t="s">
        <v>922</v>
      </c>
      <c r="V52" s="3" t="s">
        <v>26</v>
      </c>
    </row>
    <row r="53" spans="1:22" x14ac:dyDescent="0.2">
      <c r="A53" s="12">
        <v>52</v>
      </c>
      <c r="B53" s="3" t="s">
        <v>923</v>
      </c>
      <c r="C53" s="3"/>
      <c r="D53" s="10">
        <v>45614</v>
      </c>
      <c r="E53" s="10">
        <v>45605</v>
      </c>
      <c r="F53" s="10">
        <v>45969</v>
      </c>
      <c r="G53" s="3" t="s">
        <v>22</v>
      </c>
      <c r="H53" s="3" t="s">
        <v>23</v>
      </c>
      <c r="I53" s="3" t="s">
        <v>924</v>
      </c>
      <c r="J53" s="3" t="s">
        <v>925</v>
      </c>
      <c r="K53" s="3" t="s">
        <v>79</v>
      </c>
      <c r="L53" s="3" t="s">
        <v>926</v>
      </c>
      <c r="M53" s="3" t="s">
        <v>927</v>
      </c>
      <c r="N53" s="3" t="s">
        <v>928</v>
      </c>
      <c r="O53" s="3" t="s">
        <v>929</v>
      </c>
      <c r="P53" s="11">
        <v>816000</v>
      </c>
      <c r="Q53" s="11">
        <v>17155</v>
      </c>
      <c r="R53" s="11">
        <v>20400</v>
      </c>
      <c r="S53" s="11">
        <v>20400</v>
      </c>
      <c r="T53" s="3" t="s">
        <v>930</v>
      </c>
      <c r="U53" s="3" t="s">
        <v>931</v>
      </c>
      <c r="V53" s="3" t="s">
        <v>26</v>
      </c>
    </row>
    <row r="54" spans="1:22" x14ac:dyDescent="0.2">
      <c r="A54" s="12">
        <v>53</v>
      </c>
      <c r="B54" s="3" t="s">
        <v>932</v>
      </c>
      <c r="C54" s="3"/>
      <c r="D54" s="10">
        <v>45614</v>
      </c>
      <c r="E54" s="10">
        <v>45607</v>
      </c>
      <c r="F54" s="10">
        <v>45971</v>
      </c>
      <c r="G54" s="3" t="s">
        <v>22</v>
      </c>
      <c r="H54" s="3" t="s">
        <v>23</v>
      </c>
      <c r="I54" s="3" t="s">
        <v>933</v>
      </c>
      <c r="J54" s="3" t="s">
        <v>934</v>
      </c>
      <c r="K54" s="3" t="s">
        <v>79</v>
      </c>
      <c r="L54" s="3" t="s">
        <v>935</v>
      </c>
      <c r="M54" s="3" t="s">
        <v>936</v>
      </c>
      <c r="N54" s="3" t="s">
        <v>937</v>
      </c>
      <c r="O54" s="3"/>
      <c r="P54" s="11">
        <v>816000</v>
      </c>
      <c r="Q54" s="11">
        <v>12310</v>
      </c>
      <c r="R54" s="11">
        <v>14280</v>
      </c>
      <c r="S54" s="11">
        <v>14280</v>
      </c>
      <c r="T54" s="3" t="s">
        <v>938</v>
      </c>
      <c r="U54" s="3" t="s">
        <v>939</v>
      </c>
      <c r="V54" s="3" t="s">
        <v>26</v>
      </c>
    </row>
    <row r="55" spans="1:22" x14ac:dyDescent="0.2">
      <c r="A55" s="12">
        <v>54</v>
      </c>
      <c r="B55" s="3" t="s">
        <v>940</v>
      </c>
      <c r="C55" s="3"/>
      <c r="D55" s="10">
        <v>45614</v>
      </c>
      <c r="E55" s="10">
        <v>45621</v>
      </c>
      <c r="F55" s="10">
        <v>45985</v>
      </c>
      <c r="G55" s="3" t="s">
        <v>22</v>
      </c>
      <c r="H55" s="3" t="s">
        <v>23</v>
      </c>
      <c r="I55" s="3" t="s">
        <v>941</v>
      </c>
      <c r="J55" s="3" t="s">
        <v>899</v>
      </c>
      <c r="K55" s="3" t="s">
        <v>79</v>
      </c>
      <c r="L55" s="3" t="s">
        <v>942</v>
      </c>
      <c r="M55" s="3" t="s">
        <v>943</v>
      </c>
      <c r="N55" s="3" t="s">
        <v>944</v>
      </c>
      <c r="O55" s="3" t="s">
        <v>945</v>
      </c>
      <c r="P55" s="11">
        <v>816000</v>
      </c>
      <c r="Q55" s="11">
        <v>12310</v>
      </c>
      <c r="R55" s="11">
        <v>14280</v>
      </c>
      <c r="S55" s="11">
        <v>14280</v>
      </c>
      <c r="T55" s="3" t="s">
        <v>946</v>
      </c>
      <c r="U55" s="3" t="s">
        <v>947</v>
      </c>
      <c r="V55" s="3" t="s">
        <v>26</v>
      </c>
    </row>
    <row r="56" spans="1:22" x14ac:dyDescent="0.2">
      <c r="A56" s="12">
        <v>55</v>
      </c>
      <c r="B56" s="3" t="s">
        <v>948</v>
      </c>
      <c r="C56" s="3"/>
      <c r="D56" s="10">
        <v>45615</v>
      </c>
      <c r="E56" s="10">
        <v>45598</v>
      </c>
      <c r="F56" s="10">
        <v>45962</v>
      </c>
      <c r="G56" s="3" t="s">
        <v>22</v>
      </c>
      <c r="H56" s="3" t="s">
        <v>23</v>
      </c>
      <c r="I56" s="3" t="s">
        <v>949</v>
      </c>
      <c r="J56" s="3" t="s">
        <v>62</v>
      </c>
      <c r="K56" s="3" t="s">
        <v>30</v>
      </c>
      <c r="L56" s="3" t="s">
        <v>950</v>
      </c>
      <c r="M56" s="3" t="s">
        <v>951</v>
      </c>
      <c r="N56" s="3" t="s">
        <v>952</v>
      </c>
      <c r="O56" s="3" t="s">
        <v>953</v>
      </c>
      <c r="P56" s="11">
        <v>2767600</v>
      </c>
      <c r="Q56" s="11">
        <v>59216</v>
      </c>
      <c r="R56" s="11">
        <v>69190</v>
      </c>
      <c r="S56" s="11">
        <v>69190</v>
      </c>
      <c r="T56" s="3" t="s">
        <v>954</v>
      </c>
      <c r="U56" s="3" t="s">
        <v>955</v>
      </c>
      <c r="V56" s="3" t="s">
        <v>26</v>
      </c>
    </row>
    <row r="57" spans="1:22" x14ac:dyDescent="0.2">
      <c r="A57" s="12">
        <v>56</v>
      </c>
      <c r="B57" s="3" t="s">
        <v>956</v>
      </c>
      <c r="C57" s="3"/>
      <c r="D57" s="10">
        <v>45615</v>
      </c>
      <c r="E57" s="10">
        <v>45611</v>
      </c>
      <c r="F57" s="10">
        <v>45975</v>
      </c>
      <c r="G57" s="3" t="s">
        <v>22</v>
      </c>
      <c r="H57" s="3" t="s">
        <v>23</v>
      </c>
      <c r="I57" s="3" t="s">
        <v>957</v>
      </c>
      <c r="J57" s="3" t="s">
        <v>46</v>
      </c>
      <c r="K57" s="3" t="s">
        <v>30</v>
      </c>
      <c r="L57" s="3" t="s">
        <v>958</v>
      </c>
      <c r="M57" s="3" t="s">
        <v>959</v>
      </c>
      <c r="N57" s="3" t="s">
        <v>960</v>
      </c>
      <c r="O57" s="3" t="s">
        <v>961</v>
      </c>
      <c r="P57" s="11">
        <v>1473050</v>
      </c>
      <c r="Q57" s="11">
        <v>31747</v>
      </c>
      <c r="R57" s="11">
        <v>36826</v>
      </c>
      <c r="S57" s="11">
        <v>36826</v>
      </c>
      <c r="T57" s="3" t="s">
        <v>962</v>
      </c>
      <c r="U57" s="3" t="s">
        <v>963</v>
      </c>
      <c r="V57" s="3" t="s">
        <v>26</v>
      </c>
    </row>
    <row r="58" spans="1:22" x14ac:dyDescent="0.2">
      <c r="A58" s="12">
        <v>57</v>
      </c>
      <c r="B58" s="3" t="s">
        <v>964</v>
      </c>
      <c r="C58" s="3"/>
      <c r="D58" s="10">
        <v>45615</v>
      </c>
      <c r="E58" s="10">
        <v>45613</v>
      </c>
      <c r="F58" s="10">
        <v>45977</v>
      </c>
      <c r="G58" s="3" t="s">
        <v>22</v>
      </c>
      <c r="H58" s="3" t="s">
        <v>23</v>
      </c>
      <c r="I58" s="3" t="s">
        <v>965</v>
      </c>
      <c r="J58" s="3" t="s">
        <v>545</v>
      </c>
      <c r="K58" s="3" t="s">
        <v>30</v>
      </c>
      <c r="L58" s="3" t="s">
        <v>966</v>
      </c>
      <c r="M58" s="3" t="s">
        <v>967</v>
      </c>
      <c r="N58" s="3" t="s">
        <v>968</v>
      </c>
      <c r="O58" s="3" t="s">
        <v>969</v>
      </c>
      <c r="P58" s="11">
        <v>2464150</v>
      </c>
      <c r="Q58" s="11">
        <v>53107</v>
      </c>
      <c r="R58" s="11">
        <v>61604</v>
      </c>
      <c r="S58" s="11">
        <v>61604</v>
      </c>
      <c r="T58" s="3" t="s">
        <v>970</v>
      </c>
      <c r="U58" s="3" t="s">
        <v>971</v>
      </c>
      <c r="V58" s="3" t="s">
        <v>26</v>
      </c>
    </row>
    <row r="59" spans="1:22" x14ac:dyDescent="0.2">
      <c r="A59" s="12">
        <v>58</v>
      </c>
      <c r="B59" s="3" t="s">
        <v>972</v>
      </c>
      <c r="C59" s="3"/>
      <c r="D59" s="10">
        <v>45615</v>
      </c>
      <c r="E59" s="10">
        <v>45613</v>
      </c>
      <c r="F59" s="10">
        <v>45977</v>
      </c>
      <c r="G59" s="3" t="s">
        <v>22</v>
      </c>
      <c r="H59" s="3" t="s">
        <v>23</v>
      </c>
      <c r="I59" s="3" t="s">
        <v>973</v>
      </c>
      <c r="J59" s="3" t="s">
        <v>71</v>
      </c>
      <c r="K59" s="3" t="s">
        <v>95</v>
      </c>
      <c r="L59" s="3" t="s">
        <v>974</v>
      </c>
      <c r="M59" s="3" t="s">
        <v>975</v>
      </c>
      <c r="N59" s="3" t="s">
        <v>976</v>
      </c>
      <c r="O59" s="3" t="s">
        <v>977</v>
      </c>
      <c r="P59" s="11">
        <v>1253750</v>
      </c>
      <c r="Q59" s="11">
        <v>21617</v>
      </c>
      <c r="R59" s="11">
        <v>25075</v>
      </c>
      <c r="S59" s="11">
        <v>25075</v>
      </c>
      <c r="T59" s="3" t="s">
        <v>978</v>
      </c>
      <c r="U59" s="3" t="s">
        <v>979</v>
      </c>
      <c r="V59" s="3" t="s">
        <v>26</v>
      </c>
    </row>
    <row r="60" spans="1:22" x14ac:dyDescent="0.2">
      <c r="A60" s="12">
        <v>59</v>
      </c>
      <c r="B60" s="3" t="s">
        <v>980</v>
      </c>
      <c r="C60" s="3"/>
      <c r="D60" s="10">
        <v>45615</v>
      </c>
      <c r="E60" s="10">
        <v>45613</v>
      </c>
      <c r="F60" s="10">
        <v>45977</v>
      </c>
      <c r="G60" s="3" t="s">
        <v>22</v>
      </c>
      <c r="H60" s="3" t="s">
        <v>23</v>
      </c>
      <c r="I60" s="3" t="s">
        <v>981</v>
      </c>
      <c r="J60" s="3" t="s">
        <v>54</v>
      </c>
      <c r="K60" s="3" t="s">
        <v>30</v>
      </c>
      <c r="L60" s="3" t="s">
        <v>982</v>
      </c>
      <c r="M60" s="3" t="s">
        <v>983</v>
      </c>
      <c r="N60" s="3" t="s">
        <v>984</v>
      </c>
      <c r="O60" s="3" t="s">
        <v>985</v>
      </c>
      <c r="P60" s="11">
        <v>1110100</v>
      </c>
      <c r="Q60" s="11">
        <v>16748</v>
      </c>
      <c r="R60" s="11">
        <v>19427</v>
      </c>
      <c r="S60" s="11">
        <v>19427</v>
      </c>
      <c r="T60" s="3" t="s">
        <v>986</v>
      </c>
      <c r="U60" s="3" t="s">
        <v>987</v>
      </c>
      <c r="V60" s="3" t="s">
        <v>26</v>
      </c>
    </row>
    <row r="61" spans="1:22" x14ac:dyDescent="0.2">
      <c r="A61" s="12">
        <v>60</v>
      </c>
      <c r="B61" s="3" t="s">
        <v>988</v>
      </c>
      <c r="C61" s="3"/>
      <c r="D61" s="10">
        <v>45615</v>
      </c>
      <c r="E61" s="10">
        <v>45614</v>
      </c>
      <c r="F61" s="10">
        <v>45978</v>
      </c>
      <c r="G61" s="3" t="s">
        <v>22</v>
      </c>
      <c r="H61" s="3" t="s">
        <v>23</v>
      </c>
      <c r="I61" s="3" t="s">
        <v>989</v>
      </c>
      <c r="J61" s="3" t="s">
        <v>29</v>
      </c>
      <c r="K61" s="3" t="s">
        <v>30</v>
      </c>
      <c r="L61" s="3"/>
      <c r="M61" s="3" t="s">
        <v>990</v>
      </c>
      <c r="N61" s="3" t="s">
        <v>991</v>
      </c>
      <c r="O61" s="3" t="s">
        <v>992</v>
      </c>
      <c r="P61" s="11">
        <v>1473050</v>
      </c>
      <c r="Q61" s="11">
        <v>31747</v>
      </c>
      <c r="R61" s="11">
        <v>36826</v>
      </c>
      <c r="S61" s="11">
        <v>36826</v>
      </c>
      <c r="T61" s="3" t="s">
        <v>993</v>
      </c>
      <c r="U61" s="3" t="s">
        <v>994</v>
      </c>
      <c r="V61" s="3" t="s">
        <v>26</v>
      </c>
    </row>
    <row r="62" spans="1:22" x14ac:dyDescent="0.2">
      <c r="A62" s="12">
        <v>61</v>
      </c>
      <c r="B62" s="3" t="s">
        <v>995</v>
      </c>
      <c r="C62" s="3"/>
      <c r="D62" s="10">
        <v>45615</v>
      </c>
      <c r="E62" s="10">
        <v>45617</v>
      </c>
      <c r="F62" s="10">
        <v>45981</v>
      </c>
      <c r="G62" s="3" t="s">
        <v>22</v>
      </c>
      <c r="H62" s="3" t="s">
        <v>23</v>
      </c>
      <c r="I62" s="3" t="s">
        <v>996</v>
      </c>
      <c r="J62" s="3" t="s">
        <v>71</v>
      </c>
      <c r="K62" s="3" t="s">
        <v>30</v>
      </c>
      <c r="L62" s="3" t="s">
        <v>997</v>
      </c>
      <c r="M62" s="3" t="s">
        <v>998</v>
      </c>
      <c r="N62" s="3" t="s">
        <v>999</v>
      </c>
      <c r="O62" s="3" t="s">
        <v>1000</v>
      </c>
      <c r="P62" s="11">
        <v>1658350</v>
      </c>
      <c r="Q62" s="11">
        <v>35741</v>
      </c>
      <c r="R62" s="11">
        <v>41459</v>
      </c>
      <c r="S62" s="11">
        <v>41459</v>
      </c>
      <c r="T62" s="3" t="s">
        <v>1001</v>
      </c>
      <c r="U62" s="3" t="s">
        <v>1002</v>
      </c>
      <c r="V62" s="3" t="s">
        <v>26</v>
      </c>
    </row>
    <row r="63" spans="1:22" x14ac:dyDescent="0.2">
      <c r="A63" s="12">
        <v>62</v>
      </c>
      <c r="B63" s="3" t="s">
        <v>1003</v>
      </c>
      <c r="C63" s="3"/>
      <c r="D63" s="10">
        <v>45615</v>
      </c>
      <c r="E63" s="10">
        <v>45617</v>
      </c>
      <c r="F63" s="10">
        <v>45981</v>
      </c>
      <c r="G63" s="3" t="s">
        <v>22</v>
      </c>
      <c r="H63" s="3" t="s">
        <v>23</v>
      </c>
      <c r="I63" s="3" t="s">
        <v>1004</v>
      </c>
      <c r="J63" s="3" t="s">
        <v>29</v>
      </c>
      <c r="K63" s="3" t="s">
        <v>30</v>
      </c>
      <c r="L63" s="3" t="s">
        <v>1005</v>
      </c>
      <c r="M63" s="3" t="s">
        <v>1006</v>
      </c>
      <c r="N63" s="3" t="s">
        <v>1007</v>
      </c>
      <c r="O63" s="3" t="s">
        <v>1008</v>
      </c>
      <c r="P63" s="11">
        <v>1473050</v>
      </c>
      <c r="Q63" s="11">
        <v>31747</v>
      </c>
      <c r="R63" s="11">
        <v>36826</v>
      </c>
      <c r="S63" s="11">
        <v>36826</v>
      </c>
      <c r="T63" s="3" t="s">
        <v>1009</v>
      </c>
      <c r="U63" s="3" t="s">
        <v>1010</v>
      </c>
      <c r="V63" s="3" t="s">
        <v>26</v>
      </c>
    </row>
    <row r="64" spans="1:22" x14ac:dyDescent="0.2">
      <c r="A64" s="12">
        <v>63</v>
      </c>
      <c r="B64" s="3" t="s">
        <v>1011</v>
      </c>
      <c r="C64" s="3"/>
      <c r="D64" s="10">
        <v>45615</v>
      </c>
      <c r="E64" s="10">
        <v>45617</v>
      </c>
      <c r="F64" s="10">
        <v>45981</v>
      </c>
      <c r="G64" s="3" t="s">
        <v>22</v>
      </c>
      <c r="H64" s="3" t="s">
        <v>23</v>
      </c>
      <c r="I64" s="3" t="s">
        <v>1012</v>
      </c>
      <c r="J64" s="3" t="s">
        <v>71</v>
      </c>
      <c r="K64" s="3" t="s">
        <v>30</v>
      </c>
      <c r="L64" s="3"/>
      <c r="M64" s="3" t="s">
        <v>1013</v>
      </c>
      <c r="N64" s="3" t="s">
        <v>1014</v>
      </c>
      <c r="O64" s="3" t="s">
        <v>1015</v>
      </c>
      <c r="P64" s="11">
        <v>1658350</v>
      </c>
      <c r="Q64" s="11">
        <v>35741</v>
      </c>
      <c r="R64" s="11">
        <v>41459</v>
      </c>
      <c r="S64" s="11">
        <v>41459</v>
      </c>
      <c r="T64" s="3" t="s">
        <v>1016</v>
      </c>
      <c r="U64" s="3" t="s">
        <v>1017</v>
      </c>
      <c r="V64" s="3" t="s">
        <v>26</v>
      </c>
    </row>
    <row r="65" spans="1:22" x14ac:dyDescent="0.2">
      <c r="A65" s="12">
        <v>64</v>
      </c>
      <c r="B65" s="3" t="s">
        <v>1018</v>
      </c>
      <c r="C65" s="3"/>
      <c r="D65" s="10">
        <v>45615</v>
      </c>
      <c r="E65" s="10">
        <v>45617</v>
      </c>
      <c r="F65" s="10">
        <v>45981</v>
      </c>
      <c r="G65" s="3" t="s">
        <v>22</v>
      </c>
      <c r="H65" s="3" t="s">
        <v>23</v>
      </c>
      <c r="I65" s="3" t="s">
        <v>1019</v>
      </c>
      <c r="J65" s="3" t="s">
        <v>368</v>
      </c>
      <c r="K65" s="3" t="s">
        <v>146</v>
      </c>
      <c r="L65" s="3" t="s">
        <v>1020</v>
      </c>
      <c r="M65" s="3" t="s">
        <v>1021</v>
      </c>
      <c r="N65" s="3" t="s">
        <v>1022</v>
      </c>
      <c r="O65" s="3" t="s">
        <v>1023</v>
      </c>
      <c r="P65" s="11">
        <v>1487500</v>
      </c>
      <c r="Q65" s="11">
        <v>19236</v>
      </c>
      <c r="R65" s="11">
        <v>22313</v>
      </c>
      <c r="S65" s="11">
        <v>22313</v>
      </c>
      <c r="T65" s="3" t="s">
        <v>1024</v>
      </c>
      <c r="U65" s="3" t="s">
        <v>1025</v>
      </c>
      <c r="V65" s="3" t="s">
        <v>26</v>
      </c>
    </row>
    <row r="66" spans="1:22" x14ac:dyDescent="0.2">
      <c r="A66" s="12">
        <v>65</v>
      </c>
      <c r="B66" s="3" t="s">
        <v>1026</v>
      </c>
      <c r="C66" s="3"/>
      <c r="D66" s="10">
        <v>45615</v>
      </c>
      <c r="E66" s="10">
        <v>45617</v>
      </c>
      <c r="F66" s="10">
        <v>45981</v>
      </c>
      <c r="G66" s="3" t="s">
        <v>22</v>
      </c>
      <c r="H66" s="3" t="s">
        <v>23</v>
      </c>
      <c r="I66" s="3" t="s">
        <v>1027</v>
      </c>
      <c r="J66" s="3" t="s">
        <v>400</v>
      </c>
      <c r="K66" s="3" t="s">
        <v>30</v>
      </c>
      <c r="L66" s="3" t="s">
        <v>1028</v>
      </c>
      <c r="M66" s="3" t="s">
        <v>1029</v>
      </c>
      <c r="N66" s="3" t="s">
        <v>1030</v>
      </c>
      <c r="O66" s="3" t="s">
        <v>1031</v>
      </c>
      <c r="P66" s="11">
        <v>2137750</v>
      </c>
      <c r="Q66" s="11">
        <v>46072</v>
      </c>
      <c r="R66" s="11">
        <v>53444</v>
      </c>
      <c r="S66" s="11">
        <v>53444</v>
      </c>
      <c r="T66" s="3" t="s">
        <v>1032</v>
      </c>
      <c r="U66" s="3" t="s">
        <v>1033</v>
      </c>
      <c r="V66" s="3" t="s">
        <v>26</v>
      </c>
    </row>
    <row r="67" spans="1:22" x14ac:dyDescent="0.2">
      <c r="A67" s="12">
        <v>66</v>
      </c>
      <c r="B67" s="3" t="s">
        <v>1034</v>
      </c>
      <c r="C67" s="3"/>
      <c r="D67" s="10">
        <v>45615</v>
      </c>
      <c r="E67" s="10">
        <v>45599</v>
      </c>
      <c r="F67" s="10">
        <v>45963</v>
      </c>
      <c r="G67" s="3" t="s">
        <v>22</v>
      </c>
      <c r="H67" s="3" t="s">
        <v>23</v>
      </c>
      <c r="I67" s="3" t="s">
        <v>1035</v>
      </c>
      <c r="J67" s="3" t="s">
        <v>29</v>
      </c>
      <c r="K67" s="3" t="s">
        <v>30</v>
      </c>
      <c r="L67" s="3"/>
      <c r="M67" s="3" t="s">
        <v>1036</v>
      </c>
      <c r="N67" s="3" t="s">
        <v>1037</v>
      </c>
      <c r="O67" s="3" t="s">
        <v>1038</v>
      </c>
      <c r="P67" s="11">
        <v>1423750</v>
      </c>
      <c r="Q67" s="11">
        <v>30684</v>
      </c>
      <c r="R67" s="11">
        <v>35594</v>
      </c>
      <c r="S67" s="11">
        <v>35594</v>
      </c>
      <c r="T67" s="3" t="s">
        <v>1039</v>
      </c>
      <c r="U67" s="3" t="s">
        <v>1040</v>
      </c>
      <c r="V67" s="3" t="s">
        <v>26</v>
      </c>
    </row>
    <row r="68" spans="1:22" x14ac:dyDescent="0.2">
      <c r="A68" s="12">
        <v>67</v>
      </c>
      <c r="B68" s="3" t="s">
        <v>1041</v>
      </c>
      <c r="C68" s="3"/>
      <c r="D68" s="10">
        <v>45615</v>
      </c>
      <c r="E68" s="10">
        <v>45620</v>
      </c>
      <c r="F68" s="10">
        <v>45984</v>
      </c>
      <c r="G68" s="3" t="s">
        <v>22</v>
      </c>
      <c r="H68" s="3" t="s">
        <v>23</v>
      </c>
      <c r="I68" s="3" t="s">
        <v>1042</v>
      </c>
      <c r="J68" s="3" t="s">
        <v>29</v>
      </c>
      <c r="K68" s="3" t="s">
        <v>30</v>
      </c>
      <c r="L68" s="3" t="s">
        <v>1043</v>
      </c>
      <c r="M68" s="3" t="s">
        <v>1044</v>
      </c>
      <c r="N68" s="3" t="s">
        <v>1045</v>
      </c>
      <c r="O68" s="3" t="s">
        <v>1046</v>
      </c>
      <c r="P68" s="11">
        <v>1679600</v>
      </c>
      <c r="Q68" s="11">
        <v>28958</v>
      </c>
      <c r="R68" s="11">
        <v>33592</v>
      </c>
      <c r="S68" s="11">
        <v>33592</v>
      </c>
      <c r="T68" s="3" t="s">
        <v>1047</v>
      </c>
      <c r="U68" s="3" t="s">
        <v>1048</v>
      </c>
      <c r="V68" s="3" t="s">
        <v>26</v>
      </c>
    </row>
    <row r="69" spans="1:22" x14ac:dyDescent="0.2">
      <c r="A69" s="12">
        <v>68</v>
      </c>
      <c r="B69" s="3" t="s">
        <v>1049</v>
      </c>
      <c r="C69" s="3"/>
      <c r="D69" s="10">
        <v>45615</v>
      </c>
      <c r="E69" s="10">
        <v>45621</v>
      </c>
      <c r="F69" s="10">
        <v>45985</v>
      </c>
      <c r="G69" s="3" t="s">
        <v>22</v>
      </c>
      <c r="H69" s="3" t="s">
        <v>23</v>
      </c>
      <c r="I69" s="3" t="s">
        <v>1050</v>
      </c>
      <c r="J69" s="3" t="s">
        <v>368</v>
      </c>
      <c r="K69" s="3" t="s">
        <v>30</v>
      </c>
      <c r="L69" s="3" t="s">
        <v>1051</v>
      </c>
      <c r="M69" s="3" t="s">
        <v>1052</v>
      </c>
      <c r="N69" s="3" t="s">
        <v>1053</v>
      </c>
      <c r="O69" s="3" t="s">
        <v>1054</v>
      </c>
      <c r="P69" s="11">
        <v>1487500</v>
      </c>
      <c r="Q69" s="11">
        <v>25647</v>
      </c>
      <c r="R69" s="11">
        <v>29750</v>
      </c>
      <c r="S69" s="11">
        <v>29750</v>
      </c>
      <c r="T69" s="3" t="s">
        <v>1055</v>
      </c>
      <c r="U69" s="3" t="s">
        <v>1056</v>
      </c>
      <c r="V69" s="3" t="s">
        <v>26</v>
      </c>
    </row>
    <row r="70" spans="1:22" x14ac:dyDescent="0.2">
      <c r="A70" s="12">
        <v>69</v>
      </c>
      <c r="B70" s="3" t="s">
        <v>1057</v>
      </c>
      <c r="C70" s="3"/>
      <c r="D70" s="10">
        <v>45615</v>
      </c>
      <c r="E70" s="10">
        <v>45621</v>
      </c>
      <c r="F70" s="10">
        <v>45985</v>
      </c>
      <c r="G70" s="3" t="s">
        <v>22</v>
      </c>
      <c r="H70" s="3" t="s">
        <v>23</v>
      </c>
      <c r="I70" s="3" t="s">
        <v>1058</v>
      </c>
      <c r="J70" s="3" t="s">
        <v>368</v>
      </c>
      <c r="K70" s="3" t="s">
        <v>30</v>
      </c>
      <c r="L70" s="3" t="s">
        <v>1059</v>
      </c>
      <c r="M70" s="3" t="s">
        <v>1060</v>
      </c>
      <c r="N70" s="3" t="s">
        <v>1061</v>
      </c>
      <c r="O70" s="3" t="s">
        <v>1062</v>
      </c>
      <c r="P70" s="11">
        <v>2179400</v>
      </c>
      <c r="Q70" s="11">
        <v>37576</v>
      </c>
      <c r="R70" s="11">
        <v>43588</v>
      </c>
      <c r="S70" s="11">
        <v>43588</v>
      </c>
      <c r="T70" s="3" t="s">
        <v>1063</v>
      </c>
      <c r="U70" s="3" t="s">
        <v>1064</v>
      </c>
      <c r="V70" s="3" t="s">
        <v>26</v>
      </c>
    </row>
    <row r="71" spans="1:22" x14ac:dyDescent="0.2">
      <c r="A71" s="12">
        <v>70</v>
      </c>
      <c r="B71" s="3" t="s">
        <v>1065</v>
      </c>
      <c r="C71" s="3"/>
      <c r="D71" s="10">
        <v>45615</v>
      </c>
      <c r="E71" s="10">
        <v>45624</v>
      </c>
      <c r="F71" s="10">
        <v>45988</v>
      </c>
      <c r="G71" s="3" t="s">
        <v>22</v>
      </c>
      <c r="H71" s="3" t="s">
        <v>23</v>
      </c>
      <c r="I71" s="3" t="s">
        <v>1066</v>
      </c>
      <c r="J71" s="3" t="s">
        <v>1067</v>
      </c>
      <c r="K71" s="3" t="s">
        <v>156</v>
      </c>
      <c r="L71" s="3" t="s">
        <v>1068</v>
      </c>
      <c r="M71" s="3" t="s">
        <v>1069</v>
      </c>
      <c r="N71" s="3" t="s">
        <v>1070</v>
      </c>
      <c r="O71" s="3" t="s">
        <v>1071</v>
      </c>
      <c r="P71" s="11">
        <v>3400000</v>
      </c>
      <c r="Q71" s="11">
        <v>43965</v>
      </c>
      <c r="R71" s="11">
        <v>51000</v>
      </c>
      <c r="S71" s="11">
        <v>51000</v>
      </c>
      <c r="T71" s="3" t="s">
        <v>1072</v>
      </c>
      <c r="U71" s="3" t="s">
        <v>1073</v>
      </c>
      <c r="V71" s="3" t="s">
        <v>26</v>
      </c>
    </row>
    <row r="72" spans="1:22" x14ac:dyDescent="0.2">
      <c r="A72" s="12">
        <v>71</v>
      </c>
      <c r="B72" s="3" t="s">
        <v>1074</v>
      </c>
      <c r="C72" s="3"/>
      <c r="D72" s="10">
        <v>45615</v>
      </c>
      <c r="E72" s="10">
        <v>45624</v>
      </c>
      <c r="F72" s="10">
        <v>45988</v>
      </c>
      <c r="G72" s="3" t="s">
        <v>22</v>
      </c>
      <c r="H72" s="3" t="s">
        <v>23</v>
      </c>
      <c r="I72" s="3" t="s">
        <v>1075</v>
      </c>
      <c r="J72" s="3" t="s">
        <v>545</v>
      </c>
      <c r="K72" s="3" t="s">
        <v>30</v>
      </c>
      <c r="L72" s="3" t="s">
        <v>1076</v>
      </c>
      <c r="M72" s="3" t="s">
        <v>1077</v>
      </c>
      <c r="N72" s="3" t="s">
        <v>1078</v>
      </c>
      <c r="O72" s="3" t="s">
        <v>1079</v>
      </c>
      <c r="P72" s="11">
        <v>2464150</v>
      </c>
      <c r="Q72" s="11">
        <v>53107</v>
      </c>
      <c r="R72" s="11">
        <v>61604</v>
      </c>
      <c r="S72" s="11">
        <v>61604</v>
      </c>
      <c r="T72" s="3" t="s">
        <v>1080</v>
      </c>
      <c r="U72" s="3" t="s">
        <v>1081</v>
      </c>
      <c r="V72" s="3" t="s">
        <v>26</v>
      </c>
    </row>
    <row r="73" spans="1:22" x14ac:dyDescent="0.2">
      <c r="A73" s="12">
        <v>72</v>
      </c>
      <c r="B73" s="3" t="s">
        <v>1082</v>
      </c>
      <c r="C73" s="3"/>
      <c r="D73" s="10">
        <v>45615</v>
      </c>
      <c r="E73" s="10">
        <v>45625</v>
      </c>
      <c r="F73" s="10">
        <v>45989</v>
      </c>
      <c r="G73" s="3" t="s">
        <v>22</v>
      </c>
      <c r="H73" s="3" t="s">
        <v>23</v>
      </c>
      <c r="I73" s="3" t="s">
        <v>1083</v>
      </c>
      <c r="J73" s="3" t="s">
        <v>301</v>
      </c>
      <c r="K73" s="3" t="s">
        <v>146</v>
      </c>
      <c r="L73" s="3" t="s">
        <v>1084</v>
      </c>
      <c r="M73" s="3" t="s">
        <v>1085</v>
      </c>
      <c r="N73" s="3" t="s">
        <v>1086</v>
      </c>
      <c r="O73" s="3" t="s">
        <v>1087</v>
      </c>
      <c r="P73" s="11">
        <v>1827500</v>
      </c>
      <c r="Q73" s="11">
        <v>31509</v>
      </c>
      <c r="R73" s="11">
        <v>36550</v>
      </c>
      <c r="S73" s="11">
        <v>36550</v>
      </c>
      <c r="T73" s="3" t="s">
        <v>1088</v>
      </c>
      <c r="U73" s="3" t="s">
        <v>1089</v>
      </c>
      <c r="V73" s="3" t="s">
        <v>26</v>
      </c>
    </row>
    <row r="74" spans="1:22" x14ac:dyDescent="0.2">
      <c r="A74" s="12">
        <v>73</v>
      </c>
      <c r="B74" s="3" t="s">
        <v>1090</v>
      </c>
      <c r="C74" s="3"/>
      <c r="D74" s="10">
        <v>45615</v>
      </c>
      <c r="E74" s="10">
        <v>45625</v>
      </c>
      <c r="F74" s="10">
        <v>45989</v>
      </c>
      <c r="G74" s="3" t="s">
        <v>22</v>
      </c>
      <c r="H74" s="3" t="s">
        <v>23</v>
      </c>
      <c r="I74" s="3" t="s">
        <v>1091</v>
      </c>
      <c r="J74" s="3" t="s">
        <v>391</v>
      </c>
      <c r="K74" s="3" t="s">
        <v>174</v>
      </c>
      <c r="L74" s="3" t="s">
        <v>1092</v>
      </c>
      <c r="M74" s="3" t="s">
        <v>1093</v>
      </c>
      <c r="N74" s="3" t="s">
        <v>1094</v>
      </c>
      <c r="O74" s="3" t="s">
        <v>1095</v>
      </c>
      <c r="P74" s="11">
        <v>2380000</v>
      </c>
      <c r="Q74" s="11">
        <v>41035</v>
      </c>
      <c r="R74" s="11">
        <v>47600</v>
      </c>
      <c r="S74" s="11">
        <v>47600</v>
      </c>
      <c r="T74" s="3" t="s">
        <v>1096</v>
      </c>
      <c r="U74" s="3" t="s">
        <v>1097</v>
      </c>
      <c r="V74" s="3" t="s">
        <v>26</v>
      </c>
    </row>
    <row r="75" spans="1:22" x14ac:dyDescent="0.2">
      <c r="A75" s="12">
        <v>74</v>
      </c>
      <c r="B75" s="3" t="s">
        <v>1098</v>
      </c>
      <c r="C75" s="3"/>
      <c r="D75" s="10">
        <v>45615</v>
      </c>
      <c r="E75" s="10">
        <v>45625</v>
      </c>
      <c r="F75" s="10">
        <v>45989</v>
      </c>
      <c r="G75" s="3" t="s">
        <v>22</v>
      </c>
      <c r="H75" s="3" t="s">
        <v>23</v>
      </c>
      <c r="I75" s="3" t="s">
        <v>1099</v>
      </c>
      <c r="J75" s="3" t="s">
        <v>128</v>
      </c>
      <c r="K75" s="3" t="s">
        <v>30</v>
      </c>
      <c r="L75" s="3" t="s">
        <v>1100</v>
      </c>
      <c r="M75" s="3" t="s">
        <v>1101</v>
      </c>
      <c r="N75" s="3" t="s">
        <v>1102</v>
      </c>
      <c r="O75" s="3" t="s">
        <v>1103</v>
      </c>
      <c r="P75" s="11">
        <v>2550000</v>
      </c>
      <c r="Q75" s="11">
        <v>43965</v>
      </c>
      <c r="R75" s="11">
        <v>51000</v>
      </c>
      <c r="S75" s="11">
        <v>51000</v>
      </c>
      <c r="T75" s="3" t="s">
        <v>1104</v>
      </c>
      <c r="U75" s="3" t="s">
        <v>1105</v>
      </c>
      <c r="V75" s="3" t="s">
        <v>26</v>
      </c>
    </row>
    <row r="76" spans="1:22" x14ac:dyDescent="0.2">
      <c r="A76" s="12">
        <v>75</v>
      </c>
      <c r="B76" s="3" t="s">
        <v>1106</v>
      </c>
      <c r="C76" s="3"/>
      <c r="D76" s="10">
        <v>45615</v>
      </c>
      <c r="E76" s="10">
        <v>45625</v>
      </c>
      <c r="F76" s="10">
        <v>45989</v>
      </c>
      <c r="G76" s="3" t="s">
        <v>22</v>
      </c>
      <c r="H76" s="3" t="s">
        <v>23</v>
      </c>
      <c r="I76" s="3" t="s">
        <v>1107</v>
      </c>
      <c r="J76" s="3" t="s">
        <v>46</v>
      </c>
      <c r="K76" s="3" t="s">
        <v>30</v>
      </c>
      <c r="L76" s="3" t="s">
        <v>1108</v>
      </c>
      <c r="M76" s="3" t="s">
        <v>1109</v>
      </c>
      <c r="N76" s="3" t="s">
        <v>1110</v>
      </c>
      <c r="O76" s="3" t="s">
        <v>1111</v>
      </c>
      <c r="P76" s="11">
        <v>1679600</v>
      </c>
      <c r="Q76" s="11">
        <v>28958</v>
      </c>
      <c r="R76" s="11">
        <v>33592</v>
      </c>
      <c r="S76" s="11">
        <v>33592</v>
      </c>
      <c r="T76" s="3" t="s">
        <v>1112</v>
      </c>
      <c r="U76" s="3" t="s">
        <v>1113</v>
      </c>
      <c r="V76" s="3" t="s">
        <v>26</v>
      </c>
    </row>
    <row r="77" spans="1:22" x14ac:dyDescent="0.2">
      <c r="A77" s="12">
        <v>76</v>
      </c>
      <c r="B77" s="3" t="s">
        <v>1114</v>
      </c>
      <c r="C77" s="3"/>
      <c r="D77" s="10">
        <v>45615</v>
      </c>
      <c r="E77" s="10">
        <v>45625</v>
      </c>
      <c r="F77" s="10">
        <v>45989</v>
      </c>
      <c r="G77" s="3" t="s">
        <v>22</v>
      </c>
      <c r="H77" s="3" t="s">
        <v>23</v>
      </c>
      <c r="I77" s="3" t="s">
        <v>1115</v>
      </c>
      <c r="J77" s="3" t="s">
        <v>222</v>
      </c>
      <c r="K77" s="3" t="s">
        <v>146</v>
      </c>
      <c r="L77" s="3" t="s">
        <v>1116</v>
      </c>
      <c r="M77" s="3" t="s">
        <v>1117</v>
      </c>
      <c r="N77" s="3" t="s">
        <v>1118</v>
      </c>
      <c r="O77" s="3" t="s">
        <v>1119</v>
      </c>
      <c r="P77" s="11">
        <v>3485000</v>
      </c>
      <c r="Q77" s="11">
        <v>45064</v>
      </c>
      <c r="R77" s="11">
        <v>52275</v>
      </c>
      <c r="S77" s="11">
        <v>52275</v>
      </c>
      <c r="T77" s="3" t="s">
        <v>1120</v>
      </c>
      <c r="U77" s="3" t="s">
        <v>1121</v>
      </c>
      <c r="V77" s="3" t="s">
        <v>26</v>
      </c>
    </row>
    <row r="78" spans="1:22" x14ac:dyDescent="0.2">
      <c r="A78" s="12">
        <v>77</v>
      </c>
      <c r="B78" s="3" t="s">
        <v>1122</v>
      </c>
      <c r="C78" s="3"/>
      <c r="D78" s="10">
        <v>45615</v>
      </c>
      <c r="E78" s="10">
        <v>45603</v>
      </c>
      <c r="F78" s="10">
        <v>45967</v>
      </c>
      <c r="G78" s="3" t="s">
        <v>22</v>
      </c>
      <c r="H78" s="3" t="s">
        <v>23</v>
      </c>
      <c r="I78" s="3" t="s">
        <v>1123</v>
      </c>
      <c r="J78" s="3" t="s">
        <v>62</v>
      </c>
      <c r="K78" s="3" t="s">
        <v>30</v>
      </c>
      <c r="L78" s="3"/>
      <c r="M78" s="3" t="s">
        <v>1124</v>
      </c>
      <c r="N78" s="3" t="s">
        <v>1125</v>
      </c>
      <c r="O78" s="3" t="s">
        <v>1126</v>
      </c>
      <c r="P78" s="11">
        <v>3322650</v>
      </c>
      <c r="Q78" s="11">
        <v>71609</v>
      </c>
      <c r="R78" s="11">
        <v>83066</v>
      </c>
      <c r="S78" s="11">
        <v>83066</v>
      </c>
      <c r="T78" s="3" t="s">
        <v>1127</v>
      </c>
      <c r="U78" s="3" t="s">
        <v>1128</v>
      </c>
      <c r="V78" s="3" t="s">
        <v>26</v>
      </c>
    </row>
    <row r="79" spans="1:22" x14ac:dyDescent="0.2">
      <c r="A79" s="12">
        <v>78</v>
      </c>
      <c r="B79" s="3" t="s">
        <v>1129</v>
      </c>
      <c r="C79" s="3"/>
      <c r="D79" s="10">
        <v>45615</v>
      </c>
      <c r="E79" s="10">
        <v>45626</v>
      </c>
      <c r="F79" s="10">
        <v>45990</v>
      </c>
      <c r="G79" s="3" t="s">
        <v>22</v>
      </c>
      <c r="H79" s="3" t="s">
        <v>23</v>
      </c>
      <c r="I79" s="3" t="s">
        <v>1130</v>
      </c>
      <c r="J79" s="3" t="s">
        <v>173</v>
      </c>
      <c r="K79" s="3" t="s">
        <v>25</v>
      </c>
      <c r="L79" s="3" t="s">
        <v>1131</v>
      </c>
      <c r="M79" s="3" t="s">
        <v>1132</v>
      </c>
      <c r="N79" s="3" t="s">
        <v>1133</v>
      </c>
      <c r="O79" s="3" t="s">
        <v>1134</v>
      </c>
      <c r="P79" s="11">
        <v>3230000</v>
      </c>
      <c r="Q79" s="11">
        <v>41767</v>
      </c>
      <c r="R79" s="11">
        <v>48450</v>
      </c>
      <c r="S79" s="11">
        <v>48450</v>
      </c>
      <c r="T79" s="3" t="s">
        <v>1135</v>
      </c>
      <c r="U79" s="3" t="s">
        <v>1136</v>
      </c>
      <c r="V79" s="3" t="s">
        <v>26</v>
      </c>
    </row>
    <row r="80" spans="1:22" x14ac:dyDescent="0.2">
      <c r="A80" s="12">
        <v>79</v>
      </c>
      <c r="B80" s="3" t="s">
        <v>1137</v>
      </c>
      <c r="C80" s="3"/>
      <c r="D80" s="10">
        <v>45615</v>
      </c>
      <c r="E80" s="10">
        <v>45626</v>
      </c>
      <c r="F80" s="10">
        <v>45990</v>
      </c>
      <c r="G80" s="3" t="s">
        <v>22</v>
      </c>
      <c r="H80" s="3" t="s">
        <v>23</v>
      </c>
      <c r="I80" s="3" t="s">
        <v>1138</v>
      </c>
      <c r="J80" s="3" t="s">
        <v>368</v>
      </c>
      <c r="K80" s="3" t="s">
        <v>156</v>
      </c>
      <c r="L80" s="3" t="s">
        <v>1139</v>
      </c>
      <c r="M80" s="3" t="s">
        <v>1140</v>
      </c>
      <c r="N80" s="3" t="s">
        <v>1141</v>
      </c>
      <c r="O80" s="3" t="s">
        <v>1142</v>
      </c>
      <c r="P80" s="11">
        <v>1445000</v>
      </c>
      <c r="Q80" s="11">
        <v>24914</v>
      </c>
      <c r="R80" s="11">
        <v>28900</v>
      </c>
      <c r="S80" s="11">
        <v>28900</v>
      </c>
      <c r="T80" s="3" t="s">
        <v>1143</v>
      </c>
      <c r="U80" s="3" t="s">
        <v>1144</v>
      </c>
      <c r="V80" s="3" t="s">
        <v>26</v>
      </c>
    </row>
    <row r="81" spans="1:22" x14ac:dyDescent="0.2">
      <c r="A81" s="12">
        <v>80</v>
      </c>
      <c r="B81" s="3" t="s">
        <v>1145</v>
      </c>
      <c r="C81" s="3"/>
      <c r="D81" s="10">
        <v>45615</v>
      </c>
      <c r="E81" s="10">
        <v>45626</v>
      </c>
      <c r="F81" s="10">
        <v>45990</v>
      </c>
      <c r="G81" s="3" t="s">
        <v>22</v>
      </c>
      <c r="H81" s="3" t="s">
        <v>23</v>
      </c>
      <c r="I81" s="3" t="s">
        <v>1146</v>
      </c>
      <c r="J81" s="3" t="s">
        <v>368</v>
      </c>
      <c r="K81" s="3" t="s">
        <v>30</v>
      </c>
      <c r="L81" s="3" t="s">
        <v>1147</v>
      </c>
      <c r="M81" s="3" t="s">
        <v>1148</v>
      </c>
      <c r="N81" s="3" t="s">
        <v>1149</v>
      </c>
      <c r="O81" s="3" t="s">
        <v>1150</v>
      </c>
      <c r="P81" s="11">
        <v>2179400</v>
      </c>
      <c r="Q81" s="11">
        <v>37576</v>
      </c>
      <c r="R81" s="11">
        <v>43588</v>
      </c>
      <c r="S81" s="11">
        <v>43588</v>
      </c>
      <c r="T81" s="3" t="s">
        <v>1151</v>
      </c>
      <c r="U81" s="3" t="s">
        <v>1152</v>
      </c>
      <c r="V81" s="3" t="s">
        <v>26</v>
      </c>
    </row>
    <row r="82" spans="1:22" x14ac:dyDescent="0.2">
      <c r="A82" s="12">
        <v>81</v>
      </c>
      <c r="B82" s="3" t="s">
        <v>1153</v>
      </c>
      <c r="C82" s="3"/>
      <c r="D82" s="10">
        <v>45615</v>
      </c>
      <c r="E82" s="10">
        <v>45626</v>
      </c>
      <c r="F82" s="10">
        <v>45990</v>
      </c>
      <c r="G82" s="3" t="s">
        <v>22</v>
      </c>
      <c r="H82" s="3" t="s">
        <v>23</v>
      </c>
      <c r="I82" s="3" t="s">
        <v>1154</v>
      </c>
      <c r="J82" s="3" t="s">
        <v>400</v>
      </c>
      <c r="K82" s="3" t="s">
        <v>30</v>
      </c>
      <c r="L82" s="3"/>
      <c r="M82" s="3" t="s">
        <v>1155</v>
      </c>
      <c r="N82" s="3" t="s">
        <v>1156</v>
      </c>
      <c r="O82" s="3" t="s">
        <v>1157</v>
      </c>
      <c r="P82" s="11">
        <v>2142000</v>
      </c>
      <c r="Q82" s="11">
        <v>36931</v>
      </c>
      <c r="R82" s="11">
        <v>42840</v>
      </c>
      <c r="S82" s="11">
        <v>42840</v>
      </c>
      <c r="T82" s="3" t="s">
        <v>1158</v>
      </c>
      <c r="U82" s="3" t="s">
        <v>1159</v>
      </c>
      <c r="V82" s="3" t="s">
        <v>26</v>
      </c>
    </row>
    <row r="83" spans="1:22" x14ac:dyDescent="0.2">
      <c r="A83" s="12">
        <v>82</v>
      </c>
      <c r="B83" s="3" t="s">
        <v>1160</v>
      </c>
      <c r="C83" s="3"/>
      <c r="D83" s="10">
        <v>45615</v>
      </c>
      <c r="E83" s="10">
        <v>45626</v>
      </c>
      <c r="F83" s="10">
        <v>45990</v>
      </c>
      <c r="G83" s="3" t="s">
        <v>22</v>
      </c>
      <c r="H83" s="3" t="s">
        <v>23</v>
      </c>
      <c r="I83" s="3" t="s">
        <v>1161</v>
      </c>
      <c r="J83" s="3" t="s">
        <v>1067</v>
      </c>
      <c r="K83" s="3" t="s">
        <v>25</v>
      </c>
      <c r="L83" s="3" t="s">
        <v>1162</v>
      </c>
      <c r="M83" s="3" t="s">
        <v>1163</v>
      </c>
      <c r="N83" s="3" t="s">
        <v>1164</v>
      </c>
      <c r="O83" s="3" t="s">
        <v>1165</v>
      </c>
      <c r="P83" s="11">
        <v>3060000</v>
      </c>
      <c r="Q83" s="11">
        <v>39569</v>
      </c>
      <c r="R83" s="11">
        <v>45900</v>
      </c>
      <c r="S83" s="11">
        <v>45900</v>
      </c>
      <c r="T83" s="3" t="s">
        <v>1166</v>
      </c>
      <c r="U83" s="3" t="s">
        <v>1167</v>
      </c>
      <c r="V83" s="3" t="s">
        <v>26</v>
      </c>
    </row>
    <row r="84" spans="1:22" x14ac:dyDescent="0.2">
      <c r="A84" s="12">
        <v>83</v>
      </c>
      <c r="B84" s="3" t="s">
        <v>1168</v>
      </c>
      <c r="C84" s="3"/>
      <c r="D84" s="10">
        <v>45615</v>
      </c>
      <c r="E84" s="10">
        <v>45626</v>
      </c>
      <c r="F84" s="10">
        <v>45990</v>
      </c>
      <c r="G84" s="3" t="s">
        <v>22</v>
      </c>
      <c r="H84" s="3" t="s">
        <v>23</v>
      </c>
      <c r="I84" s="3" t="s">
        <v>1169</v>
      </c>
      <c r="J84" s="3" t="s">
        <v>351</v>
      </c>
      <c r="K84" s="3" t="s">
        <v>174</v>
      </c>
      <c r="L84" s="3" t="s">
        <v>1170</v>
      </c>
      <c r="M84" s="3" t="s">
        <v>1171</v>
      </c>
      <c r="N84" s="3" t="s">
        <v>1172</v>
      </c>
      <c r="O84" s="3" t="s">
        <v>1173</v>
      </c>
      <c r="P84" s="11">
        <v>2720000</v>
      </c>
      <c r="Q84" s="11">
        <v>46897</v>
      </c>
      <c r="R84" s="11">
        <v>54400</v>
      </c>
      <c r="S84" s="11">
        <v>54400</v>
      </c>
      <c r="T84" s="3" t="s">
        <v>1174</v>
      </c>
      <c r="U84" s="3" t="s">
        <v>1175</v>
      </c>
      <c r="V84" s="3" t="s">
        <v>26</v>
      </c>
    </row>
    <row r="85" spans="1:22" x14ac:dyDescent="0.2">
      <c r="A85" s="12">
        <v>84</v>
      </c>
      <c r="B85" s="3" t="s">
        <v>1176</v>
      </c>
      <c r="C85" s="3"/>
      <c r="D85" s="10">
        <v>45615</v>
      </c>
      <c r="E85" s="10">
        <v>45626</v>
      </c>
      <c r="F85" s="10">
        <v>45990</v>
      </c>
      <c r="G85" s="3" t="s">
        <v>22</v>
      </c>
      <c r="H85" s="3" t="s">
        <v>23</v>
      </c>
      <c r="I85" s="3" t="s">
        <v>1177</v>
      </c>
      <c r="J85" s="3" t="s">
        <v>46</v>
      </c>
      <c r="K85" s="3" t="s">
        <v>95</v>
      </c>
      <c r="L85" s="3" t="s">
        <v>1178</v>
      </c>
      <c r="M85" s="3" t="s">
        <v>1179</v>
      </c>
      <c r="N85" s="3" t="s">
        <v>1180</v>
      </c>
      <c r="O85" s="3" t="s">
        <v>1181</v>
      </c>
      <c r="P85" s="11">
        <v>1870000</v>
      </c>
      <c r="Q85" s="11">
        <v>32242</v>
      </c>
      <c r="R85" s="11">
        <v>37400</v>
      </c>
      <c r="S85" s="11">
        <v>37400</v>
      </c>
      <c r="T85" s="3" t="s">
        <v>1182</v>
      </c>
      <c r="U85" s="3" t="s">
        <v>1183</v>
      </c>
      <c r="V85" s="3" t="s">
        <v>26</v>
      </c>
    </row>
    <row r="86" spans="1:22" x14ac:dyDescent="0.2">
      <c r="A86" s="12">
        <v>85</v>
      </c>
      <c r="B86" s="3" t="s">
        <v>1184</v>
      </c>
      <c r="C86" s="3"/>
      <c r="D86" s="10">
        <v>45615</v>
      </c>
      <c r="E86" s="10">
        <v>45626</v>
      </c>
      <c r="F86" s="10">
        <v>45990</v>
      </c>
      <c r="G86" s="3" t="s">
        <v>22</v>
      </c>
      <c r="H86" s="3" t="s">
        <v>23</v>
      </c>
      <c r="I86" s="3" t="s">
        <v>1185</v>
      </c>
      <c r="J86" s="3" t="s">
        <v>351</v>
      </c>
      <c r="K86" s="3" t="s">
        <v>156</v>
      </c>
      <c r="L86" s="3"/>
      <c r="M86" s="3" t="s">
        <v>1186</v>
      </c>
      <c r="N86" s="3" t="s">
        <v>1187</v>
      </c>
      <c r="O86" s="3" t="s">
        <v>1188</v>
      </c>
      <c r="P86" s="11">
        <v>3315000</v>
      </c>
      <c r="Q86" s="11">
        <v>42866</v>
      </c>
      <c r="R86" s="11">
        <v>49725</v>
      </c>
      <c r="S86" s="11">
        <v>49725</v>
      </c>
      <c r="T86" s="3" t="s">
        <v>1189</v>
      </c>
      <c r="U86" s="3" t="s">
        <v>1190</v>
      </c>
      <c r="V86" s="3" t="s">
        <v>26</v>
      </c>
    </row>
    <row r="87" spans="1:22" x14ac:dyDescent="0.2">
      <c r="A87" s="12">
        <v>86</v>
      </c>
      <c r="B87" s="3" t="s">
        <v>1191</v>
      </c>
      <c r="C87" s="3"/>
      <c r="D87" s="10">
        <v>45615</v>
      </c>
      <c r="E87" s="10">
        <v>45626</v>
      </c>
      <c r="F87" s="10">
        <v>45990</v>
      </c>
      <c r="G87" s="3" t="s">
        <v>22</v>
      </c>
      <c r="H87" s="3" t="s">
        <v>23</v>
      </c>
      <c r="I87" s="3" t="s">
        <v>1192</v>
      </c>
      <c r="J87" s="3" t="s">
        <v>1193</v>
      </c>
      <c r="K87" s="3" t="s">
        <v>109</v>
      </c>
      <c r="L87" s="3" t="s">
        <v>1194</v>
      </c>
      <c r="M87" s="3" t="s">
        <v>1195</v>
      </c>
      <c r="N87" s="3" t="s">
        <v>1196</v>
      </c>
      <c r="O87" s="3" t="s">
        <v>1197</v>
      </c>
      <c r="P87" s="11">
        <v>3740000</v>
      </c>
      <c r="Q87" s="11">
        <v>48362</v>
      </c>
      <c r="R87" s="11">
        <v>56100</v>
      </c>
      <c r="S87" s="11">
        <v>56100</v>
      </c>
      <c r="T87" s="3" t="s">
        <v>1198</v>
      </c>
      <c r="U87" s="3" t="s">
        <v>1199</v>
      </c>
      <c r="V87" s="3" t="s">
        <v>26</v>
      </c>
    </row>
    <row r="88" spans="1:22" x14ac:dyDescent="0.2">
      <c r="A88" s="12">
        <v>87</v>
      </c>
      <c r="B88" s="3" t="s">
        <v>1200</v>
      </c>
      <c r="C88" s="3"/>
      <c r="D88" s="10">
        <v>45615</v>
      </c>
      <c r="E88" s="10">
        <v>45626</v>
      </c>
      <c r="F88" s="10">
        <v>45990</v>
      </c>
      <c r="G88" s="3" t="s">
        <v>22</v>
      </c>
      <c r="H88" s="3" t="s">
        <v>23</v>
      </c>
      <c r="I88" s="3" t="s">
        <v>1201</v>
      </c>
      <c r="J88" s="3" t="s">
        <v>351</v>
      </c>
      <c r="K88" s="3" t="s">
        <v>156</v>
      </c>
      <c r="L88" s="3" t="s">
        <v>1202</v>
      </c>
      <c r="M88" s="3" t="s">
        <v>1203</v>
      </c>
      <c r="N88" s="3" t="s">
        <v>1204</v>
      </c>
      <c r="O88" s="3" t="s">
        <v>1205</v>
      </c>
      <c r="P88" s="11">
        <v>3400000</v>
      </c>
      <c r="Q88" s="11">
        <v>43965</v>
      </c>
      <c r="R88" s="11">
        <v>51000</v>
      </c>
      <c r="S88" s="11">
        <v>51000</v>
      </c>
      <c r="T88" s="3" t="s">
        <v>1206</v>
      </c>
      <c r="U88" s="3" t="s">
        <v>1207</v>
      </c>
      <c r="V88" s="3" t="s">
        <v>26</v>
      </c>
    </row>
    <row r="89" spans="1:22" x14ac:dyDescent="0.2">
      <c r="A89" s="12">
        <v>88</v>
      </c>
      <c r="B89" s="3" t="s">
        <v>1208</v>
      </c>
      <c r="C89" s="3"/>
      <c r="D89" s="10">
        <v>45615</v>
      </c>
      <c r="E89" s="10">
        <v>45606</v>
      </c>
      <c r="F89" s="10">
        <v>45970</v>
      </c>
      <c r="G89" s="3" t="s">
        <v>22</v>
      </c>
      <c r="H89" s="3" t="s">
        <v>23</v>
      </c>
      <c r="I89" s="3" t="s">
        <v>1209</v>
      </c>
      <c r="J89" s="3" t="s">
        <v>1210</v>
      </c>
      <c r="K89" s="3" t="s">
        <v>79</v>
      </c>
      <c r="L89" s="3" t="s">
        <v>1211</v>
      </c>
      <c r="M89" s="3" t="s">
        <v>1212</v>
      </c>
      <c r="N89" s="3" t="s">
        <v>1213</v>
      </c>
      <c r="O89" s="3" t="s">
        <v>1214</v>
      </c>
      <c r="P89" s="11">
        <v>4250000</v>
      </c>
      <c r="Q89" s="11">
        <v>54956</v>
      </c>
      <c r="R89" s="11">
        <v>63750</v>
      </c>
      <c r="S89" s="11">
        <v>63750</v>
      </c>
      <c r="T89" s="3" t="s">
        <v>1215</v>
      </c>
      <c r="U89" s="3" t="s">
        <v>1167</v>
      </c>
      <c r="V89" s="3" t="s">
        <v>26</v>
      </c>
    </row>
    <row r="90" spans="1:22" x14ac:dyDescent="0.2">
      <c r="A90" s="12">
        <v>89</v>
      </c>
      <c r="B90" s="3" t="s">
        <v>1216</v>
      </c>
      <c r="C90" s="3"/>
      <c r="D90" s="10">
        <v>45615</v>
      </c>
      <c r="E90" s="10">
        <v>45626</v>
      </c>
      <c r="F90" s="10">
        <v>45990</v>
      </c>
      <c r="G90" s="3" t="s">
        <v>22</v>
      </c>
      <c r="H90" s="3" t="s">
        <v>23</v>
      </c>
      <c r="I90" s="3" t="s">
        <v>1217</v>
      </c>
      <c r="J90" s="3" t="s">
        <v>128</v>
      </c>
      <c r="K90" s="3" t="s">
        <v>156</v>
      </c>
      <c r="L90" s="3" t="s">
        <v>1218</v>
      </c>
      <c r="M90" s="3" t="s">
        <v>1219</v>
      </c>
      <c r="N90" s="3" t="s">
        <v>1220</v>
      </c>
      <c r="O90" s="3" t="s">
        <v>1221</v>
      </c>
      <c r="P90" s="11">
        <v>1317500</v>
      </c>
      <c r="Q90" s="11">
        <v>22716</v>
      </c>
      <c r="R90" s="11">
        <v>26350</v>
      </c>
      <c r="S90" s="11">
        <v>26350</v>
      </c>
      <c r="T90" s="3" t="s">
        <v>1222</v>
      </c>
      <c r="U90" s="3" t="s">
        <v>1223</v>
      </c>
      <c r="V90" s="3" t="s">
        <v>26</v>
      </c>
    </row>
    <row r="91" spans="1:22" x14ac:dyDescent="0.2">
      <c r="A91" s="12">
        <v>90</v>
      </c>
      <c r="B91" s="3" t="s">
        <v>1224</v>
      </c>
      <c r="C91" s="3"/>
      <c r="D91" s="10">
        <v>45615</v>
      </c>
      <c r="E91" s="10">
        <v>45626</v>
      </c>
      <c r="F91" s="10">
        <v>45990</v>
      </c>
      <c r="G91" s="3" t="s">
        <v>22</v>
      </c>
      <c r="H91" s="3" t="s">
        <v>23</v>
      </c>
      <c r="I91" s="3" t="s">
        <v>1225</v>
      </c>
      <c r="J91" s="3" t="s">
        <v>545</v>
      </c>
      <c r="K91" s="3" t="s">
        <v>30</v>
      </c>
      <c r="L91" s="3" t="s">
        <v>1226</v>
      </c>
      <c r="M91" s="3" t="s">
        <v>1227</v>
      </c>
      <c r="N91" s="3" t="s">
        <v>1228</v>
      </c>
      <c r="O91" s="3" t="s">
        <v>1229</v>
      </c>
      <c r="P91" s="11">
        <v>3196000</v>
      </c>
      <c r="Q91" s="11">
        <v>41328</v>
      </c>
      <c r="R91" s="11">
        <v>47940</v>
      </c>
      <c r="S91" s="11">
        <v>47940</v>
      </c>
      <c r="T91" s="3" t="s">
        <v>1230</v>
      </c>
      <c r="U91" s="3" t="s">
        <v>1231</v>
      </c>
      <c r="V91" s="3" t="s">
        <v>26</v>
      </c>
    </row>
    <row r="92" spans="1:22" x14ac:dyDescent="0.2">
      <c r="A92" s="12">
        <v>91</v>
      </c>
      <c r="B92" s="3" t="s">
        <v>1232</v>
      </c>
      <c r="C92" s="3"/>
      <c r="D92" s="10">
        <v>45615</v>
      </c>
      <c r="E92" s="10">
        <v>45606</v>
      </c>
      <c r="F92" s="10">
        <v>45970</v>
      </c>
      <c r="G92" s="3" t="s">
        <v>22</v>
      </c>
      <c r="H92" s="3" t="s">
        <v>23</v>
      </c>
      <c r="I92" s="3" t="s">
        <v>1233</v>
      </c>
      <c r="J92" s="3" t="s">
        <v>442</v>
      </c>
      <c r="K92" s="3" t="s">
        <v>30</v>
      </c>
      <c r="L92" s="3" t="s">
        <v>1234</v>
      </c>
      <c r="M92" s="3" t="s">
        <v>1235</v>
      </c>
      <c r="N92" s="3" t="s">
        <v>1236</v>
      </c>
      <c r="O92" s="3" t="s">
        <v>1237</v>
      </c>
      <c r="P92" s="11">
        <v>2975000</v>
      </c>
      <c r="Q92" s="11">
        <v>38470</v>
      </c>
      <c r="R92" s="11">
        <v>44625</v>
      </c>
      <c r="S92" s="11">
        <v>44625</v>
      </c>
      <c r="T92" s="3" t="s">
        <v>1238</v>
      </c>
      <c r="U92" s="3" t="s">
        <v>1239</v>
      </c>
      <c r="V92" s="3" t="s">
        <v>26</v>
      </c>
    </row>
    <row r="93" spans="1:22" x14ac:dyDescent="0.2">
      <c r="A93" s="12">
        <v>92</v>
      </c>
      <c r="B93" s="3" t="s">
        <v>1240</v>
      </c>
      <c r="C93" s="3"/>
      <c r="D93" s="10">
        <v>45615</v>
      </c>
      <c r="E93" s="10">
        <v>45607</v>
      </c>
      <c r="F93" s="10">
        <v>45971</v>
      </c>
      <c r="G93" s="3" t="s">
        <v>22</v>
      </c>
      <c r="H93" s="3" t="s">
        <v>23</v>
      </c>
      <c r="I93" s="3" t="s">
        <v>1035</v>
      </c>
      <c r="J93" s="3" t="s">
        <v>1241</v>
      </c>
      <c r="K93" s="3" t="s">
        <v>30</v>
      </c>
      <c r="L93" s="3" t="s">
        <v>1242</v>
      </c>
      <c r="M93" s="3" t="s">
        <v>1243</v>
      </c>
      <c r="N93" s="3" t="s">
        <v>1244</v>
      </c>
      <c r="O93" s="3" t="s">
        <v>1245</v>
      </c>
      <c r="P93" s="11">
        <v>3664342</v>
      </c>
      <c r="Q93" s="11">
        <v>47383</v>
      </c>
      <c r="R93" s="11">
        <v>54965</v>
      </c>
      <c r="S93" s="11">
        <v>54965</v>
      </c>
      <c r="T93" s="3" t="s">
        <v>1246</v>
      </c>
      <c r="U93" s="3" t="s">
        <v>1247</v>
      </c>
      <c r="V93" s="3" t="s">
        <v>26</v>
      </c>
    </row>
    <row r="94" spans="1:22" x14ac:dyDescent="0.2">
      <c r="A94" s="12">
        <v>93</v>
      </c>
      <c r="B94" s="3" t="s">
        <v>1248</v>
      </c>
      <c r="C94" s="3"/>
      <c r="D94" s="10">
        <v>45615</v>
      </c>
      <c r="E94" s="10">
        <v>45607</v>
      </c>
      <c r="F94" s="10">
        <v>45971</v>
      </c>
      <c r="G94" s="3" t="s">
        <v>22</v>
      </c>
      <c r="H94" s="3" t="s">
        <v>23</v>
      </c>
      <c r="I94" s="3" t="s">
        <v>1249</v>
      </c>
      <c r="J94" s="3" t="s">
        <v>545</v>
      </c>
      <c r="K94" s="3" t="s">
        <v>30</v>
      </c>
      <c r="L94" s="3" t="s">
        <v>1250</v>
      </c>
      <c r="M94" s="3" t="s">
        <v>1251</v>
      </c>
      <c r="N94" s="3" t="s">
        <v>1252</v>
      </c>
      <c r="O94" s="3" t="s">
        <v>1253</v>
      </c>
      <c r="P94" s="11">
        <v>2464150</v>
      </c>
      <c r="Q94" s="11">
        <v>53107</v>
      </c>
      <c r="R94" s="11">
        <v>61604</v>
      </c>
      <c r="S94" s="11">
        <v>61604</v>
      </c>
      <c r="T94" s="3" t="s">
        <v>1254</v>
      </c>
      <c r="U94" s="3" t="s">
        <v>1255</v>
      </c>
      <c r="V94" s="3" t="s">
        <v>26</v>
      </c>
    </row>
    <row r="95" spans="1:22" x14ac:dyDescent="0.2">
      <c r="A95" s="12">
        <v>94</v>
      </c>
      <c r="B95" s="3" t="s">
        <v>1256</v>
      </c>
      <c r="C95" s="3"/>
      <c r="D95" s="10">
        <v>45615</v>
      </c>
      <c r="E95" s="10">
        <v>45607</v>
      </c>
      <c r="F95" s="10">
        <v>45971</v>
      </c>
      <c r="G95" s="3" t="s">
        <v>22</v>
      </c>
      <c r="H95" s="3" t="s">
        <v>23</v>
      </c>
      <c r="I95" s="3" t="s">
        <v>1257</v>
      </c>
      <c r="J95" s="3" t="s">
        <v>46</v>
      </c>
      <c r="K95" s="3" t="s">
        <v>30</v>
      </c>
      <c r="L95" s="3" t="s">
        <v>1258</v>
      </c>
      <c r="M95" s="3" t="s">
        <v>1259</v>
      </c>
      <c r="N95" s="3" t="s">
        <v>1260</v>
      </c>
      <c r="O95" s="3" t="s">
        <v>1261</v>
      </c>
      <c r="P95" s="11">
        <v>1314100</v>
      </c>
      <c r="Q95" s="11">
        <v>19825</v>
      </c>
      <c r="R95" s="11">
        <v>22997</v>
      </c>
      <c r="S95" s="11">
        <v>22997</v>
      </c>
      <c r="T95" s="3" t="s">
        <v>1262</v>
      </c>
      <c r="U95" s="3" t="s">
        <v>1263</v>
      </c>
      <c r="V95" s="3" t="s">
        <v>26</v>
      </c>
    </row>
    <row r="96" spans="1:22" x14ac:dyDescent="0.2">
      <c r="A96" s="12">
        <v>95</v>
      </c>
      <c r="B96" s="3" t="s">
        <v>1264</v>
      </c>
      <c r="C96" s="3"/>
      <c r="D96" s="10">
        <v>45615</v>
      </c>
      <c r="E96" s="10">
        <v>45610</v>
      </c>
      <c r="F96" s="10">
        <v>45974</v>
      </c>
      <c r="G96" s="3" t="s">
        <v>22</v>
      </c>
      <c r="H96" s="3" t="s">
        <v>23</v>
      </c>
      <c r="I96" s="3" t="s">
        <v>1265</v>
      </c>
      <c r="J96" s="3" t="s">
        <v>54</v>
      </c>
      <c r="K96" s="3" t="s">
        <v>30</v>
      </c>
      <c r="L96" s="3"/>
      <c r="M96" s="3" t="s">
        <v>1266</v>
      </c>
      <c r="N96" s="3" t="s">
        <v>1267</v>
      </c>
      <c r="O96" s="3" t="s">
        <v>1268</v>
      </c>
      <c r="P96" s="11">
        <v>1211250</v>
      </c>
      <c r="Q96" s="11">
        <v>26104</v>
      </c>
      <c r="R96" s="11">
        <v>30281</v>
      </c>
      <c r="S96" s="11">
        <v>30281</v>
      </c>
      <c r="T96" s="3" t="s">
        <v>1269</v>
      </c>
      <c r="U96" s="3" t="s">
        <v>1270</v>
      </c>
      <c r="V96" s="3" t="s">
        <v>26</v>
      </c>
    </row>
    <row r="97" spans="1:22" x14ac:dyDescent="0.2">
      <c r="A97" s="12">
        <v>96</v>
      </c>
      <c r="B97" s="3" t="s">
        <v>1271</v>
      </c>
      <c r="C97" s="3"/>
      <c r="D97" s="10">
        <v>45615</v>
      </c>
      <c r="E97" s="10">
        <v>45600</v>
      </c>
      <c r="F97" s="10">
        <v>45964</v>
      </c>
      <c r="G97" s="3" t="s">
        <v>22</v>
      </c>
      <c r="H97" s="3" t="s">
        <v>23</v>
      </c>
      <c r="I97" s="3" t="s">
        <v>1272</v>
      </c>
      <c r="J97" s="3" t="s">
        <v>731</v>
      </c>
      <c r="K97" s="3" t="s">
        <v>79</v>
      </c>
      <c r="L97" s="3"/>
      <c r="M97" s="3" t="s">
        <v>1273</v>
      </c>
      <c r="N97" s="3" t="s">
        <v>1274</v>
      </c>
      <c r="O97" s="3" t="s">
        <v>1275</v>
      </c>
      <c r="P97" s="11">
        <v>2346400</v>
      </c>
      <c r="Q97" s="11">
        <v>35398</v>
      </c>
      <c r="R97" s="11">
        <v>41062</v>
      </c>
      <c r="S97" s="11">
        <v>41062</v>
      </c>
      <c r="T97" s="3" t="s">
        <v>1276</v>
      </c>
      <c r="U97" s="3" t="s">
        <v>1277</v>
      </c>
      <c r="V97" s="3" t="s">
        <v>26</v>
      </c>
    </row>
    <row r="98" spans="1:22" x14ac:dyDescent="0.2">
      <c r="A98" s="12">
        <v>97</v>
      </c>
      <c r="B98" s="3" t="s">
        <v>1278</v>
      </c>
      <c r="C98" s="3"/>
      <c r="D98" s="10">
        <v>45615</v>
      </c>
      <c r="E98" s="10">
        <v>45607</v>
      </c>
      <c r="F98" s="10">
        <v>45971</v>
      </c>
      <c r="G98" s="3" t="s">
        <v>22</v>
      </c>
      <c r="H98" s="3" t="s">
        <v>23</v>
      </c>
      <c r="I98" s="3" t="s">
        <v>1279</v>
      </c>
      <c r="J98" s="3" t="s">
        <v>848</v>
      </c>
      <c r="K98" s="3" t="s">
        <v>79</v>
      </c>
      <c r="L98" s="3" t="s">
        <v>1280</v>
      </c>
      <c r="M98" s="3" t="s">
        <v>1281</v>
      </c>
      <c r="N98" s="3" t="s">
        <v>1282</v>
      </c>
      <c r="O98" s="3" t="s">
        <v>1283</v>
      </c>
      <c r="P98" s="11">
        <v>2162400</v>
      </c>
      <c r="Q98" s="11">
        <v>32623</v>
      </c>
      <c r="R98" s="11">
        <v>37842</v>
      </c>
      <c r="S98" s="11">
        <v>37842</v>
      </c>
      <c r="T98" s="3" t="s">
        <v>1284</v>
      </c>
      <c r="U98" s="3" t="s">
        <v>1285</v>
      </c>
      <c r="V98" s="3" t="s">
        <v>26</v>
      </c>
    </row>
    <row r="99" spans="1:22" x14ac:dyDescent="0.2">
      <c r="A99" s="12">
        <v>98</v>
      </c>
      <c r="B99" s="3" t="s">
        <v>1286</v>
      </c>
      <c r="C99" s="3"/>
      <c r="D99" s="10">
        <v>45615</v>
      </c>
      <c r="E99" s="10">
        <v>45608</v>
      </c>
      <c r="F99" s="10">
        <v>45972</v>
      </c>
      <c r="G99" s="3" t="s">
        <v>22</v>
      </c>
      <c r="H99" s="3" t="s">
        <v>23</v>
      </c>
      <c r="I99" s="3" t="s">
        <v>1287</v>
      </c>
      <c r="J99" s="3" t="s">
        <v>1288</v>
      </c>
      <c r="K99" s="3" t="s">
        <v>79</v>
      </c>
      <c r="L99" s="3" t="s">
        <v>1289</v>
      </c>
      <c r="M99" s="3" t="s">
        <v>1290</v>
      </c>
      <c r="N99" s="3" t="s">
        <v>1291</v>
      </c>
      <c r="O99" s="3" t="s">
        <v>1292</v>
      </c>
      <c r="P99" s="11">
        <v>2080000</v>
      </c>
      <c r="Q99" s="11">
        <v>31379</v>
      </c>
      <c r="R99" s="11">
        <v>36400</v>
      </c>
      <c r="S99" s="11">
        <v>36400</v>
      </c>
      <c r="T99" s="3" t="s">
        <v>1293</v>
      </c>
      <c r="U99" s="3" t="s">
        <v>1294</v>
      </c>
      <c r="V99" s="3" t="s">
        <v>26</v>
      </c>
    </row>
    <row r="100" spans="1:22" x14ac:dyDescent="0.2">
      <c r="A100" s="12">
        <v>99</v>
      </c>
      <c r="B100" s="3" t="s">
        <v>1295</v>
      </c>
      <c r="C100" s="3"/>
      <c r="D100" s="10">
        <v>45615</v>
      </c>
      <c r="E100" s="10">
        <v>45615</v>
      </c>
      <c r="F100" s="10">
        <v>45979</v>
      </c>
      <c r="G100" s="3" t="s">
        <v>22</v>
      </c>
      <c r="H100" s="3" t="s">
        <v>23</v>
      </c>
      <c r="I100" s="3" t="s">
        <v>1296</v>
      </c>
      <c r="J100" s="3" t="s">
        <v>1297</v>
      </c>
      <c r="K100" s="3" t="s">
        <v>79</v>
      </c>
      <c r="L100" s="3" t="s">
        <v>1298</v>
      </c>
      <c r="M100" s="3" t="s">
        <v>1299</v>
      </c>
      <c r="N100" s="3" t="s">
        <v>1300</v>
      </c>
      <c r="O100" s="3" t="s">
        <v>1301</v>
      </c>
      <c r="P100" s="11">
        <v>2552000</v>
      </c>
      <c r="Q100" s="11">
        <v>55000</v>
      </c>
      <c r="R100" s="11">
        <v>63800</v>
      </c>
      <c r="S100" s="11">
        <v>63800</v>
      </c>
      <c r="T100" s="3" t="s">
        <v>1302</v>
      </c>
      <c r="U100" s="3" t="s">
        <v>1303</v>
      </c>
      <c r="V100" s="3" t="s">
        <v>26</v>
      </c>
    </row>
    <row r="101" spans="1:22" x14ac:dyDescent="0.2">
      <c r="A101" s="12">
        <v>100</v>
      </c>
      <c r="B101" s="3" t="s">
        <v>1304</v>
      </c>
      <c r="C101" s="3"/>
      <c r="D101" s="10">
        <v>45615</v>
      </c>
      <c r="E101" s="10">
        <v>45607</v>
      </c>
      <c r="F101" s="10">
        <v>45971</v>
      </c>
      <c r="G101" s="3" t="s">
        <v>22</v>
      </c>
      <c r="H101" s="3" t="s">
        <v>23</v>
      </c>
      <c r="I101" s="3" t="s">
        <v>1305</v>
      </c>
      <c r="J101" s="3" t="s">
        <v>492</v>
      </c>
      <c r="K101" s="3" t="s">
        <v>146</v>
      </c>
      <c r="L101" s="3" t="s">
        <v>1306</v>
      </c>
      <c r="M101" s="3" t="s">
        <v>1307</v>
      </c>
      <c r="N101" s="3" t="s">
        <v>1308</v>
      </c>
      <c r="O101" s="3"/>
      <c r="P101" s="11">
        <v>800000</v>
      </c>
      <c r="Q101" s="11">
        <v>12069</v>
      </c>
      <c r="R101" s="11">
        <v>14000</v>
      </c>
      <c r="S101" s="11">
        <v>14000</v>
      </c>
      <c r="T101" s="3" t="s">
        <v>1309</v>
      </c>
      <c r="U101" s="3" t="s">
        <v>1310</v>
      </c>
      <c r="V101" s="3" t="s">
        <v>26</v>
      </c>
    </row>
    <row r="102" spans="1:22" x14ac:dyDescent="0.2">
      <c r="A102" s="12">
        <v>101</v>
      </c>
      <c r="B102" s="3" t="s">
        <v>1311</v>
      </c>
      <c r="C102" s="3"/>
      <c r="D102" s="10">
        <v>45615</v>
      </c>
      <c r="E102" s="10">
        <v>45608</v>
      </c>
      <c r="F102" s="10">
        <v>45972</v>
      </c>
      <c r="G102" s="3" t="s">
        <v>22</v>
      </c>
      <c r="H102" s="3" t="s">
        <v>23</v>
      </c>
      <c r="I102" s="3" t="s">
        <v>1312</v>
      </c>
      <c r="J102" s="3" t="s">
        <v>71</v>
      </c>
      <c r="K102" s="3" t="s">
        <v>95</v>
      </c>
      <c r="L102" s="3" t="s">
        <v>1313</v>
      </c>
      <c r="M102" s="3" t="s">
        <v>1314</v>
      </c>
      <c r="N102" s="3" t="s">
        <v>1315</v>
      </c>
      <c r="O102" s="3"/>
      <c r="P102" s="11">
        <v>1300000</v>
      </c>
      <c r="Q102" s="11">
        <v>19612</v>
      </c>
      <c r="R102" s="11">
        <v>22750</v>
      </c>
      <c r="S102" s="11">
        <v>22750</v>
      </c>
      <c r="T102" s="3" t="s">
        <v>1316</v>
      </c>
      <c r="U102" s="3" t="s">
        <v>1317</v>
      </c>
      <c r="V102" s="3" t="s">
        <v>26</v>
      </c>
    </row>
    <row r="103" spans="1:22" x14ac:dyDescent="0.2">
      <c r="A103" s="12">
        <v>102</v>
      </c>
      <c r="B103" s="3" t="s">
        <v>1318</v>
      </c>
      <c r="C103" s="3"/>
      <c r="D103" s="10">
        <v>45615</v>
      </c>
      <c r="E103" s="10">
        <v>45608</v>
      </c>
      <c r="F103" s="10">
        <v>45972</v>
      </c>
      <c r="G103" s="3" t="s">
        <v>22</v>
      </c>
      <c r="H103" s="3" t="s">
        <v>23</v>
      </c>
      <c r="I103" s="3" t="s">
        <v>1319</v>
      </c>
      <c r="J103" s="3" t="s">
        <v>526</v>
      </c>
      <c r="K103" s="3" t="s">
        <v>79</v>
      </c>
      <c r="L103" s="3"/>
      <c r="M103" s="3" t="s">
        <v>1320</v>
      </c>
      <c r="N103" s="3" t="s">
        <v>1321</v>
      </c>
      <c r="O103" s="3"/>
      <c r="P103" s="11">
        <v>2544000</v>
      </c>
      <c r="Q103" s="11">
        <v>38379</v>
      </c>
      <c r="R103" s="11">
        <v>44520</v>
      </c>
      <c r="S103" s="11">
        <v>44520</v>
      </c>
      <c r="T103" s="3" t="s">
        <v>1322</v>
      </c>
      <c r="U103" s="3" t="s">
        <v>1323</v>
      </c>
      <c r="V103" s="3" t="s">
        <v>26</v>
      </c>
    </row>
    <row r="104" spans="1:22" x14ac:dyDescent="0.2">
      <c r="A104" s="12">
        <v>103</v>
      </c>
      <c r="B104" s="3" t="s">
        <v>1324</v>
      </c>
      <c r="C104" s="3"/>
      <c r="D104" s="10">
        <v>45615</v>
      </c>
      <c r="E104" s="10">
        <v>45611</v>
      </c>
      <c r="F104" s="10">
        <v>45975</v>
      </c>
      <c r="G104" s="3" t="s">
        <v>22</v>
      </c>
      <c r="H104" s="3" t="s">
        <v>23</v>
      </c>
      <c r="I104" s="3" t="s">
        <v>1325</v>
      </c>
      <c r="J104" s="3" t="s">
        <v>400</v>
      </c>
      <c r="K104" s="3" t="s">
        <v>79</v>
      </c>
      <c r="L104" s="3"/>
      <c r="M104" s="3" t="s">
        <v>1326</v>
      </c>
      <c r="N104" s="3" t="s">
        <v>1327</v>
      </c>
      <c r="O104" s="3" t="s">
        <v>1328</v>
      </c>
      <c r="P104" s="11">
        <v>1394000</v>
      </c>
      <c r="Q104" s="11">
        <v>30044</v>
      </c>
      <c r="R104" s="11">
        <v>34850</v>
      </c>
      <c r="S104" s="11">
        <v>34850</v>
      </c>
      <c r="T104" s="3" t="s">
        <v>1329</v>
      </c>
      <c r="U104" s="3" t="s">
        <v>1330</v>
      </c>
      <c r="V104" s="3" t="s">
        <v>26</v>
      </c>
    </row>
    <row r="105" spans="1:22" x14ac:dyDescent="0.2">
      <c r="A105" s="12">
        <v>104</v>
      </c>
      <c r="B105" s="3" t="s">
        <v>1331</v>
      </c>
      <c r="C105" s="3"/>
      <c r="D105" s="10">
        <v>45615</v>
      </c>
      <c r="E105" s="10">
        <v>45612</v>
      </c>
      <c r="F105" s="10">
        <v>45976</v>
      </c>
      <c r="G105" s="3" t="s">
        <v>22</v>
      </c>
      <c r="H105" s="3" t="s">
        <v>23</v>
      </c>
      <c r="I105" s="3" t="s">
        <v>1332</v>
      </c>
      <c r="J105" s="3" t="s">
        <v>368</v>
      </c>
      <c r="K105" s="3" t="s">
        <v>79</v>
      </c>
      <c r="L105" s="3"/>
      <c r="M105" s="3" t="s">
        <v>1333</v>
      </c>
      <c r="N105" s="3" t="s">
        <v>1334</v>
      </c>
      <c r="O105" s="3" t="s">
        <v>1335</v>
      </c>
      <c r="P105" s="11">
        <v>1224000</v>
      </c>
      <c r="Q105" s="11">
        <v>18465</v>
      </c>
      <c r="R105" s="11">
        <v>21420</v>
      </c>
      <c r="S105" s="11">
        <v>21420</v>
      </c>
      <c r="T105" s="3" t="s">
        <v>1336</v>
      </c>
      <c r="U105" s="3" t="s">
        <v>1337</v>
      </c>
      <c r="V105" s="3" t="s">
        <v>26</v>
      </c>
    </row>
    <row r="106" spans="1:22" x14ac:dyDescent="0.2">
      <c r="A106" s="12">
        <v>105</v>
      </c>
      <c r="B106" s="3" t="s">
        <v>1338</v>
      </c>
      <c r="C106" s="3"/>
      <c r="D106" s="10">
        <v>45615</v>
      </c>
      <c r="E106" s="10">
        <v>45613</v>
      </c>
      <c r="F106" s="10">
        <v>45977</v>
      </c>
      <c r="G106" s="3" t="s">
        <v>22</v>
      </c>
      <c r="H106" s="3" t="s">
        <v>23</v>
      </c>
      <c r="I106" s="3" t="s">
        <v>1339</v>
      </c>
      <c r="J106" s="3" t="s">
        <v>292</v>
      </c>
      <c r="K106" s="3" t="s">
        <v>79</v>
      </c>
      <c r="L106" s="3" t="s">
        <v>1340</v>
      </c>
      <c r="M106" s="3" t="s">
        <v>1341</v>
      </c>
      <c r="N106" s="3" t="s">
        <v>1342</v>
      </c>
      <c r="O106" s="3" t="s">
        <v>1343</v>
      </c>
      <c r="P106" s="11">
        <v>1206400</v>
      </c>
      <c r="Q106" s="11">
        <v>18200</v>
      </c>
      <c r="R106" s="11">
        <v>21112</v>
      </c>
      <c r="S106" s="11">
        <v>21112</v>
      </c>
      <c r="T106" s="3" t="s">
        <v>1344</v>
      </c>
      <c r="U106" s="3" t="s">
        <v>1345</v>
      </c>
      <c r="V106" s="3" t="s">
        <v>26</v>
      </c>
    </row>
    <row r="107" spans="1:22" x14ac:dyDescent="0.2">
      <c r="A107" s="12">
        <v>106</v>
      </c>
      <c r="B107" s="3" t="s">
        <v>1346</v>
      </c>
      <c r="C107" s="3"/>
      <c r="D107" s="10">
        <v>45615</v>
      </c>
      <c r="E107" s="10">
        <v>45613</v>
      </c>
      <c r="F107" s="10">
        <v>45977</v>
      </c>
      <c r="G107" s="3" t="s">
        <v>22</v>
      </c>
      <c r="H107" s="3" t="s">
        <v>23</v>
      </c>
      <c r="I107" s="3" t="s">
        <v>1347</v>
      </c>
      <c r="J107" s="3" t="s">
        <v>173</v>
      </c>
      <c r="K107" s="3" t="s">
        <v>79</v>
      </c>
      <c r="L107" s="3" t="s">
        <v>1348</v>
      </c>
      <c r="M107" s="3" t="s">
        <v>1349</v>
      </c>
      <c r="N107" s="3" t="s">
        <v>1350</v>
      </c>
      <c r="O107" s="3" t="s">
        <v>1351</v>
      </c>
      <c r="P107" s="11">
        <v>3217600</v>
      </c>
      <c r="Q107" s="11">
        <v>41607</v>
      </c>
      <c r="R107" s="11">
        <v>48264</v>
      </c>
      <c r="S107" s="11">
        <v>48264</v>
      </c>
      <c r="T107" s="3" t="s">
        <v>1352</v>
      </c>
      <c r="U107" s="3" t="s">
        <v>1353</v>
      </c>
      <c r="V107" s="3" t="s">
        <v>26</v>
      </c>
    </row>
    <row r="108" spans="1:22" x14ac:dyDescent="0.2">
      <c r="A108" s="12">
        <v>107</v>
      </c>
      <c r="B108" s="3" t="s">
        <v>1354</v>
      </c>
      <c r="C108" s="3"/>
      <c r="D108" s="10">
        <v>45615</v>
      </c>
      <c r="E108" s="10">
        <v>45600</v>
      </c>
      <c r="F108" s="10">
        <v>45964</v>
      </c>
      <c r="G108" s="3" t="s">
        <v>22</v>
      </c>
      <c r="H108" s="3" t="s">
        <v>23</v>
      </c>
      <c r="I108" s="3" t="s">
        <v>1355</v>
      </c>
      <c r="J108" s="3" t="s">
        <v>71</v>
      </c>
      <c r="K108" s="3" t="s">
        <v>79</v>
      </c>
      <c r="L108" s="3" t="s">
        <v>1356</v>
      </c>
      <c r="M108" s="3" t="s">
        <v>1357</v>
      </c>
      <c r="N108" s="3" t="s">
        <v>1358</v>
      </c>
      <c r="O108" s="3" t="s">
        <v>1359</v>
      </c>
      <c r="P108" s="11">
        <v>1216800</v>
      </c>
      <c r="Q108" s="11">
        <v>26224</v>
      </c>
      <c r="R108" s="11">
        <v>30420</v>
      </c>
      <c r="S108" s="11">
        <v>30420</v>
      </c>
      <c r="T108" s="3" t="s">
        <v>1360</v>
      </c>
      <c r="U108" s="3" t="s">
        <v>1361</v>
      </c>
      <c r="V108" s="3" t="s">
        <v>26</v>
      </c>
    </row>
    <row r="109" spans="1:22" x14ac:dyDescent="0.2">
      <c r="A109" s="12">
        <v>108</v>
      </c>
      <c r="B109" s="3" t="s">
        <v>1362</v>
      </c>
      <c r="C109" s="3"/>
      <c r="D109" s="10">
        <v>45615</v>
      </c>
      <c r="E109" s="10">
        <v>45613</v>
      </c>
      <c r="F109" s="10">
        <v>45977</v>
      </c>
      <c r="G109" s="3" t="s">
        <v>22</v>
      </c>
      <c r="H109" s="3" t="s">
        <v>23</v>
      </c>
      <c r="I109" s="3" t="s">
        <v>1363</v>
      </c>
      <c r="J109" s="3" t="s">
        <v>368</v>
      </c>
      <c r="K109" s="3" t="s">
        <v>156</v>
      </c>
      <c r="L109" s="3" t="s">
        <v>1364</v>
      </c>
      <c r="M109" s="3" t="s">
        <v>1365</v>
      </c>
      <c r="N109" s="3" t="s">
        <v>1366</v>
      </c>
      <c r="O109" s="3" t="s">
        <v>1367</v>
      </c>
      <c r="P109" s="11">
        <v>1288000</v>
      </c>
      <c r="Q109" s="11">
        <v>19431</v>
      </c>
      <c r="R109" s="11">
        <v>22540</v>
      </c>
      <c r="S109" s="11">
        <v>22540</v>
      </c>
      <c r="T109" s="3" t="s">
        <v>1368</v>
      </c>
      <c r="U109" s="3" t="s">
        <v>1369</v>
      </c>
      <c r="V109" s="3" t="s">
        <v>26</v>
      </c>
    </row>
    <row r="110" spans="1:22" x14ac:dyDescent="0.2">
      <c r="A110" s="12">
        <v>109</v>
      </c>
      <c r="B110" s="3" t="s">
        <v>1370</v>
      </c>
      <c r="C110" s="3"/>
      <c r="D110" s="10">
        <v>45615</v>
      </c>
      <c r="E110" s="10">
        <v>45613</v>
      </c>
      <c r="F110" s="10">
        <v>45977</v>
      </c>
      <c r="G110" s="3" t="s">
        <v>22</v>
      </c>
      <c r="H110" s="3" t="s">
        <v>23</v>
      </c>
      <c r="I110" s="3" t="s">
        <v>1371</v>
      </c>
      <c r="J110" s="3" t="s">
        <v>368</v>
      </c>
      <c r="K110" s="3" t="s">
        <v>79</v>
      </c>
      <c r="L110" s="3" t="s">
        <v>1372</v>
      </c>
      <c r="M110" s="3" t="s">
        <v>1373</v>
      </c>
      <c r="N110" s="3" t="s">
        <v>1374</v>
      </c>
      <c r="O110" s="3" t="s">
        <v>1375</v>
      </c>
      <c r="P110" s="11">
        <v>1481600</v>
      </c>
      <c r="Q110" s="11">
        <v>22351</v>
      </c>
      <c r="R110" s="11">
        <v>25928</v>
      </c>
      <c r="S110" s="11">
        <v>25928</v>
      </c>
      <c r="T110" s="3" t="s">
        <v>1376</v>
      </c>
      <c r="U110" s="3" t="s">
        <v>1377</v>
      </c>
      <c r="V110" s="3" t="s">
        <v>26</v>
      </c>
    </row>
    <row r="111" spans="1:22" x14ac:dyDescent="0.2">
      <c r="A111" s="12">
        <v>110</v>
      </c>
      <c r="B111" s="3" t="s">
        <v>1378</v>
      </c>
      <c r="C111" s="3"/>
      <c r="D111" s="10">
        <v>45615</v>
      </c>
      <c r="E111" s="10">
        <v>45613</v>
      </c>
      <c r="F111" s="10">
        <v>45977</v>
      </c>
      <c r="G111" s="3" t="s">
        <v>22</v>
      </c>
      <c r="H111" s="3" t="s">
        <v>23</v>
      </c>
      <c r="I111" s="3" t="s">
        <v>1379</v>
      </c>
      <c r="J111" s="3" t="s">
        <v>292</v>
      </c>
      <c r="K111" s="3" t="s">
        <v>79</v>
      </c>
      <c r="L111" s="3" t="s">
        <v>1380</v>
      </c>
      <c r="M111" s="3" t="s">
        <v>1381</v>
      </c>
      <c r="N111" s="3" t="s">
        <v>1382</v>
      </c>
      <c r="O111" s="3" t="s">
        <v>1383</v>
      </c>
      <c r="P111" s="11">
        <v>1206400</v>
      </c>
      <c r="Q111" s="11">
        <v>18200</v>
      </c>
      <c r="R111" s="11">
        <v>21112</v>
      </c>
      <c r="S111" s="11">
        <v>21112</v>
      </c>
      <c r="T111" s="3" t="s">
        <v>1384</v>
      </c>
      <c r="U111" s="3" t="s">
        <v>1385</v>
      </c>
      <c r="V111" s="3" t="s">
        <v>26</v>
      </c>
    </row>
    <row r="112" spans="1:22" x14ac:dyDescent="0.2">
      <c r="A112" s="12">
        <v>111</v>
      </c>
      <c r="B112" s="3" t="s">
        <v>1386</v>
      </c>
      <c r="C112" s="3"/>
      <c r="D112" s="10">
        <v>45615</v>
      </c>
      <c r="E112" s="10">
        <v>45612</v>
      </c>
      <c r="F112" s="10">
        <v>45976</v>
      </c>
      <c r="G112" s="3" t="s">
        <v>22</v>
      </c>
      <c r="H112" s="3" t="s">
        <v>23</v>
      </c>
      <c r="I112" s="3" t="s">
        <v>1387</v>
      </c>
      <c r="J112" s="3" t="s">
        <v>1388</v>
      </c>
      <c r="K112" s="3" t="s">
        <v>79</v>
      </c>
      <c r="L112" s="3" t="s">
        <v>1389</v>
      </c>
      <c r="M112" s="3" t="s">
        <v>1390</v>
      </c>
      <c r="N112" s="3" t="s">
        <v>1391</v>
      </c>
      <c r="O112" s="3" t="s">
        <v>1392</v>
      </c>
      <c r="P112" s="11">
        <v>2704000</v>
      </c>
      <c r="Q112" s="11">
        <v>58276</v>
      </c>
      <c r="R112" s="11">
        <v>67600</v>
      </c>
      <c r="S112" s="11">
        <v>67600</v>
      </c>
      <c r="T112" s="3" t="s">
        <v>1393</v>
      </c>
      <c r="U112" s="3" t="s">
        <v>1394</v>
      </c>
      <c r="V112" s="3" t="s">
        <v>26</v>
      </c>
    </row>
    <row r="113" spans="1:22" x14ac:dyDescent="0.2">
      <c r="A113" s="12">
        <v>112</v>
      </c>
      <c r="B113" s="3" t="s">
        <v>1395</v>
      </c>
      <c r="C113" s="3"/>
      <c r="D113" s="10">
        <v>45615</v>
      </c>
      <c r="E113" s="10">
        <v>45613</v>
      </c>
      <c r="F113" s="10">
        <v>45977</v>
      </c>
      <c r="G113" s="3" t="s">
        <v>22</v>
      </c>
      <c r="H113" s="3" t="s">
        <v>23</v>
      </c>
      <c r="I113" s="3" t="s">
        <v>1396</v>
      </c>
      <c r="J113" s="3" t="s">
        <v>191</v>
      </c>
      <c r="K113" s="3"/>
      <c r="L113" s="3" t="s">
        <v>1397</v>
      </c>
      <c r="M113" s="3" t="s">
        <v>1398</v>
      </c>
      <c r="N113" s="3" t="s">
        <v>1399</v>
      </c>
      <c r="O113" s="3" t="s">
        <v>1400</v>
      </c>
      <c r="P113" s="11">
        <v>2071200</v>
      </c>
      <c r="Q113" s="11">
        <v>44638</v>
      </c>
      <c r="R113" s="11">
        <v>51780</v>
      </c>
      <c r="S113" s="11">
        <v>51780</v>
      </c>
      <c r="T113" s="3" t="s">
        <v>1401</v>
      </c>
      <c r="U113" s="3" t="s">
        <v>1402</v>
      </c>
      <c r="V113" s="3" t="s">
        <v>26</v>
      </c>
    </row>
    <row r="114" spans="1:22" x14ac:dyDescent="0.2">
      <c r="A114" s="12">
        <v>113</v>
      </c>
      <c r="B114" s="3" t="s">
        <v>1403</v>
      </c>
      <c r="C114" s="3"/>
      <c r="D114" s="10">
        <v>45615</v>
      </c>
      <c r="E114" s="10">
        <v>45613</v>
      </c>
      <c r="F114" s="10">
        <v>45977</v>
      </c>
      <c r="G114" s="3" t="s">
        <v>22</v>
      </c>
      <c r="H114" s="3" t="s">
        <v>23</v>
      </c>
      <c r="I114" s="3" t="s">
        <v>1404</v>
      </c>
      <c r="J114" s="3" t="s">
        <v>468</v>
      </c>
      <c r="K114" s="3" t="s">
        <v>79</v>
      </c>
      <c r="L114" s="3" t="s">
        <v>1405</v>
      </c>
      <c r="M114" s="3" t="s">
        <v>1406</v>
      </c>
      <c r="N114" s="3" t="s">
        <v>1407</v>
      </c>
      <c r="O114" s="3" t="s">
        <v>1408</v>
      </c>
      <c r="P114" s="11">
        <v>839200</v>
      </c>
      <c r="Q114" s="11">
        <v>18086</v>
      </c>
      <c r="R114" s="11">
        <v>20980</v>
      </c>
      <c r="S114" s="11">
        <v>20980</v>
      </c>
      <c r="T114" s="3" t="s">
        <v>1409</v>
      </c>
      <c r="U114" s="3" t="s">
        <v>1410</v>
      </c>
      <c r="V114" s="3" t="s">
        <v>26</v>
      </c>
    </row>
    <row r="115" spans="1:22" x14ac:dyDescent="0.2">
      <c r="A115" s="12">
        <v>114</v>
      </c>
      <c r="B115" s="3" t="s">
        <v>1411</v>
      </c>
      <c r="C115" s="3"/>
      <c r="D115" s="10">
        <v>45615</v>
      </c>
      <c r="E115" s="10">
        <v>45614</v>
      </c>
      <c r="F115" s="10">
        <v>45978</v>
      </c>
      <c r="G115" s="3" t="s">
        <v>22</v>
      </c>
      <c r="H115" s="3" t="s">
        <v>23</v>
      </c>
      <c r="I115" s="3" t="s">
        <v>1412</v>
      </c>
      <c r="J115" s="3" t="s">
        <v>1413</v>
      </c>
      <c r="K115" s="3" t="s">
        <v>79</v>
      </c>
      <c r="L115" s="3" t="s">
        <v>1414</v>
      </c>
      <c r="M115" s="3" t="s">
        <v>1415</v>
      </c>
      <c r="N115" s="3" t="s">
        <v>1416</v>
      </c>
      <c r="O115" s="3" t="s">
        <v>1417</v>
      </c>
      <c r="P115" s="11">
        <v>3584000</v>
      </c>
      <c r="Q115" s="11">
        <v>46345</v>
      </c>
      <c r="R115" s="11">
        <v>53760</v>
      </c>
      <c r="S115" s="11">
        <v>53760</v>
      </c>
      <c r="T115" s="3" t="s">
        <v>1418</v>
      </c>
      <c r="U115" s="3" t="s">
        <v>1419</v>
      </c>
      <c r="V115" s="3" t="s">
        <v>26</v>
      </c>
    </row>
    <row r="116" spans="1:22" x14ac:dyDescent="0.2">
      <c r="A116" s="12">
        <v>115</v>
      </c>
      <c r="B116" s="3" t="s">
        <v>1420</v>
      </c>
      <c r="C116" s="3"/>
      <c r="D116" s="10">
        <v>45615</v>
      </c>
      <c r="E116" s="10">
        <v>45614</v>
      </c>
      <c r="F116" s="10">
        <v>45978</v>
      </c>
      <c r="G116" s="3" t="s">
        <v>22</v>
      </c>
      <c r="H116" s="3" t="s">
        <v>23</v>
      </c>
      <c r="I116" s="3" t="s">
        <v>1421</v>
      </c>
      <c r="J116" s="3" t="s">
        <v>1422</v>
      </c>
      <c r="K116" s="3" t="s">
        <v>156</v>
      </c>
      <c r="L116" s="3" t="s">
        <v>1423</v>
      </c>
      <c r="M116" s="3" t="s">
        <v>1424</v>
      </c>
      <c r="N116" s="3" t="s">
        <v>1425</v>
      </c>
      <c r="O116" s="3" t="s">
        <v>1426</v>
      </c>
      <c r="P116" s="11">
        <v>1400000</v>
      </c>
      <c r="Q116" s="11">
        <v>21121</v>
      </c>
      <c r="R116" s="11">
        <v>24500</v>
      </c>
      <c r="S116" s="11">
        <v>24500</v>
      </c>
      <c r="T116" s="3" t="s">
        <v>1427</v>
      </c>
      <c r="U116" s="3" t="s">
        <v>1428</v>
      </c>
      <c r="V116" s="3" t="s">
        <v>26</v>
      </c>
    </row>
    <row r="117" spans="1:22" x14ac:dyDescent="0.2">
      <c r="A117" s="12">
        <v>116</v>
      </c>
      <c r="B117" s="3" t="s">
        <v>1429</v>
      </c>
      <c r="C117" s="3"/>
      <c r="D117" s="10">
        <v>45615</v>
      </c>
      <c r="E117" s="10">
        <v>45615</v>
      </c>
      <c r="F117" s="10">
        <v>45979</v>
      </c>
      <c r="G117" s="3" t="s">
        <v>22</v>
      </c>
      <c r="H117" s="3" t="s">
        <v>23</v>
      </c>
      <c r="I117" s="3" t="s">
        <v>1430</v>
      </c>
      <c r="J117" s="3" t="s">
        <v>1431</v>
      </c>
      <c r="K117" s="3" t="s">
        <v>79</v>
      </c>
      <c r="L117" s="3" t="s">
        <v>1432</v>
      </c>
      <c r="M117" s="3" t="s">
        <v>1433</v>
      </c>
      <c r="N117" s="3" t="s">
        <v>1434</v>
      </c>
      <c r="O117" s="3" t="s">
        <v>1435</v>
      </c>
      <c r="P117" s="11">
        <v>2766750</v>
      </c>
      <c r="Q117" s="11">
        <v>29814</v>
      </c>
      <c r="R117" s="11">
        <v>34584</v>
      </c>
      <c r="S117" s="11">
        <v>34584</v>
      </c>
      <c r="T117" s="3" t="s">
        <v>1436</v>
      </c>
      <c r="U117" s="3" t="s">
        <v>1437</v>
      </c>
      <c r="V117" s="3" t="s">
        <v>26</v>
      </c>
    </row>
    <row r="118" spans="1:22" x14ac:dyDescent="0.2">
      <c r="A118" s="12">
        <v>117</v>
      </c>
      <c r="B118" s="3" t="s">
        <v>1438</v>
      </c>
      <c r="C118" s="3"/>
      <c r="D118" s="10">
        <v>45615</v>
      </c>
      <c r="E118" s="10">
        <v>45618</v>
      </c>
      <c r="F118" s="10">
        <v>45982</v>
      </c>
      <c r="G118" s="3" t="s">
        <v>22</v>
      </c>
      <c r="H118" s="3" t="s">
        <v>23</v>
      </c>
      <c r="I118" s="3" t="s">
        <v>1439</v>
      </c>
      <c r="J118" s="3" t="s">
        <v>857</v>
      </c>
      <c r="K118" s="3" t="s">
        <v>79</v>
      </c>
      <c r="L118" s="3"/>
      <c r="M118" s="3" t="s">
        <v>1440</v>
      </c>
      <c r="N118" s="3" t="s">
        <v>1441</v>
      </c>
      <c r="O118" s="3" t="s">
        <v>1442</v>
      </c>
      <c r="P118" s="11">
        <v>2162400</v>
      </c>
      <c r="Q118" s="11">
        <v>46603</v>
      </c>
      <c r="R118" s="11">
        <v>54060</v>
      </c>
      <c r="S118" s="11">
        <v>54060</v>
      </c>
      <c r="T118" s="3" t="s">
        <v>1443</v>
      </c>
      <c r="U118" s="3" t="s">
        <v>1444</v>
      </c>
      <c r="V118" s="3" t="s">
        <v>26</v>
      </c>
    </row>
    <row r="119" spans="1:22" x14ac:dyDescent="0.2">
      <c r="A119" s="12">
        <v>118</v>
      </c>
      <c r="B119" s="3" t="s">
        <v>1445</v>
      </c>
      <c r="C119" s="3"/>
      <c r="D119" s="10">
        <v>45615</v>
      </c>
      <c r="E119" s="10">
        <v>45600</v>
      </c>
      <c r="F119" s="10">
        <v>45964</v>
      </c>
      <c r="G119" s="3" t="s">
        <v>22</v>
      </c>
      <c r="H119" s="3" t="s">
        <v>23</v>
      </c>
      <c r="I119" s="3" t="s">
        <v>1446</v>
      </c>
      <c r="J119" s="3" t="s">
        <v>239</v>
      </c>
      <c r="K119" s="3" t="s">
        <v>25</v>
      </c>
      <c r="L119" s="3" t="s">
        <v>1447</v>
      </c>
      <c r="M119" s="3" t="s">
        <v>1448</v>
      </c>
      <c r="N119" s="3" t="s">
        <v>1449</v>
      </c>
      <c r="O119" s="3" t="s">
        <v>1450</v>
      </c>
      <c r="P119" s="11">
        <v>1760000</v>
      </c>
      <c r="Q119" s="11">
        <v>26551</v>
      </c>
      <c r="R119" s="11">
        <v>30800</v>
      </c>
      <c r="S119" s="11">
        <v>30800</v>
      </c>
      <c r="T119" s="3" t="s">
        <v>1451</v>
      </c>
      <c r="U119" s="3" t="s">
        <v>1452</v>
      </c>
      <c r="V119" s="3" t="s">
        <v>26</v>
      </c>
    </row>
    <row r="120" spans="1:22" x14ac:dyDescent="0.2">
      <c r="A120" s="12">
        <v>119</v>
      </c>
      <c r="B120" s="3" t="s">
        <v>1453</v>
      </c>
      <c r="C120" s="3"/>
      <c r="D120" s="10">
        <v>45615</v>
      </c>
      <c r="E120" s="10">
        <v>45619</v>
      </c>
      <c r="F120" s="10">
        <v>45983</v>
      </c>
      <c r="G120" s="3" t="s">
        <v>22</v>
      </c>
      <c r="H120" s="3" t="s">
        <v>23</v>
      </c>
      <c r="I120" s="3" t="s">
        <v>1454</v>
      </c>
      <c r="J120" s="3" t="s">
        <v>1455</v>
      </c>
      <c r="K120" s="3" t="s">
        <v>79</v>
      </c>
      <c r="L120" s="3"/>
      <c r="M120" s="3" t="s">
        <v>1456</v>
      </c>
      <c r="N120" s="3" t="s">
        <v>1457</v>
      </c>
      <c r="O120" s="3" t="s">
        <v>1458</v>
      </c>
      <c r="P120" s="11">
        <v>1991200</v>
      </c>
      <c r="Q120" s="11">
        <v>30040</v>
      </c>
      <c r="R120" s="11">
        <v>34846</v>
      </c>
      <c r="S120" s="11">
        <v>34846</v>
      </c>
      <c r="T120" s="3" t="s">
        <v>1459</v>
      </c>
      <c r="U120" s="3" t="s">
        <v>1460</v>
      </c>
      <c r="V120" s="3" t="s">
        <v>26</v>
      </c>
    </row>
    <row r="121" spans="1:22" x14ac:dyDescent="0.2">
      <c r="A121" s="12">
        <v>120</v>
      </c>
      <c r="B121" s="3" t="s">
        <v>1461</v>
      </c>
      <c r="C121" s="3"/>
      <c r="D121" s="10">
        <v>45615</v>
      </c>
      <c r="E121" s="10">
        <v>45619</v>
      </c>
      <c r="F121" s="10">
        <v>45983</v>
      </c>
      <c r="G121" s="3" t="s">
        <v>22</v>
      </c>
      <c r="H121" s="3" t="s">
        <v>23</v>
      </c>
      <c r="I121" s="3" t="s">
        <v>1462</v>
      </c>
      <c r="J121" s="3" t="s">
        <v>517</v>
      </c>
      <c r="K121" s="3" t="s">
        <v>79</v>
      </c>
      <c r="L121" s="3"/>
      <c r="M121" s="3" t="s">
        <v>1463</v>
      </c>
      <c r="N121" s="3" t="s">
        <v>1464</v>
      </c>
      <c r="O121" s="3" t="s">
        <v>1465</v>
      </c>
      <c r="P121" s="11">
        <v>5679200</v>
      </c>
      <c r="Q121" s="11">
        <v>73438</v>
      </c>
      <c r="R121" s="11">
        <v>85188</v>
      </c>
      <c r="S121" s="11">
        <v>85188</v>
      </c>
      <c r="T121" s="3" t="s">
        <v>1466</v>
      </c>
      <c r="U121" s="3" t="s">
        <v>1467</v>
      </c>
      <c r="V121" s="3" t="s">
        <v>26</v>
      </c>
    </row>
    <row r="122" spans="1:22" x14ac:dyDescent="0.2">
      <c r="A122" s="12">
        <v>121</v>
      </c>
      <c r="B122" s="3" t="s">
        <v>1468</v>
      </c>
      <c r="C122" s="3"/>
      <c r="D122" s="10">
        <v>45615</v>
      </c>
      <c r="E122" s="10">
        <v>45619</v>
      </c>
      <c r="F122" s="10">
        <v>45983</v>
      </c>
      <c r="G122" s="3" t="s">
        <v>22</v>
      </c>
      <c r="H122" s="3" t="s">
        <v>23</v>
      </c>
      <c r="I122" s="3" t="s">
        <v>1469</v>
      </c>
      <c r="J122" s="3" t="s">
        <v>1470</v>
      </c>
      <c r="K122" s="3" t="s">
        <v>156</v>
      </c>
      <c r="L122" s="3" t="s">
        <v>1471</v>
      </c>
      <c r="M122" s="3" t="s">
        <v>1472</v>
      </c>
      <c r="N122" s="3" t="s">
        <v>1473</v>
      </c>
      <c r="O122" s="3" t="s">
        <v>1474</v>
      </c>
      <c r="P122" s="11">
        <v>1252000</v>
      </c>
      <c r="Q122" s="11">
        <v>18888</v>
      </c>
      <c r="R122" s="11">
        <v>21910</v>
      </c>
      <c r="S122" s="11">
        <v>21910</v>
      </c>
      <c r="T122" s="3" t="s">
        <v>1475</v>
      </c>
      <c r="U122" s="3" t="s">
        <v>1476</v>
      </c>
      <c r="V122" s="3" t="s">
        <v>26</v>
      </c>
    </row>
    <row r="123" spans="1:22" x14ac:dyDescent="0.2">
      <c r="A123" s="12">
        <v>122</v>
      </c>
      <c r="B123" s="3" t="s">
        <v>1477</v>
      </c>
      <c r="C123" s="3"/>
      <c r="D123" s="10">
        <v>45615</v>
      </c>
      <c r="E123" s="10">
        <v>45619</v>
      </c>
      <c r="F123" s="10">
        <v>45983</v>
      </c>
      <c r="G123" s="3" t="s">
        <v>22</v>
      </c>
      <c r="H123" s="3" t="s">
        <v>23</v>
      </c>
      <c r="I123" s="3" t="s">
        <v>1478</v>
      </c>
      <c r="J123" s="3" t="s">
        <v>1479</v>
      </c>
      <c r="K123" s="3" t="s">
        <v>79</v>
      </c>
      <c r="L123" s="3" t="s">
        <v>1480</v>
      </c>
      <c r="M123" s="3" t="s">
        <v>1481</v>
      </c>
      <c r="N123" s="3" t="s">
        <v>1482</v>
      </c>
      <c r="O123" s="3" t="s">
        <v>1483</v>
      </c>
      <c r="P123" s="11">
        <v>3525600</v>
      </c>
      <c r="Q123" s="11">
        <v>45590</v>
      </c>
      <c r="R123" s="11">
        <v>52884</v>
      </c>
      <c r="S123" s="11">
        <v>52884</v>
      </c>
      <c r="T123" s="3" t="s">
        <v>1484</v>
      </c>
      <c r="U123" s="3" t="s">
        <v>1485</v>
      </c>
      <c r="V123" s="3" t="s">
        <v>26</v>
      </c>
    </row>
    <row r="124" spans="1:22" x14ac:dyDescent="0.2">
      <c r="A124" s="12">
        <v>123</v>
      </c>
      <c r="B124" s="3" t="s">
        <v>1486</v>
      </c>
      <c r="C124" s="3"/>
      <c r="D124" s="10">
        <v>45615</v>
      </c>
      <c r="E124" s="10">
        <v>45614</v>
      </c>
      <c r="F124" s="10">
        <v>45978</v>
      </c>
      <c r="G124" s="3" t="s">
        <v>22</v>
      </c>
      <c r="H124" s="3" t="s">
        <v>23</v>
      </c>
      <c r="I124" s="3" t="s">
        <v>1487</v>
      </c>
      <c r="J124" s="3" t="s">
        <v>292</v>
      </c>
      <c r="K124" s="3" t="s">
        <v>79</v>
      </c>
      <c r="L124" s="3" t="s">
        <v>1488</v>
      </c>
      <c r="M124" s="3" t="s">
        <v>1489</v>
      </c>
      <c r="N124" s="3" t="s">
        <v>1490</v>
      </c>
      <c r="O124" s="3" t="s">
        <v>1491</v>
      </c>
      <c r="P124" s="11">
        <v>1206400</v>
      </c>
      <c r="Q124" s="11">
        <v>18200</v>
      </c>
      <c r="R124" s="11">
        <v>21112</v>
      </c>
      <c r="S124" s="11">
        <v>21112</v>
      </c>
      <c r="T124" s="3" t="s">
        <v>1492</v>
      </c>
      <c r="U124" s="3" t="s">
        <v>1493</v>
      </c>
      <c r="V124" s="3" t="s">
        <v>26</v>
      </c>
    </row>
    <row r="125" spans="1:22" x14ac:dyDescent="0.2">
      <c r="A125" s="12">
        <v>124</v>
      </c>
      <c r="B125" s="3" t="s">
        <v>1494</v>
      </c>
      <c r="C125" s="3"/>
      <c r="D125" s="10">
        <v>45615</v>
      </c>
      <c r="E125" s="10">
        <v>45619</v>
      </c>
      <c r="F125" s="10">
        <v>45983</v>
      </c>
      <c r="G125" s="3" t="s">
        <v>22</v>
      </c>
      <c r="H125" s="3" t="s">
        <v>23</v>
      </c>
      <c r="I125" s="3" t="s">
        <v>1495</v>
      </c>
      <c r="J125" s="3" t="s">
        <v>682</v>
      </c>
      <c r="K125" s="3" t="s">
        <v>25</v>
      </c>
      <c r="L125" s="3" t="s">
        <v>1496</v>
      </c>
      <c r="M125" s="3" t="s">
        <v>1497</v>
      </c>
      <c r="N125" s="3" t="s">
        <v>1498</v>
      </c>
      <c r="O125" s="3" t="s">
        <v>1499</v>
      </c>
      <c r="P125" s="11">
        <v>1600000</v>
      </c>
      <c r="Q125" s="11">
        <v>24138</v>
      </c>
      <c r="R125" s="11">
        <v>28000</v>
      </c>
      <c r="S125" s="11">
        <v>28000</v>
      </c>
      <c r="T125" s="3" t="s">
        <v>1500</v>
      </c>
      <c r="U125" s="3" t="s">
        <v>1501</v>
      </c>
      <c r="V125" s="3" t="s">
        <v>26</v>
      </c>
    </row>
    <row r="126" spans="1:22" x14ac:dyDescent="0.2">
      <c r="A126" s="12">
        <v>125</v>
      </c>
      <c r="B126" s="3" t="s">
        <v>1502</v>
      </c>
      <c r="C126" s="3"/>
      <c r="D126" s="10">
        <v>45615</v>
      </c>
      <c r="E126" s="10">
        <v>45619</v>
      </c>
      <c r="F126" s="10">
        <v>45983</v>
      </c>
      <c r="G126" s="3" t="s">
        <v>22</v>
      </c>
      <c r="H126" s="3" t="s">
        <v>23</v>
      </c>
      <c r="I126" s="3" t="s">
        <v>1503</v>
      </c>
      <c r="J126" s="3" t="s">
        <v>1422</v>
      </c>
      <c r="K126" s="3" t="s">
        <v>156</v>
      </c>
      <c r="L126" s="3" t="s">
        <v>1504</v>
      </c>
      <c r="M126" s="3" t="s">
        <v>1505</v>
      </c>
      <c r="N126" s="3" t="s">
        <v>1506</v>
      </c>
      <c r="O126" s="3" t="s">
        <v>1507</v>
      </c>
      <c r="P126" s="11">
        <v>1464000</v>
      </c>
      <c r="Q126" s="11">
        <v>22086</v>
      </c>
      <c r="R126" s="11">
        <v>25620</v>
      </c>
      <c r="S126" s="11">
        <v>25620</v>
      </c>
      <c r="T126" s="3" t="s">
        <v>1508</v>
      </c>
      <c r="U126" s="3" t="s">
        <v>1509</v>
      </c>
      <c r="V126" s="3" t="s">
        <v>26</v>
      </c>
    </row>
    <row r="127" spans="1:22" x14ac:dyDescent="0.2">
      <c r="A127" s="12">
        <v>126</v>
      </c>
      <c r="B127" s="3" t="s">
        <v>1510</v>
      </c>
      <c r="C127" s="3"/>
      <c r="D127" s="10">
        <v>45615</v>
      </c>
      <c r="E127" s="10">
        <v>45619</v>
      </c>
      <c r="F127" s="10">
        <v>45983</v>
      </c>
      <c r="G127" s="3" t="s">
        <v>22</v>
      </c>
      <c r="H127" s="3" t="s">
        <v>23</v>
      </c>
      <c r="I127" s="3" t="s">
        <v>1511</v>
      </c>
      <c r="J127" s="3" t="s">
        <v>442</v>
      </c>
      <c r="K127" s="3" t="s">
        <v>95</v>
      </c>
      <c r="L127" s="3" t="s">
        <v>1512</v>
      </c>
      <c r="M127" s="3" t="s">
        <v>1513</v>
      </c>
      <c r="N127" s="3" t="s">
        <v>1514</v>
      </c>
      <c r="O127" s="3" t="s">
        <v>1515</v>
      </c>
      <c r="P127" s="11">
        <v>2376000</v>
      </c>
      <c r="Q127" s="11">
        <v>35845</v>
      </c>
      <c r="R127" s="11">
        <v>41580</v>
      </c>
      <c r="S127" s="11">
        <v>41580</v>
      </c>
      <c r="T127" s="3" t="s">
        <v>1516</v>
      </c>
      <c r="U127" s="3" t="s">
        <v>1517</v>
      </c>
      <c r="V127" s="3" t="s">
        <v>26</v>
      </c>
    </row>
    <row r="128" spans="1:22" x14ac:dyDescent="0.2">
      <c r="A128" s="12">
        <v>127</v>
      </c>
      <c r="B128" s="3" t="s">
        <v>1518</v>
      </c>
      <c r="C128" s="3"/>
      <c r="D128" s="10">
        <v>45615</v>
      </c>
      <c r="E128" s="10">
        <v>45619</v>
      </c>
      <c r="F128" s="10">
        <v>45983</v>
      </c>
      <c r="G128" s="3" t="s">
        <v>22</v>
      </c>
      <c r="H128" s="3" t="s">
        <v>23</v>
      </c>
      <c r="I128" s="3" t="s">
        <v>1519</v>
      </c>
      <c r="J128" s="3" t="s">
        <v>1422</v>
      </c>
      <c r="K128" s="3" t="s">
        <v>25</v>
      </c>
      <c r="L128" s="3" t="s">
        <v>1520</v>
      </c>
      <c r="M128" s="3" t="s">
        <v>1521</v>
      </c>
      <c r="N128" s="3" t="s">
        <v>1522</v>
      </c>
      <c r="O128" s="3" t="s">
        <v>1523</v>
      </c>
      <c r="P128" s="11">
        <v>1360000</v>
      </c>
      <c r="Q128" s="11">
        <v>20517</v>
      </c>
      <c r="R128" s="11">
        <v>23800</v>
      </c>
      <c r="S128" s="11">
        <v>23800</v>
      </c>
      <c r="T128" s="3" t="s">
        <v>1524</v>
      </c>
      <c r="U128" s="3" t="s">
        <v>1525</v>
      </c>
      <c r="V128" s="3" t="s">
        <v>26</v>
      </c>
    </row>
    <row r="129" spans="1:22" x14ac:dyDescent="0.2">
      <c r="A129" s="12">
        <v>128</v>
      </c>
      <c r="B129" s="3" t="s">
        <v>1526</v>
      </c>
      <c r="C129" s="3"/>
      <c r="D129" s="10">
        <v>45615</v>
      </c>
      <c r="E129" s="10">
        <v>45619</v>
      </c>
      <c r="F129" s="10">
        <v>45983</v>
      </c>
      <c r="G129" s="3" t="s">
        <v>22</v>
      </c>
      <c r="H129" s="3" t="s">
        <v>23</v>
      </c>
      <c r="I129" s="3" t="s">
        <v>1527</v>
      </c>
      <c r="J129" s="3" t="s">
        <v>71</v>
      </c>
      <c r="K129" s="3" t="s">
        <v>79</v>
      </c>
      <c r="L129" s="3" t="s">
        <v>1528</v>
      </c>
      <c r="M129" s="3" t="s">
        <v>1529</v>
      </c>
      <c r="N129" s="3" t="s">
        <v>1530</v>
      </c>
      <c r="O129" s="3" t="s">
        <v>1531</v>
      </c>
      <c r="P129" s="11">
        <v>1216800</v>
      </c>
      <c r="Q129" s="11">
        <v>18356</v>
      </c>
      <c r="R129" s="11">
        <v>21294</v>
      </c>
      <c r="S129" s="11">
        <v>21294</v>
      </c>
      <c r="T129" s="3" t="s">
        <v>1532</v>
      </c>
      <c r="U129" s="3" t="s">
        <v>1533</v>
      </c>
      <c r="V129" s="3" t="s">
        <v>26</v>
      </c>
    </row>
    <row r="130" spans="1:22" x14ac:dyDescent="0.2">
      <c r="A130" s="12">
        <v>129</v>
      </c>
      <c r="B130" s="3" t="s">
        <v>1534</v>
      </c>
      <c r="C130" s="3"/>
      <c r="D130" s="10">
        <v>45615</v>
      </c>
      <c r="E130" s="10">
        <v>45601</v>
      </c>
      <c r="F130" s="10">
        <v>45965</v>
      </c>
      <c r="G130" s="3" t="s">
        <v>22</v>
      </c>
      <c r="H130" s="3" t="s">
        <v>23</v>
      </c>
      <c r="I130" s="3" t="s">
        <v>1535</v>
      </c>
      <c r="J130" s="3" t="s">
        <v>29</v>
      </c>
      <c r="K130" s="3" t="s">
        <v>79</v>
      </c>
      <c r="L130" s="3" t="s">
        <v>1536</v>
      </c>
      <c r="M130" s="3" t="s">
        <v>1537</v>
      </c>
      <c r="N130" s="3" t="s">
        <v>1538</v>
      </c>
      <c r="O130" s="3" t="s">
        <v>1539</v>
      </c>
      <c r="P130" s="11">
        <v>1068000</v>
      </c>
      <c r="Q130" s="11">
        <v>23017</v>
      </c>
      <c r="R130" s="11">
        <v>26700</v>
      </c>
      <c r="S130" s="11">
        <v>26700</v>
      </c>
      <c r="T130" s="3" t="s">
        <v>1540</v>
      </c>
      <c r="U130" s="3" t="s">
        <v>1541</v>
      </c>
      <c r="V130" s="3" t="s">
        <v>26</v>
      </c>
    </row>
    <row r="131" spans="1:22" x14ac:dyDescent="0.2">
      <c r="A131" s="12">
        <v>130</v>
      </c>
      <c r="B131" s="3" t="s">
        <v>1542</v>
      </c>
      <c r="C131" s="3"/>
      <c r="D131" s="10">
        <v>45615</v>
      </c>
      <c r="E131" s="10">
        <v>45619</v>
      </c>
      <c r="F131" s="10">
        <v>45983</v>
      </c>
      <c r="G131" s="3" t="s">
        <v>22</v>
      </c>
      <c r="H131" s="3" t="s">
        <v>23</v>
      </c>
      <c r="I131" s="3" t="s">
        <v>1543</v>
      </c>
      <c r="J131" s="3" t="s">
        <v>29</v>
      </c>
      <c r="K131" s="3" t="s">
        <v>146</v>
      </c>
      <c r="L131" s="3" t="s">
        <v>1544</v>
      </c>
      <c r="M131" s="3" t="s">
        <v>1545</v>
      </c>
      <c r="N131" s="3" t="s">
        <v>1546</v>
      </c>
      <c r="O131" s="3" t="s">
        <v>1547</v>
      </c>
      <c r="P131" s="11">
        <v>1180000</v>
      </c>
      <c r="Q131" s="11">
        <v>17802</v>
      </c>
      <c r="R131" s="11">
        <v>20650</v>
      </c>
      <c r="S131" s="11">
        <v>20650</v>
      </c>
      <c r="T131" s="3" t="s">
        <v>1548</v>
      </c>
      <c r="U131" s="3" t="s">
        <v>1549</v>
      </c>
      <c r="V131" s="3" t="s">
        <v>26</v>
      </c>
    </row>
    <row r="132" spans="1:22" x14ac:dyDescent="0.2">
      <c r="A132" s="12">
        <v>131</v>
      </c>
      <c r="B132" s="3" t="s">
        <v>1550</v>
      </c>
      <c r="C132" s="3"/>
      <c r="D132" s="10">
        <v>45615</v>
      </c>
      <c r="E132" s="10">
        <v>45620</v>
      </c>
      <c r="F132" s="10">
        <v>45984</v>
      </c>
      <c r="G132" s="3" t="s">
        <v>22</v>
      </c>
      <c r="H132" s="3" t="s">
        <v>23</v>
      </c>
      <c r="I132" s="3" t="s">
        <v>1551</v>
      </c>
      <c r="J132" s="3" t="s">
        <v>29</v>
      </c>
      <c r="K132" s="3" t="s">
        <v>79</v>
      </c>
      <c r="L132" s="3"/>
      <c r="M132" s="3" t="s">
        <v>1552</v>
      </c>
      <c r="N132" s="3" t="s">
        <v>1553</v>
      </c>
      <c r="O132" s="3" t="s">
        <v>1554</v>
      </c>
      <c r="P132" s="11">
        <v>1206400</v>
      </c>
      <c r="Q132" s="11">
        <v>18200</v>
      </c>
      <c r="R132" s="11">
        <v>21112</v>
      </c>
      <c r="S132" s="11">
        <v>21112</v>
      </c>
      <c r="T132" s="3" t="s">
        <v>1555</v>
      </c>
      <c r="U132" s="3" t="s">
        <v>1556</v>
      </c>
      <c r="V132" s="3" t="s">
        <v>26</v>
      </c>
    </row>
    <row r="133" spans="1:22" x14ac:dyDescent="0.2">
      <c r="A133" s="12">
        <v>132</v>
      </c>
      <c r="B133" s="3" t="s">
        <v>1557</v>
      </c>
      <c r="C133" s="3"/>
      <c r="D133" s="10">
        <v>45615</v>
      </c>
      <c r="E133" s="10">
        <v>45620</v>
      </c>
      <c r="F133" s="10">
        <v>45984</v>
      </c>
      <c r="G133" s="3" t="s">
        <v>22</v>
      </c>
      <c r="H133" s="3" t="s">
        <v>23</v>
      </c>
      <c r="I133" s="3" t="s">
        <v>1558</v>
      </c>
      <c r="J133" s="3" t="s">
        <v>1559</v>
      </c>
      <c r="K133" s="3" t="s">
        <v>95</v>
      </c>
      <c r="L133" s="3" t="s">
        <v>1560</v>
      </c>
      <c r="M133" s="3" t="s">
        <v>1561</v>
      </c>
      <c r="N133" s="3" t="s">
        <v>1562</v>
      </c>
      <c r="O133" s="3" t="s">
        <v>1563</v>
      </c>
      <c r="P133" s="11">
        <v>1580000</v>
      </c>
      <c r="Q133" s="11">
        <v>23837</v>
      </c>
      <c r="R133" s="11">
        <v>27650</v>
      </c>
      <c r="S133" s="11">
        <v>27650</v>
      </c>
      <c r="T133" s="3" t="s">
        <v>1564</v>
      </c>
      <c r="U133" s="3" t="s">
        <v>1565</v>
      </c>
      <c r="V133" s="3" t="s">
        <v>26</v>
      </c>
    </row>
    <row r="134" spans="1:22" x14ac:dyDescent="0.2">
      <c r="A134" s="12">
        <v>133</v>
      </c>
      <c r="B134" s="3" t="s">
        <v>1566</v>
      </c>
      <c r="C134" s="3"/>
      <c r="D134" s="10">
        <v>45615</v>
      </c>
      <c r="E134" s="10">
        <v>45621</v>
      </c>
      <c r="F134" s="10">
        <v>45985</v>
      </c>
      <c r="G134" s="3" t="s">
        <v>22</v>
      </c>
      <c r="H134" s="3" t="s">
        <v>23</v>
      </c>
      <c r="I134" s="3" t="s">
        <v>1567</v>
      </c>
      <c r="J134" s="3" t="s">
        <v>368</v>
      </c>
      <c r="K134" s="3" t="s">
        <v>79</v>
      </c>
      <c r="L134" s="3" t="s">
        <v>1568</v>
      </c>
      <c r="M134" s="3" t="s">
        <v>1569</v>
      </c>
      <c r="N134" s="3" t="s">
        <v>1570</v>
      </c>
      <c r="O134" s="3" t="s">
        <v>1571</v>
      </c>
      <c r="P134" s="11">
        <v>1481600</v>
      </c>
      <c r="Q134" s="11">
        <v>22351</v>
      </c>
      <c r="R134" s="11">
        <v>25928</v>
      </c>
      <c r="S134" s="11">
        <v>25928</v>
      </c>
      <c r="T134" s="3" t="s">
        <v>1572</v>
      </c>
      <c r="U134" s="3" t="s">
        <v>1573</v>
      </c>
      <c r="V134" s="3" t="s">
        <v>26</v>
      </c>
    </row>
    <row r="135" spans="1:22" x14ac:dyDescent="0.2">
      <c r="A135" s="12">
        <v>134</v>
      </c>
      <c r="B135" s="3" t="s">
        <v>1574</v>
      </c>
      <c r="C135" s="3"/>
      <c r="D135" s="10">
        <v>45615</v>
      </c>
      <c r="E135" s="10">
        <v>45618</v>
      </c>
      <c r="F135" s="10">
        <v>45982</v>
      </c>
      <c r="G135" s="3" t="s">
        <v>22</v>
      </c>
      <c r="H135" s="3" t="s">
        <v>23</v>
      </c>
      <c r="I135" s="3" t="s">
        <v>1575</v>
      </c>
      <c r="J135" s="3" t="s">
        <v>368</v>
      </c>
      <c r="K135" s="3" t="s">
        <v>79</v>
      </c>
      <c r="L135" s="3" t="s">
        <v>1576</v>
      </c>
      <c r="M135" s="3" t="s">
        <v>1577</v>
      </c>
      <c r="N135" s="3" t="s">
        <v>1578</v>
      </c>
      <c r="O135" s="3" t="s">
        <v>1579</v>
      </c>
      <c r="P135" s="11">
        <v>1481600</v>
      </c>
      <c r="Q135" s="11">
        <v>22351</v>
      </c>
      <c r="R135" s="11">
        <v>25928</v>
      </c>
      <c r="S135" s="11">
        <v>25928</v>
      </c>
      <c r="T135" s="3" t="s">
        <v>1580</v>
      </c>
      <c r="U135" s="3" t="s">
        <v>1581</v>
      </c>
      <c r="V135" s="3" t="s">
        <v>26</v>
      </c>
    </row>
    <row r="136" spans="1:22" x14ac:dyDescent="0.2">
      <c r="A136" s="12">
        <v>135</v>
      </c>
      <c r="B136" s="3" t="s">
        <v>1582</v>
      </c>
      <c r="C136" s="3"/>
      <c r="D136" s="10">
        <v>45615</v>
      </c>
      <c r="E136" s="10">
        <v>45621</v>
      </c>
      <c r="F136" s="10">
        <v>45985</v>
      </c>
      <c r="G136" s="3" t="s">
        <v>22</v>
      </c>
      <c r="H136" s="3" t="s">
        <v>23</v>
      </c>
      <c r="I136" s="3" t="s">
        <v>1583</v>
      </c>
      <c r="J136" s="3" t="s">
        <v>1584</v>
      </c>
      <c r="K136" s="3" t="s">
        <v>79</v>
      </c>
      <c r="L136" s="3" t="s">
        <v>1585</v>
      </c>
      <c r="M136" s="3" t="s">
        <v>1586</v>
      </c>
      <c r="N136" s="3" t="s">
        <v>1587</v>
      </c>
      <c r="O136" s="3" t="s">
        <v>1588</v>
      </c>
      <c r="P136" s="11">
        <v>1640000</v>
      </c>
      <c r="Q136" s="11">
        <v>24742</v>
      </c>
      <c r="R136" s="11">
        <v>28700</v>
      </c>
      <c r="S136" s="11">
        <v>28700</v>
      </c>
      <c r="T136" s="3" t="s">
        <v>1589</v>
      </c>
      <c r="U136" s="3" t="s">
        <v>1590</v>
      </c>
      <c r="V136" s="3" t="s">
        <v>26</v>
      </c>
    </row>
    <row r="137" spans="1:22" x14ac:dyDescent="0.2">
      <c r="A137" s="12">
        <v>136</v>
      </c>
      <c r="B137" s="3" t="s">
        <v>1591</v>
      </c>
      <c r="C137" s="3"/>
      <c r="D137" s="10">
        <v>45615</v>
      </c>
      <c r="E137" s="10">
        <v>45621</v>
      </c>
      <c r="F137" s="10">
        <v>45985</v>
      </c>
      <c r="G137" s="3" t="s">
        <v>22</v>
      </c>
      <c r="H137" s="3" t="s">
        <v>23</v>
      </c>
      <c r="I137" s="3" t="s">
        <v>1592</v>
      </c>
      <c r="J137" s="3" t="s">
        <v>1288</v>
      </c>
      <c r="K137" s="3" t="s">
        <v>79</v>
      </c>
      <c r="L137" s="3"/>
      <c r="M137" s="3" t="s">
        <v>1593</v>
      </c>
      <c r="N137" s="3" t="s">
        <v>1594</v>
      </c>
      <c r="O137" s="3" t="s">
        <v>1595</v>
      </c>
      <c r="P137" s="11">
        <v>2084000</v>
      </c>
      <c r="Q137" s="11">
        <v>31440</v>
      </c>
      <c r="R137" s="11">
        <v>36470</v>
      </c>
      <c r="S137" s="11">
        <v>36470</v>
      </c>
      <c r="T137" s="3" t="s">
        <v>1596</v>
      </c>
      <c r="U137" s="3" t="s">
        <v>1597</v>
      </c>
      <c r="V137" s="3" t="s">
        <v>26</v>
      </c>
    </row>
    <row r="138" spans="1:22" x14ac:dyDescent="0.2">
      <c r="A138" s="12">
        <v>137</v>
      </c>
      <c r="B138" s="3" t="s">
        <v>1598</v>
      </c>
      <c r="C138" s="3"/>
      <c r="D138" s="10">
        <v>45615</v>
      </c>
      <c r="E138" s="10">
        <v>45622</v>
      </c>
      <c r="F138" s="10">
        <v>45986</v>
      </c>
      <c r="G138" s="3" t="s">
        <v>22</v>
      </c>
      <c r="H138" s="3" t="s">
        <v>23</v>
      </c>
      <c r="I138" s="3" t="s">
        <v>1599</v>
      </c>
      <c r="J138" s="3" t="s">
        <v>1288</v>
      </c>
      <c r="K138" s="3" t="s">
        <v>79</v>
      </c>
      <c r="L138" s="3" t="s">
        <v>1600</v>
      </c>
      <c r="M138" s="3" t="s">
        <v>1601</v>
      </c>
      <c r="N138" s="3" t="s">
        <v>1602</v>
      </c>
      <c r="O138" s="3" t="s">
        <v>1603</v>
      </c>
      <c r="P138" s="11">
        <v>2084000</v>
      </c>
      <c r="Q138" s="11">
        <v>44914</v>
      </c>
      <c r="R138" s="11">
        <v>52100</v>
      </c>
      <c r="S138" s="11">
        <v>52100</v>
      </c>
      <c r="T138" s="3" t="s">
        <v>1604</v>
      </c>
      <c r="U138" s="3" t="s">
        <v>1605</v>
      </c>
      <c r="V138" s="3" t="s">
        <v>26</v>
      </c>
    </row>
    <row r="139" spans="1:22" x14ac:dyDescent="0.2">
      <c r="A139" s="12">
        <v>138</v>
      </c>
      <c r="B139" s="3" t="s">
        <v>1606</v>
      </c>
      <c r="C139" s="3"/>
      <c r="D139" s="10">
        <v>45615</v>
      </c>
      <c r="E139" s="10">
        <v>45620</v>
      </c>
      <c r="F139" s="10">
        <v>45984</v>
      </c>
      <c r="G139" s="3" t="s">
        <v>22</v>
      </c>
      <c r="H139" s="3" t="s">
        <v>23</v>
      </c>
      <c r="I139" s="3" t="s">
        <v>1607</v>
      </c>
      <c r="J139" s="3" t="s">
        <v>1608</v>
      </c>
      <c r="K139" s="3" t="s">
        <v>79</v>
      </c>
      <c r="L139" s="3" t="s">
        <v>1609</v>
      </c>
      <c r="M139" s="3" t="s">
        <v>1610</v>
      </c>
      <c r="N139" s="3" t="s">
        <v>1611</v>
      </c>
      <c r="O139" s="3" t="s">
        <v>1612</v>
      </c>
      <c r="P139" s="11">
        <v>2544000</v>
      </c>
      <c r="Q139" s="11">
        <v>38379</v>
      </c>
      <c r="R139" s="11">
        <v>44520</v>
      </c>
      <c r="S139" s="11">
        <v>44520</v>
      </c>
      <c r="T139" s="3" t="s">
        <v>1613</v>
      </c>
      <c r="U139" s="3" t="s">
        <v>1614</v>
      </c>
      <c r="V139" s="3" t="s">
        <v>26</v>
      </c>
    </row>
    <row r="140" spans="1:22" x14ac:dyDescent="0.2">
      <c r="A140" s="12">
        <v>139</v>
      </c>
      <c r="B140" s="3" t="s">
        <v>1615</v>
      </c>
      <c r="C140" s="3"/>
      <c r="D140" s="10">
        <v>45615</v>
      </c>
      <c r="E140" s="10">
        <v>45620</v>
      </c>
      <c r="F140" s="10">
        <v>45984</v>
      </c>
      <c r="G140" s="3" t="s">
        <v>22</v>
      </c>
      <c r="H140" s="3" t="s">
        <v>23</v>
      </c>
      <c r="I140" s="3" t="s">
        <v>1616</v>
      </c>
      <c r="J140" s="3" t="s">
        <v>1617</v>
      </c>
      <c r="K140" s="3" t="s">
        <v>79</v>
      </c>
      <c r="L140" s="3" t="s">
        <v>1618</v>
      </c>
      <c r="M140" s="3" t="s">
        <v>1619</v>
      </c>
      <c r="N140" s="3" t="s">
        <v>1620</v>
      </c>
      <c r="O140" s="3" t="s">
        <v>1621</v>
      </c>
      <c r="P140" s="11">
        <v>3464000</v>
      </c>
      <c r="Q140" s="11">
        <v>44793</v>
      </c>
      <c r="R140" s="11">
        <v>51960</v>
      </c>
      <c r="S140" s="11">
        <v>51960</v>
      </c>
      <c r="T140" s="3" t="s">
        <v>1622</v>
      </c>
      <c r="U140" s="3" t="s">
        <v>1623</v>
      </c>
      <c r="V140" s="3" t="s">
        <v>26</v>
      </c>
    </row>
    <row r="141" spans="1:22" x14ac:dyDescent="0.2">
      <c r="A141" s="12">
        <v>140</v>
      </c>
      <c r="B141" s="3" t="s">
        <v>1624</v>
      </c>
      <c r="C141" s="3"/>
      <c r="D141" s="10">
        <v>45615</v>
      </c>
      <c r="E141" s="10">
        <v>45605</v>
      </c>
      <c r="F141" s="10">
        <v>45969</v>
      </c>
      <c r="G141" s="3" t="s">
        <v>22</v>
      </c>
      <c r="H141" s="3" t="s">
        <v>23</v>
      </c>
      <c r="I141" s="3" t="s">
        <v>1625</v>
      </c>
      <c r="J141" s="3" t="s">
        <v>292</v>
      </c>
      <c r="K141" s="3" t="s">
        <v>79</v>
      </c>
      <c r="L141" s="3" t="s">
        <v>1626</v>
      </c>
      <c r="M141" s="3" t="s">
        <v>1627</v>
      </c>
      <c r="N141" s="3" t="s">
        <v>1628</v>
      </c>
      <c r="O141" s="3" t="s">
        <v>1629</v>
      </c>
      <c r="P141" s="11">
        <v>1281800</v>
      </c>
      <c r="Q141" s="11">
        <v>19338</v>
      </c>
      <c r="R141" s="11">
        <v>22432</v>
      </c>
      <c r="S141" s="11">
        <v>22432</v>
      </c>
      <c r="T141" s="3" t="s">
        <v>1630</v>
      </c>
      <c r="U141" s="3" t="s">
        <v>1631</v>
      </c>
      <c r="V141" s="3" t="s">
        <v>26</v>
      </c>
    </row>
    <row r="142" spans="1:22" x14ac:dyDescent="0.2">
      <c r="A142" s="12">
        <v>141</v>
      </c>
      <c r="B142" s="3" t="s">
        <v>1632</v>
      </c>
      <c r="C142" s="3"/>
      <c r="D142" s="10">
        <v>45615</v>
      </c>
      <c r="E142" s="10">
        <v>45625</v>
      </c>
      <c r="F142" s="10">
        <v>45989</v>
      </c>
      <c r="G142" s="3" t="s">
        <v>22</v>
      </c>
      <c r="H142" s="3" t="s">
        <v>23</v>
      </c>
      <c r="I142" s="3" t="s">
        <v>1633</v>
      </c>
      <c r="J142" s="3" t="s">
        <v>1634</v>
      </c>
      <c r="K142" s="3" t="s">
        <v>79</v>
      </c>
      <c r="L142" s="3"/>
      <c r="M142" s="3" t="s">
        <v>1635</v>
      </c>
      <c r="N142" s="3" t="s">
        <v>1636</v>
      </c>
      <c r="O142" s="3" t="s">
        <v>1637</v>
      </c>
      <c r="P142" s="11">
        <v>1324000</v>
      </c>
      <c r="Q142" s="11">
        <v>28535</v>
      </c>
      <c r="R142" s="11">
        <v>33100</v>
      </c>
      <c r="S142" s="11">
        <v>33100</v>
      </c>
      <c r="T142" s="3" t="s">
        <v>1638</v>
      </c>
      <c r="U142" s="3" t="s">
        <v>1639</v>
      </c>
      <c r="V142" s="3" t="s">
        <v>26</v>
      </c>
    </row>
    <row r="143" spans="1:22" x14ac:dyDescent="0.2">
      <c r="A143" s="12">
        <v>142</v>
      </c>
      <c r="B143" s="3" t="s">
        <v>1640</v>
      </c>
      <c r="C143" s="3"/>
      <c r="D143" s="10">
        <v>45615</v>
      </c>
      <c r="E143" s="10">
        <v>45625</v>
      </c>
      <c r="F143" s="10">
        <v>45989</v>
      </c>
      <c r="G143" s="3" t="s">
        <v>22</v>
      </c>
      <c r="H143" s="3" t="s">
        <v>23</v>
      </c>
      <c r="I143" s="3" t="s">
        <v>1641</v>
      </c>
      <c r="J143" s="3" t="s">
        <v>682</v>
      </c>
      <c r="K143" s="3" t="s">
        <v>156</v>
      </c>
      <c r="L143" s="3" t="s">
        <v>1642</v>
      </c>
      <c r="M143" s="3" t="s">
        <v>1643</v>
      </c>
      <c r="N143" s="3" t="s">
        <v>1644</v>
      </c>
      <c r="O143" s="3" t="s">
        <v>1645</v>
      </c>
      <c r="P143" s="11">
        <v>2000000</v>
      </c>
      <c r="Q143" s="11">
        <v>30172</v>
      </c>
      <c r="R143" s="11">
        <v>35000</v>
      </c>
      <c r="S143" s="11">
        <v>35000</v>
      </c>
      <c r="T143" s="3" t="s">
        <v>1646</v>
      </c>
      <c r="U143" s="3" t="s">
        <v>1647</v>
      </c>
      <c r="V143" s="3" t="s">
        <v>26</v>
      </c>
    </row>
    <row r="144" spans="1:22" x14ac:dyDescent="0.2">
      <c r="A144" s="12">
        <v>143</v>
      </c>
      <c r="B144" s="3" t="s">
        <v>1648</v>
      </c>
      <c r="C144" s="3"/>
      <c r="D144" s="10">
        <v>45615</v>
      </c>
      <c r="E144" s="10">
        <v>45626</v>
      </c>
      <c r="F144" s="10">
        <v>45990</v>
      </c>
      <c r="G144" s="3" t="s">
        <v>22</v>
      </c>
      <c r="H144" s="3" t="s">
        <v>23</v>
      </c>
      <c r="I144" s="3" t="s">
        <v>1649</v>
      </c>
      <c r="J144" s="3" t="s">
        <v>1470</v>
      </c>
      <c r="K144" s="3" t="s">
        <v>156</v>
      </c>
      <c r="L144" s="3" t="s">
        <v>1650</v>
      </c>
      <c r="M144" s="3" t="s">
        <v>1651</v>
      </c>
      <c r="N144" s="3" t="s">
        <v>1652</v>
      </c>
      <c r="O144" s="3" t="s">
        <v>1653</v>
      </c>
      <c r="P144" s="11">
        <v>1080000</v>
      </c>
      <c r="Q144" s="11">
        <v>16293</v>
      </c>
      <c r="R144" s="11">
        <v>18900</v>
      </c>
      <c r="S144" s="11">
        <v>18900</v>
      </c>
      <c r="T144" s="3" t="s">
        <v>1654</v>
      </c>
      <c r="U144" s="3" t="s">
        <v>1655</v>
      </c>
      <c r="V144" s="3" t="s">
        <v>26</v>
      </c>
    </row>
    <row r="145" spans="1:22" x14ac:dyDescent="0.2">
      <c r="A145" s="12">
        <v>144</v>
      </c>
      <c r="B145" s="3" t="s">
        <v>1656</v>
      </c>
      <c r="C145" s="3"/>
      <c r="D145" s="10">
        <v>45615</v>
      </c>
      <c r="E145" s="10">
        <v>45626</v>
      </c>
      <c r="F145" s="10">
        <v>45990</v>
      </c>
      <c r="G145" s="3" t="s">
        <v>22</v>
      </c>
      <c r="H145" s="3" t="s">
        <v>23</v>
      </c>
      <c r="I145" s="3" t="s">
        <v>1657</v>
      </c>
      <c r="J145" s="3" t="s">
        <v>1455</v>
      </c>
      <c r="K145" s="3" t="s">
        <v>79</v>
      </c>
      <c r="L145" s="3"/>
      <c r="M145" s="3" t="s">
        <v>1658</v>
      </c>
      <c r="N145" s="3" t="s">
        <v>1659</v>
      </c>
      <c r="O145" s="3" t="s">
        <v>1660</v>
      </c>
      <c r="P145" s="11">
        <v>2071200</v>
      </c>
      <c r="Q145" s="11">
        <v>31247</v>
      </c>
      <c r="R145" s="11">
        <v>36246</v>
      </c>
      <c r="S145" s="11">
        <v>36246</v>
      </c>
      <c r="T145" s="3" t="s">
        <v>1661</v>
      </c>
      <c r="U145" s="3" t="s">
        <v>1662</v>
      </c>
      <c r="V145" s="3" t="s">
        <v>26</v>
      </c>
    </row>
    <row r="146" spans="1:22" x14ac:dyDescent="0.2">
      <c r="A146" s="12">
        <v>145</v>
      </c>
      <c r="B146" s="3" t="s">
        <v>1663</v>
      </c>
      <c r="C146" s="3"/>
      <c r="D146" s="10">
        <v>45615</v>
      </c>
      <c r="E146" s="10">
        <v>45626</v>
      </c>
      <c r="F146" s="10">
        <v>45990</v>
      </c>
      <c r="G146" s="3" t="s">
        <v>22</v>
      </c>
      <c r="H146" s="3" t="s">
        <v>23</v>
      </c>
      <c r="I146" s="3" t="s">
        <v>1664</v>
      </c>
      <c r="J146" s="3" t="s">
        <v>1470</v>
      </c>
      <c r="K146" s="3" t="s">
        <v>79</v>
      </c>
      <c r="L146" s="3" t="s">
        <v>1665</v>
      </c>
      <c r="M146" s="3" t="s">
        <v>1666</v>
      </c>
      <c r="N146" s="3" t="s">
        <v>1667</v>
      </c>
      <c r="O146" s="3" t="s">
        <v>1668</v>
      </c>
      <c r="P146" s="11">
        <v>1481600</v>
      </c>
      <c r="Q146" s="11">
        <v>22351</v>
      </c>
      <c r="R146" s="11">
        <v>25928</v>
      </c>
      <c r="S146" s="11">
        <v>25928</v>
      </c>
      <c r="T146" s="3" t="s">
        <v>1669</v>
      </c>
      <c r="U146" s="3" t="s">
        <v>1670</v>
      </c>
      <c r="V146" s="3" t="s">
        <v>26</v>
      </c>
    </row>
    <row r="147" spans="1:22" x14ac:dyDescent="0.2">
      <c r="A147" s="12">
        <v>146</v>
      </c>
      <c r="B147" s="3" t="s">
        <v>1671</v>
      </c>
      <c r="C147" s="3"/>
      <c r="D147" s="10">
        <v>45615</v>
      </c>
      <c r="E147" s="10">
        <v>45626</v>
      </c>
      <c r="F147" s="10">
        <v>45990</v>
      </c>
      <c r="G147" s="3" t="s">
        <v>22</v>
      </c>
      <c r="H147" s="3" t="s">
        <v>23</v>
      </c>
      <c r="I147" s="3" t="s">
        <v>1672</v>
      </c>
      <c r="J147" s="3" t="s">
        <v>1470</v>
      </c>
      <c r="K147" s="3" t="s">
        <v>79</v>
      </c>
      <c r="L147" s="3" t="s">
        <v>1673</v>
      </c>
      <c r="M147" s="3" t="s">
        <v>1674</v>
      </c>
      <c r="N147" s="3" t="s">
        <v>1675</v>
      </c>
      <c r="O147" s="3" t="s">
        <v>1676</v>
      </c>
      <c r="P147" s="11">
        <v>1481600</v>
      </c>
      <c r="Q147" s="11">
        <v>22351</v>
      </c>
      <c r="R147" s="11">
        <v>25928</v>
      </c>
      <c r="S147" s="11">
        <v>25928</v>
      </c>
      <c r="T147" s="3" t="s">
        <v>1677</v>
      </c>
      <c r="U147" s="3" t="s">
        <v>1678</v>
      </c>
      <c r="V147" s="3" t="s">
        <v>26</v>
      </c>
    </row>
    <row r="148" spans="1:22" x14ac:dyDescent="0.2">
      <c r="A148" s="12">
        <v>147</v>
      </c>
      <c r="B148" s="3" t="s">
        <v>1679</v>
      </c>
      <c r="C148" s="3"/>
      <c r="D148" s="10">
        <v>45615</v>
      </c>
      <c r="E148" s="10">
        <v>45626</v>
      </c>
      <c r="F148" s="10">
        <v>45990</v>
      </c>
      <c r="G148" s="3" t="s">
        <v>22</v>
      </c>
      <c r="H148" s="3" t="s">
        <v>23</v>
      </c>
      <c r="I148" s="3" t="s">
        <v>1680</v>
      </c>
      <c r="J148" s="3" t="s">
        <v>1470</v>
      </c>
      <c r="K148" s="3" t="s">
        <v>156</v>
      </c>
      <c r="L148" s="3" t="s">
        <v>1681</v>
      </c>
      <c r="M148" s="3" t="s">
        <v>1682</v>
      </c>
      <c r="N148" s="3" t="s">
        <v>1683</v>
      </c>
      <c r="O148" s="3" t="s">
        <v>1684</v>
      </c>
      <c r="P148" s="11">
        <v>1220000</v>
      </c>
      <c r="Q148" s="11">
        <v>18405</v>
      </c>
      <c r="R148" s="11">
        <v>21350</v>
      </c>
      <c r="S148" s="11">
        <v>21350</v>
      </c>
      <c r="T148" s="3" t="s">
        <v>1685</v>
      </c>
      <c r="U148" s="3" t="s">
        <v>1686</v>
      </c>
      <c r="V148" s="3" t="s">
        <v>26</v>
      </c>
    </row>
    <row r="149" spans="1:22" x14ac:dyDescent="0.2">
      <c r="A149" s="12">
        <v>148</v>
      </c>
      <c r="B149" s="3" t="s">
        <v>1687</v>
      </c>
      <c r="C149" s="3"/>
      <c r="D149" s="10">
        <v>45615</v>
      </c>
      <c r="E149" s="10">
        <v>45626</v>
      </c>
      <c r="F149" s="10">
        <v>45990</v>
      </c>
      <c r="G149" s="3" t="s">
        <v>22</v>
      </c>
      <c r="H149" s="3" t="s">
        <v>23</v>
      </c>
      <c r="I149" s="3" t="s">
        <v>1688</v>
      </c>
      <c r="J149" s="3" t="s">
        <v>1689</v>
      </c>
      <c r="K149" s="3" t="s">
        <v>156</v>
      </c>
      <c r="L149" s="3" t="s">
        <v>1690</v>
      </c>
      <c r="M149" s="3" t="s">
        <v>1691</v>
      </c>
      <c r="N149" s="3" t="s">
        <v>1692</v>
      </c>
      <c r="O149" s="3" t="s">
        <v>1693</v>
      </c>
      <c r="P149" s="11">
        <v>3040000</v>
      </c>
      <c r="Q149" s="11">
        <v>39310</v>
      </c>
      <c r="R149" s="11">
        <v>45600</v>
      </c>
      <c r="S149" s="11">
        <v>45600</v>
      </c>
      <c r="T149" s="3" t="s">
        <v>1694</v>
      </c>
      <c r="U149" s="3" t="s">
        <v>1695</v>
      </c>
      <c r="V149" s="3" t="s">
        <v>26</v>
      </c>
    </row>
    <row r="150" spans="1:22" x14ac:dyDescent="0.2">
      <c r="A150" s="12">
        <v>149</v>
      </c>
      <c r="B150" s="3" t="s">
        <v>1696</v>
      </c>
      <c r="C150" s="3"/>
      <c r="D150" s="10">
        <v>45615</v>
      </c>
      <c r="E150" s="10">
        <v>45626</v>
      </c>
      <c r="F150" s="10">
        <v>45990</v>
      </c>
      <c r="G150" s="3" t="s">
        <v>22</v>
      </c>
      <c r="H150" s="3" t="s">
        <v>23</v>
      </c>
      <c r="I150" s="3" t="s">
        <v>1697</v>
      </c>
      <c r="J150" s="3" t="s">
        <v>1698</v>
      </c>
      <c r="K150" s="3" t="s">
        <v>95</v>
      </c>
      <c r="L150" s="3" t="s">
        <v>1699</v>
      </c>
      <c r="M150" s="3" t="s">
        <v>1700</v>
      </c>
      <c r="N150" s="3" t="s">
        <v>1701</v>
      </c>
      <c r="O150" s="3" t="s">
        <v>1702</v>
      </c>
      <c r="P150" s="11">
        <v>2840000</v>
      </c>
      <c r="Q150" s="11">
        <v>36724</v>
      </c>
      <c r="R150" s="11">
        <v>42600</v>
      </c>
      <c r="S150" s="11">
        <v>42600</v>
      </c>
      <c r="T150" s="3" t="s">
        <v>1703</v>
      </c>
      <c r="U150" s="3" t="s">
        <v>1704</v>
      </c>
      <c r="V150" s="3" t="s">
        <v>26</v>
      </c>
    </row>
    <row r="151" spans="1:22" x14ac:dyDescent="0.2">
      <c r="A151" s="12">
        <v>150</v>
      </c>
      <c r="B151" s="3" t="s">
        <v>1705</v>
      </c>
      <c r="C151" s="3"/>
      <c r="D151" s="10">
        <v>45615</v>
      </c>
      <c r="E151" s="10">
        <v>45626</v>
      </c>
      <c r="F151" s="10">
        <v>45990</v>
      </c>
      <c r="G151" s="3" t="s">
        <v>22</v>
      </c>
      <c r="H151" s="3" t="s">
        <v>23</v>
      </c>
      <c r="I151" s="3" t="s">
        <v>1706</v>
      </c>
      <c r="J151" s="3" t="s">
        <v>94</v>
      </c>
      <c r="K151" s="3" t="s">
        <v>79</v>
      </c>
      <c r="L151" s="3" t="s">
        <v>1707</v>
      </c>
      <c r="M151" s="3" t="s">
        <v>1708</v>
      </c>
      <c r="N151" s="3" t="s">
        <v>1709</v>
      </c>
      <c r="O151" s="3" t="s">
        <v>1710</v>
      </c>
      <c r="P151" s="11">
        <v>2626400</v>
      </c>
      <c r="Q151" s="11">
        <v>39623</v>
      </c>
      <c r="R151" s="11">
        <v>45962</v>
      </c>
      <c r="S151" s="11">
        <v>45962</v>
      </c>
      <c r="T151" s="3" t="s">
        <v>1711</v>
      </c>
      <c r="U151" s="3" t="s">
        <v>1712</v>
      </c>
      <c r="V151" s="3" t="s">
        <v>26</v>
      </c>
    </row>
    <row r="152" spans="1:22" x14ac:dyDescent="0.2">
      <c r="A152" s="12">
        <v>151</v>
      </c>
      <c r="B152" s="3" t="s">
        <v>1713</v>
      </c>
      <c r="C152" s="3"/>
      <c r="D152" s="10">
        <v>45615</v>
      </c>
      <c r="E152" s="10">
        <v>45605</v>
      </c>
      <c r="F152" s="10">
        <v>45969</v>
      </c>
      <c r="G152" s="3" t="s">
        <v>22</v>
      </c>
      <c r="H152" s="3" t="s">
        <v>23</v>
      </c>
      <c r="I152" s="3" t="s">
        <v>1714</v>
      </c>
      <c r="J152" s="3" t="s">
        <v>46</v>
      </c>
      <c r="K152" s="3" t="s">
        <v>79</v>
      </c>
      <c r="L152" s="3" t="s">
        <v>1715</v>
      </c>
      <c r="M152" s="3" t="s">
        <v>1716</v>
      </c>
      <c r="N152" s="3" t="s">
        <v>1717</v>
      </c>
      <c r="O152" s="3" t="s">
        <v>1718</v>
      </c>
      <c r="P152" s="11">
        <v>1206400</v>
      </c>
      <c r="Q152" s="11">
        <v>18200</v>
      </c>
      <c r="R152" s="11">
        <v>21112</v>
      </c>
      <c r="S152" s="11">
        <v>21112</v>
      </c>
      <c r="T152" s="3" t="s">
        <v>1719</v>
      </c>
      <c r="U152" s="3" t="s">
        <v>1720</v>
      </c>
      <c r="V152" s="3" t="s">
        <v>26</v>
      </c>
    </row>
    <row r="153" spans="1:22" x14ac:dyDescent="0.2">
      <c r="A153" s="12">
        <v>152</v>
      </c>
      <c r="B153" s="3" t="s">
        <v>1721</v>
      </c>
      <c r="C153" s="3"/>
      <c r="D153" s="10">
        <v>45615</v>
      </c>
      <c r="E153" s="10">
        <v>45626</v>
      </c>
      <c r="F153" s="10">
        <v>45990</v>
      </c>
      <c r="G153" s="3" t="s">
        <v>22</v>
      </c>
      <c r="H153" s="3" t="s">
        <v>23</v>
      </c>
      <c r="I153" s="3" t="s">
        <v>1722</v>
      </c>
      <c r="J153" s="3" t="s">
        <v>400</v>
      </c>
      <c r="K153" s="3" t="s">
        <v>79</v>
      </c>
      <c r="L153" s="3" t="s">
        <v>1723</v>
      </c>
      <c r="M153" s="3" t="s">
        <v>1724</v>
      </c>
      <c r="N153" s="3" t="s">
        <v>1725</v>
      </c>
      <c r="O153" s="3" t="s">
        <v>1726</v>
      </c>
      <c r="P153" s="11">
        <v>1231200</v>
      </c>
      <c r="Q153" s="11">
        <v>18574</v>
      </c>
      <c r="R153" s="11">
        <v>21546</v>
      </c>
      <c r="S153" s="11">
        <v>21546</v>
      </c>
      <c r="T153" s="3" t="s">
        <v>1727</v>
      </c>
      <c r="U153" s="3" t="s">
        <v>1728</v>
      </c>
      <c r="V153" s="3" t="s">
        <v>26</v>
      </c>
    </row>
    <row r="154" spans="1:22" x14ac:dyDescent="0.2">
      <c r="A154" s="12">
        <v>153</v>
      </c>
      <c r="B154" s="3" t="s">
        <v>1729</v>
      </c>
      <c r="C154" s="3"/>
      <c r="D154" s="10">
        <v>45615</v>
      </c>
      <c r="E154" s="10">
        <v>45626</v>
      </c>
      <c r="F154" s="10">
        <v>45990</v>
      </c>
      <c r="G154" s="3" t="s">
        <v>22</v>
      </c>
      <c r="H154" s="3" t="s">
        <v>23</v>
      </c>
      <c r="I154" s="3" t="s">
        <v>1730</v>
      </c>
      <c r="J154" s="3" t="s">
        <v>1470</v>
      </c>
      <c r="K154" s="3" t="s">
        <v>79</v>
      </c>
      <c r="L154" s="3" t="s">
        <v>1731</v>
      </c>
      <c r="M154" s="3" t="s">
        <v>1732</v>
      </c>
      <c r="N154" s="3" t="s">
        <v>1733</v>
      </c>
      <c r="O154" s="3" t="s">
        <v>1734</v>
      </c>
      <c r="P154" s="11">
        <v>1481600</v>
      </c>
      <c r="Q154" s="11">
        <v>22351</v>
      </c>
      <c r="R154" s="11">
        <v>25928</v>
      </c>
      <c r="S154" s="11">
        <v>25928</v>
      </c>
      <c r="T154" s="3" t="s">
        <v>1735</v>
      </c>
      <c r="U154" s="3" t="s">
        <v>1736</v>
      </c>
      <c r="V154" s="3" t="s">
        <v>26</v>
      </c>
    </row>
    <row r="155" spans="1:22" x14ac:dyDescent="0.2">
      <c r="A155" s="12">
        <v>154</v>
      </c>
      <c r="B155" s="3" t="s">
        <v>1737</v>
      </c>
      <c r="C155" s="3"/>
      <c r="D155" s="10">
        <v>45615</v>
      </c>
      <c r="E155" s="10">
        <v>45626</v>
      </c>
      <c r="F155" s="10">
        <v>45990</v>
      </c>
      <c r="G155" s="3" t="s">
        <v>22</v>
      </c>
      <c r="H155" s="3" t="s">
        <v>23</v>
      </c>
      <c r="I155" s="3" t="s">
        <v>1738</v>
      </c>
      <c r="J155" s="3" t="s">
        <v>94</v>
      </c>
      <c r="K155" s="3" t="s">
        <v>79</v>
      </c>
      <c r="L155" s="3" t="s">
        <v>1739</v>
      </c>
      <c r="M155" s="3" t="s">
        <v>1740</v>
      </c>
      <c r="N155" s="3" t="s">
        <v>1741</v>
      </c>
      <c r="O155" s="3" t="s">
        <v>1742</v>
      </c>
      <c r="P155" s="11">
        <v>2626400</v>
      </c>
      <c r="Q155" s="11">
        <v>39623</v>
      </c>
      <c r="R155" s="11">
        <v>45962</v>
      </c>
      <c r="S155" s="11">
        <v>45962</v>
      </c>
      <c r="T155" s="3" t="s">
        <v>1743</v>
      </c>
      <c r="U155" s="3" t="s">
        <v>1744</v>
      </c>
      <c r="V155" s="3" t="s">
        <v>26</v>
      </c>
    </row>
    <row r="156" spans="1:22" x14ac:dyDescent="0.2">
      <c r="A156" s="12">
        <v>155</v>
      </c>
      <c r="B156" s="3" t="s">
        <v>1745</v>
      </c>
      <c r="C156" s="3"/>
      <c r="D156" s="10">
        <v>45615</v>
      </c>
      <c r="E156" s="10">
        <v>45626</v>
      </c>
      <c r="F156" s="10">
        <v>45990</v>
      </c>
      <c r="G156" s="3" t="s">
        <v>22</v>
      </c>
      <c r="H156" s="3" t="s">
        <v>23</v>
      </c>
      <c r="I156" s="3" t="s">
        <v>1746</v>
      </c>
      <c r="J156" s="3" t="s">
        <v>1470</v>
      </c>
      <c r="K156" s="3" t="s">
        <v>79</v>
      </c>
      <c r="L156" s="3" t="s">
        <v>1747</v>
      </c>
      <c r="M156" s="3" t="s">
        <v>1748</v>
      </c>
      <c r="N156" s="3" t="s">
        <v>1749</v>
      </c>
      <c r="O156" s="3" t="s">
        <v>1750</v>
      </c>
      <c r="P156" s="11">
        <v>1481600</v>
      </c>
      <c r="Q156" s="11">
        <v>22351</v>
      </c>
      <c r="R156" s="11">
        <v>25928</v>
      </c>
      <c r="S156" s="11">
        <v>25928</v>
      </c>
      <c r="T156" s="3" t="s">
        <v>1751</v>
      </c>
      <c r="U156" s="3" t="s">
        <v>1752</v>
      </c>
      <c r="V156" s="3" t="s">
        <v>26</v>
      </c>
    </row>
    <row r="157" spans="1:22" x14ac:dyDescent="0.2">
      <c r="A157" s="12">
        <v>156</v>
      </c>
      <c r="B157" s="3" t="s">
        <v>1753</v>
      </c>
      <c r="C157" s="3"/>
      <c r="D157" s="10">
        <v>45615</v>
      </c>
      <c r="E157" s="10">
        <v>45606</v>
      </c>
      <c r="F157" s="10">
        <v>45970</v>
      </c>
      <c r="G157" s="3" t="s">
        <v>22</v>
      </c>
      <c r="H157" s="3" t="s">
        <v>23</v>
      </c>
      <c r="I157" s="3" t="s">
        <v>1754</v>
      </c>
      <c r="J157" s="3" t="s">
        <v>351</v>
      </c>
      <c r="K157" s="3" t="s">
        <v>79</v>
      </c>
      <c r="L157" s="3" t="s">
        <v>1755</v>
      </c>
      <c r="M157" s="3" t="s">
        <v>1756</v>
      </c>
      <c r="N157" s="3" t="s">
        <v>1757</v>
      </c>
      <c r="O157" s="3" t="s">
        <v>1758</v>
      </c>
      <c r="P157" s="11">
        <v>3138400</v>
      </c>
      <c r="Q157" s="11">
        <v>40583</v>
      </c>
      <c r="R157" s="11">
        <v>47076</v>
      </c>
      <c r="S157" s="11">
        <v>47076</v>
      </c>
      <c r="T157" s="3" t="s">
        <v>1759</v>
      </c>
      <c r="U157" s="3" t="s">
        <v>1760</v>
      </c>
      <c r="V157" s="3" t="s">
        <v>26</v>
      </c>
    </row>
    <row r="158" spans="1:22" x14ac:dyDescent="0.2">
      <c r="A158" s="12">
        <v>157</v>
      </c>
      <c r="B158" s="3" t="s">
        <v>1761</v>
      </c>
      <c r="C158" s="3"/>
      <c r="D158" s="10">
        <v>45615</v>
      </c>
      <c r="E158" s="10">
        <v>45606</v>
      </c>
      <c r="F158" s="10">
        <v>45970</v>
      </c>
      <c r="G158" s="3" t="s">
        <v>22</v>
      </c>
      <c r="H158" s="3" t="s">
        <v>23</v>
      </c>
      <c r="I158" s="3" t="s">
        <v>1762</v>
      </c>
      <c r="J158" s="3" t="s">
        <v>351</v>
      </c>
      <c r="K158" s="3" t="s">
        <v>79</v>
      </c>
      <c r="L158" s="3" t="s">
        <v>1763</v>
      </c>
      <c r="M158" s="3" t="s">
        <v>1764</v>
      </c>
      <c r="N158" s="3" t="s">
        <v>1765</v>
      </c>
      <c r="O158" s="3" t="s">
        <v>1766</v>
      </c>
      <c r="P158" s="11">
        <v>3122400</v>
      </c>
      <c r="Q158" s="11">
        <v>40376</v>
      </c>
      <c r="R158" s="11">
        <v>46836</v>
      </c>
      <c r="S158" s="11">
        <v>46836</v>
      </c>
      <c r="T158" s="3" t="s">
        <v>1767</v>
      </c>
      <c r="U158" s="3" t="s">
        <v>1768</v>
      </c>
      <c r="V158" s="3" t="s">
        <v>26</v>
      </c>
    </row>
    <row r="159" spans="1:22" x14ac:dyDescent="0.2">
      <c r="A159" s="12">
        <v>158</v>
      </c>
      <c r="B159" s="3" t="s">
        <v>1769</v>
      </c>
      <c r="C159" s="3"/>
      <c r="D159" s="10">
        <v>45615</v>
      </c>
      <c r="E159" s="10">
        <v>45607</v>
      </c>
      <c r="F159" s="10">
        <v>45971</v>
      </c>
      <c r="G159" s="3" t="s">
        <v>22</v>
      </c>
      <c r="H159" s="3" t="s">
        <v>23</v>
      </c>
      <c r="I159" s="3" t="s">
        <v>1770</v>
      </c>
      <c r="J159" s="3" t="s">
        <v>1771</v>
      </c>
      <c r="K159" s="3" t="s">
        <v>156</v>
      </c>
      <c r="L159" s="3" t="s">
        <v>1772</v>
      </c>
      <c r="M159" s="3" t="s">
        <v>1773</v>
      </c>
      <c r="N159" s="3" t="s">
        <v>1774</v>
      </c>
      <c r="O159" s="3" t="s">
        <v>1775</v>
      </c>
      <c r="P159" s="11">
        <v>1840000</v>
      </c>
      <c r="Q159" s="11">
        <v>27758</v>
      </c>
      <c r="R159" s="11">
        <v>32200</v>
      </c>
      <c r="S159" s="11">
        <v>32200</v>
      </c>
      <c r="T159" s="3" t="s">
        <v>1776</v>
      </c>
      <c r="U159" s="3" t="s">
        <v>1777</v>
      </c>
      <c r="V159" s="3" t="s">
        <v>26</v>
      </c>
    </row>
    <row r="160" spans="1:22" x14ac:dyDescent="0.2">
      <c r="A160" s="12">
        <v>159</v>
      </c>
      <c r="B160" s="3" t="s">
        <v>1778</v>
      </c>
      <c r="C160" s="3"/>
      <c r="D160" s="10">
        <v>45615</v>
      </c>
      <c r="E160" s="10">
        <v>45625</v>
      </c>
      <c r="F160" s="10">
        <v>45989</v>
      </c>
      <c r="G160" s="3" t="s">
        <v>22</v>
      </c>
      <c r="H160" s="3" t="s">
        <v>23</v>
      </c>
      <c r="I160" s="3" t="s">
        <v>1779</v>
      </c>
      <c r="J160" s="3" t="s">
        <v>1780</v>
      </c>
      <c r="K160" s="3" t="s">
        <v>156</v>
      </c>
      <c r="L160" s="3" t="s">
        <v>1781</v>
      </c>
      <c r="M160" s="3" t="s">
        <v>1782</v>
      </c>
      <c r="N160" s="3" t="s">
        <v>1783</v>
      </c>
      <c r="O160" s="3" t="s">
        <v>1784</v>
      </c>
      <c r="P160" s="11">
        <v>1219400</v>
      </c>
      <c r="Q160" s="11">
        <v>34258</v>
      </c>
      <c r="R160" s="11">
        <v>40240</v>
      </c>
      <c r="S160" s="11">
        <v>40240</v>
      </c>
      <c r="T160" s="3" t="s">
        <v>1785</v>
      </c>
      <c r="U160" s="3" t="s">
        <v>1786</v>
      </c>
      <c r="V160" s="3" t="s">
        <v>26</v>
      </c>
    </row>
    <row r="161" spans="1:22" x14ac:dyDescent="0.2">
      <c r="A161" s="12">
        <v>160</v>
      </c>
      <c r="B161" s="3" t="s">
        <v>1787</v>
      </c>
      <c r="C161" s="3"/>
      <c r="D161" s="10">
        <v>45615</v>
      </c>
      <c r="E161" s="10">
        <v>45608</v>
      </c>
      <c r="F161" s="10">
        <v>45972</v>
      </c>
      <c r="G161" s="3" t="s">
        <v>22</v>
      </c>
      <c r="H161" s="3" t="s">
        <v>23</v>
      </c>
      <c r="I161" s="3" t="s">
        <v>1788</v>
      </c>
      <c r="J161" s="3" t="s">
        <v>94</v>
      </c>
      <c r="K161" s="3" t="s">
        <v>527</v>
      </c>
      <c r="L161" s="3" t="s">
        <v>1789</v>
      </c>
      <c r="M161" s="3" t="s">
        <v>1790</v>
      </c>
      <c r="N161" s="3" t="s">
        <v>1791</v>
      </c>
      <c r="O161" s="3" t="s">
        <v>1792</v>
      </c>
      <c r="P161" s="11">
        <v>1800000</v>
      </c>
      <c r="Q161" s="11">
        <v>38793</v>
      </c>
      <c r="R161" s="11">
        <v>45000</v>
      </c>
      <c r="S161" s="11">
        <v>45000</v>
      </c>
      <c r="T161" s="3" t="s">
        <v>1793</v>
      </c>
      <c r="U161" s="3" t="s">
        <v>1794</v>
      </c>
      <c r="V161" s="3" t="s">
        <v>26</v>
      </c>
    </row>
    <row r="162" spans="1:22" x14ac:dyDescent="0.2">
      <c r="A162" s="12">
        <v>161</v>
      </c>
      <c r="B162" s="3" t="s">
        <v>1795</v>
      </c>
      <c r="C162" s="3"/>
      <c r="D162" s="10">
        <v>45615</v>
      </c>
      <c r="E162" s="10">
        <v>45602</v>
      </c>
      <c r="F162" s="10">
        <v>45966</v>
      </c>
      <c r="G162" s="3" t="s">
        <v>22</v>
      </c>
      <c r="H162" s="3" t="s">
        <v>23</v>
      </c>
      <c r="I162" s="3" t="s">
        <v>1796</v>
      </c>
      <c r="J162" s="3" t="s">
        <v>1797</v>
      </c>
      <c r="K162" s="3" t="s">
        <v>95</v>
      </c>
      <c r="L162" s="3" t="s">
        <v>1798</v>
      </c>
      <c r="M162" s="3" t="s">
        <v>1799</v>
      </c>
      <c r="N162" s="3" t="s">
        <v>1800</v>
      </c>
      <c r="O162" s="3" t="s">
        <v>1801</v>
      </c>
      <c r="P162" s="11">
        <v>850500</v>
      </c>
      <c r="Q162" s="11">
        <v>18330</v>
      </c>
      <c r="R162" s="11">
        <v>21263</v>
      </c>
      <c r="S162" s="11">
        <v>21263</v>
      </c>
      <c r="T162" s="3" t="s">
        <v>1802</v>
      </c>
      <c r="U162" s="3" t="s">
        <v>1803</v>
      </c>
      <c r="V162" s="3" t="s">
        <v>26</v>
      </c>
    </row>
    <row r="163" spans="1:22" x14ac:dyDescent="0.2">
      <c r="A163" s="12">
        <v>162</v>
      </c>
      <c r="B163" s="3" t="s">
        <v>1804</v>
      </c>
      <c r="C163" s="3"/>
      <c r="D163" s="10">
        <v>45615</v>
      </c>
      <c r="E163" s="10">
        <v>45614</v>
      </c>
      <c r="F163" s="10">
        <v>45978</v>
      </c>
      <c r="G163" s="3" t="s">
        <v>22</v>
      </c>
      <c r="H163" s="3" t="s">
        <v>23</v>
      </c>
      <c r="I163" s="3" t="s">
        <v>1805</v>
      </c>
      <c r="J163" s="3" t="s">
        <v>71</v>
      </c>
      <c r="K163" s="3" t="s">
        <v>95</v>
      </c>
      <c r="L163" s="3" t="s">
        <v>1806</v>
      </c>
      <c r="M163" s="3" t="s">
        <v>1807</v>
      </c>
      <c r="N163" s="3" t="s">
        <v>1808</v>
      </c>
      <c r="O163" s="3" t="s">
        <v>1809</v>
      </c>
      <c r="P163" s="11">
        <v>1224750</v>
      </c>
      <c r="Q163" s="11">
        <v>26396</v>
      </c>
      <c r="R163" s="11">
        <v>30619</v>
      </c>
      <c r="S163" s="11">
        <v>30619</v>
      </c>
      <c r="T163" s="3" t="s">
        <v>1810</v>
      </c>
      <c r="U163" s="3" t="s">
        <v>1811</v>
      </c>
      <c r="V163" s="3" t="s">
        <v>26</v>
      </c>
    </row>
    <row r="164" spans="1:22" x14ac:dyDescent="0.2">
      <c r="A164" s="12">
        <v>163</v>
      </c>
      <c r="B164" s="3" t="s">
        <v>1812</v>
      </c>
      <c r="C164" s="3"/>
      <c r="D164" s="10">
        <v>45615</v>
      </c>
      <c r="E164" s="10">
        <v>45608</v>
      </c>
      <c r="F164" s="10">
        <v>45972</v>
      </c>
      <c r="G164" s="3" t="s">
        <v>22</v>
      </c>
      <c r="H164" s="3" t="s">
        <v>23</v>
      </c>
      <c r="I164" s="3" t="s">
        <v>1813</v>
      </c>
      <c r="J164" s="3" t="s">
        <v>682</v>
      </c>
      <c r="K164" s="3" t="s">
        <v>146</v>
      </c>
      <c r="L164" s="3" t="s">
        <v>1814</v>
      </c>
      <c r="M164" s="3" t="s">
        <v>1815</v>
      </c>
      <c r="N164" s="3" t="s">
        <v>1816</v>
      </c>
      <c r="O164" s="3" t="s">
        <v>1817</v>
      </c>
      <c r="P164" s="11">
        <v>1800000</v>
      </c>
      <c r="Q164" s="11">
        <v>23276</v>
      </c>
      <c r="R164" s="11">
        <v>27000</v>
      </c>
      <c r="S164" s="11">
        <v>27000</v>
      </c>
      <c r="T164" s="3" t="s">
        <v>1818</v>
      </c>
      <c r="U164" s="3" t="s">
        <v>1819</v>
      </c>
      <c r="V164" s="3" t="s">
        <v>26</v>
      </c>
    </row>
    <row r="165" spans="1:22" x14ac:dyDescent="0.2">
      <c r="A165" s="12">
        <v>164</v>
      </c>
      <c r="B165" s="3" t="s">
        <v>1820</v>
      </c>
      <c r="C165" s="3"/>
      <c r="D165" s="10">
        <v>45615</v>
      </c>
      <c r="E165" s="10">
        <v>45614</v>
      </c>
      <c r="F165" s="10">
        <v>45978</v>
      </c>
      <c r="G165" s="3" t="s">
        <v>22</v>
      </c>
      <c r="H165" s="3" t="s">
        <v>23</v>
      </c>
      <c r="I165" s="3" t="s">
        <v>1821</v>
      </c>
      <c r="J165" s="3" t="s">
        <v>1470</v>
      </c>
      <c r="K165" s="3" t="s">
        <v>95</v>
      </c>
      <c r="L165" s="3" t="s">
        <v>1822</v>
      </c>
      <c r="M165" s="3" t="s">
        <v>1823</v>
      </c>
      <c r="N165" s="3" t="s">
        <v>1824</v>
      </c>
      <c r="O165" s="3" t="s">
        <v>1825</v>
      </c>
      <c r="P165" s="11">
        <v>1297500</v>
      </c>
      <c r="Q165" s="11">
        <v>27963</v>
      </c>
      <c r="R165" s="11">
        <v>32438</v>
      </c>
      <c r="S165" s="11">
        <v>32438</v>
      </c>
      <c r="T165" s="3" t="s">
        <v>1826</v>
      </c>
      <c r="U165" s="3" t="s">
        <v>1827</v>
      </c>
      <c r="V165" s="3" t="s">
        <v>26</v>
      </c>
    </row>
    <row r="166" spans="1:22" x14ac:dyDescent="0.2">
      <c r="A166" s="12">
        <v>165</v>
      </c>
      <c r="B166" s="3" t="s">
        <v>1828</v>
      </c>
      <c r="C166" s="3"/>
      <c r="D166" s="10">
        <v>45615</v>
      </c>
      <c r="E166" s="10">
        <v>45613</v>
      </c>
      <c r="F166" s="10">
        <v>45977</v>
      </c>
      <c r="G166" s="3" t="s">
        <v>22</v>
      </c>
      <c r="H166" s="3" t="s">
        <v>23</v>
      </c>
      <c r="I166" s="3" t="s">
        <v>1829</v>
      </c>
      <c r="J166" s="3" t="s">
        <v>1241</v>
      </c>
      <c r="K166" s="3" t="s">
        <v>146</v>
      </c>
      <c r="L166" s="3" t="s">
        <v>1830</v>
      </c>
      <c r="M166" s="3" t="s">
        <v>1831</v>
      </c>
      <c r="N166" s="3" t="s">
        <v>1832</v>
      </c>
      <c r="O166" s="3" t="s">
        <v>1833</v>
      </c>
      <c r="P166" s="11">
        <v>2925000</v>
      </c>
      <c r="Q166" s="11">
        <v>37824</v>
      </c>
      <c r="R166" s="11">
        <v>43875</v>
      </c>
      <c r="S166" s="11">
        <v>43875</v>
      </c>
      <c r="T166" s="3" t="s">
        <v>1834</v>
      </c>
      <c r="U166" s="3" t="s">
        <v>1835</v>
      </c>
      <c r="V166" s="3" t="s">
        <v>26</v>
      </c>
    </row>
    <row r="167" spans="1:22" x14ac:dyDescent="0.2">
      <c r="A167" s="12">
        <v>166</v>
      </c>
      <c r="B167" s="3" t="s">
        <v>1836</v>
      </c>
      <c r="C167" s="3"/>
      <c r="D167" s="10">
        <v>45615</v>
      </c>
      <c r="E167" s="10">
        <v>45616</v>
      </c>
      <c r="F167" s="10">
        <v>45980</v>
      </c>
      <c r="G167" s="3" t="s">
        <v>22</v>
      </c>
      <c r="H167" s="3" t="s">
        <v>23</v>
      </c>
      <c r="I167" s="3" t="s">
        <v>1837</v>
      </c>
      <c r="J167" s="3" t="s">
        <v>1838</v>
      </c>
      <c r="K167" s="3" t="s">
        <v>527</v>
      </c>
      <c r="L167" s="3" t="s">
        <v>1839</v>
      </c>
      <c r="M167" s="3" t="s">
        <v>1840</v>
      </c>
      <c r="N167" s="3" t="s">
        <v>1841</v>
      </c>
      <c r="O167" s="3" t="s">
        <v>1842</v>
      </c>
      <c r="P167" s="11">
        <v>2625000</v>
      </c>
      <c r="Q167" s="11">
        <v>33944</v>
      </c>
      <c r="R167" s="11">
        <v>39375</v>
      </c>
      <c r="S167" s="11">
        <v>39375</v>
      </c>
      <c r="T167" s="3" t="s">
        <v>1843</v>
      </c>
      <c r="U167" s="3" t="s">
        <v>1844</v>
      </c>
      <c r="V167" s="3" t="s">
        <v>26</v>
      </c>
    </row>
    <row r="168" spans="1:22" x14ac:dyDescent="0.2">
      <c r="A168" s="12">
        <v>167</v>
      </c>
      <c r="B168" s="3" t="s">
        <v>1845</v>
      </c>
      <c r="C168" s="3"/>
      <c r="D168" s="10">
        <v>45615</v>
      </c>
      <c r="E168" s="10">
        <v>45612</v>
      </c>
      <c r="F168" s="10">
        <v>45976</v>
      </c>
      <c r="G168" s="3" t="s">
        <v>22</v>
      </c>
      <c r="H168" s="3" t="s">
        <v>23</v>
      </c>
      <c r="I168" s="3" t="s">
        <v>1846</v>
      </c>
      <c r="J168" s="3" t="s">
        <v>1422</v>
      </c>
      <c r="K168" s="3" t="s">
        <v>95</v>
      </c>
      <c r="L168" s="3" t="s">
        <v>1847</v>
      </c>
      <c r="M168" s="3" t="s">
        <v>1848</v>
      </c>
      <c r="N168" s="3" t="s">
        <v>1849</v>
      </c>
      <c r="O168" s="3" t="s">
        <v>1850</v>
      </c>
      <c r="P168" s="11">
        <v>1425000</v>
      </c>
      <c r="Q168" s="11">
        <v>30711</v>
      </c>
      <c r="R168" s="11">
        <v>35625</v>
      </c>
      <c r="S168" s="11">
        <v>35625</v>
      </c>
      <c r="T168" s="3" t="s">
        <v>1851</v>
      </c>
      <c r="U168" s="3" t="s">
        <v>1852</v>
      </c>
      <c r="V168" s="3" t="s">
        <v>26</v>
      </c>
    </row>
    <row r="169" spans="1:22" x14ac:dyDescent="0.2">
      <c r="A169" s="12">
        <v>168</v>
      </c>
      <c r="B169" s="3" t="s">
        <v>1853</v>
      </c>
      <c r="C169" s="3"/>
      <c r="D169" s="10">
        <v>45615</v>
      </c>
      <c r="E169" s="10">
        <v>45616</v>
      </c>
      <c r="F169" s="10">
        <v>45980</v>
      </c>
      <c r="G169" s="3" t="s">
        <v>22</v>
      </c>
      <c r="H169" s="3" t="s">
        <v>23</v>
      </c>
      <c r="I169" s="3" t="s">
        <v>1854</v>
      </c>
      <c r="J169" s="3" t="s">
        <v>1479</v>
      </c>
      <c r="K169" s="3" t="s">
        <v>95</v>
      </c>
      <c r="L169" s="3" t="s">
        <v>1855</v>
      </c>
      <c r="M169" s="3" t="s">
        <v>1856</v>
      </c>
      <c r="N169" s="3" t="s">
        <v>1857</v>
      </c>
      <c r="O169" s="3" t="s">
        <v>1858</v>
      </c>
      <c r="P169" s="11">
        <v>3039375</v>
      </c>
      <c r="Q169" s="11">
        <v>39303</v>
      </c>
      <c r="R169" s="11">
        <v>45591</v>
      </c>
      <c r="S169" s="11">
        <v>45591</v>
      </c>
      <c r="T169" s="3" t="s">
        <v>1859</v>
      </c>
      <c r="U169" s="3" t="s">
        <v>1860</v>
      </c>
      <c r="V169" s="3" t="s">
        <v>26</v>
      </c>
    </row>
    <row r="170" spans="1:22" x14ac:dyDescent="0.2">
      <c r="A170" s="12">
        <v>169</v>
      </c>
      <c r="B170" s="3" t="s">
        <v>1861</v>
      </c>
      <c r="C170" s="3"/>
      <c r="D170" s="10">
        <v>45615</v>
      </c>
      <c r="E170" s="10">
        <v>45613</v>
      </c>
      <c r="F170" s="10">
        <v>45977</v>
      </c>
      <c r="G170" s="3" t="s">
        <v>22</v>
      </c>
      <c r="H170" s="3" t="s">
        <v>23</v>
      </c>
      <c r="I170" s="3" t="s">
        <v>1862</v>
      </c>
      <c r="J170" s="3" t="s">
        <v>1863</v>
      </c>
      <c r="K170" s="3" t="s">
        <v>95</v>
      </c>
      <c r="L170" s="3" t="s">
        <v>1864</v>
      </c>
      <c r="M170" s="3" t="s">
        <v>1865</v>
      </c>
      <c r="N170" s="3" t="s">
        <v>1866</v>
      </c>
      <c r="O170" s="3" t="s">
        <v>1867</v>
      </c>
      <c r="P170" s="11">
        <v>2621625</v>
      </c>
      <c r="Q170" s="11">
        <v>56501</v>
      </c>
      <c r="R170" s="11">
        <v>65541</v>
      </c>
      <c r="S170" s="11">
        <v>65541</v>
      </c>
      <c r="T170" s="3" t="s">
        <v>1868</v>
      </c>
      <c r="U170" s="3" t="s">
        <v>1869</v>
      </c>
      <c r="V170" s="3" t="s">
        <v>26</v>
      </c>
    </row>
    <row r="171" spans="1:22" x14ac:dyDescent="0.2">
      <c r="A171" s="12">
        <v>170</v>
      </c>
      <c r="B171" s="3" t="s">
        <v>1870</v>
      </c>
      <c r="C171" s="3"/>
      <c r="D171" s="10">
        <v>45615</v>
      </c>
      <c r="E171" s="10">
        <v>45601</v>
      </c>
      <c r="F171" s="10">
        <v>45965</v>
      </c>
      <c r="G171" s="3" t="s">
        <v>22</v>
      </c>
      <c r="H171" s="3" t="s">
        <v>23</v>
      </c>
      <c r="I171" s="3" t="s">
        <v>1871</v>
      </c>
      <c r="J171" s="3" t="s">
        <v>1422</v>
      </c>
      <c r="K171" s="3" t="s">
        <v>156</v>
      </c>
      <c r="L171" s="3" t="s">
        <v>1872</v>
      </c>
      <c r="M171" s="3" t="s">
        <v>1873</v>
      </c>
      <c r="N171" s="3" t="s">
        <v>1874</v>
      </c>
      <c r="O171" s="3" t="s">
        <v>1875</v>
      </c>
      <c r="P171" s="11">
        <v>975650</v>
      </c>
      <c r="Q171" s="11">
        <v>31541</v>
      </c>
      <c r="R171" s="11">
        <v>36587</v>
      </c>
      <c r="S171" s="11">
        <v>36587</v>
      </c>
      <c r="T171" s="3" t="s">
        <v>1876</v>
      </c>
      <c r="U171" s="3" t="s">
        <v>1877</v>
      </c>
      <c r="V171" s="3" t="s">
        <v>26</v>
      </c>
    </row>
    <row r="172" spans="1:22" x14ac:dyDescent="0.2">
      <c r="A172" s="12">
        <v>171</v>
      </c>
      <c r="B172" s="3" t="s">
        <v>1878</v>
      </c>
      <c r="C172" s="3"/>
      <c r="D172" s="10">
        <v>45615</v>
      </c>
      <c r="E172" s="10">
        <v>45615</v>
      </c>
      <c r="F172" s="10">
        <v>45979</v>
      </c>
      <c r="G172" s="3" t="s">
        <v>22</v>
      </c>
      <c r="H172" s="3" t="s">
        <v>23</v>
      </c>
      <c r="I172" s="3" t="s">
        <v>1879</v>
      </c>
      <c r="J172" s="3" t="s">
        <v>442</v>
      </c>
      <c r="K172" s="3" t="s">
        <v>95</v>
      </c>
      <c r="L172" s="3" t="s">
        <v>1880</v>
      </c>
      <c r="M172" s="3" t="s">
        <v>1881</v>
      </c>
      <c r="N172" s="3" t="s">
        <v>1882</v>
      </c>
      <c r="O172" s="3" t="s">
        <v>1883</v>
      </c>
      <c r="P172" s="11">
        <v>2271000</v>
      </c>
      <c r="Q172" s="11">
        <v>39155</v>
      </c>
      <c r="R172" s="11">
        <v>45420</v>
      </c>
      <c r="S172" s="11">
        <v>45420</v>
      </c>
      <c r="T172" s="3" t="s">
        <v>1884</v>
      </c>
      <c r="U172" s="3" t="s">
        <v>1885</v>
      </c>
      <c r="V172" s="3" t="s">
        <v>26</v>
      </c>
    </row>
    <row r="173" spans="1:22" x14ac:dyDescent="0.2">
      <c r="A173" s="12">
        <v>172</v>
      </c>
      <c r="B173" s="3" t="s">
        <v>1886</v>
      </c>
      <c r="C173" s="3"/>
      <c r="D173" s="10">
        <v>45615</v>
      </c>
      <c r="E173" s="10">
        <v>45616</v>
      </c>
      <c r="F173" s="10">
        <v>45980</v>
      </c>
      <c r="G173" s="3" t="s">
        <v>22</v>
      </c>
      <c r="H173" s="3" t="s">
        <v>23</v>
      </c>
      <c r="I173" s="3" t="s">
        <v>1887</v>
      </c>
      <c r="J173" s="3" t="s">
        <v>391</v>
      </c>
      <c r="K173" s="3" t="s">
        <v>95</v>
      </c>
      <c r="L173" s="3" t="s">
        <v>1888</v>
      </c>
      <c r="M173" s="3" t="s">
        <v>1889</v>
      </c>
      <c r="N173" s="3" t="s">
        <v>1890</v>
      </c>
      <c r="O173" s="3" t="s">
        <v>1891</v>
      </c>
      <c r="P173" s="11">
        <v>2175000</v>
      </c>
      <c r="Q173" s="11">
        <v>46875</v>
      </c>
      <c r="R173" s="11">
        <v>54375</v>
      </c>
      <c r="S173" s="11">
        <v>54375</v>
      </c>
      <c r="T173" s="3" t="s">
        <v>1892</v>
      </c>
      <c r="U173" s="3" t="s">
        <v>1893</v>
      </c>
      <c r="V173" s="3" t="s">
        <v>26</v>
      </c>
    </row>
    <row r="174" spans="1:22" x14ac:dyDescent="0.2">
      <c r="A174" s="12">
        <v>173</v>
      </c>
      <c r="B174" s="3" t="s">
        <v>1894</v>
      </c>
      <c r="C174" s="3"/>
      <c r="D174" s="10">
        <v>45615</v>
      </c>
      <c r="E174" s="10">
        <v>45616</v>
      </c>
      <c r="F174" s="10">
        <v>45980</v>
      </c>
      <c r="G174" s="3" t="s">
        <v>22</v>
      </c>
      <c r="H174" s="3" t="s">
        <v>23</v>
      </c>
      <c r="I174" s="3" t="s">
        <v>1895</v>
      </c>
      <c r="J174" s="3" t="s">
        <v>1896</v>
      </c>
      <c r="K174" s="3" t="s">
        <v>174</v>
      </c>
      <c r="L174" s="3" t="s">
        <v>1897</v>
      </c>
      <c r="M174" s="3" t="s">
        <v>1898</v>
      </c>
      <c r="N174" s="3" t="s">
        <v>1899</v>
      </c>
      <c r="O174" s="3" t="s">
        <v>1900</v>
      </c>
      <c r="P174" s="11">
        <v>1125000</v>
      </c>
      <c r="Q174" s="11">
        <v>24246</v>
      </c>
      <c r="R174" s="11">
        <v>28125</v>
      </c>
      <c r="S174" s="11">
        <v>28125</v>
      </c>
      <c r="T174" s="3" t="s">
        <v>1901</v>
      </c>
      <c r="U174" s="3" t="s">
        <v>1902</v>
      </c>
      <c r="V174" s="3" t="s">
        <v>26</v>
      </c>
    </row>
    <row r="175" spans="1:22" x14ac:dyDescent="0.2">
      <c r="A175" s="12">
        <v>174</v>
      </c>
      <c r="B175" s="3" t="s">
        <v>1903</v>
      </c>
      <c r="C175" s="3"/>
      <c r="D175" s="10">
        <v>45615</v>
      </c>
      <c r="E175" s="10">
        <v>45620</v>
      </c>
      <c r="F175" s="10">
        <v>45984</v>
      </c>
      <c r="G175" s="3" t="s">
        <v>22</v>
      </c>
      <c r="H175" s="3" t="s">
        <v>23</v>
      </c>
      <c r="I175" s="3" t="s">
        <v>1904</v>
      </c>
      <c r="J175" s="3" t="s">
        <v>1905</v>
      </c>
      <c r="K175" s="3" t="s">
        <v>527</v>
      </c>
      <c r="L175" s="3" t="s">
        <v>1906</v>
      </c>
      <c r="M175" s="3" t="s">
        <v>1907</v>
      </c>
      <c r="N175" s="3" t="s">
        <v>1908</v>
      </c>
      <c r="O175" s="3" t="s">
        <v>1909</v>
      </c>
      <c r="P175" s="11">
        <v>1762500</v>
      </c>
      <c r="Q175" s="11">
        <v>37985</v>
      </c>
      <c r="R175" s="11">
        <v>44063</v>
      </c>
      <c r="S175" s="11">
        <v>44063</v>
      </c>
      <c r="T175" s="3" t="s">
        <v>1910</v>
      </c>
      <c r="U175" s="3" t="s">
        <v>1911</v>
      </c>
      <c r="V175" s="3" t="s">
        <v>26</v>
      </c>
    </row>
    <row r="176" spans="1:22" x14ac:dyDescent="0.2">
      <c r="A176" s="12">
        <v>175</v>
      </c>
      <c r="B176" s="3" t="s">
        <v>1912</v>
      </c>
      <c r="C176" s="3"/>
      <c r="D176" s="10">
        <v>45615</v>
      </c>
      <c r="E176" s="10">
        <v>45616</v>
      </c>
      <c r="F176" s="10">
        <v>45980</v>
      </c>
      <c r="G176" s="3" t="s">
        <v>22</v>
      </c>
      <c r="H176" s="3" t="s">
        <v>23</v>
      </c>
      <c r="I176" s="3" t="s">
        <v>1913</v>
      </c>
      <c r="J176" s="3" t="s">
        <v>682</v>
      </c>
      <c r="K176" s="3" t="s">
        <v>95</v>
      </c>
      <c r="L176" s="3" t="s">
        <v>1914</v>
      </c>
      <c r="M176" s="3" t="s">
        <v>1915</v>
      </c>
      <c r="N176" s="3" t="s">
        <v>1916</v>
      </c>
      <c r="O176" s="3" t="s">
        <v>1917</v>
      </c>
      <c r="P176" s="11">
        <v>1841250</v>
      </c>
      <c r="Q176" s="11">
        <v>39682</v>
      </c>
      <c r="R176" s="11">
        <v>46031</v>
      </c>
      <c r="S176" s="11">
        <v>46031</v>
      </c>
      <c r="T176" s="3" t="s">
        <v>1918</v>
      </c>
      <c r="U176" s="3" t="s">
        <v>1919</v>
      </c>
      <c r="V176" s="3" t="s">
        <v>26</v>
      </c>
    </row>
    <row r="177" spans="1:22" x14ac:dyDescent="0.2">
      <c r="A177" s="12">
        <v>176</v>
      </c>
      <c r="B177" s="3" t="s">
        <v>1920</v>
      </c>
      <c r="C177" s="3"/>
      <c r="D177" s="10">
        <v>45615</v>
      </c>
      <c r="E177" s="10">
        <v>45622</v>
      </c>
      <c r="F177" s="10">
        <v>45986</v>
      </c>
      <c r="G177" s="3" t="s">
        <v>22</v>
      </c>
      <c r="H177" s="3" t="s">
        <v>23</v>
      </c>
      <c r="I177" s="3" t="s">
        <v>1921</v>
      </c>
      <c r="J177" s="3" t="s">
        <v>1922</v>
      </c>
      <c r="K177" s="3" t="s">
        <v>95</v>
      </c>
      <c r="L177" s="3" t="s">
        <v>1923</v>
      </c>
      <c r="M177" s="3" t="s">
        <v>1924</v>
      </c>
      <c r="N177" s="3" t="s">
        <v>1925</v>
      </c>
      <c r="O177" s="3" t="s">
        <v>1926</v>
      </c>
      <c r="P177" s="11">
        <v>1522500</v>
      </c>
      <c r="Q177" s="11">
        <v>32813</v>
      </c>
      <c r="R177" s="11">
        <v>38063</v>
      </c>
      <c r="S177" s="11">
        <v>38063</v>
      </c>
      <c r="T177" s="3" t="s">
        <v>1927</v>
      </c>
      <c r="U177" s="3" t="s">
        <v>1928</v>
      </c>
      <c r="V177" s="3" t="s">
        <v>26</v>
      </c>
    </row>
    <row r="178" spans="1:22" x14ac:dyDescent="0.2">
      <c r="A178" s="12">
        <v>177</v>
      </c>
      <c r="B178" s="3" t="s">
        <v>1929</v>
      </c>
      <c r="C178" s="3"/>
      <c r="D178" s="10">
        <v>45615</v>
      </c>
      <c r="E178" s="10">
        <v>45620</v>
      </c>
      <c r="F178" s="10">
        <v>45984</v>
      </c>
      <c r="G178" s="3" t="s">
        <v>22</v>
      </c>
      <c r="H178" s="3" t="s">
        <v>23</v>
      </c>
      <c r="I178" s="3" t="s">
        <v>1930</v>
      </c>
      <c r="J178" s="3" t="s">
        <v>292</v>
      </c>
      <c r="K178" s="3" t="s">
        <v>95</v>
      </c>
      <c r="L178" s="3"/>
      <c r="M178" s="3" t="s">
        <v>1931</v>
      </c>
      <c r="N178" s="3" t="s">
        <v>1932</v>
      </c>
      <c r="O178" s="3" t="s">
        <v>1933</v>
      </c>
      <c r="P178" s="11">
        <v>1074750</v>
      </c>
      <c r="Q178" s="11">
        <v>23163</v>
      </c>
      <c r="R178" s="11">
        <v>26869</v>
      </c>
      <c r="S178" s="11">
        <v>26869</v>
      </c>
      <c r="T178" s="3" t="s">
        <v>1934</v>
      </c>
      <c r="U178" s="3" t="s">
        <v>1935</v>
      </c>
      <c r="V178" s="3" t="s">
        <v>26</v>
      </c>
    </row>
    <row r="179" spans="1:22" x14ac:dyDescent="0.2">
      <c r="A179" s="12">
        <v>178</v>
      </c>
      <c r="B179" s="3" t="s">
        <v>1936</v>
      </c>
      <c r="C179" s="3"/>
      <c r="D179" s="10">
        <v>45615</v>
      </c>
      <c r="E179" s="10">
        <v>45616</v>
      </c>
      <c r="F179" s="10">
        <v>45980</v>
      </c>
      <c r="G179" s="3" t="s">
        <v>22</v>
      </c>
      <c r="H179" s="3" t="s">
        <v>23</v>
      </c>
      <c r="I179" s="3" t="s">
        <v>1937</v>
      </c>
      <c r="J179" s="3" t="s">
        <v>1470</v>
      </c>
      <c r="K179" s="3" t="s">
        <v>95</v>
      </c>
      <c r="L179" s="3" t="s">
        <v>1938</v>
      </c>
      <c r="M179" s="3" t="s">
        <v>1939</v>
      </c>
      <c r="N179" s="3" t="s">
        <v>1940</v>
      </c>
      <c r="O179" s="3" t="s">
        <v>1941</v>
      </c>
      <c r="P179" s="11">
        <v>1297500</v>
      </c>
      <c r="Q179" s="11">
        <v>27963</v>
      </c>
      <c r="R179" s="11">
        <v>32438</v>
      </c>
      <c r="S179" s="11">
        <v>32438</v>
      </c>
      <c r="T179" s="3" t="s">
        <v>1942</v>
      </c>
      <c r="U179" s="3" t="s">
        <v>1943</v>
      </c>
      <c r="V179" s="3" t="s">
        <v>26</v>
      </c>
    </row>
    <row r="180" spans="1:22" x14ac:dyDescent="0.2">
      <c r="A180" s="12">
        <v>179</v>
      </c>
      <c r="B180" s="3" t="s">
        <v>1944</v>
      </c>
      <c r="C180" s="3"/>
      <c r="D180" s="10">
        <v>45615</v>
      </c>
      <c r="E180" s="10">
        <v>45622</v>
      </c>
      <c r="F180" s="10">
        <v>45986</v>
      </c>
      <c r="G180" s="3" t="s">
        <v>22</v>
      </c>
      <c r="H180" s="3" t="s">
        <v>23</v>
      </c>
      <c r="I180" s="3" t="s">
        <v>1945</v>
      </c>
      <c r="J180" s="3" t="s">
        <v>1470</v>
      </c>
      <c r="K180" s="3" t="s">
        <v>95</v>
      </c>
      <c r="L180" s="3"/>
      <c r="M180" s="3" t="s">
        <v>1946</v>
      </c>
      <c r="N180" s="3" t="s">
        <v>1947</v>
      </c>
      <c r="O180" s="3" t="s">
        <v>1948</v>
      </c>
      <c r="P180" s="11">
        <v>1297500</v>
      </c>
      <c r="Q180" s="11">
        <v>27963</v>
      </c>
      <c r="R180" s="11">
        <v>32438</v>
      </c>
      <c r="S180" s="11">
        <v>32438</v>
      </c>
      <c r="T180" s="3" t="s">
        <v>1949</v>
      </c>
      <c r="U180" s="3" t="s">
        <v>1950</v>
      </c>
      <c r="V180" s="3" t="s">
        <v>26</v>
      </c>
    </row>
    <row r="181" spans="1:22" x14ac:dyDescent="0.2">
      <c r="A181" s="12">
        <v>180</v>
      </c>
      <c r="B181" s="3" t="s">
        <v>1951</v>
      </c>
      <c r="C181" s="3"/>
      <c r="D181" s="10">
        <v>45615</v>
      </c>
      <c r="E181" s="10">
        <v>45619</v>
      </c>
      <c r="F181" s="10">
        <v>45983</v>
      </c>
      <c r="G181" s="3" t="s">
        <v>22</v>
      </c>
      <c r="H181" s="3" t="s">
        <v>23</v>
      </c>
      <c r="I181" s="3" t="s">
        <v>1952</v>
      </c>
      <c r="J181" s="3" t="s">
        <v>1953</v>
      </c>
      <c r="K181" s="3" t="s">
        <v>95</v>
      </c>
      <c r="L181" s="3"/>
      <c r="M181" s="3" t="s">
        <v>1954</v>
      </c>
      <c r="N181" s="3" t="s">
        <v>1955</v>
      </c>
      <c r="O181" s="3" t="s">
        <v>1956</v>
      </c>
      <c r="P181" s="11">
        <v>2949750</v>
      </c>
      <c r="Q181" s="11">
        <v>38144</v>
      </c>
      <c r="R181" s="11">
        <v>44246</v>
      </c>
      <c r="S181" s="11">
        <v>44246</v>
      </c>
      <c r="T181" s="3" t="s">
        <v>1957</v>
      </c>
      <c r="U181" s="3" t="s">
        <v>1958</v>
      </c>
      <c r="V181" s="3" t="s">
        <v>26</v>
      </c>
    </row>
    <row r="182" spans="1:22" x14ac:dyDescent="0.2">
      <c r="A182" s="12">
        <v>181</v>
      </c>
      <c r="B182" s="3" t="s">
        <v>1959</v>
      </c>
      <c r="C182" s="3"/>
      <c r="D182" s="10">
        <v>45615</v>
      </c>
      <c r="E182" s="10">
        <v>45601</v>
      </c>
      <c r="F182" s="10">
        <v>45965</v>
      </c>
      <c r="G182" s="3" t="s">
        <v>22</v>
      </c>
      <c r="H182" s="3" t="s">
        <v>23</v>
      </c>
      <c r="I182" s="3" t="s">
        <v>1960</v>
      </c>
      <c r="J182" s="3" t="s">
        <v>1470</v>
      </c>
      <c r="K182" s="3" t="s">
        <v>156</v>
      </c>
      <c r="L182" s="3" t="s">
        <v>1961</v>
      </c>
      <c r="M182" s="3" t="s">
        <v>1962</v>
      </c>
      <c r="N182" s="3" t="s">
        <v>1963</v>
      </c>
      <c r="O182" s="3" t="s">
        <v>1964</v>
      </c>
      <c r="P182" s="11">
        <v>769600</v>
      </c>
      <c r="Q182" s="11">
        <v>24879</v>
      </c>
      <c r="R182" s="11">
        <v>28860</v>
      </c>
      <c r="S182" s="11">
        <v>28860</v>
      </c>
      <c r="T182" s="3" t="s">
        <v>1965</v>
      </c>
      <c r="U182" s="3" t="s">
        <v>1966</v>
      </c>
      <c r="V182" s="3" t="s">
        <v>26</v>
      </c>
    </row>
    <row r="183" spans="1:22" x14ac:dyDescent="0.2">
      <c r="A183" s="12">
        <v>182</v>
      </c>
      <c r="B183" s="3" t="s">
        <v>1967</v>
      </c>
      <c r="C183" s="3"/>
      <c r="D183" s="10">
        <v>45615</v>
      </c>
      <c r="E183" s="10">
        <v>45626</v>
      </c>
      <c r="F183" s="10">
        <v>45990</v>
      </c>
      <c r="G183" s="3" t="s">
        <v>22</v>
      </c>
      <c r="H183" s="3" t="s">
        <v>23</v>
      </c>
      <c r="I183" s="3" t="s">
        <v>1968</v>
      </c>
      <c r="J183" s="3" t="s">
        <v>682</v>
      </c>
      <c r="K183" s="3" t="s">
        <v>156</v>
      </c>
      <c r="L183" s="3" t="s">
        <v>1969</v>
      </c>
      <c r="M183" s="3" t="s">
        <v>1970</v>
      </c>
      <c r="N183" s="3" t="s">
        <v>1971</v>
      </c>
      <c r="O183" s="3" t="s">
        <v>1972</v>
      </c>
      <c r="P183" s="11">
        <v>1650000</v>
      </c>
      <c r="Q183" s="11">
        <v>35560</v>
      </c>
      <c r="R183" s="11">
        <v>41250</v>
      </c>
      <c r="S183" s="11">
        <v>41250</v>
      </c>
      <c r="T183" s="3" t="s">
        <v>1973</v>
      </c>
      <c r="U183" s="3" t="s">
        <v>1974</v>
      </c>
      <c r="V183" s="3" t="s">
        <v>26</v>
      </c>
    </row>
    <row r="184" spans="1:22" x14ac:dyDescent="0.2">
      <c r="A184" s="12">
        <v>183</v>
      </c>
      <c r="B184" s="3" t="s">
        <v>1975</v>
      </c>
      <c r="C184" s="3"/>
      <c r="D184" s="10">
        <v>45615</v>
      </c>
      <c r="E184" s="10">
        <v>45623</v>
      </c>
      <c r="F184" s="10">
        <v>45987</v>
      </c>
      <c r="G184" s="3" t="s">
        <v>22</v>
      </c>
      <c r="H184" s="3" t="s">
        <v>23</v>
      </c>
      <c r="I184" s="3" t="s">
        <v>1976</v>
      </c>
      <c r="J184" s="3" t="s">
        <v>1470</v>
      </c>
      <c r="K184" s="3" t="s">
        <v>95</v>
      </c>
      <c r="L184" s="3" t="s">
        <v>1977</v>
      </c>
      <c r="M184" s="3" t="s">
        <v>1978</v>
      </c>
      <c r="N184" s="3" t="s">
        <v>1979</v>
      </c>
      <c r="O184" s="3" t="s">
        <v>1980</v>
      </c>
      <c r="P184" s="11">
        <v>1297500</v>
      </c>
      <c r="Q184" s="11">
        <v>27963</v>
      </c>
      <c r="R184" s="11">
        <v>32438</v>
      </c>
      <c r="S184" s="11">
        <v>32438</v>
      </c>
      <c r="T184" s="3" t="s">
        <v>1981</v>
      </c>
      <c r="U184" s="3" t="s">
        <v>1982</v>
      </c>
      <c r="V184" s="3" t="s">
        <v>26</v>
      </c>
    </row>
    <row r="185" spans="1:22" x14ac:dyDescent="0.2">
      <c r="A185" s="12">
        <v>184</v>
      </c>
      <c r="B185" s="3" t="s">
        <v>1983</v>
      </c>
      <c r="C185" s="3"/>
      <c r="D185" s="10">
        <v>45615</v>
      </c>
      <c r="E185" s="10">
        <v>45623</v>
      </c>
      <c r="F185" s="10">
        <v>45987</v>
      </c>
      <c r="G185" s="3" t="s">
        <v>22</v>
      </c>
      <c r="H185" s="3" t="s">
        <v>23</v>
      </c>
      <c r="I185" s="3" t="s">
        <v>1984</v>
      </c>
      <c r="J185" s="3" t="s">
        <v>1479</v>
      </c>
      <c r="K185" s="3" t="s">
        <v>95</v>
      </c>
      <c r="L185" s="3" t="s">
        <v>1985</v>
      </c>
      <c r="M185" s="3" t="s">
        <v>1986</v>
      </c>
      <c r="N185" s="3" t="s">
        <v>1987</v>
      </c>
      <c r="O185" s="3" t="s">
        <v>1988</v>
      </c>
      <c r="P185" s="11">
        <v>3095250</v>
      </c>
      <c r="Q185" s="11">
        <v>40025</v>
      </c>
      <c r="R185" s="11">
        <v>46429</v>
      </c>
      <c r="S185" s="11">
        <v>46429</v>
      </c>
      <c r="T185" s="3" t="s">
        <v>1989</v>
      </c>
      <c r="U185" s="3" t="s">
        <v>1990</v>
      </c>
      <c r="V185" s="3" t="s">
        <v>26</v>
      </c>
    </row>
    <row r="186" spans="1:22" x14ac:dyDescent="0.2">
      <c r="A186" s="12">
        <v>185</v>
      </c>
      <c r="B186" s="3" t="s">
        <v>1991</v>
      </c>
      <c r="C186" s="3"/>
      <c r="D186" s="10">
        <v>45615</v>
      </c>
      <c r="E186" s="10">
        <v>45626</v>
      </c>
      <c r="F186" s="10">
        <v>45990</v>
      </c>
      <c r="G186" s="3" t="s">
        <v>22</v>
      </c>
      <c r="H186" s="3" t="s">
        <v>23</v>
      </c>
      <c r="I186" s="3" t="s">
        <v>1992</v>
      </c>
      <c r="J186" s="3" t="s">
        <v>71</v>
      </c>
      <c r="K186" s="3" t="s">
        <v>95</v>
      </c>
      <c r="L186" s="3"/>
      <c r="M186" s="3" t="s">
        <v>1993</v>
      </c>
      <c r="N186" s="3" t="s">
        <v>1994</v>
      </c>
      <c r="O186" s="3" t="s">
        <v>1995</v>
      </c>
      <c r="P186" s="11">
        <v>1224750</v>
      </c>
      <c r="Q186" s="11">
        <v>26396</v>
      </c>
      <c r="R186" s="11">
        <v>30619</v>
      </c>
      <c r="S186" s="11">
        <v>30619</v>
      </c>
      <c r="T186" s="3" t="s">
        <v>1996</v>
      </c>
      <c r="U186" s="3" t="s">
        <v>1997</v>
      </c>
      <c r="V186" s="3" t="s">
        <v>26</v>
      </c>
    </row>
    <row r="187" spans="1:22" x14ac:dyDescent="0.2">
      <c r="A187" s="12">
        <v>186</v>
      </c>
      <c r="B187" s="3" t="s">
        <v>1998</v>
      </c>
      <c r="C187" s="3"/>
      <c r="D187" s="10">
        <v>45615</v>
      </c>
      <c r="E187" s="10">
        <v>45626</v>
      </c>
      <c r="F187" s="10">
        <v>45990</v>
      </c>
      <c r="G187" s="3" t="s">
        <v>22</v>
      </c>
      <c r="H187" s="3" t="s">
        <v>23</v>
      </c>
      <c r="I187" s="3" t="s">
        <v>1999</v>
      </c>
      <c r="J187" s="3" t="s">
        <v>239</v>
      </c>
      <c r="K187" s="3" t="s">
        <v>95</v>
      </c>
      <c r="L187" s="3"/>
      <c r="M187" s="3" t="s">
        <v>2000</v>
      </c>
      <c r="N187" s="3" t="s">
        <v>2001</v>
      </c>
      <c r="O187" s="3" t="s">
        <v>2002</v>
      </c>
      <c r="P187" s="11">
        <v>1893750</v>
      </c>
      <c r="Q187" s="11">
        <v>40814</v>
      </c>
      <c r="R187" s="11">
        <v>47344</v>
      </c>
      <c r="S187" s="11">
        <v>47344</v>
      </c>
      <c r="T187" s="3" t="s">
        <v>2003</v>
      </c>
      <c r="U187" s="3" t="s">
        <v>2004</v>
      </c>
      <c r="V187" s="3" t="s">
        <v>26</v>
      </c>
    </row>
    <row r="188" spans="1:22" x14ac:dyDescent="0.2">
      <c r="A188" s="12">
        <v>187</v>
      </c>
      <c r="B188" s="3" t="s">
        <v>2005</v>
      </c>
      <c r="C188" s="3"/>
      <c r="D188" s="10">
        <v>45615</v>
      </c>
      <c r="E188" s="10">
        <v>45626</v>
      </c>
      <c r="F188" s="10">
        <v>45990</v>
      </c>
      <c r="G188" s="3" t="s">
        <v>22</v>
      </c>
      <c r="H188" s="3" t="s">
        <v>23</v>
      </c>
      <c r="I188" s="3" t="s">
        <v>2006</v>
      </c>
      <c r="J188" s="3" t="s">
        <v>292</v>
      </c>
      <c r="K188" s="3" t="s">
        <v>95</v>
      </c>
      <c r="L188" s="3"/>
      <c r="M188" s="3" t="s">
        <v>2007</v>
      </c>
      <c r="N188" s="3" t="s">
        <v>2008</v>
      </c>
      <c r="O188" s="3" t="s">
        <v>2009</v>
      </c>
      <c r="P188" s="11">
        <v>1074750</v>
      </c>
      <c r="Q188" s="11">
        <v>23163</v>
      </c>
      <c r="R188" s="11">
        <v>26869</v>
      </c>
      <c r="S188" s="11">
        <v>26869</v>
      </c>
      <c r="T188" s="3" t="s">
        <v>2010</v>
      </c>
      <c r="U188" s="3" t="s">
        <v>2011</v>
      </c>
      <c r="V188" s="3" t="s">
        <v>26</v>
      </c>
    </row>
    <row r="189" spans="1:22" x14ac:dyDescent="0.2">
      <c r="A189" s="12">
        <v>188</v>
      </c>
      <c r="B189" s="3" t="s">
        <v>2012</v>
      </c>
      <c r="C189" s="3"/>
      <c r="D189" s="10">
        <v>45615</v>
      </c>
      <c r="E189" s="10">
        <v>45626</v>
      </c>
      <c r="F189" s="10">
        <v>45990</v>
      </c>
      <c r="G189" s="3" t="s">
        <v>22</v>
      </c>
      <c r="H189" s="3" t="s">
        <v>23</v>
      </c>
      <c r="I189" s="3" t="s">
        <v>2013</v>
      </c>
      <c r="J189" s="3" t="s">
        <v>2014</v>
      </c>
      <c r="K189" s="3" t="s">
        <v>95</v>
      </c>
      <c r="L189" s="3" t="s">
        <v>2015</v>
      </c>
      <c r="M189" s="3" t="s">
        <v>2016</v>
      </c>
      <c r="N189" s="3" t="s">
        <v>2017</v>
      </c>
      <c r="O189" s="3" t="s">
        <v>2018</v>
      </c>
      <c r="P189" s="11">
        <v>4072500</v>
      </c>
      <c r="Q189" s="11">
        <v>52662</v>
      </c>
      <c r="R189" s="11">
        <v>61088</v>
      </c>
      <c r="S189" s="11">
        <v>61088</v>
      </c>
      <c r="T189" s="3" t="s">
        <v>2019</v>
      </c>
      <c r="U189" s="3" t="s">
        <v>2020</v>
      </c>
      <c r="V189" s="3" t="s">
        <v>26</v>
      </c>
    </row>
    <row r="190" spans="1:22" x14ac:dyDescent="0.2">
      <c r="A190" s="12">
        <v>189</v>
      </c>
      <c r="B190" s="3" t="s">
        <v>2021</v>
      </c>
      <c r="C190" s="3"/>
      <c r="D190" s="10">
        <v>45615</v>
      </c>
      <c r="E190" s="10">
        <v>45626</v>
      </c>
      <c r="F190" s="10">
        <v>45990</v>
      </c>
      <c r="G190" s="3" t="s">
        <v>22</v>
      </c>
      <c r="H190" s="3" t="s">
        <v>23</v>
      </c>
      <c r="I190" s="3" t="s">
        <v>2022</v>
      </c>
      <c r="J190" s="3" t="s">
        <v>2023</v>
      </c>
      <c r="K190" s="3" t="s">
        <v>95</v>
      </c>
      <c r="L190" s="3" t="s">
        <v>2024</v>
      </c>
      <c r="M190" s="3" t="s">
        <v>2025</v>
      </c>
      <c r="N190" s="3" t="s">
        <v>2026</v>
      </c>
      <c r="O190" s="3" t="s">
        <v>2027</v>
      </c>
      <c r="P190" s="11">
        <v>1076250</v>
      </c>
      <c r="Q190" s="11">
        <v>23195</v>
      </c>
      <c r="R190" s="11">
        <v>26906</v>
      </c>
      <c r="S190" s="11">
        <v>26906</v>
      </c>
      <c r="T190" s="3" t="s">
        <v>2028</v>
      </c>
      <c r="U190" s="3" t="s">
        <v>2029</v>
      </c>
      <c r="V190" s="3" t="s">
        <v>26</v>
      </c>
    </row>
    <row r="191" spans="1:22" x14ac:dyDescent="0.2">
      <c r="A191" s="12">
        <v>190</v>
      </c>
      <c r="B191" s="3" t="s">
        <v>2030</v>
      </c>
      <c r="C191" s="3"/>
      <c r="D191" s="10">
        <v>45615</v>
      </c>
      <c r="E191" s="10">
        <v>45626</v>
      </c>
      <c r="F191" s="10">
        <v>45990</v>
      </c>
      <c r="G191" s="3" t="s">
        <v>22</v>
      </c>
      <c r="H191" s="3" t="s">
        <v>23</v>
      </c>
      <c r="I191" s="3" t="s">
        <v>2031</v>
      </c>
      <c r="J191" s="3" t="s">
        <v>1470</v>
      </c>
      <c r="K191" s="3" t="s">
        <v>527</v>
      </c>
      <c r="L191" s="3" t="s">
        <v>2032</v>
      </c>
      <c r="M191" s="3" t="s">
        <v>2033</v>
      </c>
      <c r="N191" s="3" t="s">
        <v>2034</v>
      </c>
      <c r="O191" s="3" t="s">
        <v>2035</v>
      </c>
      <c r="P191" s="11">
        <v>881250</v>
      </c>
      <c r="Q191" s="11">
        <v>18992</v>
      </c>
      <c r="R191" s="11">
        <v>22031</v>
      </c>
      <c r="S191" s="11">
        <v>22031</v>
      </c>
      <c r="T191" s="3" t="s">
        <v>2036</v>
      </c>
      <c r="U191" s="3" t="s">
        <v>2037</v>
      </c>
      <c r="V191" s="3" t="s">
        <v>26</v>
      </c>
    </row>
    <row r="192" spans="1:22" x14ac:dyDescent="0.2">
      <c r="A192" s="12">
        <v>191</v>
      </c>
      <c r="B192" s="3" t="s">
        <v>2038</v>
      </c>
      <c r="C192" s="3"/>
      <c r="D192" s="10">
        <v>45615</v>
      </c>
      <c r="E192" s="10">
        <v>45626</v>
      </c>
      <c r="F192" s="10">
        <v>45990</v>
      </c>
      <c r="G192" s="3" t="s">
        <v>22</v>
      </c>
      <c r="H192" s="3" t="s">
        <v>23</v>
      </c>
      <c r="I192" s="3" t="s">
        <v>2039</v>
      </c>
      <c r="J192" s="3" t="s">
        <v>442</v>
      </c>
      <c r="K192" s="3" t="s">
        <v>95</v>
      </c>
      <c r="L192" s="3" t="s">
        <v>2040</v>
      </c>
      <c r="M192" s="3" t="s">
        <v>2041</v>
      </c>
      <c r="N192" s="3" t="s">
        <v>2042</v>
      </c>
      <c r="O192" s="3" t="s">
        <v>2043</v>
      </c>
      <c r="P192" s="11">
        <v>2072250</v>
      </c>
      <c r="Q192" s="11">
        <v>44660</v>
      </c>
      <c r="R192" s="11">
        <v>51806</v>
      </c>
      <c r="S192" s="11">
        <v>51806</v>
      </c>
      <c r="T192" s="3" t="s">
        <v>2044</v>
      </c>
      <c r="U192" s="3" t="s">
        <v>2045</v>
      </c>
      <c r="V192" s="3" t="s">
        <v>26</v>
      </c>
    </row>
    <row r="193" spans="1:22" x14ac:dyDescent="0.2">
      <c r="A193" s="12">
        <v>192</v>
      </c>
      <c r="B193" s="3" t="s">
        <v>2046</v>
      </c>
      <c r="C193" s="3"/>
      <c r="D193" s="10">
        <v>45615</v>
      </c>
      <c r="E193" s="10">
        <v>45601</v>
      </c>
      <c r="F193" s="10">
        <v>45965</v>
      </c>
      <c r="G193" s="3" t="s">
        <v>22</v>
      </c>
      <c r="H193" s="3" t="s">
        <v>23</v>
      </c>
      <c r="I193" s="3" t="s">
        <v>2047</v>
      </c>
      <c r="J193" s="3" t="s">
        <v>292</v>
      </c>
      <c r="K193" s="3" t="s">
        <v>146</v>
      </c>
      <c r="L193" s="3"/>
      <c r="M193" s="3" t="s">
        <v>2048</v>
      </c>
      <c r="N193" s="3" t="s">
        <v>2049</v>
      </c>
      <c r="O193" s="3" t="s">
        <v>2050</v>
      </c>
      <c r="P193" s="11">
        <v>915600</v>
      </c>
      <c r="Q193" s="11">
        <v>29599</v>
      </c>
      <c r="R193" s="11">
        <v>34335</v>
      </c>
      <c r="S193" s="11">
        <v>34335</v>
      </c>
      <c r="T193" s="3" t="s">
        <v>2051</v>
      </c>
      <c r="U193" s="3" t="s">
        <v>2052</v>
      </c>
      <c r="V193" s="3" t="s">
        <v>26</v>
      </c>
    </row>
    <row r="194" spans="1:22" x14ac:dyDescent="0.2">
      <c r="A194" s="12">
        <v>193</v>
      </c>
      <c r="B194" s="3" t="s">
        <v>2053</v>
      </c>
      <c r="C194" s="3"/>
      <c r="D194" s="10">
        <v>45615</v>
      </c>
      <c r="E194" s="10">
        <v>45627</v>
      </c>
      <c r="F194" s="10">
        <v>45991</v>
      </c>
      <c r="G194" s="3" t="s">
        <v>22</v>
      </c>
      <c r="H194" s="3" t="s">
        <v>23</v>
      </c>
      <c r="I194" s="3" t="s">
        <v>2054</v>
      </c>
      <c r="J194" s="3" t="s">
        <v>682</v>
      </c>
      <c r="K194" s="3" t="s">
        <v>95</v>
      </c>
      <c r="L194" s="3" t="s">
        <v>2055</v>
      </c>
      <c r="M194" s="3" t="s">
        <v>2056</v>
      </c>
      <c r="N194" s="3" t="s">
        <v>2057</v>
      </c>
      <c r="O194" s="3" t="s">
        <v>2058</v>
      </c>
      <c r="P194" s="11">
        <v>1983750</v>
      </c>
      <c r="Q194" s="11">
        <v>42753</v>
      </c>
      <c r="R194" s="11">
        <v>49594</v>
      </c>
      <c r="S194" s="11">
        <v>49594</v>
      </c>
      <c r="T194" s="3" t="s">
        <v>2059</v>
      </c>
      <c r="U194" s="3" t="s">
        <v>2060</v>
      </c>
      <c r="V194" s="3" t="s">
        <v>26</v>
      </c>
    </row>
    <row r="195" spans="1:22" x14ac:dyDescent="0.2">
      <c r="A195" s="12">
        <v>194</v>
      </c>
      <c r="B195" s="3" t="s">
        <v>2061</v>
      </c>
      <c r="C195" s="3"/>
      <c r="D195" s="10">
        <v>45615</v>
      </c>
      <c r="E195" s="10">
        <v>45627</v>
      </c>
      <c r="F195" s="10">
        <v>45991</v>
      </c>
      <c r="G195" s="3" t="s">
        <v>22</v>
      </c>
      <c r="H195" s="3" t="s">
        <v>23</v>
      </c>
      <c r="I195" s="3" t="s">
        <v>2062</v>
      </c>
      <c r="J195" s="3" t="s">
        <v>1479</v>
      </c>
      <c r="K195" s="3" t="s">
        <v>95</v>
      </c>
      <c r="L195" s="3" t="s">
        <v>2063</v>
      </c>
      <c r="M195" s="3" t="s">
        <v>2064</v>
      </c>
      <c r="N195" s="3" t="s">
        <v>2065</v>
      </c>
      <c r="O195" s="3" t="s">
        <v>2066</v>
      </c>
      <c r="P195" s="11">
        <v>3100875</v>
      </c>
      <c r="Q195" s="11">
        <v>40097</v>
      </c>
      <c r="R195" s="11">
        <v>46513</v>
      </c>
      <c r="S195" s="11">
        <v>46513</v>
      </c>
      <c r="T195" s="3" t="s">
        <v>2067</v>
      </c>
      <c r="U195" s="3" t="s">
        <v>2068</v>
      </c>
      <c r="V195" s="3" t="s">
        <v>26</v>
      </c>
    </row>
    <row r="196" spans="1:22" x14ac:dyDescent="0.2">
      <c r="A196" s="12">
        <v>195</v>
      </c>
      <c r="B196" s="3" t="s">
        <v>2069</v>
      </c>
      <c r="C196" s="3"/>
      <c r="D196" s="10">
        <v>45615</v>
      </c>
      <c r="E196" s="10">
        <v>45627</v>
      </c>
      <c r="F196" s="10">
        <v>45991</v>
      </c>
      <c r="G196" s="3" t="s">
        <v>22</v>
      </c>
      <c r="H196" s="3" t="s">
        <v>23</v>
      </c>
      <c r="I196" s="3" t="s">
        <v>2070</v>
      </c>
      <c r="J196" s="3" t="s">
        <v>1479</v>
      </c>
      <c r="K196" s="3" t="s">
        <v>25</v>
      </c>
      <c r="L196" s="3" t="s">
        <v>2071</v>
      </c>
      <c r="M196" s="3" t="s">
        <v>2072</v>
      </c>
      <c r="N196" s="3" t="s">
        <v>2073</v>
      </c>
      <c r="O196" s="3" t="s">
        <v>2074</v>
      </c>
      <c r="P196" s="11">
        <v>2560000</v>
      </c>
      <c r="Q196" s="11">
        <v>38621</v>
      </c>
      <c r="R196" s="11">
        <v>44800</v>
      </c>
      <c r="S196" s="11">
        <v>44800</v>
      </c>
      <c r="T196" s="3" t="s">
        <v>2075</v>
      </c>
      <c r="U196" s="3" t="s">
        <v>2076</v>
      </c>
      <c r="V196" s="3" t="s">
        <v>26</v>
      </c>
    </row>
    <row r="197" spans="1:22" x14ac:dyDescent="0.2">
      <c r="A197" s="12">
        <v>196</v>
      </c>
      <c r="B197" s="3" t="s">
        <v>2077</v>
      </c>
      <c r="C197" s="3"/>
      <c r="D197" s="10">
        <v>45615</v>
      </c>
      <c r="E197" s="10">
        <v>45627</v>
      </c>
      <c r="F197" s="10">
        <v>45991</v>
      </c>
      <c r="G197" s="3" t="s">
        <v>22</v>
      </c>
      <c r="H197" s="3" t="s">
        <v>23</v>
      </c>
      <c r="I197" s="3" t="s">
        <v>2078</v>
      </c>
      <c r="J197" s="3" t="s">
        <v>1470</v>
      </c>
      <c r="K197" s="3" t="s">
        <v>79</v>
      </c>
      <c r="L197" s="3"/>
      <c r="M197" s="3" t="s">
        <v>2079</v>
      </c>
      <c r="N197" s="3" t="s">
        <v>2080</v>
      </c>
      <c r="O197" s="3" t="s">
        <v>2081</v>
      </c>
      <c r="P197" s="11">
        <v>1288000</v>
      </c>
      <c r="Q197" s="11">
        <v>27758</v>
      </c>
      <c r="R197" s="11">
        <v>32200</v>
      </c>
      <c r="S197" s="11">
        <v>32200</v>
      </c>
      <c r="T197" s="3" t="s">
        <v>2082</v>
      </c>
      <c r="U197" s="3" t="s">
        <v>2083</v>
      </c>
      <c r="V197" s="3" t="s">
        <v>26</v>
      </c>
    </row>
    <row r="198" spans="1:22" x14ac:dyDescent="0.2">
      <c r="A198" s="12">
        <v>197</v>
      </c>
      <c r="B198" s="3" t="s">
        <v>2084</v>
      </c>
      <c r="C198" s="3"/>
      <c r="D198" s="10">
        <v>45615</v>
      </c>
      <c r="E198" s="10">
        <v>45616</v>
      </c>
      <c r="F198" s="10">
        <v>45980</v>
      </c>
      <c r="G198" s="3" t="s">
        <v>22</v>
      </c>
      <c r="H198" s="3" t="s">
        <v>23</v>
      </c>
      <c r="I198" s="3" t="s">
        <v>2085</v>
      </c>
      <c r="J198" s="3" t="s">
        <v>1470</v>
      </c>
      <c r="K198" s="3" t="s">
        <v>25</v>
      </c>
      <c r="L198" s="3" t="s">
        <v>2086</v>
      </c>
      <c r="M198" s="3" t="s">
        <v>2087</v>
      </c>
      <c r="N198" s="3" t="s">
        <v>2088</v>
      </c>
      <c r="O198" s="3" t="s">
        <v>2089</v>
      </c>
      <c r="P198" s="11">
        <v>1012500</v>
      </c>
      <c r="Q198" s="11">
        <v>21822</v>
      </c>
      <c r="R198" s="11">
        <v>25313</v>
      </c>
      <c r="S198" s="11">
        <v>25313</v>
      </c>
      <c r="T198" s="3" t="s">
        <v>2090</v>
      </c>
      <c r="U198" s="3" t="s">
        <v>2091</v>
      </c>
      <c r="V198" s="3" t="s">
        <v>26</v>
      </c>
    </row>
    <row r="199" spans="1:22" x14ac:dyDescent="0.2">
      <c r="A199" s="12">
        <v>198</v>
      </c>
      <c r="B199" s="3" t="s">
        <v>2092</v>
      </c>
      <c r="C199" s="3"/>
      <c r="D199" s="10">
        <v>45615</v>
      </c>
      <c r="E199" s="10">
        <v>45627</v>
      </c>
      <c r="F199" s="10">
        <v>45991</v>
      </c>
      <c r="G199" s="3" t="s">
        <v>22</v>
      </c>
      <c r="H199" s="3" t="s">
        <v>23</v>
      </c>
      <c r="I199" s="3" t="s">
        <v>2093</v>
      </c>
      <c r="J199" s="3" t="s">
        <v>29</v>
      </c>
      <c r="K199" s="3" t="s">
        <v>30</v>
      </c>
      <c r="L199" s="3" t="s">
        <v>2094</v>
      </c>
      <c r="M199" s="3" t="s">
        <v>2095</v>
      </c>
      <c r="N199" s="3" t="s">
        <v>2096</v>
      </c>
      <c r="O199" s="3" t="s">
        <v>2097</v>
      </c>
      <c r="P199" s="11">
        <v>1211250</v>
      </c>
      <c r="Q199" s="11">
        <v>26104</v>
      </c>
      <c r="R199" s="11">
        <v>30281</v>
      </c>
      <c r="S199" s="11">
        <v>30281</v>
      </c>
      <c r="T199" s="3" t="s">
        <v>2098</v>
      </c>
      <c r="U199" s="3" t="s">
        <v>2099</v>
      </c>
      <c r="V199" s="3" t="s">
        <v>26</v>
      </c>
    </row>
    <row r="200" spans="1:22" x14ac:dyDescent="0.2">
      <c r="A200" s="12">
        <v>199</v>
      </c>
      <c r="B200" s="3" t="s">
        <v>2100</v>
      </c>
      <c r="C200" s="3"/>
      <c r="D200" s="10">
        <v>45615</v>
      </c>
      <c r="E200" s="10">
        <v>45626</v>
      </c>
      <c r="F200" s="10">
        <v>45990</v>
      </c>
      <c r="G200" s="3" t="s">
        <v>22</v>
      </c>
      <c r="H200" s="3" t="s">
        <v>23</v>
      </c>
      <c r="I200" s="3" t="s">
        <v>941</v>
      </c>
      <c r="J200" s="3" t="s">
        <v>62</v>
      </c>
      <c r="K200" s="3" t="s">
        <v>79</v>
      </c>
      <c r="L200" s="3"/>
      <c r="M200" s="3" t="s">
        <v>2101</v>
      </c>
      <c r="N200" s="3" t="s">
        <v>2102</v>
      </c>
      <c r="O200" s="3" t="s">
        <v>2103</v>
      </c>
      <c r="P200" s="11">
        <v>2244000</v>
      </c>
      <c r="Q200" s="11">
        <v>33853</v>
      </c>
      <c r="R200" s="11">
        <v>39270</v>
      </c>
      <c r="S200" s="11">
        <v>39270</v>
      </c>
      <c r="T200" s="3" t="s">
        <v>2104</v>
      </c>
      <c r="U200" s="3" t="s">
        <v>2105</v>
      </c>
      <c r="V200" s="3" t="s">
        <v>26</v>
      </c>
    </row>
    <row r="201" spans="1:22" x14ac:dyDescent="0.2">
      <c r="A201" s="12">
        <v>200</v>
      </c>
      <c r="B201" s="3" t="s">
        <v>2106</v>
      </c>
      <c r="C201" s="3"/>
      <c r="D201" s="10">
        <v>45615</v>
      </c>
      <c r="E201" s="10">
        <v>45622</v>
      </c>
      <c r="F201" s="10">
        <v>45986</v>
      </c>
      <c r="G201" s="3" t="s">
        <v>22</v>
      </c>
      <c r="H201" s="3" t="s">
        <v>23</v>
      </c>
      <c r="I201" s="3" t="s">
        <v>2107</v>
      </c>
      <c r="J201" s="3" t="s">
        <v>94</v>
      </c>
      <c r="K201" s="3" t="s">
        <v>146</v>
      </c>
      <c r="L201" s="3" t="s">
        <v>2108</v>
      </c>
      <c r="M201" s="3" t="s">
        <v>2109</v>
      </c>
      <c r="N201" s="3" t="s">
        <v>2110</v>
      </c>
      <c r="O201" s="3" t="s">
        <v>2111</v>
      </c>
      <c r="P201" s="11">
        <v>2228100</v>
      </c>
      <c r="Q201" s="11">
        <v>72030</v>
      </c>
      <c r="R201" s="11">
        <v>83554</v>
      </c>
      <c r="S201" s="11">
        <v>83554</v>
      </c>
      <c r="T201" s="3" t="s">
        <v>2112</v>
      </c>
      <c r="U201" s="3" t="s">
        <v>2113</v>
      </c>
      <c r="V201" s="3" t="s">
        <v>26</v>
      </c>
    </row>
    <row r="202" spans="1:22" x14ac:dyDescent="0.2">
      <c r="A202" s="12">
        <v>201</v>
      </c>
      <c r="B202" s="3" t="s">
        <v>2114</v>
      </c>
      <c r="C202" s="3"/>
      <c r="D202" s="10">
        <v>45615</v>
      </c>
      <c r="E202" s="10">
        <v>45625</v>
      </c>
      <c r="F202" s="10">
        <v>45989</v>
      </c>
      <c r="G202" s="3" t="s">
        <v>22</v>
      </c>
      <c r="H202" s="3" t="s">
        <v>23</v>
      </c>
      <c r="I202" s="3" t="s">
        <v>2115</v>
      </c>
      <c r="J202" s="3" t="s">
        <v>71</v>
      </c>
      <c r="K202" s="3" t="s">
        <v>146</v>
      </c>
      <c r="L202" s="3" t="s">
        <v>2116</v>
      </c>
      <c r="M202" s="3" t="s">
        <v>2117</v>
      </c>
      <c r="N202" s="3" t="s">
        <v>2118</v>
      </c>
      <c r="O202" s="3" t="s">
        <v>2119</v>
      </c>
      <c r="P202" s="11">
        <v>1062600</v>
      </c>
      <c r="Q202" s="11">
        <v>29771</v>
      </c>
      <c r="R202" s="11">
        <v>34535</v>
      </c>
      <c r="S202" s="11">
        <v>34535</v>
      </c>
      <c r="T202" s="3" t="s">
        <v>2120</v>
      </c>
      <c r="U202" s="3" t="s">
        <v>2121</v>
      </c>
      <c r="V202" s="3" t="s">
        <v>26</v>
      </c>
    </row>
    <row r="203" spans="1:22" x14ac:dyDescent="0.2">
      <c r="A203" s="12">
        <v>202</v>
      </c>
      <c r="B203" s="3" t="s">
        <v>2122</v>
      </c>
      <c r="C203" s="3"/>
      <c r="D203" s="10">
        <v>45615</v>
      </c>
      <c r="E203" s="10">
        <v>45616</v>
      </c>
      <c r="F203" s="10">
        <v>45980</v>
      </c>
      <c r="G203" s="3" t="s">
        <v>22</v>
      </c>
      <c r="H203" s="3" t="s">
        <v>23</v>
      </c>
      <c r="I203" s="3" t="s">
        <v>2123</v>
      </c>
      <c r="J203" s="3" t="s">
        <v>2124</v>
      </c>
      <c r="K203" s="3" t="s">
        <v>95</v>
      </c>
      <c r="L203" s="3" t="s">
        <v>2125</v>
      </c>
      <c r="M203" s="3" t="s">
        <v>2126</v>
      </c>
      <c r="N203" s="3" t="s">
        <v>2127</v>
      </c>
      <c r="O203" s="3" t="s">
        <v>2128</v>
      </c>
      <c r="P203" s="11">
        <v>1870500</v>
      </c>
      <c r="Q203" s="11">
        <v>60469</v>
      </c>
      <c r="R203" s="11">
        <v>70144</v>
      </c>
      <c r="S203" s="11">
        <v>70144</v>
      </c>
      <c r="T203" s="3" t="s">
        <v>2129</v>
      </c>
      <c r="U203" s="3" t="s">
        <v>2130</v>
      </c>
      <c r="V203" s="3" t="s">
        <v>26</v>
      </c>
    </row>
    <row r="204" spans="1:22" x14ac:dyDescent="0.2">
      <c r="A204" s="12">
        <v>203</v>
      </c>
      <c r="B204" s="3" t="s">
        <v>2131</v>
      </c>
      <c r="C204" s="3"/>
      <c r="D204" s="10">
        <v>45615</v>
      </c>
      <c r="E204" s="10">
        <v>45619</v>
      </c>
      <c r="F204" s="10">
        <v>45983</v>
      </c>
      <c r="G204" s="3" t="s">
        <v>22</v>
      </c>
      <c r="H204" s="3" t="s">
        <v>23</v>
      </c>
      <c r="I204" s="3" t="s">
        <v>2132</v>
      </c>
      <c r="J204" s="3" t="s">
        <v>46</v>
      </c>
      <c r="K204" s="3" t="s">
        <v>95</v>
      </c>
      <c r="L204" s="3"/>
      <c r="M204" s="3" t="s">
        <v>2133</v>
      </c>
      <c r="N204" s="3" t="s">
        <v>2134</v>
      </c>
      <c r="O204" s="3" t="s">
        <v>2135</v>
      </c>
      <c r="P204" s="11">
        <v>898500</v>
      </c>
      <c r="Q204" s="11">
        <v>19364</v>
      </c>
      <c r="R204" s="11">
        <v>22463</v>
      </c>
      <c r="S204" s="11">
        <v>22463</v>
      </c>
      <c r="T204" s="3" t="s">
        <v>2136</v>
      </c>
      <c r="U204" s="3" t="s">
        <v>2137</v>
      </c>
      <c r="V204" s="3" t="s">
        <v>26</v>
      </c>
    </row>
    <row r="205" spans="1:22" x14ac:dyDescent="0.2">
      <c r="A205" s="12">
        <v>204</v>
      </c>
      <c r="B205" s="3" t="s">
        <v>2138</v>
      </c>
      <c r="C205" s="3"/>
      <c r="D205" s="10">
        <v>45615</v>
      </c>
      <c r="E205" s="10">
        <v>45608</v>
      </c>
      <c r="F205" s="10">
        <v>45972</v>
      </c>
      <c r="G205" s="3" t="s">
        <v>22</v>
      </c>
      <c r="H205" s="3" t="s">
        <v>23</v>
      </c>
      <c r="I205" s="3" t="s">
        <v>2139</v>
      </c>
      <c r="J205" s="3" t="s">
        <v>1297</v>
      </c>
      <c r="K205" s="3" t="s">
        <v>95</v>
      </c>
      <c r="L205" s="3" t="s">
        <v>2140</v>
      </c>
      <c r="M205" s="3" t="s">
        <v>2141</v>
      </c>
      <c r="N205" s="3" t="s">
        <v>2142</v>
      </c>
      <c r="O205" s="3" t="s">
        <v>2143</v>
      </c>
      <c r="P205" s="11">
        <v>2155200</v>
      </c>
      <c r="Q205" s="11">
        <v>46449</v>
      </c>
      <c r="R205" s="11">
        <v>53880</v>
      </c>
      <c r="S205" s="11">
        <v>53880</v>
      </c>
      <c r="T205" s="3" t="s">
        <v>2144</v>
      </c>
      <c r="U205" s="3" t="s">
        <v>2145</v>
      </c>
      <c r="V205" s="3" t="s">
        <v>26</v>
      </c>
    </row>
    <row r="206" spans="1:22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4">
        <v>8646391</v>
      </c>
      <c r="T206" s="3"/>
      <c r="U206" s="3"/>
      <c r="V206" s="3"/>
    </row>
    <row r="207" spans="1:22" ht="12.75" customHeight="1" x14ac:dyDescent="0.2"/>
    <row r="208" spans="1:22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</sheetData>
  <autoFilter ref="A1:V20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3"/>
  <sheetViews>
    <sheetView topLeftCell="L1" workbookViewId="0">
      <selection activeCell="Y1" sqref="Y1"/>
    </sheetView>
  </sheetViews>
  <sheetFormatPr defaultRowHeight="12.75" x14ac:dyDescent="0.2"/>
  <cols>
    <col min="1" max="1" width="6.5703125" customWidth="1"/>
    <col min="2" max="2" width="41.28515625" bestFit="1" customWidth="1"/>
    <col min="3" max="3" width="42.28515625" bestFit="1" customWidth="1"/>
    <col min="4" max="4" width="10.85546875" bestFit="1" customWidth="1"/>
    <col min="5" max="5" width="12" bestFit="1" customWidth="1"/>
    <col min="6" max="6" width="10.85546875" bestFit="1" customWidth="1"/>
    <col min="7" max="7" width="11.28515625" bestFit="1" customWidth="1"/>
    <col min="8" max="8" width="36.28515625" bestFit="1" customWidth="1"/>
    <col min="9" max="9" width="112.5703125" bestFit="1" customWidth="1"/>
    <col min="14" max="14" width="20" bestFit="1" customWidth="1"/>
    <col min="15" max="15" width="20.85546875" bestFit="1" customWidth="1"/>
    <col min="16" max="16" width="12" bestFit="1" customWidth="1"/>
    <col min="19" max="19" width="10.5703125" bestFit="1" customWidth="1"/>
    <col min="20" max="20" width="18.85546875" bestFit="1" customWidth="1"/>
    <col min="21" max="21" width="27" bestFit="1" customWidth="1"/>
    <col min="22" max="22" width="13.28515625" bestFit="1" customWidth="1"/>
  </cols>
  <sheetData>
    <row r="1" spans="1:22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2">
        <v>1</v>
      </c>
      <c r="B2" s="3" t="s">
        <v>27</v>
      </c>
      <c r="C2" s="3"/>
      <c r="D2" s="10">
        <v>45593</v>
      </c>
      <c r="E2" s="10">
        <v>45575</v>
      </c>
      <c r="F2" s="10">
        <v>45939</v>
      </c>
      <c r="G2" s="3" t="s">
        <v>22</v>
      </c>
      <c r="H2" s="3" t="s">
        <v>23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/>
      <c r="P2" s="11">
        <v>1423750</v>
      </c>
      <c r="Q2" s="11">
        <v>30684</v>
      </c>
      <c r="R2" s="11">
        <v>35594</v>
      </c>
      <c r="S2" s="11">
        <v>35594</v>
      </c>
      <c r="T2" s="3" t="s">
        <v>34</v>
      </c>
      <c r="U2" s="3" t="s">
        <v>35</v>
      </c>
      <c r="V2" s="3" t="s">
        <v>26</v>
      </c>
    </row>
    <row r="3" spans="1:22" x14ac:dyDescent="0.2">
      <c r="A3" s="12">
        <v>2</v>
      </c>
      <c r="B3" s="3" t="s">
        <v>36</v>
      </c>
      <c r="C3" s="3"/>
      <c r="D3" s="10">
        <v>45593</v>
      </c>
      <c r="E3" s="10">
        <v>45590</v>
      </c>
      <c r="F3" s="10">
        <v>45954</v>
      </c>
      <c r="G3" s="3" t="s">
        <v>22</v>
      </c>
      <c r="H3" s="3" t="s">
        <v>23</v>
      </c>
      <c r="I3" s="3" t="s">
        <v>37</v>
      </c>
      <c r="J3" s="3" t="s">
        <v>38</v>
      </c>
      <c r="K3" s="3" t="s">
        <v>30</v>
      </c>
      <c r="L3" s="3" t="s">
        <v>39</v>
      </c>
      <c r="M3" s="3" t="s">
        <v>40</v>
      </c>
      <c r="N3" s="3" t="s">
        <v>41</v>
      </c>
      <c r="O3" s="3"/>
      <c r="P3" s="11">
        <v>4845000</v>
      </c>
      <c r="Q3" s="11">
        <v>62650</v>
      </c>
      <c r="R3" s="11">
        <v>72675</v>
      </c>
      <c r="S3" s="11">
        <v>72675</v>
      </c>
      <c r="T3" s="3" t="s">
        <v>42</v>
      </c>
      <c r="U3" s="3" t="s">
        <v>43</v>
      </c>
      <c r="V3" s="3" t="s">
        <v>26</v>
      </c>
    </row>
    <row r="4" spans="1:22" x14ac:dyDescent="0.2">
      <c r="A4" s="12">
        <v>3</v>
      </c>
      <c r="B4" s="3" t="s">
        <v>44</v>
      </c>
      <c r="C4" s="3"/>
      <c r="D4" s="10">
        <v>45593</v>
      </c>
      <c r="E4" s="10">
        <v>45578</v>
      </c>
      <c r="F4" s="10">
        <v>45942</v>
      </c>
      <c r="G4" s="3" t="s">
        <v>22</v>
      </c>
      <c r="H4" s="3" t="s">
        <v>23</v>
      </c>
      <c r="I4" s="3" t="s">
        <v>45</v>
      </c>
      <c r="J4" s="3" t="s">
        <v>46</v>
      </c>
      <c r="K4" s="3" t="s">
        <v>30</v>
      </c>
      <c r="L4" s="3" t="s">
        <v>47</v>
      </c>
      <c r="M4" s="3" t="s">
        <v>48</v>
      </c>
      <c r="N4" s="3" t="s">
        <v>49</v>
      </c>
      <c r="O4" s="3"/>
      <c r="P4" s="11">
        <v>1108400</v>
      </c>
      <c r="Q4" s="11">
        <v>23888</v>
      </c>
      <c r="R4" s="11">
        <v>27710</v>
      </c>
      <c r="S4" s="11">
        <v>27710</v>
      </c>
      <c r="T4" s="3" t="s">
        <v>50</v>
      </c>
      <c r="U4" s="3" t="s">
        <v>51</v>
      </c>
      <c r="V4" s="3" t="s">
        <v>26</v>
      </c>
    </row>
    <row r="5" spans="1:22" x14ac:dyDescent="0.2">
      <c r="A5" s="12">
        <v>4</v>
      </c>
      <c r="B5" s="3" t="s">
        <v>52</v>
      </c>
      <c r="C5" s="3"/>
      <c r="D5" s="10">
        <v>45593</v>
      </c>
      <c r="E5" s="10">
        <v>45579</v>
      </c>
      <c r="F5" s="10">
        <v>45943</v>
      </c>
      <c r="G5" s="3" t="s">
        <v>22</v>
      </c>
      <c r="H5" s="3" t="s">
        <v>23</v>
      </c>
      <c r="I5" s="3" t="s">
        <v>53</v>
      </c>
      <c r="J5" s="3" t="s">
        <v>54</v>
      </c>
      <c r="K5" s="3" t="s">
        <v>30</v>
      </c>
      <c r="L5" s="3" t="s">
        <v>55</v>
      </c>
      <c r="M5" s="3" t="s">
        <v>56</v>
      </c>
      <c r="N5" s="3" t="s">
        <v>57</v>
      </c>
      <c r="O5" s="3"/>
      <c r="P5" s="11">
        <v>1473050</v>
      </c>
      <c r="Q5" s="11">
        <v>31747</v>
      </c>
      <c r="R5" s="11">
        <v>36826</v>
      </c>
      <c r="S5" s="11">
        <v>36826</v>
      </c>
      <c r="T5" s="3" t="s">
        <v>58</v>
      </c>
      <c r="U5" s="3" t="s">
        <v>59</v>
      </c>
      <c r="V5" s="3" t="s">
        <v>26</v>
      </c>
    </row>
    <row r="6" spans="1:22" x14ac:dyDescent="0.2">
      <c r="A6" s="12">
        <v>5</v>
      </c>
      <c r="B6" s="3" t="s">
        <v>60</v>
      </c>
      <c r="C6" s="3"/>
      <c r="D6" s="10">
        <v>45593</v>
      </c>
      <c r="E6" s="10">
        <v>45577</v>
      </c>
      <c r="F6" s="10">
        <v>45941</v>
      </c>
      <c r="G6" s="3" t="s">
        <v>22</v>
      </c>
      <c r="H6" s="3" t="s">
        <v>23</v>
      </c>
      <c r="I6" s="3" t="s">
        <v>61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66</v>
      </c>
      <c r="O6" s="3"/>
      <c r="P6" s="11">
        <v>4462200</v>
      </c>
      <c r="Q6" s="11">
        <v>48084</v>
      </c>
      <c r="R6" s="11">
        <v>55778</v>
      </c>
      <c r="S6" s="11">
        <v>55778</v>
      </c>
      <c r="T6" s="3" t="s">
        <v>67</v>
      </c>
      <c r="U6" s="3" t="s">
        <v>68</v>
      </c>
      <c r="V6" s="3" t="s">
        <v>26</v>
      </c>
    </row>
    <row r="7" spans="1:22" x14ac:dyDescent="0.2">
      <c r="A7" s="12">
        <v>6</v>
      </c>
      <c r="B7" s="3" t="s">
        <v>69</v>
      </c>
      <c r="C7" s="3"/>
      <c r="D7" s="10">
        <v>45593</v>
      </c>
      <c r="E7" s="10">
        <v>45583</v>
      </c>
      <c r="F7" s="10">
        <v>45947</v>
      </c>
      <c r="G7" s="3" t="s">
        <v>22</v>
      </c>
      <c r="H7" s="3" t="s">
        <v>23</v>
      </c>
      <c r="I7" s="3" t="s">
        <v>70</v>
      </c>
      <c r="J7" s="3" t="s">
        <v>71</v>
      </c>
      <c r="K7" s="3" t="s">
        <v>30</v>
      </c>
      <c r="L7" s="3" t="s">
        <v>72</v>
      </c>
      <c r="M7" s="3" t="s">
        <v>73</v>
      </c>
      <c r="N7" s="3" t="s">
        <v>74</v>
      </c>
      <c r="O7" s="3"/>
      <c r="P7" s="11">
        <v>1603100</v>
      </c>
      <c r="Q7" s="11">
        <v>34549</v>
      </c>
      <c r="R7" s="11">
        <v>40078</v>
      </c>
      <c r="S7" s="11">
        <v>40078</v>
      </c>
      <c r="T7" s="3" t="s">
        <v>75</v>
      </c>
      <c r="U7" s="3" t="s">
        <v>76</v>
      </c>
      <c r="V7" s="3" t="s">
        <v>26</v>
      </c>
    </row>
    <row r="8" spans="1:22" x14ac:dyDescent="0.2">
      <c r="A8" s="12">
        <v>7</v>
      </c>
      <c r="B8" s="3" t="s">
        <v>77</v>
      </c>
      <c r="C8" s="3"/>
      <c r="D8" s="10">
        <v>45593</v>
      </c>
      <c r="E8" s="10">
        <v>45577</v>
      </c>
      <c r="F8" s="10">
        <v>45941</v>
      </c>
      <c r="G8" s="3" t="s">
        <v>22</v>
      </c>
      <c r="H8" s="3" t="s">
        <v>23</v>
      </c>
      <c r="I8" s="3" t="s">
        <v>78</v>
      </c>
      <c r="J8" s="3" t="s">
        <v>29</v>
      </c>
      <c r="K8" s="3" t="s">
        <v>79</v>
      </c>
      <c r="L8" s="3" t="s">
        <v>80</v>
      </c>
      <c r="M8" s="3" t="s">
        <v>81</v>
      </c>
      <c r="N8" s="3" t="s">
        <v>82</v>
      </c>
      <c r="O8" s="3"/>
      <c r="P8" s="11">
        <v>1068000</v>
      </c>
      <c r="Q8" s="11">
        <v>23017</v>
      </c>
      <c r="R8" s="11">
        <v>26700</v>
      </c>
      <c r="S8" s="11">
        <v>26700</v>
      </c>
      <c r="T8" s="3" t="s">
        <v>83</v>
      </c>
      <c r="U8" s="3" t="s">
        <v>84</v>
      </c>
      <c r="V8" s="3" t="s">
        <v>26</v>
      </c>
    </row>
    <row r="9" spans="1:22" x14ac:dyDescent="0.2">
      <c r="A9" s="12">
        <v>8</v>
      </c>
      <c r="B9" s="3" t="s">
        <v>85</v>
      </c>
      <c r="C9" s="3"/>
      <c r="D9" s="10">
        <v>45593</v>
      </c>
      <c r="E9" s="10">
        <v>45587</v>
      </c>
      <c r="F9" s="10">
        <v>45951</v>
      </c>
      <c r="G9" s="3" t="s">
        <v>22</v>
      </c>
      <c r="H9" s="3" t="s">
        <v>23</v>
      </c>
      <c r="I9" s="3" t="s">
        <v>86</v>
      </c>
      <c r="J9" s="3" t="s">
        <v>29</v>
      </c>
      <c r="K9" s="3" t="s">
        <v>79</v>
      </c>
      <c r="L9" s="3" t="s">
        <v>87</v>
      </c>
      <c r="M9" s="3" t="s">
        <v>88</v>
      </c>
      <c r="N9" s="3" t="s">
        <v>89</v>
      </c>
      <c r="O9" s="3"/>
      <c r="P9" s="11">
        <v>1068000</v>
      </c>
      <c r="Q9" s="11">
        <v>23017</v>
      </c>
      <c r="R9" s="11">
        <v>26700</v>
      </c>
      <c r="S9" s="11">
        <v>26700</v>
      </c>
      <c r="T9" s="3" t="s">
        <v>90</v>
      </c>
      <c r="U9" s="3" t="s">
        <v>91</v>
      </c>
      <c r="V9" s="3" t="s">
        <v>26</v>
      </c>
    </row>
    <row r="10" spans="1:22" x14ac:dyDescent="0.2">
      <c r="A10" s="12">
        <v>9</v>
      </c>
      <c r="B10" s="3" t="s">
        <v>92</v>
      </c>
      <c r="C10" s="3"/>
      <c r="D10" s="10">
        <v>45593</v>
      </c>
      <c r="E10" s="10">
        <v>45567</v>
      </c>
      <c r="F10" s="10">
        <v>45931</v>
      </c>
      <c r="G10" s="3" t="s">
        <v>22</v>
      </c>
      <c r="H10" s="3" t="s">
        <v>23</v>
      </c>
      <c r="I10" s="3" t="s">
        <v>93</v>
      </c>
      <c r="J10" s="3" t="s">
        <v>94</v>
      </c>
      <c r="K10" s="3" t="s">
        <v>95</v>
      </c>
      <c r="L10" s="3" t="s">
        <v>96</v>
      </c>
      <c r="M10" s="3" t="s">
        <v>97</v>
      </c>
      <c r="N10" s="3" t="s">
        <v>98</v>
      </c>
      <c r="O10" s="3"/>
      <c r="P10" s="11">
        <v>2507250</v>
      </c>
      <c r="Q10" s="11">
        <v>54036</v>
      </c>
      <c r="R10" s="11">
        <v>62681</v>
      </c>
      <c r="S10" s="11">
        <v>62681</v>
      </c>
      <c r="T10" s="3" t="s">
        <v>99</v>
      </c>
      <c r="U10" s="3" t="s">
        <v>100</v>
      </c>
      <c r="V10" s="3" t="s">
        <v>26</v>
      </c>
    </row>
    <row r="11" spans="1:22" x14ac:dyDescent="0.2">
      <c r="A11" s="12">
        <v>10</v>
      </c>
      <c r="B11" s="3" t="s">
        <v>101</v>
      </c>
      <c r="C11" s="3"/>
      <c r="D11" s="10">
        <v>45593</v>
      </c>
      <c r="E11" s="10">
        <v>45594</v>
      </c>
      <c r="F11" s="10">
        <v>45958</v>
      </c>
      <c r="G11" s="3" t="s">
        <v>22</v>
      </c>
      <c r="H11" s="3" t="s">
        <v>23</v>
      </c>
      <c r="I11" s="3" t="s">
        <v>102</v>
      </c>
      <c r="J11" s="3" t="s">
        <v>29</v>
      </c>
      <c r="K11" s="3" t="s">
        <v>95</v>
      </c>
      <c r="L11" s="3" t="s">
        <v>103</v>
      </c>
      <c r="M11" s="3" t="s">
        <v>104</v>
      </c>
      <c r="N11" s="3" t="s">
        <v>105</v>
      </c>
      <c r="O11" s="3"/>
      <c r="P11" s="11">
        <v>1224750</v>
      </c>
      <c r="Q11" s="11">
        <v>26396</v>
      </c>
      <c r="R11" s="11">
        <v>30619</v>
      </c>
      <c r="S11" s="11">
        <v>30619</v>
      </c>
      <c r="T11" s="3" t="s">
        <v>106</v>
      </c>
      <c r="U11" s="3" t="s">
        <v>107</v>
      </c>
      <c r="V11" s="3" t="s">
        <v>26</v>
      </c>
    </row>
    <row r="12" spans="1:22" x14ac:dyDescent="0.2">
      <c r="A12" s="12">
        <v>11</v>
      </c>
      <c r="B12" s="3" t="s">
        <v>110</v>
      </c>
      <c r="C12" s="3"/>
      <c r="D12" s="10">
        <v>45593</v>
      </c>
      <c r="E12" s="10">
        <v>45589</v>
      </c>
      <c r="F12" s="10">
        <v>45953</v>
      </c>
      <c r="G12" s="3" t="s">
        <v>22</v>
      </c>
      <c r="H12" s="3" t="s">
        <v>23</v>
      </c>
      <c r="I12" s="3" t="s">
        <v>111</v>
      </c>
      <c r="J12" s="3" t="s">
        <v>112</v>
      </c>
      <c r="K12" s="3" t="s">
        <v>95</v>
      </c>
      <c r="L12" s="3" t="s">
        <v>113</v>
      </c>
      <c r="M12" s="3" t="s">
        <v>114</v>
      </c>
      <c r="N12" s="3" t="s">
        <v>115</v>
      </c>
      <c r="O12" s="3"/>
      <c r="P12" s="11">
        <v>1080000</v>
      </c>
      <c r="Q12" s="11">
        <v>18621</v>
      </c>
      <c r="R12" s="11">
        <v>21600</v>
      </c>
      <c r="S12" s="11">
        <v>21600</v>
      </c>
      <c r="T12" s="3" t="s">
        <v>116</v>
      </c>
      <c r="U12" s="3" t="s">
        <v>117</v>
      </c>
      <c r="V12" s="3" t="s">
        <v>26</v>
      </c>
    </row>
    <row r="13" spans="1:22" x14ac:dyDescent="0.2">
      <c r="A13" s="12">
        <v>12</v>
      </c>
      <c r="B13" s="3" t="s">
        <v>118</v>
      </c>
      <c r="C13" s="3"/>
      <c r="D13" s="10">
        <v>45593</v>
      </c>
      <c r="E13" s="10">
        <v>45581</v>
      </c>
      <c r="F13" s="10">
        <v>45945</v>
      </c>
      <c r="G13" s="3" t="s">
        <v>22</v>
      </c>
      <c r="H13" s="3" t="s">
        <v>23</v>
      </c>
      <c r="I13" s="3" t="s">
        <v>119</v>
      </c>
      <c r="J13" s="3" t="s">
        <v>120</v>
      </c>
      <c r="K13" s="3" t="s">
        <v>109</v>
      </c>
      <c r="L13" s="3" t="s">
        <v>121</v>
      </c>
      <c r="M13" s="3" t="s">
        <v>122</v>
      </c>
      <c r="N13" s="3" t="s">
        <v>123</v>
      </c>
      <c r="O13" s="3"/>
      <c r="P13" s="11">
        <v>857500</v>
      </c>
      <c r="Q13" s="11">
        <v>25873</v>
      </c>
      <c r="R13" s="11">
        <v>30013</v>
      </c>
      <c r="S13" s="11">
        <v>30013</v>
      </c>
      <c r="T13" s="3" t="s">
        <v>124</v>
      </c>
      <c r="U13" s="3" t="s">
        <v>125</v>
      </c>
      <c r="V13" s="3" t="s">
        <v>26</v>
      </c>
    </row>
    <row r="14" spans="1:22" x14ac:dyDescent="0.2">
      <c r="A14" s="12">
        <v>13</v>
      </c>
      <c r="B14" s="3" t="s">
        <v>2146</v>
      </c>
      <c r="C14" s="3"/>
      <c r="D14" s="10">
        <v>43242</v>
      </c>
      <c r="E14" s="10">
        <v>43235</v>
      </c>
      <c r="F14" s="10">
        <v>43599</v>
      </c>
      <c r="G14" s="3" t="s">
        <v>22</v>
      </c>
      <c r="H14" s="3" t="s">
        <v>23</v>
      </c>
      <c r="I14" s="3" t="s">
        <v>2147</v>
      </c>
      <c r="J14" s="3" t="s">
        <v>2148</v>
      </c>
      <c r="K14" s="3" t="s">
        <v>527</v>
      </c>
      <c r="L14" s="3"/>
      <c r="M14" s="3" t="s">
        <v>2149</v>
      </c>
      <c r="N14" s="3" t="s">
        <v>2150</v>
      </c>
      <c r="O14" s="3"/>
      <c r="P14" s="11">
        <v>1416400</v>
      </c>
      <c r="Q14" s="11">
        <v>39917</v>
      </c>
      <c r="R14" s="11">
        <v>53115</v>
      </c>
      <c r="S14" s="11">
        <v>53115</v>
      </c>
      <c r="T14" s="3"/>
      <c r="U14" s="3"/>
      <c r="V14" s="3" t="s">
        <v>26</v>
      </c>
    </row>
    <row r="15" spans="1:22" x14ac:dyDescent="0.2">
      <c r="A15" s="12">
        <v>14</v>
      </c>
      <c r="B15" s="3" t="s">
        <v>2151</v>
      </c>
      <c r="C15" s="3"/>
      <c r="D15" s="10">
        <v>43608</v>
      </c>
      <c r="E15" s="10">
        <v>43600</v>
      </c>
      <c r="F15" s="10">
        <v>43965</v>
      </c>
      <c r="G15" s="3" t="s">
        <v>22</v>
      </c>
      <c r="H15" s="3" t="s">
        <v>23</v>
      </c>
      <c r="I15" s="3" t="s">
        <v>2152</v>
      </c>
      <c r="J15" s="3" t="s">
        <v>2148</v>
      </c>
      <c r="K15" s="3" t="s">
        <v>527</v>
      </c>
      <c r="L15" s="3"/>
      <c r="M15" s="3" t="s">
        <v>2149</v>
      </c>
      <c r="N15" s="3" t="s">
        <v>2150</v>
      </c>
      <c r="O15" s="3" t="s">
        <v>2153</v>
      </c>
      <c r="P15" s="11">
        <v>1327875</v>
      </c>
      <c r="Q15" s="11">
        <v>43680</v>
      </c>
      <c r="R15" s="11">
        <v>49795</v>
      </c>
      <c r="S15" s="11">
        <v>49795</v>
      </c>
      <c r="T15" s="3" t="s">
        <v>2154</v>
      </c>
      <c r="U15" s="3" t="s">
        <v>2155</v>
      </c>
      <c r="V15" s="3" t="s">
        <v>26</v>
      </c>
    </row>
    <row r="16" spans="1:22" x14ac:dyDescent="0.2">
      <c r="A16" s="12">
        <v>16</v>
      </c>
      <c r="B16" s="3" t="s">
        <v>2156</v>
      </c>
      <c r="C16" s="3"/>
      <c r="D16" s="10">
        <v>44344</v>
      </c>
      <c r="E16" s="10">
        <v>44315</v>
      </c>
      <c r="F16" s="10">
        <v>44679</v>
      </c>
      <c r="G16" s="3" t="s">
        <v>22</v>
      </c>
      <c r="H16" s="3" t="s">
        <v>23</v>
      </c>
      <c r="I16" s="3" t="s">
        <v>2157</v>
      </c>
      <c r="J16" s="3" t="s">
        <v>94</v>
      </c>
      <c r="K16" s="3" t="s">
        <v>156</v>
      </c>
      <c r="L16" s="3" t="s">
        <v>2158</v>
      </c>
      <c r="M16" s="3" t="s">
        <v>2159</v>
      </c>
      <c r="N16" s="3" t="s">
        <v>2160</v>
      </c>
      <c r="O16" s="3"/>
      <c r="P16" s="11">
        <v>2057600</v>
      </c>
      <c r="Q16" s="11">
        <v>67684</v>
      </c>
      <c r="R16" s="11">
        <v>77160</v>
      </c>
      <c r="S16" s="11">
        <v>77160</v>
      </c>
      <c r="T16" s="3" t="s">
        <v>2161</v>
      </c>
      <c r="U16" s="3" t="s">
        <v>2162</v>
      </c>
      <c r="V16" s="3" t="s">
        <v>26</v>
      </c>
    </row>
    <row r="17" spans="1:22" x14ac:dyDescent="0.2">
      <c r="A17" s="12">
        <v>17</v>
      </c>
      <c r="B17" s="3" t="s">
        <v>2163</v>
      </c>
      <c r="C17" s="3"/>
      <c r="D17" s="10">
        <v>44344</v>
      </c>
      <c r="E17" s="10">
        <v>44195</v>
      </c>
      <c r="F17" s="10">
        <v>44559</v>
      </c>
      <c r="G17" s="3" t="s">
        <v>22</v>
      </c>
      <c r="H17" s="3" t="s">
        <v>23</v>
      </c>
      <c r="I17" s="3" t="s">
        <v>2164</v>
      </c>
      <c r="J17" s="3" t="s">
        <v>239</v>
      </c>
      <c r="K17" s="3" t="s">
        <v>156</v>
      </c>
      <c r="L17" s="3"/>
      <c r="M17" s="3" t="s">
        <v>2165</v>
      </c>
      <c r="N17" s="3" t="s">
        <v>2166</v>
      </c>
      <c r="O17" s="3" t="s">
        <v>2167</v>
      </c>
      <c r="P17" s="11">
        <v>1641060</v>
      </c>
      <c r="Q17" s="11">
        <v>53982</v>
      </c>
      <c r="R17" s="11">
        <v>61540</v>
      </c>
      <c r="S17" s="11">
        <v>61540</v>
      </c>
      <c r="T17" s="3" t="s">
        <v>2168</v>
      </c>
      <c r="U17" s="3" t="s">
        <v>2169</v>
      </c>
      <c r="V17" s="3" t="s">
        <v>26</v>
      </c>
    </row>
    <row r="18" spans="1:22" x14ac:dyDescent="0.2">
      <c r="A18" s="12">
        <v>18</v>
      </c>
      <c r="B18" s="3" t="s">
        <v>2181</v>
      </c>
      <c r="C18" s="3" t="s">
        <v>2182</v>
      </c>
      <c r="D18" s="10">
        <v>44445</v>
      </c>
      <c r="E18" s="10">
        <v>44435</v>
      </c>
      <c r="F18" s="10">
        <v>44799</v>
      </c>
      <c r="G18" s="3" t="s">
        <v>22</v>
      </c>
      <c r="H18" s="3" t="s">
        <v>23</v>
      </c>
      <c r="I18" s="3" t="s">
        <v>2183</v>
      </c>
      <c r="J18" s="3" t="s">
        <v>2184</v>
      </c>
      <c r="K18" s="3" t="s">
        <v>79</v>
      </c>
      <c r="L18" s="3"/>
      <c r="M18" s="3" t="s">
        <v>2185</v>
      </c>
      <c r="N18" s="3" t="s">
        <v>2186</v>
      </c>
      <c r="O18" s="3"/>
      <c r="P18" s="11">
        <v>115000</v>
      </c>
      <c r="Q18" s="11">
        <v>1513</v>
      </c>
      <c r="R18" s="11">
        <v>1725</v>
      </c>
      <c r="S18" s="11">
        <v>1725</v>
      </c>
      <c r="T18" s="3" t="s">
        <v>2187</v>
      </c>
      <c r="U18" s="3" t="s">
        <v>2188</v>
      </c>
      <c r="V18" s="3" t="s">
        <v>135</v>
      </c>
    </row>
    <row r="19" spans="1:22" x14ac:dyDescent="0.2">
      <c r="A19" s="12">
        <v>19</v>
      </c>
      <c r="B19" s="3" t="s">
        <v>2189</v>
      </c>
      <c r="C19" s="3" t="s">
        <v>2190</v>
      </c>
      <c r="D19" s="10">
        <v>44484</v>
      </c>
      <c r="E19" s="10">
        <v>44447</v>
      </c>
      <c r="F19" s="10">
        <v>44811</v>
      </c>
      <c r="G19" s="3" t="s">
        <v>22</v>
      </c>
      <c r="H19" s="3" t="s">
        <v>23</v>
      </c>
      <c r="I19" s="3" t="s">
        <v>2191</v>
      </c>
      <c r="J19" s="3" t="s">
        <v>2192</v>
      </c>
      <c r="K19" s="3" t="s">
        <v>79</v>
      </c>
      <c r="L19" s="3" t="s">
        <v>2193</v>
      </c>
      <c r="M19" s="3" t="s">
        <v>2194</v>
      </c>
      <c r="N19" s="3" t="s">
        <v>2195</v>
      </c>
      <c r="O19" s="3" t="s">
        <v>2196</v>
      </c>
      <c r="P19" s="11">
        <v>100000</v>
      </c>
      <c r="Q19" s="11">
        <v>2193</v>
      </c>
      <c r="R19" s="11">
        <v>2500</v>
      </c>
      <c r="S19" s="11">
        <v>2500</v>
      </c>
      <c r="T19" s="3" t="s">
        <v>2197</v>
      </c>
      <c r="U19" s="3" t="s">
        <v>2198</v>
      </c>
      <c r="V19" s="3" t="s">
        <v>135</v>
      </c>
    </row>
    <row r="20" spans="1:22" x14ac:dyDescent="0.2">
      <c r="A20" s="12">
        <v>20</v>
      </c>
      <c r="B20" s="3" t="s">
        <v>2199</v>
      </c>
      <c r="C20" s="3"/>
      <c r="D20" s="10">
        <v>44602</v>
      </c>
      <c r="E20" s="10">
        <v>44588</v>
      </c>
      <c r="F20" s="10">
        <v>44952</v>
      </c>
      <c r="G20" s="3" t="s">
        <v>22</v>
      </c>
      <c r="H20" s="3" t="s">
        <v>23</v>
      </c>
      <c r="I20" s="3" t="s">
        <v>2200</v>
      </c>
      <c r="J20" s="3" t="s">
        <v>38</v>
      </c>
      <c r="K20" s="3" t="s">
        <v>30</v>
      </c>
      <c r="L20" s="3"/>
      <c r="M20" s="3" t="s">
        <v>2201</v>
      </c>
      <c r="N20" s="3" t="s">
        <v>2202</v>
      </c>
      <c r="O20" s="3" t="s">
        <v>2203</v>
      </c>
      <c r="P20" s="11">
        <v>3607920</v>
      </c>
      <c r="Q20" s="11">
        <v>55385</v>
      </c>
      <c r="R20" s="11">
        <v>63139</v>
      </c>
      <c r="S20" s="11">
        <v>3007</v>
      </c>
      <c r="T20" s="3" t="s">
        <v>2204</v>
      </c>
      <c r="U20" s="3" t="s">
        <v>2205</v>
      </c>
      <c r="V20" s="3" t="s">
        <v>26</v>
      </c>
    </row>
    <row r="21" spans="1:22" x14ac:dyDescent="0.2">
      <c r="A21" s="12">
        <v>21</v>
      </c>
      <c r="B21" s="3" t="s">
        <v>2206</v>
      </c>
      <c r="C21" s="3"/>
      <c r="D21" s="10">
        <v>44665</v>
      </c>
      <c r="E21" s="10">
        <v>44620</v>
      </c>
      <c r="F21" s="10">
        <v>44984</v>
      </c>
      <c r="G21" s="3" t="s">
        <v>22</v>
      </c>
      <c r="H21" s="3" t="s">
        <v>23</v>
      </c>
      <c r="I21" s="3" t="s">
        <v>2207</v>
      </c>
      <c r="J21" s="3" t="s">
        <v>391</v>
      </c>
      <c r="K21" s="3" t="s">
        <v>95</v>
      </c>
      <c r="L21" s="3" t="s">
        <v>2208</v>
      </c>
      <c r="M21" s="3" t="s">
        <v>2209</v>
      </c>
      <c r="N21" s="3" t="s">
        <v>2210</v>
      </c>
      <c r="O21" s="3" t="s">
        <v>2211</v>
      </c>
      <c r="P21" s="11">
        <v>2322400</v>
      </c>
      <c r="Q21" s="11">
        <v>76350</v>
      </c>
      <c r="R21" s="11">
        <v>87090</v>
      </c>
      <c r="S21" s="11">
        <v>87090</v>
      </c>
      <c r="T21" s="3" t="s">
        <v>2212</v>
      </c>
      <c r="U21" s="3" t="s">
        <v>2213</v>
      </c>
      <c r="V21" s="3" t="s">
        <v>26</v>
      </c>
    </row>
    <row r="22" spans="1:22" x14ac:dyDescent="0.2">
      <c r="A22" s="12">
        <v>22</v>
      </c>
      <c r="B22" s="3" t="s">
        <v>2214</v>
      </c>
      <c r="C22" s="3"/>
      <c r="D22" s="10">
        <v>44770</v>
      </c>
      <c r="E22" s="10">
        <v>44770</v>
      </c>
      <c r="F22" s="10">
        <v>45134</v>
      </c>
      <c r="G22" s="3" t="s">
        <v>22</v>
      </c>
      <c r="H22" s="3" t="s">
        <v>23</v>
      </c>
      <c r="I22" s="3" t="s">
        <v>2215</v>
      </c>
      <c r="J22" s="3" t="s">
        <v>451</v>
      </c>
      <c r="K22" s="3" t="s">
        <v>30</v>
      </c>
      <c r="L22" s="3"/>
      <c r="M22" s="3" t="s">
        <v>2216</v>
      </c>
      <c r="N22" s="3" t="s">
        <v>2217</v>
      </c>
      <c r="O22" s="3" t="s">
        <v>2218</v>
      </c>
      <c r="P22" s="11">
        <v>2204000</v>
      </c>
      <c r="Q22" s="11">
        <v>38666</v>
      </c>
      <c r="R22" s="11">
        <v>44080</v>
      </c>
      <c r="S22" s="11">
        <v>100</v>
      </c>
      <c r="T22" s="3" t="s">
        <v>2219</v>
      </c>
      <c r="U22" s="3" t="s">
        <v>2220</v>
      </c>
      <c r="V22" s="3" t="s">
        <v>135</v>
      </c>
    </row>
    <row r="23" spans="1:22" x14ac:dyDescent="0.2">
      <c r="A23" s="12">
        <v>23</v>
      </c>
      <c r="B23" s="3" t="s">
        <v>2221</v>
      </c>
      <c r="C23" s="3" t="s">
        <v>2225</v>
      </c>
      <c r="D23" s="10">
        <v>44887</v>
      </c>
      <c r="E23" s="10">
        <v>44847</v>
      </c>
      <c r="F23" s="10">
        <v>45211</v>
      </c>
      <c r="G23" s="3" t="s">
        <v>22</v>
      </c>
      <c r="H23" s="3" t="s">
        <v>23</v>
      </c>
      <c r="I23" s="3" t="s">
        <v>2222</v>
      </c>
      <c r="J23" s="3" t="s">
        <v>46</v>
      </c>
      <c r="K23" s="3" t="s">
        <v>30</v>
      </c>
      <c r="L23" s="3"/>
      <c r="M23" s="3" t="s">
        <v>48</v>
      </c>
      <c r="N23" s="3" t="s">
        <v>49</v>
      </c>
      <c r="O23" s="3" t="s">
        <v>2223</v>
      </c>
      <c r="P23" s="11">
        <v>2000</v>
      </c>
      <c r="Q23" s="11">
        <v>44</v>
      </c>
      <c r="R23" s="11">
        <v>50</v>
      </c>
      <c r="S23" s="11">
        <v>50</v>
      </c>
      <c r="T23" s="3" t="s">
        <v>2224</v>
      </c>
      <c r="U23" s="3" t="s">
        <v>51</v>
      </c>
      <c r="V23" s="3" t="s">
        <v>135</v>
      </c>
    </row>
    <row r="24" spans="1:22" x14ac:dyDescent="0.2">
      <c r="A24" s="12">
        <v>26</v>
      </c>
      <c r="B24" s="3" t="s">
        <v>2226</v>
      </c>
      <c r="C24" s="3"/>
      <c r="D24" s="10">
        <v>44973</v>
      </c>
      <c r="E24" s="10">
        <v>44985</v>
      </c>
      <c r="F24" s="10">
        <v>45349</v>
      </c>
      <c r="G24" s="3" t="s">
        <v>22</v>
      </c>
      <c r="H24" s="3" t="s">
        <v>23</v>
      </c>
      <c r="I24" s="3" t="s">
        <v>2227</v>
      </c>
      <c r="J24" s="3" t="s">
        <v>368</v>
      </c>
      <c r="K24" s="3" t="s">
        <v>30</v>
      </c>
      <c r="L24" s="3" t="s">
        <v>2228</v>
      </c>
      <c r="M24" s="3" t="s">
        <v>2229</v>
      </c>
      <c r="N24" s="3" t="s">
        <v>2230</v>
      </c>
      <c r="O24" s="3" t="s">
        <v>2231</v>
      </c>
      <c r="P24" s="11">
        <v>1530000</v>
      </c>
      <c r="Q24" s="11">
        <v>33552</v>
      </c>
      <c r="R24" s="11">
        <v>38250</v>
      </c>
      <c r="S24" s="11">
        <v>38250</v>
      </c>
      <c r="T24" s="3" t="s">
        <v>2232</v>
      </c>
      <c r="U24" s="3" t="s">
        <v>2233</v>
      </c>
      <c r="V24" s="3" t="s">
        <v>26</v>
      </c>
    </row>
    <row r="25" spans="1:22" x14ac:dyDescent="0.2">
      <c r="A25" s="12">
        <v>30</v>
      </c>
      <c r="B25" s="3" t="s">
        <v>2235</v>
      </c>
      <c r="C25" s="3" t="s">
        <v>2242</v>
      </c>
      <c r="D25" s="10">
        <v>45226</v>
      </c>
      <c r="E25" s="10">
        <v>45044</v>
      </c>
      <c r="F25" s="10">
        <v>45409</v>
      </c>
      <c r="G25" s="3" t="s">
        <v>22</v>
      </c>
      <c r="H25" s="3" t="s">
        <v>23</v>
      </c>
      <c r="I25" s="3" t="s">
        <v>2236</v>
      </c>
      <c r="J25" s="3" t="s">
        <v>442</v>
      </c>
      <c r="K25" s="3" t="s">
        <v>79</v>
      </c>
      <c r="L25" s="3"/>
      <c r="M25" s="3" t="s">
        <v>2237</v>
      </c>
      <c r="N25" s="3" t="s">
        <v>2238</v>
      </c>
      <c r="O25" s="3" t="s">
        <v>2239</v>
      </c>
      <c r="P25" s="11">
        <v>1479750</v>
      </c>
      <c r="Q25" s="11">
        <v>9922</v>
      </c>
      <c r="R25" s="11">
        <v>11311</v>
      </c>
      <c r="S25" s="11">
        <v>11311</v>
      </c>
      <c r="T25" s="3" t="s">
        <v>2240</v>
      </c>
      <c r="U25" s="3" t="s">
        <v>2241</v>
      </c>
      <c r="V25" s="3" t="s">
        <v>26</v>
      </c>
    </row>
    <row r="26" spans="1:22" x14ac:dyDescent="0.2">
      <c r="A26" s="12">
        <v>32</v>
      </c>
      <c r="B26" s="3" t="s">
        <v>2243</v>
      </c>
      <c r="C26" s="3"/>
      <c r="D26" s="10">
        <v>45042</v>
      </c>
      <c r="E26" s="10">
        <v>45046</v>
      </c>
      <c r="F26" s="10">
        <v>45411</v>
      </c>
      <c r="G26" s="3" t="s">
        <v>22</v>
      </c>
      <c r="H26" s="3" t="s">
        <v>23</v>
      </c>
      <c r="I26" s="3" t="s">
        <v>2244</v>
      </c>
      <c r="J26" s="3" t="s">
        <v>1559</v>
      </c>
      <c r="K26" s="3" t="s">
        <v>146</v>
      </c>
      <c r="L26" s="3" t="s">
        <v>2245</v>
      </c>
      <c r="M26" s="3" t="s">
        <v>2246</v>
      </c>
      <c r="N26" s="3" t="s">
        <v>2247</v>
      </c>
      <c r="O26" s="3" t="s">
        <v>2248</v>
      </c>
      <c r="P26" s="11">
        <v>1008000</v>
      </c>
      <c r="Q26" s="11">
        <v>33157</v>
      </c>
      <c r="R26" s="11">
        <v>37800</v>
      </c>
      <c r="S26" s="11">
        <v>37800</v>
      </c>
      <c r="T26" s="3" t="s">
        <v>2249</v>
      </c>
      <c r="U26" s="3" t="s">
        <v>2250</v>
      </c>
      <c r="V26" s="3" t="s">
        <v>26</v>
      </c>
    </row>
    <row r="27" spans="1:22" x14ac:dyDescent="0.2">
      <c r="A27" s="12">
        <v>33</v>
      </c>
      <c r="B27" s="3" t="s">
        <v>2251</v>
      </c>
      <c r="C27" s="3"/>
      <c r="D27" s="10">
        <v>45083</v>
      </c>
      <c r="E27" s="10">
        <v>45084</v>
      </c>
      <c r="F27" s="10">
        <v>45449</v>
      </c>
      <c r="G27" s="3" t="s">
        <v>22</v>
      </c>
      <c r="H27" s="3" t="s">
        <v>23</v>
      </c>
      <c r="I27" s="3" t="s">
        <v>2252</v>
      </c>
      <c r="J27" s="3" t="s">
        <v>292</v>
      </c>
      <c r="K27" s="3" t="s">
        <v>30</v>
      </c>
      <c r="L27" s="3" t="s">
        <v>2253</v>
      </c>
      <c r="M27" s="3" t="s">
        <v>2254</v>
      </c>
      <c r="N27" s="3" t="s">
        <v>2255</v>
      </c>
      <c r="O27" s="3" t="s">
        <v>2256</v>
      </c>
      <c r="P27" s="11">
        <v>1391400</v>
      </c>
      <c r="Q27" s="11">
        <v>30513</v>
      </c>
      <c r="R27" s="11">
        <v>34785</v>
      </c>
      <c r="S27" s="11">
        <v>34785</v>
      </c>
      <c r="T27" s="3" t="s">
        <v>2257</v>
      </c>
      <c r="U27" s="3" t="s">
        <v>2258</v>
      </c>
      <c r="V27" s="3" t="s">
        <v>26</v>
      </c>
    </row>
    <row r="28" spans="1:22" x14ac:dyDescent="0.2">
      <c r="A28" s="12">
        <v>35</v>
      </c>
      <c r="B28" s="3" t="s">
        <v>2259</v>
      </c>
      <c r="C28" s="3"/>
      <c r="D28" s="10">
        <v>45120</v>
      </c>
      <c r="E28" s="10">
        <v>45113</v>
      </c>
      <c r="F28" s="10">
        <v>45478</v>
      </c>
      <c r="G28" s="3" t="s">
        <v>22</v>
      </c>
      <c r="H28" s="3" t="s">
        <v>23</v>
      </c>
      <c r="I28" s="3" t="s">
        <v>2260</v>
      </c>
      <c r="J28" s="3" t="s">
        <v>2261</v>
      </c>
      <c r="K28" s="3" t="s">
        <v>79</v>
      </c>
      <c r="L28" s="3" t="s">
        <v>2262</v>
      </c>
      <c r="M28" s="3" t="s">
        <v>2263</v>
      </c>
      <c r="N28" s="3" t="s">
        <v>2264</v>
      </c>
      <c r="O28" s="3" t="s">
        <v>2265</v>
      </c>
      <c r="P28" s="11">
        <v>1761200</v>
      </c>
      <c r="Q28" s="11">
        <v>38623</v>
      </c>
      <c r="R28" s="11">
        <v>44030</v>
      </c>
      <c r="S28" s="11">
        <v>44030</v>
      </c>
      <c r="T28" s="3" t="s">
        <v>2266</v>
      </c>
      <c r="U28" s="3" t="s">
        <v>2267</v>
      </c>
      <c r="V28" s="3" t="s">
        <v>26</v>
      </c>
    </row>
    <row r="29" spans="1:22" x14ac:dyDescent="0.2">
      <c r="A29" s="12">
        <v>36</v>
      </c>
      <c r="B29" s="3" t="s">
        <v>2268</v>
      </c>
      <c r="C29" s="3"/>
      <c r="D29" s="10">
        <v>45121</v>
      </c>
      <c r="E29" s="10">
        <v>45122</v>
      </c>
      <c r="F29" s="10">
        <v>45487</v>
      </c>
      <c r="G29" s="3" t="s">
        <v>22</v>
      </c>
      <c r="H29" s="3" t="s">
        <v>23</v>
      </c>
      <c r="I29" s="3" t="s">
        <v>2269</v>
      </c>
      <c r="J29" s="3" t="s">
        <v>1422</v>
      </c>
      <c r="K29" s="3" t="s">
        <v>79</v>
      </c>
      <c r="L29" s="3" t="s">
        <v>2270</v>
      </c>
      <c r="M29" s="3" t="s">
        <v>2173</v>
      </c>
      <c r="N29" s="3" t="s">
        <v>2174</v>
      </c>
      <c r="O29" s="3" t="s">
        <v>2175</v>
      </c>
      <c r="P29" s="11">
        <v>1712880</v>
      </c>
      <c r="Q29" s="11">
        <v>37563</v>
      </c>
      <c r="R29" s="11">
        <v>42822</v>
      </c>
      <c r="S29" s="11">
        <v>2379</v>
      </c>
      <c r="T29" s="3" t="s">
        <v>2176</v>
      </c>
      <c r="U29" s="3" t="s">
        <v>2271</v>
      </c>
      <c r="V29" s="3" t="s">
        <v>26</v>
      </c>
    </row>
    <row r="30" spans="1:22" x14ac:dyDescent="0.2">
      <c r="A30" s="12">
        <v>37</v>
      </c>
      <c r="B30" s="3" t="s">
        <v>2272</v>
      </c>
      <c r="C30" s="3"/>
      <c r="D30" s="10">
        <v>45169</v>
      </c>
      <c r="E30" s="10">
        <v>45169</v>
      </c>
      <c r="F30" s="10">
        <v>45534</v>
      </c>
      <c r="G30" s="3" t="s">
        <v>22</v>
      </c>
      <c r="H30" s="3" t="s">
        <v>23</v>
      </c>
      <c r="I30" s="3" t="s">
        <v>2273</v>
      </c>
      <c r="J30" s="3" t="s">
        <v>1455</v>
      </c>
      <c r="K30" s="3" t="s">
        <v>79</v>
      </c>
      <c r="L30" s="3" t="s">
        <v>2274</v>
      </c>
      <c r="M30" s="3" t="s">
        <v>2275</v>
      </c>
      <c r="N30" s="3" t="s">
        <v>2276</v>
      </c>
      <c r="O30" s="3" t="s">
        <v>2277</v>
      </c>
      <c r="P30" s="11">
        <v>3500000</v>
      </c>
      <c r="Q30" s="11">
        <v>46052</v>
      </c>
      <c r="R30" s="11">
        <v>52500</v>
      </c>
      <c r="S30" s="11">
        <v>52500</v>
      </c>
      <c r="T30" s="3" t="s">
        <v>2278</v>
      </c>
      <c r="U30" s="3" t="s">
        <v>2279</v>
      </c>
      <c r="V30" s="3" t="s">
        <v>135</v>
      </c>
    </row>
    <row r="31" spans="1:22" x14ac:dyDescent="0.2">
      <c r="A31" s="12">
        <v>38</v>
      </c>
      <c r="B31" s="3" t="s">
        <v>2280</v>
      </c>
      <c r="C31" s="3"/>
      <c r="D31" s="10">
        <v>45147</v>
      </c>
      <c r="E31" s="10">
        <v>45154</v>
      </c>
      <c r="F31" s="10">
        <v>45519</v>
      </c>
      <c r="G31" s="3" t="s">
        <v>22</v>
      </c>
      <c r="H31" s="3" t="s">
        <v>23</v>
      </c>
      <c r="I31" s="3" t="s">
        <v>2281</v>
      </c>
      <c r="J31" s="3" t="s">
        <v>848</v>
      </c>
      <c r="K31" s="3" t="s">
        <v>79</v>
      </c>
      <c r="L31" s="3" t="s">
        <v>2282</v>
      </c>
      <c r="M31" s="3" t="s">
        <v>2283</v>
      </c>
      <c r="N31" s="3" t="s">
        <v>2284</v>
      </c>
      <c r="O31" s="3" t="s">
        <v>2285</v>
      </c>
      <c r="P31" s="11">
        <v>2297550</v>
      </c>
      <c r="Q31" s="11">
        <v>50385</v>
      </c>
      <c r="R31" s="11">
        <v>57439</v>
      </c>
      <c r="S31" s="11">
        <v>57439</v>
      </c>
      <c r="T31" s="3" t="s">
        <v>2286</v>
      </c>
      <c r="U31" s="3" t="s">
        <v>2287</v>
      </c>
      <c r="V31" s="3" t="s">
        <v>26</v>
      </c>
    </row>
    <row r="32" spans="1:22" x14ac:dyDescent="0.2">
      <c r="A32" s="12">
        <v>39</v>
      </c>
      <c r="B32" s="3" t="s">
        <v>2289</v>
      </c>
      <c r="C32" s="3"/>
      <c r="D32" s="10">
        <v>45147</v>
      </c>
      <c r="E32" s="10">
        <v>45169</v>
      </c>
      <c r="F32" s="10">
        <v>45534</v>
      </c>
      <c r="G32" s="3" t="s">
        <v>22</v>
      </c>
      <c r="H32" s="3" t="s">
        <v>23</v>
      </c>
      <c r="I32" s="3" t="s">
        <v>2290</v>
      </c>
      <c r="J32" s="3" t="s">
        <v>24</v>
      </c>
      <c r="K32" s="3" t="s">
        <v>109</v>
      </c>
      <c r="L32" s="3" t="s">
        <v>2291</v>
      </c>
      <c r="M32" s="3" t="s">
        <v>2292</v>
      </c>
      <c r="N32" s="3" t="s">
        <v>2293</v>
      </c>
      <c r="O32" s="3" t="s">
        <v>2294</v>
      </c>
      <c r="P32" s="11">
        <v>490000</v>
      </c>
      <c r="Q32" s="11">
        <v>16119</v>
      </c>
      <c r="R32" s="11">
        <v>18375</v>
      </c>
      <c r="S32" s="11">
        <v>18375</v>
      </c>
      <c r="T32" s="3" t="s">
        <v>2295</v>
      </c>
      <c r="U32" s="3" t="s">
        <v>2296</v>
      </c>
      <c r="V32" s="3" t="s">
        <v>26</v>
      </c>
    </row>
    <row r="33" spans="1:22" x14ac:dyDescent="0.2">
      <c r="A33" s="12">
        <v>40</v>
      </c>
      <c r="B33" s="3" t="s">
        <v>2297</v>
      </c>
      <c r="C33" s="3"/>
      <c r="D33" s="10">
        <v>45147</v>
      </c>
      <c r="E33" s="10">
        <v>45168</v>
      </c>
      <c r="F33" s="10">
        <v>45533</v>
      </c>
      <c r="G33" s="3" t="s">
        <v>22</v>
      </c>
      <c r="H33" s="3" t="s">
        <v>23</v>
      </c>
      <c r="I33" s="3" t="s">
        <v>2298</v>
      </c>
      <c r="J33" s="3" t="s">
        <v>71</v>
      </c>
      <c r="K33" s="3" t="s">
        <v>146</v>
      </c>
      <c r="L33" s="3" t="s">
        <v>2299</v>
      </c>
      <c r="M33" s="3" t="s">
        <v>2300</v>
      </c>
      <c r="N33" s="3" t="s">
        <v>2301</v>
      </c>
      <c r="O33" s="3" t="s">
        <v>2302</v>
      </c>
      <c r="P33" s="11">
        <v>1046250</v>
      </c>
      <c r="Q33" s="11">
        <v>34416</v>
      </c>
      <c r="R33" s="11">
        <v>39234</v>
      </c>
      <c r="S33" s="11">
        <v>39234</v>
      </c>
      <c r="T33" s="3" t="s">
        <v>2303</v>
      </c>
      <c r="U33" s="3" t="s">
        <v>2304</v>
      </c>
      <c r="V33" s="3" t="s">
        <v>26</v>
      </c>
    </row>
    <row r="34" spans="1:22" x14ac:dyDescent="0.2">
      <c r="A34" s="12">
        <v>41</v>
      </c>
      <c r="B34" s="3" t="s">
        <v>2311</v>
      </c>
      <c r="C34" s="3"/>
      <c r="D34" s="10">
        <v>45181</v>
      </c>
      <c r="E34" s="10">
        <v>45199</v>
      </c>
      <c r="F34" s="10">
        <v>45564</v>
      </c>
      <c r="G34" s="3" t="s">
        <v>22</v>
      </c>
      <c r="H34" s="3" t="s">
        <v>23</v>
      </c>
      <c r="I34" s="3" t="s">
        <v>2312</v>
      </c>
      <c r="J34" s="3" t="s">
        <v>108</v>
      </c>
      <c r="K34" s="3" t="s">
        <v>109</v>
      </c>
      <c r="L34" s="3" t="s">
        <v>2313</v>
      </c>
      <c r="M34" s="3" t="s">
        <v>2314</v>
      </c>
      <c r="N34" s="3" t="s">
        <v>2315</v>
      </c>
      <c r="O34" s="3" t="s">
        <v>2316</v>
      </c>
      <c r="P34" s="11">
        <v>1040000</v>
      </c>
      <c r="Q34" s="11">
        <v>22807</v>
      </c>
      <c r="R34" s="11">
        <v>26000</v>
      </c>
      <c r="S34" s="11">
        <v>26000</v>
      </c>
      <c r="T34" s="3" t="s">
        <v>2317</v>
      </c>
      <c r="U34" s="3" t="s">
        <v>2318</v>
      </c>
      <c r="V34" s="3" t="s">
        <v>26</v>
      </c>
    </row>
    <row r="35" spans="1:22" x14ac:dyDescent="0.2">
      <c r="A35" s="12">
        <v>42</v>
      </c>
      <c r="B35" s="3" t="s">
        <v>2319</v>
      </c>
      <c r="C35" s="3"/>
      <c r="D35" s="10">
        <v>45208</v>
      </c>
      <c r="E35" s="10">
        <v>45210</v>
      </c>
      <c r="F35" s="10">
        <v>45575</v>
      </c>
      <c r="G35" s="3" t="s">
        <v>22</v>
      </c>
      <c r="H35" s="3" t="s">
        <v>23</v>
      </c>
      <c r="I35" s="3" t="s">
        <v>2320</v>
      </c>
      <c r="J35" s="3" t="s">
        <v>934</v>
      </c>
      <c r="K35" s="3" t="s">
        <v>156</v>
      </c>
      <c r="L35" s="3" t="s">
        <v>2321</v>
      </c>
      <c r="M35" s="3" t="s">
        <v>2322</v>
      </c>
      <c r="N35" s="3" t="s">
        <v>2323</v>
      </c>
      <c r="O35" s="3" t="s">
        <v>2324</v>
      </c>
      <c r="P35" s="11">
        <v>529200</v>
      </c>
      <c r="Q35" s="11">
        <v>17408</v>
      </c>
      <c r="R35" s="11">
        <v>19845</v>
      </c>
      <c r="S35" s="11">
        <v>19845</v>
      </c>
      <c r="T35" s="3" t="s">
        <v>2325</v>
      </c>
      <c r="U35" s="3" t="s">
        <v>2326</v>
      </c>
      <c r="V35" s="3" t="s">
        <v>26</v>
      </c>
    </row>
    <row r="36" spans="1:22" x14ac:dyDescent="0.2">
      <c r="A36" s="12">
        <v>45</v>
      </c>
      <c r="B36" s="3" t="s">
        <v>2327</v>
      </c>
      <c r="C36" s="3"/>
      <c r="D36" s="10">
        <v>45243</v>
      </c>
      <c r="E36" s="10">
        <v>45260</v>
      </c>
      <c r="F36" s="10">
        <v>45625</v>
      </c>
      <c r="G36" s="3" t="s">
        <v>22</v>
      </c>
      <c r="H36" s="3" t="s">
        <v>23</v>
      </c>
      <c r="I36" s="3" t="s">
        <v>2328</v>
      </c>
      <c r="J36" s="3" t="s">
        <v>128</v>
      </c>
      <c r="K36" s="3" t="s">
        <v>156</v>
      </c>
      <c r="L36" s="3" t="s">
        <v>2329</v>
      </c>
      <c r="M36" s="3" t="s">
        <v>2330</v>
      </c>
      <c r="N36" s="3" t="s">
        <v>2331</v>
      </c>
      <c r="O36" s="3" t="s">
        <v>2332</v>
      </c>
      <c r="P36" s="11">
        <v>1665000</v>
      </c>
      <c r="Q36" s="11">
        <v>29211</v>
      </c>
      <c r="R36" s="11">
        <v>33300</v>
      </c>
      <c r="S36" s="11">
        <v>33300</v>
      </c>
      <c r="T36" s="3" t="s">
        <v>2333</v>
      </c>
      <c r="U36" s="3" t="s">
        <v>2334</v>
      </c>
      <c r="V36" s="3" t="s">
        <v>26</v>
      </c>
    </row>
    <row r="37" spans="1:22" x14ac:dyDescent="0.2">
      <c r="A37" s="12">
        <v>47</v>
      </c>
      <c r="B37" s="3" t="s">
        <v>2335</v>
      </c>
      <c r="C37" s="3"/>
      <c r="D37" s="10">
        <v>45243</v>
      </c>
      <c r="E37" s="10">
        <v>45249</v>
      </c>
      <c r="F37" s="10">
        <v>45614</v>
      </c>
      <c r="G37" s="3" t="s">
        <v>22</v>
      </c>
      <c r="H37" s="3" t="s">
        <v>23</v>
      </c>
      <c r="I37" s="3" t="s">
        <v>1430</v>
      </c>
      <c r="J37" s="3" t="s">
        <v>1431</v>
      </c>
      <c r="K37" s="3" t="s">
        <v>79</v>
      </c>
      <c r="L37" s="3" t="s">
        <v>1432</v>
      </c>
      <c r="M37" s="3" t="s">
        <v>1433</v>
      </c>
      <c r="N37" s="3" t="s">
        <v>1434</v>
      </c>
      <c r="O37" s="3" t="s">
        <v>1435</v>
      </c>
      <c r="P37" s="11">
        <v>2929500</v>
      </c>
      <c r="Q37" s="11">
        <v>32122</v>
      </c>
      <c r="R37" s="11">
        <v>36619</v>
      </c>
      <c r="S37" s="11">
        <v>2039</v>
      </c>
      <c r="T37" s="3" t="s">
        <v>1436</v>
      </c>
      <c r="U37" s="3" t="s">
        <v>1437</v>
      </c>
      <c r="V37" s="3" t="s">
        <v>26</v>
      </c>
    </row>
    <row r="38" spans="1:22" ht="38.25" x14ac:dyDescent="0.2">
      <c r="A38" s="12">
        <v>48</v>
      </c>
      <c r="B38" s="3" t="s">
        <v>2336</v>
      </c>
      <c r="C38" s="3"/>
      <c r="D38" s="10">
        <v>45243</v>
      </c>
      <c r="E38" s="10">
        <v>45236</v>
      </c>
      <c r="F38" s="10">
        <v>47062</v>
      </c>
      <c r="G38" s="3" t="s">
        <v>22</v>
      </c>
      <c r="H38" s="3" t="s">
        <v>23</v>
      </c>
      <c r="I38" s="43" t="s">
        <v>2337</v>
      </c>
      <c r="J38" s="3" t="s">
        <v>2338</v>
      </c>
      <c r="K38" s="3" t="s">
        <v>63</v>
      </c>
      <c r="L38" s="3" t="s">
        <v>2339</v>
      </c>
      <c r="M38" s="3" t="s">
        <v>2340</v>
      </c>
      <c r="N38" s="3" t="s">
        <v>2341</v>
      </c>
      <c r="O38" s="3"/>
      <c r="P38" s="11">
        <v>3465000</v>
      </c>
      <c r="Q38" s="11">
        <v>75943</v>
      </c>
      <c r="R38" s="11">
        <v>86625</v>
      </c>
      <c r="S38" s="11">
        <v>86625</v>
      </c>
      <c r="T38" s="3"/>
      <c r="U38" s="3"/>
      <c r="V38" s="3" t="s">
        <v>135</v>
      </c>
    </row>
    <row r="39" spans="1:22" x14ac:dyDescent="0.2">
      <c r="A39" s="12">
        <v>49</v>
      </c>
      <c r="B39" s="3" t="s">
        <v>2342</v>
      </c>
      <c r="C39" s="3"/>
      <c r="D39" s="10">
        <v>45245</v>
      </c>
      <c r="E39" s="10">
        <v>45253</v>
      </c>
      <c r="F39" s="10">
        <v>45618</v>
      </c>
      <c r="G39" s="3" t="s">
        <v>22</v>
      </c>
      <c r="H39" s="3" t="s">
        <v>23</v>
      </c>
      <c r="I39" s="3" t="s">
        <v>2343</v>
      </c>
      <c r="J39" s="3" t="s">
        <v>1470</v>
      </c>
      <c r="K39" s="3" t="s">
        <v>156</v>
      </c>
      <c r="L39" s="3" t="s">
        <v>2344</v>
      </c>
      <c r="M39" s="3" t="s">
        <v>2345</v>
      </c>
      <c r="N39" s="3" t="s">
        <v>2346</v>
      </c>
      <c r="O39" s="3" t="s">
        <v>2347</v>
      </c>
      <c r="P39" s="11">
        <v>891800</v>
      </c>
      <c r="Q39" s="11">
        <v>29336</v>
      </c>
      <c r="R39" s="11">
        <v>33443</v>
      </c>
      <c r="S39" s="11">
        <v>33443</v>
      </c>
      <c r="T39" s="3" t="s">
        <v>2348</v>
      </c>
      <c r="U39" s="3" t="s">
        <v>2349</v>
      </c>
      <c r="V39" s="3" t="s">
        <v>26</v>
      </c>
    </row>
    <row r="40" spans="1:22" x14ac:dyDescent="0.2">
      <c r="A40" s="12">
        <v>50</v>
      </c>
      <c r="B40" s="3" t="s">
        <v>2350</v>
      </c>
      <c r="C40" s="3"/>
      <c r="D40" s="10">
        <v>45245</v>
      </c>
      <c r="E40" s="10">
        <v>45237</v>
      </c>
      <c r="F40" s="10">
        <v>45602</v>
      </c>
      <c r="G40" s="3" t="s">
        <v>22</v>
      </c>
      <c r="H40" s="3" t="s">
        <v>23</v>
      </c>
      <c r="I40" s="3" t="s">
        <v>2351</v>
      </c>
      <c r="J40" s="3" t="s">
        <v>239</v>
      </c>
      <c r="K40" s="3" t="s">
        <v>156</v>
      </c>
      <c r="L40" s="3" t="s">
        <v>2352</v>
      </c>
      <c r="M40" s="3" t="s">
        <v>2353</v>
      </c>
      <c r="N40" s="3" t="s">
        <v>2354</v>
      </c>
      <c r="O40" s="3" t="s">
        <v>2355</v>
      </c>
      <c r="P40" s="11">
        <v>1613250</v>
      </c>
      <c r="Q40" s="11">
        <v>53067</v>
      </c>
      <c r="R40" s="11">
        <v>60497</v>
      </c>
      <c r="S40" s="11">
        <v>60497</v>
      </c>
      <c r="T40" s="3" t="s">
        <v>2356</v>
      </c>
      <c r="U40" s="3" t="s">
        <v>2234</v>
      </c>
      <c r="V40" s="3" t="s">
        <v>26</v>
      </c>
    </row>
    <row r="41" spans="1:22" x14ac:dyDescent="0.2">
      <c r="A41" s="12">
        <v>51</v>
      </c>
      <c r="B41" s="3" t="s">
        <v>2357</v>
      </c>
      <c r="C41" s="3"/>
      <c r="D41" s="10">
        <v>45278</v>
      </c>
      <c r="E41" s="10">
        <v>45286</v>
      </c>
      <c r="F41" s="10">
        <v>45651</v>
      </c>
      <c r="G41" s="3" t="s">
        <v>22</v>
      </c>
      <c r="H41" s="3" t="s">
        <v>23</v>
      </c>
      <c r="I41" s="3" t="s">
        <v>2358</v>
      </c>
      <c r="J41" s="3" t="s">
        <v>925</v>
      </c>
      <c r="K41" s="3" t="s">
        <v>156</v>
      </c>
      <c r="L41" s="3" t="s">
        <v>2359</v>
      </c>
      <c r="M41" s="3" t="s">
        <v>2360</v>
      </c>
      <c r="N41" s="3" t="s">
        <v>2361</v>
      </c>
      <c r="O41" s="3" t="s">
        <v>2362</v>
      </c>
      <c r="P41" s="11">
        <v>529200</v>
      </c>
      <c r="Q41" s="11">
        <v>17408</v>
      </c>
      <c r="R41" s="11">
        <v>19845</v>
      </c>
      <c r="S41" s="11">
        <v>19845</v>
      </c>
      <c r="T41" s="3" t="s">
        <v>2363</v>
      </c>
      <c r="U41" s="3" t="s">
        <v>2364</v>
      </c>
      <c r="V41" s="3" t="s">
        <v>26</v>
      </c>
    </row>
    <row r="42" spans="1:22" ht="38.25" x14ac:dyDescent="0.2">
      <c r="A42" s="12">
        <v>52</v>
      </c>
      <c r="B42" s="3" t="s">
        <v>2365</v>
      </c>
      <c r="C42" s="3"/>
      <c r="D42" s="10">
        <v>45279</v>
      </c>
      <c r="E42" s="10">
        <v>45274</v>
      </c>
      <c r="F42" s="10">
        <v>45639</v>
      </c>
      <c r="G42" s="3" t="s">
        <v>22</v>
      </c>
      <c r="H42" s="3" t="s">
        <v>23</v>
      </c>
      <c r="I42" s="43" t="s">
        <v>2366</v>
      </c>
      <c r="J42" s="3" t="s">
        <v>2338</v>
      </c>
      <c r="K42" s="3" t="s">
        <v>63</v>
      </c>
      <c r="L42" s="3" t="s">
        <v>2367</v>
      </c>
      <c r="M42" s="3" t="s">
        <v>2368</v>
      </c>
      <c r="N42" s="3" t="s">
        <v>2369</v>
      </c>
      <c r="O42" s="3"/>
      <c r="P42" s="11">
        <v>3465000</v>
      </c>
      <c r="Q42" s="11">
        <v>75943</v>
      </c>
      <c r="R42" s="11">
        <v>86625</v>
      </c>
      <c r="S42" s="11">
        <v>86625</v>
      </c>
      <c r="T42" s="3"/>
      <c r="U42" s="3"/>
      <c r="V42" s="3" t="s">
        <v>135</v>
      </c>
    </row>
    <row r="43" spans="1:22" x14ac:dyDescent="0.2">
      <c r="A43" s="12">
        <v>53</v>
      </c>
      <c r="B43" s="3" t="s">
        <v>2370</v>
      </c>
      <c r="C43" s="3" t="s">
        <v>2378</v>
      </c>
      <c r="D43" s="10">
        <v>45442</v>
      </c>
      <c r="E43" s="10">
        <v>45262</v>
      </c>
      <c r="F43" s="10">
        <v>45627</v>
      </c>
      <c r="G43" s="3" t="s">
        <v>22</v>
      </c>
      <c r="H43" s="3" t="s">
        <v>23</v>
      </c>
      <c r="I43" s="3" t="s">
        <v>2371</v>
      </c>
      <c r="J43" s="3" t="s">
        <v>368</v>
      </c>
      <c r="K43" s="3" t="s">
        <v>79</v>
      </c>
      <c r="L43" s="3" t="s">
        <v>2372</v>
      </c>
      <c r="M43" s="3" t="s">
        <v>2373</v>
      </c>
      <c r="N43" s="3" t="s">
        <v>2374</v>
      </c>
      <c r="O43" s="3" t="s">
        <v>2375</v>
      </c>
      <c r="P43" s="11">
        <v>-1574200</v>
      </c>
      <c r="Q43" s="11">
        <v>-3015</v>
      </c>
      <c r="R43" s="11">
        <v>-3437</v>
      </c>
      <c r="S43" s="11">
        <v>50</v>
      </c>
      <c r="T43" s="3" t="s">
        <v>2376</v>
      </c>
      <c r="U43" s="3" t="s">
        <v>2377</v>
      </c>
      <c r="V43" s="3" t="s">
        <v>26</v>
      </c>
    </row>
    <row r="44" spans="1:22" x14ac:dyDescent="0.2">
      <c r="A44" s="12">
        <v>54</v>
      </c>
      <c r="B44" s="3" t="s">
        <v>2379</v>
      </c>
      <c r="C44" s="3"/>
      <c r="D44" s="10">
        <v>45286</v>
      </c>
      <c r="E44" s="10">
        <v>45282</v>
      </c>
      <c r="F44" s="10">
        <v>45647</v>
      </c>
      <c r="G44" s="3" t="s">
        <v>22</v>
      </c>
      <c r="H44" s="3" t="s">
        <v>23</v>
      </c>
      <c r="I44" s="3" t="s">
        <v>2380</v>
      </c>
      <c r="J44" s="3" t="s">
        <v>1617</v>
      </c>
      <c r="K44" s="3" t="s">
        <v>79</v>
      </c>
      <c r="L44" s="3"/>
      <c r="M44" s="3" t="s">
        <v>2381</v>
      </c>
      <c r="N44" s="3" t="s">
        <v>2382</v>
      </c>
      <c r="O44" s="3" t="s">
        <v>2383</v>
      </c>
      <c r="P44" s="11">
        <v>3677950</v>
      </c>
      <c r="Q44" s="11">
        <v>48394</v>
      </c>
      <c r="R44" s="11">
        <v>55169</v>
      </c>
      <c r="S44" s="11">
        <v>55169</v>
      </c>
      <c r="T44" s="3" t="s">
        <v>2384</v>
      </c>
      <c r="U44" s="3" t="s">
        <v>2385</v>
      </c>
      <c r="V44" s="3" t="s">
        <v>26</v>
      </c>
    </row>
    <row r="45" spans="1:22" x14ac:dyDescent="0.2">
      <c r="A45" s="12">
        <v>55</v>
      </c>
      <c r="B45" s="3" t="s">
        <v>2386</v>
      </c>
      <c r="C45" s="3"/>
      <c r="D45" s="10">
        <v>45286</v>
      </c>
      <c r="E45" s="10">
        <v>45291</v>
      </c>
      <c r="F45" s="10">
        <v>45656</v>
      </c>
      <c r="G45" s="3" t="s">
        <v>22</v>
      </c>
      <c r="H45" s="3" t="s">
        <v>23</v>
      </c>
      <c r="I45" s="3" t="s">
        <v>2387</v>
      </c>
      <c r="J45" s="3" t="s">
        <v>24</v>
      </c>
      <c r="K45" s="3" t="s">
        <v>2388</v>
      </c>
      <c r="L45" s="3" t="s">
        <v>2389</v>
      </c>
      <c r="M45" s="3" t="s">
        <v>2390</v>
      </c>
      <c r="N45" s="3" t="s">
        <v>2391</v>
      </c>
      <c r="O45" s="3" t="s">
        <v>2392</v>
      </c>
      <c r="P45" s="11">
        <v>675000</v>
      </c>
      <c r="Q45" s="11">
        <v>17763</v>
      </c>
      <c r="R45" s="11">
        <v>20250</v>
      </c>
      <c r="S45" s="11">
        <v>20250</v>
      </c>
      <c r="T45" s="3" t="s">
        <v>2393</v>
      </c>
      <c r="U45" s="3" t="s">
        <v>2394</v>
      </c>
      <c r="V45" s="3" t="s">
        <v>26</v>
      </c>
    </row>
    <row r="46" spans="1:22" x14ac:dyDescent="0.2">
      <c r="A46" s="12">
        <v>56</v>
      </c>
      <c r="B46" s="3" t="s">
        <v>2395</v>
      </c>
      <c r="C46" s="3"/>
      <c r="D46" s="10">
        <v>45316</v>
      </c>
      <c r="E46" s="10">
        <v>45319</v>
      </c>
      <c r="F46" s="10">
        <v>45684</v>
      </c>
      <c r="G46" s="3" t="s">
        <v>22</v>
      </c>
      <c r="H46" s="3" t="s">
        <v>23</v>
      </c>
      <c r="I46" s="3" t="s">
        <v>2396</v>
      </c>
      <c r="J46" s="3" t="s">
        <v>553</v>
      </c>
      <c r="K46" s="3" t="s">
        <v>95</v>
      </c>
      <c r="L46" s="3"/>
      <c r="M46" s="3" t="s">
        <v>2397</v>
      </c>
      <c r="N46" s="3" t="s">
        <v>2398</v>
      </c>
      <c r="O46" s="3" t="s">
        <v>2399</v>
      </c>
      <c r="P46" s="11">
        <v>1391250</v>
      </c>
      <c r="Q46" s="11">
        <v>32950</v>
      </c>
      <c r="R46" s="11">
        <v>37564</v>
      </c>
      <c r="S46" s="11">
        <v>37564</v>
      </c>
      <c r="T46" s="3" t="s">
        <v>2400</v>
      </c>
      <c r="U46" s="3" t="s">
        <v>2401</v>
      </c>
      <c r="V46" s="3" t="s">
        <v>26</v>
      </c>
    </row>
    <row r="47" spans="1:22" x14ac:dyDescent="0.2">
      <c r="A47" s="12">
        <v>57</v>
      </c>
      <c r="B47" s="3" t="s">
        <v>2402</v>
      </c>
      <c r="C47" s="3" t="s">
        <v>2403</v>
      </c>
      <c r="D47" s="10">
        <v>45334</v>
      </c>
      <c r="E47" s="10">
        <v>45319</v>
      </c>
      <c r="F47" s="10">
        <v>45684</v>
      </c>
      <c r="G47" s="3" t="s">
        <v>22</v>
      </c>
      <c r="H47" s="3" t="s">
        <v>23</v>
      </c>
      <c r="I47" s="3" t="s">
        <v>2404</v>
      </c>
      <c r="J47" s="3" t="s">
        <v>2261</v>
      </c>
      <c r="K47" s="3" t="s">
        <v>95</v>
      </c>
      <c r="L47" s="3" t="s">
        <v>2405</v>
      </c>
      <c r="M47" s="3" t="s">
        <v>2406</v>
      </c>
      <c r="N47" s="3" t="s">
        <v>2407</v>
      </c>
      <c r="O47" s="3" t="s">
        <v>2408</v>
      </c>
      <c r="P47" s="11">
        <v>1001250</v>
      </c>
      <c r="Q47" s="11">
        <v>15034</v>
      </c>
      <c r="R47" s="11">
        <v>17138</v>
      </c>
      <c r="S47" s="11">
        <v>17138</v>
      </c>
      <c r="T47" s="3" t="s">
        <v>2409</v>
      </c>
      <c r="U47" s="3" t="s">
        <v>2410</v>
      </c>
      <c r="V47" s="3" t="s">
        <v>26</v>
      </c>
    </row>
    <row r="48" spans="1:22" x14ac:dyDescent="0.2">
      <c r="A48" s="12">
        <v>58</v>
      </c>
      <c r="B48" s="3" t="s">
        <v>2411</v>
      </c>
      <c r="C48" s="3"/>
      <c r="D48" s="10">
        <v>45331</v>
      </c>
      <c r="E48" s="10">
        <v>45331</v>
      </c>
      <c r="F48" s="10">
        <v>45696</v>
      </c>
      <c r="G48" s="3" t="s">
        <v>22</v>
      </c>
      <c r="H48" s="3" t="s">
        <v>23</v>
      </c>
      <c r="I48" s="3" t="s">
        <v>2412</v>
      </c>
      <c r="J48" s="3" t="s">
        <v>24</v>
      </c>
      <c r="K48" s="3" t="s">
        <v>25</v>
      </c>
      <c r="L48" s="3" t="s">
        <v>2413</v>
      </c>
      <c r="M48" s="3" t="s">
        <v>2414</v>
      </c>
      <c r="N48" s="3" t="s">
        <v>2415</v>
      </c>
      <c r="O48" s="3" t="s">
        <v>2416</v>
      </c>
      <c r="P48" s="11">
        <v>1450000</v>
      </c>
      <c r="Q48" s="11">
        <v>25439</v>
      </c>
      <c r="R48" s="11">
        <v>29000</v>
      </c>
      <c r="S48" s="11">
        <v>29000</v>
      </c>
      <c r="T48" s="3" t="s">
        <v>2417</v>
      </c>
      <c r="U48" s="3" t="s">
        <v>2418</v>
      </c>
      <c r="V48" s="3" t="s">
        <v>135</v>
      </c>
    </row>
    <row r="49" spans="1:22" ht="38.25" x14ac:dyDescent="0.2">
      <c r="A49" s="12">
        <v>59</v>
      </c>
      <c r="B49" s="3" t="s">
        <v>2419</v>
      </c>
      <c r="C49" s="3"/>
      <c r="D49" s="10">
        <v>45341</v>
      </c>
      <c r="E49" s="10">
        <v>45323</v>
      </c>
      <c r="F49" s="10">
        <v>47149</v>
      </c>
      <c r="G49" s="3" t="s">
        <v>22</v>
      </c>
      <c r="H49" s="3" t="s">
        <v>23</v>
      </c>
      <c r="I49" s="43" t="s">
        <v>2420</v>
      </c>
      <c r="J49" s="3" t="s">
        <v>2421</v>
      </c>
      <c r="K49" s="3" t="s">
        <v>63</v>
      </c>
      <c r="L49" s="3" t="s">
        <v>2422</v>
      </c>
      <c r="M49" s="3" t="s">
        <v>2423</v>
      </c>
      <c r="N49" s="3" t="s">
        <v>2424</v>
      </c>
      <c r="O49" s="3"/>
      <c r="P49" s="11">
        <v>3465000</v>
      </c>
      <c r="Q49" s="11">
        <v>75943</v>
      </c>
      <c r="R49" s="11">
        <v>86625</v>
      </c>
      <c r="S49" s="11">
        <v>86625</v>
      </c>
      <c r="T49" s="3"/>
      <c r="U49" s="3"/>
      <c r="V49" s="3" t="s">
        <v>135</v>
      </c>
    </row>
    <row r="50" spans="1:22" x14ac:dyDescent="0.2">
      <c r="A50" s="12">
        <v>60</v>
      </c>
      <c r="B50" s="3" t="s">
        <v>2425</v>
      </c>
      <c r="C50" s="3"/>
      <c r="D50" s="10">
        <v>45349</v>
      </c>
      <c r="E50" s="10">
        <v>45333</v>
      </c>
      <c r="F50" s="10">
        <v>45698</v>
      </c>
      <c r="G50" s="3" t="s">
        <v>22</v>
      </c>
      <c r="H50" s="3" t="s">
        <v>23</v>
      </c>
      <c r="I50" s="3" t="s">
        <v>2426</v>
      </c>
      <c r="J50" s="3" t="s">
        <v>112</v>
      </c>
      <c r="K50" s="3" t="s">
        <v>95</v>
      </c>
      <c r="L50" s="3" t="s">
        <v>2427</v>
      </c>
      <c r="M50" s="3" t="s">
        <v>2428</v>
      </c>
      <c r="N50" s="3" t="s">
        <v>2429</v>
      </c>
      <c r="O50" s="3" t="s">
        <v>2430</v>
      </c>
      <c r="P50" s="11">
        <v>807500</v>
      </c>
      <c r="Q50" s="11">
        <v>17709</v>
      </c>
      <c r="R50" s="11">
        <v>20188</v>
      </c>
      <c r="S50" s="11">
        <v>20188</v>
      </c>
      <c r="T50" s="3" t="s">
        <v>2431</v>
      </c>
      <c r="U50" s="3" t="s">
        <v>2432</v>
      </c>
      <c r="V50" s="3" t="s">
        <v>26</v>
      </c>
    </row>
    <row r="51" spans="1:22" x14ac:dyDescent="0.2">
      <c r="A51" s="12">
        <v>62</v>
      </c>
      <c r="B51" s="3" t="s">
        <v>2433</v>
      </c>
      <c r="C51" s="3"/>
      <c r="D51" s="10">
        <v>45349</v>
      </c>
      <c r="E51" s="10">
        <v>45337</v>
      </c>
      <c r="F51" s="10">
        <v>45702</v>
      </c>
      <c r="G51" s="3" t="s">
        <v>22</v>
      </c>
      <c r="H51" s="3" t="s">
        <v>23</v>
      </c>
      <c r="I51" s="3" t="s">
        <v>2434</v>
      </c>
      <c r="J51" s="3" t="s">
        <v>1470</v>
      </c>
      <c r="K51" s="3" t="s">
        <v>79</v>
      </c>
      <c r="L51" s="3"/>
      <c r="M51" s="3" t="s">
        <v>2435</v>
      </c>
      <c r="N51" s="3" t="s">
        <v>2436</v>
      </c>
      <c r="O51" s="3" t="s">
        <v>2437</v>
      </c>
      <c r="P51" s="11">
        <v>1512000</v>
      </c>
      <c r="Q51" s="11">
        <v>33157</v>
      </c>
      <c r="R51" s="11">
        <v>37800</v>
      </c>
      <c r="S51" s="11">
        <v>37800</v>
      </c>
      <c r="T51" s="3" t="s">
        <v>2438</v>
      </c>
      <c r="U51" s="3" t="s">
        <v>2439</v>
      </c>
      <c r="V51" s="3" t="s">
        <v>26</v>
      </c>
    </row>
    <row r="52" spans="1:22" x14ac:dyDescent="0.2">
      <c r="A52" s="12">
        <v>63</v>
      </c>
      <c r="B52" s="3" t="s">
        <v>2440</v>
      </c>
      <c r="C52" s="3"/>
      <c r="D52" s="10">
        <v>45351</v>
      </c>
      <c r="E52" s="10">
        <v>45351</v>
      </c>
      <c r="F52" s="10">
        <v>45715</v>
      </c>
      <c r="G52" s="3" t="s">
        <v>22</v>
      </c>
      <c r="H52" s="3" t="s">
        <v>23</v>
      </c>
      <c r="I52" s="3" t="s">
        <v>2441</v>
      </c>
      <c r="J52" s="3" t="s">
        <v>1797</v>
      </c>
      <c r="K52" s="3" t="s">
        <v>146</v>
      </c>
      <c r="L52" s="3" t="s">
        <v>2442</v>
      </c>
      <c r="M52" s="3" t="s">
        <v>2443</v>
      </c>
      <c r="N52" s="3" t="s">
        <v>2444</v>
      </c>
      <c r="O52" s="3" t="s">
        <v>2445</v>
      </c>
      <c r="P52" s="11">
        <v>597800</v>
      </c>
      <c r="Q52" s="11">
        <v>19665</v>
      </c>
      <c r="R52" s="11">
        <v>22418</v>
      </c>
      <c r="S52" s="11">
        <v>22418</v>
      </c>
      <c r="T52" s="3" t="s">
        <v>2446</v>
      </c>
      <c r="U52" s="3" t="s">
        <v>2447</v>
      </c>
      <c r="V52" s="3" t="s">
        <v>26</v>
      </c>
    </row>
    <row r="53" spans="1:22" x14ac:dyDescent="0.2">
      <c r="A53" s="12">
        <v>64</v>
      </c>
      <c r="B53" s="3" t="s">
        <v>2448</v>
      </c>
      <c r="C53" s="3"/>
      <c r="D53" s="10">
        <v>45357</v>
      </c>
      <c r="E53" s="10">
        <v>45353</v>
      </c>
      <c r="F53" s="10">
        <v>45717</v>
      </c>
      <c r="G53" s="3" t="s">
        <v>22</v>
      </c>
      <c r="H53" s="3" t="s">
        <v>23</v>
      </c>
      <c r="I53" s="3" t="s">
        <v>2449</v>
      </c>
      <c r="J53" s="3" t="s">
        <v>2450</v>
      </c>
      <c r="K53" s="3" t="s">
        <v>79</v>
      </c>
      <c r="L53" s="3" t="s">
        <v>2451</v>
      </c>
      <c r="M53" s="3" t="s">
        <v>2452</v>
      </c>
      <c r="N53" s="3" t="s">
        <v>2453</v>
      </c>
      <c r="O53" s="3" t="s">
        <v>2454</v>
      </c>
      <c r="P53" s="11">
        <v>2124000</v>
      </c>
      <c r="Q53" s="11">
        <v>69825</v>
      </c>
      <c r="R53" s="11">
        <v>79650</v>
      </c>
      <c r="S53" s="11">
        <v>31350</v>
      </c>
      <c r="T53" s="3" t="s">
        <v>2455</v>
      </c>
      <c r="U53" s="3" t="s">
        <v>2456</v>
      </c>
      <c r="V53" s="3" t="s">
        <v>26</v>
      </c>
    </row>
    <row r="54" spans="1:22" x14ac:dyDescent="0.2">
      <c r="A54" s="12">
        <v>65</v>
      </c>
      <c r="B54" s="3" t="s">
        <v>2457</v>
      </c>
      <c r="C54" s="3"/>
      <c r="D54" s="10">
        <v>45357</v>
      </c>
      <c r="E54" s="10">
        <v>45381</v>
      </c>
      <c r="F54" s="10">
        <v>45745</v>
      </c>
      <c r="G54" s="3" t="s">
        <v>22</v>
      </c>
      <c r="H54" s="3" t="s">
        <v>23</v>
      </c>
      <c r="I54" s="3" t="s">
        <v>2458</v>
      </c>
      <c r="J54" s="3" t="s">
        <v>2288</v>
      </c>
      <c r="K54" s="3" t="s">
        <v>527</v>
      </c>
      <c r="L54" s="3" t="s">
        <v>2459</v>
      </c>
      <c r="M54" s="3" t="s">
        <v>2460</v>
      </c>
      <c r="N54" s="3" t="s">
        <v>2461</v>
      </c>
      <c r="O54" s="3" t="s">
        <v>2462</v>
      </c>
      <c r="P54" s="11">
        <v>968000</v>
      </c>
      <c r="Q54" s="11">
        <v>21184</v>
      </c>
      <c r="R54" s="11">
        <v>24200</v>
      </c>
      <c r="S54" s="11">
        <v>24200</v>
      </c>
      <c r="T54" s="3" t="s">
        <v>2463</v>
      </c>
      <c r="U54" s="3" t="s">
        <v>2464</v>
      </c>
      <c r="V54" s="3" t="s">
        <v>26</v>
      </c>
    </row>
    <row r="55" spans="1:22" x14ac:dyDescent="0.2">
      <c r="A55" s="12">
        <v>66</v>
      </c>
      <c r="B55" s="3" t="s">
        <v>2465</v>
      </c>
      <c r="C55" s="3"/>
      <c r="D55" s="10">
        <v>45357</v>
      </c>
      <c r="E55" s="10">
        <v>45378</v>
      </c>
      <c r="F55" s="10">
        <v>45742</v>
      </c>
      <c r="G55" s="3" t="s">
        <v>22</v>
      </c>
      <c r="H55" s="3" t="s">
        <v>23</v>
      </c>
      <c r="I55" s="3" t="s">
        <v>2466</v>
      </c>
      <c r="J55" s="3" t="s">
        <v>283</v>
      </c>
      <c r="K55" s="3" t="s">
        <v>25</v>
      </c>
      <c r="L55" s="3" t="s">
        <v>2467</v>
      </c>
      <c r="M55" s="3" t="s">
        <v>2468</v>
      </c>
      <c r="N55" s="3" t="s">
        <v>2469</v>
      </c>
      <c r="O55" s="3" t="s">
        <v>2470</v>
      </c>
      <c r="P55" s="11">
        <v>2790000</v>
      </c>
      <c r="Q55" s="11">
        <v>48948</v>
      </c>
      <c r="R55" s="11">
        <v>55800</v>
      </c>
      <c r="S55" s="11">
        <v>55800</v>
      </c>
      <c r="T55" s="3" t="s">
        <v>2471</v>
      </c>
      <c r="U55" s="3" t="s">
        <v>2472</v>
      </c>
      <c r="V55" s="3" t="s">
        <v>26</v>
      </c>
    </row>
    <row r="56" spans="1:22" x14ac:dyDescent="0.2">
      <c r="A56" s="12">
        <v>67</v>
      </c>
      <c r="B56" s="3" t="s">
        <v>2473</v>
      </c>
      <c r="C56" s="3"/>
      <c r="D56" s="10">
        <v>45357</v>
      </c>
      <c r="E56" s="10">
        <v>45380</v>
      </c>
      <c r="F56" s="10">
        <v>45744</v>
      </c>
      <c r="G56" s="3" t="s">
        <v>22</v>
      </c>
      <c r="H56" s="3" t="s">
        <v>23</v>
      </c>
      <c r="I56" s="3" t="s">
        <v>2474</v>
      </c>
      <c r="J56" s="3" t="s">
        <v>1479</v>
      </c>
      <c r="K56" s="3" t="s">
        <v>174</v>
      </c>
      <c r="L56" s="3" t="s">
        <v>2475</v>
      </c>
      <c r="M56" s="3" t="s">
        <v>2476</v>
      </c>
      <c r="N56" s="3" t="s">
        <v>2477</v>
      </c>
      <c r="O56" s="3" t="s">
        <v>2478</v>
      </c>
      <c r="P56" s="11">
        <v>3600000</v>
      </c>
      <c r="Q56" s="11">
        <v>47368</v>
      </c>
      <c r="R56" s="11">
        <v>54000</v>
      </c>
      <c r="S56" s="11">
        <v>54000</v>
      </c>
      <c r="T56" s="3" t="s">
        <v>2479</v>
      </c>
      <c r="U56" s="3" t="s">
        <v>2480</v>
      </c>
      <c r="V56" s="3" t="s">
        <v>26</v>
      </c>
    </row>
    <row r="57" spans="1:22" x14ac:dyDescent="0.2">
      <c r="A57" s="12">
        <v>68</v>
      </c>
      <c r="B57" s="3" t="s">
        <v>2481</v>
      </c>
      <c r="C57" s="3"/>
      <c r="D57" s="10">
        <v>45357</v>
      </c>
      <c r="E57" s="10">
        <v>45382</v>
      </c>
      <c r="F57" s="10">
        <v>45746</v>
      </c>
      <c r="G57" s="3" t="s">
        <v>22</v>
      </c>
      <c r="H57" s="3" t="s">
        <v>23</v>
      </c>
      <c r="I57" s="3" t="s">
        <v>2482</v>
      </c>
      <c r="J57" s="3" t="s">
        <v>292</v>
      </c>
      <c r="K57" s="3" t="s">
        <v>30</v>
      </c>
      <c r="L57" s="3" t="s">
        <v>2483</v>
      </c>
      <c r="M57" s="3" t="s">
        <v>2484</v>
      </c>
      <c r="N57" s="3" t="s">
        <v>2485</v>
      </c>
      <c r="O57" s="3" t="s">
        <v>2486</v>
      </c>
      <c r="P57" s="11">
        <v>1663200</v>
      </c>
      <c r="Q57" s="11">
        <v>29179</v>
      </c>
      <c r="R57" s="11">
        <v>33264</v>
      </c>
      <c r="S57" s="11">
        <v>33264</v>
      </c>
      <c r="T57" s="3" t="s">
        <v>2487</v>
      </c>
      <c r="U57" s="3" t="s">
        <v>2488</v>
      </c>
      <c r="V57" s="3" t="s">
        <v>26</v>
      </c>
    </row>
    <row r="58" spans="1:22" x14ac:dyDescent="0.2">
      <c r="A58" s="12">
        <v>69</v>
      </c>
      <c r="B58" s="3" t="s">
        <v>2489</v>
      </c>
      <c r="C58" s="3"/>
      <c r="D58" s="10">
        <v>45357</v>
      </c>
      <c r="E58" s="10">
        <v>45365</v>
      </c>
      <c r="F58" s="10">
        <v>45729</v>
      </c>
      <c r="G58" s="3" t="s">
        <v>22</v>
      </c>
      <c r="H58" s="3" t="s">
        <v>23</v>
      </c>
      <c r="I58" s="3" t="s">
        <v>2490</v>
      </c>
      <c r="J58" s="3" t="s">
        <v>46</v>
      </c>
      <c r="K58" s="3" t="s">
        <v>63</v>
      </c>
      <c r="L58" s="3" t="s">
        <v>2491</v>
      </c>
      <c r="M58" s="3" t="s">
        <v>2492</v>
      </c>
      <c r="N58" s="3" t="s">
        <v>2493</v>
      </c>
      <c r="O58" s="3" t="s">
        <v>2494</v>
      </c>
      <c r="P58" s="11">
        <v>1778400</v>
      </c>
      <c r="Q58" s="11">
        <v>31200</v>
      </c>
      <c r="R58" s="11">
        <v>35568</v>
      </c>
      <c r="S58" s="11">
        <v>35568</v>
      </c>
      <c r="T58" s="3" t="s">
        <v>2495</v>
      </c>
      <c r="U58" s="3" t="s">
        <v>2496</v>
      </c>
      <c r="V58" s="3" t="s">
        <v>26</v>
      </c>
    </row>
    <row r="59" spans="1:22" x14ac:dyDescent="0.2">
      <c r="A59" s="12">
        <v>70</v>
      </c>
      <c r="B59" s="3" t="s">
        <v>2497</v>
      </c>
      <c r="C59" s="3"/>
      <c r="D59" s="10">
        <v>45357</v>
      </c>
      <c r="E59" s="10">
        <v>45366</v>
      </c>
      <c r="F59" s="10">
        <v>45730</v>
      </c>
      <c r="G59" s="3" t="s">
        <v>22</v>
      </c>
      <c r="H59" s="3" t="s">
        <v>23</v>
      </c>
      <c r="I59" s="3" t="s">
        <v>2498</v>
      </c>
      <c r="J59" s="3" t="s">
        <v>2499</v>
      </c>
      <c r="K59" s="3" t="s">
        <v>146</v>
      </c>
      <c r="L59" s="3" t="s">
        <v>2500</v>
      </c>
      <c r="M59" s="3" t="s">
        <v>2501</v>
      </c>
      <c r="N59" s="3" t="s">
        <v>2502</v>
      </c>
      <c r="O59" s="3" t="s">
        <v>2503</v>
      </c>
      <c r="P59" s="11">
        <v>2025000</v>
      </c>
      <c r="Q59" s="11">
        <v>35527</v>
      </c>
      <c r="R59" s="11">
        <v>40500</v>
      </c>
      <c r="S59" s="11">
        <v>40500</v>
      </c>
      <c r="T59" s="3" t="s">
        <v>2504</v>
      </c>
      <c r="U59" s="3" t="s">
        <v>2505</v>
      </c>
      <c r="V59" s="3" t="s">
        <v>26</v>
      </c>
    </row>
    <row r="60" spans="1:22" x14ac:dyDescent="0.2">
      <c r="A60" s="12">
        <v>71</v>
      </c>
      <c r="B60" s="3" t="s">
        <v>2506</v>
      </c>
      <c r="C60" s="3"/>
      <c r="D60" s="10">
        <v>45358</v>
      </c>
      <c r="E60" s="10">
        <v>45369</v>
      </c>
      <c r="F60" s="10">
        <v>45733</v>
      </c>
      <c r="G60" s="3" t="s">
        <v>22</v>
      </c>
      <c r="H60" s="3" t="s">
        <v>23</v>
      </c>
      <c r="I60" s="3" t="s">
        <v>2507</v>
      </c>
      <c r="J60" s="3" t="s">
        <v>46</v>
      </c>
      <c r="K60" s="3" t="s">
        <v>30</v>
      </c>
      <c r="L60" s="3" t="s">
        <v>2508</v>
      </c>
      <c r="M60" s="3" t="s">
        <v>2509</v>
      </c>
      <c r="N60" s="3" t="s">
        <v>2510</v>
      </c>
      <c r="O60" s="3" t="s">
        <v>2511</v>
      </c>
      <c r="P60" s="11">
        <v>1314100</v>
      </c>
      <c r="Q60" s="11">
        <v>28819</v>
      </c>
      <c r="R60" s="11">
        <v>32853</v>
      </c>
      <c r="S60" s="11">
        <v>32853</v>
      </c>
      <c r="T60" s="3" t="s">
        <v>2512</v>
      </c>
      <c r="U60" s="3" t="s">
        <v>2513</v>
      </c>
      <c r="V60" s="3" t="s">
        <v>26</v>
      </c>
    </row>
    <row r="61" spans="1:22" x14ac:dyDescent="0.2">
      <c r="A61" s="12">
        <v>72</v>
      </c>
      <c r="B61" s="3" t="s">
        <v>2514</v>
      </c>
      <c r="C61" s="3"/>
      <c r="D61" s="10">
        <v>45358</v>
      </c>
      <c r="E61" s="10">
        <v>45373</v>
      </c>
      <c r="F61" s="10">
        <v>45737</v>
      </c>
      <c r="G61" s="3" t="s">
        <v>22</v>
      </c>
      <c r="H61" s="3" t="s">
        <v>23</v>
      </c>
      <c r="I61" s="3" t="s">
        <v>2515</v>
      </c>
      <c r="J61" s="3" t="s">
        <v>1634</v>
      </c>
      <c r="K61" s="3" t="s">
        <v>30</v>
      </c>
      <c r="L61" s="3" t="s">
        <v>2516</v>
      </c>
      <c r="M61" s="3" t="s">
        <v>2517</v>
      </c>
      <c r="N61" s="3" t="s">
        <v>2518</v>
      </c>
      <c r="O61" s="3" t="s">
        <v>2519</v>
      </c>
      <c r="P61" s="11">
        <v>3983950</v>
      </c>
      <c r="Q61" s="11">
        <v>52420</v>
      </c>
      <c r="R61" s="11">
        <v>59759</v>
      </c>
      <c r="S61" s="11">
        <v>8291</v>
      </c>
      <c r="T61" s="3" t="s">
        <v>2520</v>
      </c>
      <c r="U61" s="3" t="s">
        <v>2521</v>
      </c>
      <c r="V61" s="3" t="s">
        <v>26</v>
      </c>
    </row>
    <row r="62" spans="1:22" x14ac:dyDescent="0.2">
      <c r="A62" s="12">
        <v>73</v>
      </c>
      <c r="B62" s="3" t="s">
        <v>2522</v>
      </c>
      <c r="C62" s="3"/>
      <c r="D62" s="10">
        <v>45358</v>
      </c>
      <c r="E62" s="10">
        <v>45375</v>
      </c>
      <c r="F62" s="10">
        <v>45739</v>
      </c>
      <c r="G62" s="3" t="s">
        <v>22</v>
      </c>
      <c r="H62" s="3" t="s">
        <v>23</v>
      </c>
      <c r="I62" s="3" t="s">
        <v>2523</v>
      </c>
      <c r="J62" s="3" t="s">
        <v>2261</v>
      </c>
      <c r="K62" s="3" t="s">
        <v>30</v>
      </c>
      <c r="L62" s="3" t="s">
        <v>2524</v>
      </c>
      <c r="M62" s="3" t="s">
        <v>2525</v>
      </c>
      <c r="N62" s="3" t="s">
        <v>2526</v>
      </c>
      <c r="O62" s="3" t="s">
        <v>2527</v>
      </c>
      <c r="P62" s="11">
        <v>2868750</v>
      </c>
      <c r="Q62" s="11">
        <v>44038</v>
      </c>
      <c r="R62" s="11">
        <v>50203</v>
      </c>
      <c r="S62" s="11">
        <v>903</v>
      </c>
      <c r="T62" s="3" t="s">
        <v>2528</v>
      </c>
      <c r="U62" s="3" t="s">
        <v>2529</v>
      </c>
      <c r="V62" s="3" t="s">
        <v>26</v>
      </c>
    </row>
    <row r="63" spans="1:22" x14ac:dyDescent="0.2">
      <c r="A63" s="12">
        <v>74</v>
      </c>
      <c r="B63" s="3" t="s">
        <v>2530</v>
      </c>
      <c r="C63" s="3"/>
      <c r="D63" s="10">
        <v>45358</v>
      </c>
      <c r="E63" s="10">
        <v>45375</v>
      </c>
      <c r="F63" s="10">
        <v>45739</v>
      </c>
      <c r="G63" s="3" t="s">
        <v>22</v>
      </c>
      <c r="H63" s="3" t="s">
        <v>23</v>
      </c>
      <c r="I63" s="3" t="s">
        <v>2531</v>
      </c>
      <c r="J63" s="3" t="s">
        <v>1422</v>
      </c>
      <c r="K63" s="3" t="s">
        <v>146</v>
      </c>
      <c r="L63" s="3" t="s">
        <v>2532</v>
      </c>
      <c r="M63" s="3" t="s">
        <v>2533</v>
      </c>
      <c r="N63" s="3" t="s">
        <v>2534</v>
      </c>
      <c r="O63" s="3" t="s">
        <v>2535</v>
      </c>
      <c r="P63" s="11">
        <v>3697500</v>
      </c>
      <c r="Q63" s="11">
        <v>48651</v>
      </c>
      <c r="R63" s="11">
        <v>55463</v>
      </c>
      <c r="S63" s="11">
        <v>55463</v>
      </c>
      <c r="T63" s="3" t="s">
        <v>2536</v>
      </c>
      <c r="U63" s="3" t="s">
        <v>2537</v>
      </c>
      <c r="V63" s="3" t="s">
        <v>26</v>
      </c>
    </row>
    <row r="64" spans="1:22" x14ac:dyDescent="0.2">
      <c r="A64" s="12">
        <v>75</v>
      </c>
      <c r="B64" s="3" t="s">
        <v>2538</v>
      </c>
      <c r="C64" s="3"/>
      <c r="D64" s="10">
        <v>45358</v>
      </c>
      <c r="E64" s="10">
        <v>45359</v>
      </c>
      <c r="F64" s="10">
        <v>45723</v>
      </c>
      <c r="G64" s="3" t="s">
        <v>22</v>
      </c>
      <c r="H64" s="3" t="s">
        <v>23</v>
      </c>
      <c r="I64" s="3" t="s">
        <v>2539</v>
      </c>
      <c r="J64" s="3" t="s">
        <v>2540</v>
      </c>
      <c r="K64" s="3" t="s">
        <v>79</v>
      </c>
      <c r="L64" s="3" t="s">
        <v>2541</v>
      </c>
      <c r="M64" s="3" t="s">
        <v>2542</v>
      </c>
      <c r="N64" s="3" t="s">
        <v>2543</v>
      </c>
      <c r="O64" s="3" t="s">
        <v>2544</v>
      </c>
      <c r="P64" s="11">
        <v>5660800</v>
      </c>
      <c r="Q64" s="11">
        <v>74484</v>
      </c>
      <c r="R64" s="11">
        <v>84912</v>
      </c>
      <c r="S64" s="11">
        <v>84912</v>
      </c>
      <c r="T64" s="3" t="s">
        <v>2545</v>
      </c>
      <c r="U64" s="3" t="s">
        <v>2546</v>
      </c>
      <c r="V64" s="3" t="s">
        <v>26</v>
      </c>
    </row>
    <row r="65" spans="1:22" x14ac:dyDescent="0.2">
      <c r="A65" s="12">
        <v>76</v>
      </c>
      <c r="B65" s="3" t="s">
        <v>2547</v>
      </c>
      <c r="C65" s="3"/>
      <c r="D65" s="10">
        <v>45358</v>
      </c>
      <c r="E65" s="10">
        <v>45380</v>
      </c>
      <c r="F65" s="10">
        <v>45744</v>
      </c>
      <c r="G65" s="3" t="s">
        <v>22</v>
      </c>
      <c r="H65" s="3" t="s">
        <v>23</v>
      </c>
      <c r="I65" s="3" t="s">
        <v>2548</v>
      </c>
      <c r="J65" s="3" t="s">
        <v>391</v>
      </c>
      <c r="K65" s="3" t="s">
        <v>174</v>
      </c>
      <c r="L65" s="3" t="s">
        <v>2549</v>
      </c>
      <c r="M65" s="3" t="s">
        <v>2550</v>
      </c>
      <c r="N65" s="3" t="s">
        <v>2551</v>
      </c>
      <c r="O65" s="3" t="s">
        <v>2552</v>
      </c>
      <c r="P65" s="11">
        <v>1856250</v>
      </c>
      <c r="Q65" s="11">
        <v>61060</v>
      </c>
      <c r="R65" s="11">
        <v>69609</v>
      </c>
      <c r="S65" s="11">
        <v>69609</v>
      </c>
      <c r="T65" s="3" t="s">
        <v>2553</v>
      </c>
      <c r="U65" s="3" t="s">
        <v>2554</v>
      </c>
      <c r="V65" s="3" t="s">
        <v>26</v>
      </c>
    </row>
    <row r="66" spans="1:22" ht="38.25" x14ac:dyDescent="0.2">
      <c r="A66" s="12">
        <v>77</v>
      </c>
      <c r="B66" s="3" t="s">
        <v>2555</v>
      </c>
      <c r="C66" s="3"/>
      <c r="D66" s="10">
        <v>45383</v>
      </c>
      <c r="E66" s="10">
        <v>45364</v>
      </c>
      <c r="F66" s="10">
        <v>47189</v>
      </c>
      <c r="G66" s="3" t="s">
        <v>22</v>
      </c>
      <c r="H66" s="3" t="s">
        <v>23</v>
      </c>
      <c r="I66" s="43" t="s">
        <v>2556</v>
      </c>
      <c r="J66" s="3" t="s">
        <v>2338</v>
      </c>
      <c r="K66" s="3" t="s">
        <v>63</v>
      </c>
      <c r="L66" s="3" t="s">
        <v>2557</v>
      </c>
      <c r="M66" s="3" t="s">
        <v>2558</v>
      </c>
      <c r="N66" s="3" t="s">
        <v>2559</v>
      </c>
      <c r="O66" s="3"/>
      <c r="P66" s="11">
        <v>3465000</v>
      </c>
      <c r="Q66" s="11">
        <v>75943</v>
      </c>
      <c r="R66" s="11">
        <v>86625</v>
      </c>
      <c r="S66" s="11">
        <v>86625</v>
      </c>
      <c r="T66" s="3"/>
      <c r="U66" s="3"/>
      <c r="V66" s="3" t="s">
        <v>135</v>
      </c>
    </row>
    <row r="67" spans="1:22" ht="38.25" x14ac:dyDescent="0.2">
      <c r="A67" s="12">
        <v>78</v>
      </c>
      <c r="B67" s="3" t="s">
        <v>2560</v>
      </c>
      <c r="C67" s="3"/>
      <c r="D67" s="10">
        <v>45383</v>
      </c>
      <c r="E67" s="10">
        <v>45372</v>
      </c>
      <c r="F67" s="10">
        <v>47197</v>
      </c>
      <c r="G67" s="3" t="s">
        <v>22</v>
      </c>
      <c r="H67" s="3" t="s">
        <v>23</v>
      </c>
      <c r="I67" s="43" t="s">
        <v>2561</v>
      </c>
      <c r="J67" s="3" t="s">
        <v>2562</v>
      </c>
      <c r="K67" s="3" t="s">
        <v>63</v>
      </c>
      <c r="L67" s="3" t="s">
        <v>2563</v>
      </c>
      <c r="M67" s="3" t="s">
        <v>2564</v>
      </c>
      <c r="N67" s="3" t="s">
        <v>2565</v>
      </c>
      <c r="O67" s="3"/>
      <c r="P67" s="11">
        <v>5600000</v>
      </c>
      <c r="Q67" s="11">
        <v>122763</v>
      </c>
      <c r="R67" s="11">
        <v>140000</v>
      </c>
      <c r="S67" s="11">
        <v>140000</v>
      </c>
      <c r="T67" s="3"/>
      <c r="U67" s="3"/>
      <c r="V67" s="3" t="s">
        <v>135</v>
      </c>
    </row>
    <row r="68" spans="1:22" x14ac:dyDescent="0.2">
      <c r="A68" s="12">
        <v>79</v>
      </c>
      <c r="B68" s="3" t="s">
        <v>2566</v>
      </c>
      <c r="C68" s="3"/>
      <c r="D68" s="10">
        <v>45404</v>
      </c>
      <c r="E68" s="10">
        <v>45404</v>
      </c>
      <c r="F68" s="10">
        <v>45768</v>
      </c>
      <c r="G68" s="3" t="s">
        <v>22</v>
      </c>
      <c r="H68" s="3" t="s">
        <v>23</v>
      </c>
      <c r="I68" s="3" t="s">
        <v>2567</v>
      </c>
      <c r="J68" s="3" t="s">
        <v>2568</v>
      </c>
      <c r="K68" s="3" t="s">
        <v>95</v>
      </c>
      <c r="L68" s="3" t="s">
        <v>2569</v>
      </c>
      <c r="M68" s="3" t="s">
        <v>2570</v>
      </c>
      <c r="N68" s="3" t="s">
        <v>2571</v>
      </c>
      <c r="O68" s="3" t="s">
        <v>2572</v>
      </c>
      <c r="P68" s="11">
        <v>4100000</v>
      </c>
      <c r="Q68" s="11">
        <v>71930</v>
      </c>
      <c r="R68" s="11">
        <v>82000</v>
      </c>
      <c r="S68" s="11">
        <v>20500</v>
      </c>
      <c r="T68" s="3" t="s">
        <v>2573</v>
      </c>
      <c r="U68" s="3" t="s">
        <v>2574</v>
      </c>
      <c r="V68" s="3" t="s">
        <v>135</v>
      </c>
    </row>
    <row r="69" spans="1:22" x14ac:dyDescent="0.2">
      <c r="A69" s="12">
        <v>80</v>
      </c>
      <c r="B69" s="3" t="s">
        <v>2580</v>
      </c>
      <c r="C69" s="3"/>
      <c r="D69" s="10">
        <v>45390</v>
      </c>
      <c r="E69" s="10">
        <v>45390</v>
      </c>
      <c r="F69" s="10">
        <v>45754</v>
      </c>
      <c r="G69" s="3" t="s">
        <v>22</v>
      </c>
      <c r="H69" s="3" t="s">
        <v>23</v>
      </c>
      <c r="I69" s="3" t="s">
        <v>2575</v>
      </c>
      <c r="J69" s="3" t="s">
        <v>626</v>
      </c>
      <c r="K69" s="3" t="s">
        <v>30</v>
      </c>
      <c r="L69" s="3" t="s">
        <v>2576</v>
      </c>
      <c r="M69" s="3" t="s">
        <v>2577</v>
      </c>
      <c r="N69" s="3" t="s">
        <v>2578</v>
      </c>
      <c r="O69" s="3" t="s">
        <v>2581</v>
      </c>
      <c r="P69" s="11">
        <v>5375000</v>
      </c>
      <c r="Q69" s="11">
        <v>70724</v>
      </c>
      <c r="R69" s="11">
        <v>80625</v>
      </c>
      <c r="S69" s="11">
        <v>80625</v>
      </c>
      <c r="T69" s="3" t="s">
        <v>2579</v>
      </c>
      <c r="U69" s="3"/>
      <c r="V69" s="3" t="s">
        <v>135</v>
      </c>
    </row>
    <row r="70" spans="1:22" x14ac:dyDescent="0.2">
      <c r="A70" s="12">
        <v>81</v>
      </c>
      <c r="B70" s="3" t="s">
        <v>2582</v>
      </c>
      <c r="C70" s="3"/>
      <c r="D70" s="10">
        <v>45390</v>
      </c>
      <c r="E70" s="10">
        <v>45390</v>
      </c>
      <c r="F70" s="10">
        <v>45754</v>
      </c>
      <c r="G70" s="3" t="s">
        <v>22</v>
      </c>
      <c r="H70" s="3" t="s">
        <v>23</v>
      </c>
      <c r="I70" s="3" t="s">
        <v>2583</v>
      </c>
      <c r="J70" s="3" t="s">
        <v>292</v>
      </c>
      <c r="K70" s="3" t="s">
        <v>129</v>
      </c>
      <c r="L70" s="3"/>
      <c r="M70" s="3" t="s">
        <v>2584</v>
      </c>
      <c r="N70" s="3" t="s">
        <v>2585</v>
      </c>
      <c r="O70" s="3" t="s">
        <v>2586</v>
      </c>
      <c r="P70" s="11">
        <v>2894000</v>
      </c>
      <c r="Q70" s="11">
        <v>38079</v>
      </c>
      <c r="R70" s="11">
        <v>43410</v>
      </c>
      <c r="S70" s="11">
        <v>43410</v>
      </c>
      <c r="T70" s="3" t="s">
        <v>2587</v>
      </c>
      <c r="U70" s="3" t="s">
        <v>2588</v>
      </c>
      <c r="V70" s="3" t="s">
        <v>135</v>
      </c>
    </row>
    <row r="71" spans="1:22" ht="38.25" x14ac:dyDescent="0.2">
      <c r="A71" s="12">
        <v>82</v>
      </c>
      <c r="B71" s="3" t="s">
        <v>2589</v>
      </c>
      <c r="C71" s="3"/>
      <c r="D71" s="10">
        <v>45384</v>
      </c>
      <c r="E71" s="10">
        <v>45379</v>
      </c>
      <c r="F71" s="10">
        <v>47204</v>
      </c>
      <c r="G71" s="3" t="s">
        <v>22</v>
      </c>
      <c r="H71" s="3" t="s">
        <v>23</v>
      </c>
      <c r="I71" s="43" t="s">
        <v>2590</v>
      </c>
      <c r="J71" s="3" t="s">
        <v>2338</v>
      </c>
      <c r="K71" s="3" t="s">
        <v>63</v>
      </c>
      <c r="L71" s="3" t="s">
        <v>2591</v>
      </c>
      <c r="M71" s="3" t="s">
        <v>2592</v>
      </c>
      <c r="N71" s="3" t="s">
        <v>2593</v>
      </c>
      <c r="O71" s="3"/>
      <c r="P71" s="11">
        <v>3465000</v>
      </c>
      <c r="Q71" s="11">
        <v>75943</v>
      </c>
      <c r="R71" s="11">
        <v>86625</v>
      </c>
      <c r="S71" s="11">
        <v>86625</v>
      </c>
      <c r="T71" s="3"/>
      <c r="U71" s="3"/>
      <c r="V71" s="3" t="s">
        <v>135</v>
      </c>
    </row>
    <row r="72" spans="1:22" x14ac:dyDescent="0.2">
      <c r="A72" s="12">
        <v>83</v>
      </c>
      <c r="B72" s="3" t="s">
        <v>2594</v>
      </c>
      <c r="C72" s="3"/>
      <c r="D72" s="10">
        <v>45385</v>
      </c>
      <c r="E72" s="10">
        <v>45386</v>
      </c>
      <c r="F72" s="10">
        <v>45750</v>
      </c>
      <c r="G72" s="3" t="s">
        <v>22</v>
      </c>
      <c r="H72" s="3" t="s">
        <v>23</v>
      </c>
      <c r="I72" s="3" t="s">
        <v>2595</v>
      </c>
      <c r="J72" s="3" t="s">
        <v>71</v>
      </c>
      <c r="K72" s="3" t="s">
        <v>63</v>
      </c>
      <c r="L72" s="3" t="s">
        <v>2596</v>
      </c>
      <c r="M72" s="3" t="s">
        <v>2597</v>
      </c>
      <c r="N72" s="3" t="s">
        <v>2598</v>
      </c>
      <c r="O72" s="3" t="s">
        <v>2599</v>
      </c>
      <c r="P72" s="11">
        <v>1755900</v>
      </c>
      <c r="Q72" s="11">
        <v>30761</v>
      </c>
      <c r="R72" s="11">
        <v>35118</v>
      </c>
      <c r="S72" s="11">
        <v>35118</v>
      </c>
      <c r="T72" s="3" t="s">
        <v>2600</v>
      </c>
      <c r="U72" s="3" t="s">
        <v>2601</v>
      </c>
      <c r="V72" s="3" t="s">
        <v>26</v>
      </c>
    </row>
    <row r="73" spans="1:22" x14ac:dyDescent="0.2">
      <c r="A73" s="12">
        <v>84</v>
      </c>
      <c r="B73" s="3" t="s">
        <v>2602</v>
      </c>
      <c r="C73" s="3"/>
      <c r="D73" s="10">
        <v>45385</v>
      </c>
      <c r="E73" s="10">
        <v>45395</v>
      </c>
      <c r="F73" s="10">
        <v>45759</v>
      </c>
      <c r="G73" s="3" t="s">
        <v>22</v>
      </c>
      <c r="H73" s="3" t="s">
        <v>23</v>
      </c>
      <c r="I73" s="3" t="s">
        <v>2603</v>
      </c>
      <c r="J73" s="3" t="s">
        <v>368</v>
      </c>
      <c r="K73" s="3" t="s">
        <v>30</v>
      </c>
      <c r="L73" s="3" t="s">
        <v>2604</v>
      </c>
      <c r="M73" s="3" t="s">
        <v>2605</v>
      </c>
      <c r="N73" s="3" t="s">
        <v>2606</v>
      </c>
      <c r="O73" s="3" t="s">
        <v>2607</v>
      </c>
      <c r="P73" s="11">
        <v>1716150</v>
      </c>
      <c r="Q73" s="11">
        <v>37635</v>
      </c>
      <c r="R73" s="11">
        <v>42904</v>
      </c>
      <c r="S73" s="11">
        <v>42904</v>
      </c>
      <c r="T73" s="3" t="s">
        <v>2608</v>
      </c>
      <c r="U73" s="3" t="s">
        <v>2609</v>
      </c>
      <c r="V73" s="3" t="s">
        <v>26</v>
      </c>
    </row>
    <row r="74" spans="1:22" x14ac:dyDescent="0.2">
      <c r="A74" s="12">
        <v>85</v>
      </c>
      <c r="B74" s="3" t="s">
        <v>2610</v>
      </c>
      <c r="C74" s="3"/>
      <c r="D74" s="10">
        <v>45385</v>
      </c>
      <c r="E74" s="10">
        <v>45398</v>
      </c>
      <c r="F74" s="10">
        <v>45762</v>
      </c>
      <c r="G74" s="3" t="s">
        <v>22</v>
      </c>
      <c r="H74" s="3" t="s">
        <v>23</v>
      </c>
      <c r="I74" s="3" t="s">
        <v>2611</v>
      </c>
      <c r="J74" s="3" t="s">
        <v>1470</v>
      </c>
      <c r="K74" s="3" t="s">
        <v>30</v>
      </c>
      <c r="L74" s="3" t="s">
        <v>2612</v>
      </c>
      <c r="M74" s="3" t="s">
        <v>2613</v>
      </c>
      <c r="N74" s="3" t="s">
        <v>2614</v>
      </c>
      <c r="O74" s="3" t="s">
        <v>2615</v>
      </c>
      <c r="P74" s="11">
        <v>1678750</v>
      </c>
      <c r="Q74" s="11">
        <v>25770</v>
      </c>
      <c r="R74" s="11">
        <v>29378</v>
      </c>
      <c r="S74" s="11">
        <v>29378</v>
      </c>
      <c r="T74" s="3" t="s">
        <v>2616</v>
      </c>
      <c r="U74" s="3" t="s">
        <v>2617</v>
      </c>
      <c r="V74" s="3" t="s">
        <v>26</v>
      </c>
    </row>
    <row r="75" spans="1:22" x14ac:dyDescent="0.2">
      <c r="A75" s="12">
        <v>86</v>
      </c>
      <c r="B75" s="3" t="s">
        <v>2618</v>
      </c>
      <c r="C75" s="3"/>
      <c r="D75" s="10">
        <v>45385</v>
      </c>
      <c r="E75" s="10">
        <v>45400</v>
      </c>
      <c r="F75" s="10">
        <v>45764</v>
      </c>
      <c r="G75" s="3" t="s">
        <v>22</v>
      </c>
      <c r="H75" s="3" t="s">
        <v>23</v>
      </c>
      <c r="I75" s="3" t="s">
        <v>2619</v>
      </c>
      <c r="J75" s="3" t="s">
        <v>391</v>
      </c>
      <c r="K75" s="3" t="s">
        <v>25</v>
      </c>
      <c r="L75" s="3" t="s">
        <v>2620</v>
      </c>
      <c r="M75" s="3" t="s">
        <v>2621</v>
      </c>
      <c r="N75" s="3" t="s">
        <v>2622</v>
      </c>
      <c r="O75" s="3" t="s">
        <v>2623</v>
      </c>
      <c r="P75" s="11">
        <v>2125000</v>
      </c>
      <c r="Q75" s="11">
        <v>46601</v>
      </c>
      <c r="R75" s="11">
        <v>53125</v>
      </c>
      <c r="S75" s="11">
        <v>53125</v>
      </c>
      <c r="T75" s="3" t="s">
        <v>2624</v>
      </c>
      <c r="U75" s="3" t="s">
        <v>2625</v>
      </c>
      <c r="V75" s="3" t="s">
        <v>26</v>
      </c>
    </row>
    <row r="76" spans="1:22" x14ac:dyDescent="0.2">
      <c r="A76" s="12">
        <v>87</v>
      </c>
      <c r="B76" s="3" t="s">
        <v>2626</v>
      </c>
      <c r="C76" s="3"/>
      <c r="D76" s="10">
        <v>45385</v>
      </c>
      <c r="E76" s="10">
        <v>45402</v>
      </c>
      <c r="F76" s="10">
        <v>45766</v>
      </c>
      <c r="G76" s="3" t="s">
        <v>22</v>
      </c>
      <c r="H76" s="3" t="s">
        <v>23</v>
      </c>
      <c r="I76" s="3" t="s">
        <v>2627</v>
      </c>
      <c r="J76" s="3" t="s">
        <v>2288</v>
      </c>
      <c r="K76" s="3" t="s">
        <v>30</v>
      </c>
      <c r="L76" s="3" t="s">
        <v>2628</v>
      </c>
      <c r="M76" s="3" t="s">
        <v>2629</v>
      </c>
      <c r="N76" s="3" t="s">
        <v>2630</v>
      </c>
      <c r="O76" s="3" t="s">
        <v>2631</v>
      </c>
      <c r="P76" s="11">
        <v>1809650</v>
      </c>
      <c r="Q76" s="11">
        <v>39685</v>
      </c>
      <c r="R76" s="11">
        <v>45241</v>
      </c>
      <c r="S76" s="11">
        <v>18096</v>
      </c>
      <c r="T76" s="3" t="s">
        <v>2632</v>
      </c>
      <c r="U76" s="3" t="s">
        <v>2633</v>
      </c>
      <c r="V76" s="3" t="s">
        <v>26</v>
      </c>
    </row>
    <row r="77" spans="1:22" x14ac:dyDescent="0.2">
      <c r="A77" s="12">
        <v>88</v>
      </c>
      <c r="B77" s="3" t="s">
        <v>2634</v>
      </c>
      <c r="C77" s="3" t="s">
        <v>2635</v>
      </c>
      <c r="D77" s="10">
        <v>45506</v>
      </c>
      <c r="E77" s="10">
        <v>45410</v>
      </c>
      <c r="F77" s="10">
        <v>45774</v>
      </c>
      <c r="G77" s="3" t="s">
        <v>22</v>
      </c>
      <c r="H77" s="3" t="s">
        <v>23</v>
      </c>
      <c r="I77" s="3" t="s">
        <v>2636</v>
      </c>
      <c r="J77" s="3" t="s">
        <v>1797</v>
      </c>
      <c r="K77" s="3" t="s">
        <v>30</v>
      </c>
      <c r="L77" s="3" t="s">
        <v>2637</v>
      </c>
      <c r="M77" s="3" t="s">
        <v>2638</v>
      </c>
      <c r="N77" s="3" t="s">
        <v>2639</v>
      </c>
      <c r="O77" s="3" t="s">
        <v>2640</v>
      </c>
      <c r="P77" s="11">
        <v>67000</v>
      </c>
      <c r="Q77" s="11">
        <v>1444</v>
      </c>
      <c r="R77" s="11">
        <v>1675</v>
      </c>
      <c r="S77" s="11">
        <v>1675</v>
      </c>
      <c r="T77" s="3" t="s">
        <v>2641</v>
      </c>
      <c r="U77" s="3" t="s">
        <v>2642</v>
      </c>
      <c r="V77" s="3" t="s">
        <v>26</v>
      </c>
    </row>
    <row r="78" spans="1:22" x14ac:dyDescent="0.2">
      <c r="A78" s="12">
        <v>89</v>
      </c>
      <c r="B78" s="3" t="s">
        <v>2643</v>
      </c>
      <c r="C78" s="3"/>
      <c r="D78" s="10">
        <v>45385</v>
      </c>
      <c r="E78" s="10">
        <v>45387</v>
      </c>
      <c r="F78" s="10">
        <v>45751</v>
      </c>
      <c r="G78" s="3" t="s">
        <v>22</v>
      </c>
      <c r="H78" s="3" t="s">
        <v>23</v>
      </c>
      <c r="I78" s="3" t="s">
        <v>2644</v>
      </c>
      <c r="J78" s="3" t="s">
        <v>292</v>
      </c>
      <c r="K78" s="3" t="s">
        <v>30</v>
      </c>
      <c r="L78" s="3" t="s">
        <v>2645</v>
      </c>
      <c r="M78" s="3" t="s">
        <v>2646</v>
      </c>
      <c r="N78" s="3" t="s">
        <v>2647</v>
      </c>
      <c r="O78" s="3" t="s">
        <v>2648</v>
      </c>
      <c r="P78" s="11">
        <v>1314100</v>
      </c>
      <c r="Q78" s="11">
        <v>20173</v>
      </c>
      <c r="R78" s="11">
        <v>22997</v>
      </c>
      <c r="S78" s="11">
        <v>22997</v>
      </c>
      <c r="T78" s="3" t="s">
        <v>2649</v>
      </c>
      <c r="U78" s="3" t="s">
        <v>2650</v>
      </c>
      <c r="V78" s="3" t="s">
        <v>26</v>
      </c>
    </row>
    <row r="79" spans="1:22" x14ac:dyDescent="0.2">
      <c r="A79" s="12">
        <v>90</v>
      </c>
      <c r="B79" s="3" t="s">
        <v>2651</v>
      </c>
      <c r="C79" s="3"/>
      <c r="D79" s="10">
        <v>45385</v>
      </c>
      <c r="E79" s="10">
        <v>45409</v>
      </c>
      <c r="F79" s="10">
        <v>45773</v>
      </c>
      <c r="G79" s="3" t="s">
        <v>22</v>
      </c>
      <c r="H79" s="3" t="s">
        <v>23</v>
      </c>
      <c r="I79" s="3" t="s">
        <v>2652</v>
      </c>
      <c r="J79" s="3" t="s">
        <v>2653</v>
      </c>
      <c r="K79" s="3" t="s">
        <v>30</v>
      </c>
      <c r="L79" s="3" t="s">
        <v>2654</v>
      </c>
      <c r="M79" s="3" t="s">
        <v>2655</v>
      </c>
      <c r="N79" s="3" t="s">
        <v>2656</v>
      </c>
      <c r="O79" s="3" t="s">
        <v>2657</v>
      </c>
      <c r="P79" s="11">
        <v>2427600</v>
      </c>
      <c r="Q79" s="11">
        <v>37265</v>
      </c>
      <c r="R79" s="11">
        <v>42483</v>
      </c>
      <c r="S79" s="11">
        <v>42483</v>
      </c>
      <c r="T79" s="3" t="s">
        <v>2658</v>
      </c>
      <c r="U79" s="3" t="s">
        <v>2659</v>
      </c>
      <c r="V79" s="3" t="s">
        <v>26</v>
      </c>
    </row>
    <row r="80" spans="1:22" x14ac:dyDescent="0.2">
      <c r="A80" s="12">
        <v>91</v>
      </c>
      <c r="B80" s="3" t="s">
        <v>2660</v>
      </c>
      <c r="C80" s="3"/>
      <c r="D80" s="10">
        <v>45385</v>
      </c>
      <c r="E80" s="10">
        <v>45412</v>
      </c>
      <c r="F80" s="10">
        <v>45776</v>
      </c>
      <c r="G80" s="3" t="s">
        <v>22</v>
      </c>
      <c r="H80" s="3" t="s">
        <v>23</v>
      </c>
      <c r="I80" s="3" t="s">
        <v>2661</v>
      </c>
      <c r="J80" s="3" t="s">
        <v>368</v>
      </c>
      <c r="K80" s="3" t="s">
        <v>30</v>
      </c>
      <c r="L80" s="3"/>
      <c r="M80" s="3" t="s">
        <v>2662</v>
      </c>
      <c r="N80" s="3" t="s">
        <v>2663</v>
      </c>
      <c r="O80" s="3" t="s">
        <v>2664</v>
      </c>
      <c r="P80" s="11">
        <v>1771400</v>
      </c>
      <c r="Q80" s="11">
        <v>38847</v>
      </c>
      <c r="R80" s="11">
        <v>44285</v>
      </c>
      <c r="S80" s="11">
        <v>44285</v>
      </c>
      <c r="T80" s="3" t="s">
        <v>2665</v>
      </c>
      <c r="U80" s="3" t="s">
        <v>2666</v>
      </c>
      <c r="V80" s="3" t="s">
        <v>26</v>
      </c>
    </row>
    <row r="81" spans="1:22" x14ac:dyDescent="0.2">
      <c r="A81" s="12">
        <v>92</v>
      </c>
      <c r="B81" s="3" t="s">
        <v>2667</v>
      </c>
      <c r="C81" s="3"/>
      <c r="D81" s="10">
        <v>45385</v>
      </c>
      <c r="E81" s="10">
        <v>45412</v>
      </c>
      <c r="F81" s="10">
        <v>45776</v>
      </c>
      <c r="G81" s="3" t="s">
        <v>22</v>
      </c>
      <c r="H81" s="3" t="s">
        <v>23</v>
      </c>
      <c r="I81" s="3" t="s">
        <v>2668</v>
      </c>
      <c r="J81" s="3" t="s">
        <v>2653</v>
      </c>
      <c r="K81" s="3"/>
      <c r="L81" s="3" t="s">
        <v>2669</v>
      </c>
      <c r="M81" s="3" t="s">
        <v>2670</v>
      </c>
      <c r="N81" s="3" t="s">
        <v>2671</v>
      </c>
      <c r="O81" s="3"/>
      <c r="P81" s="11">
        <v>2366400</v>
      </c>
      <c r="Q81" s="11">
        <v>36327</v>
      </c>
      <c r="R81" s="11">
        <v>41412</v>
      </c>
      <c r="S81" s="11">
        <v>41412</v>
      </c>
      <c r="T81" s="3" t="s">
        <v>2672</v>
      </c>
      <c r="U81" s="3"/>
      <c r="V81" s="3" t="s">
        <v>26</v>
      </c>
    </row>
    <row r="82" spans="1:22" x14ac:dyDescent="0.2">
      <c r="A82" s="12">
        <v>93</v>
      </c>
      <c r="B82" s="3" t="s">
        <v>2673</v>
      </c>
      <c r="C82" s="3"/>
      <c r="D82" s="10">
        <v>45385</v>
      </c>
      <c r="E82" s="10">
        <v>45407</v>
      </c>
      <c r="F82" s="10">
        <v>45771</v>
      </c>
      <c r="G82" s="3" t="s">
        <v>22</v>
      </c>
      <c r="H82" s="3" t="s">
        <v>23</v>
      </c>
      <c r="I82" s="3" t="s">
        <v>2674</v>
      </c>
      <c r="J82" s="3" t="s">
        <v>1470</v>
      </c>
      <c r="K82" s="3" t="s">
        <v>174</v>
      </c>
      <c r="L82" s="3" t="s">
        <v>2675</v>
      </c>
      <c r="M82" s="3" t="s">
        <v>2676</v>
      </c>
      <c r="N82" s="3" t="s">
        <v>2677</v>
      </c>
      <c r="O82" s="3" t="s">
        <v>2678</v>
      </c>
      <c r="P82" s="11">
        <v>735000</v>
      </c>
      <c r="Q82" s="11">
        <v>24178</v>
      </c>
      <c r="R82" s="11">
        <v>27563</v>
      </c>
      <c r="S82" s="11">
        <v>27563</v>
      </c>
      <c r="T82" s="3" t="s">
        <v>2679</v>
      </c>
      <c r="U82" s="3" t="s">
        <v>2680</v>
      </c>
      <c r="V82" s="3" t="s">
        <v>26</v>
      </c>
    </row>
    <row r="83" spans="1:22" x14ac:dyDescent="0.2">
      <c r="A83" s="12">
        <v>94</v>
      </c>
      <c r="B83" s="3" t="s">
        <v>2681</v>
      </c>
      <c r="C83" s="3"/>
      <c r="D83" s="10">
        <v>45385</v>
      </c>
      <c r="E83" s="10">
        <v>45408</v>
      </c>
      <c r="F83" s="10">
        <v>45772</v>
      </c>
      <c r="G83" s="3" t="s">
        <v>22</v>
      </c>
      <c r="H83" s="3" t="s">
        <v>23</v>
      </c>
      <c r="I83" s="3" t="s">
        <v>2682</v>
      </c>
      <c r="J83" s="3" t="s">
        <v>814</v>
      </c>
      <c r="K83" s="3" t="s">
        <v>174</v>
      </c>
      <c r="L83" s="3" t="s">
        <v>2683</v>
      </c>
      <c r="M83" s="3" t="s">
        <v>2684</v>
      </c>
      <c r="N83" s="3" t="s">
        <v>2685</v>
      </c>
      <c r="O83" s="3" t="s">
        <v>2686</v>
      </c>
      <c r="P83" s="11">
        <v>1480000</v>
      </c>
      <c r="Q83" s="11">
        <v>32456</v>
      </c>
      <c r="R83" s="11">
        <v>37000</v>
      </c>
      <c r="S83" s="11">
        <v>37000</v>
      </c>
      <c r="T83" s="3" t="s">
        <v>2687</v>
      </c>
      <c r="U83" s="3" t="s">
        <v>2688</v>
      </c>
      <c r="V83" s="3" t="s">
        <v>26</v>
      </c>
    </row>
    <row r="84" spans="1:22" x14ac:dyDescent="0.2">
      <c r="A84" s="12">
        <v>95</v>
      </c>
      <c r="B84" s="3" t="s">
        <v>2689</v>
      </c>
      <c r="C84" s="3"/>
      <c r="D84" s="10">
        <v>45385</v>
      </c>
      <c r="E84" s="10">
        <v>45411</v>
      </c>
      <c r="F84" s="10">
        <v>45775</v>
      </c>
      <c r="G84" s="3" t="s">
        <v>22</v>
      </c>
      <c r="H84" s="3" t="s">
        <v>23</v>
      </c>
      <c r="I84" s="3" t="s">
        <v>2690</v>
      </c>
      <c r="J84" s="3" t="s">
        <v>1863</v>
      </c>
      <c r="K84" s="3" t="s">
        <v>25</v>
      </c>
      <c r="L84" s="3" t="s">
        <v>2691</v>
      </c>
      <c r="M84" s="3" t="s">
        <v>2692</v>
      </c>
      <c r="N84" s="3" t="s">
        <v>2693</v>
      </c>
      <c r="O84" s="3" t="s">
        <v>2694</v>
      </c>
      <c r="P84" s="11">
        <v>2160000</v>
      </c>
      <c r="Q84" s="11">
        <v>47368</v>
      </c>
      <c r="R84" s="11">
        <v>54000</v>
      </c>
      <c r="S84" s="11">
        <v>54000</v>
      </c>
      <c r="T84" s="3" t="s">
        <v>2695</v>
      </c>
      <c r="U84" s="3" t="s">
        <v>2696</v>
      </c>
      <c r="V84" s="3" t="s">
        <v>26</v>
      </c>
    </row>
    <row r="85" spans="1:22" x14ac:dyDescent="0.2">
      <c r="A85" s="12">
        <v>96</v>
      </c>
      <c r="B85" s="3" t="s">
        <v>2697</v>
      </c>
      <c r="C85" s="3"/>
      <c r="D85" s="10">
        <v>45385</v>
      </c>
      <c r="E85" s="10">
        <v>45412</v>
      </c>
      <c r="F85" s="10">
        <v>45776</v>
      </c>
      <c r="G85" s="3" t="s">
        <v>22</v>
      </c>
      <c r="H85" s="3" t="s">
        <v>23</v>
      </c>
      <c r="I85" s="3" t="s">
        <v>2698</v>
      </c>
      <c r="J85" s="3" t="s">
        <v>391</v>
      </c>
      <c r="K85" s="3" t="s">
        <v>25</v>
      </c>
      <c r="L85" s="3" t="s">
        <v>2699</v>
      </c>
      <c r="M85" s="3" t="s">
        <v>2700</v>
      </c>
      <c r="N85" s="3" t="s">
        <v>2701</v>
      </c>
      <c r="O85" s="3" t="s">
        <v>2702</v>
      </c>
      <c r="P85" s="11">
        <v>2240000</v>
      </c>
      <c r="Q85" s="11">
        <v>49123</v>
      </c>
      <c r="R85" s="11">
        <v>56000</v>
      </c>
      <c r="S85" s="11">
        <v>56000</v>
      </c>
      <c r="T85" s="3" t="s">
        <v>2703</v>
      </c>
      <c r="U85" s="3" t="s">
        <v>2704</v>
      </c>
      <c r="V85" s="3" t="s">
        <v>26</v>
      </c>
    </row>
    <row r="86" spans="1:22" x14ac:dyDescent="0.2">
      <c r="A86" s="12">
        <v>97</v>
      </c>
      <c r="B86" s="3" t="s">
        <v>2705</v>
      </c>
      <c r="C86" s="3"/>
      <c r="D86" s="10">
        <v>45419</v>
      </c>
      <c r="E86" s="10">
        <v>45107</v>
      </c>
      <c r="F86" s="10">
        <v>45472</v>
      </c>
      <c r="G86" s="3" t="s">
        <v>22</v>
      </c>
      <c r="H86" s="3" t="s">
        <v>23</v>
      </c>
      <c r="I86" s="3" t="s">
        <v>2706</v>
      </c>
      <c r="J86" s="3" t="s">
        <v>2707</v>
      </c>
      <c r="K86" s="3" t="s">
        <v>109</v>
      </c>
      <c r="L86" s="3" t="s">
        <v>2708</v>
      </c>
      <c r="M86" s="3" t="s">
        <v>2709</v>
      </c>
      <c r="N86" s="3" t="s">
        <v>2710</v>
      </c>
      <c r="O86" s="3" t="s">
        <v>2711</v>
      </c>
      <c r="P86" s="11">
        <v>2252500</v>
      </c>
      <c r="Q86" s="11">
        <v>49397</v>
      </c>
      <c r="R86" s="11">
        <v>56313</v>
      </c>
      <c r="S86" s="11">
        <v>56313</v>
      </c>
      <c r="T86" s="3" t="s">
        <v>2712</v>
      </c>
      <c r="U86" s="3" t="s">
        <v>2713</v>
      </c>
      <c r="V86" s="3" t="s">
        <v>26</v>
      </c>
    </row>
    <row r="87" spans="1:22" x14ac:dyDescent="0.2">
      <c r="A87" s="12">
        <v>98</v>
      </c>
      <c r="B87" s="3" t="s">
        <v>2714</v>
      </c>
      <c r="C87" s="3" t="s">
        <v>2715</v>
      </c>
      <c r="D87" s="10">
        <v>45506</v>
      </c>
      <c r="E87" s="10">
        <v>45382</v>
      </c>
      <c r="F87" s="10">
        <v>45746</v>
      </c>
      <c r="G87" s="3" t="s">
        <v>22</v>
      </c>
      <c r="H87" s="3" t="s">
        <v>23</v>
      </c>
      <c r="I87" s="3" t="s">
        <v>2716</v>
      </c>
      <c r="J87" s="3" t="s">
        <v>1470</v>
      </c>
      <c r="K87" s="3" t="s">
        <v>79</v>
      </c>
      <c r="L87" s="3"/>
      <c r="M87" s="3" t="s">
        <v>2717</v>
      </c>
      <c r="N87" s="3" t="s">
        <v>2718</v>
      </c>
      <c r="O87" s="3" t="s">
        <v>2719</v>
      </c>
      <c r="P87" s="11">
        <v>60550</v>
      </c>
      <c r="Q87" s="11">
        <v>1305</v>
      </c>
      <c r="R87" s="11">
        <v>1514</v>
      </c>
      <c r="S87" s="11">
        <v>1514</v>
      </c>
      <c r="T87" s="3" t="s">
        <v>2720</v>
      </c>
      <c r="U87" s="3" t="s">
        <v>2721</v>
      </c>
      <c r="V87" s="3" t="s">
        <v>26</v>
      </c>
    </row>
    <row r="88" spans="1:22" x14ac:dyDescent="0.2">
      <c r="A88" s="12">
        <v>99</v>
      </c>
      <c r="B88" s="3" t="s">
        <v>2722</v>
      </c>
      <c r="C88" s="3"/>
      <c r="D88" s="10">
        <v>45435</v>
      </c>
      <c r="E88" s="10">
        <v>45416</v>
      </c>
      <c r="F88" s="10">
        <v>45780</v>
      </c>
      <c r="G88" s="3" t="s">
        <v>22</v>
      </c>
      <c r="H88" s="3" t="s">
        <v>23</v>
      </c>
      <c r="I88" s="3" t="s">
        <v>2723</v>
      </c>
      <c r="J88" s="3" t="s">
        <v>2724</v>
      </c>
      <c r="K88" s="3" t="s">
        <v>146</v>
      </c>
      <c r="L88" s="3" t="s">
        <v>2725</v>
      </c>
      <c r="M88" s="3" t="s">
        <v>2726</v>
      </c>
      <c r="N88" s="3" t="s">
        <v>2727</v>
      </c>
      <c r="O88" s="3"/>
      <c r="P88" s="11">
        <v>611800</v>
      </c>
      <c r="Q88" s="11">
        <v>20126</v>
      </c>
      <c r="R88" s="11">
        <v>22943</v>
      </c>
      <c r="S88" s="11">
        <v>22943</v>
      </c>
      <c r="T88" s="3" t="s">
        <v>2728</v>
      </c>
      <c r="U88" s="3" t="s">
        <v>2729</v>
      </c>
      <c r="V88" s="3" t="s">
        <v>26</v>
      </c>
    </row>
    <row r="89" spans="1:22" x14ac:dyDescent="0.2">
      <c r="A89" s="12">
        <v>100</v>
      </c>
      <c r="B89" s="3" t="s">
        <v>2730</v>
      </c>
      <c r="C89" s="3"/>
      <c r="D89" s="10">
        <v>45435</v>
      </c>
      <c r="E89" s="10">
        <v>45422</v>
      </c>
      <c r="F89" s="10">
        <v>45786</v>
      </c>
      <c r="G89" s="3" t="s">
        <v>22</v>
      </c>
      <c r="H89" s="3" t="s">
        <v>23</v>
      </c>
      <c r="I89" s="3" t="s">
        <v>2731</v>
      </c>
      <c r="J89" s="3" t="s">
        <v>1479</v>
      </c>
      <c r="K89" s="3" t="s">
        <v>146</v>
      </c>
      <c r="L89" s="3" t="s">
        <v>2732</v>
      </c>
      <c r="M89" s="3" t="s">
        <v>2733</v>
      </c>
      <c r="N89" s="3" t="s">
        <v>2734</v>
      </c>
      <c r="O89" s="3"/>
      <c r="P89" s="11">
        <v>2476600</v>
      </c>
      <c r="Q89" s="11">
        <v>71691</v>
      </c>
      <c r="R89" s="11">
        <v>81728</v>
      </c>
      <c r="S89" s="11">
        <v>81728</v>
      </c>
      <c r="T89" s="3" t="s">
        <v>2735</v>
      </c>
      <c r="U89" s="3" t="s">
        <v>2736</v>
      </c>
      <c r="V89" s="3" t="s">
        <v>26</v>
      </c>
    </row>
    <row r="90" spans="1:22" x14ac:dyDescent="0.2">
      <c r="A90" s="12">
        <v>101</v>
      </c>
      <c r="B90" s="3" t="s">
        <v>2737</v>
      </c>
      <c r="C90" s="3"/>
      <c r="D90" s="10">
        <v>45469</v>
      </c>
      <c r="E90" s="10">
        <v>45468</v>
      </c>
      <c r="F90" s="10">
        <v>45832</v>
      </c>
      <c r="G90" s="3" t="s">
        <v>22</v>
      </c>
      <c r="H90" s="3" t="s">
        <v>23</v>
      </c>
      <c r="I90" s="3" t="s">
        <v>2738</v>
      </c>
      <c r="J90" s="3" t="s">
        <v>1479</v>
      </c>
      <c r="K90" s="3" t="s">
        <v>95</v>
      </c>
      <c r="L90" s="3" t="s">
        <v>2739</v>
      </c>
      <c r="M90" s="3" t="s">
        <v>2740</v>
      </c>
      <c r="N90" s="3" t="s">
        <v>2741</v>
      </c>
      <c r="O90" s="3"/>
      <c r="P90" s="11">
        <v>3040875</v>
      </c>
      <c r="Q90" s="11">
        <v>40012</v>
      </c>
      <c r="R90" s="11">
        <v>45613</v>
      </c>
      <c r="S90" s="11">
        <v>45613</v>
      </c>
      <c r="T90" s="3" t="s">
        <v>2742</v>
      </c>
      <c r="U90" s="3" t="s">
        <v>2743</v>
      </c>
      <c r="V90" s="3" t="s">
        <v>26</v>
      </c>
    </row>
    <row r="91" spans="1:22" x14ac:dyDescent="0.2">
      <c r="A91" s="12">
        <v>102</v>
      </c>
      <c r="B91" s="3" t="s">
        <v>2744</v>
      </c>
      <c r="C91" s="3"/>
      <c r="D91" s="10">
        <v>45469</v>
      </c>
      <c r="E91" s="10">
        <v>45472</v>
      </c>
      <c r="F91" s="10">
        <v>45836</v>
      </c>
      <c r="G91" s="3" t="s">
        <v>22</v>
      </c>
      <c r="H91" s="3" t="s">
        <v>23</v>
      </c>
      <c r="I91" s="3" t="s">
        <v>2745</v>
      </c>
      <c r="J91" s="3" t="s">
        <v>1422</v>
      </c>
      <c r="K91" s="3" t="s">
        <v>174</v>
      </c>
      <c r="L91" s="3" t="s">
        <v>2746</v>
      </c>
      <c r="M91" s="3" t="s">
        <v>2747</v>
      </c>
      <c r="N91" s="3" t="s">
        <v>2748</v>
      </c>
      <c r="O91" s="3"/>
      <c r="P91" s="11">
        <v>900000</v>
      </c>
      <c r="Q91" s="11">
        <v>29605</v>
      </c>
      <c r="R91" s="11">
        <v>33750</v>
      </c>
      <c r="S91" s="11">
        <v>33750</v>
      </c>
      <c r="T91" s="3" t="s">
        <v>2749</v>
      </c>
      <c r="U91" s="3" t="s">
        <v>2750</v>
      </c>
      <c r="V91" s="3" t="s">
        <v>26</v>
      </c>
    </row>
    <row r="92" spans="1:22" x14ac:dyDescent="0.2">
      <c r="A92" s="12">
        <v>103</v>
      </c>
      <c r="B92" s="3" t="s">
        <v>2751</v>
      </c>
      <c r="C92" s="3"/>
      <c r="D92" s="10">
        <v>45469</v>
      </c>
      <c r="E92" s="10">
        <v>45472</v>
      </c>
      <c r="F92" s="10">
        <v>45836</v>
      </c>
      <c r="G92" s="3" t="s">
        <v>22</v>
      </c>
      <c r="H92" s="3" t="s">
        <v>23</v>
      </c>
      <c r="I92" s="3" t="s">
        <v>2752</v>
      </c>
      <c r="J92" s="3" t="s">
        <v>292</v>
      </c>
      <c r="K92" s="3" t="s">
        <v>95</v>
      </c>
      <c r="L92" s="3" t="s">
        <v>2753</v>
      </c>
      <c r="M92" s="3" t="s">
        <v>2754</v>
      </c>
      <c r="N92" s="3" t="s">
        <v>2755</v>
      </c>
      <c r="O92" s="3"/>
      <c r="P92" s="11">
        <v>1048500</v>
      </c>
      <c r="Q92" s="11">
        <v>34490</v>
      </c>
      <c r="R92" s="11">
        <v>39319</v>
      </c>
      <c r="S92" s="11">
        <v>39319</v>
      </c>
      <c r="T92" s="3" t="s">
        <v>2756</v>
      </c>
      <c r="U92" s="3" t="s">
        <v>2757</v>
      </c>
      <c r="V92" s="3" t="s">
        <v>26</v>
      </c>
    </row>
    <row r="93" spans="1:22" x14ac:dyDescent="0.2">
      <c r="A93" s="12">
        <v>104</v>
      </c>
      <c r="B93" s="3" t="s">
        <v>2758</v>
      </c>
      <c r="C93" s="3"/>
      <c r="D93" s="10">
        <v>45469</v>
      </c>
      <c r="E93" s="10">
        <v>45473</v>
      </c>
      <c r="F93" s="10">
        <v>45837</v>
      </c>
      <c r="G93" s="3" t="s">
        <v>22</v>
      </c>
      <c r="H93" s="3" t="s">
        <v>23</v>
      </c>
      <c r="I93" s="3" t="s">
        <v>2759</v>
      </c>
      <c r="J93" s="3" t="s">
        <v>934</v>
      </c>
      <c r="K93" s="3" t="s">
        <v>79</v>
      </c>
      <c r="L93" s="3" t="s">
        <v>2760</v>
      </c>
      <c r="M93" s="3" t="s">
        <v>2170</v>
      </c>
      <c r="N93" s="3" t="s">
        <v>2171</v>
      </c>
      <c r="O93" s="3"/>
      <c r="P93" s="11">
        <v>867000</v>
      </c>
      <c r="Q93" s="11">
        <v>19013</v>
      </c>
      <c r="R93" s="11">
        <v>21675</v>
      </c>
      <c r="S93" s="11">
        <v>21675</v>
      </c>
      <c r="T93" s="3" t="s">
        <v>2761</v>
      </c>
      <c r="U93" s="3" t="s">
        <v>2172</v>
      </c>
      <c r="V93" s="3" t="s">
        <v>26</v>
      </c>
    </row>
    <row r="94" spans="1:22" x14ac:dyDescent="0.2">
      <c r="A94" s="12">
        <v>105</v>
      </c>
      <c r="B94" s="3" t="s">
        <v>2762</v>
      </c>
      <c r="C94" s="3"/>
      <c r="D94" s="10">
        <v>45469</v>
      </c>
      <c r="E94" s="10">
        <v>45465</v>
      </c>
      <c r="F94" s="10">
        <v>45829</v>
      </c>
      <c r="G94" s="3" t="s">
        <v>22</v>
      </c>
      <c r="H94" s="3" t="s">
        <v>23</v>
      </c>
      <c r="I94" s="3" t="s">
        <v>2763</v>
      </c>
      <c r="J94" s="3" t="s">
        <v>934</v>
      </c>
      <c r="K94" s="3" t="s">
        <v>63</v>
      </c>
      <c r="L94" s="3" t="s">
        <v>2764</v>
      </c>
      <c r="M94" s="3" t="s">
        <v>2765</v>
      </c>
      <c r="N94" s="3" t="s">
        <v>2766</v>
      </c>
      <c r="O94" s="3"/>
      <c r="P94" s="11">
        <v>1670400</v>
      </c>
      <c r="Q94" s="11">
        <v>29305</v>
      </c>
      <c r="R94" s="11">
        <v>33408</v>
      </c>
      <c r="S94" s="11">
        <v>33408</v>
      </c>
      <c r="T94" s="3" t="s">
        <v>2767</v>
      </c>
      <c r="U94" s="3" t="s">
        <v>2768</v>
      </c>
      <c r="V94" s="3" t="s">
        <v>26</v>
      </c>
    </row>
    <row r="95" spans="1:22" x14ac:dyDescent="0.2">
      <c r="A95" s="12">
        <v>106</v>
      </c>
      <c r="B95" s="3" t="s">
        <v>2769</v>
      </c>
      <c r="C95" s="3"/>
      <c r="D95" s="10">
        <v>45469</v>
      </c>
      <c r="E95" s="10">
        <v>45470</v>
      </c>
      <c r="F95" s="10">
        <v>45834</v>
      </c>
      <c r="G95" s="3" t="s">
        <v>22</v>
      </c>
      <c r="H95" s="3" t="s">
        <v>23</v>
      </c>
      <c r="I95" s="3" t="s">
        <v>2770</v>
      </c>
      <c r="J95" s="3" t="s">
        <v>54</v>
      </c>
      <c r="K95" s="3" t="s">
        <v>30</v>
      </c>
      <c r="L95" s="3" t="s">
        <v>2771</v>
      </c>
      <c r="M95" s="3" t="s">
        <v>2772</v>
      </c>
      <c r="N95" s="3" t="s">
        <v>2773</v>
      </c>
      <c r="O95" s="3"/>
      <c r="P95" s="11">
        <v>1110100</v>
      </c>
      <c r="Q95" s="11">
        <v>17042</v>
      </c>
      <c r="R95" s="11">
        <v>19427</v>
      </c>
      <c r="S95" s="11">
        <v>19427</v>
      </c>
      <c r="T95" s="3" t="s">
        <v>2774</v>
      </c>
      <c r="U95" s="3" t="s">
        <v>2775</v>
      </c>
      <c r="V95" s="3" t="s">
        <v>26</v>
      </c>
    </row>
    <row r="96" spans="1:22" x14ac:dyDescent="0.2">
      <c r="A96" s="12">
        <v>107</v>
      </c>
      <c r="B96" s="3" t="s">
        <v>2776</v>
      </c>
      <c r="C96" s="3"/>
      <c r="D96" s="10">
        <v>45495</v>
      </c>
      <c r="E96" s="10">
        <v>45486</v>
      </c>
      <c r="F96" s="10">
        <v>45850</v>
      </c>
      <c r="G96" s="3" t="s">
        <v>22</v>
      </c>
      <c r="H96" s="3" t="s">
        <v>23</v>
      </c>
      <c r="I96" s="3" t="s">
        <v>2777</v>
      </c>
      <c r="J96" s="3" t="s">
        <v>934</v>
      </c>
      <c r="K96" s="3" t="s">
        <v>79</v>
      </c>
      <c r="L96" s="3" t="s">
        <v>2778</v>
      </c>
      <c r="M96" s="3" t="s">
        <v>2177</v>
      </c>
      <c r="N96" s="3" t="s">
        <v>2178</v>
      </c>
      <c r="O96" s="3" t="s">
        <v>2179</v>
      </c>
      <c r="P96" s="11">
        <v>816000</v>
      </c>
      <c r="Q96" s="11">
        <v>17586</v>
      </c>
      <c r="R96" s="11">
        <v>20400</v>
      </c>
      <c r="S96" s="11">
        <v>20400</v>
      </c>
      <c r="T96" s="3" t="s">
        <v>2180</v>
      </c>
      <c r="U96" s="3" t="s">
        <v>2779</v>
      </c>
      <c r="V96" s="3" t="s">
        <v>26</v>
      </c>
    </row>
    <row r="97" spans="1:22" x14ac:dyDescent="0.2">
      <c r="A97" s="12">
        <v>108</v>
      </c>
      <c r="B97" s="3" t="s">
        <v>2780</v>
      </c>
      <c r="C97" s="3"/>
      <c r="D97" s="10">
        <v>45495</v>
      </c>
      <c r="E97" s="10">
        <v>45479</v>
      </c>
      <c r="F97" s="10">
        <v>45843</v>
      </c>
      <c r="G97" s="3" t="s">
        <v>22</v>
      </c>
      <c r="H97" s="3" t="s">
        <v>23</v>
      </c>
      <c r="I97" s="3" t="s">
        <v>2781</v>
      </c>
      <c r="J97" s="3" t="s">
        <v>128</v>
      </c>
      <c r="K97" s="3" t="s">
        <v>30</v>
      </c>
      <c r="L97" s="3" t="s">
        <v>2782</v>
      </c>
      <c r="M97" s="3" t="s">
        <v>2783</v>
      </c>
      <c r="N97" s="3" t="s">
        <v>2784</v>
      </c>
      <c r="O97" s="3" t="s">
        <v>2785</v>
      </c>
      <c r="P97" s="11">
        <v>2102900</v>
      </c>
      <c r="Q97" s="11">
        <v>45322</v>
      </c>
      <c r="R97" s="11">
        <v>52573</v>
      </c>
      <c r="S97" s="11">
        <v>52573</v>
      </c>
      <c r="T97" s="3" t="s">
        <v>2786</v>
      </c>
      <c r="U97" s="3" t="s">
        <v>2787</v>
      </c>
      <c r="V97" s="3" t="s">
        <v>26</v>
      </c>
    </row>
    <row r="98" spans="1:22" x14ac:dyDescent="0.2">
      <c r="A98" s="12">
        <v>109</v>
      </c>
      <c r="B98" s="3" t="s">
        <v>2788</v>
      </c>
      <c r="C98" s="3"/>
      <c r="D98" s="10">
        <v>45495</v>
      </c>
      <c r="E98" s="10">
        <v>45503</v>
      </c>
      <c r="F98" s="10">
        <v>45867</v>
      </c>
      <c r="G98" s="3" t="s">
        <v>22</v>
      </c>
      <c r="H98" s="3" t="s">
        <v>23</v>
      </c>
      <c r="I98" s="3" t="s">
        <v>2789</v>
      </c>
      <c r="J98" s="3" t="s">
        <v>1297</v>
      </c>
      <c r="K98" s="3" t="s">
        <v>79</v>
      </c>
      <c r="L98" s="3" t="s">
        <v>2790</v>
      </c>
      <c r="M98" s="3" t="s">
        <v>2791</v>
      </c>
      <c r="N98" s="3" t="s">
        <v>2792</v>
      </c>
      <c r="O98" s="3" t="s">
        <v>2793</v>
      </c>
      <c r="P98" s="11">
        <v>2116000</v>
      </c>
      <c r="Q98" s="11">
        <v>45603</v>
      </c>
      <c r="R98" s="11">
        <v>52900</v>
      </c>
      <c r="S98" s="11">
        <v>52900</v>
      </c>
      <c r="T98" s="3" t="s">
        <v>2794</v>
      </c>
      <c r="U98" s="3" t="s">
        <v>2795</v>
      </c>
      <c r="V98" s="3" t="s">
        <v>26</v>
      </c>
    </row>
    <row r="99" spans="1:22" x14ac:dyDescent="0.2">
      <c r="A99" s="12">
        <v>110</v>
      </c>
      <c r="B99" s="3" t="s">
        <v>2796</v>
      </c>
      <c r="C99" s="3"/>
      <c r="D99" s="10">
        <v>45496</v>
      </c>
      <c r="E99" s="10">
        <v>45496</v>
      </c>
      <c r="F99" s="10">
        <v>45860</v>
      </c>
      <c r="G99" s="3" t="s">
        <v>22</v>
      </c>
      <c r="H99" s="3" t="s">
        <v>23</v>
      </c>
      <c r="I99" s="3" t="s">
        <v>2797</v>
      </c>
      <c r="J99" s="3" t="s">
        <v>29</v>
      </c>
      <c r="K99" s="3" t="s">
        <v>95</v>
      </c>
      <c r="L99" s="3" t="s">
        <v>2798</v>
      </c>
      <c r="M99" s="3" t="s">
        <v>2799</v>
      </c>
      <c r="N99" s="3" t="s">
        <v>2800</v>
      </c>
      <c r="O99" s="3" t="s">
        <v>2801</v>
      </c>
      <c r="P99" s="11">
        <v>1048500</v>
      </c>
      <c r="Q99" s="11">
        <v>33896</v>
      </c>
      <c r="R99" s="11">
        <v>39319</v>
      </c>
      <c r="S99" s="11">
        <v>39319</v>
      </c>
      <c r="T99" s="3" t="s">
        <v>2802</v>
      </c>
      <c r="U99" s="3"/>
      <c r="V99" s="3" t="s">
        <v>26</v>
      </c>
    </row>
    <row r="100" spans="1:22" x14ac:dyDescent="0.2">
      <c r="A100" s="12">
        <v>111</v>
      </c>
      <c r="B100" s="3" t="s">
        <v>2803</v>
      </c>
      <c r="C100" s="3"/>
      <c r="D100" s="10">
        <v>45495</v>
      </c>
      <c r="E100" s="10">
        <v>45488</v>
      </c>
      <c r="F100" s="10">
        <v>45852</v>
      </c>
      <c r="G100" s="3" t="s">
        <v>22</v>
      </c>
      <c r="H100" s="3" t="s">
        <v>23</v>
      </c>
      <c r="I100" s="3" t="s">
        <v>2269</v>
      </c>
      <c r="J100" s="3" t="s">
        <v>1422</v>
      </c>
      <c r="K100" s="3" t="s">
        <v>79</v>
      </c>
      <c r="L100" s="3" t="s">
        <v>2270</v>
      </c>
      <c r="M100" s="3" t="s">
        <v>2173</v>
      </c>
      <c r="N100" s="3" t="s">
        <v>2174</v>
      </c>
      <c r="O100" s="3" t="s">
        <v>2175</v>
      </c>
      <c r="P100" s="11">
        <v>1617720</v>
      </c>
      <c r="Q100" s="11">
        <v>34864</v>
      </c>
      <c r="R100" s="11">
        <v>40443</v>
      </c>
      <c r="S100" s="11">
        <v>40443</v>
      </c>
      <c r="T100" s="3" t="s">
        <v>2176</v>
      </c>
      <c r="U100" s="3" t="s">
        <v>2271</v>
      </c>
      <c r="V100" s="3" t="s">
        <v>26</v>
      </c>
    </row>
    <row r="101" spans="1:22" x14ac:dyDescent="0.2">
      <c r="A101" s="12">
        <v>112</v>
      </c>
      <c r="B101" s="3" t="s">
        <v>2804</v>
      </c>
      <c r="C101" s="3"/>
      <c r="D101" s="10">
        <v>45495</v>
      </c>
      <c r="E101" s="10">
        <v>45499</v>
      </c>
      <c r="F101" s="10">
        <v>45863</v>
      </c>
      <c r="G101" s="3" t="s">
        <v>22</v>
      </c>
      <c r="H101" s="3" t="s">
        <v>23</v>
      </c>
      <c r="I101" s="3" t="s">
        <v>2805</v>
      </c>
      <c r="J101" s="3" t="s">
        <v>492</v>
      </c>
      <c r="K101" s="3" t="s">
        <v>156</v>
      </c>
      <c r="L101" s="3" t="s">
        <v>2806</v>
      </c>
      <c r="M101" s="3" t="s">
        <v>2807</v>
      </c>
      <c r="N101" s="3" t="s">
        <v>2808</v>
      </c>
      <c r="O101" s="3" t="s">
        <v>2809</v>
      </c>
      <c r="P101" s="11">
        <v>516750</v>
      </c>
      <c r="Q101" s="11">
        <v>16705</v>
      </c>
      <c r="R101" s="11">
        <v>19378</v>
      </c>
      <c r="S101" s="11">
        <v>19378</v>
      </c>
      <c r="T101" s="3" t="s">
        <v>2810</v>
      </c>
      <c r="U101" s="3" t="s">
        <v>2811</v>
      </c>
      <c r="V101" s="3" t="s">
        <v>26</v>
      </c>
    </row>
    <row r="102" spans="1:22" x14ac:dyDescent="0.2">
      <c r="A102" s="12">
        <v>113</v>
      </c>
      <c r="B102" s="3" t="s">
        <v>2812</v>
      </c>
      <c r="C102" s="3"/>
      <c r="D102" s="10">
        <v>45517</v>
      </c>
      <c r="E102" s="10">
        <v>45533</v>
      </c>
      <c r="F102" s="10">
        <v>45897</v>
      </c>
      <c r="G102" s="3" t="s">
        <v>22</v>
      </c>
      <c r="H102" s="3" t="s">
        <v>23</v>
      </c>
      <c r="I102" s="3" t="s">
        <v>2813</v>
      </c>
      <c r="J102" s="3" t="s">
        <v>2814</v>
      </c>
      <c r="K102" s="3" t="s">
        <v>63</v>
      </c>
      <c r="L102" s="3"/>
      <c r="M102" s="3" t="s">
        <v>2815</v>
      </c>
      <c r="N102" s="3" t="s">
        <v>2816</v>
      </c>
      <c r="O102" s="3" t="s">
        <v>2817</v>
      </c>
      <c r="P102" s="11">
        <v>8279100</v>
      </c>
      <c r="Q102" s="11">
        <v>107057</v>
      </c>
      <c r="R102" s="11">
        <v>124187</v>
      </c>
      <c r="S102" s="11">
        <v>124187</v>
      </c>
      <c r="T102" s="3" t="s">
        <v>2818</v>
      </c>
      <c r="U102" s="3" t="s">
        <v>2819</v>
      </c>
      <c r="V102" s="3" t="s">
        <v>26</v>
      </c>
    </row>
    <row r="103" spans="1:22" x14ac:dyDescent="0.2">
      <c r="A103" s="12">
        <v>114</v>
      </c>
      <c r="B103" s="3" t="s">
        <v>2820</v>
      </c>
      <c r="C103" s="3"/>
      <c r="D103" s="10">
        <v>45517</v>
      </c>
      <c r="E103" s="10">
        <v>45520</v>
      </c>
      <c r="F103" s="10">
        <v>45884</v>
      </c>
      <c r="G103" s="3" t="s">
        <v>22</v>
      </c>
      <c r="H103" s="3" t="s">
        <v>23</v>
      </c>
      <c r="I103" s="3" t="s">
        <v>2821</v>
      </c>
      <c r="J103" s="3" t="s">
        <v>29</v>
      </c>
      <c r="K103" s="3" t="s">
        <v>63</v>
      </c>
      <c r="L103" s="3"/>
      <c r="M103" s="3" t="s">
        <v>2822</v>
      </c>
      <c r="N103" s="3" t="s">
        <v>2823</v>
      </c>
      <c r="O103" s="3" t="s">
        <v>2824</v>
      </c>
      <c r="P103" s="11">
        <v>2350800</v>
      </c>
      <c r="Q103" s="11">
        <v>40531</v>
      </c>
      <c r="R103" s="11">
        <v>47016</v>
      </c>
      <c r="S103" s="11">
        <v>47016</v>
      </c>
      <c r="T103" s="3" t="s">
        <v>2825</v>
      </c>
      <c r="U103" s="3" t="s">
        <v>2826</v>
      </c>
      <c r="V103" s="3" t="s">
        <v>26</v>
      </c>
    </row>
    <row r="104" spans="1:22" x14ac:dyDescent="0.2">
      <c r="A104" s="12">
        <v>115</v>
      </c>
      <c r="B104" s="3" t="s">
        <v>2827</v>
      </c>
      <c r="C104" s="3"/>
      <c r="D104" s="10">
        <v>45519</v>
      </c>
      <c r="E104" s="10">
        <v>45519</v>
      </c>
      <c r="F104" s="10">
        <v>45883</v>
      </c>
      <c r="G104" s="3" t="s">
        <v>22</v>
      </c>
      <c r="H104" s="3" t="s">
        <v>23</v>
      </c>
      <c r="I104" s="3" t="s">
        <v>2828</v>
      </c>
      <c r="J104" s="3" t="s">
        <v>292</v>
      </c>
      <c r="K104" s="3" t="s">
        <v>30</v>
      </c>
      <c r="L104" s="3" t="s">
        <v>2829</v>
      </c>
      <c r="M104" s="3" t="s">
        <v>2830</v>
      </c>
      <c r="N104" s="3" t="s">
        <v>2831</v>
      </c>
      <c r="O104" s="3" t="s">
        <v>2832</v>
      </c>
      <c r="P104" s="11">
        <v>1314100</v>
      </c>
      <c r="Q104" s="11">
        <v>28322</v>
      </c>
      <c r="R104" s="11">
        <v>32853</v>
      </c>
      <c r="S104" s="11">
        <v>32853</v>
      </c>
      <c r="T104" s="3" t="s">
        <v>2833</v>
      </c>
      <c r="U104" s="3" t="s">
        <v>2834</v>
      </c>
      <c r="V104" s="3" t="s">
        <v>26</v>
      </c>
    </row>
    <row r="105" spans="1:22" x14ac:dyDescent="0.2">
      <c r="A105" s="12">
        <v>116</v>
      </c>
      <c r="B105" s="3" t="s">
        <v>2835</v>
      </c>
      <c r="C105" s="3"/>
      <c r="D105" s="10">
        <v>45519</v>
      </c>
      <c r="E105" s="10">
        <v>45526</v>
      </c>
      <c r="F105" s="10">
        <v>45890</v>
      </c>
      <c r="G105" s="3" t="s">
        <v>22</v>
      </c>
      <c r="H105" s="3" t="s">
        <v>23</v>
      </c>
      <c r="I105" s="3" t="s">
        <v>2836</v>
      </c>
      <c r="J105" s="3" t="s">
        <v>292</v>
      </c>
      <c r="K105" s="3" t="s">
        <v>30</v>
      </c>
      <c r="L105" s="3" t="s">
        <v>2837</v>
      </c>
      <c r="M105" s="3" t="s">
        <v>2838</v>
      </c>
      <c r="N105" s="3" t="s">
        <v>2839</v>
      </c>
      <c r="O105" s="3" t="s">
        <v>2840</v>
      </c>
      <c r="P105" s="11">
        <v>1314100</v>
      </c>
      <c r="Q105" s="11">
        <v>19825</v>
      </c>
      <c r="R105" s="11">
        <v>22997</v>
      </c>
      <c r="S105" s="11">
        <v>22997</v>
      </c>
      <c r="T105" s="3" t="s">
        <v>2841</v>
      </c>
      <c r="U105" s="3" t="s">
        <v>2842</v>
      </c>
      <c r="V105" s="3" t="s">
        <v>26</v>
      </c>
    </row>
    <row r="106" spans="1:22" x14ac:dyDescent="0.2">
      <c r="A106" s="12">
        <v>117</v>
      </c>
      <c r="B106" s="3" t="s">
        <v>2843</v>
      </c>
      <c r="C106" s="3"/>
      <c r="D106" s="10">
        <v>45519</v>
      </c>
      <c r="E106" s="10">
        <v>45528</v>
      </c>
      <c r="F106" s="10">
        <v>45892</v>
      </c>
      <c r="G106" s="3" t="s">
        <v>22</v>
      </c>
      <c r="H106" s="3" t="s">
        <v>23</v>
      </c>
      <c r="I106" s="3" t="s">
        <v>2844</v>
      </c>
      <c r="J106" s="3" t="s">
        <v>460</v>
      </c>
      <c r="K106" s="3" t="s">
        <v>30</v>
      </c>
      <c r="L106" s="3" t="s">
        <v>2845</v>
      </c>
      <c r="M106" s="3" t="s">
        <v>2846</v>
      </c>
      <c r="N106" s="3" t="s">
        <v>2847</v>
      </c>
      <c r="O106" s="3" t="s">
        <v>2848</v>
      </c>
      <c r="P106" s="11">
        <v>1110100</v>
      </c>
      <c r="Q106" s="11">
        <v>23925</v>
      </c>
      <c r="R106" s="11">
        <v>27753</v>
      </c>
      <c r="S106" s="11">
        <v>27753</v>
      </c>
      <c r="T106" s="3" t="s">
        <v>2849</v>
      </c>
      <c r="U106" s="3" t="s">
        <v>2850</v>
      </c>
      <c r="V106" s="3" t="s">
        <v>26</v>
      </c>
    </row>
    <row r="107" spans="1:22" x14ac:dyDescent="0.2">
      <c r="A107" s="12">
        <v>118</v>
      </c>
      <c r="B107" s="3" t="s">
        <v>2851</v>
      </c>
      <c r="C107" s="3"/>
      <c r="D107" s="10">
        <v>45519</v>
      </c>
      <c r="E107" s="10">
        <v>45528</v>
      </c>
      <c r="F107" s="10">
        <v>45892</v>
      </c>
      <c r="G107" s="3" t="s">
        <v>22</v>
      </c>
      <c r="H107" s="3" t="s">
        <v>23</v>
      </c>
      <c r="I107" s="3" t="s">
        <v>2852</v>
      </c>
      <c r="J107" s="3" t="s">
        <v>292</v>
      </c>
      <c r="K107" s="3" t="s">
        <v>30</v>
      </c>
      <c r="L107" s="3" t="s">
        <v>2853</v>
      </c>
      <c r="M107" s="3" t="s">
        <v>2854</v>
      </c>
      <c r="N107" s="3" t="s">
        <v>2855</v>
      </c>
      <c r="O107" s="3" t="s">
        <v>2856</v>
      </c>
      <c r="P107" s="11">
        <v>1314100</v>
      </c>
      <c r="Q107" s="11">
        <v>28322</v>
      </c>
      <c r="R107" s="11">
        <v>32853</v>
      </c>
      <c r="S107" s="11">
        <v>32853</v>
      </c>
      <c r="T107" s="3" t="s">
        <v>2857</v>
      </c>
      <c r="U107" s="3" t="s">
        <v>2858</v>
      </c>
      <c r="V107" s="3" t="s">
        <v>26</v>
      </c>
    </row>
    <row r="108" spans="1:22" x14ac:dyDescent="0.2">
      <c r="A108" s="12">
        <v>119</v>
      </c>
      <c r="B108" s="3" t="s">
        <v>2859</v>
      </c>
      <c r="C108" s="3"/>
      <c r="D108" s="10">
        <v>45519</v>
      </c>
      <c r="E108" s="10">
        <v>45520</v>
      </c>
      <c r="F108" s="10">
        <v>45884</v>
      </c>
      <c r="G108" s="3" t="s">
        <v>22</v>
      </c>
      <c r="H108" s="3" t="s">
        <v>23</v>
      </c>
      <c r="I108" s="3" t="s">
        <v>2860</v>
      </c>
      <c r="J108" s="3" t="s">
        <v>1422</v>
      </c>
      <c r="K108" s="3" t="s">
        <v>79</v>
      </c>
      <c r="L108" s="3"/>
      <c r="M108" s="3" t="s">
        <v>2861</v>
      </c>
      <c r="N108" s="3" t="s">
        <v>2862</v>
      </c>
      <c r="O108" s="3" t="s">
        <v>2863</v>
      </c>
      <c r="P108" s="11">
        <v>1464000</v>
      </c>
      <c r="Q108" s="11">
        <v>31551</v>
      </c>
      <c r="R108" s="11">
        <v>36600</v>
      </c>
      <c r="S108" s="11">
        <v>36600</v>
      </c>
      <c r="T108" s="3" t="s">
        <v>2864</v>
      </c>
      <c r="U108" s="3" t="s">
        <v>2865</v>
      </c>
      <c r="V108" s="3" t="s">
        <v>26</v>
      </c>
    </row>
    <row r="109" spans="1:22" x14ac:dyDescent="0.2">
      <c r="A109" s="12">
        <v>120</v>
      </c>
      <c r="B109" s="3" t="s">
        <v>2866</v>
      </c>
      <c r="C109" s="3"/>
      <c r="D109" s="10">
        <v>45519</v>
      </c>
      <c r="E109" s="10">
        <v>45535</v>
      </c>
      <c r="F109" s="10">
        <v>45899</v>
      </c>
      <c r="G109" s="3" t="s">
        <v>22</v>
      </c>
      <c r="H109" s="3" t="s">
        <v>23</v>
      </c>
      <c r="I109" s="3" t="s">
        <v>2867</v>
      </c>
      <c r="J109" s="3" t="s">
        <v>492</v>
      </c>
      <c r="K109" s="3" t="s">
        <v>156</v>
      </c>
      <c r="L109" s="3" t="s">
        <v>2868</v>
      </c>
      <c r="M109" s="3" t="s">
        <v>2869</v>
      </c>
      <c r="N109" s="3" t="s">
        <v>2870</v>
      </c>
      <c r="O109" s="3" t="s">
        <v>2871</v>
      </c>
      <c r="P109" s="11">
        <v>546000</v>
      </c>
      <c r="Q109" s="11">
        <v>17650</v>
      </c>
      <c r="R109" s="11">
        <v>20475</v>
      </c>
      <c r="S109" s="11">
        <v>20475</v>
      </c>
      <c r="T109" s="3" t="s">
        <v>2872</v>
      </c>
      <c r="U109" s="3" t="s">
        <v>2873</v>
      </c>
      <c r="V109" s="3" t="s">
        <v>26</v>
      </c>
    </row>
    <row r="110" spans="1:22" x14ac:dyDescent="0.2">
      <c r="A110" s="12">
        <v>121</v>
      </c>
      <c r="B110" s="3" t="s">
        <v>2874</v>
      </c>
      <c r="C110" s="3"/>
      <c r="D110" s="10">
        <v>45519</v>
      </c>
      <c r="E110" s="10">
        <v>45533</v>
      </c>
      <c r="F110" s="10">
        <v>45897</v>
      </c>
      <c r="G110" s="3" t="s">
        <v>22</v>
      </c>
      <c r="H110" s="3" t="s">
        <v>23</v>
      </c>
      <c r="I110" s="3" t="s">
        <v>2875</v>
      </c>
      <c r="J110" s="3" t="s">
        <v>1479</v>
      </c>
      <c r="K110" s="3" t="s">
        <v>146</v>
      </c>
      <c r="L110" s="3" t="s">
        <v>2876</v>
      </c>
      <c r="M110" s="3" t="s">
        <v>2877</v>
      </c>
      <c r="N110" s="3" t="s">
        <v>2878</v>
      </c>
      <c r="O110" s="3" t="s">
        <v>2879</v>
      </c>
      <c r="P110" s="11">
        <v>2727900</v>
      </c>
      <c r="Q110" s="11">
        <v>35275</v>
      </c>
      <c r="R110" s="11">
        <v>40919</v>
      </c>
      <c r="S110" s="11">
        <v>40919</v>
      </c>
      <c r="T110" s="3" t="s">
        <v>2880</v>
      </c>
      <c r="U110" s="3" t="s">
        <v>2881</v>
      </c>
      <c r="V110" s="3" t="s">
        <v>26</v>
      </c>
    </row>
    <row r="111" spans="1:22" x14ac:dyDescent="0.2">
      <c r="A111" s="12">
        <v>122</v>
      </c>
      <c r="B111" s="3" t="s">
        <v>2882</v>
      </c>
      <c r="C111" s="3"/>
      <c r="D111" s="10">
        <v>45539</v>
      </c>
      <c r="E111" s="10">
        <v>45564</v>
      </c>
      <c r="F111" s="10">
        <v>45928</v>
      </c>
      <c r="G111" s="3" t="s">
        <v>22</v>
      </c>
      <c r="H111" s="3" t="s">
        <v>23</v>
      </c>
      <c r="I111" s="3" t="s">
        <v>2883</v>
      </c>
      <c r="J111" s="3" t="s">
        <v>899</v>
      </c>
      <c r="K111" s="3" t="s">
        <v>30</v>
      </c>
      <c r="L111" s="3" t="s">
        <v>2884</v>
      </c>
      <c r="M111" s="3" t="s">
        <v>2885</v>
      </c>
      <c r="N111" s="3" t="s">
        <v>2886</v>
      </c>
      <c r="O111" s="3" t="s">
        <v>2887</v>
      </c>
      <c r="P111" s="11">
        <v>1210400</v>
      </c>
      <c r="Q111" s="11">
        <v>20869</v>
      </c>
      <c r="R111" s="11">
        <v>24208</v>
      </c>
      <c r="S111" s="11">
        <v>24208</v>
      </c>
      <c r="T111" s="3" t="s">
        <v>2888</v>
      </c>
      <c r="U111" s="3" t="s">
        <v>2889</v>
      </c>
      <c r="V111" s="3" t="s">
        <v>26</v>
      </c>
    </row>
    <row r="112" spans="1:22" x14ac:dyDescent="0.2">
      <c r="A112" s="12">
        <v>123</v>
      </c>
      <c r="B112" s="3" t="s">
        <v>2890</v>
      </c>
      <c r="C112" s="3"/>
      <c r="D112" s="10">
        <v>45539</v>
      </c>
      <c r="E112" s="10">
        <v>45563</v>
      </c>
      <c r="F112" s="10">
        <v>45927</v>
      </c>
      <c r="G112" s="3" t="s">
        <v>22</v>
      </c>
      <c r="H112" s="3" t="s">
        <v>23</v>
      </c>
      <c r="I112" s="3" t="s">
        <v>2891</v>
      </c>
      <c r="J112" s="3" t="s">
        <v>2892</v>
      </c>
      <c r="K112" s="3" t="s">
        <v>156</v>
      </c>
      <c r="L112" s="3" t="s">
        <v>2893</v>
      </c>
      <c r="M112" s="3" t="s">
        <v>2894</v>
      </c>
      <c r="N112" s="3" t="s">
        <v>2895</v>
      </c>
      <c r="O112" s="3" t="s">
        <v>2896</v>
      </c>
      <c r="P112" s="11">
        <v>2250000</v>
      </c>
      <c r="Q112" s="11">
        <v>38793</v>
      </c>
      <c r="R112" s="11">
        <v>45000</v>
      </c>
      <c r="S112" s="11">
        <v>45000</v>
      </c>
      <c r="T112" s="3" t="s">
        <v>2897</v>
      </c>
      <c r="U112" s="3" t="s">
        <v>2898</v>
      </c>
      <c r="V112" s="3" t="s">
        <v>26</v>
      </c>
    </row>
    <row r="113" spans="1:22" x14ac:dyDescent="0.2">
      <c r="A113" s="12">
        <v>124</v>
      </c>
      <c r="B113" s="3" t="s">
        <v>2899</v>
      </c>
      <c r="C113" s="3"/>
      <c r="D113" s="10">
        <v>45539</v>
      </c>
      <c r="E113" s="10">
        <v>45563</v>
      </c>
      <c r="F113" s="10">
        <v>45927</v>
      </c>
      <c r="G113" s="3" t="s">
        <v>22</v>
      </c>
      <c r="H113" s="3" t="s">
        <v>23</v>
      </c>
      <c r="I113" s="3" t="s">
        <v>2305</v>
      </c>
      <c r="J113" s="3" t="s">
        <v>1455</v>
      </c>
      <c r="K113" s="3" t="s">
        <v>63</v>
      </c>
      <c r="L113" s="3"/>
      <c r="M113" s="3" t="s">
        <v>2306</v>
      </c>
      <c r="N113" s="3" t="s">
        <v>2307</v>
      </c>
      <c r="O113" s="3" t="s">
        <v>2308</v>
      </c>
      <c r="P113" s="11">
        <v>4499100</v>
      </c>
      <c r="Q113" s="11">
        <v>58178</v>
      </c>
      <c r="R113" s="11">
        <v>67487</v>
      </c>
      <c r="S113" s="11">
        <v>67487</v>
      </c>
      <c r="T113" s="3" t="s">
        <v>2309</v>
      </c>
      <c r="U113" s="3" t="s">
        <v>2310</v>
      </c>
      <c r="V113" s="3" t="s">
        <v>26</v>
      </c>
    </row>
    <row r="114" spans="1:22" x14ac:dyDescent="0.2">
      <c r="A114" s="12">
        <v>125</v>
      </c>
      <c r="B114" s="3" t="s">
        <v>2900</v>
      </c>
      <c r="C114" s="3"/>
      <c r="D114" s="10">
        <v>45539</v>
      </c>
      <c r="E114" s="10">
        <v>45558</v>
      </c>
      <c r="F114" s="10">
        <v>45922</v>
      </c>
      <c r="G114" s="3" t="s">
        <v>22</v>
      </c>
      <c r="H114" s="3" t="s">
        <v>23</v>
      </c>
      <c r="I114" s="3" t="s">
        <v>2901</v>
      </c>
      <c r="J114" s="3" t="s">
        <v>155</v>
      </c>
      <c r="K114" s="3" t="s">
        <v>25</v>
      </c>
      <c r="L114" s="3"/>
      <c r="M114" s="3" t="s">
        <v>2902</v>
      </c>
      <c r="N114" s="3" t="s">
        <v>2903</v>
      </c>
      <c r="O114" s="3" t="s">
        <v>2904</v>
      </c>
      <c r="P114" s="11">
        <v>1275000</v>
      </c>
      <c r="Q114" s="11">
        <v>38470</v>
      </c>
      <c r="R114" s="11">
        <v>44625</v>
      </c>
      <c r="S114" s="11">
        <v>44625</v>
      </c>
      <c r="T114" s="3" t="s">
        <v>2905</v>
      </c>
      <c r="U114" s="3" t="s">
        <v>2906</v>
      </c>
      <c r="V114" s="3" t="s">
        <v>26</v>
      </c>
    </row>
    <row r="115" spans="1:22" x14ac:dyDescent="0.2">
      <c r="A115" s="12">
        <v>126</v>
      </c>
      <c r="B115" s="3" t="s">
        <v>2907</v>
      </c>
      <c r="C115" s="3"/>
      <c r="D115" s="10">
        <v>45539</v>
      </c>
      <c r="E115" s="10">
        <v>45550</v>
      </c>
      <c r="F115" s="10">
        <v>45914</v>
      </c>
      <c r="G115" s="3" t="s">
        <v>22</v>
      </c>
      <c r="H115" s="3" t="s">
        <v>23</v>
      </c>
      <c r="I115" s="3" t="s">
        <v>2908</v>
      </c>
      <c r="J115" s="3" t="s">
        <v>391</v>
      </c>
      <c r="K115" s="3" t="s">
        <v>156</v>
      </c>
      <c r="L115" s="3" t="s">
        <v>2909</v>
      </c>
      <c r="M115" s="3" t="s">
        <v>2910</v>
      </c>
      <c r="N115" s="3" t="s">
        <v>2911</v>
      </c>
      <c r="O115" s="3" t="s">
        <v>2912</v>
      </c>
      <c r="P115" s="11">
        <v>2043750</v>
      </c>
      <c r="Q115" s="11">
        <v>44047</v>
      </c>
      <c r="R115" s="11">
        <v>51094</v>
      </c>
      <c r="S115" s="11">
        <v>51094</v>
      </c>
      <c r="T115" s="3" t="s">
        <v>2913</v>
      </c>
      <c r="U115" s="3" t="s">
        <v>2914</v>
      </c>
      <c r="V115" s="3" t="s">
        <v>26</v>
      </c>
    </row>
    <row r="116" spans="1:22" x14ac:dyDescent="0.2">
      <c r="A116" s="12">
        <v>127</v>
      </c>
      <c r="B116" s="3" t="s">
        <v>2915</v>
      </c>
      <c r="C116" s="3"/>
      <c r="D116" s="10">
        <v>45539</v>
      </c>
      <c r="E116" s="10">
        <v>45550</v>
      </c>
      <c r="F116" s="10">
        <v>45914</v>
      </c>
      <c r="G116" s="3" t="s">
        <v>22</v>
      </c>
      <c r="H116" s="3" t="s">
        <v>23</v>
      </c>
      <c r="I116" s="3" t="s">
        <v>2916</v>
      </c>
      <c r="J116" s="3" t="s">
        <v>1634</v>
      </c>
      <c r="K116" s="3" t="s">
        <v>30</v>
      </c>
      <c r="L116" s="3"/>
      <c r="M116" s="3" t="s">
        <v>2917</v>
      </c>
      <c r="N116" s="3" t="s">
        <v>2918</v>
      </c>
      <c r="O116" s="3" t="s">
        <v>2919</v>
      </c>
      <c r="P116" s="11">
        <v>2340900</v>
      </c>
      <c r="Q116" s="11">
        <v>40360</v>
      </c>
      <c r="R116" s="11">
        <v>46818</v>
      </c>
      <c r="S116" s="11">
        <v>46818</v>
      </c>
      <c r="T116" s="3" t="s">
        <v>2920</v>
      </c>
      <c r="U116" s="3" t="s">
        <v>2921</v>
      </c>
      <c r="V116" s="3" t="s">
        <v>26</v>
      </c>
    </row>
    <row r="117" spans="1:22" x14ac:dyDescent="0.2">
      <c r="A117" s="12">
        <v>128</v>
      </c>
      <c r="B117" s="3" t="s">
        <v>2922</v>
      </c>
      <c r="C117" s="3"/>
      <c r="D117" s="10">
        <v>45539</v>
      </c>
      <c r="E117" s="10">
        <v>45562</v>
      </c>
      <c r="F117" s="10">
        <v>45926</v>
      </c>
      <c r="G117" s="3" t="s">
        <v>22</v>
      </c>
      <c r="H117" s="3" t="s">
        <v>23</v>
      </c>
      <c r="I117" s="3" t="s">
        <v>2923</v>
      </c>
      <c r="J117" s="3" t="s">
        <v>301</v>
      </c>
      <c r="K117" s="3" t="s">
        <v>30</v>
      </c>
      <c r="L117" s="3" t="s">
        <v>2924</v>
      </c>
      <c r="M117" s="3" t="s">
        <v>2925</v>
      </c>
      <c r="N117" s="3" t="s">
        <v>2926</v>
      </c>
      <c r="O117" s="3" t="s">
        <v>2927</v>
      </c>
      <c r="P117" s="11">
        <v>1870000</v>
      </c>
      <c r="Q117" s="11">
        <v>32242</v>
      </c>
      <c r="R117" s="11">
        <v>37400</v>
      </c>
      <c r="S117" s="11">
        <v>37400</v>
      </c>
      <c r="T117" s="3" t="s">
        <v>2928</v>
      </c>
      <c r="U117" s="3" t="s">
        <v>2929</v>
      </c>
      <c r="V117" s="3" t="s">
        <v>26</v>
      </c>
    </row>
    <row r="118" spans="1:22" x14ac:dyDescent="0.2">
      <c r="A118" s="12">
        <v>129</v>
      </c>
      <c r="B118" s="3" t="s">
        <v>2930</v>
      </c>
      <c r="C118" s="3"/>
      <c r="D118" s="10">
        <v>45539</v>
      </c>
      <c r="E118" s="10">
        <v>45563</v>
      </c>
      <c r="F118" s="10">
        <v>45927</v>
      </c>
      <c r="G118" s="3" t="s">
        <v>22</v>
      </c>
      <c r="H118" s="3" t="s">
        <v>23</v>
      </c>
      <c r="I118" s="3" t="s">
        <v>2931</v>
      </c>
      <c r="J118" s="3" t="s">
        <v>400</v>
      </c>
      <c r="K118" s="3" t="s">
        <v>30</v>
      </c>
      <c r="L118" s="3" t="s">
        <v>2932</v>
      </c>
      <c r="M118" s="3" t="s">
        <v>2933</v>
      </c>
      <c r="N118" s="3" t="s">
        <v>2934</v>
      </c>
      <c r="O118" s="3" t="s">
        <v>2935</v>
      </c>
      <c r="P118" s="11">
        <v>2183650</v>
      </c>
      <c r="Q118" s="11">
        <v>37650</v>
      </c>
      <c r="R118" s="11">
        <v>43673</v>
      </c>
      <c r="S118" s="11">
        <v>43673</v>
      </c>
      <c r="T118" s="3" t="s">
        <v>2936</v>
      </c>
      <c r="U118" s="3" t="s">
        <v>2937</v>
      </c>
      <c r="V118" s="3" t="s">
        <v>26</v>
      </c>
    </row>
    <row r="119" spans="1:22" x14ac:dyDescent="0.2">
      <c r="A119" s="12">
        <v>130</v>
      </c>
      <c r="B119" s="3" t="s">
        <v>2938</v>
      </c>
      <c r="C119" s="3"/>
      <c r="D119" s="10">
        <v>45539</v>
      </c>
      <c r="E119" s="10">
        <v>45563</v>
      </c>
      <c r="F119" s="10">
        <v>45927</v>
      </c>
      <c r="G119" s="3" t="s">
        <v>22</v>
      </c>
      <c r="H119" s="3" t="s">
        <v>23</v>
      </c>
      <c r="I119" s="3" t="s">
        <v>2939</v>
      </c>
      <c r="J119" s="3" t="s">
        <v>283</v>
      </c>
      <c r="K119" s="3" t="s">
        <v>146</v>
      </c>
      <c r="L119" s="3" t="s">
        <v>2940</v>
      </c>
      <c r="M119" s="3" t="s">
        <v>2941</v>
      </c>
      <c r="N119" s="3" t="s">
        <v>2942</v>
      </c>
      <c r="O119" s="3" t="s">
        <v>2943</v>
      </c>
      <c r="P119" s="11">
        <v>2252500</v>
      </c>
      <c r="Q119" s="11">
        <v>29128</v>
      </c>
      <c r="R119" s="11">
        <v>33788</v>
      </c>
      <c r="S119" s="11">
        <v>33788</v>
      </c>
      <c r="T119" s="3" t="s">
        <v>2944</v>
      </c>
      <c r="U119" s="3" t="s">
        <v>2945</v>
      </c>
      <c r="V119" s="3" t="s">
        <v>26</v>
      </c>
    </row>
    <row r="120" spans="1:22" x14ac:dyDescent="0.2">
      <c r="A120" s="12">
        <v>131</v>
      </c>
      <c r="B120" s="3" t="s">
        <v>2946</v>
      </c>
      <c r="C120" s="3"/>
      <c r="D120" s="10">
        <v>45539</v>
      </c>
      <c r="E120" s="10">
        <v>45565</v>
      </c>
      <c r="F120" s="10">
        <v>45929</v>
      </c>
      <c r="G120" s="3" t="s">
        <v>22</v>
      </c>
      <c r="H120" s="3" t="s">
        <v>23</v>
      </c>
      <c r="I120" s="3" t="s">
        <v>2947</v>
      </c>
      <c r="J120" s="3" t="s">
        <v>2499</v>
      </c>
      <c r="K120" s="3" t="s">
        <v>95</v>
      </c>
      <c r="L120" s="3" t="s">
        <v>2948</v>
      </c>
      <c r="M120" s="3" t="s">
        <v>2949</v>
      </c>
      <c r="N120" s="3" t="s">
        <v>2950</v>
      </c>
      <c r="O120" s="3" t="s">
        <v>2951</v>
      </c>
      <c r="P120" s="11">
        <v>2125000</v>
      </c>
      <c r="Q120" s="11">
        <v>36638</v>
      </c>
      <c r="R120" s="11">
        <v>42500</v>
      </c>
      <c r="S120" s="11">
        <v>42500</v>
      </c>
      <c r="T120" s="3" t="s">
        <v>2952</v>
      </c>
      <c r="U120" s="3" t="s">
        <v>2953</v>
      </c>
      <c r="V120" s="3" t="s">
        <v>26</v>
      </c>
    </row>
    <row r="121" spans="1:22" x14ac:dyDescent="0.2">
      <c r="A121" s="12">
        <v>132</v>
      </c>
      <c r="B121" s="3" t="s">
        <v>2954</v>
      </c>
      <c r="C121" s="3"/>
      <c r="D121" s="10">
        <v>45539</v>
      </c>
      <c r="E121" s="10">
        <v>45554</v>
      </c>
      <c r="F121" s="10">
        <v>45918</v>
      </c>
      <c r="G121" s="3" t="s">
        <v>22</v>
      </c>
      <c r="H121" s="3" t="s">
        <v>23</v>
      </c>
      <c r="I121" s="3" t="s">
        <v>2955</v>
      </c>
      <c r="J121" s="3" t="s">
        <v>1479</v>
      </c>
      <c r="K121" s="3" t="s">
        <v>146</v>
      </c>
      <c r="L121" s="3" t="s">
        <v>2956</v>
      </c>
      <c r="M121" s="3" t="s">
        <v>2957</v>
      </c>
      <c r="N121" s="3" t="s">
        <v>2958</v>
      </c>
      <c r="O121" s="3"/>
      <c r="P121" s="11">
        <v>2686250</v>
      </c>
      <c r="Q121" s="11">
        <v>34305</v>
      </c>
      <c r="R121" s="11">
        <v>40294</v>
      </c>
      <c r="S121" s="11">
        <v>40294</v>
      </c>
      <c r="T121" s="3" t="s">
        <v>2959</v>
      </c>
      <c r="U121" s="3" t="s">
        <v>2960</v>
      </c>
      <c r="V121" s="3" t="s">
        <v>26</v>
      </c>
    </row>
    <row r="122" spans="1:22" x14ac:dyDescent="0.2">
      <c r="A122" s="12">
        <v>133</v>
      </c>
      <c r="B122" s="3" t="s">
        <v>2961</v>
      </c>
      <c r="C122" s="3"/>
      <c r="D122" s="10">
        <v>45587</v>
      </c>
      <c r="E122" s="10">
        <v>45587</v>
      </c>
      <c r="F122" s="10">
        <v>45951</v>
      </c>
      <c r="G122" s="3" t="s">
        <v>22</v>
      </c>
      <c r="H122" s="3" t="s">
        <v>23</v>
      </c>
      <c r="I122" s="3" t="s">
        <v>2962</v>
      </c>
      <c r="J122" s="3" t="s">
        <v>292</v>
      </c>
      <c r="K122" s="3" t="s">
        <v>30</v>
      </c>
      <c r="L122" s="3" t="s">
        <v>2963</v>
      </c>
      <c r="M122" s="3" t="s">
        <v>2964</v>
      </c>
      <c r="N122" s="3" t="s">
        <v>2965</v>
      </c>
      <c r="O122" s="3" t="s">
        <v>2966</v>
      </c>
      <c r="P122" s="11">
        <v>2550000</v>
      </c>
      <c r="Q122" s="11">
        <v>43965</v>
      </c>
      <c r="R122" s="11">
        <v>51000</v>
      </c>
      <c r="S122" s="11">
        <v>51000</v>
      </c>
      <c r="T122" s="3" t="s">
        <v>2967</v>
      </c>
      <c r="U122" s="3" t="s">
        <v>2968</v>
      </c>
      <c r="V122" s="3" t="s">
        <v>135</v>
      </c>
    </row>
    <row r="123" spans="1:22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">
        <f>SUBTOTAL(9,S2:S122)</f>
        <v>4818357</v>
      </c>
      <c r="T123" s="3"/>
      <c r="U123" s="3"/>
      <c r="V1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E8"/>
  <sheetViews>
    <sheetView workbookViewId="0">
      <selection activeCell="H21" sqref="H21"/>
    </sheetView>
  </sheetViews>
  <sheetFormatPr defaultRowHeight="12.75" x14ac:dyDescent="0.2"/>
  <cols>
    <col min="3" max="3" width="8.5703125" bestFit="1" customWidth="1"/>
    <col min="4" max="4" width="18.5703125" bestFit="1" customWidth="1"/>
    <col min="5" max="5" width="14.140625" bestFit="1" customWidth="1"/>
  </cols>
  <sheetData>
    <row r="4" spans="3:5" x14ac:dyDescent="0.2">
      <c r="C4" s="9" t="s">
        <v>2969</v>
      </c>
      <c r="D4" s="9" t="s">
        <v>2970</v>
      </c>
      <c r="E4" s="9" t="s">
        <v>18</v>
      </c>
    </row>
    <row r="5" spans="3:5" x14ac:dyDescent="0.2">
      <c r="C5" s="5" t="s">
        <v>2971</v>
      </c>
      <c r="D5" s="3">
        <v>45</v>
      </c>
      <c r="E5" s="6">
        <v>2726635</v>
      </c>
    </row>
    <row r="6" spans="3:5" x14ac:dyDescent="0.2">
      <c r="C6" s="5" t="s">
        <v>2974</v>
      </c>
      <c r="D6" s="3">
        <v>204</v>
      </c>
      <c r="E6" s="6">
        <v>8646391</v>
      </c>
    </row>
    <row r="7" spans="3:5" x14ac:dyDescent="0.2">
      <c r="C7" s="5" t="s">
        <v>2972</v>
      </c>
      <c r="D7" s="3">
        <v>121</v>
      </c>
      <c r="E7" s="6">
        <v>4818357</v>
      </c>
    </row>
    <row r="8" spans="3:5" x14ac:dyDescent="0.2">
      <c r="C8" s="7" t="s">
        <v>2973</v>
      </c>
      <c r="D8" s="8">
        <v>370</v>
      </c>
      <c r="E8" s="8">
        <v>16191383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N59"/>
  <sheetViews>
    <sheetView topLeftCell="AF1" workbookViewId="0">
      <pane ySplit="1" topLeftCell="A43" activePane="bottomLeft" state="frozen"/>
      <selection pane="bottomLeft" activeCell="AI60" sqref="AI60"/>
    </sheetView>
  </sheetViews>
  <sheetFormatPr defaultRowHeight="12.75" x14ac:dyDescent="0.2"/>
  <cols>
    <col min="4" max="4" width="15.140625" bestFit="1" customWidth="1"/>
    <col min="5" max="5" width="32.42578125" bestFit="1" customWidth="1"/>
    <col min="8" max="8" width="13.7109375" customWidth="1"/>
    <col min="9" max="9" width="13.140625" bestFit="1" customWidth="1"/>
    <col min="20" max="20" width="10.5703125" customWidth="1"/>
    <col min="21" max="21" width="6.140625" customWidth="1"/>
    <col min="22" max="22" width="7.140625" customWidth="1"/>
    <col min="23" max="23" width="9.7109375" customWidth="1"/>
    <col min="24" max="24" width="7.42578125" customWidth="1"/>
    <col min="25" max="25" width="10.28515625" bestFit="1" customWidth="1"/>
    <col min="26" max="26" width="19.42578125" bestFit="1" customWidth="1"/>
    <col min="28" max="28" width="11.42578125" bestFit="1" customWidth="1"/>
    <col min="30" max="30" width="13.5703125" bestFit="1" customWidth="1"/>
    <col min="33" max="33" width="41.140625" bestFit="1" customWidth="1"/>
    <col min="34" max="34" width="62.85546875" customWidth="1"/>
    <col min="35" max="35" width="12" bestFit="1" customWidth="1"/>
    <col min="36" max="36" width="12.5703125" bestFit="1" customWidth="1"/>
    <col min="37" max="37" width="12.85546875" bestFit="1" customWidth="1"/>
    <col min="38" max="38" width="12.5703125" bestFit="1" customWidth="1"/>
    <col min="39" max="39" width="13" bestFit="1" customWidth="1"/>
    <col min="40" max="40" width="19.140625" bestFit="1" customWidth="1"/>
  </cols>
  <sheetData>
    <row r="1" spans="1:40" s="28" customFormat="1" ht="30" customHeight="1" x14ac:dyDescent="0.2">
      <c r="A1" s="13" t="s">
        <v>2975</v>
      </c>
      <c r="B1" s="14" t="s">
        <v>2976</v>
      </c>
      <c r="C1" s="13" t="s">
        <v>2977</v>
      </c>
      <c r="D1" s="13" t="s">
        <v>2978</v>
      </c>
      <c r="E1" s="13" t="s">
        <v>2979</v>
      </c>
      <c r="F1" s="15" t="s">
        <v>2980</v>
      </c>
      <c r="G1" s="15" t="s">
        <v>2981</v>
      </c>
      <c r="H1" s="13" t="s">
        <v>2982</v>
      </c>
      <c r="I1" s="16" t="s">
        <v>19</v>
      </c>
      <c r="J1" s="13" t="s">
        <v>2983</v>
      </c>
      <c r="K1" s="13" t="s">
        <v>2984</v>
      </c>
      <c r="L1" s="13" t="s">
        <v>2985</v>
      </c>
      <c r="M1" s="13" t="s">
        <v>2986</v>
      </c>
      <c r="N1" s="13" t="s">
        <v>2976</v>
      </c>
      <c r="O1" s="17" t="s">
        <v>2987</v>
      </c>
      <c r="P1" s="17" t="s">
        <v>2988</v>
      </c>
      <c r="Q1" s="17" t="s">
        <v>2989</v>
      </c>
      <c r="R1" s="18" t="s">
        <v>2990</v>
      </c>
      <c r="S1" s="18" t="s">
        <v>2991</v>
      </c>
      <c r="T1" s="19" t="s">
        <v>2992</v>
      </c>
      <c r="U1" s="20" t="s">
        <v>2993</v>
      </c>
      <c r="V1" s="19" t="s">
        <v>2994</v>
      </c>
      <c r="W1" s="21" t="s">
        <v>2995</v>
      </c>
      <c r="X1" s="22" t="s">
        <v>2996</v>
      </c>
      <c r="Y1" s="21" t="s">
        <v>2997</v>
      </c>
      <c r="Z1" s="23" t="s">
        <v>2998</v>
      </c>
      <c r="AA1" s="24" t="s">
        <v>2999</v>
      </c>
      <c r="AB1" s="25" t="s">
        <v>3000</v>
      </c>
      <c r="AC1" s="26" t="s">
        <v>3001</v>
      </c>
      <c r="AD1" s="21" t="s">
        <v>3002</v>
      </c>
      <c r="AE1" s="27" t="s">
        <v>3003</v>
      </c>
      <c r="AG1" s="50" t="s">
        <v>4245</v>
      </c>
      <c r="AH1" s="50"/>
      <c r="AI1" s="52" t="s">
        <v>2997</v>
      </c>
      <c r="AJ1" s="53" t="s">
        <v>4246</v>
      </c>
      <c r="AK1" s="52" t="s">
        <v>2995</v>
      </c>
      <c r="AL1" s="53" t="s">
        <v>4246</v>
      </c>
      <c r="AM1" s="50" t="s">
        <v>4247</v>
      </c>
      <c r="AN1" s="50" t="s">
        <v>4248</v>
      </c>
    </row>
    <row r="2" spans="1:40" ht="11.25" customHeight="1" x14ac:dyDescent="0.2">
      <c r="A2" s="29" t="s">
        <v>3004</v>
      </c>
      <c r="B2" s="29" t="s">
        <v>4017</v>
      </c>
      <c r="C2" s="40">
        <v>45383</v>
      </c>
      <c r="D2" s="39" t="s">
        <v>3720</v>
      </c>
      <c r="E2" s="29" t="s">
        <v>2566</v>
      </c>
      <c r="F2" s="32">
        <v>45404</v>
      </c>
      <c r="G2" s="32">
        <v>45768</v>
      </c>
      <c r="H2" s="30" t="s">
        <v>4127</v>
      </c>
      <c r="I2" s="31">
        <v>3310031222097</v>
      </c>
      <c r="J2" s="30" t="s">
        <v>2568</v>
      </c>
      <c r="K2" s="29" t="s">
        <v>2569</v>
      </c>
      <c r="L2" s="29" t="s">
        <v>2570</v>
      </c>
      <c r="M2" s="29" t="s">
        <v>2571</v>
      </c>
      <c r="N2" s="29" t="s">
        <v>4017</v>
      </c>
      <c r="O2" s="29" t="s">
        <v>4013</v>
      </c>
      <c r="P2" s="29" t="s">
        <v>3172</v>
      </c>
      <c r="Q2" s="29" t="s">
        <v>4065</v>
      </c>
      <c r="R2" s="32">
        <v>45406</v>
      </c>
      <c r="S2" s="32">
        <v>46512</v>
      </c>
      <c r="T2" s="60">
        <v>4100000</v>
      </c>
      <c r="U2" s="29"/>
      <c r="V2" s="29"/>
      <c r="W2" s="34">
        <f>T2</f>
        <v>4100000</v>
      </c>
      <c r="X2" s="35">
        <v>1.5</v>
      </c>
      <c r="Y2" s="34">
        <f>W2*X2%</f>
        <v>61500</v>
      </c>
      <c r="Z2" s="29" t="s">
        <v>3103</v>
      </c>
      <c r="AA2" s="39" t="s">
        <v>4014</v>
      </c>
      <c r="AB2" s="62">
        <v>1141069111</v>
      </c>
      <c r="AC2" s="42">
        <v>45432</v>
      </c>
      <c r="AD2" s="29" t="s">
        <v>3156</v>
      </c>
      <c r="AE2" s="29">
        <v>0</v>
      </c>
      <c r="AG2" t="s">
        <v>2566</v>
      </c>
      <c r="AI2" s="59">
        <v>82000</v>
      </c>
      <c r="AJ2" s="61">
        <v>20500</v>
      </c>
      <c r="AK2" s="59">
        <v>4100000</v>
      </c>
      <c r="AL2" s="51">
        <v>0</v>
      </c>
      <c r="AM2" t="s">
        <v>135</v>
      </c>
      <c r="AN2" t="s">
        <v>4249</v>
      </c>
    </row>
    <row r="3" spans="1:40" ht="11.25" customHeight="1" x14ac:dyDescent="0.2">
      <c r="A3" s="29" t="s">
        <v>3004</v>
      </c>
      <c r="B3" s="29" t="s">
        <v>4018</v>
      </c>
      <c r="C3" s="40">
        <v>45383</v>
      </c>
      <c r="D3" s="39" t="s">
        <v>3720</v>
      </c>
      <c r="E3" s="29" t="s">
        <v>2580</v>
      </c>
      <c r="F3" s="32">
        <v>45390</v>
      </c>
      <c r="G3" s="32">
        <v>45754</v>
      </c>
      <c r="H3" s="30" t="s">
        <v>4126</v>
      </c>
      <c r="I3" s="31">
        <v>4210140236367</v>
      </c>
      <c r="J3" s="30" t="s">
        <v>626</v>
      </c>
      <c r="K3" s="29" t="s">
        <v>2576</v>
      </c>
      <c r="L3" s="29" t="s">
        <v>2577</v>
      </c>
      <c r="M3" s="29" t="s">
        <v>2578</v>
      </c>
      <c r="N3" s="29" t="s">
        <v>4018</v>
      </c>
      <c r="O3" s="29" t="s">
        <v>3162</v>
      </c>
      <c r="P3" s="29" t="s">
        <v>3211</v>
      </c>
      <c r="Q3" s="29" t="s">
        <v>4066</v>
      </c>
      <c r="R3" s="32">
        <v>45391</v>
      </c>
      <c r="S3" s="32">
        <v>46482</v>
      </c>
      <c r="T3" s="60">
        <v>5375000</v>
      </c>
      <c r="U3" s="29"/>
      <c r="V3" s="29"/>
      <c r="W3" s="34">
        <f>T3</f>
        <v>5375000</v>
      </c>
      <c r="X3" s="35">
        <v>1.5</v>
      </c>
      <c r="Y3" s="34">
        <f>W3*X3%</f>
        <v>80625</v>
      </c>
      <c r="Z3" s="29" t="s">
        <v>3103</v>
      </c>
      <c r="AA3" s="39" t="s">
        <v>4014</v>
      </c>
      <c r="AB3" s="62">
        <v>1141069111</v>
      </c>
      <c r="AC3" s="42">
        <v>45432</v>
      </c>
      <c r="AD3" s="29" t="s">
        <v>3186</v>
      </c>
      <c r="AE3" s="29">
        <v>0</v>
      </c>
      <c r="AG3" t="s">
        <v>4279</v>
      </c>
      <c r="AI3" s="59">
        <v>80625</v>
      </c>
      <c r="AJ3" s="61">
        <v>0</v>
      </c>
      <c r="AK3" s="59">
        <v>5375000</v>
      </c>
      <c r="AL3" s="51">
        <v>0</v>
      </c>
      <c r="AM3" t="s">
        <v>135</v>
      </c>
      <c r="AN3" t="s">
        <v>4249</v>
      </c>
    </row>
    <row r="4" spans="1:40" ht="11.25" customHeight="1" x14ac:dyDescent="0.2">
      <c r="A4" s="29" t="s">
        <v>3004</v>
      </c>
      <c r="B4" s="29" t="s">
        <v>4021</v>
      </c>
      <c r="C4" s="40">
        <v>45597</v>
      </c>
      <c r="D4" s="39" t="s">
        <v>3720</v>
      </c>
      <c r="E4" s="29" t="s">
        <v>144</v>
      </c>
      <c r="F4" s="32">
        <v>45611</v>
      </c>
      <c r="G4" s="32">
        <v>45975</v>
      </c>
      <c r="H4" s="47" t="s">
        <v>4135</v>
      </c>
      <c r="I4" s="44" t="s">
        <v>4128</v>
      </c>
      <c r="J4" s="47" t="s">
        <v>4180</v>
      </c>
      <c r="K4" s="29" t="s">
        <v>147</v>
      </c>
      <c r="L4" s="29" t="s">
        <v>148</v>
      </c>
      <c r="M4" s="29" t="s">
        <v>149</v>
      </c>
      <c r="N4" s="29" t="s">
        <v>4021</v>
      </c>
      <c r="O4" s="48" t="s">
        <v>4013</v>
      </c>
      <c r="P4" s="29" t="s">
        <v>3154</v>
      </c>
      <c r="Q4" s="29" t="s">
        <v>4071</v>
      </c>
      <c r="R4" s="32">
        <v>45597</v>
      </c>
      <c r="S4" s="32">
        <v>47427</v>
      </c>
      <c r="T4" s="33">
        <v>2150000</v>
      </c>
      <c r="U4" s="29"/>
      <c r="V4" s="29"/>
      <c r="W4" s="34">
        <f>T4</f>
        <v>2150000</v>
      </c>
      <c r="X4" s="35">
        <v>2</v>
      </c>
      <c r="Y4" s="34">
        <f>W4*X4%</f>
        <v>43000</v>
      </c>
      <c r="Z4" s="36" t="s">
        <v>3103</v>
      </c>
      <c r="AA4" s="39" t="s">
        <v>4014</v>
      </c>
      <c r="AB4" s="39">
        <v>1141071545</v>
      </c>
      <c r="AC4" s="42">
        <v>45622</v>
      </c>
      <c r="AD4" s="29" t="s">
        <v>3160</v>
      </c>
      <c r="AE4" s="29">
        <v>0</v>
      </c>
      <c r="AG4" t="s">
        <v>144</v>
      </c>
      <c r="AI4" s="54">
        <v>43000</v>
      </c>
      <c r="AJ4" s="54">
        <v>0</v>
      </c>
      <c r="AK4" s="54">
        <v>2150000</v>
      </c>
      <c r="AL4" s="51">
        <v>0</v>
      </c>
      <c r="AM4" t="s">
        <v>135</v>
      </c>
      <c r="AN4" t="s">
        <v>4249</v>
      </c>
    </row>
    <row r="5" spans="1:40" ht="11.25" customHeight="1" x14ac:dyDescent="0.2">
      <c r="A5" s="29" t="s">
        <v>3004</v>
      </c>
      <c r="B5" s="29" t="s">
        <v>4064</v>
      </c>
      <c r="C5" s="40">
        <v>45597</v>
      </c>
      <c r="D5" s="39" t="s">
        <v>3720</v>
      </c>
      <c r="E5" s="29" t="s">
        <v>308</v>
      </c>
      <c r="F5" s="32">
        <v>45601</v>
      </c>
      <c r="G5" s="32">
        <v>45965</v>
      </c>
      <c r="H5" s="47" t="s">
        <v>4154</v>
      </c>
      <c r="I5" s="31">
        <v>4220137933467</v>
      </c>
      <c r="J5" s="47" t="s">
        <v>4195</v>
      </c>
      <c r="K5" s="29" t="s">
        <v>311</v>
      </c>
      <c r="L5" s="29" t="s">
        <v>312</v>
      </c>
      <c r="M5" s="29" t="s">
        <v>313</v>
      </c>
      <c r="N5" s="29" t="s">
        <v>4064</v>
      </c>
      <c r="O5" s="29" t="s">
        <v>3162</v>
      </c>
      <c r="P5" s="29" t="s">
        <v>3163</v>
      </c>
      <c r="Q5" s="29" t="s">
        <v>4091</v>
      </c>
      <c r="R5" s="32">
        <v>45602</v>
      </c>
      <c r="S5" s="32">
        <v>46696</v>
      </c>
      <c r="T5" s="33">
        <v>3800000</v>
      </c>
      <c r="U5" s="29"/>
      <c r="V5" s="29"/>
      <c r="W5" s="34">
        <f>T5</f>
        <v>3800000</v>
      </c>
      <c r="X5" s="35">
        <v>1.5</v>
      </c>
      <c r="Y5" s="34">
        <f>W5*X5%</f>
        <v>57000</v>
      </c>
      <c r="Z5" s="36" t="s">
        <v>3103</v>
      </c>
      <c r="AA5" s="39" t="s">
        <v>4014</v>
      </c>
      <c r="AB5" s="39">
        <v>1141071545</v>
      </c>
      <c r="AC5" s="42">
        <v>45622</v>
      </c>
      <c r="AD5" s="29" t="s">
        <v>3160</v>
      </c>
      <c r="AE5" s="29">
        <v>0</v>
      </c>
      <c r="AG5" t="s">
        <v>308</v>
      </c>
      <c r="AI5" s="54">
        <v>57000</v>
      </c>
      <c r="AJ5" s="54">
        <v>0</v>
      </c>
      <c r="AK5" s="54">
        <v>3800000</v>
      </c>
      <c r="AL5" s="51">
        <v>0</v>
      </c>
      <c r="AM5" t="s">
        <v>135</v>
      </c>
      <c r="AN5" s="58" t="s">
        <v>4249</v>
      </c>
    </row>
    <row r="6" spans="1:40" ht="11.25" hidden="1" customHeight="1" x14ac:dyDescent="0.2">
      <c r="A6" s="29" t="s">
        <v>3004</v>
      </c>
      <c r="B6" s="29" t="s">
        <v>4016</v>
      </c>
      <c r="C6" s="40">
        <v>45231</v>
      </c>
      <c r="D6" s="39" t="s">
        <v>3720</v>
      </c>
      <c r="E6" s="29" t="s">
        <v>2336</v>
      </c>
      <c r="F6" s="32">
        <v>45236</v>
      </c>
      <c r="G6" s="32">
        <v>47062</v>
      </c>
      <c r="H6" s="30" t="s">
        <v>4117</v>
      </c>
      <c r="I6" s="31">
        <v>3310024895721</v>
      </c>
      <c r="J6" s="30" t="s">
        <v>2338</v>
      </c>
      <c r="K6" s="29" t="s">
        <v>2339</v>
      </c>
      <c r="L6" s="29" t="s">
        <v>2340</v>
      </c>
      <c r="M6" s="29" t="s">
        <v>2341</v>
      </c>
      <c r="N6" s="29" t="s">
        <v>4016</v>
      </c>
      <c r="O6" s="29" t="s">
        <v>4116</v>
      </c>
      <c r="P6" s="29" t="s">
        <v>4116</v>
      </c>
      <c r="Q6" s="29" t="s">
        <v>4116</v>
      </c>
      <c r="R6" s="29" t="s">
        <v>4116</v>
      </c>
      <c r="S6" s="29" t="s">
        <v>4116</v>
      </c>
      <c r="T6" s="29" t="s">
        <v>4116</v>
      </c>
      <c r="U6" s="29"/>
      <c r="V6" s="29"/>
      <c r="W6" s="29" t="s">
        <v>4116</v>
      </c>
      <c r="X6" s="29" t="s">
        <v>4116</v>
      </c>
      <c r="Y6" s="29" t="s">
        <v>4116</v>
      </c>
      <c r="Z6" s="36" t="s">
        <v>4016</v>
      </c>
      <c r="AA6" s="29"/>
      <c r="AB6" s="29"/>
      <c r="AC6" s="29"/>
      <c r="AD6" s="36" t="s">
        <v>4016</v>
      </c>
      <c r="AE6" s="29" t="s">
        <v>4116</v>
      </c>
      <c r="AI6" s="54"/>
      <c r="AJ6" s="54"/>
      <c r="AK6" s="54"/>
      <c r="AL6" s="51"/>
    </row>
    <row r="7" spans="1:40" ht="11.25" hidden="1" customHeight="1" x14ac:dyDescent="0.2">
      <c r="A7" s="29" t="s">
        <v>3004</v>
      </c>
      <c r="B7" s="29" t="s">
        <v>4016</v>
      </c>
      <c r="C7" s="40">
        <v>45261</v>
      </c>
      <c r="D7" s="39" t="s">
        <v>3720</v>
      </c>
      <c r="E7" s="29" t="s">
        <v>2365</v>
      </c>
      <c r="F7" s="32">
        <v>45274</v>
      </c>
      <c r="G7" s="32">
        <v>45639</v>
      </c>
      <c r="H7" s="30" t="s">
        <v>4118</v>
      </c>
      <c r="I7" s="31">
        <v>3540151169563</v>
      </c>
      <c r="J7" s="30" t="s">
        <v>2338</v>
      </c>
      <c r="K7" s="29" t="s">
        <v>2367</v>
      </c>
      <c r="L7" s="29" t="s">
        <v>2368</v>
      </c>
      <c r="M7" s="29" t="s">
        <v>2369</v>
      </c>
      <c r="N7" s="29" t="s">
        <v>4016</v>
      </c>
      <c r="O7" s="29" t="s">
        <v>4116</v>
      </c>
      <c r="P7" s="29" t="s">
        <v>4116</v>
      </c>
      <c r="Q7" s="29" t="s">
        <v>4116</v>
      </c>
      <c r="R7" s="29" t="s">
        <v>4116</v>
      </c>
      <c r="S7" s="29" t="s">
        <v>4116</v>
      </c>
      <c r="T7" s="29" t="s">
        <v>4116</v>
      </c>
      <c r="U7" s="29"/>
      <c r="V7" s="29"/>
      <c r="W7" s="29" t="s">
        <v>4116</v>
      </c>
      <c r="X7" s="29" t="s">
        <v>4116</v>
      </c>
      <c r="Y7" s="29" t="s">
        <v>4116</v>
      </c>
      <c r="Z7" s="36" t="s">
        <v>4016</v>
      </c>
      <c r="AA7" s="29"/>
      <c r="AB7" s="29"/>
      <c r="AC7" s="29"/>
      <c r="AD7" s="36" t="s">
        <v>4016</v>
      </c>
      <c r="AE7" s="29" t="s">
        <v>4116</v>
      </c>
      <c r="AI7" s="54"/>
      <c r="AJ7" s="54"/>
      <c r="AK7" s="54"/>
      <c r="AL7" s="51"/>
    </row>
    <row r="8" spans="1:40" ht="11.25" hidden="1" customHeight="1" x14ac:dyDescent="0.2">
      <c r="A8" s="29" t="s">
        <v>3004</v>
      </c>
      <c r="B8" s="29" t="s">
        <v>4016</v>
      </c>
      <c r="C8" s="40">
        <v>45323</v>
      </c>
      <c r="D8" s="39" t="s">
        <v>3720</v>
      </c>
      <c r="E8" s="29" t="s">
        <v>2419</v>
      </c>
      <c r="F8" s="32">
        <v>45323</v>
      </c>
      <c r="G8" s="32">
        <v>47149</v>
      </c>
      <c r="H8" s="30" t="s">
        <v>4119</v>
      </c>
      <c r="I8" s="31">
        <v>3130338365559</v>
      </c>
      <c r="J8" s="30" t="s">
        <v>2421</v>
      </c>
      <c r="K8" s="29" t="s">
        <v>2422</v>
      </c>
      <c r="L8" s="29" t="s">
        <v>2423</v>
      </c>
      <c r="M8" s="29" t="s">
        <v>2424</v>
      </c>
      <c r="N8" s="29" t="s">
        <v>4016</v>
      </c>
      <c r="O8" s="29" t="s">
        <v>4116</v>
      </c>
      <c r="P8" s="29" t="s">
        <v>4116</v>
      </c>
      <c r="Q8" s="29" t="s">
        <v>4116</v>
      </c>
      <c r="R8" s="29" t="s">
        <v>4116</v>
      </c>
      <c r="S8" s="29" t="s">
        <v>4116</v>
      </c>
      <c r="T8" s="29" t="s">
        <v>4116</v>
      </c>
      <c r="U8" s="29"/>
      <c r="V8" s="29"/>
      <c r="W8" s="29" t="s">
        <v>4116</v>
      </c>
      <c r="X8" s="29" t="s">
        <v>4116</v>
      </c>
      <c r="Y8" s="29" t="s">
        <v>4116</v>
      </c>
      <c r="Z8" s="36" t="s">
        <v>4016</v>
      </c>
      <c r="AA8" s="29"/>
      <c r="AB8" s="29"/>
      <c r="AC8" s="29"/>
      <c r="AD8" s="36" t="s">
        <v>4016</v>
      </c>
      <c r="AE8" s="29" t="s">
        <v>4116</v>
      </c>
      <c r="AI8" s="54"/>
      <c r="AJ8" s="54"/>
      <c r="AK8" s="54"/>
      <c r="AL8" s="51"/>
    </row>
    <row r="9" spans="1:40" ht="11.25" hidden="1" customHeight="1" x14ac:dyDescent="0.2">
      <c r="A9" s="29" t="s">
        <v>3004</v>
      </c>
      <c r="B9" s="29" t="s">
        <v>4016</v>
      </c>
      <c r="C9" s="40">
        <v>45352</v>
      </c>
      <c r="D9" s="39" t="s">
        <v>3720</v>
      </c>
      <c r="E9" s="29" t="s">
        <v>2555</v>
      </c>
      <c r="F9" s="32">
        <v>45364</v>
      </c>
      <c r="G9" s="32">
        <v>47189</v>
      </c>
      <c r="H9" s="30" t="s">
        <v>4120</v>
      </c>
      <c r="I9" s="31">
        <v>1210120723961</v>
      </c>
      <c r="J9" s="30" t="s">
        <v>2338</v>
      </c>
      <c r="K9" s="29" t="s">
        <v>2557</v>
      </c>
      <c r="L9" s="29" t="s">
        <v>2558</v>
      </c>
      <c r="M9" s="29" t="s">
        <v>2559</v>
      </c>
      <c r="N9" s="29" t="s">
        <v>4016</v>
      </c>
      <c r="O9" s="29" t="s">
        <v>4116</v>
      </c>
      <c r="P9" s="29" t="s">
        <v>4116</v>
      </c>
      <c r="Q9" s="29" t="s">
        <v>4116</v>
      </c>
      <c r="R9" s="29" t="s">
        <v>4116</v>
      </c>
      <c r="S9" s="29" t="s">
        <v>4116</v>
      </c>
      <c r="T9" s="29" t="s">
        <v>4116</v>
      </c>
      <c r="U9" s="29"/>
      <c r="V9" s="29"/>
      <c r="W9" s="29" t="s">
        <v>4116</v>
      </c>
      <c r="X9" s="29" t="s">
        <v>4116</v>
      </c>
      <c r="Y9" s="29" t="s">
        <v>4116</v>
      </c>
      <c r="Z9" s="36" t="s">
        <v>4016</v>
      </c>
      <c r="AA9" s="29"/>
      <c r="AB9" s="29"/>
      <c r="AC9" s="29"/>
      <c r="AD9" s="36" t="s">
        <v>4016</v>
      </c>
      <c r="AE9" s="29" t="s">
        <v>4116</v>
      </c>
      <c r="AI9" s="54"/>
      <c r="AJ9" s="54"/>
      <c r="AK9" s="54"/>
      <c r="AL9" s="51"/>
    </row>
    <row r="10" spans="1:40" ht="11.25" hidden="1" customHeight="1" x14ac:dyDescent="0.2">
      <c r="A10" s="29" t="s">
        <v>3004</v>
      </c>
      <c r="B10" s="29" t="s">
        <v>4016</v>
      </c>
      <c r="C10" s="40">
        <v>45352</v>
      </c>
      <c r="D10" s="39" t="s">
        <v>3720</v>
      </c>
      <c r="E10" s="29" t="s">
        <v>2560</v>
      </c>
      <c r="F10" s="32">
        <v>45372</v>
      </c>
      <c r="G10" s="32">
        <v>47197</v>
      </c>
      <c r="H10" s="30" t="s">
        <v>4121</v>
      </c>
      <c r="I10" s="31">
        <v>1210122368311</v>
      </c>
      <c r="J10" s="30" t="s">
        <v>2562</v>
      </c>
      <c r="K10" s="29" t="s">
        <v>2563</v>
      </c>
      <c r="L10" s="29" t="s">
        <v>2564</v>
      </c>
      <c r="M10" s="29" t="s">
        <v>2565</v>
      </c>
      <c r="N10" s="29" t="s">
        <v>4016</v>
      </c>
      <c r="O10" s="29" t="s">
        <v>4116</v>
      </c>
      <c r="P10" s="29" t="s">
        <v>4116</v>
      </c>
      <c r="Q10" s="29" t="s">
        <v>4116</v>
      </c>
      <c r="R10" s="29" t="s">
        <v>4116</v>
      </c>
      <c r="S10" s="29" t="s">
        <v>4116</v>
      </c>
      <c r="T10" s="29" t="s">
        <v>4116</v>
      </c>
      <c r="U10" s="29"/>
      <c r="V10" s="29"/>
      <c r="W10" s="29" t="s">
        <v>4116</v>
      </c>
      <c r="X10" s="29" t="s">
        <v>4116</v>
      </c>
      <c r="Y10" s="29" t="s">
        <v>4116</v>
      </c>
      <c r="Z10" s="36" t="s">
        <v>4016</v>
      </c>
      <c r="AA10" s="29"/>
      <c r="AB10" s="29"/>
      <c r="AC10" s="29"/>
      <c r="AD10" s="36" t="s">
        <v>4016</v>
      </c>
      <c r="AE10" s="29" t="s">
        <v>4116</v>
      </c>
      <c r="AI10" s="54"/>
      <c r="AJ10" s="54"/>
      <c r="AK10" s="54"/>
      <c r="AL10" s="51"/>
    </row>
    <row r="11" spans="1:40" ht="11.25" hidden="1" customHeight="1" x14ac:dyDescent="0.2">
      <c r="A11" s="29" t="s">
        <v>3004</v>
      </c>
      <c r="B11" s="29" t="s">
        <v>4016</v>
      </c>
      <c r="C11" s="40">
        <v>45352</v>
      </c>
      <c r="D11" s="39" t="s">
        <v>3720</v>
      </c>
      <c r="E11" s="29" t="s">
        <v>2589</v>
      </c>
      <c r="F11" s="32">
        <v>45379</v>
      </c>
      <c r="G11" s="32">
        <v>47204</v>
      </c>
      <c r="H11" s="30" t="s">
        <v>4122</v>
      </c>
      <c r="I11" s="31">
        <v>3660307336619</v>
      </c>
      <c r="J11" s="30" t="s">
        <v>2338</v>
      </c>
      <c r="K11" s="29" t="s">
        <v>2591</v>
      </c>
      <c r="L11" s="29" t="s">
        <v>2592</v>
      </c>
      <c r="M11" s="29" t="s">
        <v>2593</v>
      </c>
      <c r="N11" s="29" t="s">
        <v>4016</v>
      </c>
      <c r="O11" s="29" t="s">
        <v>4116</v>
      </c>
      <c r="P11" s="29" t="s">
        <v>4116</v>
      </c>
      <c r="Q11" s="29" t="s">
        <v>4116</v>
      </c>
      <c r="R11" s="29" t="s">
        <v>4116</v>
      </c>
      <c r="S11" s="29" t="s">
        <v>4116</v>
      </c>
      <c r="T11" s="29" t="s">
        <v>4116</v>
      </c>
      <c r="U11" s="29"/>
      <c r="V11" s="29"/>
      <c r="W11" s="29" t="s">
        <v>4116</v>
      </c>
      <c r="X11" s="29" t="s">
        <v>4116</v>
      </c>
      <c r="Y11" s="29" t="s">
        <v>4116</v>
      </c>
      <c r="Z11" s="36" t="s">
        <v>4016</v>
      </c>
      <c r="AA11" s="29"/>
      <c r="AB11" s="29"/>
      <c r="AC11" s="29"/>
      <c r="AD11" s="36" t="s">
        <v>4016</v>
      </c>
      <c r="AE11" s="29" t="s">
        <v>4116</v>
      </c>
      <c r="AI11" s="54"/>
      <c r="AJ11" s="54"/>
      <c r="AK11" s="54"/>
      <c r="AL11" s="51"/>
    </row>
    <row r="12" spans="1:40" ht="11.25" hidden="1" customHeight="1" x14ac:dyDescent="0.2">
      <c r="A12" s="29" t="s">
        <v>3004</v>
      </c>
      <c r="B12" s="29" t="s">
        <v>4019</v>
      </c>
      <c r="C12" s="40">
        <v>45383</v>
      </c>
      <c r="D12" s="39" t="s">
        <v>3720</v>
      </c>
      <c r="E12" s="29" t="s">
        <v>2582</v>
      </c>
      <c r="F12" s="32">
        <v>45390</v>
      </c>
      <c r="G12" s="32">
        <v>45754</v>
      </c>
      <c r="H12" s="41" t="s">
        <v>4123</v>
      </c>
      <c r="I12" s="31">
        <v>4230197595821</v>
      </c>
      <c r="J12" s="30" t="s">
        <v>292</v>
      </c>
      <c r="K12" s="29"/>
      <c r="L12" s="29" t="s">
        <v>2584</v>
      </c>
      <c r="M12" s="29" t="s">
        <v>2585</v>
      </c>
      <c r="N12" s="29" t="s">
        <v>4019</v>
      </c>
      <c r="O12" s="29" t="s">
        <v>4116</v>
      </c>
      <c r="P12" s="29" t="s">
        <v>4116</v>
      </c>
      <c r="Q12" s="29" t="s">
        <v>4116</v>
      </c>
      <c r="R12" s="29" t="s">
        <v>4116</v>
      </c>
      <c r="S12" s="29" t="s">
        <v>4116</v>
      </c>
      <c r="T12" s="29" t="s">
        <v>4116</v>
      </c>
      <c r="U12" s="29"/>
      <c r="V12" s="29"/>
      <c r="W12" s="29" t="s">
        <v>4116</v>
      </c>
      <c r="X12" s="29" t="s">
        <v>4116</v>
      </c>
      <c r="Y12" s="29" t="s">
        <v>4116</v>
      </c>
      <c r="Z12" s="36" t="s">
        <v>4019</v>
      </c>
      <c r="AA12" s="29"/>
      <c r="AB12" s="29"/>
      <c r="AC12" s="29"/>
      <c r="AD12" s="36" t="s">
        <v>4019</v>
      </c>
      <c r="AE12" s="29" t="s">
        <v>4116</v>
      </c>
      <c r="AI12" s="54"/>
      <c r="AJ12" s="54"/>
      <c r="AK12" s="54"/>
      <c r="AL12" s="51"/>
    </row>
    <row r="13" spans="1:40" ht="11.25" hidden="1" customHeight="1" x14ac:dyDescent="0.2">
      <c r="A13" s="29" t="s">
        <v>3004</v>
      </c>
      <c r="B13" s="29" t="s">
        <v>4020</v>
      </c>
      <c r="C13" s="40">
        <v>45566</v>
      </c>
      <c r="D13" s="39" t="s">
        <v>3720</v>
      </c>
      <c r="E13" s="29" t="s">
        <v>2961</v>
      </c>
      <c r="F13" s="32">
        <v>45587</v>
      </c>
      <c r="G13" s="32">
        <v>45951</v>
      </c>
      <c r="H13" s="47" t="s">
        <v>4132</v>
      </c>
      <c r="I13" s="31">
        <v>3520229568751</v>
      </c>
      <c r="J13" s="47" t="s">
        <v>4180</v>
      </c>
      <c r="K13" s="29" t="s">
        <v>2963</v>
      </c>
      <c r="L13" s="29" t="s">
        <v>2964</v>
      </c>
      <c r="M13" s="29" t="s">
        <v>2965</v>
      </c>
      <c r="N13" s="29" t="s">
        <v>4020</v>
      </c>
      <c r="O13" s="48" t="s">
        <v>3167</v>
      </c>
      <c r="P13" s="29" t="s">
        <v>3168</v>
      </c>
      <c r="Q13" s="29" t="s">
        <v>4067</v>
      </c>
      <c r="R13" s="32">
        <v>0</v>
      </c>
      <c r="S13" s="32">
        <v>47396</v>
      </c>
      <c r="T13" s="33">
        <v>2550000</v>
      </c>
      <c r="U13" s="29"/>
      <c r="V13" s="29"/>
      <c r="W13" s="34">
        <f>T13</f>
        <v>2550000</v>
      </c>
      <c r="X13" s="35">
        <v>2</v>
      </c>
      <c r="Y13" s="34">
        <f>W13*X13%</f>
        <v>51000</v>
      </c>
      <c r="Z13" s="36" t="s">
        <v>4207</v>
      </c>
      <c r="AA13" s="29"/>
      <c r="AB13" s="29"/>
      <c r="AC13" s="29"/>
      <c r="AD13" s="29" t="s">
        <v>4068</v>
      </c>
      <c r="AE13" s="29">
        <v>0</v>
      </c>
      <c r="AI13" s="54"/>
      <c r="AJ13" s="54"/>
      <c r="AK13" s="54"/>
      <c r="AL13" s="51"/>
    </row>
    <row r="14" spans="1:40" ht="11.25" hidden="1" customHeight="1" x14ac:dyDescent="0.2">
      <c r="A14" s="29" t="s">
        <v>3004</v>
      </c>
      <c r="B14" s="29" t="s">
        <v>4059</v>
      </c>
      <c r="C14" s="40">
        <v>45597</v>
      </c>
      <c r="D14" s="39" t="s">
        <v>3720</v>
      </c>
      <c r="E14" s="29" t="s">
        <v>440</v>
      </c>
      <c r="F14" s="32">
        <v>45625</v>
      </c>
      <c r="G14" s="32">
        <v>45989</v>
      </c>
      <c r="H14" s="47" t="s">
        <v>4168</v>
      </c>
      <c r="I14" s="31">
        <v>3610102621529</v>
      </c>
      <c r="J14" s="47" t="s">
        <v>4195</v>
      </c>
      <c r="K14" s="29" t="s">
        <v>443</v>
      </c>
      <c r="L14" s="29" t="s">
        <v>444</v>
      </c>
      <c r="M14" s="29" t="s">
        <v>445</v>
      </c>
      <c r="N14" s="29" t="s">
        <v>4059</v>
      </c>
      <c r="O14" s="48" t="s">
        <v>4013</v>
      </c>
      <c r="P14" s="29" t="s">
        <v>3216</v>
      </c>
      <c r="Q14" s="29" t="s">
        <v>4107</v>
      </c>
      <c r="R14" s="32">
        <v>0</v>
      </c>
      <c r="S14" s="32">
        <v>0</v>
      </c>
      <c r="T14" s="33">
        <v>3700000</v>
      </c>
      <c r="U14" s="29"/>
      <c r="V14" s="29"/>
      <c r="W14" s="34">
        <f>T14</f>
        <v>3700000</v>
      </c>
      <c r="X14" s="35">
        <v>1.5</v>
      </c>
      <c r="Y14" s="34">
        <f>W14*X14%</f>
        <v>55500</v>
      </c>
      <c r="Z14" s="36" t="s">
        <v>4207</v>
      </c>
      <c r="AA14" s="29"/>
      <c r="AB14" s="29"/>
      <c r="AC14" s="29"/>
      <c r="AD14" s="29" t="s">
        <v>4108</v>
      </c>
      <c r="AE14" s="29">
        <v>0</v>
      </c>
      <c r="AG14" t="s">
        <v>440</v>
      </c>
      <c r="AI14" s="54">
        <v>55500</v>
      </c>
      <c r="AJ14" s="54">
        <v>0</v>
      </c>
      <c r="AK14" s="54">
        <v>3700000</v>
      </c>
      <c r="AL14" s="51">
        <v>0</v>
      </c>
      <c r="AM14" t="s">
        <v>135</v>
      </c>
      <c r="AN14" t="s">
        <v>4249</v>
      </c>
    </row>
    <row r="15" spans="1:40" ht="11.25" hidden="1" customHeight="1" x14ac:dyDescent="0.2">
      <c r="A15" s="29" t="s">
        <v>3004</v>
      </c>
      <c r="B15" s="29" t="s">
        <v>4015</v>
      </c>
      <c r="C15" s="40">
        <v>45139</v>
      </c>
      <c r="D15" s="39" t="s">
        <v>3720</v>
      </c>
      <c r="E15" s="29" t="s">
        <v>2272</v>
      </c>
      <c r="F15" s="32">
        <v>45169</v>
      </c>
      <c r="G15" s="32">
        <v>45534</v>
      </c>
      <c r="H15" s="30" t="s">
        <v>4124</v>
      </c>
      <c r="I15" s="31">
        <v>4210179692533</v>
      </c>
      <c r="J15" s="30" t="s">
        <v>1455</v>
      </c>
      <c r="K15" s="29" t="s">
        <v>2274</v>
      </c>
      <c r="L15" s="29" t="s">
        <v>2275</v>
      </c>
      <c r="M15" s="29" t="s">
        <v>2276</v>
      </c>
      <c r="N15" s="29" t="s">
        <v>4015</v>
      </c>
      <c r="O15" s="29" t="s">
        <v>4116</v>
      </c>
      <c r="P15" s="29" t="s">
        <v>4116</v>
      </c>
      <c r="Q15" s="29" t="s">
        <v>4116</v>
      </c>
      <c r="R15" s="29" t="s">
        <v>4116</v>
      </c>
      <c r="S15" s="29" t="s">
        <v>4116</v>
      </c>
      <c r="T15" s="29" t="s">
        <v>4116</v>
      </c>
      <c r="U15" s="29"/>
      <c r="V15" s="29"/>
      <c r="W15" s="29" t="s">
        <v>4116</v>
      </c>
      <c r="X15" s="29" t="s">
        <v>4116</v>
      </c>
      <c r="Y15" s="29" t="s">
        <v>4116</v>
      </c>
      <c r="Z15" s="36" t="s">
        <v>4015</v>
      </c>
      <c r="AA15" s="29"/>
      <c r="AB15" s="29"/>
      <c r="AC15" s="29"/>
      <c r="AD15" s="36" t="s">
        <v>4015</v>
      </c>
      <c r="AE15" s="29" t="s">
        <v>4116</v>
      </c>
      <c r="AI15" s="54"/>
      <c r="AJ15" s="54"/>
      <c r="AK15" s="54"/>
      <c r="AL15" s="51"/>
    </row>
    <row r="16" spans="1:40" ht="11.25" hidden="1" customHeight="1" x14ac:dyDescent="0.2">
      <c r="A16" s="29" t="s">
        <v>3004</v>
      </c>
      <c r="B16" s="29" t="s">
        <v>4015</v>
      </c>
      <c r="C16" s="40">
        <v>45323</v>
      </c>
      <c r="D16" s="39" t="s">
        <v>3720</v>
      </c>
      <c r="E16" s="29" t="s">
        <v>2411</v>
      </c>
      <c r="F16" s="32">
        <v>45331</v>
      </c>
      <c r="G16" s="32">
        <v>45696</v>
      </c>
      <c r="H16" s="30" t="s">
        <v>4125</v>
      </c>
      <c r="I16" s="31">
        <v>3520129679669</v>
      </c>
      <c r="J16" s="30" t="s">
        <v>24</v>
      </c>
      <c r="K16" s="29" t="s">
        <v>2413</v>
      </c>
      <c r="L16" s="29" t="s">
        <v>2414</v>
      </c>
      <c r="M16" s="29" t="s">
        <v>2415</v>
      </c>
      <c r="N16" s="29" t="s">
        <v>4015</v>
      </c>
      <c r="O16" s="29" t="s">
        <v>4116</v>
      </c>
      <c r="P16" s="29" t="s">
        <v>4116</v>
      </c>
      <c r="Q16" s="29" t="s">
        <v>4116</v>
      </c>
      <c r="R16" s="29" t="s">
        <v>4116</v>
      </c>
      <c r="S16" s="29" t="s">
        <v>4116</v>
      </c>
      <c r="T16" s="29" t="s">
        <v>4116</v>
      </c>
      <c r="U16" s="29"/>
      <c r="V16" s="29"/>
      <c r="W16" s="29" t="s">
        <v>4116</v>
      </c>
      <c r="X16" s="29" t="s">
        <v>4116</v>
      </c>
      <c r="Y16" s="29" t="s">
        <v>4116</v>
      </c>
      <c r="Z16" s="36" t="s">
        <v>4015</v>
      </c>
      <c r="AA16" s="29"/>
      <c r="AB16" s="29"/>
      <c r="AC16" s="29"/>
      <c r="AD16" s="36" t="s">
        <v>4015</v>
      </c>
      <c r="AE16" s="29" t="s">
        <v>4116</v>
      </c>
      <c r="AI16" s="54"/>
      <c r="AJ16" s="54"/>
      <c r="AK16" s="54"/>
      <c r="AL16" s="51"/>
    </row>
    <row r="17" spans="1:40" ht="11.25" customHeight="1" x14ac:dyDescent="0.2">
      <c r="A17" s="29" t="s">
        <v>3004</v>
      </c>
      <c r="B17" s="29" t="s">
        <v>4023</v>
      </c>
      <c r="C17" s="40">
        <v>45597</v>
      </c>
      <c r="D17" s="39" t="s">
        <v>3720</v>
      </c>
      <c r="E17" s="29" t="s">
        <v>126</v>
      </c>
      <c r="F17" s="32">
        <v>45601</v>
      </c>
      <c r="G17" s="32">
        <v>45965</v>
      </c>
      <c r="H17" s="47" t="s">
        <v>4133</v>
      </c>
      <c r="I17" s="31">
        <v>3210209745879</v>
      </c>
      <c r="J17" s="47" t="s">
        <v>4181</v>
      </c>
      <c r="K17" s="29"/>
      <c r="L17" s="29" t="s">
        <v>130</v>
      </c>
      <c r="M17" s="29" t="s">
        <v>131</v>
      </c>
      <c r="N17" s="29" t="s">
        <v>4023</v>
      </c>
      <c r="O17" s="48" t="s">
        <v>4013</v>
      </c>
      <c r="P17" s="29" t="s">
        <v>3170</v>
      </c>
      <c r="Q17" s="29" t="s">
        <v>4069</v>
      </c>
      <c r="R17" s="32">
        <v>45611</v>
      </c>
      <c r="S17" s="32">
        <v>47427</v>
      </c>
      <c r="T17" s="33">
        <v>4546000</v>
      </c>
      <c r="U17" s="29"/>
      <c r="V17" s="29"/>
      <c r="W17" s="34">
        <f t="shared" ref="W17:W57" si="0">T17</f>
        <v>4546000</v>
      </c>
      <c r="X17" s="35">
        <v>1.5</v>
      </c>
      <c r="Y17" s="34">
        <f t="shared" ref="Y17:Y57" si="1">W17*X17%</f>
        <v>68190</v>
      </c>
      <c r="Z17" s="29"/>
      <c r="AA17" s="29" t="s">
        <v>4014</v>
      </c>
      <c r="AB17" s="29">
        <v>1141071764</v>
      </c>
      <c r="AC17" s="49">
        <v>45637</v>
      </c>
      <c r="AD17" s="29" t="s">
        <v>3160</v>
      </c>
      <c r="AE17" s="29">
        <v>0</v>
      </c>
      <c r="AG17" t="s">
        <v>126</v>
      </c>
      <c r="AI17" s="54">
        <v>68190</v>
      </c>
      <c r="AJ17" s="54">
        <v>0</v>
      </c>
      <c r="AK17" s="54">
        <v>4546000</v>
      </c>
      <c r="AL17" s="51">
        <v>0</v>
      </c>
      <c r="AM17" t="s">
        <v>135</v>
      </c>
      <c r="AN17" t="s">
        <v>4249</v>
      </c>
    </row>
    <row r="18" spans="1:40" ht="11.25" customHeight="1" x14ac:dyDescent="0.2">
      <c r="A18" s="29" t="s">
        <v>3004</v>
      </c>
      <c r="B18" s="29" t="s">
        <v>4024</v>
      </c>
      <c r="C18" s="40">
        <v>45597</v>
      </c>
      <c r="D18" s="39" t="s">
        <v>3720</v>
      </c>
      <c r="E18" s="29" t="s">
        <v>136</v>
      </c>
      <c r="F18" s="32">
        <v>45611</v>
      </c>
      <c r="G18" s="32">
        <v>45975</v>
      </c>
      <c r="H18" s="47" t="s">
        <v>4134</v>
      </c>
      <c r="I18" s="31">
        <v>4240174614095</v>
      </c>
      <c r="J18" s="47" t="s">
        <v>112</v>
      </c>
      <c r="K18" s="29" t="s">
        <v>138</v>
      </c>
      <c r="L18" s="29" t="s">
        <v>139</v>
      </c>
      <c r="M18" s="29" t="s">
        <v>140</v>
      </c>
      <c r="N18" s="29" t="s">
        <v>4024</v>
      </c>
      <c r="O18" s="29" t="s">
        <v>3162</v>
      </c>
      <c r="P18" s="29" t="s">
        <v>3211</v>
      </c>
      <c r="Q18" s="29" t="s">
        <v>4070</v>
      </c>
      <c r="R18" s="32">
        <v>45616</v>
      </c>
      <c r="S18" s="32">
        <v>47457</v>
      </c>
      <c r="T18" s="33">
        <v>1430000</v>
      </c>
      <c r="U18" s="29"/>
      <c r="V18" s="29"/>
      <c r="W18" s="34">
        <f t="shared" si="0"/>
        <v>1430000</v>
      </c>
      <c r="X18" s="35">
        <v>2</v>
      </c>
      <c r="Y18" s="34">
        <f t="shared" si="1"/>
        <v>28600</v>
      </c>
      <c r="Z18" s="29"/>
      <c r="AA18" s="29" t="s">
        <v>4014</v>
      </c>
      <c r="AB18" s="29">
        <v>1141071764</v>
      </c>
      <c r="AC18" s="49">
        <v>45637</v>
      </c>
      <c r="AD18" s="29" t="s">
        <v>3160</v>
      </c>
      <c r="AE18" s="29">
        <v>0</v>
      </c>
      <c r="AG18" t="s">
        <v>136</v>
      </c>
      <c r="AI18" s="54">
        <v>28600</v>
      </c>
      <c r="AJ18" s="54">
        <v>0</v>
      </c>
      <c r="AK18" s="54">
        <v>1430000</v>
      </c>
      <c r="AL18" s="51">
        <v>0</v>
      </c>
      <c r="AM18" t="s">
        <v>135</v>
      </c>
      <c r="AN18" t="s">
        <v>4249</v>
      </c>
    </row>
    <row r="19" spans="1:40" ht="11.25" customHeight="1" x14ac:dyDescent="0.2">
      <c r="A19" s="29" t="s">
        <v>3004</v>
      </c>
      <c r="B19" s="29" t="s">
        <v>4025</v>
      </c>
      <c r="C19" s="40">
        <v>45597</v>
      </c>
      <c r="D19" s="39" t="s">
        <v>3720</v>
      </c>
      <c r="E19" s="29" t="s">
        <v>153</v>
      </c>
      <c r="F19" s="32">
        <v>45614</v>
      </c>
      <c r="G19" s="32">
        <v>45978</v>
      </c>
      <c r="H19" s="47" t="s">
        <v>4136</v>
      </c>
      <c r="I19" s="31">
        <v>3520210384121</v>
      </c>
      <c r="J19" s="47" t="s">
        <v>4182</v>
      </c>
      <c r="K19" s="29" t="s">
        <v>157</v>
      </c>
      <c r="L19" s="29" t="s">
        <v>158</v>
      </c>
      <c r="M19" s="29" t="s">
        <v>159</v>
      </c>
      <c r="N19" s="29" t="s">
        <v>4025</v>
      </c>
      <c r="O19" s="48" t="s">
        <v>4013</v>
      </c>
      <c r="P19" s="29" t="s">
        <v>3154</v>
      </c>
      <c r="Q19" s="29" t="s">
        <v>4072</v>
      </c>
      <c r="R19" s="32">
        <v>45616</v>
      </c>
      <c r="S19" s="32">
        <v>47457</v>
      </c>
      <c r="T19" s="33">
        <v>2200000</v>
      </c>
      <c r="U19" s="29"/>
      <c r="V19" s="29"/>
      <c r="W19" s="34">
        <f t="shared" si="0"/>
        <v>2200000</v>
      </c>
      <c r="X19" s="35">
        <v>2</v>
      </c>
      <c r="Y19" s="34">
        <f t="shared" si="1"/>
        <v>44000</v>
      </c>
      <c r="Z19" s="29"/>
      <c r="AA19" s="29" t="s">
        <v>4014</v>
      </c>
      <c r="AB19" s="29">
        <v>1141071764</v>
      </c>
      <c r="AC19" s="49">
        <v>45637</v>
      </c>
      <c r="AD19" s="29" t="s">
        <v>3160</v>
      </c>
      <c r="AE19" s="29">
        <v>0</v>
      </c>
      <c r="AG19" t="s">
        <v>153</v>
      </c>
      <c r="AI19" s="54">
        <v>44000</v>
      </c>
      <c r="AJ19" s="54">
        <v>0</v>
      </c>
      <c r="AK19" s="54">
        <v>2200000</v>
      </c>
      <c r="AL19" s="51">
        <v>0</v>
      </c>
      <c r="AM19" t="s">
        <v>135</v>
      </c>
      <c r="AN19" t="s">
        <v>4249</v>
      </c>
    </row>
    <row r="20" spans="1:40" ht="11.25" customHeight="1" x14ac:dyDescent="0.2">
      <c r="A20" s="29" t="s">
        <v>3004</v>
      </c>
      <c r="B20" s="29" t="s">
        <v>4026</v>
      </c>
      <c r="C20" s="40">
        <v>45597</v>
      </c>
      <c r="D20" s="39" t="s">
        <v>3720</v>
      </c>
      <c r="E20" s="29" t="s">
        <v>163</v>
      </c>
      <c r="F20" s="32">
        <v>45614</v>
      </c>
      <c r="G20" s="32">
        <v>45978</v>
      </c>
      <c r="H20" s="47" t="s">
        <v>4137</v>
      </c>
      <c r="I20" s="44" t="s">
        <v>4129</v>
      </c>
      <c r="J20" s="47" t="s">
        <v>4180</v>
      </c>
      <c r="K20" s="29" t="s">
        <v>165</v>
      </c>
      <c r="L20" s="29" t="s">
        <v>166</v>
      </c>
      <c r="M20" s="29" t="s">
        <v>167</v>
      </c>
      <c r="N20" s="29" t="s">
        <v>4026</v>
      </c>
      <c r="O20" s="48" t="s">
        <v>4013</v>
      </c>
      <c r="P20" s="29" t="s">
        <v>3154</v>
      </c>
      <c r="Q20" s="29" t="s">
        <v>4073</v>
      </c>
      <c r="R20" s="32">
        <v>45617</v>
      </c>
      <c r="S20" s="32">
        <v>47457</v>
      </c>
      <c r="T20" s="33">
        <v>2350000</v>
      </c>
      <c r="U20" s="29"/>
      <c r="V20" s="29"/>
      <c r="W20" s="34">
        <f t="shared" si="0"/>
        <v>2350000</v>
      </c>
      <c r="X20" s="35">
        <v>2</v>
      </c>
      <c r="Y20" s="34">
        <f t="shared" si="1"/>
        <v>47000</v>
      </c>
      <c r="Z20" s="29"/>
      <c r="AA20" s="29" t="s">
        <v>4014</v>
      </c>
      <c r="AB20" s="29">
        <v>1141071764</v>
      </c>
      <c r="AC20" s="49">
        <v>45637</v>
      </c>
      <c r="AD20" s="29" t="s">
        <v>3160</v>
      </c>
      <c r="AE20" s="29">
        <v>0</v>
      </c>
      <c r="AG20" t="s">
        <v>163</v>
      </c>
      <c r="AI20" s="54">
        <v>47000</v>
      </c>
      <c r="AJ20" s="54">
        <v>0</v>
      </c>
      <c r="AK20" s="54">
        <v>2350000</v>
      </c>
      <c r="AL20" s="51">
        <v>0</v>
      </c>
      <c r="AM20" t="s">
        <v>135</v>
      </c>
      <c r="AN20" t="s">
        <v>4249</v>
      </c>
    </row>
    <row r="21" spans="1:40" ht="11.25" customHeight="1" x14ac:dyDescent="0.2">
      <c r="A21" s="29" t="s">
        <v>3004</v>
      </c>
      <c r="B21" s="29" t="s">
        <v>4027</v>
      </c>
      <c r="C21" s="40">
        <v>45597</v>
      </c>
      <c r="D21" s="39" t="s">
        <v>3720</v>
      </c>
      <c r="E21" s="29" t="s">
        <v>171</v>
      </c>
      <c r="F21" s="32">
        <v>45615</v>
      </c>
      <c r="G21" s="32">
        <v>45979</v>
      </c>
      <c r="H21" s="47" t="s">
        <v>4138</v>
      </c>
      <c r="I21" s="31">
        <v>3310097289869</v>
      </c>
      <c r="J21" s="47" t="s">
        <v>4183</v>
      </c>
      <c r="K21" s="29" t="s">
        <v>175</v>
      </c>
      <c r="L21" s="29" t="s">
        <v>176</v>
      </c>
      <c r="M21" s="29" t="s">
        <v>177</v>
      </c>
      <c r="N21" s="29" t="s">
        <v>4027</v>
      </c>
      <c r="O21" s="48" t="s">
        <v>4013</v>
      </c>
      <c r="P21" s="29" t="s">
        <v>3172</v>
      </c>
      <c r="Q21" s="29" t="s">
        <v>4074</v>
      </c>
      <c r="R21" s="32">
        <v>45616</v>
      </c>
      <c r="S21" s="32">
        <v>46361</v>
      </c>
      <c r="T21" s="33">
        <v>4200000</v>
      </c>
      <c r="U21" s="29"/>
      <c r="V21" s="29"/>
      <c r="W21" s="34">
        <f t="shared" si="0"/>
        <v>4200000</v>
      </c>
      <c r="X21" s="35">
        <v>1.5</v>
      </c>
      <c r="Y21" s="34">
        <f t="shared" si="1"/>
        <v>63000</v>
      </c>
      <c r="Z21" s="29"/>
      <c r="AA21" s="29" t="s">
        <v>4014</v>
      </c>
      <c r="AB21" s="29">
        <v>1141071764</v>
      </c>
      <c r="AC21" s="49">
        <v>45637</v>
      </c>
      <c r="AD21" s="29" t="s">
        <v>3160</v>
      </c>
      <c r="AE21" s="29">
        <v>0</v>
      </c>
      <c r="AG21" t="s">
        <v>171</v>
      </c>
      <c r="AI21" s="54">
        <v>63000</v>
      </c>
      <c r="AJ21" s="54">
        <v>0</v>
      </c>
      <c r="AK21" s="54">
        <v>4200000</v>
      </c>
      <c r="AL21" s="51">
        <v>0</v>
      </c>
      <c r="AM21" t="s">
        <v>135</v>
      </c>
      <c r="AN21" t="s">
        <v>4249</v>
      </c>
    </row>
    <row r="22" spans="1:40" ht="11.25" customHeight="1" x14ac:dyDescent="0.2">
      <c r="A22" s="29" t="s">
        <v>3004</v>
      </c>
      <c r="B22" s="29" t="s">
        <v>4029</v>
      </c>
      <c r="C22" s="40">
        <v>45597</v>
      </c>
      <c r="D22" s="39" t="s">
        <v>3720</v>
      </c>
      <c r="E22" s="29" t="s">
        <v>181</v>
      </c>
      <c r="F22" s="32">
        <v>45615</v>
      </c>
      <c r="G22" s="32">
        <v>45979</v>
      </c>
      <c r="H22" s="47" t="s">
        <v>4139</v>
      </c>
      <c r="I22" s="31">
        <v>3310086982497</v>
      </c>
      <c r="J22" s="47" t="s">
        <v>4182</v>
      </c>
      <c r="K22" s="29" t="s">
        <v>183</v>
      </c>
      <c r="L22" s="29" t="s">
        <v>184</v>
      </c>
      <c r="M22" s="29" t="s">
        <v>185</v>
      </c>
      <c r="N22" s="29" t="s">
        <v>4029</v>
      </c>
      <c r="O22" s="48" t="s">
        <v>4013</v>
      </c>
      <c r="P22" s="29" t="s">
        <v>3172</v>
      </c>
      <c r="Q22" s="29" t="s">
        <v>4075</v>
      </c>
      <c r="R22" s="32">
        <v>45616</v>
      </c>
      <c r="S22" s="32">
        <v>47457</v>
      </c>
      <c r="T22" s="33">
        <v>2200000</v>
      </c>
      <c r="U22" s="29"/>
      <c r="V22" s="29"/>
      <c r="W22" s="34">
        <f t="shared" si="0"/>
        <v>2200000</v>
      </c>
      <c r="X22" s="35">
        <v>2</v>
      </c>
      <c r="Y22" s="34">
        <f t="shared" si="1"/>
        <v>44000</v>
      </c>
      <c r="Z22" s="29"/>
      <c r="AA22" s="29" t="s">
        <v>4014</v>
      </c>
      <c r="AB22" s="29">
        <v>1141071764</v>
      </c>
      <c r="AC22" s="49">
        <v>45637</v>
      </c>
      <c r="AD22" s="29" t="s">
        <v>3160</v>
      </c>
      <c r="AE22" s="29">
        <v>0</v>
      </c>
      <c r="AG22" t="s">
        <v>181</v>
      </c>
      <c r="AI22" s="54">
        <v>44000</v>
      </c>
      <c r="AJ22" s="54">
        <v>0</v>
      </c>
      <c r="AK22" s="54">
        <v>2200000</v>
      </c>
      <c r="AL22" s="51">
        <v>0</v>
      </c>
      <c r="AM22" t="s">
        <v>135</v>
      </c>
      <c r="AN22" t="s">
        <v>4249</v>
      </c>
    </row>
    <row r="23" spans="1:40" ht="11.25" customHeight="1" x14ac:dyDescent="0.2">
      <c r="A23" s="29" t="s">
        <v>3004</v>
      </c>
      <c r="B23" s="29" t="s">
        <v>4030</v>
      </c>
      <c r="C23" s="40">
        <v>45597</v>
      </c>
      <c r="D23" s="39" t="s">
        <v>3720</v>
      </c>
      <c r="E23" s="29" t="s">
        <v>189</v>
      </c>
      <c r="F23" s="32">
        <v>45615</v>
      </c>
      <c r="G23" s="32">
        <v>45979</v>
      </c>
      <c r="H23" s="47" t="s">
        <v>4140</v>
      </c>
      <c r="I23" s="31">
        <v>3520259785933</v>
      </c>
      <c r="J23" s="47" t="s">
        <v>4184</v>
      </c>
      <c r="K23" s="29" t="s">
        <v>192</v>
      </c>
      <c r="L23" s="29" t="s">
        <v>193</v>
      </c>
      <c r="M23" s="29" t="s">
        <v>194</v>
      </c>
      <c r="N23" s="29" t="s">
        <v>4030</v>
      </c>
      <c r="O23" s="48" t="s">
        <v>4013</v>
      </c>
      <c r="P23" s="29" t="s">
        <v>3154</v>
      </c>
      <c r="Q23" s="29" t="s">
        <v>4076</v>
      </c>
      <c r="R23" s="32">
        <v>45618</v>
      </c>
      <c r="S23" s="32">
        <v>46727</v>
      </c>
      <c r="T23" s="33">
        <v>2200000</v>
      </c>
      <c r="U23" s="29"/>
      <c r="V23" s="29"/>
      <c r="W23" s="34">
        <f t="shared" si="0"/>
        <v>2200000</v>
      </c>
      <c r="X23" s="35">
        <v>2</v>
      </c>
      <c r="Y23" s="34">
        <f t="shared" si="1"/>
        <v>44000</v>
      </c>
      <c r="Z23" s="29"/>
      <c r="AA23" s="29" t="s">
        <v>4014</v>
      </c>
      <c r="AB23" s="29">
        <v>1141071764</v>
      </c>
      <c r="AC23" s="49">
        <v>45637</v>
      </c>
      <c r="AD23" s="29" t="s">
        <v>3160</v>
      </c>
      <c r="AE23" s="29">
        <v>0</v>
      </c>
      <c r="AG23" t="s">
        <v>189</v>
      </c>
      <c r="AI23" s="54">
        <v>44000</v>
      </c>
      <c r="AJ23" s="54">
        <v>0</v>
      </c>
      <c r="AK23" s="54">
        <v>2200000</v>
      </c>
      <c r="AL23" s="51">
        <v>0</v>
      </c>
      <c r="AM23" t="s">
        <v>135</v>
      </c>
      <c r="AN23" t="s">
        <v>4249</v>
      </c>
    </row>
    <row r="24" spans="1:40" ht="11.25" customHeight="1" x14ac:dyDescent="0.2">
      <c r="A24" s="29" t="s">
        <v>3004</v>
      </c>
      <c r="B24" s="29" t="s">
        <v>4031</v>
      </c>
      <c r="C24" s="40">
        <v>45597</v>
      </c>
      <c r="D24" s="39" t="s">
        <v>3720</v>
      </c>
      <c r="E24" s="29" t="s">
        <v>198</v>
      </c>
      <c r="F24" s="32">
        <v>45616</v>
      </c>
      <c r="G24" s="32">
        <v>45980</v>
      </c>
      <c r="H24" s="47" t="s">
        <v>4141</v>
      </c>
      <c r="I24" s="31">
        <v>3520203565481</v>
      </c>
      <c r="J24" s="47" t="s">
        <v>4185</v>
      </c>
      <c r="K24" s="29"/>
      <c r="L24" s="29" t="s">
        <v>200</v>
      </c>
      <c r="M24" s="29" t="s">
        <v>201</v>
      </c>
      <c r="N24" s="29" t="s">
        <v>4031</v>
      </c>
      <c r="O24" s="48" t="s">
        <v>4013</v>
      </c>
      <c r="P24" s="29" t="s">
        <v>3154</v>
      </c>
      <c r="Q24" s="29" t="s">
        <v>4077</v>
      </c>
      <c r="R24" s="32">
        <v>45618</v>
      </c>
      <c r="S24" s="32">
        <v>45996</v>
      </c>
      <c r="T24" s="33">
        <v>5118000</v>
      </c>
      <c r="U24" s="29"/>
      <c r="V24" s="29"/>
      <c r="W24" s="34">
        <f t="shared" si="0"/>
        <v>5118000</v>
      </c>
      <c r="X24" s="35">
        <v>1.5</v>
      </c>
      <c r="Y24" s="34">
        <f t="shared" si="1"/>
        <v>76770</v>
      </c>
      <c r="Z24" s="29"/>
      <c r="AA24" s="29" t="s">
        <v>4014</v>
      </c>
      <c r="AB24" s="29">
        <v>1141071764</v>
      </c>
      <c r="AC24" s="49">
        <v>45637</v>
      </c>
      <c r="AD24" s="29" t="s">
        <v>3160</v>
      </c>
      <c r="AE24" s="29">
        <v>0</v>
      </c>
      <c r="AG24" t="s">
        <v>198</v>
      </c>
      <c r="AI24" s="54">
        <v>76770</v>
      </c>
      <c r="AJ24" s="54">
        <v>0</v>
      </c>
      <c r="AK24" s="54">
        <v>5118000</v>
      </c>
      <c r="AL24" s="51">
        <v>0</v>
      </c>
      <c r="AM24" t="s">
        <v>135</v>
      </c>
      <c r="AN24" t="s">
        <v>4249</v>
      </c>
    </row>
    <row r="25" spans="1:40" ht="11.25" customHeight="1" x14ac:dyDescent="0.2">
      <c r="A25" s="29" t="s">
        <v>3004</v>
      </c>
      <c r="B25" s="29" t="s">
        <v>4032</v>
      </c>
      <c r="C25" s="40">
        <v>45597</v>
      </c>
      <c r="D25" s="39" t="s">
        <v>3720</v>
      </c>
      <c r="E25" s="29" t="s">
        <v>205</v>
      </c>
      <c r="F25" s="32">
        <v>45616</v>
      </c>
      <c r="G25" s="32">
        <v>45980</v>
      </c>
      <c r="H25" s="47" t="s">
        <v>4142</v>
      </c>
      <c r="I25" s="31">
        <v>3540412318639</v>
      </c>
      <c r="J25" s="47" t="s">
        <v>4186</v>
      </c>
      <c r="K25" s="29"/>
      <c r="L25" s="29" t="s">
        <v>208</v>
      </c>
      <c r="M25" s="29" t="s">
        <v>194</v>
      </c>
      <c r="N25" s="29" t="s">
        <v>4032</v>
      </c>
      <c r="O25" s="48" t="s">
        <v>4013</v>
      </c>
      <c r="P25" s="29" t="s">
        <v>4078</v>
      </c>
      <c r="Q25" s="29" t="s">
        <v>4079</v>
      </c>
      <c r="R25" s="32">
        <v>45618</v>
      </c>
      <c r="S25" s="32">
        <v>46361</v>
      </c>
      <c r="T25" s="33">
        <v>8099000</v>
      </c>
      <c r="U25" s="29"/>
      <c r="V25" s="29"/>
      <c r="W25" s="34">
        <f t="shared" si="0"/>
        <v>8099000</v>
      </c>
      <c r="X25" s="35">
        <v>1.5</v>
      </c>
      <c r="Y25" s="34">
        <f t="shared" si="1"/>
        <v>121485</v>
      </c>
      <c r="Z25" s="29"/>
      <c r="AA25" s="29" t="s">
        <v>4014</v>
      </c>
      <c r="AB25" s="29">
        <v>1141071764</v>
      </c>
      <c r="AC25" s="49">
        <v>45637</v>
      </c>
      <c r="AD25" s="29" t="s">
        <v>3160</v>
      </c>
      <c r="AE25" s="29">
        <v>0</v>
      </c>
      <c r="AG25" t="s">
        <v>205</v>
      </c>
      <c r="AI25" s="54">
        <v>121485</v>
      </c>
      <c r="AJ25" s="54">
        <v>0</v>
      </c>
      <c r="AK25" s="54">
        <v>8099000</v>
      </c>
      <c r="AL25" s="51">
        <v>0</v>
      </c>
      <c r="AM25" t="s">
        <v>135</v>
      </c>
      <c r="AN25" t="s">
        <v>4249</v>
      </c>
    </row>
    <row r="26" spans="1:40" ht="11.25" customHeight="1" x14ac:dyDescent="0.2">
      <c r="A26" s="29" t="s">
        <v>3004</v>
      </c>
      <c r="B26" s="29" t="s">
        <v>4033</v>
      </c>
      <c r="C26" s="40">
        <v>45597</v>
      </c>
      <c r="D26" s="39" t="s">
        <v>3720</v>
      </c>
      <c r="E26" s="29" t="s">
        <v>212</v>
      </c>
      <c r="F26" s="32">
        <v>45617</v>
      </c>
      <c r="G26" s="32">
        <v>45981</v>
      </c>
      <c r="H26" s="47" t="s">
        <v>4143</v>
      </c>
      <c r="I26" s="31">
        <v>3520216613485</v>
      </c>
      <c r="J26" s="47" t="s">
        <v>4187</v>
      </c>
      <c r="K26" s="29" t="s">
        <v>214</v>
      </c>
      <c r="L26" s="29" t="s">
        <v>215</v>
      </c>
      <c r="M26" s="29" t="s">
        <v>216</v>
      </c>
      <c r="N26" s="29" t="s">
        <v>4033</v>
      </c>
      <c r="O26" s="48" t="s">
        <v>4013</v>
      </c>
      <c r="P26" s="29" t="s">
        <v>3154</v>
      </c>
      <c r="Q26" s="29" t="s">
        <v>4080</v>
      </c>
      <c r="R26" s="32">
        <v>45618</v>
      </c>
      <c r="S26" s="32">
        <v>46727</v>
      </c>
      <c r="T26" s="33">
        <v>4500000</v>
      </c>
      <c r="U26" s="29"/>
      <c r="V26" s="29"/>
      <c r="W26" s="34">
        <f t="shared" si="0"/>
        <v>4500000</v>
      </c>
      <c r="X26" s="35">
        <v>1.5</v>
      </c>
      <c r="Y26" s="34">
        <f t="shared" si="1"/>
        <v>67500</v>
      </c>
      <c r="Z26" s="29"/>
      <c r="AA26" s="29" t="s">
        <v>4014</v>
      </c>
      <c r="AB26" s="29">
        <v>1141071764</v>
      </c>
      <c r="AC26" s="49">
        <v>45637</v>
      </c>
      <c r="AD26" s="29" t="s">
        <v>3160</v>
      </c>
      <c r="AE26" s="29">
        <v>0</v>
      </c>
      <c r="AG26" t="s">
        <v>212</v>
      </c>
      <c r="AI26" s="54">
        <v>67500</v>
      </c>
      <c r="AJ26" s="54">
        <v>0</v>
      </c>
      <c r="AK26" s="54">
        <v>4500000</v>
      </c>
      <c r="AL26" s="51">
        <v>0</v>
      </c>
      <c r="AM26" t="s">
        <v>135</v>
      </c>
      <c r="AN26" t="s">
        <v>4249</v>
      </c>
    </row>
    <row r="27" spans="1:40" ht="11.25" customHeight="1" x14ac:dyDescent="0.2">
      <c r="A27" s="29" t="s">
        <v>3004</v>
      </c>
      <c r="B27" s="29" t="s">
        <v>4034</v>
      </c>
      <c r="C27" s="40">
        <v>45597</v>
      </c>
      <c r="D27" s="39" t="s">
        <v>3720</v>
      </c>
      <c r="E27" s="29" t="s">
        <v>220</v>
      </c>
      <c r="F27" s="32">
        <v>45601</v>
      </c>
      <c r="G27" s="32">
        <v>45965</v>
      </c>
      <c r="H27" s="47" t="s">
        <v>4144</v>
      </c>
      <c r="I27" s="31">
        <v>1310109877479</v>
      </c>
      <c r="J27" s="47" t="s">
        <v>4188</v>
      </c>
      <c r="K27" s="29" t="s">
        <v>223</v>
      </c>
      <c r="L27" s="29" t="s">
        <v>224</v>
      </c>
      <c r="M27" s="29" t="s">
        <v>225</v>
      </c>
      <c r="N27" s="29" t="s">
        <v>4034</v>
      </c>
      <c r="O27" s="29" t="s">
        <v>3162</v>
      </c>
      <c r="P27" s="29" t="s">
        <v>3163</v>
      </c>
      <c r="Q27" s="29" t="s">
        <v>4081</v>
      </c>
      <c r="R27" s="32">
        <v>45602</v>
      </c>
      <c r="S27" s="32">
        <v>46696</v>
      </c>
      <c r="T27" s="33">
        <v>4000000</v>
      </c>
      <c r="U27" s="29"/>
      <c r="V27" s="29"/>
      <c r="W27" s="34">
        <f t="shared" si="0"/>
        <v>4000000</v>
      </c>
      <c r="X27" s="35">
        <v>1.5</v>
      </c>
      <c r="Y27" s="34">
        <f t="shared" si="1"/>
        <v>60000</v>
      </c>
      <c r="Z27" s="29"/>
      <c r="AA27" s="29" t="s">
        <v>4014</v>
      </c>
      <c r="AB27" s="29">
        <v>1141071764</v>
      </c>
      <c r="AC27" s="49">
        <v>45637</v>
      </c>
      <c r="AD27" s="29" t="s">
        <v>3160</v>
      </c>
      <c r="AE27" s="29">
        <v>0</v>
      </c>
      <c r="AG27" t="s">
        <v>220</v>
      </c>
      <c r="AI27" s="54">
        <v>60000</v>
      </c>
      <c r="AJ27" s="54">
        <v>0</v>
      </c>
      <c r="AK27" s="54">
        <v>4000000</v>
      </c>
      <c r="AL27" s="51">
        <v>0</v>
      </c>
      <c r="AM27" t="s">
        <v>135</v>
      </c>
      <c r="AN27" s="58" t="s">
        <v>4249</v>
      </c>
    </row>
    <row r="28" spans="1:40" ht="11.25" customHeight="1" x14ac:dyDescent="0.2">
      <c r="A28" s="29" t="s">
        <v>3004</v>
      </c>
      <c r="B28" s="29" t="s">
        <v>4035</v>
      </c>
      <c r="C28" s="40">
        <v>45597</v>
      </c>
      <c r="D28" s="39" t="s">
        <v>3720</v>
      </c>
      <c r="E28" s="29" t="s">
        <v>229</v>
      </c>
      <c r="F28" s="32">
        <v>45617</v>
      </c>
      <c r="G28" s="32">
        <v>45981</v>
      </c>
      <c r="H28" s="47" t="s">
        <v>4145</v>
      </c>
      <c r="I28" s="31">
        <v>3520184957501</v>
      </c>
      <c r="J28" s="47" t="s">
        <v>4189</v>
      </c>
      <c r="K28" s="29"/>
      <c r="L28" s="29" t="s">
        <v>232</v>
      </c>
      <c r="M28" s="29" t="s">
        <v>233</v>
      </c>
      <c r="N28" s="29" t="s">
        <v>4035</v>
      </c>
      <c r="O28" s="48" t="s">
        <v>4013</v>
      </c>
      <c r="P28" s="29" t="s">
        <v>3154</v>
      </c>
      <c r="Q28" s="29" t="s">
        <v>4082</v>
      </c>
      <c r="R28" s="32">
        <v>45618</v>
      </c>
      <c r="S28" s="32">
        <v>47457</v>
      </c>
      <c r="T28" s="33">
        <v>3045000</v>
      </c>
      <c r="U28" s="29"/>
      <c r="V28" s="29"/>
      <c r="W28" s="34">
        <f t="shared" si="0"/>
        <v>3045000</v>
      </c>
      <c r="X28" s="35">
        <v>2</v>
      </c>
      <c r="Y28" s="34">
        <f t="shared" si="1"/>
        <v>60900</v>
      </c>
      <c r="Z28" s="29"/>
      <c r="AA28" s="29" t="s">
        <v>4014</v>
      </c>
      <c r="AB28" s="29">
        <v>1141071764</v>
      </c>
      <c r="AC28" s="49">
        <v>45637</v>
      </c>
      <c r="AD28" s="29" t="s">
        <v>3160</v>
      </c>
      <c r="AE28" s="29">
        <v>0</v>
      </c>
      <c r="AG28" t="s">
        <v>229</v>
      </c>
      <c r="AI28" s="54">
        <v>60900</v>
      </c>
      <c r="AJ28" s="54">
        <v>0</v>
      </c>
      <c r="AK28" s="54">
        <v>3045000</v>
      </c>
      <c r="AL28" s="51">
        <v>0</v>
      </c>
      <c r="AM28" t="s">
        <v>135</v>
      </c>
      <c r="AN28" t="s">
        <v>4249</v>
      </c>
    </row>
    <row r="29" spans="1:40" ht="11.25" customHeight="1" x14ac:dyDescent="0.2">
      <c r="A29" s="29" t="s">
        <v>3004</v>
      </c>
      <c r="B29" s="29" t="s">
        <v>4036</v>
      </c>
      <c r="C29" s="40">
        <v>45597</v>
      </c>
      <c r="D29" s="39" t="s">
        <v>3720</v>
      </c>
      <c r="E29" s="29" t="s">
        <v>237</v>
      </c>
      <c r="F29" s="32">
        <v>45618</v>
      </c>
      <c r="G29" s="32">
        <v>45982</v>
      </c>
      <c r="H29" s="47" t="s">
        <v>4146</v>
      </c>
      <c r="I29" s="31">
        <v>3520227432641</v>
      </c>
      <c r="J29" s="47" t="s">
        <v>4190</v>
      </c>
      <c r="K29" s="29" t="s">
        <v>240</v>
      </c>
      <c r="L29" s="29" t="s">
        <v>241</v>
      </c>
      <c r="M29" s="29" t="s">
        <v>242</v>
      </c>
      <c r="N29" s="29" t="s">
        <v>4036</v>
      </c>
      <c r="O29" s="48" t="s">
        <v>4013</v>
      </c>
      <c r="P29" s="29" t="s">
        <v>3154</v>
      </c>
      <c r="Q29" s="29" t="s">
        <v>4083</v>
      </c>
      <c r="R29" s="32">
        <v>45624</v>
      </c>
      <c r="S29" s="32">
        <v>46727</v>
      </c>
      <c r="T29" s="60">
        <v>3300000</v>
      </c>
      <c r="U29" s="29"/>
      <c r="V29" s="29"/>
      <c r="W29" s="34">
        <f t="shared" si="0"/>
        <v>3300000</v>
      </c>
      <c r="X29" s="35">
        <v>2</v>
      </c>
      <c r="Y29" s="34">
        <f t="shared" si="1"/>
        <v>66000</v>
      </c>
      <c r="Z29" s="29"/>
      <c r="AA29" s="29" t="s">
        <v>4014</v>
      </c>
      <c r="AB29" s="29">
        <v>1141071764</v>
      </c>
      <c r="AC29" s="49">
        <v>45637</v>
      </c>
      <c r="AD29" s="29" t="s">
        <v>3160</v>
      </c>
      <c r="AE29" s="29">
        <v>0</v>
      </c>
      <c r="AG29" t="s">
        <v>237</v>
      </c>
      <c r="AH29" s="58" t="s">
        <v>4280</v>
      </c>
      <c r="AI29" s="61">
        <v>66000</v>
      </c>
      <c r="AJ29" s="61">
        <v>0</v>
      </c>
      <c r="AK29" s="61">
        <v>3500000</v>
      </c>
      <c r="AL29" s="51">
        <v>0</v>
      </c>
      <c r="AM29" t="s">
        <v>135</v>
      </c>
      <c r="AN29" t="s">
        <v>4249</v>
      </c>
    </row>
    <row r="30" spans="1:40" ht="11.25" customHeight="1" x14ac:dyDescent="0.2">
      <c r="A30" s="29" t="s">
        <v>3004</v>
      </c>
      <c r="B30" s="29" t="s">
        <v>4037</v>
      </c>
      <c r="C30" s="40">
        <v>45597</v>
      </c>
      <c r="D30" s="39" t="s">
        <v>3720</v>
      </c>
      <c r="E30" s="29" t="s">
        <v>249</v>
      </c>
      <c r="F30" s="32">
        <v>45621</v>
      </c>
      <c r="G30" s="32">
        <v>45985</v>
      </c>
      <c r="H30" s="47" t="s">
        <v>4147</v>
      </c>
      <c r="I30" s="31">
        <v>4130453864282</v>
      </c>
      <c r="J30" s="47" t="s">
        <v>4180</v>
      </c>
      <c r="K30" s="29" t="s">
        <v>251</v>
      </c>
      <c r="L30" s="29" t="s">
        <v>252</v>
      </c>
      <c r="M30" s="29" t="s">
        <v>253</v>
      </c>
      <c r="N30" s="29" t="s">
        <v>4037</v>
      </c>
      <c r="O30" s="29" t="s">
        <v>3162</v>
      </c>
      <c r="P30" s="29" t="s">
        <v>3211</v>
      </c>
      <c r="Q30" s="29" t="s">
        <v>4084</v>
      </c>
      <c r="R30" s="32">
        <v>45624</v>
      </c>
      <c r="S30" s="32">
        <v>47457</v>
      </c>
      <c r="T30" s="33">
        <v>2200000</v>
      </c>
      <c r="U30" s="29"/>
      <c r="V30" s="29"/>
      <c r="W30" s="34">
        <f t="shared" si="0"/>
        <v>2200000</v>
      </c>
      <c r="X30" s="35">
        <v>2</v>
      </c>
      <c r="Y30" s="34">
        <f t="shared" si="1"/>
        <v>44000</v>
      </c>
      <c r="Z30" s="29"/>
      <c r="AA30" s="29" t="s">
        <v>4014</v>
      </c>
      <c r="AB30" s="29">
        <v>1141071764</v>
      </c>
      <c r="AC30" s="49">
        <v>45637</v>
      </c>
      <c r="AD30" s="29" t="s">
        <v>3160</v>
      </c>
      <c r="AE30" s="29">
        <v>0</v>
      </c>
      <c r="AG30" t="s">
        <v>249</v>
      </c>
      <c r="AI30" s="54">
        <v>44000</v>
      </c>
      <c r="AJ30" s="54">
        <v>0</v>
      </c>
      <c r="AK30" s="54">
        <v>2200000</v>
      </c>
      <c r="AL30" s="51">
        <v>0</v>
      </c>
      <c r="AM30" t="s">
        <v>135</v>
      </c>
      <c r="AN30" t="s">
        <v>4249</v>
      </c>
    </row>
    <row r="31" spans="1:40" ht="11.25" customHeight="1" x14ac:dyDescent="0.2">
      <c r="A31" s="29" t="s">
        <v>3004</v>
      </c>
      <c r="B31" s="29" t="s">
        <v>4038</v>
      </c>
      <c r="C31" s="40">
        <v>45597</v>
      </c>
      <c r="D31" s="39" t="s">
        <v>3720</v>
      </c>
      <c r="E31" s="29" t="s">
        <v>257</v>
      </c>
      <c r="F31" s="32">
        <v>45623</v>
      </c>
      <c r="G31" s="32">
        <v>45987</v>
      </c>
      <c r="H31" s="47" t="s">
        <v>4148</v>
      </c>
      <c r="I31" s="31">
        <v>4220182692679</v>
      </c>
      <c r="J31" s="47" t="s">
        <v>4180</v>
      </c>
      <c r="K31" s="29" t="s">
        <v>259</v>
      </c>
      <c r="L31" s="29" t="s">
        <v>260</v>
      </c>
      <c r="M31" s="29" t="s">
        <v>261</v>
      </c>
      <c r="N31" s="29" t="s">
        <v>4038</v>
      </c>
      <c r="O31" s="29" t="s">
        <v>3162</v>
      </c>
      <c r="P31" s="29" t="s">
        <v>3211</v>
      </c>
      <c r="Q31" s="29" t="s">
        <v>4085</v>
      </c>
      <c r="R31" s="32">
        <v>45625</v>
      </c>
      <c r="S31" s="32">
        <v>47457</v>
      </c>
      <c r="T31" s="33">
        <v>2580000</v>
      </c>
      <c r="U31" s="29"/>
      <c r="V31" s="29"/>
      <c r="W31" s="34">
        <f t="shared" si="0"/>
        <v>2580000</v>
      </c>
      <c r="X31" s="35">
        <v>2</v>
      </c>
      <c r="Y31" s="34">
        <f t="shared" si="1"/>
        <v>51600</v>
      </c>
      <c r="Z31" s="29"/>
      <c r="AA31" s="29" t="s">
        <v>4014</v>
      </c>
      <c r="AB31" s="29">
        <v>1141071764</v>
      </c>
      <c r="AC31" s="49">
        <v>45637</v>
      </c>
      <c r="AD31" s="29" t="s">
        <v>3160</v>
      </c>
      <c r="AE31" s="29">
        <v>0</v>
      </c>
      <c r="AG31" t="s">
        <v>257</v>
      </c>
      <c r="AI31" s="54">
        <v>51600</v>
      </c>
      <c r="AJ31" s="54">
        <v>0</v>
      </c>
      <c r="AK31" s="54">
        <v>2580000</v>
      </c>
      <c r="AL31" s="51">
        <v>0</v>
      </c>
      <c r="AM31" t="s">
        <v>135</v>
      </c>
      <c r="AN31" t="s">
        <v>4249</v>
      </c>
    </row>
    <row r="32" spans="1:40" ht="11.25" customHeight="1" x14ac:dyDescent="0.2">
      <c r="A32" s="29" t="s">
        <v>3004</v>
      </c>
      <c r="B32" s="29" t="s">
        <v>4039</v>
      </c>
      <c r="C32" s="40">
        <v>45597</v>
      </c>
      <c r="D32" s="39" t="s">
        <v>3720</v>
      </c>
      <c r="E32" s="29" t="s">
        <v>265</v>
      </c>
      <c r="F32" s="32">
        <v>45623</v>
      </c>
      <c r="G32" s="32">
        <v>45987</v>
      </c>
      <c r="H32" s="47" t="s">
        <v>4149</v>
      </c>
      <c r="I32" s="31">
        <v>4240145282382</v>
      </c>
      <c r="J32" s="47" t="s">
        <v>4189</v>
      </c>
      <c r="K32" s="29" t="s">
        <v>267</v>
      </c>
      <c r="L32" s="29" t="s">
        <v>268</v>
      </c>
      <c r="M32" s="29" t="s">
        <v>269</v>
      </c>
      <c r="N32" s="29" t="s">
        <v>4039</v>
      </c>
      <c r="O32" s="29" t="s">
        <v>3162</v>
      </c>
      <c r="P32" s="29" t="s">
        <v>3211</v>
      </c>
      <c r="Q32" s="29" t="s">
        <v>4086</v>
      </c>
      <c r="R32" s="32">
        <v>45623</v>
      </c>
      <c r="S32" s="32">
        <v>47457</v>
      </c>
      <c r="T32" s="33">
        <v>3045000</v>
      </c>
      <c r="U32" s="29"/>
      <c r="V32" s="29"/>
      <c r="W32" s="34">
        <f t="shared" si="0"/>
        <v>3045000</v>
      </c>
      <c r="X32" s="35">
        <v>2</v>
      </c>
      <c r="Y32" s="34">
        <f t="shared" si="1"/>
        <v>60900</v>
      </c>
      <c r="Z32" s="29"/>
      <c r="AA32" s="29" t="s">
        <v>4014</v>
      </c>
      <c r="AB32" s="29">
        <v>1141071764</v>
      </c>
      <c r="AC32" s="49">
        <v>45637</v>
      </c>
      <c r="AD32" s="29" t="s">
        <v>3160</v>
      </c>
      <c r="AE32" s="29">
        <v>0</v>
      </c>
      <c r="AG32" t="s">
        <v>265</v>
      </c>
      <c r="AI32" s="54">
        <v>60900</v>
      </c>
      <c r="AJ32" s="54">
        <v>0</v>
      </c>
      <c r="AK32" s="54">
        <v>3045000</v>
      </c>
      <c r="AL32" s="51">
        <v>0</v>
      </c>
      <c r="AM32" t="s">
        <v>135</v>
      </c>
      <c r="AN32" t="s">
        <v>4249</v>
      </c>
    </row>
    <row r="33" spans="1:40" ht="11.25" customHeight="1" x14ac:dyDescent="0.2">
      <c r="A33" s="29" t="s">
        <v>3004</v>
      </c>
      <c r="B33" s="29" t="s">
        <v>4040</v>
      </c>
      <c r="C33" s="40">
        <v>45597</v>
      </c>
      <c r="D33" s="39" t="s">
        <v>3720</v>
      </c>
      <c r="E33" s="29" t="s">
        <v>273</v>
      </c>
      <c r="F33" s="32">
        <v>45623</v>
      </c>
      <c r="G33" s="32">
        <v>45987</v>
      </c>
      <c r="H33" s="47" t="s">
        <v>4150</v>
      </c>
      <c r="I33" s="31">
        <v>3310084578553</v>
      </c>
      <c r="J33" s="47" t="s">
        <v>4191</v>
      </c>
      <c r="K33" s="29"/>
      <c r="L33" s="29" t="s">
        <v>276</v>
      </c>
      <c r="M33" s="29" t="s">
        <v>277</v>
      </c>
      <c r="N33" s="29" t="s">
        <v>4040</v>
      </c>
      <c r="O33" s="48" t="s">
        <v>4013</v>
      </c>
      <c r="P33" s="29" t="s">
        <v>3172</v>
      </c>
      <c r="Q33" s="29" t="s">
        <v>4087</v>
      </c>
      <c r="R33" s="32">
        <v>45629</v>
      </c>
      <c r="S33" s="32">
        <v>46727</v>
      </c>
      <c r="T33" s="33">
        <v>9240990</v>
      </c>
      <c r="U33" s="29"/>
      <c r="V33" s="29"/>
      <c r="W33" s="34">
        <f t="shared" si="0"/>
        <v>9240990</v>
      </c>
      <c r="X33" s="35">
        <v>1.5</v>
      </c>
      <c r="Y33" s="34">
        <f t="shared" si="1"/>
        <v>138614.85</v>
      </c>
      <c r="Z33" s="29"/>
      <c r="AA33" s="29" t="s">
        <v>4014</v>
      </c>
      <c r="AB33" s="29">
        <v>1141071764</v>
      </c>
      <c r="AC33" s="49">
        <v>45637</v>
      </c>
      <c r="AD33" s="29" t="s">
        <v>3160</v>
      </c>
      <c r="AE33" s="29">
        <v>0</v>
      </c>
      <c r="AG33" t="s">
        <v>273</v>
      </c>
      <c r="AI33" s="54">
        <v>138615</v>
      </c>
      <c r="AJ33" s="54">
        <v>0.14999999999417923</v>
      </c>
      <c r="AK33" s="54">
        <v>9240990</v>
      </c>
      <c r="AL33" s="51">
        <v>0</v>
      </c>
      <c r="AM33" t="s">
        <v>135</v>
      </c>
      <c r="AN33" t="s">
        <v>4249</v>
      </c>
    </row>
    <row r="34" spans="1:40" ht="11.25" customHeight="1" x14ac:dyDescent="0.2">
      <c r="A34" s="29" t="s">
        <v>3004</v>
      </c>
      <c r="B34" s="29" t="s">
        <v>4041</v>
      </c>
      <c r="C34" s="40">
        <v>45597</v>
      </c>
      <c r="D34" s="39" t="s">
        <v>3720</v>
      </c>
      <c r="E34" s="29" t="s">
        <v>281</v>
      </c>
      <c r="F34" s="32">
        <v>45624</v>
      </c>
      <c r="G34" s="32">
        <v>45988</v>
      </c>
      <c r="H34" s="47" t="s">
        <v>4151</v>
      </c>
      <c r="I34" s="31">
        <v>4220119224319</v>
      </c>
      <c r="J34" s="47" t="s">
        <v>4192</v>
      </c>
      <c r="K34" s="29" t="s">
        <v>284</v>
      </c>
      <c r="L34" s="29" t="s">
        <v>285</v>
      </c>
      <c r="M34" s="29" t="s">
        <v>286</v>
      </c>
      <c r="N34" s="29" t="s">
        <v>4041</v>
      </c>
      <c r="O34" s="29" t="s">
        <v>3162</v>
      </c>
      <c r="P34" s="29" t="s">
        <v>3211</v>
      </c>
      <c r="Q34" s="29" t="s">
        <v>4088</v>
      </c>
      <c r="R34" s="32">
        <v>45625</v>
      </c>
      <c r="S34" s="32">
        <v>46727</v>
      </c>
      <c r="T34" s="33">
        <v>4300000</v>
      </c>
      <c r="U34" s="29"/>
      <c r="V34" s="29"/>
      <c r="W34" s="34">
        <f t="shared" si="0"/>
        <v>4300000</v>
      </c>
      <c r="X34" s="35">
        <v>1.5</v>
      </c>
      <c r="Y34" s="34">
        <f t="shared" si="1"/>
        <v>64500</v>
      </c>
      <c r="Z34" s="29"/>
      <c r="AA34" s="29" t="s">
        <v>4014</v>
      </c>
      <c r="AB34" s="29">
        <v>1141071764</v>
      </c>
      <c r="AC34" s="49">
        <v>45637</v>
      </c>
      <c r="AD34" s="29" t="s">
        <v>3160</v>
      </c>
      <c r="AE34" s="29">
        <v>0</v>
      </c>
      <c r="AG34" t="s">
        <v>281</v>
      </c>
      <c r="AI34" s="54">
        <v>64500</v>
      </c>
      <c r="AJ34" s="54">
        <v>0</v>
      </c>
      <c r="AK34" s="54">
        <v>4300000</v>
      </c>
      <c r="AL34" s="51">
        <v>0</v>
      </c>
      <c r="AM34" t="s">
        <v>135</v>
      </c>
      <c r="AN34" t="s">
        <v>4249</v>
      </c>
    </row>
    <row r="35" spans="1:40" ht="11.25" customHeight="1" x14ac:dyDescent="0.2">
      <c r="A35" s="29" t="s">
        <v>3004</v>
      </c>
      <c r="B35" s="29" t="s">
        <v>4042</v>
      </c>
      <c r="C35" s="40">
        <v>45597</v>
      </c>
      <c r="D35" s="39" t="s">
        <v>3720</v>
      </c>
      <c r="E35" s="29" t="s">
        <v>290</v>
      </c>
      <c r="F35" s="32">
        <v>45624</v>
      </c>
      <c r="G35" s="32">
        <v>45988</v>
      </c>
      <c r="H35" s="47" t="s">
        <v>4152</v>
      </c>
      <c r="I35" s="31">
        <v>3310010182367</v>
      </c>
      <c r="J35" s="47" t="s">
        <v>4193</v>
      </c>
      <c r="K35" s="29" t="s">
        <v>293</v>
      </c>
      <c r="L35" s="29" t="s">
        <v>294</v>
      </c>
      <c r="M35" s="29" t="s">
        <v>295</v>
      </c>
      <c r="N35" s="29" t="s">
        <v>4042</v>
      </c>
      <c r="O35" s="48" t="s">
        <v>4013</v>
      </c>
      <c r="P35" s="29" t="s">
        <v>3172</v>
      </c>
      <c r="Q35" s="29" t="s">
        <v>4089</v>
      </c>
      <c r="R35" s="32">
        <v>45625</v>
      </c>
      <c r="S35" s="32">
        <v>47457</v>
      </c>
      <c r="T35" s="33">
        <v>2350000</v>
      </c>
      <c r="U35" s="29"/>
      <c r="V35" s="29"/>
      <c r="W35" s="34">
        <f t="shared" si="0"/>
        <v>2350000</v>
      </c>
      <c r="X35" s="35">
        <v>2</v>
      </c>
      <c r="Y35" s="34">
        <f t="shared" si="1"/>
        <v>47000</v>
      </c>
      <c r="Z35" s="29"/>
      <c r="AA35" s="29" t="s">
        <v>4014</v>
      </c>
      <c r="AB35" s="29">
        <v>1141071764</v>
      </c>
      <c r="AC35" s="49">
        <v>45637</v>
      </c>
      <c r="AD35" s="29" t="s">
        <v>3160</v>
      </c>
      <c r="AE35" s="29">
        <v>0</v>
      </c>
      <c r="AG35" t="s">
        <v>290</v>
      </c>
      <c r="AI35" s="54">
        <v>47000</v>
      </c>
      <c r="AJ35" s="54">
        <v>0</v>
      </c>
      <c r="AK35" s="54">
        <v>2350000</v>
      </c>
      <c r="AL35" s="51">
        <v>0</v>
      </c>
      <c r="AM35" t="s">
        <v>135</v>
      </c>
      <c r="AN35" t="s">
        <v>4249</v>
      </c>
    </row>
    <row r="36" spans="1:40" ht="11.25" customHeight="1" x14ac:dyDescent="0.2">
      <c r="A36" s="29" t="s">
        <v>3004</v>
      </c>
      <c r="B36" s="29" t="s">
        <v>4043</v>
      </c>
      <c r="C36" s="40">
        <v>45597</v>
      </c>
      <c r="D36" s="39" t="s">
        <v>3720</v>
      </c>
      <c r="E36" s="29" t="s">
        <v>299</v>
      </c>
      <c r="F36" s="32">
        <v>45624</v>
      </c>
      <c r="G36" s="32">
        <v>45988</v>
      </c>
      <c r="H36" s="47" t="s">
        <v>4153</v>
      </c>
      <c r="I36" s="31">
        <v>3520227888209</v>
      </c>
      <c r="J36" s="47" t="s">
        <v>4194</v>
      </c>
      <c r="K36" s="29" t="s">
        <v>302</v>
      </c>
      <c r="L36" s="29" t="s">
        <v>303</v>
      </c>
      <c r="M36" s="29" t="s">
        <v>304</v>
      </c>
      <c r="N36" s="29" t="s">
        <v>4043</v>
      </c>
      <c r="O36" s="48" t="s">
        <v>4013</v>
      </c>
      <c r="P36" s="29" t="s">
        <v>3154</v>
      </c>
      <c r="Q36" s="29" t="s">
        <v>4090</v>
      </c>
      <c r="R36" s="32">
        <v>45628</v>
      </c>
      <c r="S36" s="32">
        <v>47457</v>
      </c>
      <c r="T36" s="33">
        <v>2600000</v>
      </c>
      <c r="U36" s="29"/>
      <c r="V36" s="29"/>
      <c r="W36" s="34">
        <f t="shared" si="0"/>
        <v>2600000</v>
      </c>
      <c r="X36" s="35">
        <v>2</v>
      </c>
      <c r="Y36" s="34">
        <f t="shared" si="1"/>
        <v>52000</v>
      </c>
      <c r="Z36" s="29"/>
      <c r="AA36" s="29" t="s">
        <v>4014</v>
      </c>
      <c r="AB36" s="29">
        <v>1141071764</v>
      </c>
      <c r="AC36" s="49">
        <v>45637</v>
      </c>
      <c r="AD36" s="29" t="s">
        <v>3160</v>
      </c>
      <c r="AE36" s="29">
        <v>0</v>
      </c>
      <c r="AG36" t="s">
        <v>299</v>
      </c>
      <c r="AI36" s="54">
        <v>52000</v>
      </c>
      <c r="AJ36" s="54">
        <v>0</v>
      </c>
      <c r="AK36" s="54">
        <v>2600000</v>
      </c>
      <c r="AL36" s="51">
        <v>0</v>
      </c>
      <c r="AM36" t="s">
        <v>135</v>
      </c>
      <c r="AN36" t="s">
        <v>4249</v>
      </c>
    </row>
    <row r="37" spans="1:40" ht="11.25" customHeight="1" x14ac:dyDescent="0.2">
      <c r="A37" s="29" t="s">
        <v>3004</v>
      </c>
      <c r="B37" s="29" t="s">
        <v>4044</v>
      </c>
      <c r="C37" s="40">
        <v>45597</v>
      </c>
      <c r="D37" s="39" t="s">
        <v>3720</v>
      </c>
      <c r="E37" s="29" t="s">
        <v>317</v>
      </c>
      <c r="F37" s="32">
        <v>45625</v>
      </c>
      <c r="G37" s="32">
        <v>45989</v>
      </c>
      <c r="H37" s="47" t="s">
        <v>3784</v>
      </c>
      <c r="I37" s="31">
        <v>3120271934857</v>
      </c>
      <c r="J37" s="47" t="s">
        <v>4193</v>
      </c>
      <c r="K37" s="29"/>
      <c r="L37" s="29" t="s">
        <v>319</v>
      </c>
      <c r="M37" s="29" t="s">
        <v>320</v>
      </c>
      <c r="N37" s="29" t="s">
        <v>4044</v>
      </c>
      <c r="O37" s="48" t="s">
        <v>4013</v>
      </c>
      <c r="P37" s="29" t="s">
        <v>3176</v>
      </c>
      <c r="Q37" s="29" t="s">
        <v>4092</v>
      </c>
      <c r="R37" s="32">
        <v>45625</v>
      </c>
      <c r="S37" s="32">
        <v>47457</v>
      </c>
      <c r="T37" s="33">
        <v>2707000</v>
      </c>
      <c r="U37" s="29"/>
      <c r="V37" s="29"/>
      <c r="W37" s="34">
        <f t="shared" si="0"/>
        <v>2707000</v>
      </c>
      <c r="X37" s="35">
        <v>2</v>
      </c>
      <c r="Y37" s="34">
        <f t="shared" si="1"/>
        <v>54140</v>
      </c>
      <c r="Z37" s="29"/>
      <c r="AA37" s="29" t="s">
        <v>4014</v>
      </c>
      <c r="AB37" s="29">
        <v>1141071764</v>
      </c>
      <c r="AC37" s="49">
        <v>45637</v>
      </c>
      <c r="AD37" s="29" t="s">
        <v>3160</v>
      </c>
      <c r="AE37" s="29">
        <v>0</v>
      </c>
      <c r="AG37" t="s">
        <v>317</v>
      </c>
      <c r="AI37" s="54">
        <v>54140</v>
      </c>
      <c r="AJ37" s="54">
        <v>0</v>
      </c>
      <c r="AK37" s="54">
        <v>2707000</v>
      </c>
      <c r="AL37" s="51">
        <v>0</v>
      </c>
      <c r="AM37" t="s">
        <v>135</v>
      </c>
      <c r="AN37" t="s">
        <v>4249</v>
      </c>
    </row>
    <row r="38" spans="1:40" ht="11.25" customHeight="1" x14ac:dyDescent="0.2">
      <c r="A38" s="29" t="s">
        <v>3004</v>
      </c>
      <c r="B38" s="29" t="s">
        <v>4045</v>
      </c>
      <c r="C38" s="40">
        <v>45597</v>
      </c>
      <c r="D38" s="39" t="s">
        <v>3720</v>
      </c>
      <c r="E38" s="29" t="s">
        <v>324</v>
      </c>
      <c r="F38" s="32">
        <v>45625</v>
      </c>
      <c r="G38" s="32">
        <v>45989</v>
      </c>
      <c r="H38" s="47" t="s">
        <v>4155</v>
      </c>
      <c r="I38" s="31">
        <v>3310099656459</v>
      </c>
      <c r="J38" s="47" t="s">
        <v>4196</v>
      </c>
      <c r="K38" s="29"/>
      <c r="L38" s="29" t="s">
        <v>326</v>
      </c>
      <c r="M38" s="29" t="s">
        <v>327</v>
      </c>
      <c r="N38" s="29" t="s">
        <v>4045</v>
      </c>
      <c r="O38" s="48" t="s">
        <v>4013</v>
      </c>
      <c r="P38" s="29" t="s">
        <v>3172</v>
      </c>
      <c r="Q38" s="29" t="s">
        <v>4093</v>
      </c>
      <c r="R38" s="32">
        <v>45628</v>
      </c>
      <c r="S38" s="32">
        <v>46727</v>
      </c>
      <c r="T38" s="33">
        <v>3799000</v>
      </c>
      <c r="U38" s="29"/>
      <c r="V38" s="29"/>
      <c r="W38" s="34">
        <f t="shared" si="0"/>
        <v>3799000</v>
      </c>
      <c r="X38" s="35">
        <v>1.5</v>
      </c>
      <c r="Y38" s="34">
        <f t="shared" si="1"/>
        <v>56985</v>
      </c>
      <c r="Z38" s="29"/>
      <c r="AA38" s="29" t="s">
        <v>4014</v>
      </c>
      <c r="AB38" s="29">
        <v>1141071764</v>
      </c>
      <c r="AC38" s="49">
        <v>45637</v>
      </c>
      <c r="AD38" s="29" t="s">
        <v>3160</v>
      </c>
      <c r="AE38" s="29">
        <v>0</v>
      </c>
      <c r="AG38" t="s">
        <v>324</v>
      </c>
      <c r="AI38" s="54">
        <v>56985</v>
      </c>
      <c r="AJ38" s="54" t="s">
        <v>4281</v>
      </c>
      <c r="AK38" s="54">
        <v>3799000</v>
      </c>
      <c r="AL38" s="51">
        <v>0</v>
      </c>
      <c r="AM38" t="s">
        <v>135</v>
      </c>
      <c r="AN38" t="s">
        <v>4249</v>
      </c>
    </row>
    <row r="39" spans="1:40" ht="11.25" customHeight="1" x14ac:dyDescent="0.2">
      <c r="A39" s="29" t="s">
        <v>3004</v>
      </c>
      <c r="B39" s="29" t="s">
        <v>4046</v>
      </c>
      <c r="C39" s="40">
        <v>45597</v>
      </c>
      <c r="D39" s="39" t="s">
        <v>3720</v>
      </c>
      <c r="E39" s="29" t="s">
        <v>331</v>
      </c>
      <c r="F39" s="32">
        <v>45625</v>
      </c>
      <c r="G39" s="32">
        <v>45989</v>
      </c>
      <c r="H39" s="47" t="s">
        <v>4156</v>
      </c>
      <c r="I39" s="31">
        <v>3640168627329</v>
      </c>
      <c r="J39" s="47" t="s">
        <v>4197</v>
      </c>
      <c r="K39" s="29" t="s">
        <v>334</v>
      </c>
      <c r="L39" s="29" t="s">
        <v>335</v>
      </c>
      <c r="M39" s="29" t="s">
        <v>336</v>
      </c>
      <c r="N39" s="29" t="s">
        <v>4046</v>
      </c>
      <c r="O39" s="48" t="s">
        <v>4013</v>
      </c>
      <c r="P39" s="29" t="s">
        <v>3666</v>
      </c>
      <c r="Q39" s="29" t="s">
        <v>4094</v>
      </c>
      <c r="R39" s="32">
        <v>45625</v>
      </c>
      <c r="S39" s="32">
        <v>46727</v>
      </c>
      <c r="T39" s="33">
        <v>10000000</v>
      </c>
      <c r="U39" s="29"/>
      <c r="V39" s="29"/>
      <c r="W39" s="34">
        <f t="shared" si="0"/>
        <v>10000000</v>
      </c>
      <c r="X39" s="35">
        <v>1.5</v>
      </c>
      <c r="Y39" s="34">
        <f t="shared" si="1"/>
        <v>150000</v>
      </c>
      <c r="Z39" s="29"/>
      <c r="AA39" s="29" t="s">
        <v>4014</v>
      </c>
      <c r="AB39" s="29">
        <v>1141071764</v>
      </c>
      <c r="AC39" s="49">
        <v>45637</v>
      </c>
      <c r="AD39" s="29" t="s">
        <v>3160</v>
      </c>
      <c r="AE39" s="29">
        <v>0</v>
      </c>
      <c r="AG39" t="s">
        <v>331</v>
      </c>
      <c r="AI39" s="54">
        <v>150000</v>
      </c>
      <c r="AJ39" s="54">
        <v>0</v>
      </c>
      <c r="AK39" s="54">
        <v>10000000</v>
      </c>
      <c r="AL39" s="51">
        <v>0</v>
      </c>
      <c r="AM39" t="s">
        <v>135</v>
      </c>
      <c r="AN39" t="s">
        <v>4249</v>
      </c>
    </row>
    <row r="40" spans="1:40" ht="11.25" customHeight="1" x14ac:dyDescent="0.2">
      <c r="A40" s="29" t="s">
        <v>3004</v>
      </c>
      <c r="B40" s="29" t="s">
        <v>4047</v>
      </c>
      <c r="C40" s="40">
        <v>45597</v>
      </c>
      <c r="D40" s="39" t="s">
        <v>3720</v>
      </c>
      <c r="E40" s="29" t="s">
        <v>340</v>
      </c>
      <c r="F40" s="32">
        <v>45625</v>
      </c>
      <c r="G40" s="32">
        <v>45989</v>
      </c>
      <c r="H40" s="47" t="s">
        <v>4198</v>
      </c>
      <c r="I40" s="31">
        <v>3740647906153</v>
      </c>
      <c r="J40" s="47" t="s">
        <v>4185</v>
      </c>
      <c r="K40" s="29" t="s">
        <v>343</v>
      </c>
      <c r="L40" s="29" t="s">
        <v>344</v>
      </c>
      <c r="M40" s="29" t="s">
        <v>345</v>
      </c>
      <c r="N40" s="29" t="s">
        <v>4047</v>
      </c>
      <c r="O40" s="48" t="s">
        <v>3167</v>
      </c>
      <c r="P40" s="29" t="s">
        <v>3168</v>
      </c>
      <c r="Q40" s="29">
        <v>212747</v>
      </c>
      <c r="R40" s="32">
        <v>45629</v>
      </c>
      <c r="S40" s="32">
        <v>46727</v>
      </c>
      <c r="T40" s="33">
        <v>3700000</v>
      </c>
      <c r="U40" s="29"/>
      <c r="V40" s="29"/>
      <c r="W40" s="34">
        <f t="shared" si="0"/>
        <v>3700000</v>
      </c>
      <c r="X40" s="35">
        <v>1.5</v>
      </c>
      <c r="Y40" s="34">
        <f t="shared" si="1"/>
        <v>55500</v>
      </c>
      <c r="Z40" s="29"/>
      <c r="AA40" s="29" t="s">
        <v>4014</v>
      </c>
      <c r="AB40" s="29">
        <v>1141071764</v>
      </c>
      <c r="AC40" s="49">
        <v>45637</v>
      </c>
      <c r="AD40" s="29" t="s">
        <v>3160</v>
      </c>
      <c r="AE40" s="29">
        <v>0</v>
      </c>
      <c r="AG40" t="s">
        <v>340</v>
      </c>
      <c r="AI40" s="54">
        <v>55500</v>
      </c>
      <c r="AJ40" s="54">
        <v>0</v>
      </c>
      <c r="AK40" s="54">
        <v>3700000</v>
      </c>
      <c r="AL40" s="51">
        <v>0</v>
      </c>
      <c r="AM40" t="s">
        <v>135</v>
      </c>
      <c r="AN40" t="s">
        <v>4249</v>
      </c>
    </row>
    <row r="41" spans="1:40" ht="11.25" customHeight="1" x14ac:dyDescent="0.2">
      <c r="A41" s="29" t="s">
        <v>3004</v>
      </c>
      <c r="B41" s="29" t="s">
        <v>4048</v>
      </c>
      <c r="C41" s="40">
        <v>45597</v>
      </c>
      <c r="D41" s="39" t="s">
        <v>3720</v>
      </c>
      <c r="E41" s="29" t="s">
        <v>349</v>
      </c>
      <c r="F41" s="32">
        <v>45625</v>
      </c>
      <c r="G41" s="32">
        <v>45989</v>
      </c>
      <c r="H41" s="47" t="s">
        <v>4157</v>
      </c>
      <c r="I41" s="31">
        <v>3520227387261</v>
      </c>
      <c r="J41" s="47" t="s">
        <v>4199</v>
      </c>
      <c r="K41" s="29" t="s">
        <v>352</v>
      </c>
      <c r="L41" s="29" t="s">
        <v>353</v>
      </c>
      <c r="M41" s="29" t="s">
        <v>354</v>
      </c>
      <c r="N41" s="29" t="s">
        <v>4048</v>
      </c>
      <c r="O41" s="48" t="s">
        <v>4013</v>
      </c>
      <c r="P41" s="29" t="s">
        <v>3154</v>
      </c>
      <c r="Q41" s="29" t="s">
        <v>4095</v>
      </c>
      <c r="R41" s="32">
        <v>45628</v>
      </c>
      <c r="S41" s="32">
        <v>47092</v>
      </c>
      <c r="T41" s="33">
        <v>6500000</v>
      </c>
      <c r="U41" s="29"/>
      <c r="V41" s="29"/>
      <c r="W41" s="34">
        <f t="shared" si="0"/>
        <v>6500000</v>
      </c>
      <c r="X41" s="35">
        <v>1.5</v>
      </c>
      <c r="Y41" s="34">
        <f t="shared" si="1"/>
        <v>97500</v>
      </c>
      <c r="Z41" s="29"/>
      <c r="AA41" s="29" t="s">
        <v>4014</v>
      </c>
      <c r="AB41" s="29">
        <v>1141071764</v>
      </c>
      <c r="AC41" s="49">
        <v>45637</v>
      </c>
      <c r="AD41" s="29" t="s">
        <v>3160</v>
      </c>
      <c r="AE41" s="29">
        <v>0</v>
      </c>
      <c r="AG41" t="s">
        <v>349</v>
      </c>
      <c r="AI41" s="54">
        <v>97500</v>
      </c>
      <c r="AJ41" s="54">
        <v>0</v>
      </c>
      <c r="AK41" s="54">
        <v>6500000</v>
      </c>
      <c r="AL41" s="51">
        <v>0</v>
      </c>
      <c r="AM41" t="s">
        <v>135</v>
      </c>
      <c r="AN41" t="s">
        <v>4249</v>
      </c>
    </row>
    <row r="42" spans="1:40" ht="11.25" customHeight="1" x14ac:dyDescent="0.2">
      <c r="A42" s="29" t="s">
        <v>3004</v>
      </c>
      <c r="B42" s="29" t="s">
        <v>4049</v>
      </c>
      <c r="C42" s="40">
        <v>45597</v>
      </c>
      <c r="D42" s="39" t="s">
        <v>3720</v>
      </c>
      <c r="E42" s="29" t="s">
        <v>358</v>
      </c>
      <c r="F42" s="32">
        <v>45625</v>
      </c>
      <c r="G42" s="32">
        <v>45989</v>
      </c>
      <c r="H42" s="47" t="s">
        <v>4158</v>
      </c>
      <c r="I42" s="31">
        <v>3630278498601</v>
      </c>
      <c r="J42" s="47" t="s">
        <v>4193</v>
      </c>
      <c r="K42" s="29" t="s">
        <v>360</v>
      </c>
      <c r="L42" s="29" t="s">
        <v>361</v>
      </c>
      <c r="M42" s="29" t="s">
        <v>362</v>
      </c>
      <c r="N42" s="29" t="s">
        <v>4049</v>
      </c>
      <c r="O42" s="48" t="s">
        <v>4013</v>
      </c>
      <c r="P42" s="29" t="s">
        <v>3216</v>
      </c>
      <c r="Q42" s="29" t="s">
        <v>4096</v>
      </c>
      <c r="R42" s="32">
        <v>45628</v>
      </c>
      <c r="S42" s="32">
        <v>47457</v>
      </c>
      <c r="T42" s="33">
        <v>2300000</v>
      </c>
      <c r="U42" s="29"/>
      <c r="V42" s="29"/>
      <c r="W42" s="34">
        <f t="shared" si="0"/>
        <v>2300000</v>
      </c>
      <c r="X42" s="35">
        <v>2</v>
      </c>
      <c r="Y42" s="34">
        <f t="shared" si="1"/>
        <v>46000</v>
      </c>
      <c r="Z42" s="29"/>
      <c r="AA42" s="29" t="s">
        <v>4014</v>
      </c>
      <c r="AB42" s="29">
        <v>1141071764</v>
      </c>
      <c r="AC42" s="49">
        <v>45637</v>
      </c>
      <c r="AD42" s="29" t="s">
        <v>3160</v>
      </c>
      <c r="AE42" s="29">
        <v>0</v>
      </c>
      <c r="AG42" t="s">
        <v>358</v>
      </c>
      <c r="AI42" s="54">
        <v>46000</v>
      </c>
      <c r="AJ42" s="54">
        <v>0</v>
      </c>
      <c r="AK42" s="54">
        <v>2300000</v>
      </c>
      <c r="AL42" s="51">
        <v>0</v>
      </c>
      <c r="AM42" t="s">
        <v>135</v>
      </c>
      <c r="AN42" t="s">
        <v>4249</v>
      </c>
    </row>
    <row r="43" spans="1:40" ht="11.25" customHeight="1" x14ac:dyDescent="0.2">
      <c r="A43" s="29" t="s">
        <v>3004</v>
      </c>
      <c r="B43" s="29" t="s">
        <v>4050</v>
      </c>
      <c r="C43" s="40">
        <v>45597</v>
      </c>
      <c r="D43" s="39" t="s">
        <v>3720</v>
      </c>
      <c r="E43" s="29" t="s">
        <v>366</v>
      </c>
      <c r="F43" s="32">
        <v>45625</v>
      </c>
      <c r="G43" s="32">
        <v>45989</v>
      </c>
      <c r="H43" s="47" t="s">
        <v>4159</v>
      </c>
      <c r="I43" s="31">
        <v>3740256363775</v>
      </c>
      <c r="J43" s="47" t="s">
        <v>4182</v>
      </c>
      <c r="K43" s="29" t="s">
        <v>369</v>
      </c>
      <c r="L43" s="29" t="s">
        <v>370</v>
      </c>
      <c r="M43" s="29" t="s">
        <v>371</v>
      </c>
      <c r="N43" s="29" t="s">
        <v>4050</v>
      </c>
      <c r="O43" s="48" t="s">
        <v>3167</v>
      </c>
      <c r="P43" s="29" t="s">
        <v>3168</v>
      </c>
      <c r="Q43" s="29" t="s">
        <v>4097</v>
      </c>
      <c r="R43" s="32">
        <v>45628</v>
      </c>
      <c r="S43" s="32">
        <v>47457</v>
      </c>
      <c r="T43" s="33">
        <v>2000000</v>
      </c>
      <c r="U43" s="29"/>
      <c r="V43" s="29"/>
      <c r="W43" s="34">
        <f t="shared" si="0"/>
        <v>2000000</v>
      </c>
      <c r="X43" s="35">
        <v>2</v>
      </c>
      <c r="Y43" s="34">
        <f t="shared" si="1"/>
        <v>40000</v>
      </c>
      <c r="Z43" s="29"/>
      <c r="AA43" s="29" t="s">
        <v>4014</v>
      </c>
      <c r="AB43" s="29">
        <v>1141071764</v>
      </c>
      <c r="AC43" s="49">
        <v>45637</v>
      </c>
      <c r="AD43" s="29" t="s">
        <v>3160</v>
      </c>
      <c r="AE43" s="29">
        <v>0</v>
      </c>
      <c r="AG43" t="s">
        <v>366</v>
      </c>
      <c r="AI43" s="54">
        <v>40000</v>
      </c>
      <c r="AJ43" s="54">
        <v>0</v>
      </c>
      <c r="AK43" s="54">
        <v>2000000</v>
      </c>
      <c r="AL43" s="51">
        <v>0</v>
      </c>
      <c r="AM43" t="s">
        <v>135</v>
      </c>
      <c r="AN43" t="s">
        <v>4249</v>
      </c>
    </row>
    <row r="44" spans="1:40" ht="11.25" customHeight="1" x14ac:dyDescent="0.2">
      <c r="A44" s="29" t="s">
        <v>3004</v>
      </c>
      <c r="B44" s="29" t="s">
        <v>4051</v>
      </c>
      <c r="C44" s="40">
        <v>45597</v>
      </c>
      <c r="D44" s="39" t="s">
        <v>3720</v>
      </c>
      <c r="E44" s="29" t="s">
        <v>375</v>
      </c>
      <c r="F44" s="32">
        <v>45625</v>
      </c>
      <c r="G44" s="32">
        <v>45989</v>
      </c>
      <c r="H44" s="47" t="s">
        <v>4160</v>
      </c>
      <c r="I44" s="31">
        <v>3840359624635</v>
      </c>
      <c r="J44" s="47" t="s">
        <v>4182</v>
      </c>
      <c r="K44" s="29"/>
      <c r="L44" s="29" t="s">
        <v>377</v>
      </c>
      <c r="M44" s="29" t="s">
        <v>378</v>
      </c>
      <c r="N44" s="29" t="s">
        <v>4051</v>
      </c>
      <c r="O44" s="48" t="s">
        <v>3167</v>
      </c>
      <c r="P44" s="29" t="s">
        <v>3168</v>
      </c>
      <c r="Q44" s="29" t="s">
        <v>4098</v>
      </c>
      <c r="R44" s="32">
        <v>45628</v>
      </c>
      <c r="S44" s="32">
        <v>47457</v>
      </c>
      <c r="T44" s="33">
        <v>2350000</v>
      </c>
      <c r="U44" s="29"/>
      <c r="V44" s="29"/>
      <c r="W44" s="34">
        <f t="shared" si="0"/>
        <v>2350000</v>
      </c>
      <c r="X44" s="35">
        <v>2</v>
      </c>
      <c r="Y44" s="34">
        <f t="shared" si="1"/>
        <v>47000</v>
      </c>
      <c r="Z44" s="29"/>
      <c r="AA44" s="29" t="s">
        <v>4014</v>
      </c>
      <c r="AB44" s="29">
        <v>1141071764</v>
      </c>
      <c r="AC44" s="49">
        <v>45637</v>
      </c>
      <c r="AD44" s="29" t="s">
        <v>3160</v>
      </c>
      <c r="AE44" s="29">
        <v>0</v>
      </c>
      <c r="AG44" t="s">
        <v>375</v>
      </c>
      <c r="AI44" s="54">
        <v>47000</v>
      </c>
      <c r="AJ44" s="54">
        <v>0</v>
      </c>
      <c r="AK44" s="54">
        <v>2350000</v>
      </c>
      <c r="AL44" s="51">
        <v>0</v>
      </c>
      <c r="AM44" t="s">
        <v>135</v>
      </c>
      <c r="AN44" t="s">
        <v>4249</v>
      </c>
    </row>
    <row r="45" spans="1:40" ht="11.25" customHeight="1" x14ac:dyDescent="0.2">
      <c r="A45" s="29" t="s">
        <v>3004</v>
      </c>
      <c r="B45" s="29" t="s">
        <v>4052</v>
      </c>
      <c r="C45" s="40">
        <v>45597</v>
      </c>
      <c r="D45" s="39" t="s">
        <v>3720</v>
      </c>
      <c r="E45" s="29" t="s">
        <v>382</v>
      </c>
      <c r="F45" s="32">
        <v>45625</v>
      </c>
      <c r="G45" s="32">
        <v>45989</v>
      </c>
      <c r="H45" s="47" t="s">
        <v>4161</v>
      </c>
      <c r="I45" s="31">
        <v>3310271553673</v>
      </c>
      <c r="J45" s="47" t="s">
        <v>4194</v>
      </c>
      <c r="K45" s="29"/>
      <c r="L45" s="29" t="s">
        <v>384</v>
      </c>
      <c r="M45" s="29" t="s">
        <v>385</v>
      </c>
      <c r="N45" s="29" t="s">
        <v>4052</v>
      </c>
      <c r="O45" s="48" t="s">
        <v>4013</v>
      </c>
      <c r="P45" s="29" t="s">
        <v>3172</v>
      </c>
      <c r="Q45" s="29" t="s">
        <v>4099</v>
      </c>
      <c r="R45" s="32">
        <v>45628</v>
      </c>
      <c r="S45" s="32">
        <v>47457</v>
      </c>
      <c r="T45" s="33">
        <v>3045000</v>
      </c>
      <c r="U45" s="29"/>
      <c r="V45" s="29"/>
      <c r="W45" s="34">
        <f t="shared" si="0"/>
        <v>3045000</v>
      </c>
      <c r="X45" s="35">
        <v>2</v>
      </c>
      <c r="Y45" s="34">
        <f t="shared" si="1"/>
        <v>60900</v>
      </c>
      <c r="Z45" s="29"/>
      <c r="AA45" s="29" t="s">
        <v>4014</v>
      </c>
      <c r="AB45" s="29">
        <v>1141071764</v>
      </c>
      <c r="AC45" s="49">
        <v>45637</v>
      </c>
      <c r="AD45" s="29" t="s">
        <v>3160</v>
      </c>
      <c r="AE45" s="29">
        <v>0</v>
      </c>
      <c r="AG45" t="s">
        <v>382</v>
      </c>
      <c r="AI45" s="54">
        <v>60900</v>
      </c>
      <c r="AJ45" s="54">
        <v>0</v>
      </c>
      <c r="AK45" s="54">
        <v>3045000</v>
      </c>
      <c r="AL45" s="51">
        <v>0</v>
      </c>
      <c r="AM45" t="s">
        <v>135</v>
      </c>
      <c r="AN45" t="s">
        <v>4249</v>
      </c>
    </row>
    <row r="46" spans="1:40" ht="11.25" customHeight="1" x14ac:dyDescent="0.2">
      <c r="A46" s="29" t="s">
        <v>3004</v>
      </c>
      <c r="B46" s="29" t="s">
        <v>4053</v>
      </c>
      <c r="C46" s="40">
        <v>45597</v>
      </c>
      <c r="D46" s="39" t="s">
        <v>3720</v>
      </c>
      <c r="E46" s="29" t="s">
        <v>389</v>
      </c>
      <c r="F46" s="32">
        <v>45625</v>
      </c>
      <c r="G46" s="32">
        <v>45989</v>
      </c>
      <c r="H46" s="47" t="s">
        <v>4162</v>
      </c>
      <c r="I46" s="31">
        <v>3310116925393</v>
      </c>
      <c r="J46" s="47" t="s">
        <v>4200</v>
      </c>
      <c r="K46" s="29" t="s">
        <v>392</v>
      </c>
      <c r="L46" s="29" t="s">
        <v>393</v>
      </c>
      <c r="M46" s="29" t="s">
        <v>394</v>
      </c>
      <c r="N46" s="29" t="s">
        <v>4053</v>
      </c>
      <c r="O46" s="48" t="s">
        <v>4013</v>
      </c>
      <c r="P46" s="29" t="s">
        <v>3172</v>
      </c>
      <c r="Q46" s="29" t="s">
        <v>4100</v>
      </c>
      <c r="R46" s="32">
        <v>45628</v>
      </c>
      <c r="S46" s="32">
        <v>46727</v>
      </c>
      <c r="T46" s="33">
        <v>3800000</v>
      </c>
      <c r="U46" s="29"/>
      <c r="V46" s="29"/>
      <c r="W46" s="34">
        <f t="shared" si="0"/>
        <v>3800000</v>
      </c>
      <c r="X46" s="35">
        <v>1.5</v>
      </c>
      <c r="Y46" s="34">
        <f t="shared" si="1"/>
        <v>57000</v>
      </c>
      <c r="Z46" s="29"/>
      <c r="AA46" s="29" t="s">
        <v>4014</v>
      </c>
      <c r="AB46" s="29">
        <v>1141071764</v>
      </c>
      <c r="AC46" s="49">
        <v>45637</v>
      </c>
      <c r="AD46" s="29" t="s">
        <v>3160</v>
      </c>
      <c r="AE46" s="29">
        <v>0</v>
      </c>
      <c r="AG46" t="s">
        <v>389</v>
      </c>
      <c r="AI46" s="54">
        <v>57000</v>
      </c>
      <c r="AJ46" s="54">
        <v>0</v>
      </c>
      <c r="AK46" s="54">
        <v>3800000</v>
      </c>
      <c r="AL46" s="51">
        <v>0</v>
      </c>
      <c r="AM46" t="s">
        <v>135</v>
      </c>
      <c r="AN46" t="s">
        <v>4249</v>
      </c>
    </row>
    <row r="47" spans="1:40" ht="11.25" customHeight="1" x14ac:dyDescent="0.2">
      <c r="A47" s="29" t="s">
        <v>3004</v>
      </c>
      <c r="B47" s="29" t="s">
        <v>4054</v>
      </c>
      <c r="C47" s="40">
        <v>45597</v>
      </c>
      <c r="D47" s="39" t="s">
        <v>3720</v>
      </c>
      <c r="E47" s="29" t="s">
        <v>398</v>
      </c>
      <c r="F47" s="32">
        <v>45601</v>
      </c>
      <c r="G47" s="32">
        <v>45965</v>
      </c>
      <c r="H47" s="47" t="s">
        <v>4163</v>
      </c>
      <c r="I47" s="31">
        <v>3520225302019</v>
      </c>
      <c r="J47" s="47" t="s">
        <v>4201</v>
      </c>
      <c r="K47" s="29"/>
      <c r="L47" s="29" t="s">
        <v>401</v>
      </c>
      <c r="M47" s="29" t="s">
        <v>402</v>
      </c>
      <c r="N47" s="29" t="s">
        <v>4054</v>
      </c>
      <c r="O47" s="48" t="s">
        <v>4013</v>
      </c>
      <c r="P47" s="29" t="s">
        <v>3154</v>
      </c>
      <c r="Q47" s="29" t="s">
        <v>4101</v>
      </c>
      <c r="R47" s="32">
        <v>45604</v>
      </c>
      <c r="S47" s="32">
        <v>46696</v>
      </c>
      <c r="T47" s="33">
        <v>2999000</v>
      </c>
      <c r="U47" s="29"/>
      <c r="V47" s="29"/>
      <c r="W47" s="34">
        <f t="shared" si="0"/>
        <v>2999000</v>
      </c>
      <c r="X47" s="35">
        <v>2</v>
      </c>
      <c r="Y47" s="34">
        <f t="shared" si="1"/>
        <v>59980</v>
      </c>
      <c r="Z47" s="29"/>
      <c r="AA47" s="29" t="s">
        <v>4014</v>
      </c>
      <c r="AB47" s="29">
        <v>1141071764</v>
      </c>
      <c r="AC47" s="49">
        <v>45637</v>
      </c>
      <c r="AD47" s="29" t="s">
        <v>3160</v>
      </c>
      <c r="AE47" s="29">
        <v>0</v>
      </c>
      <c r="AG47" t="s">
        <v>398</v>
      </c>
      <c r="AI47" s="54">
        <v>59980</v>
      </c>
      <c r="AJ47" s="54">
        <v>0</v>
      </c>
      <c r="AK47" s="54">
        <v>2999000</v>
      </c>
      <c r="AL47" s="51">
        <v>0</v>
      </c>
      <c r="AM47" t="s">
        <v>135</v>
      </c>
      <c r="AN47" t="s">
        <v>4249</v>
      </c>
    </row>
    <row r="48" spans="1:40" ht="11.25" customHeight="1" x14ac:dyDescent="0.2">
      <c r="A48" s="29" t="s">
        <v>3004</v>
      </c>
      <c r="B48" s="29" t="s">
        <v>4055</v>
      </c>
      <c r="C48" s="40">
        <v>45597</v>
      </c>
      <c r="D48" s="39" t="s">
        <v>3720</v>
      </c>
      <c r="E48" s="29" t="s">
        <v>406</v>
      </c>
      <c r="F48" s="32">
        <v>45625</v>
      </c>
      <c r="G48" s="32">
        <v>45989</v>
      </c>
      <c r="H48" s="47" t="s">
        <v>4164</v>
      </c>
      <c r="I48" s="31">
        <v>3630260441163</v>
      </c>
      <c r="J48" s="47" t="s">
        <v>4202</v>
      </c>
      <c r="K48" s="29" t="s">
        <v>409</v>
      </c>
      <c r="L48" s="29" t="s">
        <v>410</v>
      </c>
      <c r="M48" s="29" t="s">
        <v>411</v>
      </c>
      <c r="N48" s="29" t="s">
        <v>4055</v>
      </c>
      <c r="O48" s="48" t="s">
        <v>4013</v>
      </c>
      <c r="P48" s="29" t="s">
        <v>3216</v>
      </c>
      <c r="Q48" s="29" t="s">
        <v>4102</v>
      </c>
      <c r="R48" s="32">
        <v>45628</v>
      </c>
      <c r="S48" s="32">
        <v>46727</v>
      </c>
      <c r="T48" s="33">
        <v>4700000</v>
      </c>
      <c r="U48" s="29"/>
      <c r="V48" s="29"/>
      <c r="W48" s="34">
        <f t="shared" si="0"/>
        <v>4700000</v>
      </c>
      <c r="X48" s="35">
        <v>1.5</v>
      </c>
      <c r="Y48" s="34">
        <f t="shared" si="1"/>
        <v>70500</v>
      </c>
      <c r="Z48" s="29"/>
      <c r="AA48" s="29" t="s">
        <v>4014</v>
      </c>
      <c r="AB48" s="29">
        <v>1141071764</v>
      </c>
      <c r="AC48" s="49">
        <v>45637</v>
      </c>
      <c r="AD48" s="29" t="s">
        <v>3160</v>
      </c>
      <c r="AE48" s="29">
        <v>0</v>
      </c>
      <c r="AG48" t="s">
        <v>406</v>
      </c>
      <c r="AI48" s="54">
        <v>70500</v>
      </c>
      <c r="AJ48" s="54">
        <v>0</v>
      </c>
      <c r="AK48" s="54">
        <v>4700000</v>
      </c>
      <c r="AL48" s="51">
        <v>0</v>
      </c>
      <c r="AM48" t="s">
        <v>135</v>
      </c>
      <c r="AN48" t="s">
        <v>4249</v>
      </c>
    </row>
    <row r="49" spans="1:40" ht="11.25" customHeight="1" x14ac:dyDescent="0.2">
      <c r="A49" s="29" t="s">
        <v>3004</v>
      </c>
      <c r="B49" s="29" t="s">
        <v>4056</v>
      </c>
      <c r="C49" s="40">
        <v>45597</v>
      </c>
      <c r="D49" s="39" t="s">
        <v>3720</v>
      </c>
      <c r="E49" s="29" t="s">
        <v>415</v>
      </c>
      <c r="F49" s="32">
        <v>45625</v>
      </c>
      <c r="G49" s="32">
        <v>45989</v>
      </c>
      <c r="H49" s="47" t="s">
        <v>4165</v>
      </c>
      <c r="I49" s="44" t="s">
        <v>4130</v>
      </c>
      <c r="J49" s="47" t="s">
        <v>417</v>
      </c>
      <c r="K49" s="29" t="s">
        <v>418</v>
      </c>
      <c r="L49" s="29" t="s">
        <v>419</v>
      </c>
      <c r="M49" s="29" t="s">
        <v>420</v>
      </c>
      <c r="N49" s="29" t="s">
        <v>4056</v>
      </c>
      <c r="O49" s="29" t="s">
        <v>3162</v>
      </c>
      <c r="P49" s="29" t="s">
        <v>4103</v>
      </c>
      <c r="Q49" s="29" t="s">
        <v>4104</v>
      </c>
      <c r="R49" s="32">
        <v>45628</v>
      </c>
      <c r="S49" s="32">
        <v>46727</v>
      </c>
      <c r="T49" s="33">
        <v>3640000</v>
      </c>
      <c r="U49" s="29"/>
      <c r="V49" s="29"/>
      <c r="W49" s="34">
        <f t="shared" si="0"/>
        <v>3640000</v>
      </c>
      <c r="X49" s="35">
        <v>1.5</v>
      </c>
      <c r="Y49" s="34">
        <f t="shared" si="1"/>
        <v>54600</v>
      </c>
      <c r="Z49" s="29"/>
      <c r="AA49" s="29" t="s">
        <v>4014</v>
      </c>
      <c r="AB49" s="29">
        <v>1141071764</v>
      </c>
      <c r="AC49" s="49">
        <v>45637</v>
      </c>
      <c r="AD49" s="29" t="s">
        <v>3160</v>
      </c>
      <c r="AE49" s="29">
        <v>0</v>
      </c>
      <c r="AG49" t="s">
        <v>415</v>
      </c>
      <c r="AI49" s="54">
        <v>54600</v>
      </c>
      <c r="AJ49" s="54">
        <v>0</v>
      </c>
      <c r="AK49" s="54">
        <v>3640000</v>
      </c>
      <c r="AL49" s="51">
        <v>0</v>
      </c>
      <c r="AM49" t="s">
        <v>135</v>
      </c>
      <c r="AN49" t="s">
        <v>4249</v>
      </c>
    </row>
    <row r="50" spans="1:40" ht="11.25" customHeight="1" x14ac:dyDescent="0.2">
      <c r="A50" s="29" t="s">
        <v>3004</v>
      </c>
      <c r="B50" s="29" t="s">
        <v>4057</v>
      </c>
      <c r="C50" s="40">
        <v>45597</v>
      </c>
      <c r="D50" s="39" t="s">
        <v>3720</v>
      </c>
      <c r="E50" s="29" t="s">
        <v>424</v>
      </c>
      <c r="F50" s="32">
        <v>45625</v>
      </c>
      <c r="G50" s="32">
        <v>45989</v>
      </c>
      <c r="H50" s="47" t="s">
        <v>4166</v>
      </c>
      <c r="I50" s="31">
        <v>3520265340383</v>
      </c>
      <c r="J50" s="47" t="s">
        <v>4182</v>
      </c>
      <c r="K50" s="29" t="s">
        <v>426</v>
      </c>
      <c r="L50" s="29" t="s">
        <v>427</v>
      </c>
      <c r="M50" s="29" t="s">
        <v>428</v>
      </c>
      <c r="N50" s="29" t="s">
        <v>4057</v>
      </c>
      <c r="O50" s="48" t="s">
        <v>4013</v>
      </c>
      <c r="P50" s="29" t="s">
        <v>3154</v>
      </c>
      <c r="Q50" s="29" t="s">
        <v>4105</v>
      </c>
      <c r="R50" s="32">
        <v>45628</v>
      </c>
      <c r="S50" s="32">
        <v>47457</v>
      </c>
      <c r="T50" s="33">
        <v>2500000</v>
      </c>
      <c r="U50" s="29"/>
      <c r="V50" s="29"/>
      <c r="W50" s="34">
        <f t="shared" si="0"/>
        <v>2500000</v>
      </c>
      <c r="X50" s="35">
        <v>2</v>
      </c>
      <c r="Y50" s="34">
        <f t="shared" si="1"/>
        <v>50000</v>
      </c>
      <c r="Z50" s="29"/>
      <c r="AA50" s="29" t="s">
        <v>4014</v>
      </c>
      <c r="AB50" s="29">
        <v>1141071764</v>
      </c>
      <c r="AC50" s="49">
        <v>45637</v>
      </c>
      <c r="AD50" s="29" t="s">
        <v>3160</v>
      </c>
      <c r="AE50" s="29">
        <v>0</v>
      </c>
      <c r="AG50" t="s">
        <v>424</v>
      </c>
      <c r="AI50" s="54">
        <v>50000</v>
      </c>
      <c r="AJ50" s="54">
        <v>0</v>
      </c>
      <c r="AK50" s="54">
        <v>2500000</v>
      </c>
      <c r="AL50" s="51">
        <v>0</v>
      </c>
      <c r="AM50" t="s">
        <v>135</v>
      </c>
      <c r="AN50" t="s">
        <v>4249</v>
      </c>
    </row>
    <row r="51" spans="1:40" ht="11.25" customHeight="1" x14ac:dyDescent="0.2">
      <c r="A51" s="29" t="s">
        <v>3004</v>
      </c>
      <c r="B51" s="29" t="s">
        <v>4058</v>
      </c>
      <c r="C51" s="40">
        <v>45597</v>
      </c>
      <c r="D51" s="39" t="s">
        <v>3720</v>
      </c>
      <c r="E51" s="29" t="s">
        <v>432</v>
      </c>
      <c r="F51" s="32">
        <v>45625</v>
      </c>
      <c r="G51" s="32">
        <v>45989</v>
      </c>
      <c r="H51" s="47" t="s">
        <v>4167</v>
      </c>
      <c r="I51" s="31">
        <v>3810394111691</v>
      </c>
      <c r="J51" s="47" t="s">
        <v>4183</v>
      </c>
      <c r="K51" s="29" t="s">
        <v>434</v>
      </c>
      <c r="L51" s="29" t="s">
        <v>435</v>
      </c>
      <c r="M51" s="29" t="s">
        <v>436</v>
      </c>
      <c r="N51" s="29" t="s">
        <v>4058</v>
      </c>
      <c r="O51" s="48" t="s">
        <v>3167</v>
      </c>
      <c r="P51" s="29" t="s">
        <v>3168</v>
      </c>
      <c r="Q51" s="29" t="s">
        <v>4106</v>
      </c>
      <c r="R51" s="32">
        <v>45628</v>
      </c>
      <c r="S51" s="32">
        <v>47092</v>
      </c>
      <c r="T51" s="33">
        <v>5000000</v>
      </c>
      <c r="U51" s="29"/>
      <c r="V51" s="29"/>
      <c r="W51" s="34">
        <f t="shared" si="0"/>
        <v>5000000</v>
      </c>
      <c r="X51" s="35">
        <v>1.5</v>
      </c>
      <c r="Y51" s="34">
        <f t="shared" si="1"/>
        <v>75000</v>
      </c>
      <c r="Z51" s="29"/>
      <c r="AA51" s="29" t="s">
        <v>4014</v>
      </c>
      <c r="AB51" s="29">
        <v>1141071764</v>
      </c>
      <c r="AC51" s="49">
        <v>45637</v>
      </c>
      <c r="AD51" s="29" t="s">
        <v>3160</v>
      </c>
      <c r="AE51" s="29">
        <v>0</v>
      </c>
      <c r="AG51" t="s">
        <v>432</v>
      </c>
      <c r="AI51" s="54">
        <v>75000</v>
      </c>
      <c r="AJ51" s="54">
        <v>0</v>
      </c>
      <c r="AK51" s="54">
        <v>5000000</v>
      </c>
      <c r="AL51" s="51">
        <v>0</v>
      </c>
      <c r="AM51" t="s">
        <v>135</v>
      </c>
      <c r="AN51" t="s">
        <v>4249</v>
      </c>
    </row>
    <row r="52" spans="1:40" ht="11.25" customHeight="1" x14ac:dyDescent="0.2">
      <c r="A52" s="29" t="s">
        <v>3004</v>
      </c>
      <c r="B52" s="29" t="s">
        <v>4060</v>
      </c>
      <c r="C52" s="40">
        <v>45597</v>
      </c>
      <c r="D52" s="39" t="s">
        <v>3720</v>
      </c>
      <c r="E52" s="29" t="s">
        <v>449</v>
      </c>
      <c r="F52" s="32">
        <v>45625</v>
      </c>
      <c r="G52" s="32">
        <v>45989</v>
      </c>
      <c r="H52" s="47" t="s">
        <v>4169</v>
      </c>
      <c r="I52" s="31">
        <v>3740503867997</v>
      </c>
      <c r="J52" s="47" t="s">
        <v>4182</v>
      </c>
      <c r="K52" s="29" t="s">
        <v>452</v>
      </c>
      <c r="L52" s="29" t="s">
        <v>453</v>
      </c>
      <c r="M52" s="29" t="s">
        <v>454</v>
      </c>
      <c r="N52" s="29" t="s">
        <v>4060</v>
      </c>
      <c r="O52" s="48" t="s">
        <v>3167</v>
      </c>
      <c r="P52" s="29" t="s">
        <v>3168</v>
      </c>
      <c r="Q52" s="29" t="s">
        <v>4109</v>
      </c>
      <c r="R52" s="32">
        <v>45628</v>
      </c>
      <c r="S52" s="32">
        <v>47092</v>
      </c>
      <c r="T52" s="33">
        <v>2700000</v>
      </c>
      <c r="U52" s="29"/>
      <c r="V52" s="29"/>
      <c r="W52" s="34">
        <f t="shared" si="0"/>
        <v>2700000</v>
      </c>
      <c r="X52" s="35">
        <v>2</v>
      </c>
      <c r="Y52" s="34">
        <f t="shared" si="1"/>
        <v>54000</v>
      </c>
      <c r="Z52" s="29"/>
      <c r="AA52" s="29" t="s">
        <v>4014</v>
      </c>
      <c r="AB52" s="29">
        <v>1141071764</v>
      </c>
      <c r="AC52" s="49">
        <v>45637</v>
      </c>
      <c r="AD52" s="29" t="s">
        <v>3160</v>
      </c>
      <c r="AE52" s="29">
        <v>0</v>
      </c>
      <c r="AG52" t="s">
        <v>449</v>
      </c>
      <c r="AI52" s="54">
        <v>54000</v>
      </c>
      <c r="AJ52" s="54">
        <v>0</v>
      </c>
      <c r="AK52" s="54">
        <v>2700000</v>
      </c>
      <c r="AL52" s="51">
        <v>0</v>
      </c>
      <c r="AM52" t="s">
        <v>135</v>
      </c>
      <c r="AN52" t="s">
        <v>4249</v>
      </c>
    </row>
    <row r="53" spans="1:40" ht="11.25" customHeight="1" x14ac:dyDescent="0.2">
      <c r="A53" s="29" t="s">
        <v>3004</v>
      </c>
      <c r="B53" s="29" t="s">
        <v>4061</v>
      </c>
      <c r="C53" s="40">
        <v>45597</v>
      </c>
      <c r="D53" s="39" t="s">
        <v>3720</v>
      </c>
      <c r="E53" s="29" t="s">
        <v>458</v>
      </c>
      <c r="F53" s="32">
        <v>45601</v>
      </c>
      <c r="G53" s="32">
        <v>45965</v>
      </c>
      <c r="H53" s="47" t="s">
        <v>4170</v>
      </c>
      <c r="I53" s="31">
        <v>3510374790251</v>
      </c>
      <c r="J53" s="47" t="s">
        <v>4203</v>
      </c>
      <c r="K53" s="29"/>
      <c r="L53" s="29" t="s">
        <v>461</v>
      </c>
      <c r="M53" s="29" t="s">
        <v>462</v>
      </c>
      <c r="N53" s="29" t="s">
        <v>4061</v>
      </c>
      <c r="O53" s="48" t="s">
        <v>4013</v>
      </c>
      <c r="P53" s="29" t="s">
        <v>3154</v>
      </c>
      <c r="Q53" s="29" t="s">
        <v>4110</v>
      </c>
      <c r="R53" s="32">
        <v>45602</v>
      </c>
      <c r="S53" s="32">
        <v>46696</v>
      </c>
      <c r="T53" s="33">
        <v>2331000</v>
      </c>
      <c r="U53" s="29"/>
      <c r="V53" s="29"/>
      <c r="W53" s="34">
        <f t="shared" si="0"/>
        <v>2331000</v>
      </c>
      <c r="X53" s="35">
        <v>2</v>
      </c>
      <c r="Y53" s="34">
        <f t="shared" si="1"/>
        <v>46620</v>
      </c>
      <c r="Z53" s="29"/>
      <c r="AA53" s="29" t="s">
        <v>4014</v>
      </c>
      <c r="AB53" s="29">
        <v>1141071764</v>
      </c>
      <c r="AC53" s="49">
        <v>45637</v>
      </c>
      <c r="AD53" s="29" t="s">
        <v>3160</v>
      </c>
      <c r="AE53" s="29">
        <v>0</v>
      </c>
      <c r="AG53" t="s">
        <v>458</v>
      </c>
      <c r="AI53" s="54">
        <v>46620</v>
      </c>
      <c r="AJ53" s="54">
        <v>0</v>
      </c>
      <c r="AK53" s="54">
        <v>2331000</v>
      </c>
      <c r="AL53" s="51">
        <v>0</v>
      </c>
      <c r="AM53" t="s">
        <v>135</v>
      </c>
      <c r="AN53" t="s">
        <v>4249</v>
      </c>
    </row>
    <row r="54" spans="1:40" ht="11.25" customHeight="1" x14ac:dyDescent="0.2">
      <c r="A54" s="29" t="s">
        <v>3004</v>
      </c>
      <c r="B54" s="29" t="s">
        <v>4028</v>
      </c>
      <c r="C54" s="40">
        <v>45597</v>
      </c>
      <c r="D54" s="39" t="s">
        <v>3720</v>
      </c>
      <c r="E54" s="29" t="s">
        <v>466</v>
      </c>
      <c r="F54" s="32">
        <v>45607</v>
      </c>
      <c r="G54" s="32">
        <v>45971</v>
      </c>
      <c r="H54" s="47" t="s">
        <v>4171</v>
      </c>
      <c r="I54" s="31">
        <v>1310113537215</v>
      </c>
      <c r="J54" s="47" t="s">
        <v>4204</v>
      </c>
      <c r="K54" s="29"/>
      <c r="L54" s="29" t="s">
        <v>469</v>
      </c>
      <c r="M54" s="29" t="s">
        <v>470</v>
      </c>
      <c r="N54" s="29" t="s">
        <v>4028</v>
      </c>
      <c r="O54" s="48" t="s">
        <v>3167</v>
      </c>
      <c r="P54" s="29" t="s">
        <v>4111</v>
      </c>
      <c r="Q54" s="29" t="s">
        <v>4112</v>
      </c>
      <c r="R54" s="32">
        <v>45615</v>
      </c>
      <c r="S54" s="32">
        <v>47457</v>
      </c>
      <c r="T54" s="33">
        <v>1940000</v>
      </c>
      <c r="U54" s="29"/>
      <c r="V54" s="29"/>
      <c r="W54" s="34">
        <f t="shared" si="0"/>
        <v>1940000</v>
      </c>
      <c r="X54" s="35">
        <v>2</v>
      </c>
      <c r="Y54" s="34">
        <f t="shared" si="1"/>
        <v>38800</v>
      </c>
      <c r="Z54" s="29"/>
      <c r="AA54" s="29" t="s">
        <v>4014</v>
      </c>
      <c r="AB54" s="29">
        <v>1141071764</v>
      </c>
      <c r="AC54" s="49">
        <v>45637</v>
      </c>
      <c r="AD54" s="29" t="s">
        <v>3160</v>
      </c>
      <c r="AE54" s="29">
        <v>0</v>
      </c>
      <c r="AG54" t="s">
        <v>466</v>
      </c>
      <c r="AI54" s="54">
        <v>38800</v>
      </c>
      <c r="AJ54" s="54">
        <v>0</v>
      </c>
      <c r="AK54" s="54">
        <v>1940000</v>
      </c>
      <c r="AL54" s="51">
        <v>0</v>
      </c>
      <c r="AM54" t="s">
        <v>135</v>
      </c>
      <c r="AN54" t="s">
        <v>4249</v>
      </c>
    </row>
    <row r="55" spans="1:40" ht="11.25" customHeight="1" x14ac:dyDescent="0.2">
      <c r="A55" s="29" t="s">
        <v>3004</v>
      </c>
      <c r="B55" s="29" t="s">
        <v>4022</v>
      </c>
      <c r="C55" s="40">
        <v>45597</v>
      </c>
      <c r="D55" s="39" t="s">
        <v>3720</v>
      </c>
      <c r="E55" s="29" t="s">
        <v>474</v>
      </c>
      <c r="F55" s="32">
        <v>45607</v>
      </c>
      <c r="G55" s="32">
        <v>45971</v>
      </c>
      <c r="H55" s="47" t="s">
        <v>4172</v>
      </c>
      <c r="I55" s="44" t="s">
        <v>4131</v>
      </c>
      <c r="J55" s="47" t="s">
        <v>4183</v>
      </c>
      <c r="K55" s="29" t="s">
        <v>476</v>
      </c>
      <c r="L55" s="29" t="s">
        <v>477</v>
      </c>
      <c r="M55" s="29" t="s">
        <v>478</v>
      </c>
      <c r="N55" s="29" t="s">
        <v>4022</v>
      </c>
      <c r="O55" s="48" t="s">
        <v>4013</v>
      </c>
      <c r="P55" s="29" t="s">
        <v>3172</v>
      </c>
      <c r="Q55" s="29" t="s">
        <v>4113</v>
      </c>
      <c r="R55" s="32">
        <v>45610</v>
      </c>
      <c r="S55" s="32">
        <v>46696</v>
      </c>
      <c r="T55" s="33">
        <v>5000000</v>
      </c>
      <c r="U55" s="29"/>
      <c r="V55" s="29"/>
      <c r="W55" s="34">
        <f t="shared" si="0"/>
        <v>5000000</v>
      </c>
      <c r="X55" s="35">
        <v>1.5</v>
      </c>
      <c r="Y55" s="34">
        <f t="shared" si="1"/>
        <v>75000</v>
      </c>
      <c r="Z55" s="29"/>
      <c r="AA55" s="29" t="s">
        <v>4014</v>
      </c>
      <c r="AB55" s="29">
        <v>1141071764</v>
      </c>
      <c r="AC55" s="49">
        <v>45637</v>
      </c>
      <c r="AD55" s="29" t="s">
        <v>3160</v>
      </c>
      <c r="AE55" s="29">
        <v>0</v>
      </c>
      <c r="AG55" t="s">
        <v>474</v>
      </c>
      <c r="AI55" s="54">
        <v>75000</v>
      </c>
      <c r="AJ55" s="54">
        <v>0</v>
      </c>
      <c r="AK55" s="54">
        <v>5000000</v>
      </c>
      <c r="AL55" s="51">
        <v>0</v>
      </c>
      <c r="AM55" t="s">
        <v>135</v>
      </c>
      <c r="AN55" t="s">
        <v>4249</v>
      </c>
    </row>
    <row r="56" spans="1:40" ht="11.25" customHeight="1" x14ac:dyDescent="0.2">
      <c r="A56" s="29" t="s">
        <v>3004</v>
      </c>
      <c r="B56" s="29" t="s">
        <v>4062</v>
      </c>
      <c r="C56" s="40">
        <v>45597</v>
      </c>
      <c r="D56" s="39" t="s">
        <v>3720</v>
      </c>
      <c r="E56" s="29" t="s">
        <v>482</v>
      </c>
      <c r="F56" s="32">
        <v>45610</v>
      </c>
      <c r="G56" s="32">
        <v>45974</v>
      </c>
      <c r="H56" s="47" t="s">
        <v>4173</v>
      </c>
      <c r="I56" s="31">
        <v>3520116115887</v>
      </c>
      <c r="J56" s="47" t="s">
        <v>4205</v>
      </c>
      <c r="K56" s="29" t="s">
        <v>484</v>
      </c>
      <c r="L56" s="29" t="s">
        <v>485</v>
      </c>
      <c r="M56" s="29" t="s">
        <v>486</v>
      </c>
      <c r="N56" s="29" t="s">
        <v>4062</v>
      </c>
      <c r="O56" s="48" t="s">
        <v>4013</v>
      </c>
      <c r="P56" s="29" t="s">
        <v>3154</v>
      </c>
      <c r="Q56" s="29" t="s">
        <v>4114</v>
      </c>
      <c r="R56" s="32">
        <v>45614</v>
      </c>
      <c r="S56" s="32">
        <v>46727</v>
      </c>
      <c r="T56" s="33">
        <v>4270000</v>
      </c>
      <c r="U56" s="29"/>
      <c r="V56" s="29"/>
      <c r="W56" s="34">
        <f t="shared" si="0"/>
        <v>4270000</v>
      </c>
      <c r="X56" s="35">
        <v>1.5</v>
      </c>
      <c r="Y56" s="34">
        <f t="shared" si="1"/>
        <v>64050</v>
      </c>
      <c r="Z56" s="29"/>
      <c r="AA56" s="29" t="s">
        <v>4014</v>
      </c>
      <c r="AB56" s="29">
        <v>1141071764</v>
      </c>
      <c r="AC56" s="49">
        <v>45637</v>
      </c>
      <c r="AD56" s="29" t="s">
        <v>3160</v>
      </c>
      <c r="AE56" s="29">
        <v>0</v>
      </c>
      <c r="AG56" t="s">
        <v>482</v>
      </c>
      <c r="AI56" s="54">
        <v>64050</v>
      </c>
      <c r="AJ56" s="54">
        <v>0</v>
      </c>
      <c r="AK56" s="54">
        <v>4270000</v>
      </c>
      <c r="AL56" s="51">
        <v>0</v>
      </c>
      <c r="AM56" t="s">
        <v>135</v>
      </c>
      <c r="AN56">
        <v>0</v>
      </c>
    </row>
    <row r="57" spans="1:40" ht="11.25" customHeight="1" x14ac:dyDescent="0.2">
      <c r="A57" s="29" t="s">
        <v>3004</v>
      </c>
      <c r="B57" s="29" t="s">
        <v>4063</v>
      </c>
      <c r="C57" s="40">
        <v>45597</v>
      </c>
      <c r="D57" s="39" t="s">
        <v>3720</v>
      </c>
      <c r="E57" s="29" t="s">
        <v>490</v>
      </c>
      <c r="F57" s="32">
        <v>45610</v>
      </c>
      <c r="G57" s="32">
        <v>45974</v>
      </c>
      <c r="H57" s="47" t="s">
        <v>4174</v>
      </c>
      <c r="I57" s="31">
        <v>3310090334649</v>
      </c>
      <c r="J57" s="47" t="s">
        <v>4206</v>
      </c>
      <c r="K57" s="29" t="s">
        <v>494</v>
      </c>
      <c r="L57" s="29" t="s">
        <v>495</v>
      </c>
      <c r="M57" s="29" t="s">
        <v>496</v>
      </c>
      <c r="N57" s="29" t="s">
        <v>4063</v>
      </c>
      <c r="O57" s="48" t="s">
        <v>4013</v>
      </c>
      <c r="P57" s="29" t="s">
        <v>3172</v>
      </c>
      <c r="Q57" s="29" t="s">
        <v>4115</v>
      </c>
      <c r="R57" s="32">
        <v>45615</v>
      </c>
      <c r="S57" s="32">
        <v>46727</v>
      </c>
      <c r="T57" s="33">
        <v>1425000</v>
      </c>
      <c r="U57" s="29"/>
      <c r="V57" s="29"/>
      <c r="W57" s="34">
        <f t="shared" si="0"/>
        <v>1425000</v>
      </c>
      <c r="X57" s="35">
        <v>2</v>
      </c>
      <c r="Y57" s="45">
        <f t="shared" si="1"/>
        <v>28500</v>
      </c>
      <c r="Z57" s="29"/>
      <c r="AA57" s="29" t="s">
        <v>4014</v>
      </c>
      <c r="AB57" s="29">
        <v>1141071764</v>
      </c>
      <c r="AC57" s="49">
        <v>45637</v>
      </c>
      <c r="AD57" s="29" t="s">
        <v>3160</v>
      </c>
      <c r="AE57" s="29">
        <v>0</v>
      </c>
      <c r="AG57" t="s">
        <v>490</v>
      </c>
      <c r="AI57" s="54">
        <v>28500</v>
      </c>
      <c r="AJ57" s="54">
        <v>0</v>
      </c>
      <c r="AK57" s="54">
        <v>1425000</v>
      </c>
      <c r="AL57" s="51">
        <v>0</v>
      </c>
      <c r="AM57" t="s">
        <v>135</v>
      </c>
      <c r="AN57" t="s">
        <v>4249</v>
      </c>
    </row>
    <row r="58" spans="1:40" ht="13.5" hidden="1" thickBot="1" x14ac:dyDescent="0.25">
      <c r="Y58" s="46">
        <f>SUM(Y17:Y57)</f>
        <v>2532134.85</v>
      </c>
    </row>
    <row r="59" spans="1:40" ht="15.75" x14ac:dyDescent="0.2">
      <c r="AG59" s="56"/>
      <c r="AH59" s="56"/>
      <c r="AI59" s="57">
        <f>SUBTOTAL(9,AI2:AI58)</f>
        <v>2794760</v>
      </c>
      <c r="AJ59" s="55"/>
      <c r="AK59" s="55"/>
    </row>
  </sheetData>
  <autoFilter ref="A1:AN58" xr:uid="{00000000-0001-0000-0400-000000000000}">
    <filterColumn colId="26">
      <customFilters>
        <customFilter operator="notEqual" val=" "/>
      </customFilters>
    </filterColumn>
  </autoFilter>
  <sortState xmlns:xlrd2="http://schemas.microsoft.com/office/spreadsheetml/2017/richdata2" ref="A2:AE16">
    <sortCondition ref="Z2:Z1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531D-3619-4CA5-9EBC-1990CD3014DB}">
  <dimension ref="A1:H49"/>
  <sheetViews>
    <sheetView topLeftCell="A44" workbookViewId="0">
      <selection activeCell="H2" sqref="H2:H46"/>
    </sheetView>
  </sheetViews>
  <sheetFormatPr defaultRowHeight="12.75" x14ac:dyDescent="0.2"/>
  <cols>
    <col min="1" max="1" width="41.140625" bestFit="1" customWidth="1"/>
    <col min="2" max="2" width="13.5703125" bestFit="1" customWidth="1"/>
    <col min="3" max="3" width="12.85546875" bestFit="1" customWidth="1"/>
    <col min="4" max="4" width="9.5703125" bestFit="1" customWidth="1"/>
    <col min="5" max="5" width="13.7109375" bestFit="1" customWidth="1"/>
    <col min="6" max="6" width="99.28515625" customWidth="1"/>
    <col min="7" max="7" width="90.140625" customWidth="1"/>
    <col min="8" max="8" width="80.7109375" customWidth="1"/>
  </cols>
  <sheetData>
    <row r="1" spans="1:8" ht="15" x14ac:dyDescent="0.25">
      <c r="A1" s="65" t="s">
        <v>4376</v>
      </c>
      <c r="B1" s="63" t="s">
        <v>4377</v>
      </c>
      <c r="C1" s="63"/>
      <c r="D1" s="66" t="s">
        <v>4378</v>
      </c>
      <c r="E1" s="71" t="s">
        <v>4380</v>
      </c>
      <c r="F1" s="63"/>
      <c r="G1" s="63"/>
      <c r="H1" s="63"/>
    </row>
    <row r="2" spans="1:8" ht="90.75" customHeight="1" x14ac:dyDescent="0.2">
      <c r="A2" t="s">
        <v>2566</v>
      </c>
      <c r="B2" t="str">
        <f>VLOOKUP(A2,policy!B:C,2,0)</f>
        <v>070000157155</v>
      </c>
      <c r="C2" s="59">
        <v>82000</v>
      </c>
      <c r="D2" s="67">
        <f>ROUND(C2,0)</f>
        <v>82000</v>
      </c>
      <c r="E2" s="71" t="s">
        <v>4380</v>
      </c>
      <c r="F2" s="68" t="str">
        <f t="shared" ref="F2:F46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69" t="str">
        <f>"('"&amp;E2&amp;"','"&amp;B2&amp;"','"&amp;D2&amp;"',(select max(to_number(i.premium_rcv_detail_code))+1
from ins_premium_det i),'"&amp;D2&amp;"','"&amp;D2&amp;"','02', '11000003','00','Request by Mr. Saqib Saleem 23-Dec-2024 Fresh');"</f>
        <v>('23Dec240041','070000157155','82000',(select max(to_number(i.premium_rcv_detail_code))+1
from ins_premium_det i),'82000','82000','02', '11000003','00','Request by Mr. Saqib Saleem 23-Dec-2024 Fresh');</v>
      </c>
      <c r="H2" s="70" t="str">
        <f>F2&amp;G2</f>
        <v>insert into ins_premium_det (premium_rcv_code,assorted_code, rec_amount,premium_rcv_detail_code,remaining_amt, payrec, mode_code,coinsurance_code,class_cd,it_remarks) values('23Dec240041','070000157155','82000',(select max(to_number(i.premium_rcv_detail_code))+1
from ins_premium_det i),'82000','82000','02', '11000003','00','Request by Mr. Saqib Saleem 23-Dec-2024 Fresh');</v>
      </c>
    </row>
    <row r="3" spans="1:8" ht="89.25" x14ac:dyDescent="0.2">
      <c r="A3" t="s">
        <v>4279</v>
      </c>
      <c r="B3" t="str">
        <f>VLOOKUP(A3,policy!B:C,2,0)</f>
        <v>070000156968</v>
      </c>
      <c r="C3" s="59">
        <v>80625</v>
      </c>
      <c r="D3" s="67">
        <f t="shared" ref="D3:D46" si="1">ROUND(C3,0)</f>
        <v>80625</v>
      </c>
      <c r="E3" s="71" t="s">
        <v>4380</v>
      </c>
      <c r="F3" s="68" t="str">
        <f t="shared" si="0"/>
        <v>insert into ins_premium_det (premium_rcv_code,assorted_code, rec_amount,premium_rcv_detail_code,remaining_amt, payrec, mode_code,coinsurance_code,class_cd,it_remarks) values</v>
      </c>
      <c r="G3" s="69" t="str">
        <f t="shared" ref="G3:G49" si="2">"('"&amp;E3&amp;"','"&amp;B3&amp;"','"&amp;D3&amp;"',(select max(to_number(i.premium_rcv_detail_code))+1
from ins_premium_det i),'"&amp;D3&amp;"','"&amp;D3&amp;"','02', '11000003','00','Request by Mr. Saqib Saleem 23-Dec-2024 Fresh');"</f>
        <v>('23Dec240041','070000156968','80625',(select max(to_number(i.premium_rcv_detail_code))+1
from ins_premium_det i),'80625','80625','02', '11000003','00','Request by Mr. Saqib Saleem 23-Dec-2024 Fresh');</v>
      </c>
      <c r="H3" s="70" t="str">
        <f t="shared" ref="H3:H46" si="3">F3&amp;G3</f>
        <v>insert into ins_premium_det (premium_rcv_code,assorted_code, rec_amount,premium_rcv_detail_code,remaining_amt, payrec, mode_code,coinsurance_code,class_cd,it_remarks) values('23Dec240041','070000156968','80625',(select max(to_number(i.premium_rcv_detail_code))+1
from ins_premium_det i),'80625','80625','02', '11000003','00','Request by Mr. Saqib Saleem 23-Dec-2024 Fresh');</v>
      </c>
    </row>
    <row r="4" spans="1:8" ht="89.25" x14ac:dyDescent="0.2">
      <c r="A4" t="s">
        <v>144</v>
      </c>
      <c r="B4" t="str">
        <f>VLOOKUP(A4,policy!B:C,2,0)</f>
        <v>070000169839</v>
      </c>
      <c r="C4" s="54">
        <v>43000</v>
      </c>
      <c r="D4" s="67">
        <f t="shared" si="1"/>
        <v>43000</v>
      </c>
      <c r="E4" s="71" t="s">
        <v>4380</v>
      </c>
      <c r="F4" s="68" t="str">
        <f t="shared" si="0"/>
        <v>insert into ins_premium_det (premium_rcv_code,assorted_code, rec_amount,premium_rcv_detail_code,remaining_amt, payrec, mode_code,coinsurance_code,class_cd,it_remarks) values</v>
      </c>
      <c r="G4" s="69" t="str">
        <f t="shared" si="2"/>
        <v>('23Dec240041','070000169839','43000',(select max(to_number(i.premium_rcv_detail_code))+1
from ins_premium_det i),'43000','43000','02', '11000003','00','Request by Mr. Saqib Saleem 23-Dec-2024 Fresh');</v>
      </c>
      <c r="H4" s="70" t="str">
        <f t="shared" si="3"/>
        <v>insert into ins_premium_det (premium_rcv_code,assorted_code, rec_amount,premium_rcv_detail_code,remaining_amt, payrec, mode_code,coinsurance_code,class_cd,it_remarks) values('23Dec240041','070000169839','43000',(select max(to_number(i.premium_rcv_detail_code))+1
from ins_premium_det i),'43000','43000','02', '11000003','00','Request by Mr. Saqib Saleem 23-Dec-2024 Fresh');</v>
      </c>
    </row>
    <row r="5" spans="1:8" ht="89.25" x14ac:dyDescent="0.2">
      <c r="A5" t="s">
        <v>308</v>
      </c>
      <c r="B5" t="str">
        <f>VLOOKUP(A5,policy!B:C,2,0)</f>
        <v>070000169498</v>
      </c>
      <c r="C5" s="54">
        <v>57000</v>
      </c>
      <c r="D5" s="67">
        <f t="shared" si="1"/>
        <v>57000</v>
      </c>
      <c r="E5" s="71" t="s">
        <v>4380</v>
      </c>
      <c r="F5" s="68" t="str">
        <f t="shared" si="0"/>
        <v>insert into ins_premium_det (premium_rcv_code,assorted_code, rec_amount,premium_rcv_detail_code,remaining_amt, payrec, mode_code,coinsurance_code,class_cd,it_remarks) values</v>
      </c>
      <c r="G5" s="69" t="str">
        <f t="shared" si="2"/>
        <v>('23Dec240041','070000169498','57000',(select max(to_number(i.premium_rcv_detail_code))+1
from ins_premium_det i),'57000','57000','02', '11000003','00','Request by Mr. Saqib Saleem 23-Dec-2024 Fresh');</v>
      </c>
      <c r="H5" s="70" t="str">
        <f t="shared" si="3"/>
        <v>insert into ins_premium_det (premium_rcv_code,assorted_code, rec_amount,premium_rcv_detail_code,remaining_amt, payrec, mode_code,coinsurance_code,class_cd,it_remarks) values('23Dec240041','070000169498','57000',(select max(to_number(i.premium_rcv_detail_code))+1
from ins_premium_det i),'57000','57000','02', '11000003','00','Request by Mr. Saqib Saleem 23-Dec-2024 Fresh');</v>
      </c>
    </row>
    <row r="6" spans="1:8" ht="89.25" x14ac:dyDescent="0.2">
      <c r="A6" t="s">
        <v>126</v>
      </c>
      <c r="B6" t="str">
        <f>VLOOKUP(A6,policy!B:C,2,0)</f>
        <v>070000169487</v>
      </c>
      <c r="C6" s="54">
        <v>68190</v>
      </c>
      <c r="D6" s="67">
        <f t="shared" si="1"/>
        <v>68190</v>
      </c>
      <c r="E6" s="71" t="s">
        <v>4380</v>
      </c>
      <c r="F6" s="68" t="str">
        <f t="shared" si="0"/>
        <v>insert into ins_premium_det (premium_rcv_code,assorted_code, rec_amount,premium_rcv_detail_code,remaining_amt, payrec, mode_code,coinsurance_code,class_cd,it_remarks) values</v>
      </c>
      <c r="G6" s="69" t="str">
        <f t="shared" si="2"/>
        <v>('23Dec240041','070000169487','68190',(select max(to_number(i.premium_rcv_detail_code))+1
from ins_premium_det i),'68190','68190','02', '11000003','00','Request by Mr. Saqib Saleem 23-Dec-2024 Fresh');</v>
      </c>
      <c r="H6" s="70" t="str">
        <f t="shared" si="3"/>
        <v>insert into ins_premium_det (premium_rcv_code,assorted_code, rec_amount,premium_rcv_detail_code,remaining_amt, payrec, mode_code,coinsurance_code,class_cd,it_remarks) values('23Dec240041','070000169487','68190',(select max(to_number(i.premium_rcv_detail_code))+1
from ins_premium_det i),'68190','68190','02', '11000003','00','Request by Mr. Saqib Saleem 23-Dec-2024 Fresh');</v>
      </c>
    </row>
    <row r="7" spans="1:8" ht="89.25" x14ac:dyDescent="0.2">
      <c r="A7" t="s">
        <v>136</v>
      </c>
      <c r="B7" t="str">
        <f>VLOOKUP(A7,policy!B:C,2,0)</f>
        <v>070000169838</v>
      </c>
      <c r="C7" s="54">
        <v>28600</v>
      </c>
      <c r="D7" s="67">
        <f t="shared" si="1"/>
        <v>28600</v>
      </c>
      <c r="E7" s="71" t="s">
        <v>4380</v>
      </c>
      <c r="F7" s="68" t="str">
        <f t="shared" si="0"/>
        <v>insert into ins_premium_det (premium_rcv_code,assorted_code, rec_amount,premium_rcv_detail_code,remaining_amt, payrec, mode_code,coinsurance_code,class_cd,it_remarks) values</v>
      </c>
      <c r="G7" s="69" t="str">
        <f t="shared" si="2"/>
        <v>('23Dec240041','070000169838','28600',(select max(to_number(i.premium_rcv_detail_code))+1
from ins_premium_det i),'28600','28600','02', '11000003','00','Request by Mr. Saqib Saleem 23-Dec-2024 Fresh');</v>
      </c>
      <c r="H7" s="70" t="str">
        <f t="shared" si="3"/>
        <v>insert into ins_premium_det (premium_rcv_code,assorted_code, rec_amount,premium_rcv_detail_code,remaining_amt, payrec, mode_code,coinsurance_code,class_cd,it_remarks) values('23Dec240041','070000169838','28600',(select max(to_number(i.premium_rcv_detail_code))+1
from ins_premium_det i),'28600','28600','02', '11000003','00','Request by Mr. Saqib Saleem 23-Dec-2024 Fresh');</v>
      </c>
    </row>
    <row r="8" spans="1:8" ht="89.25" x14ac:dyDescent="0.2">
      <c r="A8" t="s">
        <v>153</v>
      </c>
      <c r="B8" t="str">
        <f>VLOOKUP(A8,policy!B:C,2,0)</f>
        <v>070000169918</v>
      </c>
      <c r="C8" s="54">
        <v>44000</v>
      </c>
      <c r="D8" s="67">
        <f t="shared" si="1"/>
        <v>44000</v>
      </c>
      <c r="E8" s="71" t="s">
        <v>4380</v>
      </c>
      <c r="F8" s="68" t="str">
        <f t="shared" si="0"/>
        <v>insert into ins_premium_det (premium_rcv_code,assorted_code, rec_amount,premium_rcv_detail_code,remaining_amt, payrec, mode_code,coinsurance_code,class_cd,it_remarks) values</v>
      </c>
      <c r="G8" s="69" t="str">
        <f t="shared" si="2"/>
        <v>('23Dec240041','070000169918','44000',(select max(to_number(i.premium_rcv_detail_code))+1
from ins_premium_det i),'44000','44000','02', '11000003','00','Request by Mr. Saqib Saleem 23-Dec-2024 Fresh');</v>
      </c>
      <c r="H8" s="70" t="str">
        <f t="shared" si="3"/>
        <v>insert into ins_premium_det (premium_rcv_code,assorted_code, rec_amount,premium_rcv_detail_code,remaining_amt, payrec, mode_code,coinsurance_code,class_cd,it_remarks) values('23Dec240041','070000169918','44000',(select max(to_number(i.premium_rcv_detail_code))+1
from ins_premium_det i),'44000','44000','02', '11000003','00','Request by Mr. Saqib Saleem 23-Dec-2024 Fresh');</v>
      </c>
    </row>
    <row r="9" spans="1:8" ht="89.25" x14ac:dyDescent="0.2">
      <c r="A9" t="s">
        <v>163</v>
      </c>
      <c r="B9" t="str">
        <f>VLOOKUP(A9,policy!B:C,2,0)</f>
        <v>070000169922</v>
      </c>
      <c r="C9" s="54">
        <v>47000</v>
      </c>
      <c r="D9" s="67">
        <f t="shared" si="1"/>
        <v>47000</v>
      </c>
      <c r="E9" s="71" t="s">
        <v>4380</v>
      </c>
      <c r="F9" s="68" t="str">
        <f t="shared" si="0"/>
        <v>insert into ins_premium_det (premium_rcv_code,assorted_code, rec_amount,premium_rcv_detail_code,remaining_amt, payrec, mode_code,coinsurance_code,class_cd,it_remarks) values</v>
      </c>
      <c r="G9" s="69" t="str">
        <f t="shared" si="2"/>
        <v>('23Dec240041','070000169922','47000',(select max(to_number(i.premium_rcv_detail_code))+1
from ins_premium_det i),'47000','47000','02', '11000003','00','Request by Mr. Saqib Saleem 23-Dec-2024 Fresh');</v>
      </c>
      <c r="H9" s="70" t="str">
        <f t="shared" si="3"/>
        <v>insert into ins_premium_det (premium_rcv_code,assorted_code, rec_amount,premium_rcv_detail_code,remaining_amt, payrec, mode_code,coinsurance_code,class_cd,it_remarks) values('23Dec240041','070000169922','47000',(select max(to_number(i.premium_rcv_detail_code))+1
from ins_premium_det i),'47000','47000','02', '11000003','00','Request by Mr. Saqib Saleem 23-Dec-2024 Fresh');</v>
      </c>
    </row>
    <row r="10" spans="1:8" ht="89.25" x14ac:dyDescent="0.2">
      <c r="A10" t="s">
        <v>171</v>
      </c>
      <c r="B10" t="str">
        <f>VLOOKUP(A10,policy!B:C,2,0)</f>
        <v>070000169926</v>
      </c>
      <c r="C10" s="54">
        <v>63000</v>
      </c>
      <c r="D10" s="67">
        <f t="shared" si="1"/>
        <v>63000</v>
      </c>
      <c r="E10" s="71" t="s">
        <v>4380</v>
      </c>
      <c r="F10" s="68" t="str">
        <f t="shared" si="0"/>
        <v>insert into ins_premium_det (premium_rcv_code,assorted_code, rec_amount,premium_rcv_detail_code,remaining_amt, payrec, mode_code,coinsurance_code,class_cd,it_remarks) values</v>
      </c>
      <c r="G10" s="69" t="str">
        <f t="shared" si="2"/>
        <v>('23Dec240041','070000169926','63000',(select max(to_number(i.premium_rcv_detail_code))+1
from ins_premium_det i),'63000','63000','02', '11000003','00','Request by Mr. Saqib Saleem 23-Dec-2024 Fresh');</v>
      </c>
      <c r="H10" s="70" t="str">
        <f t="shared" si="3"/>
        <v>insert into ins_premium_det (premium_rcv_code,assorted_code, rec_amount,premium_rcv_detail_code,remaining_amt, payrec, mode_code,coinsurance_code,class_cd,it_remarks) values('23Dec240041','070000169926','63000',(select max(to_number(i.premium_rcv_detail_code))+1
from ins_premium_det i),'63000','63000','02', '11000003','00','Request by Mr. Saqib Saleem 23-Dec-2024 Fresh');</v>
      </c>
    </row>
    <row r="11" spans="1:8" ht="89.25" x14ac:dyDescent="0.2">
      <c r="A11" t="s">
        <v>181</v>
      </c>
      <c r="B11" t="str">
        <f>VLOOKUP(A11,policy!B:C,2,0)</f>
        <v>070000169927</v>
      </c>
      <c r="C11" s="54">
        <v>44000</v>
      </c>
      <c r="D11" s="67">
        <f t="shared" si="1"/>
        <v>44000</v>
      </c>
      <c r="E11" s="71" t="s">
        <v>4380</v>
      </c>
      <c r="F11" s="68" t="str">
        <f t="shared" si="0"/>
        <v>insert into ins_premium_det (premium_rcv_code,assorted_code, rec_amount,premium_rcv_detail_code,remaining_amt, payrec, mode_code,coinsurance_code,class_cd,it_remarks) values</v>
      </c>
      <c r="G11" s="69" t="str">
        <f t="shared" si="2"/>
        <v>('23Dec240041','070000169927','44000',(select max(to_number(i.premium_rcv_detail_code))+1
from ins_premium_det i),'44000','44000','02', '11000003','00','Request by Mr. Saqib Saleem 23-Dec-2024 Fresh');</v>
      </c>
      <c r="H11" s="70" t="str">
        <f t="shared" si="3"/>
        <v>insert into ins_premium_det (premium_rcv_code,assorted_code, rec_amount,premium_rcv_detail_code,remaining_amt, payrec, mode_code,coinsurance_code,class_cd,it_remarks) values('23Dec240041','070000169927','44000',(select max(to_number(i.premium_rcv_detail_code))+1
from ins_premium_det i),'44000','44000','02', '11000003','00','Request by Mr. Saqib Saleem 23-Dec-2024 Fresh');</v>
      </c>
    </row>
    <row r="12" spans="1:8" ht="89.25" x14ac:dyDescent="0.2">
      <c r="A12" t="s">
        <v>189</v>
      </c>
      <c r="B12" t="str">
        <f>VLOOKUP(A12,policy!B:C,2,0)</f>
        <v>070000170261</v>
      </c>
      <c r="C12" s="54">
        <v>44000</v>
      </c>
      <c r="D12" s="67">
        <f t="shared" si="1"/>
        <v>44000</v>
      </c>
      <c r="E12" s="71" t="s">
        <v>4380</v>
      </c>
      <c r="F12" s="68" t="str">
        <f t="shared" si="0"/>
        <v>insert into ins_premium_det (premium_rcv_code,assorted_code, rec_amount,premium_rcv_detail_code,remaining_amt, payrec, mode_code,coinsurance_code,class_cd,it_remarks) values</v>
      </c>
      <c r="G12" s="69" t="str">
        <f t="shared" si="2"/>
        <v>('23Dec240041','070000170261','44000',(select max(to_number(i.premium_rcv_detail_code))+1
from ins_premium_det i),'44000','44000','02', '11000003','00','Request by Mr. Saqib Saleem 23-Dec-2024 Fresh');</v>
      </c>
      <c r="H12" s="70" t="str">
        <f t="shared" si="3"/>
        <v>insert into ins_premium_det (premium_rcv_code,assorted_code, rec_amount,premium_rcv_detail_code,remaining_amt, payrec, mode_code,coinsurance_code,class_cd,it_remarks) values('23Dec240041','070000170261','44000',(select max(to_number(i.premium_rcv_detail_code))+1
from ins_premium_det i),'44000','44000','02', '11000003','00','Request by Mr. Saqib Saleem 23-Dec-2024 Fresh');</v>
      </c>
    </row>
    <row r="13" spans="1:8" ht="89.25" x14ac:dyDescent="0.2">
      <c r="A13" t="s">
        <v>198</v>
      </c>
      <c r="B13" t="str">
        <f>VLOOKUP(A13,policy!B:C,2,0)</f>
        <v>070000170548</v>
      </c>
      <c r="C13" s="54">
        <v>76770</v>
      </c>
      <c r="D13" s="67">
        <f t="shared" si="1"/>
        <v>76770</v>
      </c>
      <c r="E13" s="71" t="s">
        <v>4380</v>
      </c>
      <c r="F13" s="68" t="str">
        <f t="shared" si="0"/>
        <v>insert into ins_premium_det (premium_rcv_code,assorted_code, rec_amount,premium_rcv_detail_code,remaining_amt, payrec, mode_code,coinsurance_code,class_cd,it_remarks) values</v>
      </c>
      <c r="G13" s="69" t="str">
        <f t="shared" si="2"/>
        <v>('23Dec240041','070000170548','76770',(select max(to_number(i.premium_rcv_detail_code))+1
from ins_premium_det i),'76770','76770','02', '11000003','00','Request by Mr. Saqib Saleem 23-Dec-2024 Fresh');</v>
      </c>
      <c r="H13" s="70" t="str">
        <f t="shared" si="3"/>
        <v>insert into ins_premium_det (premium_rcv_code,assorted_code, rec_amount,premium_rcv_detail_code,remaining_amt, payrec, mode_code,coinsurance_code,class_cd,it_remarks) values('23Dec240041','070000170548','76770',(select max(to_number(i.premium_rcv_detail_code))+1
from ins_premium_det i),'76770','76770','02', '11000003','00','Request by Mr. Saqib Saleem 23-Dec-2024 Fresh');</v>
      </c>
    </row>
    <row r="14" spans="1:8" ht="89.25" x14ac:dyDescent="0.2">
      <c r="A14" t="s">
        <v>205</v>
      </c>
      <c r="B14" t="str">
        <f>VLOOKUP(A14,policy!B:C,2,0)</f>
        <v>070000170556</v>
      </c>
      <c r="C14" s="54">
        <v>121485</v>
      </c>
      <c r="D14" s="67">
        <f t="shared" si="1"/>
        <v>121485</v>
      </c>
      <c r="E14" s="71" t="s">
        <v>4380</v>
      </c>
      <c r="F14" s="68" t="str">
        <f t="shared" si="0"/>
        <v>insert into ins_premium_det (premium_rcv_code,assorted_code, rec_amount,premium_rcv_detail_code,remaining_amt, payrec, mode_code,coinsurance_code,class_cd,it_remarks) values</v>
      </c>
      <c r="G14" s="69" t="str">
        <f t="shared" si="2"/>
        <v>('23Dec240041','070000170556','121485',(select max(to_number(i.premium_rcv_detail_code))+1
from ins_premium_det i),'121485','121485','02', '11000003','00','Request by Mr. Saqib Saleem 23-Dec-2024 Fresh');</v>
      </c>
      <c r="H14" s="70" t="str">
        <f t="shared" si="3"/>
        <v>insert into ins_premium_det (premium_rcv_code,assorted_code, rec_amount,premium_rcv_detail_code,remaining_amt, payrec, mode_code,coinsurance_code,class_cd,it_remarks) values('23Dec240041','070000170556','121485',(select max(to_number(i.premium_rcv_detail_code))+1
from ins_premium_det i),'121485','121485','02', '11000003','00','Request by Mr. Saqib Saleem 23-Dec-2024 Fresh');</v>
      </c>
    </row>
    <row r="15" spans="1:8" ht="89.25" x14ac:dyDescent="0.2">
      <c r="A15" t="s">
        <v>212</v>
      </c>
      <c r="B15" t="str">
        <f>VLOOKUP(A15,policy!B:C,2,0)</f>
        <v>070000170562</v>
      </c>
      <c r="C15" s="54">
        <v>67500</v>
      </c>
      <c r="D15" s="67">
        <f t="shared" si="1"/>
        <v>67500</v>
      </c>
      <c r="E15" s="71" t="s">
        <v>4380</v>
      </c>
      <c r="F15" s="68" t="str">
        <f t="shared" si="0"/>
        <v>insert into ins_premium_det (premium_rcv_code,assorted_code, rec_amount,premium_rcv_detail_code,remaining_amt, payrec, mode_code,coinsurance_code,class_cd,it_remarks) values</v>
      </c>
      <c r="G15" s="69" t="str">
        <f t="shared" si="2"/>
        <v>('23Dec240041','070000170562','67500',(select max(to_number(i.premium_rcv_detail_code))+1
from ins_premium_det i),'67500','67500','02', '11000003','00','Request by Mr. Saqib Saleem 23-Dec-2024 Fresh');</v>
      </c>
      <c r="H15" s="70" t="str">
        <f t="shared" si="3"/>
        <v>insert into ins_premium_det (premium_rcv_code,assorted_code, rec_amount,premium_rcv_detail_code,remaining_amt, payrec, mode_code,coinsurance_code,class_cd,it_remarks) values('23Dec240041','070000170562','67500',(select max(to_number(i.premium_rcv_detail_code))+1
from ins_premium_det i),'67500','67500','02', '11000003','00','Request by Mr. Saqib Saleem 23-Dec-2024 Fresh');</v>
      </c>
    </row>
    <row r="16" spans="1:8" ht="89.25" x14ac:dyDescent="0.2">
      <c r="A16" t="s">
        <v>220</v>
      </c>
      <c r="B16" t="str">
        <f>VLOOKUP(A16,policy!B:C,2,0)</f>
        <v>070000169497</v>
      </c>
      <c r="C16" s="54">
        <v>60000</v>
      </c>
      <c r="D16" s="67">
        <f t="shared" si="1"/>
        <v>60000</v>
      </c>
      <c r="E16" s="71" t="s">
        <v>4380</v>
      </c>
      <c r="F16" s="68" t="str">
        <f t="shared" si="0"/>
        <v>insert into ins_premium_det (premium_rcv_code,assorted_code, rec_amount,premium_rcv_detail_code,remaining_amt, payrec, mode_code,coinsurance_code,class_cd,it_remarks) values</v>
      </c>
      <c r="G16" s="69" t="str">
        <f t="shared" si="2"/>
        <v>('23Dec240041','070000169497','60000',(select max(to_number(i.premium_rcv_detail_code))+1
from ins_premium_det i),'60000','60000','02', '11000003','00','Request by Mr. Saqib Saleem 23-Dec-2024 Fresh');</v>
      </c>
      <c r="H16" s="70" t="str">
        <f t="shared" si="3"/>
        <v>insert into ins_premium_det (premium_rcv_code,assorted_code, rec_amount,premium_rcv_detail_code,remaining_amt, payrec, mode_code,coinsurance_code,class_cd,it_remarks) values('23Dec240041','070000169497','60000',(select max(to_number(i.premium_rcv_detail_code))+1
from ins_premium_det i),'60000','60000','02', '11000003','00','Request by Mr. Saqib Saleem 23-Dec-2024 Fresh');</v>
      </c>
    </row>
    <row r="17" spans="1:8" ht="89.25" x14ac:dyDescent="0.2">
      <c r="A17" t="s">
        <v>229</v>
      </c>
      <c r="B17" t="str">
        <f>VLOOKUP(A17,policy!B:C,2,0)</f>
        <v>070000170563</v>
      </c>
      <c r="C17" s="54">
        <v>60900</v>
      </c>
      <c r="D17" s="67">
        <f t="shared" si="1"/>
        <v>60900</v>
      </c>
      <c r="E17" s="71" t="s">
        <v>4380</v>
      </c>
      <c r="F17" s="68" t="str">
        <f t="shared" si="0"/>
        <v>insert into ins_premium_det (premium_rcv_code,assorted_code, rec_amount,premium_rcv_detail_code,remaining_amt, payrec, mode_code,coinsurance_code,class_cd,it_remarks) values</v>
      </c>
      <c r="G17" s="69" t="str">
        <f t="shared" si="2"/>
        <v>('23Dec240041','070000170563','60900',(select max(to_number(i.premium_rcv_detail_code))+1
from ins_premium_det i),'60900','60900','02', '11000003','00','Request by Mr. Saqib Saleem 23-Dec-2024 Fresh');</v>
      </c>
      <c r="H17" s="70" t="str">
        <f t="shared" si="3"/>
        <v>insert into ins_premium_det (premium_rcv_code,assorted_code, rec_amount,premium_rcv_detail_code,remaining_amt, payrec, mode_code,coinsurance_code,class_cd,it_remarks) values('23Dec240041','070000170563','60900',(select max(to_number(i.premium_rcv_detail_code))+1
from ins_premium_det i),'60900','60900','02', '11000003','00','Request by Mr. Saqib Saleem 23-Dec-2024 Fresh');</v>
      </c>
    </row>
    <row r="18" spans="1:8" ht="89.25" x14ac:dyDescent="0.2">
      <c r="A18" t="s">
        <v>237</v>
      </c>
      <c r="B18" t="str">
        <f>VLOOKUP(A18,policy!B:C,2,0)</f>
        <v>070000171273</v>
      </c>
      <c r="C18" s="61">
        <v>66000</v>
      </c>
      <c r="D18" s="67">
        <f t="shared" si="1"/>
        <v>66000</v>
      </c>
      <c r="E18" s="71" t="s">
        <v>4380</v>
      </c>
      <c r="F18" s="68" t="str">
        <f t="shared" si="0"/>
        <v>insert into ins_premium_det (premium_rcv_code,assorted_code, rec_amount,premium_rcv_detail_code,remaining_amt, payrec, mode_code,coinsurance_code,class_cd,it_remarks) values</v>
      </c>
      <c r="G18" s="69" t="str">
        <f t="shared" si="2"/>
        <v>('23Dec240041','070000171273','66000',(select max(to_number(i.premium_rcv_detail_code))+1
from ins_premium_det i),'66000','66000','02', '11000003','00','Request by Mr. Saqib Saleem 23-Dec-2024 Fresh');</v>
      </c>
      <c r="H18" s="70" t="str">
        <f t="shared" si="3"/>
        <v>insert into ins_premium_det (premium_rcv_code,assorted_code, rec_amount,premium_rcv_detail_code,remaining_amt, payrec, mode_code,coinsurance_code,class_cd,it_remarks) values('23Dec240041','070000171273','66000',(select max(to_number(i.premium_rcv_detail_code))+1
from ins_premium_det i),'66000','66000','02', '11000003','00','Request by Mr. Saqib Saleem 23-Dec-2024 Fresh');</v>
      </c>
    </row>
    <row r="19" spans="1:8" ht="89.25" x14ac:dyDescent="0.2">
      <c r="A19" t="s">
        <v>249</v>
      </c>
      <c r="B19" t="str">
        <f>VLOOKUP(A19,policy!B:C,2,0)</f>
        <v>070000171296</v>
      </c>
      <c r="C19" s="54">
        <v>44000</v>
      </c>
      <c r="D19" s="67">
        <f t="shared" si="1"/>
        <v>44000</v>
      </c>
      <c r="E19" s="71" t="s">
        <v>4380</v>
      </c>
      <c r="F19" s="68" t="str">
        <f t="shared" si="0"/>
        <v>insert into ins_premium_det (premium_rcv_code,assorted_code, rec_amount,premium_rcv_detail_code,remaining_amt, payrec, mode_code,coinsurance_code,class_cd,it_remarks) values</v>
      </c>
      <c r="G19" s="69" t="str">
        <f t="shared" si="2"/>
        <v>('23Dec240041','070000171296','44000',(select max(to_number(i.premium_rcv_detail_code))+1
from ins_premium_det i),'44000','44000','02', '11000003','00','Request by Mr. Saqib Saleem 23-Dec-2024 Fresh');</v>
      </c>
      <c r="H19" s="70" t="str">
        <f t="shared" si="3"/>
        <v>insert into ins_premium_det (premium_rcv_code,assorted_code, rec_amount,premium_rcv_detail_code,remaining_amt, payrec, mode_code,coinsurance_code,class_cd,it_remarks) values('23Dec240041','070000171296','44000',(select max(to_number(i.premium_rcv_detail_code))+1
from ins_premium_det i),'44000','44000','02', '11000003','00','Request by Mr. Saqib Saleem 23-Dec-2024 Fresh');</v>
      </c>
    </row>
    <row r="20" spans="1:8" ht="89.25" x14ac:dyDescent="0.2">
      <c r="A20" t="s">
        <v>257</v>
      </c>
      <c r="B20" t="str">
        <f>VLOOKUP(A20,policy!B:C,2,0)</f>
        <v>070000171310</v>
      </c>
      <c r="C20" s="54">
        <v>51600</v>
      </c>
      <c r="D20" s="67">
        <f t="shared" si="1"/>
        <v>51600</v>
      </c>
      <c r="E20" s="71" t="s">
        <v>4380</v>
      </c>
      <c r="F20" s="68" t="str">
        <f t="shared" si="0"/>
        <v>insert into ins_premium_det (premium_rcv_code,assorted_code, rec_amount,premium_rcv_detail_code,remaining_amt, payrec, mode_code,coinsurance_code,class_cd,it_remarks) values</v>
      </c>
      <c r="G20" s="69" t="str">
        <f t="shared" si="2"/>
        <v>('23Dec240041','070000171310','51600',(select max(to_number(i.premium_rcv_detail_code))+1
from ins_premium_det i),'51600','51600','02', '11000003','00','Request by Mr. Saqib Saleem 23-Dec-2024 Fresh');</v>
      </c>
      <c r="H20" s="70" t="str">
        <f t="shared" si="3"/>
        <v>insert into ins_premium_det (premium_rcv_code,assorted_code, rec_amount,premium_rcv_detail_code,remaining_amt, payrec, mode_code,coinsurance_code,class_cd,it_remarks) values('23Dec240041','070000171310','51600',(select max(to_number(i.premium_rcv_detail_code))+1
from ins_premium_det i),'51600','51600','02', '11000003','00','Request by Mr. Saqib Saleem 23-Dec-2024 Fresh');</v>
      </c>
    </row>
    <row r="21" spans="1:8" ht="89.25" x14ac:dyDescent="0.2">
      <c r="A21" t="s">
        <v>265</v>
      </c>
      <c r="B21" t="str">
        <f>VLOOKUP(A21,policy!B:C,2,0)</f>
        <v>070000171313</v>
      </c>
      <c r="C21" s="54">
        <v>60900</v>
      </c>
      <c r="D21" s="67">
        <f t="shared" si="1"/>
        <v>60900</v>
      </c>
      <c r="E21" s="71" t="s">
        <v>4380</v>
      </c>
      <c r="F21" s="68" t="str">
        <f t="shared" si="0"/>
        <v>insert into ins_premium_det (premium_rcv_code,assorted_code, rec_amount,premium_rcv_detail_code,remaining_amt, payrec, mode_code,coinsurance_code,class_cd,it_remarks) values</v>
      </c>
      <c r="G21" s="69" t="str">
        <f t="shared" si="2"/>
        <v>('23Dec240041','070000171313','60900',(select max(to_number(i.premium_rcv_detail_code))+1
from ins_premium_det i),'60900','60900','02', '11000003','00','Request by Mr. Saqib Saleem 23-Dec-2024 Fresh');</v>
      </c>
      <c r="H21" s="70" t="str">
        <f t="shared" si="3"/>
        <v>insert into ins_premium_det (premium_rcv_code,assorted_code, rec_amount,premium_rcv_detail_code,remaining_amt, payrec, mode_code,coinsurance_code,class_cd,it_remarks) values('23Dec240041','070000171313','60900',(select max(to_number(i.premium_rcv_detail_code))+1
from ins_premium_det i),'60900','60900','02', '11000003','00','Request by Mr. Saqib Saleem 23-Dec-2024 Fresh');</v>
      </c>
    </row>
    <row r="22" spans="1:8" ht="89.25" x14ac:dyDescent="0.2">
      <c r="A22" t="s">
        <v>273</v>
      </c>
      <c r="B22" t="str">
        <f>VLOOKUP(A22,policy!B:C,2,0)</f>
        <v>070000171323</v>
      </c>
      <c r="C22" s="54">
        <v>138615</v>
      </c>
      <c r="D22" s="67">
        <f t="shared" si="1"/>
        <v>138615</v>
      </c>
      <c r="E22" s="71" t="s">
        <v>4380</v>
      </c>
      <c r="F22" s="68" t="str">
        <f t="shared" si="0"/>
        <v>insert into ins_premium_det (premium_rcv_code,assorted_code, rec_amount,premium_rcv_detail_code,remaining_amt, payrec, mode_code,coinsurance_code,class_cd,it_remarks) values</v>
      </c>
      <c r="G22" s="69" t="str">
        <f t="shared" si="2"/>
        <v>('23Dec240041','070000171323','138615',(select max(to_number(i.premium_rcv_detail_code))+1
from ins_premium_det i),'138615','138615','02', '11000003','00','Request by Mr. Saqib Saleem 23-Dec-2024 Fresh');</v>
      </c>
      <c r="H22" s="70" t="str">
        <f t="shared" si="3"/>
        <v>insert into ins_premium_det (premium_rcv_code,assorted_code, rec_amount,premium_rcv_detail_code,remaining_amt, payrec, mode_code,coinsurance_code,class_cd,it_remarks) values('23Dec240041','070000171323','138615',(select max(to_number(i.premium_rcv_detail_code))+1
from ins_premium_det i),'138615','138615','02', '11000003','00','Request by Mr. Saqib Saleem 23-Dec-2024 Fresh');</v>
      </c>
    </row>
    <row r="23" spans="1:8" ht="89.25" x14ac:dyDescent="0.2">
      <c r="A23" t="s">
        <v>281</v>
      </c>
      <c r="B23" t="str">
        <f>VLOOKUP(A23,policy!B:C,2,0)</f>
        <v>070000171348</v>
      </c>
      <c r="C23" s="54">
        <v>64500</v>
      </c>
      <c r="D23" s="67">
        <f t="shared" si="1"/>
        <v>64500</v>
      </c>
      <c r="E23" s="71" t="s">
        <v>4380</v>
      </c>
      <c r="F23" s="68" t="str">
        <f t="shared" si="0"/>
        <v>insert into ins_premium_det (premium_rcv_code,assorted_code, rec_amount,premium_rcv_detail_code,remaining_amt, payrec, mode_code,coinsurance_code,class_cd,it_remarks) values</v>
      </c>
      <c r="G23" s="69" t="str">
        <f t="shared" si="2"/>
        <v>('23Dec240041','070000171348','64500',(select max(to_number(i.premium_rcv_detail_code))+1
from ins_premium_det i),'64500','64500','02', '11000003','00','Request by Mr. Saqib Saleem 23-Dec-2024 Fresh');</v>
      </c>
      <c r="H23" s="70" t="str">
        <f t="shared" si="3"/>
        <v>insert into ins_premium_det (premium_rcv_code,assorted_code, rec_amount,premium_rcv_detail_code,remaining_amt, payrec, mode_code,coinsurance_code,class_cd,it_remarks) values('23Dec240041','070000171348','64500',(select max(to_number(i.premium_rcv_detail_code))+1
from ins_premium_det i),'64500','64500','02', '11000003','00','Request by Mr. Saqib Saleem 23-Dec-2024 Fresh');</v>
      </c>
    </row>
    <row r="24" spans="1:8" ht="89.25" x14ac:dyDescent="0.2">
      <c r="A24" t="s">
        <v>290</v>
      </c>
      <c r="B24" t="str">
        <f>VLOOKUP(A24,policy!B:C,2,0)</f>
        <v>070000171362</v>
      </c>
      <c r="C24" s="54">
        <v>47000</v>
      </c>
      <c r="D24" s="67">
        <f t="shared" si="1"/>
        <v>47000</v>
      </c>
      <c r="E24" s="71" t="s">
        <v>4380</v>
      </c>
      <c r="F24" s="68" t="str">
        <f t="shared" si="0"/>
        <v>insert into ins_premium_det (premium_rcv_code,assorted_code, rec_amount,premium_rcv_detail_code,remaining_amt, payrec, mode_code,coinsurance_code,class_cd,it_remarks) values</v>
      </c>
      <c r="G24" s="69" t="str">
        <f t="shared" si="2"/>
        <v>('23Dec240041','070000171362','47000',(select max(to_number(i.premium_rcv_detail_code))+1
from ins_premium_det i),'47000','47000','02', '11000003','00','Request by Mr. Saqib Saleem 23-Dec-2024 Fresh');</v>
      </c>
      <c r="H24" s="70" t="str">
        <f t="shared" si="3"/>
        <v>insert into ins_premium_det (premium_rcv_code,assorted_code, rec_amount,premium_rcv_detail_code,remaining_amt, payrec, mode_code,coinsurance_code,class_cd,it_remarks) values('23Dec240041','070000171362','47000',(select max(to_number(i.premium_rcv_detail_code))+1
from ins_premium_det i),'47000','47000','02', '11000003','00','Request by Mr. Saqib Saleem 23-Dec-2024 Fresh');</v>
      </c>
    </row>
    <row r="25" spans="1:8" ht="89.25" x14ac:dyDescent="0.2">
      <c r="A25" t="s">
        <v>299</v>
      </c>
      <c r="B25" t="str">
        <f>VLOOKUP(A25,policy!B:C,2,0)</f>
        <v>070000171377</v>
      </c>
      <c r="C25" s="54">
        <v>52000</v>
      </c>
      <c r="D25" s="67">
        <f t="shared" si="1"/>
        <v>52000</v>
      </c>
      <c r="E25" s="71" t="s">
        <v>4380</v>
      </c>
      <c r="F25" s="68" t="str">
        <f t="shared" si="0"/>
        <v>insert into ins_premium_det (premium_rcv_code,assorted_code, rec_amount,premium_rcv_detail_code,remaining_amt, payrec, mode_code,coinsurance_code,class_cd,it_remarks) values</v>
      </c>
      <c r="G25" s="69" t="str">
        <f t="shared" si="2"/>
        <v>('23Dec240041','070000171377','52000',(select max(to_number(i.premium_rcv_detail_code))+1
from ins_premium_det i),'52000','52000','02', '11000003','00','Request by Mr. Saqib Saleem 23-Dec-2024 Fresh');</v>
      </c>
      <c r="H25" s="70" t="str">
        <f t="shared" si="3"/>
        <v>insert into ins_premium_det (premium_rcv_code,assorted_code, rec_amount,premium_rcv_detail_code,remaining_amt, payrec, mode_code,coinsurance_code,class_cd,it_remarks) values('23Dec240041','070000171377','52000',(select max(to_number(i.premium_rcv_detail_code))+1
from ins_premium_det i),'52000','52000','02', '11000003','00','Request by Mr. Saqib Saleem 23-Dec-2024 Fresh');</v>
      </c>
    </row>
    <row r="26" spans="1:8" ht="89.25" x14ac:dyDescent="0.2">
      <c r="A26" t="s">
        <v>317</v>
      </c>
      <c r="B26" t="str">
        <f>VLOOKUP(A26,policy!B:C,2,0)</f>
        <v>070000171381</v>
      </c>
      <c r="C26" s="54">
        <v>54140</v>
      </c>
      <c r="D26" s="67">
        <f t="shared" si="1"/>
        <v>54140</v>
      </c>
      <c r="E26" s="71" t="s">
        <v>4380</v>
      </c>
      <c r="F26" s="68" t="str">
        <f t="shared" si="0"/>
        <v>insert into ins_premium_det (premium_rcv_code,assorted_code, rec_amount,premium_rcv_detail_code,remaining_amt, payrec, mode_code,coinsurance_code,class_cd,it_remarks) values</v>
      </c>
      <c r="G26" s="69" t="str">
        <f t="shared" si="2"/>
        <v>('23Dec240041','070000171381','54140',(select max(to_number(i.premium_rcv_detail_code))+1
from ins_premium_det i),'54140','54140','02', '11000003','00','Request by Mr. Saqib Saleem 23-Dec-2024 Fresh');</v>
      </c>
      <c r="H26" s="70" t="str">
        <f t="shared" si="3"/>
        <v>insert into ins_premium_det (premium_rcv_code,assorted_code, rec_amount,premium_rcv_detail_code,remaining_amt, payrec, mode_code,coinsurance_code,class_cd,it_remarks) values('23Dec240041','070000171381','54140',(select max(to_number(i.premium_rcv_detail_code))+1
from ins_premium_det i),'54140','54140','02', '11000003','00','Request by Mr. Saqib Saleem 23-Dec-2024 Fresh');</v>
      </c>
    </row>
    <row r="27" spans="1:8" ht="89.25" x14ac:dyDescent="0.2">
      <c r="A27" t="s">
        <v>324</v>
      </c>
      <c r="B27" t="str">
        <f>VLOOKUP(A27,policy!B:C,2,0)</f>
        <v>070000171424</v>
      </c>
      <c r="C27" s="54">
        <v>56985</v>
      </c>
      <c r="D27" s="67">
        <f t="shared" si="1"/>
        <v>56985</v>
      </c>
      <c r="E27" s="71" t="s">
        <v>4380</v>
      </c>
      <c r="F27" s="68" t="str">
        <f t="shared" si="0"/>
        <v>insert into ins_premium_det (premium_rcv_code,assorted_code, rec_amount,premium_rcv_detail_code,remaining_amt, payrec, mode_code,coinsurance_code,class_cd,it_remarks) values</v>
      </c>
      <c r="G27" s="69" t="str">
        <f t="shared" si="2"/>
        <v>('23Dec240041','070000171424','56985',(select max(to_number(i.premium_rcv_detail_code))+1
from ins_premium_det i),'56985','56985','02', '11000003','00','Request by Mr. Saqib Saleem 23-Dec-2024 Fresh');</v>
      </c>
      <c r="H27" s="70" t="str">
        <f t="shared" si="3"/>
        <v>insert into ins_premium_det (premium_rcv_code,assorted_code, rec_amount,premium_rcv_detail_code,remaining_amt, payrec, mode_code,coinsurance_code,class_cd,it_remarks) values('23Dec240041','070000171424','56985',(select max(to_number(i.premium_rcv_detail_code))+1
from ins_premium_det i),'56985','56985','02', '11000003','00','Request by Mr. Saqib Saleem 23-Dec-2024 Fresh');</v>
      </c>
    </row>
    <row r="28" spans="1:8" ht="89.25" x14ac:dyDescent="0.2">
      <c r="A28" t="s">
        <v>331</v>
      </c>
      <c r="B28" t="str">
        <f>VLOOKUP(A28,policy!B:C,2,0)</f>
        <v>070000171436</v>
      </c>
      <c r="C28" s="54">
        <v>150000</v>
      </c>
      <c r="D28" s="67">
        <f t="shared" si="1"/>
        <v>150000</v>
      </c>
      <c r="E28" s="71" t="s">
        <v>4380</v>
      </c>
      <c r="F28" s="68" t="str">
        <f t="shared" si="0"/>
        <v>insert into ins_premium_det (premium_rcv_code,assorted_code, rec_amount,premium_rcv_detail_code,remaining_amt, payrec, mode_code,coinsurance_code,class_cd,it_remarks) values</v>
      </c>
      <c r="G28" s="69" t="str">
        <f t="shared" si="2"/>
        <v>('23Dec240041','070000171436','150000',(select max(to_number(i.premium_rcv_detail_code))+1
from ins_premium_det i),'150000','150000','02', '11000003','00','Request by Mr. Saqib Saleem 23-Dec-2024 Fresh');</v>
      </c>
      <c r="H28" s="70" t="str">
        <f t="shared" si="3"/>
        <v>insert into ins_premium_det (premium_rcv_code,assorted_code, rec_amount,premium_rcv_detail_code,remaining_amt, payrec, mode_code,coinsurance_code,class_cd,it_remarks) values('23Dec240041','070000171436','150000',(select max(to_number(i.premium_rcv_detail_code))+1
from ins_premium_det i),'150000','150000','02', '11000003','00','Request by Mr. Saqib Saleem 23-Dec-2024 Fresh');</v>
      </c>
    </row>
    <row r="29" spans="1:8" ht="89.25" x14ac:dyDescent="0.2">
      <c r="A29" t="s">
        <v>340</v>
      </c>
      <c r="B29" t="str">
        <f>VLOOKUP(A29,policy!B:C,2,0)</f>
        <v>070000171438</v>
      </c>
      <c r="C29" s="54">
        <v>55500</v>
      </c>
      <c r="D29" s="67">
        <f t="shared" si="1"/>
        <v>55500</v>
      </c>
      <c r="E29" s="71" t="s">
        <v>4380</v>
      </c>
      <c r="F29" s="68" t="str">
        <f t="shared" si="0"/>
        <v>insert into ins_premium_det (premium_rcv_code,assorted_code, rec_amount,premium_rcv_detail_code,remaining_amt, payrec, mode_code,coinsurance_code,class_cd,it_remarks) values</v>
      </c>
      <c r="G29" s="69" t="str">
        <f t="shared" si="2"/>
        <v>('23Dec240041','070000171438','55500',(select max(to_number(i.premium_rcv_detail_code))+1
from ins_premium_det i),'55500','55500','02', '11000003','00','Request by Mr. Saqib Saleem 23-Dec-2024 Fresh');</v>
      </c>
      <c r="H29" s="70" t="str">
        <f t="shared" si="3"/>
        <v>insert into ins_premium_det (premium_rcv_code,assorted_code, rec_amount,premium_rcv_detail_code,remaining_amt, payrec, mode_code,coinsurance_code,class_cd,it_remarks) values('23Dec240041','070000171438','55500',(select max(to_number(i.premium_rcv_detail_code))+1
from ins_premium_det i),'55500','55500','02', '11000003','00','Request by Mr. Saqib Saleem 23-Dec-2024 Fresh');</v>
      </c>
    </row>
    <row r="30" spans="1:8" ht="89.25" x14ac:dyDescent="0.2">
      <c r="A30" t="s">
        <v>349</v>
      </c>
      <c r="B30" t="str">
        <f>VLOOKUP(A30,policy!B:C,2,0)</f>
        <v>070000171456</v>
      </c>
      <c r="C30" s="54">
        <v>97500</v>
      </c>
      <c r="D30" s="67">
        <f t="shared" si="1"/>
        <v>97500</v>
      </c>
      <c r="E30" s="71" t="s">
        <v>4380</v>
      </c>
      <c r="F30" s="68" t="str">
        <f t="shared" si="0"/>
        <v>insert into ins_premium_det (premium_rcv_code,assorted_code, rec_amount,premium_rcv_detail_code,remaining_amt, payrec, mode_code,coinsurance_code,class_cd,it_remarks) values</v>
      </c>
      <c r="G30" s="69" t="str">
        <f t="shared" si="2"/>
        <v>('23Dec240041','070000171456','97500',(select max(to_number(i.premium_rcv_detail_code))+1
from ins_premium_det i),'97500','97500','02', '11000003','00','Request by Mr. Saqib Saleem 23-Dec-2024 Fresh');</v>
      </c>
      <c r="H30" s="70" t="str">
        <f t="shared" si="3"/>
        <v>insert into ins_premium_det (premium_rcv_code,assorted_code, rec_amount,premium_rcv_detail_code,remaining_amt, payrec, mode_code,coinsurance_code,class_cd,it_remarks) values('23Dec240041','070000171456','97500',(select max(to_number(i.premium_rcv_detail_code))+1
from ins_premium_det i),'97500','97500','02', '11000003','00','Request by Mr. Saqib Saleem 23-Dec-2024 Fresh');</v>
      </c>
    </row>
    <row r="31" spans="1:8" ht="89.25" x14ac:dyDescent="0.2">
      <c r="A31" t="s">
        <v>358</v>
      </c>
      <c r="B31" t="str">
        <f>VLOOKUP(A31,policy!B:C,2,0)</f>
        <v>070000171457</v>
      </c>
      <c r="C31" s="54">
        <v>46000</v>
      </c>
      <c r="D31" s="67">
        <f t="shared" si="1"/>
        <v>46000</v>
      </c>
      <c r="E31" s="71" t="s">
        <v>4380</v>
      </c>
      <c r="F31" s="68" t="str">
        <f t="shared" si="0"/>
        <v>insert into ins_premium_det (premium_rcv_code,assorted_code, rec_amount,premium_rcv_detail_code,remaining_amt, payrec, mode_code,coinsurance_code,class_cd,it_remarks) values</v>
      </c>
      <c r="G31" s="69" t="str">
        <f t="shared" si="2"/>
        <v>('23Dec240041','070000171457','46000',(select max(to_number(i.premium_rcv_detail_code))+1
from ins_premium_det i),'46000','46000','02', '11000003','00','Request by Mr. Saqib Saleem 23-Dec-2024 Fresh');</v>
      </c>
      <c r="H31" s="70" t="str">
        <f t="shared" si="3"/>
        <v>insert into ins_premium_det (premium_rcv_code,assorted_code, rec_amount,premium_rcv_detail_code,remaining_amt, payrec, mode_code,coinsurance_code,class_cd,it_remarks) values('23Dec240041','070000171457','46000',(select max(to_number(i.premium_rcv_detail_code))+1
from ins_premium_det i),'46000','46000','02', '11000003','00','Request by Mr. Saqib Saleem 23-Dec-2024 Fresh');</v>
      </c>
    </row>
    <row r="32" spans="1:8" ht="89.25" x14ac:dyDescent="0.2">
      <c r="A32" t="s">
        <v>366</v>
      </c>
      <c r="B32" t="str">
        <f>VLOOKUP(A32,policy!B:C,2,0)</f>
        <v>070000171458</v>
      </c>
      <c r="C32" s="54">
        <v>40000</v>
      </c>
      <c r="D32" s="67">
        <f t="shared" si="1"/>
        <v>40000</v>
      </c>
      <c r="E32" s="71" t="s">
        <v>4380</v>
      </c>
      <c r="F32" s="68" t="str">
        <f t="shared" si="0"/>
        <v>insert into ins_premium_det (premium_rcv_code,assorted_code, rec_amount,premium_rcv_detail_code,remaining_amt, payrec, mode_code,coinsurance_code,class_cd,it_remarks) values</v>
      </c>
      <c r="G32" s="69" t="str">
        <f t="shared" si="2"/>
        <v>('23Dec240041','070000171458','40000',(select max(to_number(i.premium_rcv_detail_code))+1
from ins_premium_det i),'40000','40000','02', '11000003','00','Request by Mr. Saqib Saleem 23-Dec-2024 Fresh');</v>
      </c>
      <c r="H32" s="70" t="str">
        <f t="shared" si="3"/>
        <v>insert into ins_premium_det (premium_rcv_code,assorted_code, rec_amount,premium_rcv_detail_code,remaining_amt, payrec, mode_code,coinsurance_code,class_cd,it_remarks) values('23Dec240041','070000171458','40000',(select max(to_number(i.premium_rcv_detail_code))+1
from ins_premium_det i),'40000','40000','02', '11000003','00','Request by Mr. Saqib Saleem 23-Dec-2024 Fresh');</v>
      </c>
    </row>
    <row r="33" spans="1:8" ht="89.25" x14ac:dyDescent="0.2">
      <c r="A33" t="s">
        <v>375</v>
      </c>
      <c r="B33" t="str">
        <f>VLOOKUP(A33,policy!B:C,2,0)</f>
        <v>070000171460</v>
      </c>
      <c r="C33" s="54">
        <v>47000</v>
      </c>
      <c r="D33" s="67">
        <f t="shared" si="1"/>
        <v>47000</v>
      </c>
      <c r="E33" s="71" t="s">
        <v>4380</v>
      </c>
      <c r="F33" s="68" t="str">
        <f t="shared" si="0"/>
        <v>insert into ins_premium_det (premium_rcv_code,assorted_code, rec_amount,premium_rcv_detail_code,remaining_amt, payrec, mode_code,coinsurance_code,class_cd,it_remarks) values</v>
      </c>
      <c r="G33" s="69" t="str">
        <f t="shared" si="2"/>
        <v>('23Dec240041','070000171460','47000',(select max(to_number(i.premium_rcv_detail_code))+1
from ins_premium_det i),'47000','47000','02', '11000003','00','Request by Mr. Saqib Saleem 23-Dec-2024 Fresh');</v>
      </c>
      <c r="H33" s="70" t="str">
        <f t="shared" si="3"/>
        <v>insert into ins_premium_det (premium_rcv_code,assorted_code, rec_amount,premium_rcv_detail_code,remaining_amt, payrec, mode_code,coinsurance_code,class_cd,it_remarks) values('23Dec240041','070000171460','47000',(select max(to_number(i.premium_rcv_detail_code))+1
from ins_premium_det i),'47000','47000','02', '11000003','00','Request by Mr. Saqib Saleem 23-Dec-2024 Fresh');</v>
      </c>
    </row>
    <row r="34" spans="1:8" ht="89.25" x14ac:dyDescent="0.2">
      <c r="A34" t="s">
        <v>382</v>
      </c>
      <c r="B34" t="str">
        <f>VLOOKUP(A34,policy!B:C,2,0)</f>
        <v>070000171461</v>
      </c>
      <c r="C34" s="54">
        <v>60900</v>
      </c>
      <c r="D34" s="67">
        <f t="shared" si="1"/>
        <v>60900</v>
      </c>
      <c r="E34" s="71" t="s">
        <v>4380</v>
      </c>
      <c r="F34" s="68" t="str">
        <f t="shared" si="0"/>
        <v>insert into ins_premium_det (premium_rcv_code,assorted_code, rec_amount,premium_rcv_detail_code,remaining_amt, payrec, mode_code,coinsurance_code,class_cd,it_remarks) values</v>
      </c>
      <c r="G34" s="69" t="str">
        <f t="shared" si="2"/>
        <v>('23Dec240041','070000171461','60900',(select max(to_number(i.premium_rcv_detail_code))+1
from ins_premium_det i),'60900','60900','02', '11000003','00','Request by Mr. Saqib Saleem 23-Dec-2024 Fresh');</v>
      </c>
      <c r="H34" s="70" t="str">
        <f t="shared" si="3"/>
        <v>insert into ins_premium_det (premium_rcv_code,assorted_code, rec_amount,premium_rcv_detail_code,remaining_amt, payrec, mode_code,coinsurance_code,class_cd,it_remarks) values('23Dec240041','070000171461','60900',(select max(to_number(i.premium_rcv_detail_code))+1
from ins_premium_det i),'60900','60900','02', '11000003','00','Request by Mr. Saqib Saleem 23-Dec-2024 Fresh');</v>
      </c>
    </row>
    <row r="35" spans="1:8" ht="89.25" x14ac:dyDescent="0.2">
      <c r="A35" t="s">
        <v>389</v>
      </c>
      <c r="B35" t="str">
        <f>VLOOKUP(A35,policy!B:C,2,0)</f>
        <v>070000171462</v>
      </c>
      <c r="C35" s="54">
        <v>57000</v>
      </c>
      <c r="D35" s="67">
        <f t="shared" si="1"/>
        <v>57000</v>
      </c>
      <c r="E35" s="71" t="s">
        <v>4380</v>
      </c>
      <c r="F35" s="68" t="str">
        <f t="shared" si="0"/>
        <v>insert into ins_premium_det (premium_rcv_code,assorted_code, rec_amount,premium_rcv_detail_code,remaining_amt, payrec, mode_code,coinsurance_code,class_cd,it_remarks) values</v>
      </c>
      <c r="G35" s="69" t="str">
        <f t="shared" si="2"/>
        <v>('23Dec240041','070000171462','57000',(select max(to_number(i.premium_rcv_detail_code))+1
from ins_premium_det i),'57000','57000','02', '11000003','00','Request by Mr. Saqib Saleem 23-Dec-2024 Fresh');</v>
      </c>
      <c r="H35" s="70" t="str">
        <f t="shared" si="3"/>
        <v>insert into ins_premium_det (premium_rcv_code,assorted_code, rec_amount,premium_rcv_detail_code,remaining_amt, payrec, mode_code,coinsurance_code,class_cd,it_remarks) values('23Dec240041','070000171462','57000',(select max(to_number(i.premium_rcv_detail_code))+1
from ins_premium_det i),'57000','57000','02', '11000003','00','Request by Mr. Saqib Saleem 23-Dec-2024 Fresh');</v>
      </c>
    </row>
    <row r="36" spans="1:8" ht="89.25" x14ac:dyDescent="0.2">
      <c r="A36" t="s">
        <v>398</v>
      </c>
      <c r="B36" t="str">
        <f>VLOOKUP(A36,policy!B:C,2,0)</f>
        <v>070000169501</v>
      </c>
      <c r="C36" s="54">
        <v>59980</v>
      </c>
      <c r="D36" s="67">
        <f t="shared" si="1"/>
        <v>59980</v>
      </c>
      <c r="E36" s="71" t="s">
        <v>4380</v>
      </c>
      <c r="F36" s="68" t="str">
        <f t="shared" si="0"/>
        <v>insert into ins_premium_det (premium_rcv_code,assorted_code, rec_amount,premium_rcv_detail_code,remaining_amt, payrec, mode_code,coinsurance_code,class_cd,it_remarks) values</v>
      </c>
      <c r="G36" s="69" t="str">
        <f t="shared" si="2"/>
        <v>('23Dec240041','070000169501','59980',(select max(to_number(i.premium_rcv_detail_code))+1
from ins_premium_det i),'59980','59980','02', '11000003','00','Request by Mr. Saqib Saleem 23-Dec-2024 Fresh');</v>
      </c>
      <c r="H36" s="70" t="str">
        <f t="shared" si="3"/>
        <v>insert into ins_premium_det (premium_rcv_code,assorted_code, rec_amount,premium_rcv_detail_code,remaining_amt, payrec, mode_code,coinsurance_code,class_cd,it_remarks) values('23Dec240041','070000169501','59980',(select max(to_number(i.premium_rcv_detail_code))+1
from ins_premium_det i),'59980','59980','02', '11000003','00','Request by Mr. Saqib Saleem 23-Dec-2024 Fresh');</v>
      </c>
    </row>
    <row r="37" spans="1:8" ht="89.25" x14ac:dyDescent="0.2">
      <c r="A37" t="s">
        <v>406</v>
      </c>
      <c r="B37" t="str">
        <f>VLOOKUP(A37,policy!B:C,2,0)</f>
        <v>070000171463</v>
      </c>
      <c r="C37" s="54">
        <v>70500</v>
      </c>
      <c r="D37" s="67">
        <f t="shared" si="1"/>
        <v>70500</v>
      </c>
      <c r="E37" s="71" t="s">
        <v>4380</v>
      </c>
      <c r="F37" s="68" t="str">
        <f t="shared" si="0"/>
        <v>insert into ins_premium_det (premium_rcv_code,assorted_code, rec_amount,premium_rcv_detail_code,remaining_amt, payrec, mode_code,coinsurance_code,class_cd,it_remarks) values</v>
      </c>
      <c r="G37" s="69" t="str">
        <f t="shared" si="2"/>
        <v>('23Dec240041','070000171463','70500',(select max(to_number(i.premium_rcv_detail_code))+1
from ins_premium_det i),'70500','70500','02', '11000003','00','Request by Mr. Saqib Saleem 23-Dec-2024 Fresh');</v>
      </c>
      <c r="H37" s="70" t="str">
        <f t="shared" si="3"/>
        <v>insert into ins_premium_det (premium_rcv_code,assorted_code, rec_amount,premium_rcv_detail_code,remaining_amt, payrec, mode_code,coinsurance_code,class_cd,it_remarks) values('23Dec240041','070000171463','70500',(select max(to_number(i.premium_rcv_detail_code))+1
from ins_premium_det i),'70500','70500','02', '11000003','00','Request by Mr. Saqib Saleem 23-Dec-2024 Fresh');</v>
      </c>
    </row>
    <row r="38" spans="1:8" ht="89.25" x14ac:dyDescent="0.2">
      <c r="A38" t="s">
        <v>415</v>
      </c>
      <c r="B38" t="str">
        <f>VLOOKUP(A38,policy!B:C,2,0)</f>
        <v>070000171464</v>
      </c>
      <c r="C38" s="54">
        <v>54600</v>
      </c>
      <c r="D38" s="67">
        <f t="shared" si="1"/>
        <v>54600</v>
      </c>
      <c r="E38" s="71" t="s">
        <v>4380</v>
      </c>
      <c r="F38" s="68" t="str">
        <f t="shared" si="0"/>
        <v>insert into ins_premium_det (premium_rcv_code,assorted_code, rec_amount,premium_rcv_detail_code,remaining_amt, payrec, mode_code,coinsurance_code,class_cd,it_remarks) values</v>
      </c>
      <c r="G38" s="69" t="str">
        <f t="shared" si="2"/>
        <v>('23Dec240041','070000171464','54600',(select max(to_number(i.premium_rcv_detail_code))+1
from ins_premium_det i),'54600','54600','02', '11000003','00','Request by Mr. Saqib Saleem 23-Dec-2024 Fresh');</v>
      </c>
      <c r="H38" s="70" t="str">
        <f t="shared" si="3"/>
        <v>insert into ins_premium_det (premium_rcv_code,assorted_code, rec_amount,premium_rcv_detail_code,remaining_amt, payrec, mode_code,coinsurance_code,class_cd,it_remarks) values('23Dec240041','070000171464','54600',(select max(to_number(i.premium_rcv_detail_code))+1
from ins_premium_det i),'54600','54600','02', '11000003','00','Request by Mr. Saqib Saleem 23-Dec-2024 Fresh');</v>
      </c>
    </row>
    <row r="39" spans="1:8" ht="89.25" x14ac:dyDescent="0.2">
      <c r="A39" t="s">
        <v>424</v>
      </c>
      <c r="B39" t="str">
        <f>VLOOKUP(A39,policy!B:C,2,0)</f>
        <v>070000171465</v>
      </c>
      <c r="C39" s="54">
        <v>50000</v>
      </c>
      <c r="D39" s="67">
        <f t="shared" si="1"/>
        <v>50000</v>
      </c>
      <c r="E39" s="71" t="s">
        <v>4380</v>
      </c>
      <c r="F39" s="68" t="str">
        <f t="shared" si="0"/>
        <v>insert into ins_premium_det (premium_rcv_code,assorted_code, rec_amount,premium_rcv_detail_code,remaining_amt, payrec, mode_code,coinsurance_code,class_cd,it_remarks) values</v>
      </c>
      <c r="G39" s="69" t="str">
        <f t="shared" si="2"/>
        <v>('23Dec240041','070000171465','50000',(select max(to_number(i.premium_rcv_detail_code))+1
from ins_premium_det i),'50000','50000','02', '11000003','00','Request by Mr. Saqib Saleem 23-Dec-2024 Fresh');</v>
      </c>
      <c r="H39" s="70" t="str">
        <f t="shared" si="3"/>
        <v>insert into ins_premium_det (premium_rcv_code,assorted_code, rec_amount,premium_rcv_detail_code,remaining_amt, payrec, mode_code,coinsurance_code,class_cd,it_remarks) values('23Dec240041','070000171465','50000',(select max(to_number(i.premium_rcv_detail_code))+1
from ins_premium_det i),'50000','50000','02', '11000003','00','Request by Mr. Saqib Saleem 23-Dec-2024 Fresh');</v>
      </c>
    </row>
    <row r="40" spans="1:8" ht="89.25" x14ac:dyDescent="0.2">
      <c r="A40" t="s">
        <v>432</v>
      </c>
      <c r="B40" t="str">
        <f>VLOOKUP(A40,policy!B:C,2,0)</f>
        <v>070000171466</v>
      </c>
      <c r="C40" s="54">
        <v>75000</v>
      </c>
      <c r="D40" s="67">
        <f t="shared" si="1"/>
        <v>75000</v>
      </c>
      <c r="E40" s="71" t="s">
        <v>4380</v>
      </c>
      <c r="F40" s="68" t="str">
        <f t="shared" si="0"/>
        <v>insert into ins_premium_det (premium_rcv_code,assorted_code, rec_amount,premium_rcv_detail_code,remaining_amt, payrec, mode_code,coinsurance_code,class_cd,it_remarks) values</v>
      </c>
      <c r="G40" s="69" t="str">
        <f t="shared" si="2"/>
        <v>('23Dec240041','070000171466','75000',(select max(to_number(i.premium_rcv_detail_code))+1
from ins_premium_det i),'75000','75000','02', '11000003','00','Request by Mr. Saqib Saleem 23-Dec-2024 Fresh');</v>
      </c>
      <c r="H40" s="70" t="str">
        <f t="shared" si="3"/>
        <v>insert into ins_premium_det (premium_rcv_code,assorted_code, rec_amount,premium_rcv_detail_code,remaining_amt, payrec, mode_code,coinsurance_code,class_cd,it_remarks) values('23Dec240041','070000171466','75000',(select max(to_number(i.premium_rcv_detail_code))+1
from ins_premium_det i),'75000','75000','02', '11000003','00','Request by Mr. Saqib Saleem 23-Dec-2024 Fresh');</v>
      </c>
    </row>
    <row r="41" spans="1:8" ht="89.25" x14ac:dyDescent="0.2">
      <c r="A41" t="s">
        <v>449</v>
      </c>
      <c r="B41" t="str">
        <f>VLOOKUP(A41,policy!B:C,2,0)</f>
        <v>070000171468</v>
      </c>
      <c r="C41" s="54">
        <v>54000</v>
      </c>
      <c r="D41" s="67">
        <f t="shared" si="1"/>
        <v>54000</v>
      </c>
      <c r="E41" s="71" t="s">
        <v>4380</v>
      </c>
      <c r="F41" s="68" t="str">
        <f t="shared" si="0"/>
        <v>insert into ins_premium_det (premium_rcv_code,assorted_code, rec_amount,premium_rcv_detail_code,remaining_amt, payrec, mode_code,coinsurance_code,class_cd,it_remarks) values</v>
      </c>
      <c r="G41" s="69" t="str">
        <f t="shared" si="2"/>
        <v>('23Dec240041','070000171468','54000',(select max(to_number(i.premium_rcv_detail_code))+1
from ins_premium_det i),'54000','54000','02', '11000003','00','Request by Mr. Saqib Saleem 23-Dec-2024 Fresh');</v>
      </c>
      <c r="H41" s="70" t="str">
        <f t="shared" si="3"/>
        <v>insert into ins_premium_det (premium_rcv_code,assorted_code, rec_amount,premium_rcv_detail_code,remaining_amt, payrec, mode_code,coinsurance_code,class_cd,it_remarks) values('23Dec240041','070000171468','54000',(select max(to_number(i.premium_rcv_detail_code))+1
from ins_premium_det i),'54000','54000','02', '11000003','00','Request by Mr. Saqib Saleem 23-Dec-2024 Fresh');</v>
      </c>
    </row>
    <row r="42" spans="1:8" ht="89.25" x14ac:dyDescent="0.2">
      <c r="A42" t="s">
        <v>458</v>
      </c>
      <c r="B42" t="str">
        <f>VLOOKUP(A42,policy!B:C,2,0)</f>
        <v>070000169503</v>
      </c>
      <c r="C42" s="54">
        <v>46620</v>
      </c>
      <c r="D42" s="67">
        <f t="shared" si="1"/>
        <v>46620</v>
      </c>
      <c r="E42" s="71" t="s">
        <v>4380</v>
      </c>
      <c r="F42" s="68" t="str">
        <f t="shared" si="0"/>
        <v>insert into ins_premium_det (premium_rcv_code,assorted_code, rec_amount,premium_rcv_detail_code,remaining_amt, payrec, mode_code,coinsurance_code,class_cd,it_remarks) values</v>
      </c>
      <c r="G42" s="69" t="str">
        <f t="shared" si="2"/>
        <v>('23Dec240041','070000169503','46620',(select max(to_number(i.premium_rcv_detail_code))+1
from ins_premium_det i),'46620','46620','02', '11000003','00','Request by Mr. Saqib Saleem 23-Dec-2024 Fresh');</v>
      </c>
      <c r="H42" s="70" t="str">
        <f t="shared" si="3"/>
        <v>insert into ins_premium_det (premium_rcv_code,assorted_code, rec_amount,premium_rcv_detail_code,remaining_amt, payrec, mode_code,coinsurance_code,class_cd,it_remarks) values('23Dec240041','070000169503','46620',(select max(to_number(i.premium_rcv_detail_code))+1
from ins_premium_det i),'46620','46620','02', '11000003','00','Request by Mr. Saqib Saleem 23-Dec-2024 Fresh');</v>
      </c>
    </row>
    <row r="43" spans="1:8" ht="89.25" x14ac:dyDescent="0.2">
      <c r="A43" t="s">
        <v>466</v>
      </c>
      <c r="B43" t="str">
        <f>VLOOKUP(A43,policy!B:C,2,0)</f>
        <v>070000169615</v>
      </c>
      <c r="C43" s="54">
        <v>38800</v>
      </c>
      <c r="D43" s="67">
        <f t="shared" si="1"/>
        <v>38800</v>
      </c>
      <c r="E43" s="71" t="s">
        <v>4380</v>
      </c>
      <c r="F43" s="68" t="str">
        <f t="shared" si="0"/>
        <v>insert into ins_premium_det (premium_rcv_code,assorted_code, rec_amount,premium_rcv_detail_code,remaining_amt, payrec, mode_code,coinsurance_code,class_cd,it_remarks) values</v>
      </c>
      <c r="G43" s="69" t="str">
        <f t="shared" si="2"/>
        <v>('23Dec240041','070000169615','38800',(select max(to_number(i.premium_rcv_detail_code))+1
from ins_premium_det i),'38800','38800','02', '11000003','00','Request by Mr. Saqib Saleem 23-Dec-2024 Fresh');</v>
      </c>
      <c r="H43" s="70" t="str">
        <f t="shared" si="3"/>
        <v>insert into ins_premium_det (premium_rcv_code,assorted_code, rec_amount,premium_rcv_detail_code,remaining_amt, payrec, mode_code,coinsurance_code,class_cd,it_remarks) values('23Dec240041','070000169615','38800',(select max(to_number(i.premium_rcv_detail_code))+1
from ins_premium_det i),'38800','38800','02', '11000003','00','Request by Mr. Saqib Saleem 23-Dec-2024 Fresh');</v>
      </c>
    </row>
    <row r="44" spans="1:8" ht="89.25" x14ac:dyDescent="0.2">
      <c r="A44" t="s">
        <v>474</v>
      </c>
      <c r="B44" t="str">
        <f>VLOOKUP(A44,policy!B:C,2,0)</f>
        <v>070000169634</v>
      </c>
      <c r="C44" s="54">
        <v>75000</v>
      </c>
      <c r="D44" s="67">
        <f t="shared" si="1"/>
        <v>75000</v>
      </c>
      <c r="E44" s="71" t="s">
        <v>4380</v>
      </c>
      <c r="F44" s="68" t="str">
        <f t="shared" si="0"/>
        <v>insert into ins_premium_det (premium_rcv_code,assorted_code, rec_amount,premium_rcv_detail_code,remaining_amt, payrec, mode_code,coinsurance_code,class_cd,it_remarks) values</v>
      </c>
      <c r="G44" s="69" t="str">
        <f t="shared" si="2"/>
        <v>('23Dec240041','070000169634','75000',(select max(to_number(i.premium_rcv_detail_code))+1
from ins_premium_det i),'75000','75000','02', '11000003','00','Request by Mr. Saqib Saleem 23-Dec-2024 Fresh');</v>
      </c>
      <c r="H44" s="70" t="str">
        <f t="shared" si="3"/>
        <v>insert into ins_premium_det (premium_rcv_code,assorted_code, rec_amount,premium_rcv_detail_code,remaining_amt, payrec, mode_code,coinsurance_code,class_cd,it_remarks) values('23Dec240041','070000169634','75000',(select max(to_number(i.premium_rcv_detail_code))+1
from ins_premium_det i),'75000','75000','02', '11000003','00','Request by Mr. Saqib Saleem 23-Dec-2024 Fresh');</v>
      </c>
    </row>
    <row r="45" spans="1:8" ht="89.25" x14ac:dyDescent="0.2">
      <c r="A45" t="s">
        <v>482</v>
      </c>
      <c r="B45" t="str">
        <f>VLOOKUP(A45,policy!B:C,2,0)</f>
        <v>070000169742</v>
      </c>
      <c r="C45" s="54">
        <v>64050</v>
      </c>
      <c r="D45" s="67">
        <f t="shared" si="1"/>
        <v>64050</v>
      </c>
      <c r="E45" s="71" t="s">
        <v>4380</v>
      </c>
      <c r="F45" s="68" t="str">
        <f t="shared" si="0"/>
        <v>insert into ins_premium_det (premium_rcv_code,assorted_code, rec_amount,premium_rcv_detail_code,remaining_amt, payrec, mode_code,coinsurance_code,class_cd,it_remarks) values</v>
      </c>
      <c r="G45" s="69" t="str">
        <f t="shared" si="2"/>
        <v>('23Dec240041','070000169742','64050',(select max(to_number(i.premium_rcv_detail_code))+1
from ins_premium_det i),'64050','64050','02', '11000003','00','Request by Mr. Saqib Saleem 23-Dec-2024 Fresh');</v>
      </c>
      <c r="H45" s="70" t="str">
        <f t="shared" si="3"/>
        <v>insert into ins_premium_det (premium_rcv_code,assorted_code, rec_amount,premium_rcv_detail_code,remaining_amt, payrec, mode_code,coinsurance_code,class_cd,it_remarks) values('23Dec240041','070000169742','64050',(select max(to_number(i.premium_rcv_detail_code))+1
from ins_premium_det i),'64050','64050','02', '11000003','00','Request by Mr. Saqib Saleem 23-Dec-2024 Fresh');</v>
      </c>
    </row>
    <row r="46" spans="1:8" ht="89.25" x14ac:dyDescent="0.2">
      <c r="A46" t="s">
        <v>490</v>
      </c>
      <c r="B46" t="str">
        <f>VLOOKUP(A46,policy!B:C,2,0)</f>
        <v>070000169743</v>
      </c>
      <c r="C46" s="54">
        <v>28500</v>
      </c>
      <c r="D46" s="67">
        <f t="shared" si="1"/>
        <v>28500</v>
      </c>
      <c r="E46" s="71" t="s">
        <v>4380</v>
      </c>
      <c r="F46" s="68" t="str">
        <f t="shared" si="0"/>
        <v>insert into ins_premium_det (premium_rcv_code,assorted_code, rec_amount,premium_rcv_detail_code,remaining_amt, payrec, mode_code,coinsurance_code,class_cd,it_remarks) values</v>
      </c>
      <c r="G46" s="69" t="str">
        <f t="shared" si="2"/>
        <v>('23Dec240041','070000169743','28500',(select max(to_number(i.premium_rcv_detail_code))+1
from ins_premium_det i),'28500','28500','02', '11000003','00','Request by Mr. Saqib Saleem 23-Dec-2024 Fresh');</v>
      </c>
      <c r="H46" s="70" t="str">
        <f t="shared" si="3"/>
        <v>insert into ins_premium_det (premium_rcv_code,assorted_code, rec_amount,premium_rcv_detail_code,remaining_amt, payrec, mode_code,coinsurance_code,class_cd,it_remarks) values('23Dec240041','070000169743','28500',(select max(to_number(i.premium_rcv_detail_code))+1
from ins_premium_det i),'28500','28500','02', '11000003','00','Request by Mr. Saqib Saleem 23-Dec-2024 Fresh');</v>
      </c>
    </row>
    <row r="47" spans="1:8" x14ac:dyDescent="0.2">
      <c r="C47" s="59">
        <f>SUM(C2:C46)</f>
        <v>2794760</v>
      </c>
      <c r="D47" s="59">
        <f>SUM(D2:D46)</f>
        <v>2794760</v>
      </c>
      <c r="G47" s="72" t="s">
        <v>4379</v>
      </c>
    </row>
    <row r="48" spans="1:8" x14ac:dyDescent="0.2">
      <c r="C48" s="54">
        <v>66000</v>
      </c>
      <c r="G48" s="72" t="s">
        <v>4379</v>
      </c>
    </row>
    <row r="49" spans="3:7" x14ac:dyDescent="0.2">
      <c r="C49" s="51" t="s">
        <v>4379</v>
      </c>
      <c r="G49" s="72" t="s">
        <v>4379</v>
      </c>
    </row>
  </sheetData>
  <conditionalFormatting sqref="A1">
    <cfRule type="duplicateValues" dxfId="12" priority="1"/>
  </conditionalFormatting>
  <conditionalFormatting sqref="A2:B2 B3:B46">
    <cfRule type="duplicateValues" dxfId="11" priority="2"/>
    <cfRule type="duplicateValues" dxfId="10" priority="3"/>
    <cfRule type="duplicateValues" dxfId="9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4CFF-E203-4429-B025-B6B8E700CB3E}">
  <dimension ref="A1:J46"/>
  <sheetViews>
    <sheetView topLeftCell="A19" workbookViewId="0">
      <selection activeCell="F35" sqref="F35"/>
    </sheetView>
  </sheetViews>
  <sheetFormatPr defaultRowHeight="12.75" x14ac:dyDescent="0.2"/>
  <cols>
    <col min="1" max="1" width="41.140625" bestFit="1" customWidth="1"/>
  </cols>
  <sheetData>
    <row r="1" spans="1:10" x14ac:dyDescent="0.2">
      <c r="H1" t="s">
        <v>4281</v>
      </c>
    </row>
    <row r="2" spans="1:10" x14ac:dyDescent="0.2">
      <c r="A2" t="s">
        <v>2566</v>
      </c>
      <c r="B2" t="s">
        <v>4326</v>
      </c>
      <c r="H2">
        <v>86550</v>
      </c>
      <c r="I2" t="s">
        <v>4282</v>
      </c>
      <c r="J2" s="63" t="str">
        <f>"ia.assorted_string like '%"&amp;H2&amp;"-"&amp;I2&amp;B2&amp;"%' or"</f>
        <v>ia.assorted_string like '%86550-00022-04-2024%' or</v>
      </c>
    </row>
    <row r="3" spans="1:10" x14ac:dyDescent="0.2">
      <c r="A3" t="s">
        <v>4279</v>
      </c>
      <c r="B3" t="s">
        <v>4326</v>
      </c>
      <c r="H3">
        <v>86550</v>
      </c>
      <c r="I3" t="s">
        <v>4283</v>
      </c>
      <c r="J3" s="63" t="str">
        <f t="shared" ref="J3:J46" si="0">"ia.assorted_string like '%"&amp;H3&amp;"-"&amp;I3&amp;B3&amp;"%' or"</f>
        <v>ia.assorted_string like '%86550-00005-04-2024%' or</v>
      </c>
    </row>
    <row r="4" spans="1:10" x14ac:dyDescent="0.2">
      <c r="A4" t="s">
        <v>144</v>
      </c>
      <c r="B4" t="s">
        <v>4327</v>
      </c>
      <c r="H4">
        <v>101342</v>
      </c>
      <c r="I4" t="s">
        <v>4284</v>
      </c>
      <c r="J4" s="63" t="str">
        <f t="shared" si="0"/>
        <v>ia.assorted_string like '%101342-00011-11-2024%' or</v>
      </c>
    </row>
    <row r="5" spans="1:10" x14ac:dyDescent="0.2">
      <c r="A5" t="s">
        <v>308</v>
      </c>
      <c r="B5" t="s">
        <v>4327</v>
      </c>
      <c r="H5">
        <v>101342</v>
      </c>
      <c r="I5" t="s">
        <v>4285</v>
      </c>
      <c r="J5" s="63" t="str">
        <f t="shared" si="0"/>
        <v>ia.assorted_string like '%101342-00003-11-2024%' or</v>
      </c>
    </row>
    <row r="6" spans="1:10" x14ac:dyDescent="0.2">
      <c r="A6" t="s">
        <v>126</v>
      </c>
      <c r="B6" t="s">
        <v>4327</v>
      </c>
      <c r="H6">
        <v>101342</v>
      </c>
      <c r="I6" t="s">
        <v>4286</v>
      </c>
      <c r="J6" s="63" t="str">
        <f t="shared" si="0"/>
        <v>ia.assorted_string like '%101342-00001-11-2024%' or</v>
      </c>
    </row>
    <row r="7" spans="1:10" x14ac:dyDescent="0.2">
      <c r="A7" t="s">
        <v>136</v>
      </c>
      <c r="B7" t="s">
        <v>4327</v>
      </c>
      <c r="H7">
        <v>101342</v>
      </c>
      <c r="I7" t="s">
        <v>4287</v>
      </c>
      <c r="J7" s="63" t="str">
        <f t="shared" si="0"/>
        <v>ia.assorted_string like '%101342-00010-11-2024%' or</v>
      </c>
    </row>
    <row r="8" spans="1:10" x14ac:dyDescent="0.2">
      <c r="A8" t="s">
        <v>153</v>
      </c>
      <c r="B8" t="s">
        <v>4327</v>
      </c>
      <c r="H8">
        <v>101342</v>
      </c>
      <c r="I8" t="s">
        <v>4288</v>
      </c>
      <c r="J8" s="63" t="str">
        <f t="shared" si="0"/>
        <v>ia.assorted_string like '%101342-00012-11-2024%' or</v>
      </c>
    </row>
    <row r="9" spans="1:10" x14ac:dyDescent="0.2">
      <c r="A9" t="s">
        <v>163</v>
      </c>
      <c r="B9" t="s">
        <v>4327</v>
      </c>
      <c r="H9">
        <v>101342</v>
      </c>
      <c r="I9" t="s">
        <v>4289</v>
      </c>
      <c r="J9" s="63" t="str">
        <f t="shared" si="0"/>
        <v>ia.assorted_string like '%101342-00013-11-2024%' or</v>
      </c>
    </row>
    <row r="10" spans="1:10" x14ac:dyDescent="0.2">
      <c r="A10" t="s">
        <v>171</v>
      </c>
      <c r="B10" t="s">
        <v>4327</v>
      </c>
      <c r="H10">
        <v>101342</v>
      </c>
      <c r="I10" t="s">
        <v>4290</v>
      </c>
      <c r="J10" s="63" t="str">
        <f t="shared" si="0"/>
        <v>ia.assorted_string like '%101342-00014-11-2024%' or</v>
      </c>
    </row>
    <row r="11" spans="1:10" x14ac:dyDescent="0.2">
      <c r="A11" t="s">
        <v>181</v>
      </c>
      <c r="B11" t="s">
        <v>4327</v>
      </c>
      <c r="H11">
        <v>101342</v>
      </c>
      <c r="I11" t="s">
        <v>4291</v>
      </c>
      <c r="J11" s="63" t="str">
        <f t="shared" si="0"/>
        <v>ia.assorted_string like '%101342-00015-11-2024%' or</v>
      </c>
    </row>
    <row r="12" spans="1:10" x14ac:dyDescent="0.2">
      <c r="A12" t="s">
        <v>189</v>
      </c>
      <c r="B12" t="s">
        <v>4327</v>
      </c>
      <c r="H12">
        <v>101342</v>
      </c>
      <c r="I12" t="s">
        <v>4292</v>
      </c>
      <c r="J12" s="63" t="str">
        <f t="shared" si="0"/>
        <v>ia.assorted_string like '%101342-00016-11-2024%' or</v>
      </c>
    </row>
    <row r="13" spans="1:10" x14ac:dyDescent="0.2">
      <c r="A13" t="s">
        <v>198</v>
      </c>
      <c r="B13" t="s">
        <v>4327</v>
      </c>
      <c r="H13">
        <v>101342</v>
      </c>
      <c r="I13" t="s">
        <v>4293</v>
      </c>
      <c r="J13" s="63" t="str">
        <f t="shared" si="0"/>
        <v>ia.assorted_string like '%101342-00017-11-2024%' or</v>
      </c>
    </row>
    <row r="14" spans="1:10" x14ac:dyDescent="0.2">
      <c r="A14" t="s">
        <v>205</v>
      </c>
      <c r="B14" t="s">
        <v>4327</v>
      </c>
      <c r="H14">
        <v>101342</v>
      </c>
      <c r="I14" t="s">
        <v>4294</v>
      </c>
      <c r="J14" s="63" t="str">
        <f t="shared" si="0"/>
        <v>ia.assorted_string like '%101342-00018-11-2024%' or</v>
      </c>
    </row>
    <row r="15" spans="1:10" x14ac:dyDescent="0.2">
      <c r="A15" t="s">
        <v>212</v>
      </c>
      <c r="B15" t="s">
        <v>4327</v>
      </c>
      <c r="H15">
        <v>101342</v>
      </c>
      <c r="I15" t="s">
        <v>4295</v>
      </c>
      <c r="J15" s="63" t="str">
        <f t="shared" si="0"/>
        <v>ia.assorted_string like '%101342-00019-11-2024%' or</v>
      </c>
    </row>
    <row r="16" spans="1:10" x14ac:dyDescent="0.2">
      <c r="A16" t="s">
        <v>220</v>
      </c>
      <c r="B16" t="s">
        <v>4327</v>
      </c>
      <c r="H16">
        <v>101342</v>
      </c>
      <c r="I16" t="s">
        <v>4296</v>
      </c>
      <c r="J16" s="63" t="str">
        <f t="shared" si="0"/>
        <v>ia.assorted_string like '%101342-00002-11-2024%' or</v>
      </c>
    </row>
    <row r="17" spans="1:10" x14ac:dyDescent="0.2">
      <c r="A17" t="s">
        <v>229</v>
      </c>
      <c r="B17" t="s">
        <v>4327</v>
      </c>
      <c r="H17">
        <v>101342</v>
      </c>
      <c r="I17" t="s">
        <v>4297</v>
      </c>
      <c r="J17" s="63" t="str">
        <f t="shared" si="0"/>
        <v>ia.assorted_string like '%101342-00020-11-2024%' or</v>
      </c>
    </row>
    <row r="18" spans="1:10" x14ac:dyDescent="0.2">
      <c r="A18" t="s">
        <v>237</v>
      </c>
      <c r="B18" t="s">
        <v>4327</v>
      </c>
      <c r="H18">
        <v>101342</v>
      </c>
      <c r="I18" t="s">
        <v>4298</v>
      </c>
      <c r="J18" s="63" t="str">
        <f t="shared" si="0"/>
        <v>ia.assorted_string like '%101342-00021-11-2024%' or</v>
      </c>
    </row>
    <row r="19" spans="1:10" x14ac:dyDescent="0.2">
      <c r="A19" t="s">
        <v>249</v>
      </c>
      <c r="B19" t="s">
        <v>4327</v>
      </c>
      <c r="H19">
        <v>101342</v>
      </c>
      <c r="I19" t="s">
        <v>4299</v>
      </c>
      <c r="J19" s="63" t="str">
        <f t="shared" si="0"/>
        <v>ia.assorted_string like '%101342-00023-11-2024%' or</v>
      </c>
    </row>
    <row r="20" spans="1:10" x14ac:dyDescent="0.2">
      <c r="A20" t="s">
        <v>257</v>
      </c>
      <c r="B20" t="s">
        <v>4327</v>
      </c>
      <c r="H20">
        <v>101342</v>
      </c>
      <c r="I20" t="s">
        <v>4300</v>
      </c>
      <c r="J20" s="63" t="str">
        <f t="shared" si="0"/>
        <v>ia.assorted_string like '%101342-00024-11-2024%' or</v>
      </c>
    </row>
    <row r="21" spans="1:10" x14ac:dyDescent="0.2">
      <c r="A21" t="s">
        <v>265</v>
      </c>
      <c r="B21" t="s">
        <v>4327</v>
      </c>
      <c r="H21">
        <v>101342</v>
      </c>
      <c r="I21" t="s">
        <v>4301</v>
      </c>
      <c r="J21" s="63" t="str">
        <f t="shared" si="0"/>
        <v>ia.assorted_string like '%101342-00025-11-2024%' or</v>
      </c>
    </row>
    <row r="22" spans="1:10" x14ac:dyDescent="0.2">
      <c r="A22" t="s">
        <v>273</v>
      </c>
      <c r="B22" t="s">
        <v>4327</v>
      </c>
      <c r="H22">
        <v>101342</v>
      </c>
      <c r="I22" t="s">
        <v>4302</v>
      </c>
      <c r="J22" s="63" t="str">
        <f t="shared" si="0"/>
        <v>ia.assorted_string like '%101342-00026-11-2024%' or</v>
      </c>
    </row>
    <row r="23" spans="1:10" x14ac:dyDescent="0.2">
      <c r="A23" t="s">
        <v>281</v>
      </c>
      <c r="B23" t="s">
        <v>4327</v>
      </c>
      <c r="H23">
        <v>101342</v>
      </c>
      <c r="I23" t="s">
        <v>4303</v>
      </c>
      <c r="J23" s="63" t="str">
        <f t="shared" si="0"/>
        <v>ia.assorted_string like '%101342-00027-11-2024%' or</v>
      </c>
    </row>
    <row r="24" spans="1:10" x14ac:dyDescent="0.2">
      <c r="A24" t="s">
        <v>290</v>
      </c>
      <c r="B24" t="s">
        <v>4327</v>
      </c>
      <c r="H24">
        <v>101342</v>
      </c>
      <c r="I24" t="s">
        <v>4304</v>
      </c>
      <c r="J24" s="63" t="str">
        <f t="shared" si="0"/>
        <v>ia.assorted_string like '%101342-00028-11-2024%' or</v>
      </c>
    </row>
    <row r="25" spans="1:10" x14ac:dyDescent="0.2">
      <c r="A25" t="s">
        <v>299</v>
      </c>
      <c r="B25" t="s">
        <v>4327</v>
      </c>
      <c r="H25">
        <v>101342</v>
      </c>
      <c r="I25" t="s">
        <v>4305</v>
      </c>
      <c r="J25" s="63" t="str">
        <f t="shared" si="0"/>
        <v>ia.assorted_string like '%101342-00029-11-2024%' or</v>
      </c>
    </row>
    <row r="26" spans="1:10" x14ac:dyDescent="0.2">
      <c r="A26" t="s">
        <v>317</v>
      </c>
      <c r="B26" t="s">
        <v>4327</v>
      </c>
      <c r="H26">
        <v>101342</v>
      </c>
      <c r="I26" t="s">
        <v>4306</v>
      </c>
      <c r="J26" s="63" t="str">
        <f t="shared" si="0"/>
        <v>ia.assorted_string like '%101342-00030-11-2024%' or</v>
      </c>
    </row>
    <row r="27" spans="1:10" x14ac:dyDescent="0.2">
      <c r="A27" t="s">
        <v>324</v>
      </c>
      <c r="B27" t="s">
        <v>4327</v>
      </c>
      <c r="H27">
        <v>101342</v>
      </c>
      <c r="I27" t="s">
        <v>4307</v>
      </c>
      <c r="J27" s="63" t="str">
        <f t="shared" si="0"/>
        <v>ia.assorted_string like '%101342-00031-11-2024%' or</v>
      </c>
    </row>
    <row r="28" spans="1:10" x14ac:dyDescent="0.2">
      <c r="A28" t="s">
        <v>331</v>
      </c>
      <c r="B28" t="s">
        <v>4327</v>
      </c>
      <c r="H28">
        <v>101342</v>
      </c>
      <c r="I28" t="s">
        <v>4308</v>
      </c>
      <c r="J28" s="63" t="str">
        <f t="shared" si="0"/>
        <v>ia.assorted_string like '%101342-00032-11-2024%' or</v>
      </c>
    </row>
    <row r="29" spans="1:10" x14ac:dyDescent="0.2">
      <c r="A29" t="s">
        <v>340</v>
      </c>
      <c r="B29" t="s">
        <v>4327</v>
      </c>
      <c r="H29">
        <v>101342</v>
      </c>
      <c r="I29" t="s">
        <v>4309</v>
      </c>
      <c r="J29" s="63" t="str">
        <f t="shared" si="0"/>
        <v>ia.assorted_string like '%101342-00033-11-2024%' or</v>
      </c>
    </row>
    <row r="30" spans="1:10" x14ac:dyDescent="0.2">
      <c r="A30" t="s">
        <v>349</v>
      </c>
      <c r="B30" t="s">
        <v>4327</v>
      </c>
      <c r="H30">
        <v>101342</v>
      </c>
      <c r="I30" t="s">
        <v>4310</v>
      </c>
      <c r="J30" s="63" t="str">
        <f t="shared" si="0"/>
        <v>ia.assorted_string like '%101342-00034-11-2024%' or</v>
      </c>
    </row>
    <row r="31" spans="1:10" x14ac:dyDescent="0.2">
      <c r="A31" t="s">
        <v>358</v>
      </c>
      <c r="B31" t="s">
        <v>4327</v>
      </c>
      <c r="H31">
        <v>101342</v>
      </c>
      <c r="I31" t="s">
        <v>4311</v>
      </c>
      <c r="J31" s="63" t="str">
        <f t="shared" si="0"/>
        <v>ia.assorted_string like '%101342-00035-11-2024%' or</v>
      </c>
    </row>
    <row r="32" spans="1:10" x14ac:dyDescent="0.2">
      <c r="A32" t="s">
        <v>366</v>
      </c>
      <c r="B32" t="s">
        <v>4327</v>
      </c>
      <c r="H32">
        <v>101342</v>
      </c>
      <c r="I32" t="s">
        <v>4312</v>
      </c>
      <c r="J32" s="63" t="str">
        <f t="shared" si="0"/>
        <v>ia.assorted_string like '%101342-00036-11-2024%' or</v>
      </c>
    </row>
    <row r="33" spans="1:10" x14ac:dyDescent="0.2">
      <c r="A33" t="s">
        <v>375</v>
      </c>
      <c r="B33" t="s">
        <v>4327</v>
      </c>
      <c r="H33">
        <v>101342</v>
      </c>
      <c r="I33" t="s">
        <v>4313</v>
      </c>
      <c r="J33" s="63" t="str">
        <f t="shared" si="0"/>
        <v>ia.assorted_string like '%101342-00037-11-2024%' or</v>
      </c>
    </row>
    <row r="34" spans="1:10" x14ac:dyDescent="0.2">
      <c r="A34" t="s">
        <v>382</v>
      </c>
      <c r="B34" t="s">
        <v>4327</v>
      </c>
      <c r="H34">
        <v>101342</v>
      </c>
      <c r="I34" t="s">
        <v>4314</v>
      </c>
      <c r="J34" s="63" t="str">
        <f t="shared" si="0"/>
        <v>ia.assorted_string like '%101342-00038-11-2024%' or</v>
      </c>
    </row>
    <row r="35" spans="1:10" x14ac:dyDescent="0.2">
      <c r="A35" t="s">
        <v>389</v>
      </c>
      <c r="B35" t="s">
        <v>4327</v>
      </c>
      <c r="H35">
        <v>101342</v>
      </c>
      <c r="I35" t="s">
        <v>4315</v>
      </c>
      <c r="J35" s="63" t="str">
        <f t="shared" si="0"/>
        <v>ia.assorted_string like '%101342-00039-11-2024%' or</v>
      </c>
    </row>
    <row r="36" spans="1:10" x14ac:dyDescent="0.2">
      <c r="A36" t="s">
        <v>398</v>
      </c>
      <c r="B36" t="s">
        <v>4327</v>
      </c>
      <c r="H36">
        <v>101342</v>
      </c>
      <c r="I36" t="s">
        <v>4316</v>
      </c>
      <c r="J36" s="63" t="str">
        <f t="shared" si="0"/>
        <v>ia.assorted_string like '%101342-00004-11-2024%' or</v>
      </c>
    </row>
    <row r="37" spans="1:10" x14ac:dyDescent="0.2">
      <c r="A37" t="s">
        <v>406</v>
      </c>
      <c r="B37" t="s">
        <v>4327</v>
      </c>
      <c r="H37">
        <v>101342</v>
      </c>
      <c r="I37" t="s">
        <v>4317</v>
      </c>
      <c r="J37" s="63" t="str">
        <f t="shared" si="0"/>
        <v>ia.assorted_string like '%101342-00040-11-2024%' or</v>
      </c>
    </row>
    <row r="38" spans="1:10" x14ac:dyDescent="0.2">
      <c r="A38" t="s">
        <v>415</v>
      </c>
      <c r="B38" t="s">
        <v>4327</v>
      </c>
      <c r="H38">
        <v>101342</v>
      </c>
      <c r="I38" t="s">
        <v>4318</v>
      </c>
      <c r="J38" s="63" t="str">
        <f t="shared" si="0"/>
        <v>ia.assorted_string like '%101342-00041-11-2024%' or</v>
      </c>
    </row>
    <row r="39" spans="1:10" x14ac:dyDescent="0.2">
      <c r="A39" t="s">
        <v>424</v>
      </c>
      <c r="B39" t="s">
        <v>4327</v>
      </c>
      <c r="H39">
        <v>101342</v>
      </c>
      <c r="I39" t="s">
        <v>4319</v>
      </c>
      <c r="J39" s="63" t="str">
        <f t="shared" si="0"/>
        <v>ia.assorted_string like '%101342-00042-11-2024%' or</v>
      </c>
    </row>
    <row r="40" spans="1:10" x14ac:dyDescent="0.2">
      <c r="A40" t="s">
        <v>432</v>
      </c>
      <c r="B40" t="s">
        <v>4327</v>
      </c>
      <c r="H40">
        <v>101342</v>
      </c>
      <c r="I40" t="s">
        <v>4320</v>
      </c>
      <c r="J40" s="63" t="str">
        <f t="shared" si="0"/>
        <v>ia.assorted_string like '%101342-00043-11-2024%' or</v>
      </c>
    </row>
    <row r="41" spans="1:10" x14ac:dyDescent="0.2">
      <c r="A41" t="s">
        <v>449</v>
      </c>
      <c r="B41" t="s">
        <v>4327</v>
      </c>
      <c r="H41">
        <v>101342</v>
      </c>
      <c r="I41" t="s">
        <v>4321</v>
      </c>
      <c r="J41" s="63" t="str">
        <f t="shared" si="0"/>
        <v>ia.assorted_string like '%101342-00045-11-2024%' or</v>
      </c>
    </row>
    <row r="42" spans="1:10" x14ac:dyDescent="0.2">
      <c r="A42" t="s">
        <v>458</v>
      </c>
      <c r="B42" t="s">
        <v>4327</v>
      </c>
      <c r="H42">
        <v>101342</v>
      </c>
      <c r="I42" t="s">
        <v>4283</v>
      </c>
      <c r="J42" s="63" t="str">
        <f t="shared" si="0"/>
        <v>ia.assorted_string like '%101342-00005-11-2024%' or</v>
      </c>
    </row>
    <row r="43" spans="1:10" x14ac:dyDescent="0.2">
      <c r="A43" t="s">
        <v>466</v>
      </c>
      <c r="B43" t="s">
        <v>4327</v>
      </c>
      <c r="H43">
        <v>101342</v>
      </c>
      <c r="I43" t="s">
        <v>4322</v>
      </c>
      <c r="J43" s="63" t="str">
        <f t="shared" si="0"/>
        <v>ia.assorted_string like '%101342-00006-11-2024%' or</v>
      </c>
    </row>
    <row r="44" spans="1:10" x14ac:dyDescent="0.2">
      <c r="A44" t="s">
        <v>474</v>
      </c>
      <c r="B44" t="s">
        <v>4327</v>
      </c>
      <c r="H44">
        <v>101342</v>
      </c>
      <c r="I44" t="s">
        <v>4323</v>
      </c>
      <c r="J44" s="63" t="str">
        <f t="shared" si="0"/>
        <v>ia.assorted_string like '%101342-00007-11-2024%' or</v>
      </c>
    </row>
    <row r="45" spans="1:10" x14ac:dyDescent="0.2">
      <c r="A45" t="s">
        <v>482</v>
      </c>
      <c r="B45" t="s">
        <v>4327</v>
      </c>
      <c r="H45">
        <v>101342</v>
      </c>
      <c r="I45" t="s">
        <v>4324</v>
      </c>
      <c r="J45" s="63" t="str">
        <f t="shared" si="0"/>
        <v>ia.assorted_string like '%101342-00008-11-2024%' or</v>
      </c>
    </row>
    <row r="46" spans="1:10" x14ac:dyDescent="0.2">
      <c r="A46" t="s">
        <v>490</v>
      </c>
      <c r="B46" t="s">
        <v>4327</v>
      </c>
      <c r="H46">
        <v>101342</v>
      </c>
      <c r="I46" t="s">
        <v>4325</v>
      </c>
      <c r="J46" s="63" t="str">
        <f t="shared" si="0"/>
        <v>ia.assorted_string like '%101342-00009-11-2024%' or</v>
      </c>
    </row>
  </sheetData>
  <autoFilter ref="H1:H46" xr:uid="{F0D04CFF-E203-4429-B025-B6B8E700CB3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3463-24D6-4DAB-B004-4724A89D424E}">
  <dimension ref="A1:C45"/>
  <sheetViews>
    <sheetView workbookViewId="0">
      <selection activeCell="B12" sqref="B12"/>
    </sheetView>
  </sheetViews>
  <sheetFormatPr defaultColWidth="7.85546875" defaultRowHeight="12.75" x14ac:dyDescent="0.2"/>
  <cols>
    <col min="1" max="1" width="2.42578125" style="63" customWidth="1"/>
    <col min="2" max="2" width="41.140625" style="63" bestFit="1" customWidth="1"/>
    <col min="3" max="3" width="14" style="63" customWidth="1"/>
    <col min="4" max="16384" width="7.85546875" style="63"/>
  </cols>
  <sheetData>
    <row r="1" spans="1:3" x14ac:dyDescent="0.2">
      <c r="A1" s="63">
        <v>1</v>
      </c>
      <c r="B1" s="63" t="s">
        <v>4279</v>
      </c>
      <c r="C1" s="63" t="s">
        <v>4331</v>
      </c>
    </row>
    <row r="2" spans="1:3" x14ac:dyDescent="0.2">
      <c r="A2" s="63">
        <v>2</v>
      </c>
      <c r="B2" s="63" t="s">
        <v>2566</v>
      </c>
      <c r="C2" s="63" t="s">
        <v>4332</v>
      </c>
    </row>
    <row r="3" spans="1:3" x14ac:dyDescent="0.2">
      <c r="A3" s="63">
        <v>3</v>
      </c>
      <c r="B3" s="63" t="s">
        <v>126</v>
      </c>
      <c r="C3" s="63" t="s">
        <v>4333</v>
      </c>
    </row>
    <row r="4" spans="1:3" x14ac:dyDescent="0.2">
      <c r="A4" s="63">
        <v>4</v>
      </c>
      <c r="B4" s="63" t="s">
        <v>220</v>
      </c>
      <c r="C4" s="63" t="s">
        <v>4334</v>
      </c>
    </row>
    <row r="5" spans="1:3" x14ac:dyDescent="0.2">
      <c r="A5" s="63">
        <v>5</v>
      </c>
      <c r="B5" s="63" t="s">
        <v>458</v>
      </c>
      <c r="C5" s="63" t="s">
        <v>4335</v>
      </c>
    </row>
    <row r="6" spans="1:3" x14ac:dyDescent="0.2">
      <c r="A6" s="63">
        <v>6</v>
      </c>
      <c r="B6" s="63" t="s">
        <v>398</v>
      </c>
      <c r="C6" s="63" t="s">
        <v>4336</v>
      </c>
    </row>
    <row r="7" spans="1:3" x14ac:dyDescent="0.2">
      <c r="A7" s="63">
        <v>7</v>
      </c>
      <c r="B7" s="63" t="s">
        <v>308</v>
      </c>
      <c r="C7" s="63" t="s">
        <v>4337</v>
      </c>
    </row>
    <row r="8" spans="1:3" x14ac:dyDescent="0.2">
      <c r="A8" s="63">
        <v>8</v>
      </c>
      <c r="B8" s="63" t="s">
        <v>265</v>
      </c>
      <c r="C8" s="63" t="s">
        <v>4338</v>
      </c>
    </row>
    <row r="9" spans="1:3" x14ac:dyDescent="0.2">
      <c r="A9" s="63">
        <v>9</v>
      </c>
      <c r="B9" s="63" t="s">
        <v>290</v>
      </c>
      <c r="C9" s="63" t="s">
        <v>4339</v>
      </c>
    </row>
    <row r="10" spans="1:3" x14ac:dyDescent="0.2">
      <c r="A10" s="63">
        <v>10</v>
      </c>
      <c r="B10" s="63" t="s">
        <v>482</v>
      </c>
      <c r="C10" s="63" t="s">
        <v>4340</v>
      </c>
    </row>
    <row r="11" spans="1:3" x14ac:dyDescent="0.2">
      <c r="A11" s="63">
        <v>11</v>
      </c>
      <c r="B11" s="63" t="s">
        <v>490</v>
      </c>
      <c r="C11" s="63" t="s">
        <v>4341</v>
      </c>
    </row>
    <row r="12" spans="1:3" x14ac:dyDescent="0.2">
      <c r="A12" s="63">
        <v>12</v>
      </c>
      <c r="B12" s="63" t="s">
        <v>257</v>
      </c>
      <c r="C12" s="63" t="s">
        <v>4342</v>
      </c>
    </row>
    <row r="13" spans="1:3" x14ac:dyDescent="0.2">
      <c r="A13" s="63">
        <v>13</v>
      </c>
      <c r="B13" s="63" t="s">
        <v>281</v>
      </c>
      <c r="C13" s="63" t="s">
        <v>4343</v>
      </c>
    </row>
    <row r="14" spans="1:3" x14ac:dyDescent="0.2">
      <c r="A14" s="63">
        <v>14</v>
      </c>
      <c r="B14" s="63" t="s">
        <v>349</v>
      </c>
      <c r="C14" s="63" t="s">
        <v>4344</v>
      </c>
    </row>
    <row r="15" spans="1:3" x14ac:dyDescent="0.2">
      <c r="A15" s="63">
        <v>15</v>
      </c>
      <c r="B15" s="63" t="s">
        <v>466</v>
      </c>
      <c r="C15" s="63" t="s">
        <v>4345</v>
      </c>
    </row>
    <row r="16" spans="1:3" x14ac:dyDescent="0.2">
      <c r="A16" s="63">
        <v>16</v>
      </c>
      <c r="B16" s="63" t="s">
        <v>382</v>
      </c>
      <c r="C16" s="63" t="s">
        <v>4346</v>
      </c>
    </row>
    <row r="17" spans="1:3" x14ac:dyDescent="0.2">
      <c r="A17" s="63">
        <v>17</v>
      </c>
      <c r="B17" s="63" t="s">
        <v>375</v>
      </c>
      <c r="C17" s="63" t="s">
        <v>4347</v>
      </c>
    </row>
    <row r="18" spans="1:3" x14ac:dyDescent="0.2">
      <c r="A18" s="63">
        <v>18</v>
      </c>
      <c r="B18" s="63" t="s">
        <v>171</v>
      </c>
      <c r="C18" s="63" t="s">
        <v>4348</v>
      </c>
    </row>
    <row r="19" spans="1:3" x14ac:dyDescent="0.2">
      <c r="A19" s="63">
        <v>19</v>
      </c>
      <c r="B19" s="63" t="s">
        <v>237</v>
      </c>
      <c r="C19" s="63" t="s">
        <v>4349</v>
      </c>
    </row>
    <row r="20" spans="1:3" x14ac:dyDescent="0.2">
      <c r="A20" s="63">
        <v>20</v>
      </c>
      <c r="B20" s="63" t="s">
        <v>249</v>
      </c>
      <c r="C20" s="63" t="s">
        <v>4350</v>
      </c>
    </row>
    <row r="21" spans="1:3" x14ac:dyDescent="0.2">
      <c r="A21" s="63">
        <v>21</v>
      </c>
      <c r="B21" s="63" t="s">
        <v>474</v>
      </c>
      <c r="C21" s="63" t="s">
        <v>4351</v>
      </c>
    </row>
    <row r="22" spans="1:3" x14ac:dyDescent="0.2">
      <c r="A22" s="63">
        <v>22</v>
      </c>
      <c r="B22" s="63" t="s">
        <v>324</v>
      </c>
      <c r="C22" s="63" t="s">
        <v>4352</v>
      </c>
    </row>
    <row r="23" spans="1:3" x14ac:dyDescent="0.2">
      <c r="A23" s="63">
        <v>23</v>
      </c>
      <c r="B23" s="63" t="s">
        <v>331</v>
      </c>
      <c r="C23" s="63" t="s">
        <v>4353</v>
      </c>
    </row>
    <row r="24" spans="1:3" x14ac:dyDescent="0.2">
      <c r="A24" s="63">
        <v>24</v>
      </c>
      <c r="B24" s="63" t="s">
        <v>340</v>
      </c>
      <c r="C24" s="63" t="s">
        <v>4354</v>
      </c>
    </row>
    <row r="25" spans="1:3" x14ac:dyDescent="0.2">
      <c r="A25" s="63">
        <v>25</v>
      </c>
      <c r="B25" s="63" t="s">
        <v>406</v>
      </c>
      <c r="C25" s="63" t="s">
        <v>4355</v>
      </c>
    </row>
    <row r="26" spans="1:3" x14ac:dyDescent="0.2">
      <c r="A26" s="63">
        <v>26</v>
      </c>
      <c r="B26" s="63" t="s">
        <v>415</v>
      </c>
      <c r="C26" s="63" t="s">
        <v>4356</v>
      </c>
    </row>
    <row r="27" spans="1:3" x14ac:dyDescent="0.2">
      <c r="A27" s="63">
        <v>27</v>
      </c>
      <c r="B27" s="63" t="s">
        <v>153</v>
      </c>
      <c r="C27" s="63" t="s">
        <v>4357</v>
      </c>
    </row>
    <row r="28" spans="1:3" x14ac:dyDescent="0.2">
      <c r="A28" s="63">
        <v>28</v>
      </c>
      <c r="B28" s="63" t="s">
        <v>181</v>
      </c>
      <c r="C28" s="63" t="s">
        <v>4358</v>
      </c>
    </row>
    <row r="29" spans="1:3" x14ac:dyDescent="0.2">
      <c r="A29" s="63">
        <v>29</v>
      </c>
      <c r="B29" s="63" t="s">
        <v>424</v>
      </c>
      <c r="C29" s="63" t="s">
        <v>4359</v>
      </c>
    </row>
    <row r="30" spans="1:3" x14ac:dyDescent="0.2">
      <c r="A30" s="63">
        <v>30</v>
      </c>
      <c r="B30" s="63" t="s">
        <v>432</v>
      </c>
      <c r="C30" s="63" t="s">
        <v>4360</v>
      </c>
    </row>
    <row r="31" spans="1:3" x14ac:dyDescent="0.2">
      <c r="A31" s="63">
        <v>31</v>
      </c>
      <c r="B31" s="63" t="s">
        <v>449</v>
      </c>
      <c r="C31" s="63" t="s">
        <v>4361</v>
      </c>
    </row>
    <row r="32" spans="1:3" x14ac:dyDescent="0.2">
      <c r="A32" s="63">
        <v>32</v>
      </c>
      <c r="B32" s="63" t="s">
        <v>317</v>
      </c>
      <c r="C32" s="63" t="s">
        <v>4362</v>
      </c>
    </row>
    <row r="33" spans="1:3" x14ac:dyDescent="0.2">
      <c r="A33" s="63">
        <v>33</v>
      </c>
      <c r="B33" s="63" t="s">
        <v>205</v>
      </c>
      <c r="C33" s="63" t="s">
        <v>4363</v>
      </c>
    </row>
    <row r="34" spans="1:3" x14ac:dyDescent="0.2">
      <c r="A34" s="63">
        <v>34</v>
      </c>
      <c r="B34" s="63" t="s">
        <v>273</v>
      </c>
      <c r="C34" s="63" t="s">
        <v>4364</v>
      </c>
    </row>
    <row r="35" spans="1:3" x14ac:dyDescent="0.2">
      <c r="A35" s="63">
        <v>35</v>
      </c>
      <c r="B35" s="63" t="s">
        <v>189</v>
      </c>
      <c r="C35" s="63" t="s">
        <v>4365</v>
      </c>
    </row>
    <row r="36" spans="1:3" x14ac:dyDescent="0.2">
      <c r="A36" s="63">
        <v>36</v>
      </c>
      <c r="B36" s="63" t="s">
        <v>198</v>
      </c>
      <c r="C36" s="63" t="s">
        <v>4366</v>
      </c>
    </row>
    <row r="37" spans="1:3" x14ac:dyDescent="0.2">
      <c r="A37" s="63">
        <v>37</v>
      </c>
      <c r="B37" s="63" t="s">
        <v>212</v>
      </c>
      <c r="C37" s="63" t="s">
        <v>4367</v>
      </c>
    </row>
    <row r="38" spans="1:3" x14ac:dyDescent="0.2">
      <c r="A38" s="63">
        <v>38</v>
      </c>
      <c r="B38" s="63" t="s">
        <v>229</v>
      </c>
      <c r="C38" s="63" t="s">
        <v>4368</v>
      </c>
    </row>
    <row r="39" spans="1:3" x14ac:dyDescent="0.2">
      <c r="A39" s="63">
        <v>39</v>
      </c>
      <c r="B39" s="63" t="s">
        <v>299</v>
      </c>
      <c r="C39" s="63" t="s">
        <v>4369</v>
      </c>
    </row>
    <row r="40" spans="1:3" x14ac:dyDescent="0.2">
      <c r="A40" s="63">
        <v>40</v>
      </c>
      <c r="B40" s="63" t="s">
        <v>136</v>
      </c>
      <c r="C40" s="63" t="s">
        <v>4370</v>
      </c>
    </row>
    <row r="41" spans="1:3" x14ac:dyDescent="0.2">
      <c r="A41" s="63">
        <v>41</v>
      </c>
      <c r="B41" s="63" t="s">
        <v>144</v>
      </c>
      <c r="C41" s="63" t="s">
        <v>4371</v>
      </c>
    </row>
    <row r="42" spans="1:3" x14ac:dyDescent="0.2">
      <c r="A42" s="63">
        <v>42</v>
      </c>
      <c r="B42" s="63" t="s">
        <v>163</v>
      </c>
      <c r="C42" s="63" t="s">
        <v>4372</v>
      </c>
    </row>
    <row r="43" spans="1:3" x14ac:dyDescent="0.2">
      <c r="A43" s="63">
        <v>43</v>
      </c>
      <c r="B43" s="63" t="s">
        <v>358</v>
      </c>
      <c r="C43" s="63" t="s">
        <v>4373</v>
      </c>
    </row>
    <row r="44" spans="1:3" x14ac:dyDescent="0.2">
      <c r="A44" s="63">
        <v>44</v>
      </c>
      <c r="B44" s="63" t="s">
        <v>366</v>
      </c>
      <c r="C44" s="63" t="s">
        <v>4374</v>
      </c>
    </row>
    <row r="45" spans="1:3" x14ac:dyDescent="0.2">
      <c r="A45" s="63">
        <v>45</v>
      </c>
      <c r="B45" s="63" t="s">
        <v>389</v>
      </c>
      <c r="C45" s="63" t="s">
        <v>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M302"/>
  <sheetViews>
    <sheetView topLeftCell="AA1" workbookViewId="0">
      <pane ySplit="1" topLeftCell="A107" activePane="bottomLeft" state="frozen"/>
      <selection pane="bottomLeft" activeCell="AG300" sqref="AG107:AG300"/>
    </sheetView>
  </sheetViews>
  <sheetFormatPr defaultRowHeight="12.75" x14ac:dyDescent="0.2"/>
  <cols>
    <col min="4" max="4" width="15.140625" bestFit="1" customWidth="1"/>
    <col min="5" max="5" width="34.28515625" bestFit="1" customWidth="1"/>
    <col min="8" max="8" width="20" customWidth="1"/>
    <col min="9" max="9" width="12.140625" bestFit="1" customWidth="1"/>
    <col min="10" max="10" width="18.28515625" customWidth="1"/>
    <col min="12" max="12" width="10.42578125" customWidth="1"/>
    <col min="13" max="13" width="11.28515625" customWidth="1"/>
    <col min="20" max="20" width="11" customWidth="1"/>
    <col min="21" max="21" width="5.85546875" customWidth="1"/>
    <col min="24" max="24" width="7.28515625" customWidth="1"/>
    <col min="25" max="25" width="10.28515625" bestFit="1" customWidth="1"/>
    <col min="26" max="26" width="23.140625" bestFit="1" customWidth="1"/>
    <col min="28" max="28" width="9.5703125" bestFit="1" customWidth="1"/>
    <col min="30" max="30" width="13.5703125" bestFit="1" customWidth="1"/>
    <col min="33" max="33" width="41.140625" bestFit="1" customWidth="1"/>
    <col min="34" max="35" width="11.28515625" style="54" bestFit="1" customWidth="1"/>
    <col min="36" max="37" width="12.85546875" style="54" bestFit="1" customWidth="1"/>
    <col min="39" max="39" width="19.140625" bestFit="1" customWidth="1"/>
  </cols>
  <sheetData>
    <row r="1" spans="1:39" s="28" customFormat="1" ht="30" customHeight="1" x14ac:dyDescent="0.2">
      <c r="A1" s="13" t="s">
        <v>2975</v>
      </c>
      <c r="B1" s="14" t="s">
        <v>2976</v>
      </c>
      <c r="C1" s="13" t="s">
        <v>2977</v>
      </c>
      <c r="D1" s="13" t="s">
        <v>2978</v>
      </c>
      <c r="E1" s="13" t="s">
        <v>2979</v>
      </c>
      <c r="F1" s="15" t="s">
        <v>2980</v>
      </c>
      <c r="G1" s="15" t="s">
        <v>2981</v>
      </c>
      <c r="H1" s="13" t="s">
        <v>2982</v>
      </c>
      <c r="I1" s="16" t="s">
        <v>19</v>
      </c>
      <c r="J1" s="13" t="s">
        <v>2983</v>
      </c>
      <c r="K1" s="13" t="s">
        <v>2984</v>
      </c>
      <c r="L1" s="13" t="s">
        <v>2985</v>
      </c>
      <c r="M1" s="13" t="s">
        <v>2986</v>
      </c>
      <c r="N1" s="13" t="s">
        <v>2976</v>
      </c>
      <c r="O1" s="17" t="s">
        <v>2987</v>
      </c>
      <c r="P1" s="17" t="s">
        <v>2988</v>
      </c>
      <c r="Q1" s="17" t="s">
        <v>2989</v>
      </c>
      <c r="R1" s="18" t="s">
        <v>2990</v>
      </c>
      <c r="S1" s="18" t="s">
        <v>2991</v>
      </c>
      <c r="T1" s="19" t="s">
        <v>2992</v>
      </c>
      <c r="U1" s="20" t="s">
        <v>2993</v>
      </c>
      <c r="V1" s="19" t="s">
        <v>2994</v>
      </c>
      <c r="W1" s="21" t="s">
        <v>2995</v>
      </c>
      <c r="X1" s="22" t="s">
        <v>2996</v>
      </c>
      <c r="Y1" s="21" t="s">
        <v>2997</v>
      </c>
      <c r="Z1" s="23" t="s">
        <v>2998</v>
      </c>
      <c r="AA1" s="24" t="s">
        <v>2999</v>
      </c>
      <c r="AB1" s="25" t="s">
        <v>3000</v>
      </c>
      <c r="AC1" s="26" t="s">
        <v>3001</v>
      </c>
      <c r="AD1" s="21" t="s">
        <v>3002</v>
      </c>
      <c r="AE1" s="27" t="s">
        <v>3003</v>
      </c>
      <c r="AG1" s="50" t="s">
        <v>4245</v>
      </c>
      <c r="AH1" s="52" t="s">
        <v>2997</v>
      </c>
      <c r="AI1" s="53" t="s">
        <v>4246</v>
      </c>
      <c r="AJ1" s="52" t="s">
        <v>2995</v>
      </c>
      <c r="AK1" s="53" t="s">
        <v>4246</v>
      </c>
      <c r="AL1" s="50" t="s">
        <v>4247</v>
      </c>
      <c r="AM1" s="50" t="s">
        <v>4248</v>
      </c>
    </row>
    <row r="2" spans="1:39" ht="11.25" hidden="1" customHeight="1" x14ac:dyDescent="0.2">
      <c r="A2" s="29" t="s">
        <v>2974</v>
      </c>
      <c r="B2" s="29" t="s">
        <v>3020</v>
      </c>
      <c r="C2" s="40">
        <v>45078</v>
      </c>
      <c r="D2" s="39" t="s">
        <v>3720</v>
      </c>
      <c r="E2" s="29" t="s">
        <v>2251</v>
      </c>
      <c r="F2" s="32">
        <v>45084</v>
      </c>
      <c r="G2" s="32">
        <v>45449</v>
      </c>
      <c r="H2" s="30" t="s">
        <v>3727</v>
      </c>
      <c r="I2" s="31">
        <v>3520268406991</v>
      </c>
      <c r="J2" s="30" t="s">
        <v>292</v>
      </c>
      <c r="K2" s="29" t="s">
        <v>2253</v>
      </c>
      <c r="L2" s="29" t="s">
        <v>2254</v>
      </c>
      <c r="M2" s="29" t="s">
        <v>2255</v>
      </c>
      <c r="N2" s="29" t="s">
        <v>3020</v>
      </c>
      <c r="O2" s="29" t="s">
        <v>4013</v>
      </c>
      <c r="P2" s="29" t="s">
        <v>3154</v>
      </c>
      <c r="Q2" s="29" t="s">
        <v>3190</v>
      </c>
      <c r="R2" s="32">
        <v>44722</v>
      </c>
      <c r="S2" s="32">
        <v>46543</v>
      </c>
      <c r="T2" s="33">
        <v>1546000</v>
      </c>
      <c r="U2" s="29">
        <v>10</v>
      </c>
      <c r="V2" s="34">
        <f t="shared" ref="V2:V65" si="0">T2*U2%</f>
        <v>154600</v>
      </c>
      <c r="W2" s="34">
        <f t="shared" ref="W2:W65" si="1">T2-V2</f>
        <v>1391400</v>
      </c>
      <c r="X2" s="35">
        <v>2.5</v>
      </c>
      <c r="Y2" s="34">
        <f t="shared" ref="Y2:Y65" si="2">W2*X2%</f>
        <v>34785</v>
      </c>
      <c r="Z2" s="36" t="s">
        <v>3103</v>
      </c>
      <c r="AA2" s="29"/>
      <c r="AB2" s="29"/>
      <c r="AC2" s="29"/>
      <c r="AD2" s="29" t="s">
        <v>3160</v>
      </c>
      <c r="AE2" s="29">
        <v>0</v>
      </c>
    </row>
    <row r="3" spans="1:39" ht="11.25" hidden="1" customHeight="1" x14ac:dyDescent="0.2">
      <c r="A3" s="29" t="s">
        <v>2974</v>
      </c>
      <c r="B3" s="29" t="s">
        <v>3061</v>
      </c>
      <c r="C3" s="40">
        <v>45078</v>
      </c>
      <c r="D3" s="39" t="s">
        <v>3720</v>
      </c>
      <c r="E3" s="29" t="s">
        <v>2705</v>
      </c>
      <c r="F3" s="32">
        <v>45107</v>
      </c>
      <c r="G3" s="32">
        <v>45472</v>
      </c>
      <c r="H3" s="30" t="s">
        <v>3728</v>
      </c>
      <c r="I3" s="31">
        <v>4220122466681</v>
      </c>
      <c r="J3" s="30" t="s">
        <v>2707</v>
      </c>
      <c r="K3" s="29" t="s">
        <v>2708</v>
      </c>
      <c r="L3" s="29" t="s">
        <v>2709</v>
      </c>
      <c r="M3" s="29" t="s">
        <v>2710</v>
      </c>
      <c r="N3" s="29" t="s">
        <v>3061</v>
      </c>
      <c r="O3" s="29" t="s">
        <v>3162</v>
      </c>
      <c r="P3" s="29" t="s">
        <v>3243</v>
      </c>
      <c r="Q3" s="29" t="s">
        <v>3244</v>
      </c>
      <c r="R3" s="32">
        <v>44379</v>
      </c>
      <c r="S3" s="32">
        <v>45478</v>
      </c>
      <c r="T3" s="33">
        <v>2650000</v>
      </c>
      <c r="U3" s="29">
        <v>15</v>
      </c>
      <c r="V3" s="34">
        <f t="shared" si="0"/>
        <v>397500</v>
      </c>
      <c r="W3" s="34">
        <f t="shared" si="1"/>
        <v>2252500</v>
      </c>
      <c r="X3" s="35">
        <v>2.5</v>
      </c>
      <c r="Y3" s="34">
        <f t="shared" si="2"/>
        <v>56312.5</v>
      </c>
      <c r="Z3" s="36" t="s">
        <v>3103</v>
      </c>
      <c r="AA3" s="29"/>
      <c r="AB3" s="29"/>
      <c r="AC3" s="29"/>
      <c r="AD3" s="29" t="s">
        <v>3160</v>
      </c>
      <c r="AE3" s="29">
        <v>0</v>
      </c>
    </row>
    <row r="4" spans="1:39" ht="11.25" hidden="1" customHeight="1" x14ac:dyDescent="0.2">
      <c r="A4" s="29" t="s">
        <v>2974</v>
      </c>
      <c r="B4" s="29" t="s">
        <v>3037</v>
      </c>
      <c r="C4" s="40">
        <v>45352</v>
      </c>
      <c r="D4" s="39" t="s">
        <v>3720</v>
      </c>
      <c r="E4" s="29" t="s">
        <v>2448</v>
      </c>
      <c r="F4" s="32">
        <v>45353</v>
      </c>
      <c r="G4" s="32">
        <v>45717</v>
      </c>
      <c r="H4" s="30" t="s">
        <v>3745</v>
      </c>
      <c r="I4" s="31">
        <v>4210116817327</v>
      </c>
      <c r="J4" s="30" t="s">
        <v>2450</v>
      </c>
      <c r="K4" s="29" t="s">
        <v>2451</v>
      </c>
      <c r="L4" s="29" t="s">
        <v>2452</v>
      </c>
      <c r="M4" s="29" t="s">
        <v>2453</v>
      </c>
      <c r="N4" s="29" t="s">
        <v>3037</v>
      </c>
      <c r="O4" s="29" t="s">
        <v>3162</v>
      </c>
      <c r="P4" s="29" t="s">
        <v>3211</v>
      </c>
      <c r="Q4" s="29" t="s">
        <v>3213</v>
      </c>
      <c r="R4" s="32">
        <v>44259</v>
      </c>
      <c r="S4" s="32">
        <v>46086</v>
      </c>
      <c r="T4" s="33">
        <v>2415000</v>
      </c>
      <c r="U4" s="29">
        <v>20</v>
      </c>
      <c r="V4" s="34">
        <f t="shared" si="0"/>
        <v>483000</v>
      </c>
      <c r="W4" s="34">
        <f t="shared" si="1"/>
        <v>1932000</v>
      </c>
      <c r="X4" s="35">
        <v>2.5</v>
      </c>
      <c r="Y4" s="34">
        <f t="shared" si="2"/>
        <v>48300</v>
      </c>
      <c r="Z4" s="36" t="s">
        <v>3103</v>
      </c>
      <c r="AA4" s="29"/>
      <c r="AB4" s="29"/>
      <c r="AC4" s="29"/>
      <c r="AD4" s="29" t="s">
        <v>3160</v>
      </c>
      <c r="AE4" s="29">
        <v>0</v>
      </c>
    </row>
    <row r="5" spans="1:39" ht="11.25" hidden="1" customHeight="1" x14ac:dyDescent="0.2">
      <c r="A5" s="29" t="s">
        <v>2974</v>
      </c>
      <c r="B5" s="29" t="s">
        <v>3052</v>
      </c>
      <c r="C5" s="40">
        <v>45383</v>
      </c>
      <c r="D5" s="39" t="s">
        <v>3720</v>
      </c>
      <c r="E5" s="29" t="s">
        <v>2626</v>
      </c>
      <c r="F5" s="32">
        <v>45402</v>
      </c>
      <c r="G5" s="32">
        <v>45766</v>
      </c>
      <c r="H5" s="30" t="s">
        <v>3761</v>
      </c>
      <c r="I5" s="31">
        <v>3120317190427</v>
      </c>
      <c r="J5" s="30" t="s">
        <v>2288</v>
      </c>
      <c r="K5" s="29" t="s">
        <v>2628</v>
      </c>
      <c r="L5" s="29" t="s">
        <v>2629</v>
      </c>
      <c r="M5" s="29" t="s">
        <v>2630</v>
      </c>
      <c r="N5" s="29" t="s">
        <v>3052</v>
      </c>
      <c r="O5" s="29" t="s">
        <v>4013</v>
      </c>
      <c r="P5" s="29" t="s">
        <v>3232</v>
      </c>
      <c r="Q5" s="29" t="s">
        <v>3233</v>
      </c>
      <c r="R5" s="32">
        <v>44677</v>
      </c>
      <c r="S5" s="32">
        <v>46512</v>
      </c>
      <c r="T5" s="33">
        <v>2129000</v>
      </c>
      <c r="U5" s="29">
        <v>15</v>
      </c>
      <c r="V5" s="34">
        <f t="shared" si="0"/>
        <v>319350</v>
      </c>
      <c r="W5" s="34">
        <f t="shared" si="1"/>
        <v>1809650</v>
      </c>
      <c r="X5" s="35">
        <v>2.5</v>
      </c>
      <c r="Y5" s="34">
        <f t="shared" si="2"/>
        <v>45241.25</v>
      </c>
      <c r="Z5" s="36" t="s">
        <v>3103</v>
      </c>
      <c r="AA5" s="29"/>
      <c r="AB5" s="29"/>
      <c r="AC5" s="29"/>
      <c r="AD5" s="29" t="s">
        <v>3160</v>
      </c>
      <c r="AE5" s="29">
        <v>0</v>
      </c>
    </row>
    <row r="6" spans="1:39" ht="11.25" hidden="1" customHeight="1" x14ac:dyDescent="0.2">
      <c r="A6" s="29" t="s">
        <v>2974</v>
      </c>
      <c r="B6" s="29" t="s">
        <v>3038</v>
      </c>
      <c r="C6" s="40">
        <v>45352</v>
      </c>
      <c r="D6" s="39" t="s">
        <v>3720</v>
      </c>
      <c r="E6" s="29" t="s">
        <v>2457</v>
      </c>
      <c r="F6" s="32">
        <v>45381</v>
      </c>
      <c r="G6" s="32">
        <v>45745</v>
      </c>
      <c r="H6" s="30" t="s">
        <v>3754</v>
      </c>
      <c r="I6" s="31">
        <v>4210172567246</v>
      </c>
      <c r="J6" s="30" t="s">
        <v>2288</v>
      </c>
      <c r="K6" s="29" t="s">
        <v>2459</v>
      </c>
      <c r="L6" s="29" t="s">
        <v>2460</v>
      </c>
      <c r="M6" s="29" t="s">
        <v>2461</v>
      </c>
      <c r="N6" s="29" t="s">
        <v>3038</v>
      </c>
      <c r="O6" s="29" t="s">
        <v>3162</v>
      </c>
      <c r="P6" s="29" t="s">
        <v>3163</v>
      </c>
      <c r="Q6" s="29" t="s">
        <v>3214</v>
      </c>
      <c r="R6" s="32">
        <v>44286</v>
      </c>
      <c r="S6" s="32">
        <v>46118</v>
      </c>
      <c r="T6" s="33">
        <v>1210000</v>
      </c>
      <c r="U6" s="29">
        <v>20</v>
      </c>
      <c r="V6" s="34">
        <f t="shared" si="0"/>
        <v>242000</v>
      </c>
      <c r="W6" s="34">
        <f t="shared" si="1"/>
        <v>968000</v>
      </c>
      <c r="X6" s="35">
        <v>2.5</v>
      </c>
      <c r="Y6" s="34">
        <f t="shared" si="2"/>
        <v>24200</v>
      </c>
      <c r="Z6" s="36" t="s">
        <v>3112</v>
      </c>
      <c r="AA6" s="29"/>
      <c r="AB6" s="29"/>
      <c r="AC6" s="29"/>
      <c r="AD6" s="29" t="s">
        <v>3160</v>
      </c>
      <c r="AE6" s="29">
        <v>0</v>
      </c>
    </row>
    <row r="7" spans="1:39" ht="11.25" hidden="1" customHeight="1" x14ac:dyDescent="0.2">
      <c r="A7" s="29" t="s">
        <v>2974</v>
      </c>
      <c r="B7" s="29" t="s">
        <v>3029</v>
      </c>
      <c r="C7" s="40">
        <v>45231</v>
      </c>
      <c r="D7" s="39" t="s">
        <v>3720</v>
      </c>
      <c r="E7" s="29" t="s">
        <v>2350</v>
      </c>
      <c r="F7" s="32">
        <v>45237</v>
      </c>
      <c r="G7" s="32">
        <v>45602</v>
      </c>
      <c r="H7" s="30" t="s">
        <v>3735</v>
      </c>
      <c r="I7" s="31">
        <v>3520222692645</v>
      </c>
      <c r="J7" s="30" t="s">
        <v>239</v>
      </c>
      <c r="K7" s="29" t="s">
        <v>2352</v>
      </c>
      <c r="L7" s="29" t="s">
        <v>2353</v>
      </c>
      <c r="M7" s="29" t="s">
        <v>2354</v>
      </c>
      <c r="N7" s="29" t="s">
        <v>3029</v>
      </c>
      <c r="O7" s="29" t="s">
        <v>4013</v>
      </c>
      <c r="P7" s="29" t="s">
        <v>3154</v>
      </c>
      <c r="Q7" s="29" t="s">
        <v>3202</v>
      </c>
      <c r="R7" s="32">
        <v>43550</v>
      </c>
      <c r="S7" s="32">
        <v>45752</v>
      </c>
      <c r="T7" s="33">
        <v>2151000</v>
      </c>
      <c r="U7" s="29">
        <v>25</v>
      </c>
      <c r="V7" s="34">
        <f t="shared" si="0"/>
        <v>537750</v>
      </c>
      <c r="W7" s="34">
        <f t="shared" si="1"/>
        <v>1613250</v>
      </c>
      <c r="X7" s="35">
        <v>3.75</v>
      </c>
      <c r="Y7" s="34">
        <f t="shared" si="2"/>
        <v>60496.875</v>
      </c>
      <c r="Z7" s="36" t="s">
        <v>3106</v>
      </c>
      <c r="AA7" s="29"/>
      <c r="AB7" s="29"/>
      <c r="AC7" s="29"/>
      <c r="AD7" s="29" t="s">
        <v>3160</v>
      </c>
      <c r="AE7" s="29">
        <v>150</v>
      </c>
    </row>
    <row r="8" spans="1:39" ht="11.25" hidden="1" customHeight="1" x14ac:dyDescent="0.2">
      <c r="A8" s="29" t="s">
        <v>2974</v>
      </c>
      <c r="B8" s="29" t="s">
        <v>3030</v>
      </c>
      <c r="C8" s="40">
        <v>45261</v>
      </c>
      <c r="D8" s="39" t="s">
        <v>3720</v>
      </c>
      <c r="E8" s="29" t="s">
        <v>2357</v>
      </c>
      <c r="F8" s="32">
        <v>45286</v>
      </c>
      <c r="G8" s="32">
        <v>45651</v>
      </c>
      <c r="H8" s="30" t="s">
        <v>3739</v>
      </c>
      <c r="I8" s="31">
        <v>3520296820385</v>
      </c>
      <c r="J8" s="30" t="s">
        <v>925</v>
      </c>
      <c r="K8" s="29" t="s">
        <v>2359</v>
      </c>
      <c r="L8" s="29" t="s">
        <v>2360</v>
      </c>
      <c r="M8" s="29" t="s">
        <v>2361</v>
      </c>
      <c r="N8" s="29" t="s">
        <v>3030</v>
      </c>
      <c r="O8" s="29" t="s">
        <v>4013</v>
      </c>
      <c r="P8" s="29" t="s">
        <v>3154</v>
      </c>
      <c r="Q8" s="29" t="s">
        <v>3203</v>
      </c>
      <c r="R8" s="32">
        <v>43461</v>
      </c>
      <c r="S8" s="32">
        <v>45663</v>
      </c>
      <c r="T8" s="33">
        <v>756000</v>
      </c>
      <c r="U8" s="29">
        <v>30</v>
      </c>
      <c r="V8" s="34">
        <f t="shared" si="0"/>
        <v>226800</v>
      </c>
      <c r="W8" s="34">
        <f t="shared" si="1"/>
        <v>529200</v>
      </c>
      <c r="X8" s="35">
        <v>3.75</v>
      </c>
      <c r="Y8" s="34">
        <f t="shared" si="2"/>
        <v>19845</v>
      </c>
      <c r="Z8" s="36" t="s">
        <v>3106</v>
      </c>
      <c r="AA8" s="29"/>
      <c r="AB8" s="29"/>
      <c r="AC8" s="29"/>
      <c r="AD8" s="29" t="s">
        <v>3160</v>
      </c>
      <c r="AE8" s="29">
        <v>88</v>
      </c>
    </row>
    <row r="9" spans="1:39" ht="11.25" hidden="1" customHeight="1" x14ac:dyDescent="0.2">
      <c r="A9" s="29" t="s">
        <v>2974</v>
      </c>
      <c r="B9" s="29" t="s">
        <v>3032</v>
      </c>
      <c r="C9" s="40">
        <v>45261</v>
      </c>
      <c r="D9" s="39" t="s">
        <v>3720</v>
      </c>
      <c r="E9" s="29" t="s">
        <v>2386</v>
      </c>
      <c r="F9" s="32">
        <v>45291</v>
      </c>
      <c r="G9" s="32">
        <v>45656</v>
      </c>
      <c r="H9" s="30" t="s">
        <v>3740</v>
      </c>
      <c r="I9" s="31">
        <v>3310281283355</v>
      </c>
      <c r="J9" s="30" t="s">
        <v>24</v>
      </c>
      <c r="K9" s="29" t="s">
        <v>2389</v>
      </c>
      <c r="L9" s="29" t="s">
        <v>2390</v>
      </c>
      <c r="M9" s="29" t="s">
        <v>2391</v>
      </c>
      <c r="N9" s="29" t="s">
        <v>3032</v>
      </c>
      <c r="O9" s="29" t="s">
        <v>4013</v>
      </c>
      <c r="P9" s="29" t="s">
        <v>3172</v>
      </c>
      <c r="Q9" s="29" t="s">
        <v>3206</v>
      </c>
      <c r="R9" s="32">
        <v>43832</v>
      </c>
      <c r="S9" s="32">
        <v>45663</v>
      </c>
      <c r="T9" s="33">
        <v>900000</v>
      </c>
      <c r="U9" s="29">
        <v>25</v>
      </c>
      <c r="V9" s="34">
        <f t="shared" si="0"/>
        <v>225000</v>
      </c>
      <c r="W9" s="34">
        <f t="shared" si="1"/>
        <v>675000</v>
      </c>
      <c r="X9" s="35">
        <v>3</v>
      </c>
      <c r="Y9" s="34">
        <f t="shared" si="2"/>
        <v>20250</v>
      </c>
      <c r="Z9" s="36" t="s">
        <v>3106</v>
      </c>
      <c r="AA9" s="29"/>
      <c r="AB9" s="29"/>
      <c r="AC9" s="29"/>
      <c r="AD9" s="29" t="s">
        <v>3160</v>
      </c>
      <c r="AE9" s="29">
        <v>0</v>
      </c>
    </row>
    <row r="10" spans="1:39" ht="11.25" hidden="1" customHeight="1" x14ac:dyDescent="0.2">
      <c r="A10" s="29" t="s">
        <v>2974</v>
      </c>
      <c r="B10" s="29" t="s">
        <v>3036</v>
      </c>
      <c r="C10" s="40">
        <v>45323</v>
      </c>
      <c r="D10" s="39" t="s">
        <v>3720</v>
      </c>
      <c r="E10" s="29" t="s">
        <v>2440</v>
      </c>
      <c r="F10" s="32">
        <v>45351</v>
      </c>
      <c r="G10" s="32">
        <v>45715</v>
      </c>
      <c r="H10" s="30" t="s">
        <v>3744</v>
      </c>
      <c r="I10" s="31">
        <v>4220102627889</v>
      </c>
      <c r="J10" s="30" t="s">
        <v>1797</v>
      </c>
      <c r="K10" s="29" t="s">
        <v>2442</v>
      </c>
      <c r="L10" s="29" t="s">
        <v>2443</v>
      </c>
      <c r="M10" s="29" t="s">
        <v>2444</v>
      </c>
      <c r="N10" s="29" t="s">
        <v>3036</v>
      </c>
      <c r="O10" s="29" t="s">
        <v>3162</v>
      </c>
      <c r="P10" s="29" t="s">
        <v>3211</v>
      </c>
      <c r="Q10" s="29" t="s">
        <v>3212</v>
      </c>
      <c r="R10" s="32">
        <v>43529</v>
      </c>
      <c r="S10" s="32">
        <v>45721</v>
      </c>
      <c r="T10" s="33">
        <v>854000</v>
      </c>
      <c r="U10" s="29">
        <v>30</v>
      </c>
      <c r="V10" s="34">
        <f t="shared" si="0"/>
        <v>256200</v>
      </c>
      <c r="W10" s="34">
        <f t="shared" si="1"/>
        <v>597800</v>
      </c>
      <c r="X10" s="35">
        <v>3.75</v>
      </c>
      <c r="Y10" s="34">
        <f t="shared" si="2"/>
        <v>22417.5</v>
      </c>
      <c r="Z10" s="36" t="s">
        <v>3106</v>
      </c>
      <c r="AA10" s="29"/>
      <c r="AB10" s="29"/>
      <c r="AC10" s="29"/>
      <c r="AD10" s="29" t="s">
        <v>3160</v>
      </c>
      <c r="AE10" s="29">
        <v>58</v>
      </c>
    </row>
    <row r="11" spans="1:39" ht="11.25" hidden="1" customHeight="1" x14ac:dyDescent="0.2">
      <c r="A11" s="29" t="s">
        <v>2974</v>
      </c>
      <c r="B11" s="29" t="s">
        <v>3059</v>
      </c>
      <c r="C11" s="40">
        <v>45383</v>
      </c>
      <c r="D11" s="39" t="s">
        <v>3720</v>
      </c>
      <c r="E11" s="29" t="s">
        <v>2689</v>
      </c>
      <c r="F11" s="32">
        <v>45411</v>
      </c>
      <c r="G11" s="32">
        <v>45775</v>
      </c>
      <c r="H11" s="30" t="s">
        <v>3765</v>
      </c>
      <c r="I11" s="31">
        <v>3520290219253</v>
      </c>
      <c r="J11" s="30" t="s">
        <v>1863</v>
      </c>
      <c r="K11" s="29" t="s">
        <v>2691</v>
      </c>
      <c r="L11" s="29" t="s">
        <v>2692</v>
      </c>
      <c r="M11" s="29" t="s">
        <v>2693</v>
      </c>
      <c r="N11" s="29" t="s">
        <v>3059</v>
      </c>
      <c r="O11" s="29" t="s">
        <v>4013</v>
      </c>
      <c r="P11" s="29" t="s">
        <v>3154</v>
      </c>
      <c r="Q11" s="29" t="s">
        <v>3241</v>
      </c>
      <c r="R11" s="32">
        <v>44322</v>
      </c>
      <c r="S11" s="32">
        <v>46147</v>
      </c>
      <c r="T11" s="33">
        <v>2700000</v>
      </c>
      <c r="U11" s="29">
        <v>20</v>
      </c>
      <c r="V11" s="34">
        <f t="shared" si="0"/>
        <v>540000</v>
      </c>
      <c r="W11" s="34">
        <f t="shared" si="1"/>
        <v>2160000</v>
      </c>
      <c r="X11" s="35">
        <v>2.5</v>
      </c>
      <c r="Y11" s="34">
        <f t="shared" si="2"/>
        <v>54000</v>
      </c>
      <c r="Z11" s="36" t="s">
        <v>3128</v>
      </c>
      <c r="AA11" s="29"/>
      <c r="AB11" s="29"/>
      <c r="AC11" s="29"/>
      <c r="AD11" s="29" t="s">
        <v>3156</v>
      </c>
      <c r="AE11" s="29">
        <v>0</v>
      </c>
      <c r="AG11" t="s">
        <v>4251</v>
      </c>
      <c r="AH11" s="54">
        <v>0</v>
      </c>
      <c r="AI11" s="54">
        <v>-54000</v>
      </c>
      <c r="AJ11" s="54">
        <v>0</v>
      </c>
      <c r="AK11" s="54">
        <v>-2160000</v>
      </c>
      <c r="AL11" t="s">
        <v>135</v>
      </c>
      <c r="AM11">
        <v>0</v>
      </c>
    </row>
    <row r="12" spans="1:39" ht="11.25" hidden="1" customHeight="1" x14ac:dyDescent="0.2">
      <c r="A12" s="29" t="s">
        <v>2974</v>
      </c>
      <c r="B12" s="29" t="s">
        <v>3063</v>
      </c>
      <c r="C12" s="40">
        <v>45413</v>
      </c>
      <c r="D12" s="39" t="s">
        <v>3720</v>
      </c>
      <c r="E12" s="29" t="s">
        <v>2730</v>
      </c>
      <c r="F12" s="32">
        <v>45422</v>
      </c>
      <c r="G12" s="32">
        <v>45786</v>
      </c>
      <c r="H12" s="30" t="s">
        <v>3770</v>
      </c>
      <c r="I12" s="31">
        <v>3310004549073</v>
      </c>
      <c r="J12" s="30" t="s">
        <v>1479</v>
      </c>
      <c r="K12" s="29" t="s">
        <v>2732</v>
      </c>
      <c r="L12" s="29" t="s">
        <v>2733</v>
      </c>
      <c r="M12" s="29" t="s">
        <v>2734</v>
      </c>
      <c r="N12" s="29" t="s">
        <v>3063</v>
      </c>
      <c r="O12" s="29" t="s">
        <v>4013</v>
      </c>
      <c r="P12" s="29" t="s">
        <v>3246</v>
      </c>
      <c r="Q12" s="29" t="s">
        <v>3247</v>
      </c>
      <c r="R12" s="32">
        <v>43605</v>
      </c>
      <c r="S12" s="32">
        <v>45813</v>
      </c>
      <c r="T12" s="33">
        <v>3538000</v>
      </c>
      <c r="U12" s="29">
        <v>30</v>
      </c>
      <c r="V12" s="34">
        <f t="shared" si="0"/>
        <v>1061400</v>
      </c>
      <c r="W12" s="34">
        <f t="shared" si="1"/>
        <v>2476600</v>
      </c>
      <c r="X12" s="35">
        <v>3.3</v>
      </c>
      <c r="Y12" s="34">
        <f t="shared" si="2"/>
        <v>81727.8</v>
      </c>
      <c r="Z12" s="36" t="s">
        <v>3131</v>
      </c>
      <c r="AA12" s="29"/>
      <c r="AB12" s="29"/>
      <c r="AC12" s="29"/>
      <c r="AD12" s="29" t="s">
        <v>3156</v>
      </c>
      <c r="AE12" s="29">
        <v>0</v>
      </c>
    </row>
    <row r="13" spans="1:39" ht="11.25" hidden="1" customHeight="1" x14ac:dyDescent="0.2">
      <c r="A13" s="29" t="s">
        <v>2974</v>
      </c>
      <c r="B13" s="29" t="s">
        <v>3028</v>
      </c>
      <c r="C13" s="40">
        <v>45231</v>
      </c>
      <c r="D13" s="39" t="s">
        <v>3720</v>
      </c>
      <c r="E13" s="29" t="s">
        <v>2342</v>
      </c>
      <c r="F13" s="32">
        <v>45253</v>
      </c>
      <c r="G13" s="32">
        <v>45618</v>
      </c>
      <c r="H13" s="30" t="s">
        <v>3736</v>
      </c>
      <c r="I13" s="31">
        <v>3520104051913</v>
      </c>
      <c r="J13" s="30" t="s">
        <v>1470</v>
      </c>
      <c r="K13" s="29" t="s">
        <v>2344</v>
      </c>
      <c r="L13" s="29" t="s">
        <v>2345</v>
      </c>
      <c r="M13" s="29" t="s">
        <v>2346</v>
      </c>
      <c r="N13" s="29" t="s">
        <v>3028</v>
      </c>
      <c r="O13" s="29" t="s">
        <v>4013</v>
      </c>
      <c r="P13" s="29" t="s">
        <v>3198</v>
      </c>
      <c r="Q13" s="29" t="s">
        <v>3201</v>
      </c>
      <c r="R13" s="32">
        <v>43444</v>
      </c>
      <c r="S13" s="32">
        <v>45631</v>
      </c>
      <c r="T13" s="33">
        <v>1274000</v>
      </c>
      <c r="U13" s="29">
        <v>30</v>
      </c>
      <c r="V13" s="34">
        <f t="shared" si="0"/>
        <v>382200</v>
      </c>
      <c r="W13" s="34">
        <f t="shared" si="1"/>
        <v>891800</v>
      </c>
      <c r="X13" s="35">
        <v>3.75</v>
      </c>
      <c r="Y13" s="34">
        <f t="shared" si="2"/>
        <v>33442.5</v>
      </c>
      <c r="Z13" s="36" t="s">
        <v>3109</v>
      </c>
      <c r="AA13" s="29"/>
      <c r="AB13" s="29"/>
      <c r="AC13" s="29"/>
      <c r="AD13" s="29" t="s">
        <v>3156</v>
      </c>
      <c r="AE13" s="29">
        <v>0</v>
      </c>
      <c r="AG13" t="s">
        <v>4252</v>
      </c>
      <c r="AH13" s="54">
        <v>0</v>
      </c>
      <c r="AI13" s="54">
        <v>-33442.5</v>
      </c>
      <c r="AJ13" s="54">
        <v>0</v>
      </c>
      <c r="AK13" s="54">
        <v>-891800</v>
      </c>
      <c r="AL13" t="s">
        <v>135</v>
      </c>
      <c r="AM13">
        <v>0</v>
      </c>
    </row>
    <row r="14" spans="1:39" ht="11.25" hidden="1" customHeight="1" x14ac:dyDescent="0.2">
      <c r="A14" s="29" t="s">
        <v>2974</v>
      </c>
      <c r="B14" s="29" t="s">
        <v>3071</v>
      </c>
      <c r="C14" s="40">
        <v>45474</v>
      </c>
      <c r="D14" s="39" t="s">
        <v>3720</v>
      </c>
      <c r="E14" s="29" t="s">
        <v>2780</v>
      </c>
      <c r="F14" s="32">
        <v>45479</v>
      </c>
      <c r="G14" s="32">
        <v>45843</v>
      </c>
      <c r="H14" s="30" t="s">
        <v>3777</v>
      </c>
      <c r="I14" s="31">
        <v>3630219191521</v>
      </c>
      <c r="J14" s="30" t="s">
        <v>128</v>
      </c>
      <c r="K14" s="29" t="s">
        <v>2782</v>
      </c>
      <c r="L14" s="29" t="s">
        <v>2783</v>
      </c>
      <c r="M14" s="29" t="s">
        <v>2784</v>
      </c>
      <c r="N14" s="29" t="s">
        <v>3071</v>
      </c>
      <c r="O14" s="29" t="s">
        <v>4013</v>
      </c>
      <c r="P14" s="29" t="s">
        <v>3216</v>
      </c>
      <c r="Q14" s="29" t="s">
        <v>3256</v>
      </c>
      <c r="R14" s="32">
        <v>44887</v>
      </c>
      <c r="S14" s="32">
        <v>46727</v>
      </c>
      <c r="T14" s="33">
        <v>2474000</v>
      </c>
      <c r="U14" s="29">
        <v>15</v>
      </c>
      <c r="V14" s="34">
        <f t="shared" si="0"/>
        <v>371100</v>
      </c>
      <c r="W14" s="34">
        <f t="shared" si="1"/>
        <v>2102900</v>
      </c>
      <c r="X14" s="35">
        <v>2.5</v>
      </c>
      <c r="Y14" s="34">
        <f t="shared" si="2"/>
        <v>52572.5</v>
      </c>
      <c r="Z14" s="36" t="s">
        <v>3136</v>
      </c>
      <c r="AA14" s="29"/>
      <c r="AB14" s="29"/>
      <c r="AC14" s="29"/>
      <c r="AD14" s="29" t="s">
        <v>3156</v>
      </c>
      <c r="AE14" s="29">
        <v>0</v>
      </c>
      <c r="AG14" t="s">
        <v>4253</v>
      </c>
      <c r="AH14" s="54">
        <v>0</v>
      </c>
      <c r="AI14" s="54">
        <v>-52572.5</v>
      </c>
      <c r="AJ14" s="54">
        <v>0</v>
      </c>
      <c r="AK14" s="54">
        <v>-2102900</v>
      </c>
      <c r="AL14" t="s">
        <v>135</v>
      </c>
      <c r="AM14">
        <v>0</v>
      </c>
    </row>
    <row r="15" spans="1:39" ht="11.25" hidden="1" customHeight="1" x14ac:dyDescent="0.2">
      <c r="A15" s="29" t="s">
        <v>2974</v>
      </c>
      <c r="B15" s="29" t="s">
        <v>3035</v>
      </c>
      <c r="C15" s="40">
        <v>45323</v>
      </c>
      <c r="D15" s="39" t="s">
        <v>3720</v>
      </c>
      <c r="E15" s="29" t="s">
        <v>2433</v>
      </c>
      <c r="F15" s="32">
        <v>45337</v>
      </c>
      <c r="G15" s="32">
        <v>45702</v>
      </c>
      <c r="H15" s="30" t="s">
        <v>3743</v>
      </c>
      <c r="I15" s="31">
        <v>6110105275719</v>
      </c>
      <c r="J15" s="30" t="s">
        <v>1470</v>
      </c>
      <c r="K15" s="29"/>
      <c r="L15" s="29" t="s">
        <v>2435</v>
      </c>
      <c r="M15" s="29" t="s">
        <v>2436</v>
      </c>
      <c r="N15" s="29" t="s">
        <v>3035</v>
      </c>
      <c r="O15" s="29" t="s">
        <v>3162</v>
      </c>
      <c r="P15" s="29" t="s">
        <v>3163</v>
      </c>
      <c r="Q15" s="29" t="s">
        <v>3210</v>
      </c>
      <c r="R15" s="32">
        <v>44244</v>
      </c>
      <c r="S15" s="32">
        <v>46818</v>
      </c>
      <c r="T15" s="33">
        <v>1890000</v>
      </c>
      <c r="U15" s="29">
        <v>20</v>
      </c>
      <c r="V15" s="34">
        <f t="shared" si="0"/>
        <v>378000</v>
      </c>
      <c r="W15" s="34">
        <f t="shared" si="1"/>
        <v>1512000</v>
      </c>
      <c r="X15" s="35">
        <v>2.5</v>
      </c>
      <c r="Y15" s="34">
        <f t="shared" si="2"/>
        <v>37800</v>
      </c>
      <c r="Z15" s="36" t="s">
        <v>3111</v>
      </c>
      <c r="AA15" s="29"/>
      <c r="AB15" s="29"/>
      <c r="AC15" s="29"/>
      <c r="AD15" s="29" t="s">
        <v>3156</v>
      </c>
      <c r="AE15" s="29">
        <v>0</v>
      </c>
      <c r="AG15" t="s">
        <v>4254</v>
      </c>
      <c r="AH15" s="54">
        <v>0</v>
      </c>
      <c r="AI15" s="54">
        <v>-37800</v>
      </c>
      <c r="AJ15" s="54">
        <v>0</v>
      </c>
      <c r="AK15" s="54">
        <v>-1512000</v>
      </c>
      <c r="AL15" t="s">
        <v>135</v>
      </c>
      <c r="AM15">
        <v>0</v>
      </c>
    </row>
    <row r="16" spans="1:39" ht="11.25" hidden="1" customHeight="1" x14ac:dyDescent="0.2">
      <c r="A16" s="29" t="s">
        <v>2974</v>
      </c>
      <c r="B16" s="29" t="s">
        <v>3006</v>
      </c>
      <c r="C16" s="40">
        <v>45566</v>
      </c>
      <c r="D16" s="39" t="s">
        <v>3720</v>
      </c>
      <c r="E16" s="29" t="s">
        <v>36</v>
      </c>
      <c r="F16" s="32">
        <v>45590</v>
      </c>
      <c r="G16" s="32">
        <v>45954</v>
      </c>
      <c r="H16" s="30" t="s">
        <v>3812</v>
      </c>
      <c r="I16" s="31">
        <v>3130141526033</v>
      </c>
      <c r="J16" s="30" t="s">
        <v>38</v>
      </c>
      <c r="K16" s="29" t="s">
        <v>39</v>
      </c>
      <c r="L16" s="29" t="s">
        <v>40</v>
      </c>
      <c r="M16" s="29" t="s">
        <v>41</v>
      </c>
      <c r="N16" s="29" t="s">
        <v>3006</v>
      </c>
      <c r="O16" s="29" t="s">
        <v>4013</v>
      </c>
      <c r="P16" s="29" t="s">
        <v>3157</v>
      </c>
      <c r="Q16" s="29" t="s">
        <v>3158</v>
      </c>
      <c r="R16" s="32">
        <v>44862</v>
      </c>
      <c r="S16" s="32">
        <v>45966</v>
      </c>
      <c r="T16" s="33">
        <v>5700000</v>
      </c>
      <c r="U16" s="29">
        <v>15</v>
      </c>
      <c r="V16" s="34">
        <f t="shared" si="0"/>
        <v>855000</v>
      </c>
      <c r="W16" s="34">
        <f t="shared" si="1"/>
        <v>4845000</v>
      </c>
      <c r="X16" s="35">
        <v>1.5</v>
      </c>
      <c r="Y16" s="34">
        <f t="shared" si="2"/>
        <v>72675</v>
      </c>
      <c r="Z16" s="36" t="s">
        <v>3096</v>
      </c>
      <c r="AA16" s="29"/>
      <c r="AB16" s="29"/>
      <c r="AC16" s="29"/>
      <c r="AD16" s="29" t="s">
        <v>3156</v>
      </c>
      <c r="AE16" s="29">
        <v>0</v>
      </c>
      <c r="AG16" t="s">
        <v>4250</v>
      </c>
      <c r="AH16" s="54">
        <v>0</v>
      </c>
      <c r="AI16" s="54">
        <v>-72675</v>
      </c>
      <c r="AJ16" s="54">
        <v>0</v>
      </c>
      <c r="AK16" s="54">
        <v>-4845000</v>
      </c>
      <c r="AL16" t="s">
        <v>135</v>
      </c>
      <c r="AM16">
        <v>0</v>
      </c>
    </row>
    <row r="17" spans="1:39" ht="11.25" hidden="1" customHeight="1" x14ac:dyDescent="0.2">
      <c r="A17" s="29" t="s">
        <v>2974</v>
      </c>
      <c r="B17" s="29" t="s">
        <v>3042</v>
      </c>
      <c r="C17" s="40">
        <v>45352</v>
      </c>
      <c r="D17" s="39" t="s">
        <v>3720</v>
      </c>
      <c r="E17" s="29" t="s">
        <v>2489</v>
      </c>
      <c r="F17" s="32">
        <v>45365</v>
      </c>
      <c r="G17" s="32">
        <v>45729</v>
      </c>
      <c r="H17" s="30" t="s">
        <v>3747</v>
      </c>
      <c r="I17" s="31">
        <v>3130306258547</v>
      </c>
      <c r="J17" s="30" t="s">
        <v>46</v>
      </c>
      <c r="K17" s="29" t="s">
        <v>2491</v>
      </c>
      <c r="L17" s="29" t="s">
        <v>2492</v>
      </c>
      <c r="M17" s="29" t="s">
        <v>2493</v>
      </c>
      <c r="N17" s="29" t="s">
        <v>3042</v>
      </c>
      <c r="O17" s="29" t="s">
        <v>4013</v>
      </c>
      <c r="P17" s="29" t="s">
        <v>3219</v>
      </c>
      <c r="Q17" s="29" t="s">
        <v>3220</v>
      </c>
      <c r="R17" s="32">
        <v>45000</v>
      </c>
      <c r="S17" s="32">
        <v>46818</v>
      </c>
      <c r="T17" s="33">
        <v>1976000</v>
      </c>
      <c r="U17" s="29">
        <v>10</v>
      </c>
      <c r="V17" s="34">
        <f t="shared" si="0"/>
        <v>197600</v>
      </c>
      <c r="W17" s="34">
        <f t="shared" si="1"/>
        <v>1778400</v>
      </c>
      <c r="X17" s="35">
        <v>2</v>
      </c>
      <c r="Y17" s="34">
        <f t="shared" si="2"/>
        <v>35568</v>
      </c>
      <c r="Z17" s="36" t="s">
        <v>3116</v>
      </c>
      <c r="AA17" s="29"/>
      <c r="AB17" s="29"/>
      <c r="AC17" s="29"/>
      <c r="AD17" s="29" t="s">
        <v>3156</v>
      </c>
      <c r="AE17" s="29">
        <v>0</v>
      </c>
      <c r="AG17" t="s">
        <v>4255</v>
      </c>
      <c r="AH17" s="54">
        <v>0</v>
      </c>
      <c r="AI17" s="54">
        <v>-35568</v>
      </c>
      <c r="AJ17" s="54">
        <v>0</v>
      </c>
      <c r="AK17" s="54">
        <v>-1778400</v>
      </c>
      <c r="AL17" t="s">
        <v>135</v>
      </c>
      <c r="AM17">
        <v>0</v>
      </c>
    </row>
    <row r="18" spans="1:39" ht="11.25" hidden="1" customHeight="1" x14ac:dyDescent="0.2">
      <c r="A18" s="29" t="s">
        <v>2974</v>
      </c>
      <c r="B18" s="29" t="s">
        <v>3072</v>
      </c>
      <c r="C18" s="40">
        <v>45474</v>
      </c>
      <c r="D18" s="39" t="s">
        <v>3720</v>
      </c>
      <c r="E18" s="29" t="s">
        <v>2788</v>
      </c>
      <c r="F18" s="32">
        <v>45503</v>
      </c>
      <c r="G18" s="32">
        <v>45867</v>
      </c>
      <c r="H18" s="30" t="s">
        <v>3782</v>
      </c>
      <c r="I18" s="31">
        <v>3520270122055</v>
      </c>
      <c r="J18" s="30" t="s">
        <v>1297</v>
      </c>
      <c r="K18" s="29" t="s">
        <v>2790</v>
      </c>
      <c r="L18" s="29" t="s">
        <v>2791</v>
      </c>
      <c r="M18" s="29" t="s">
        <v>2792</v>
      </c>
      <c r="N18" s="29" t="s">
        <v>3072</v>
      </c>
      <c r="O18" s="29" t="s">
        <v>4013</v>
      </c>
      <c r="P18" s="29" t="s">
        <v>3154</v>
      </c>
      <c r="Q18" s="29" t="s">
        <v>3257</v>
      </c>
      <c r="R18" s="32">
        <v>44411</v>
      </c>
      <c r="S18" s="32">
        <v>46239</v>
      </c>
      <c r="T18" s="33">
        <v>2645000</v>
      </c>
      <c r="U18" s="29">
        <v>20</v>
      </c>
      <c r="V18" s="34">
        <f t="shared" si="0"/>
        <v>529000</v>
      </c>
      <c r="W18" s="34">
        <f t="shared" si="1"/>
        <v>2116000</v>
      </c>
      <c r="X18" s="35">
        <v>2.5</v>
      </c>
      <c r="Y18" s="34">
        <f t="shared" si="2"/>
        <v>52900</v>
      </c>
      <c r="Z18" s="36" t="s">
        <v>3137</v>
      </c>
      <c r="AA18" s="29"/>
      <c r="AB18" s="29"/>
      <c r="AC18" s="29"/>
      <c r="AD18" s="29" t="s">
        <v>3156</v>
      </c>
      <c r="AE18" s="29">
        <v>0</v>
      </c>
      <c r="AG18" t="s">
        <v>4256</v>
      </c>
      <c r="AH18" s="54">
        <v>0</v>
      </c>
      <c r="AI18" s="54">
        <v>-52900</v>
      </c>
      <c r="AJ18" s="54">
        <v>0</v>
      </c>
      <c r="AK18" s="54">
        <v>-2116000</v>
      </c>
      <c r="AL18" t="s">
        <v>135</v>
      </c>
      <c r="AM18">
        <v>0</v>
      </c>
    </row>
    <row r="19" spans="1:39" ht="11.25" hidden="1" customHeight="1" x14ac:dyDescent="0.2">
      <c r="A19" s="29" t="s">
        <v>2974</v>
      </c>
      <c r="B19" s="29" t="s">
        <v>3083</v>
      </c>
      <c r="C19" s="40">
        <v>45505</v>
      </c>
      <c r="D19" s="39" t="s">
        <v>3720</v>
      </c>
      <c r="E19" s="29" t="s">
        <v>2866</v>
      </c>
      <c r="F19" s="32">
        <v>45535</v>
      </c>
      <c r="G19" s="32">
        <v>45899</v>
      </c>
      <c r="H19" s="30" t="s">
        <v>3791</v>
      </c>
      <c r="I19" s="31">
        <v>3520286258170</v>
      </c>
      <c r="J19" s="30" t="s">
        <v>492</v>
      </c>
      <c r="K19" s="29" t="s">
        <v>2868</v>
      </c>
      <c r="L19" s="29" t="s">
        <v>2869</v>
      </c>
      <c r="M19" s="29" t="s">
        <v>2870</v>
      </c>
      <c r="N19" s="29" t="s">
        <v>3083</v>
      </c>
      <c r="O19" s="29" t="s">
        <v>4013</v>
      </c>
      <c r="P19" s="29" t="s">
        <v>3198</v>
      </c>
      <c r="Q19" s="29" t="s">
        <v>3271</v>
      </c>
      <c r="R19" s="32">
        <v>43347</v>
      </c>
      <c r="S19" s="32">
        <v>45905</v>
      </c>
      <c r="T19" s="33">
        <v>840000</v>
      </c>
      <c r="U19" s="29">
        <v>35</v>
      </c>
      <c r="V19" s="34">
        <f t="shared" si="0"/>
        <v>294000</v>
      </c>
      <c r="W19" s="34">
        <f t="shared" si="1"/>
        <v>546000</v>
      </c>
      <c r="X19" s="35">
        <v>3.75</v>
      </c>
      <c r="Y19" s="34">
        <f t="shared" si="2"/>
        <v>20475</v>
      </c>
      <c r="Z19" s="36" t="s">
        <v>3145</v>
      </c>
      <c r="AA19" s="29"/>
      <c r="AB19" s="29"/>
      <c r="AC19" s="29"/>
      <c r="AD19" s="29" t="s">
        <v>3156</v>
      </c>
      <c r="AE19" s="29">
        <v>0</v>
      </c>
      <c r="AG19" t="s">
        <v>4257</v>
      </c>
      <c r="AH19" s="54">
        <v>0</v>
      </c>
      <c r="AI19" s="54">
        <v>-20475</v>
      </c>
      <c r="AJ19" s="54">
        <v>0</v>
      </c>
      <c r="AK19" s="54">
        <v>-546000</v>
      </c>
      <c r="AL19" t="s">
        <v>135</v>
      </c>
      <c r="AM19">
        <v>0</v>
      </c>
    </row>
    <row r="20" spans="1:39" ht="11.25" hidden="1" customHeight="1" x14ac:dyDescent="0.2">
      <c r="A20" s="29" t="s">
        <v>2974</v>
      </c>
      <c r="B20" s="29" t="s">
        <v>3305</v>
      </c>
      <c r="C20" s="40">
        <v>45597</v>
      </c>
      <c r="D20" s="39" t="s">
        <v>3720</v>
      </c>
      <c r="E20" s="29" t="s">
        <v>624</v>
      </c>
      <c r="F20" s="32">
        <v>45617</v>
      </c>
      <c r="G20" s="32">
        <v>45981</v>
      </c>
      <c r="H20" s="30" t="s">
        <v>3903</v>
      </c>
      <c r="I20" s="31">
        <v>4220175472713</v>
      </c>
      <c r="J20" s="30" t="s">
        <v>626</v>
      </c>
      <c r="K20" s="29" t="s">
        <v>627</v>
      </c>
      <c r="L20" s="29" t="s">
        <v>628</v>
      </c>
      <c r="M20" s="29" t="s">
        <v>629</v>
      </c>
      <c r="N20" s="29" t="s">
        <v>3305</v>
      </c>
      <c r="O20" s="29" t="s">
        <v>3162</v>
      </c>
      <c r="P20" s="29" t="s">
        <v>3211</v>
      </c>
      <c r="Q20" s="29" t="s">
        <v>3507</v>
      </c>
      <c r="R20" s="32">
        <v>45254</v>
      </c>
      <c r="S20" s="32">
        <v>46361</v>
      </c>
      <c r="T20" s="33">
        <v>5200000</v>
      </c>
      <c r="U20" s="29">
        <v>10</v>
      </c>
      <c r="V20" s="34">
        <f t="shared" si="0"/>
        <v>520000</v>
      </c>
      <c r="W20" s="34">
        <f t="shared" si="1"/>
        <v>4680000</v>
      </c>
      <c r="X20" s="35">
        <v>1.5</v>
      </c>
      <c r="Y20" s="34">
        <f t="shared" si="2"/>
        <v>70200</v>
      </c>
      <c r="Z20" s="36" t="s">
        <v>4176</v>
      </c>
      <c r="AA20" s="29"/>
      <c r="AB20" s="29"/>
      <c r="AC20" s="29"/>
      <c r="AD20" s="29" t="s">
        <v>3156</v>
      </c>
      <c r="AE20" s="29">
        <v>0</v>
      </c>
      <c r="AG20" t="s">
        <v>4258</v>
      </c>
      <c r="AH20" s="54">
        <v>0</v>
      </c>
      <c r="AI20" s="54">
        <v>-70200</v>
      </c>
      <c r="AJ20" s="54">
        <v>0</v>
      </c>
      <c r="AK20" s="54">
        <v>-4680000</v>
      </c>
      <c r="AL20" t="s">
        <v>135</v>
      </c>
      <c r="AM20">
        <v>0</v>
      </c>
    </row>
    <row r="21" spans="1:39" ht="11.25" hidden="1" customHeight="1" x14ac:dyDescent="0.2">
      <c r="A21" s="29" t="s">
        <v>2974</v>
      </c>
      <c r="B21" s="29" t="s">
        <v>3022</v>
      </c>
      <c r="C21" s="40">
        <v>45139</v>
      </c>
      <c r="D21" s="39" t="s">
        <v>3720</v>
      </c>
      <c r="E21" s="29" t="s">
        <v>2280</v>
      </c>
      <c r="F21" s="32">
        <v>45154</v>
      </c>
      <c r="G21" s="32">
        <v>45519</v>
      </c>
      <c r="H21" s="30" t="s">
        <v>3730</v>
      </c>
      <c r="I21" s="31">
        <v>3520229566125</v>
      </c>
      <c r="J21" s="30" t="s">
        <v>848</v>
      </c>
      <c r="K21" s="29" t="s">
        <v>2282</v>
      </c>
      <c r="L21" s="29" t="s">
        <v>2283</v>
      </c>
      <c r="M21" s="29" t="s">
        <v>2284</v>
      </c>
      <c r="N21" s="29" t="s">
        <v>3022</v>
      </c>
      <c r="O21" s="29" t="s">
        <v>4013</v>
      </c>
      <c r="P21" s="29" t="s">
        <v>3154</v>
      </c>
      <c r="Q21" s="29" t="s">
        <v>3192</v>
      </c>
      <c r="R21" s="32">
        <v>44433</v>
      </c>
      <c r="S21" s="32">
        <v>45905</v>
      </c>
      <c r="T21" s="33">
        <v>2703000</v>
      </c>
      <c r="U21" s="29">
        <v>15</v>
      </c>
      <c r="V21" s="34">
        <f t="shared" si="0"/>
        <v>405450</v>
      </c>
      <c r="W21" s="34">
        <f t="shared" si="1"/>
        <v>2297550</v>
      </c>
      <c r="X21" s="35">
        <v>2.5</v>
      </c>
      <c r="Y21" s="34">
        <f t="shared" si="2"/>
        <v>57438.75</v>
      </c>
      <c r="Z21" s="36" t="s">
        <v>3105</v>
      </c>
      <c r="AA21" s="29"/>
      <c r="AB21" s="29"/>
      <c r="AC21" s="29"/>
      <c r="AD21" s="29" t="s">
        <v>3156</v>
      </c>
      <c r="AE21" s="29">
        <v>0</v>
      </c>
      <c r="AG21" t="s">
        <v>4259</v>
      </c>
      <c r="AH21" s="54">
        <v>0</v>
      </c>
      <c r="AI21" s="54">
        <v>-57438.75</v>
      </c>
      <c r="AJ21" s="54">
        <v>0</v>
      </c>
      <c r="AK21" s="54">
        <v>-2297550</v>
      </c>
      <c r="AL21" t="s">
        <v>135</v>
      </c>
      <c r="AM21">
        <v>0</v>
      </c>
    </row>
    <row r="22" spans="1:39" ht="11.25" hidden="1" customHeight="1" x14ac:dyDescent="0.2">
      <c r="A22" s="29" t="s">
        <v>2974</v>
      </c>
      <c r="B22" s="29" t="s">
        <v>3360</v>
      </c>
      <c r="C22" s="40">
        <v>45597</v>
      </c>
      <c r="D22" s="39" t="s">
        <v>3720</v>
      </c>
      <c r="E22" s="29" t="s">
        <v>1074</v>
      </c>
      <c r="F22" s="32">
        <v>45624</v>
      </c>
      <c r="G22" s="32">
        <v>45988</v>
      </c>
      <c r="H22" s="30" t="s">
        <v>3956</v>
      </c>
      <c r="I22" s="31">
        <v>3520223310480</v>
      </c>
      <c r="J22" s="30" t="s">
        <v>545</v>
      </c>
      <c r="K22" s="29" t="s">
        <v>1076</v>
      </c>
      <c r="L22" s="29" t="s">
        <v>1077</v>
      </c>
      <c r="M22" s="29" t="s">
        <v>1078</v>
      </c>
      <c r="N22" s="29" t="s">
        <v>3360</v>
      </c>
      <c r="O22" s="29" t="s">
        <v>4013</v>
      </c>
      <c r="P22" s="29" t="s">
        <v>3154</v>
      </c>
      <c r="Q22" s="29" t="s">
        <v>3567</v>
      </c>
      <c r="R22" s="32">
        <v>44907</v>
      </c>
      <c r="S22" s="32">
        <v>45996</v>
      </c>
      <c r="T22" s="33">
        <v>2899000</v>
      </c>
      <c r="U22" s="29">
        <v>15</v>
      </c>
      <c r="V22" s="34">
        <f t="shared" si="0"/>
        <v>434850</v>
      </c>
      <c r="W22" s="34">
        <f t="shared" si="1"/>
        <v>2464150</v>
      </c>
      <c r="X22" s="35">
        <v>2.5</v>
      </c>
      <c r="Y22" s="34">
        <f t="shared" si="2"/>
        <v>61603.75</v>
      </c>
      <c r="Z22" s="36" t="s">
        <v>4179</v>
      </c>
      <c r="AA22" s="29"/>
      <c r="AB22" s="29"/>
      <c r="AC22" s="29"/>
      <c r="AD22" s="29" t="s">
        <v>3156</v>
      </c>
      <c r="AE22" s="29">
        <v>0</v>
      </c>
      <c r="AG22" t="s">
        <v>1074</v>
      </c>
      <c r="AH22" s="54">
        <v>61604</v>
      </c>
      <c r="AI22" s="54">
        <v>0.25</v>
      </c>
      <c r="AJ22" s="54">
        <v>2464150</v>
      </c>
      <c r="AK22" s="54">
        <v>0</v>
      </c>
      <c r="AL22" t="s">
        <v>26</v>
      </c>
      <c r="AM22" t="s">
        <v>4249</v>
      </c>
    </row>
    <row r="23" spans="1:39" ht="11.25" hidden="1" customHeight="1" x14ac:dyDescent="0.2">
      <c r="A23" s="29" t="s">
        <v>2974</v>
      </c>
      <c r="B23" s="29" t="s">
        <v>3078</v>
      </c>
      <c r="C23" s="40">
        <v>45505</v>
      </c>
      <c r="D23" s="39" t="s">
        <v>3720</v>
      </c>
      <c r="E23" s="29" t="s">
        <v>2827</v>
      </c>
      <c r="F23" s="32">
        <v>45519</v>
      </c>
      <c r="G23" s="32">
        <v>45883</v>
      </c>
      <c r="H23" s="30" t="s">
        <v>3783</v>
      </c>
      <c r="I23" s="31">
        <v>4540266937259</v>
      </c>
      <c r="J23" s="30" t="s">
        <v>292</v>
      </c>
      <c r="K23" s="29" t="s">
        <v>2829</v>
      </c>
      <c r="L23" s="29" t="s">
        <v>2830</v>
      </c>
      <c r="M23" s="29" t="s">
        <v>2831</v>
      </c>
      <c r="N23" s="29" t="s">
        <v>3078</v>
      </c>
      <c r="O23" s="29" t="s">
        <v>3162</v>
      </c>
      <c r="P23" s="29" t="s">
        <v>3264</v>
      </c>
      <c r="Q23" s="29" t="s">
        <v>3265</v>
      </c>
      <c r="R23" s="32">
        <v>44797</v>
      </c>
      <c r="S23" s="32">
        <v>46636</v>
      </c>
      <c r="T23" s="33">
        <v>1546000</v>
      </c>
      <c r="U23" s="29">
        <v>15</v>
      </c>
      <c r="V23" s="34">
        <f t="shared" si="0"/>
        <v>231900</v>
      </c>
      <c r="W23" s="34">
        <f t="shared" si="1"/>
        <v>1314100</v>
      </c>
      <c r="X23" s="35">
        <v>2.5</v>
      </c>
      <c r="Y23" s="34">
        <f t="shared" si="2"/>
        <v>32852.5</v>
      </c>
      <c r="Z23" s="36" t="s">
        <v>3141</v>
      </c>
      <c r="AA23" s="29"/>
      <c r="AB23" s="29"/>
      <c r="AC23" s="29"/>
      <c r="AD23" s="29" t="s">
        <v>3156</v>
      </c>
      <c r="AE23" s="29">
        <v>0</v>
      </c>
      <c r="AG23" t="s">
        <v>4260</v>
      </c>
      <c r="AH23" s="54">
        <v>0</v>
      </c>
      <c r="AI23" s="54">
        <v>-32852.5</v>
      </c>
      <c r="AJ23" s="54">
        <v>0</v>
      </c>
      <c r="AK23" s="54">
        <v>-1314100</v>
      </c>
      <c r="AL23" t="s">
        <v>135</v>
      </c>
      <c r="AM23">
        <v>0</v>
      </c>
    </row>
    <row r="24" spans="1:39" ht="11.25" hidden="1" customHeight="1" x14ac:dyDescent="0.2">
      <c r="A24" s="29" t="s">
        <v>2974</v>
      </c>
      <c r="B24" s="29" t="s">
        <v>3045</v>
      </c>
      <c r="C24" s="40">
        <v>45352</v>
      </c>
      <c r="D24" s="39" t="s">
        <v>3720</v>
      </c>
      <c r="E24" s="29" t="s">
        <v>2530</v>
      </c>
      <c r="F24" s="32">
        <v>45375</v>
      </c>
      <c r="G24" s="32">
        <v>45739</v>
      </c>
      <c r="H24" s="30" t="s">
        <v>3750</v>
      </c>
      <c r="I24" s="31">
        <v>3520257975433</v>
      </c>
      <c r="J24" s="30" t="s">
        <v>1422</v>
      </c>
      <c r="K24" s="29" t="s">
        <v>2532</v>
      </c>
      <c r="L24" s="29" t="s">
        <v>2533</v>
      </c>
      <c r="M24" s="29" t="s">
        <v>2534</v>
      </c>
      <c r="N24" s="29" t="s">
        <v>3045</v>
      </c>
      <c r="O24" s="29" t="s">
        <v>4013</v>
      </c>
      <c r="P24" s="29" t="s">
        <v>3154</v>
      </c>
      <c r="Q24" s="29" t="s">
        <v>3223</v>
      </c>
      <c r="R24" s="32">
        <v>44648</v>
      </c>
      <c r="S24" s="32">
        <v>45752</v>
      </c>
      <c r="T24" s="33">
        <v>1900000</v>
      </c>
      <c r="U24" s="29">
        <v>15</v>
      </c>
      <c r="V24" s="34">
        <f t="shared" si="0"/>
        <v>285000</v>
      </c>
      <c r="W24" s="34">
        <f t="shared" si="1"/>
        <v>1615000</v>
      </c>
      <c r="X24" s="35">
        <v>2.5</v>
      </c>
      <c r="Y24" s="34">
        <f t="shared" si="2"/>
        <v>40375</v>
      </c>
      <c r="Z24" s="36" t="s">
        <v>3118</v>
      </c>
      <c r="AA24" s="29"/>
      <c r="AB24" s="29"/>
      <c r="AC24" s="29"/>
      <c r="AD24" s="29" t="s">
        <v>3156</v>
      </c>
      <c r="AE24" s="29">
        <v>0</v>
      </c>
      <c r="AG24" t="s">
        <v>4261</v>
      </c>
      <c r="AH24" s="54">
        <v>0</v>
      </c>
      <c r="AI24" s="54">
        <v>-40375</v>
      </c>
      <c r="AJ24" s="54">
        <v>0</v>
      </c>
      <c r="AK24" s="54">
        <v>-1615000</v>
      </c>
      <c r="AL24" t="s">
        <v>135</v>
      </c>
      <c r="AM24">
        <v>0</v>
      </c>
    </row>
    <row r="25" spans="1:39" ht="11.25" hidden="1" customHeight="1" x14ac:dyDescent="0.2">
      <c r="A25" s="29" t="s">
        <v>2974</v>
      </c>
      <c r="B25" s="29" t="s">
        <v>3076</v>
      </c>
      <c r="C25" s="40">
        <v>45505</v>
      </c>
      <c r="D25" s="39" t="s">
        <v>3720</v>
      </c>
      <c r="E25" s="29" t="s">
        <v>2812</v>
      </c>
      <c r="F25" s="32">
        <v>45533</v>
      </c>
      <c r="G25" s="32">
        <v>45897</v>
      </c>
      <c r="H25" s="30" t="s">
        <v>3789</v>
      </c>
      <c r="I25" s="31">
        <v>3520254269791</v>
      </c>
      <c r="J25" s="30" t="s">
        <v>2814</v>
      </c>
      <c r="K25" s="29"/>
      <c r="L25" s="29" t="s">
        <v>2815</v>
      </c>
      <c r="M25" s="29" t="s">
        <v>2816</v>
      </c>
      <c r="N25" s="29" t="s">
        <v>3076</v>
      </c>
      <c r="O25" s="29" t="s">
        <v>4013</v>
      </c>
      <c r="P25" s="29" t="s">
        <v>3154</v>
      </c>
      <c r="Q25" s="29" t="s">
        <v>3262</v>
      </c>
      <c r="R25" s="32">
        <v>45168</v>
      </c>
      <c r="S25" s="32">
        <v>45905</v>
      </c>
      <c r="T25" s="33">
        <v>9199000</v>
      </c>
      <c r="U25" s="29">
        <v>10</v>
      </c>
      <c r="V25" s="34">
        <f t="shared" si="0"/>
        <v>919900</v>
      </c>
      <c r="W25" s="34">
        <f t="shared" si="1"/>
        <v>8279100</v>
      </c>
      <c r="X25" s="35">
        <v>1.5</v>
      </c>
      <c r="Y25" s="34">
        <f t="shared" si="2"/>
        <v>124186.5</v>
      </c>
      <c r="Z25" s="36" t="s">
        <v>3139</v>
      </c>
      <c r="AA25" s="29"/>
      <c r="AB25" s="29"/>
      <c r="AC25" s="29"/>
      <c r="AD25" s="29" t="s">
        <v>3156</v>
      </c>
      <c r="AE25" s="29">
        <v>0</v>
      </c>
      <c r="AG25" t="s">
        <v>4262</v>
      </c>
      <c r="AH25" s="54">
        <v>0</v>
      </c>
      <c r="AI25" s="54">
        <v>-124186.5</v>
      </c>
      <c r="AJ25" s="54">
        <v>0</v>
      </c>
      <c r="AK25" s="54">
        <v>-8279100</v>
      </c>
      <c r="AL25" t="s">
        <v>135</v>
      </c>
      <c r="AM25">
        <v>0</v>
      </c>
    </row>
    <row r="26" spans="1:39" ht="11.25" hidden="1" customHeight="1" x14ac:dyDescent="0.2">
      <c r="A26" s="29" t="s">
        <v>2974</v>
      </c>
      <c r="B26" s="29" t="s">
        <v>3011</v>
      </c>
      <c r="C26" s="40">
        <v>45566</v>
      </c>
      <c r="D26" s="39" t="s">
        <v>3720</v>
      </c>
      <c r="E26" s="29" t="s">
        <v>77</v>
      </c>
      <c r="F26" s="32">
        <v>45577</v>
      </c>
      <c r="G26" s="32">
        <v>45941</v>
      </c>
      <c r="H26" s="30" t="s">
        <v>3805</v>
      </c>
      <c r="I26" s="31">
        <v>3720192460774</v>
      </c>
      <c r="J26" s="30" t="s">
        <v>29</v>
      </c>
      <c r="K26" s="29" t="s">
        <v>80</v>
      </c>
      <c r="L26" s="29" t="s">
        <v>81</v>
      </c>
      <c r="M26" s="29" t="s">
        <v>82</v>
      </c>
      <c r="N26" s="29" t="s">
        <v>3011</v>
      </c>
      <c r="O26" s="29" t="s">
        <v>3167</v>
      </c>
      <c r="P26" s="29" t="s">
        <v>3168</v>
      </c>
      <c r="Q26" s="29" t="s">
        <v>3169</v>
      </c>
      <c r="R26" s="32">
        <v>44483</v>
      </c>
      <c r="S26" s="32">
        <v>46300</v>
      </c>
      <c r="T26" s="33">
        <v>1335000</v>
      </c>
      <c r="U26" s="29">
        <v>20</v>
      </c>
      <c r="V26" s="34">
        <f t="shared" si="0"/>
        <v>267000</v>
      </c>
      <c r="W26" s="34">
        <f t="shared" si="1"/>
        <v>1068000</v>
      </c>
      <c r="X26" s="35">
        <v>2.5</v>
      </c>
      <c r="Y26" s="34">
        <f t="shared" si="2"/>
        <v>26700</v>
      </c>
      <c r="Z26" s="36" t="s">
        <v>3099</v>
      </c>
      <c r="AA26" s="29"/>
      <c r="AB26" s="29"/>
      <c r="AC26" s="29"/>
      <c r="AD26" s="29" t="s">
        <v>3156</v>
      </c>
      <c r="AE26" s="29">
        <v>0</v>
      </c>
      <c r="AG26" t="s">
        <v>4250</v>
      </c>
      <c r="AH26" s="54">
        <v>0</v>
      </c>
      <c r="AI26" s="54">
        <v>-26700</v>
      </c>
      <c r="AJ26" s="54">
        <v>0</v>
      </c>
      <c r="AK26" s="54">
        <v>-1068000</v>
      </c>
      <c r="AL26" t="s">
        <v>135</v>
      </c>
      <c r="AM26">
        <v>0</v>
      </c>
    </row>
    <row r="27" spans="1:39" ht="11.25" hidden="1" customHeight="1" x14ac:dyDescent="0.2">
      <c r="A27" s="29" t="s">
        <v>2974</v>
      </c>
      <c r="B27" s="29" t="s">
        <v>3095</v>
      </c>
      <c r="C27" s="40">
        <v>45536</v>
      </c>
      <c r="D27" s="39" t="s">
        <v>3720</v>
      </c>
      <c r="E27" s="29" t="s">
        <v>2954</v>
      </c>
      <c r="F27" s="32">
        <v>45554</v>
      </c>
      <c r="G27" s="32">
        <v>45918</v>
      </c>
      <c r="H27" s="30" t="s">
        <v>3794</v>
      </c>
      <c r="I27" s="31">
        <v>3520258229119</v>
      </c>
      <c r="J27" s="30" t="s">
        <v>1479</v>
      </c>
      <c r="K27" s="29" t="s">
        <v>2956</v>
      </c>
      <c r="L27" s="29" t="s">
        <v>2957</v>
      </c>
      <c r="M27" s="29" t="s">
        <v>2958</v>
      </c>
      <c r="N27" s="29" t="s">
        <v>3095</v>
      </c>
      <c r="O27" s="29" t="s">
        <v>4013</v>
      </c>
      <c r="P27" s="29" t="s">
        <v>3154</v>
      </c>
      <c r="Q27" s="29" t="s">
        <v>3283</v>
      </c>
      <c r="R27" s="32">
        <v>43732</v>
      </c>
      <c r="S27" s="32">
        <v>45936</v>
      </c>
      <c r="T27" s="33">
        <v>3837500</v>
      </c>
      <c r="U27" s="29">
        <v>30</v>
      </c>
      <c r="V27" s="34">
        <f t="shared" si="0"/>
        <v>1151250</v>
      </c>
      <c r="W27" s="34">
        <f t="shared" si="1"/>
        <v>2686250</v>
      </c>
      <c r="X27" s="35">
        <v>1.5</v>
      </c>
      <c r="Y27" s="34">
        <f t="shared" si="2"/>
        <v>40293.75</v>
      </c>
      <c r="Z27" s="36" t="s">
        <v>3148</v>
      </c>
      <c r="AA27" s="29"/>
      <c r="AB27" s="29"/>
      <c r="AC27" s="29"/>
      <c r="AD27" s="29" t="s">
        <v>3156</v>
      </c>
      <c r="AE27" s="29">
        <v>0</v>
      </c>
      <c r="AG27" t="s">
        <v>4263</v>
      </c>
      <c r="AH27" s="54">
        <v>0</v>
      </c>
      <c r="AI27" s="54">
        <v>-40293.75</v>
      </c>
      <c r="AJ27" s="54">
        <v>0</v>
      </c>
      <c r="AK27" s="54">
        <v>-2686250</v>
      </c>
      <c r="AL27" t="s">
        <v>135</v>
      </c>
      <c r="AM27">
        <v>0</v>
      </c>
    </row>
    <row r="28" spans="1:39" ht="11.25" hidden="1" customHeight="1" x14ac:dyDescent="0.2">
      <c r="A28" s="29" t="s">
        <v>2974</v>
      </c>
      <c r="B28" s="29" t="s">
        <v>3044</v>
      </c>
      <c r="C28" s="40">
        <v>45352</v>
      </c>
      <c r="D28" s="39" t="s">
        <v>3720</v>
      </c>
      <c r="E28" s="29" t="s">
        <v>2506</v>
      </c>
      <c r="F28" s="32">
        <v>45369</v>
      </c>
      <c r="G28" s="32">
        <v>45733</v>
      </c>
      <c r="H28" s="30" t="s">
        <v>3749</v>
      </c>
      <c r="I28" s="31">
        <v>3630260732445</v>
      </c>
      <c r="J28" s="30" t="s">
        <v>46</v>
      </c>
      <c r="K28" s="29" t="s">
        <v>2508</v>
      </c>
      <c r="L28" s="29" t="s">
        <v>2509</v>
      </c>
      <c r="M28" s="29" t="s">
        <v>2510</v>
      </c>
      <c r="N28" s="29" t="s">
        <v>3044</v>
      </c>
      <c r="O28" s="29" t="s">
        <v>4013</v>
      </c>
      <c r="P28" s="29" t="s">
        <v>3216</v>
      </c>
      <c r="Q28" s="29" t="s">
        <v>3222</v>
      </c>
      <c r="R28" s="32">
        <v>44648</v>
      </c>
      <c r="S28" s="32">
        <v>46482</v>
      </c>
      <c r="T28" s="33">
        <v>1546000</v>
      </c>
      <c r="U28" s="29">
        <v>15</v>
      </c>
      <c r="V28" s="34">
        <f t="shared" si="0"/>
        <v>231900</v>
      </c>
      <c r="W28" s="34">
        <f t="shared" si="1"/>
        <v>1314100</v>
      </c>
      <c r="X28" s="35">
        <v>2.5</v>
      </c>
      <c r="Y28" s="34">
        <f t="shared" si="2"/>
        <v>32852.5</v>
      </c>
      <c r="Z28" s="36" t="s">
        <v>3114</v>
      </c>
      <c r="AA28" s="29"/>
      <c r="AB28" s="29"/>
      <c r="AC28" s="29"/>
      <c r="AD28" s="29" t="s">
        <v>3156</v>
      </c>
      <c r="AE28" s="29">
        <v>0</v>
      </c>
      <c r="AG28" t="s">
        <v>4261</v>
      </c>
      <c r="AH28" s="54">
        <v>0</v>
      </c>
      <c r="AI28" s="54">
        <v>-32852.5</v>
      </c>
      <c r="AJ28" s="54">
        <v>0</v>
      </c>
      <c r="AK28" s="54">
        <v>-1314100</v>
      </c>
      <c r="AL28" t="s">
        <v>135</v>
      </c>
      <c r="AM28">
        <v>0</v>
      </c>
    </row>
    <row r="29" spans="1:39" ht="11.25" hidden="1" customHeight="1" x14ac:dyDescent="0.2">
      <c r="A29" s="29" t="s">
        <v>2974</v>
      </c>
      <c r="B29" s="29" t="s">
        <v>3040</v>
      </c>
      <c r="C29" s="40">
        <v>45352</v>
      </c>
      <c r="D29" s="39" t="s">
        <v>3720</v>
      </c>
      <c r="E29" s="29" t="s">
        <v>2473</v>
      </c>
      <c r="F29" s="32">
        <v>45380</v>
      </c>
      <c r="G29" s="32">
        <v>45744</v>
      </c>
      <c r="H29" s="30" t="s">
        <v>3752</v>
      </c>
      <c r="I29" s="31">
        <v>3230204979901</v>
      </c>
      <c r="J29" s="30" t="s">
        <v>1479</v>
      </c>
      <c r="K29" s="29" t="s">
        <v>2475</v>
      </c>
      <c r="L29" s="29" t="s">
        <v>2476</v>
      </c>
      <c r="M29" s="29" t="s">
        <v>2477</v>
      </c>
      <c r="N29" s="29" t="s">
        <v>3040</v>
      </c>
      <c r="O29" s="29" t="s">
        <v>4013</v>
      </c>
      <c r="P29" s="29" t="s">
        <v>3216</v>
      </c>
      <c r="Q29" s="29" t="s">
        <v>3217</v>
      </c>
      <c r="R29" s="32">
        <v>45015</v>
      </c>
      <c r="S29" s="32">
        <v>46118</v>
      </c>
      <c r="T29" s="33">
        <v>4000000</v>
      </c>
      <c r="U29" s="29">
        <v>10</v>
      </c>
      <c r="V29" s="34">
        <f t="shared" si="0"/>
        <v>400000</v>
      </c>
      <c r="W29" s="34">
        <f t="shared" si="1"/>
        <v>3600000</v>
      </c>
      <c r="X29" s="35">
        <v>1.5</v>
      </c>
      <c r="Y29" s="34">
        <f t="shared" si="2"/>
        <v>54000</v>
      </c>
      <c r="Z29" s="36" t="s">
        <v>3114</v>
      </c>
      <c r="AA29" s="29"/>
      <c r="AB29" s="29"/>
      <c r="AC29" s="29"/>
      <c r="AD29" s="29" t="s">
        <v>3156</v>
      </c>
      <c r="AE29" s="29">
        <v>0</v>
      </c>
      <c r="AG29" t="s">
        <v>4255</v>
      </c>
      <c r="AH29" s="54">
        <v>0</v>
      </c>
      <c r="AI29" s="54">
        <v>-54000</v>
      </c>
      <c r="AJ29" s="54">
        <v>0</v>
      </c>
      <c r="AK29" s="54">
        <v>-3600000</v>
      </c>
      <c r="AL29" t="s">
        <v>135</v>
      </c>
      <c r="AM29">
        <v>0</v>
      </c>
    </row>
    <row r="30" spans="1:39" ht="11.25" hidden="1" customHeight="1" x14ac:dyDescent="0.2">
      <c r="A30" s="29" t="s">
        <v>2974</v>
      </c>
      <c r="B30" s="29" t="s">
        <v>3081</v>
      </c>
      <c r="C30" s="40">
        <v>45505</v>
      </c>
      <c r="D30" s="39" t="s">
        <v>3720</v>
      </c>
      <c r="E30" s="29" t="s">
        <v>2851</v>
      </c>
      <c r="F30" s="32">
        <v>45528</v>
      </c>
      <c r="G30" s="32">
        <v>45892</v>
      </c>
      <c r="H30" s="30" t="s">
        <v>3787</v>
      </c>
      <c r="I30" s="31">
        <v>3530110303291</v>
      </c>
      <c r="J30" s="30" t="s">
        <v>292</v>
      </c>
      <c r="K30" s="29" t="s">
        <v>2853</v>
      </c>
      <c r="L30" s="29" t="s">
        <v>2854</v>
      </c>
      <c r="M30" s="29" t="s">
        <v>2855</v>
      </c>
      <c r="N30" s="29" t="s">
        <v>3081</v>
      </c>
      <c r="O30" s="29" t="s">
        <v>4013</v>
      </c>
      <c r="P30" s="29" t="s">
        <v>3268</v>
      </c>
      <c r="Q30" s="29" t="s">
        <v>3269</v>
      </c>
      <c r="R30" s="32">
        <v>44804</v>
      </c>
      <c r="S30" s="32">
        <v>46636</v>
      </c>
      <c r="T30" s="33">
        <v>1546000</v>
      </c>
      <c r="U30" s="29">
        <v>15</v>
      </c>
      <c r="V30" s="34">
        <f t="shared" si="0"/>
        <v>231900</v>
      </c>
      <c r="W30" s="34">
        <f t="shared" si="1"/>
        <v>1314100</v>
      </c>
      <c r="X30" s="35">
        <v>2.5</v>
      </c>
      <c r="Y30" s="34">
        <f t="shared" si="2"/>
        <v>32852.5</v>
      </c>
      <c r="Z30" s="36" t="s">
        <v>3143</v>
      </c>
      <c r="AA30" s="29"/>
      <c r="AB30" s="29"/>
      <c r="AC30" s="29"/>
      <c r="AD30" s="29" t="s">
        <v>3156</v>
      </c>
      <c r="AE30" s="29">
        <v>0</v>
      </c>
      <c r="AG30" t="s">
        <v>4260</v>
      </c>
      <c r="AH30" s="54">
        <v>0</v>
      </c>
      <c r="AI30" s="54">
        <v>-32852.5</v>
      </c>
      <c r="AJ30" s="54">
        <v>0</v>
      </c>
      <c r="AK30" s="54">
        <v>-1314100</v>
      </c>
      <c r="AL30" t="s">
        <v>135</v>
      </c>
      <c r="AM30">
        <v>0</v>
      </c>
    </row>
    <row r="31" spans="1:39" ht="11.25" hidden="1" customHeight="1" x14ac:dyDescent="0.2">
      <c r="A31" s="29" t="s">
        <v>2974</v>
      </c>
      <c r="B31" s="29" t="s">
        <v>3014</v>
      </c>
      <c r="C31" s="40">
        <v>45566</v>
      </c>
      <c r="D31" s="39" t="s">
        <v>3720</v>
      </c>
      <c r="E31" s="29" t="s">
        <v>101</v>
      </c>
      <c r="F31" s="32">
        <v>45594</v>
      </c>
      <c r="G31" s="32">
        <v>45958</v>
      </c>
      <c r="H31" s="30" t="s">
        <v>3813</v>
      </c>
      <c r="I31" s="31">
        <v>4210169995720</v>
      </c>
      <c r="J31" s="30" t="s">
        <v>29</v>
      </c>
      <c r="K31" s="29" t="s">
        <v>103</v>
      </c>
      <c r="L31" s="29" t="s">
        <v>104</v>
      </c>
      <c r="M31" s="29" t="s">
        <v>105</v>
      </c>
      <c r="N31" s="29" t="s">
        <v>3014</v>
      </c>
      <c r="O31" s="29" t="s">
        <v>3162</v>
      </c>
      <c r="P31" s="29" t="s">
        <v>3174</v>
      </c>
      <c r="Q31" s="29" t="s">
        <v>3175</v>
      </c>
      <c r="R31" s="32">
        <v>44133</v>
      </c>
      <c r="S31" s="32">
        <v>45966</v>
      </c>
      <c r="T31" s="33">
        <v>1633000</v>
      </c>
      <c r="U31" s="29">
        <v>25</v>
      </c>
      <c r="V31" s="34">
        <f t="shared" si="0"/>
        <v>408250</v>
      </c>
      <c r="W31" s="34">
        <f t="shared" si="1"/>
        <v>1224750</v>
      </c>
      <c r="X31" s="35">
        <v>2.5</v>
      </c>
      <c r="Y31" s="34">
        <f t="shared" si="2"/>
        <v>30618.75</v>
      </c>
      <c r="Z31" s="36" t="s">
        <v>3101</v>
      </c>
      <c r="AA31" s="29"/>
      <c r="AB31" s="29"/>
      <c r="AC31" s="29"/>
      <c r="AD31" s="29" t="s">
        <v>3156</v>
      </c>
      <c r="AE31" s="29">
        <v>0</v>
      </c>
      <c r="AG31" t="s">
        <v>4250</v>
      </c>
      <c r="AH31" s="54">
        <v>0</v>
      </c>
      <c r="AI31" s="54">
        <v>-30618.75</v>
      </c>
      <c r="AJ31" s="54">
        <v>0</v>
      </c>
      <c r="AK31" s="54">
        <v>-1224750</v>
      </c>
      <c r="AL31" t="s">
        <v>135</v>
      </c>
      <c r="AM31">
        <v>0</v>
      </c>
    </row>
    <row r="32" spans="1:39" ht="11.25" hidden="1" customHeight="1" x14ac:dyDescent="0.2">
      <c r="A32" s="29" t="s">
        <v>2974</v>
      </c>
      <c r="B32" s="29" t="s">
        <v>3066</v>
      </c>
      <c r="C32" s="40">
        <v>45444</v>
      </c>
      <c r="D32" s="39" t="s">
        <v>3720</v>
      </c>
      <c r="E32" s="29" t="s">
        <v>2751</v>
      </c>
      <c r="F32" s="32">
        <v>45472</v>
      </c>
      <c r="G32" s="32">
        <v>45836</v>
      </c>
      <c r="H32" s="30" t="s">
        <v>3774</v>
      </c>
      <c r="I32" s="31">
        <v>3520256314901</v>
      </c>
      <c r="J32" s="30" t="s">
        <v>292</v>
      </c>
      <c r="K32" s="29" t="s">
        <v>2753</v>
      </c>
      <c r="L32" s="29" t="s">
        <v>2754</v>
      </c>
      <c r="M32" s="29" t="s">
        <v>2755</v>
      </c>
      <c r="N32" s="29" t="s">
        <v>3066</v>
      </c>
      <c r="O32" s="29" t="s">
        <v>4013</v>
      </c>
      <c r="P32" s="29" t="s">
        <v>3154</v>
      </c>
      <c r="Q32" s="29" t="s">
        <v>3251</v>
      </c>
      <c r="R32" s="32">
        <v>44015</v>
      </c>
      <c r="S32" s="32">
        <v>45843</v>
      </c>
      <c r="T32" s="33">
        <v>1398000</v>
      </c>
      <c r="U32" s="29">
        <v>25</v>
      </c>
      <c r="V32" s="34">
        <f t="shared" si="0"/>
        <v>349500</v>
      </c>
      <c r="W32" s="34">
        <f t="shared" si="1"/>
        <v>1048500</v>
      </c>
      <c r="X32" s="35">
        <v>3.75</v>
      </c>
      <c r="Y32" s="34">
        <f t="shared" si="2"/>
        <v>39318.75</v>
      </c>
      <c r="Z32" s="36" t="s">
        <v>3133</v>
      </c>
      <c r="AA32" s="29"/>
      <c r="AB32" s="29"/>
      <c r="AC32" s="29"/>
      <c r="AD32" s="29" t="s">
        <v>3156</v>
      </c>
      <c r="AE32" s="29">
        <v>0</v>
      </c>
      <c r="AG32" t="s">
        <v>4264</v>
      </c>
      <c r="AH32" s="54">
        <v>0</v>
      </c>
      <c r="AI32" s="54">
        <v>-39318.75</v>
      </c>
      <c r="AJ32" s="54">
        <v>0</v>
      </c>
      <c r="AK32" s="54">
        <v>-1048500</v>
      </c>
      <c r="AL32" t="s">
        <v>135</v>
      </c>
      <c r="AM32">
        <v>0</v>
      </c>
    </row>
    <row r="33" spans="1:39" ht="11.25" hidden="1" customHeight="1" x14ac:dyDescent="0.2">
      <c r="A33" s="29" t="s">
        <v>2974</v>
      </c>
      <c r="B33" s="29" t="s">
        <v>3094</v>
      </c>
      <c r="C33" s="40">
        <v>45536</v>
      </c>
      <c r="D33" s="39" t="s">
        <v>3720</v>
      </c>
      <c r="E33" s="29" t="s">
        <v>2946</v>
      </c>
      <c r="F33" s="32">
        <v>45565</v>
      </c>
      <c r="G33" s="32">
        <v>45929</v>
      </c>
      <c r="H33" s="30" t="s">
        <v>3802</v>
      </c>
      <c r="I33" s="31">
        <v>9040601488645</v>
      </c>
      <c r="J33" s="30" t="s">
        <v>2499</v>
      </c>
      <c r="K33" s="29" t="s">
        <v>2948</v>
      </c>
      <c r="L33" s="29" t="s">
        <v>2949</v>
      </c>
      <c r="M33" s="29" t="s">
        <v>2950</v>
      </c>
      <c r="N33" s="29" t="s">
        <v>3094</v>
      </c>
      <c r="O33" s="29" t="s">
        <v>3162</v>
      </c>
      <c r="P33" s="29" t="s">
        <v>3163</v>
      </c>
      <c r="Q33" s="29" t="s">
        <v>3282</v>
      </c>
      <c r="R33" s="32">
        <v>44837</v>
      </c>
      <c r="S33" s="32">
        <v>46300</v>
      </c>
      <c r="T33" s="33">
        <v>2500000</v>
      </c>
      <c r="U33" s="29">
        <v>15</v>
      </c>
      <c r="V33" s="34">
        <f t="shared" si="0"/>
        <v>375000</v>
      </c>
      <c r="W33" s="34">
        <f t="shared" si="1"/>
        <v>2125000</v>
      </c>
      <c r="X33" s="35">
        <v>2</v>
      </c>
      <c r="Y33" s="34">
        <f t="shared" si="2"/>
        <v>42500</v>
      </c>
      <c r="Z33" s="36" t="s">
        <v>3100</v>
      </c>
      <c r="AA33" s="29"/>
      <c r="AB33" s="29"/>
      <c r="AC33" s="29"/>
      <c r="AD33" s="29" t="s">
        <v>3156</v>
      </c>
      <c r="AE33" s="29">
        <v>0</v>
      </c>
      <c r="AG33" t="s">
        <v>4265</v>
      </c>
      <c r="AH33" s="54">
        <v>0</v>
      </c>
      <c r="AI33" s="54">
        <v>-42500</v>
      </c>
      <c r="AJ33" s="54">
        <v>0</v>
      </c>
      <c r="AK33" s="54">
        <v>-2125000</v>
      </c>
      <c r="AL33" t="s">
        <v>135</v>
      </c>
      <c r="AM33">
        <v>0</v>
      </c>
    </row>
    <row r="34" spans="1:39" ht="11.25" hidden="1" customHeight="1" x14ac:dyDescent="0.2">
      <c r="A34" s="29" t="s">
        <v>2974</v>
      </c>
      <c r="B34" s="29" t="s">
        <v>3013</v>
      </c>
      <c r="C34" s="40">
        <v>45566</v>
      </c>
      <c r="D34" s="39" t="s">
        <v>3720</v>
      </c>
      <c r="E34" s="29" t="s">
        <v>92</v>
      </c>
      <c r="F34" s="32">
        <v>45567</v>
      </c>
      <c r="G34" s="32">
        <v>45931</v>
      </c>
      <c r="H34" s="30" t="s">
        <v>3803</v>
      </c>
      <c r="I34" s="31">
        <v>3540219739381</v>
      </c>
      <c r="J34" s="30" t="s">
        <v>94</v>
      </c>
      <c r="K34" s="29" t="s">
        <v>96</v>
      </c>
      <c r="L34" s="29" t="s">
        <v>97</v>
      </c>
      <c r="M34" s="29" t="s">
        <v>98</v>
      </c>
      <c r="N34" s="29" t="s">
        <v>3013</v>
      </c>
      <c r="O34" s="29" t="s">
        <v>4013</v>
      </c>
      <c r="P34" s="29" t="s">
        <v>3172</v>
      </c>
      <c r="Q34" s="29" t="s">
        <v>3173</v>
      </c>
      <c r="R34" s="32">
        <v>44113</v>
      </c>
      <c r="S34" s="32">
        <v>45936</v>
      </c>
      <c r="T34" s="33">
        <v>3343000</v>
      </c>
      <c r="U34" s="29">
        <v>25</v>
      </c>
      <c r="V34" s="34">
        <f t="shared" si="0"/>
        <v>835750</v>
      </c>
      <c r="W34" s="34">
        <f t="shared" si="1"/>
        <v>2507250</v>
      </c>
      <c r="X34" s="35">
        <v>2.5</v>
      </c>
      <c r="Y34" s="34">
        <f t="shared" si="2"/>
        <v>62681.25</v>
      </c>
      <c r="Z34" s="36" t="s">
        <v>3100</v>
      </c>
      <c r="AA34" s="29"/>
      <c r="AB34" s="29"/>
      <c r="AC34" s="29"/>
      <c r="AD34" s="29" t="s">
        <v>3156</v>
      </c>
      <c r="AE34" s="29">
        <v>0</v>
      </c>
      <c r="AG34" t="s">
        <v>4250</v>
      </c>
      <c r="AH34" s="54">
        <v>0</v>
      </c>
      <c r="AI34" s="54">
        <v>-62681.25</v>
      </c>
      <c r="AJ34" s="54">
        <v>0</v>
      </c>
      <c r="AK34" s="54">
        <v>-2507250</v>
      </c>
      <c r="AL34" t="s">
        <v>135</v>
      </c>
      <c r="AM34">
        <v>0</v>
      </c>
    </row>
    <row r="35" spans="1:39" ht="11.25" hidden="1" customHeight="1" x14ac:dyDescent="0.2">
      <c r="A35" s="29" t="s">
        <v>2974</v>
      </c>
      <c r="B35" s="29" t="s">
        <v>3075</v>
      </c>
      <c r="C35" s="40">
        <v>45474</v>
      </c>
      <c r="D35" s="39" t="s">
        <v>3720</v>
      </c>
      <c r="E35" s="29" t="s">
        <v>2804</v>
      </c>
      <c r="F35" s="32">
        <v>45499</v>
      </c>
      <c r="G35" s="32">
        <v>45863</v>
      </c>
      <c r="H35" s="30" t="s">
        <v>3781</v>
      </c>
      <c r="I35" s="31">
        <v>3520131326039</v>
      </c>
      <c r="J35" s="30" t="s">
        <v>492</v>
      </c>
      <c r="K35" s="29" t="s">
        <v>2806</v>
      </c>
      <c r="L35" s="29" t="s">
        <v>2807</v>
      </c>
      <c r="M35" s="29" t="s">
        <v>2808</v>
      </c>
      <c r="N35" s="29" t="s">
        <v>3075</v>
      </c>
      <c r="O35" s="29" t="s">
        <v>4013</v>
      </c>
      <c r="P35" s="29" t="s">
        <v>3198</v>
      </c>
      <c r="Q35" s="29" t="s">
        <v>3261</v>
      </c>
      <c r="R35" s="32">
        <v>43340</v>
      </c>
      <c r="S35" s="32">
        <v>45905</v>
      </c>
      <c r="T35" s="33">
        <v>795000</v>
      </c>
      <c r="U35" s="29">
        <v>35</v>
      </c>
      <c r="V35" s="34">
        <f t="shared" si="0"/>
        <v>278250</v>
      </c>
      <c r="W35" s="34">
        <f t="shared" si="1"/>
        <v>516750</v>
      </c>
      <c r="X35" s="35">
        <v>3.75</v>
      </c>
      <c r="Y35" s="34">
        <f t="shared" si="2"/>
        <v>19378.125</v>
      </c>
      <c r="Z35" s="36" t="s">
        <v>3138</v>
      </c>
      <c r="AA35" s="29"/>
      <c r="AB35" s="29"/>
      <c r="AC35" s="29"/>
      <c r="AD35" s="29" t="s">
        <v>3156</v>
      </c>
      <c r="AE35" s="29">
        <v>0</v>
      </c>
      <c r="AG35" t="s">
        <v>4266</v>
      </c>
      <c r="AH35" s="54">
        <v>0</v>
      </c>
      <c r="AI35" s="54">
        <v>-19378.125</v>
      </c>
      <c r="AJ35" s="54">
        <v>0</v>
      </c>
      <c r="AK35" s="54">
        <v>-516750</v>
      </c>
      <c r="AL35" t="s">
        <v>135</v>
      </c>
      <c r="AM35">
        <v>0</v>
      </c>
    </row>
    <row r="36" spans="1:39" ht="11.25" hidden="1" customHeight="1" x14ac:dyDescent="0.2">
      <c r="A36" s="29" t="s">
        <v>2974</v>
      </c>
      <c r="B36" s="29" t="s">
        <v>3049</v>
      </c>
      <c r="C36" s="40">
        <v>45383</v>
      </c>
      <c r="D36" s="39" t="s">
        <v>3720</v>
      </c>
      <c r="E36" s="29" t="s">
        <v>2602</v>
      </c>
      <c r="F36" s="32">
        <v>45395</v>
      </c>
      <c r="G36" s="32">
        <v>45759</v>
      </c>
      <c r="H36" s="30" t="s">
        <v>3758</v>
      </c>
      <c r="I36" s="31">
        <v>3710372309253</v>
      </c>
      <c r="J36" s="30" t="s">
        <v>368</v>
      </c>
      <c r="K36" s="29" t="s">
        <v>2604</v>
      </c>
      <c r="L36" s="29" t="s">
        <v>2605</v>
      </c>
      <c r="M36" s="29" t="s">
        <v>2606</v>
      </c>
      <c r="N36" s="29" t="s">
        <v>3049</v>
      </c>
      <c r="O36" s="29" t="s">
        <v>3167</v>
      </c>
      <c r="P36" s="29" t="s">
        <v>3227</v>
      </c>
      <c r="Q36" s="29" t="s">
        <v>3228</v>
      </c>
      <c r="R36" s="32">
        <v>44673</v>
      </c>
      <c r="S36" s="32">
        <v>46878</v>
      </c>
      <c r="T36" s="33">
        <v>2019000</v>
      </c>
      <c r="U36" s="29">
        <v>15</v>
      </c>
      <c r="V36" s="34">
        <f t="shared" si="0"/>
        <v>302850</v>
      </c>
      <c r="W36" s="34">
        <f t="shared" si="1"/>
        <v>1716150</v>
      </c>
      <c r="X36" s="35">
        <v>2.5</v>
      </c>
      <c r="Y36" s="34">
        <f t="shared" si="2"/>
        <v>42903.75</v>
      </c>
      <c r="Z36" s="36" t="s">
        <v>3122</v>
      </c>
      <c r="AA36" s="29"/>
      <c r="AB36" s="29"/>
      <c r="AC36" s="29"/>
      <c r="AD36" s="29" t="s">
        <v>3156</v>
      </c>
      <c r="AE36" s="29">
        <v>0</v>
      </c>
      <c r="AG36" t="s">
        <v>4267</v>
      </c>
      <c r="AH36" s="54">
        <v>0</v>
      </c>
      <c r="AI36" s="54">
        <v>-42903.75</v>
      </c>
      <c r="AJ36" s="54">
        <v>0</v>
      </c>
      <c r="AK36" s="54">
        <v>-1716150</v>
      </c>
      <c r="AL36" t="s">
        <v>135</v>
      </c>
      <c r="AM36">
        <v>0</v>
      </c>
    </row>
    <row r="37" spans="1:39" ht="11.25" hidden="1" customHeight="1" x14ac:dyDescent="0.2">
      <c r="A37" s="29" t="s">
        <v>2974</v>
      </c>
      <c r="B37" s="29" t="s">
        <v>3050</v>
      </c>
      <c r="C37" s="40">
        <v>45383</v>
      </c>
      <c r="D37" s="39" t="s">
        <v>3720</v>
      </c>
      <c r="E37" s="29" t="s">
        <v>2610</v>
      </c>
      <c r="F37" s="32">
        <v>45398</v>
      </c>
      <c r="G37" s="32">
        <v>45762</v>
      </c>
      <c r="H37" s="30" t="s">
        <v>3759</v>
      </c>
      <c r="I37" s="31">
        <v>3520226436323</v>
      </c>
      <c r="J37" s="30" t="s">
        <v>1470</v>
      </c>
      <c r="K37" s="29" t="s">
        <v>2612</v>
      </c>
      <c r="L37" s="29" t="s">
        <v>2613</v>
      </c>
      <c r="M37" s="29" t="s">
        <v>2614</v>
      </c>
      <c r="N37" s="29" t="s">
        <v>3050</v>
      </c>
      <c r="O37" s="29" t="s">
        <v>4013</v>
      </c>
      <c r="P37" s="29" t="s">
        <v>3229</v>
      </c>
      <c r="Q37" s="29" t="s">
        <v>3230</v>
      </c>
      <c r="R37" s="32">
        <v>44691</v>
      </c>
      <c r="S37" s="32">
        <v>46512</v>
      </c>
      <c r="T37" s="33">
        <v>1975000</v>
      </c>
      <c r="U37" s="29">
        <v>15</v>
      </c>
      <c r="V37" s="34">
        <f t="shared" si="0"/>
        <v>296250</v>
      </c>
      <c r="W37" s="34">
        <f t="shared" si="1"/>
        <v>1678750</v>
      </c>
      <c r="X37" s="35">
        <v>1.75</v>
      </c>
      <c r="Y37" s="34">
        <f t="shared" si="2"/>
        <v>29378.125000000004</v>
      </c>
      <c r="Z37" s="36" t="s">
        <v>3123</v>
      </c>
      <c r="AA37" s="29"/>
      <c r="AB37" s="29"/>
      <c r="AC37" s="29"/>
      <c r="AD37" s="29" t="s">
        <v>3156</v>
      </c>
      <c r="AE37" s="29">
        <v>0</v>
      </c>
      <c r="AG37" t="s">
        <v>4267</v>
      </c>
      <c r="AH37" s="54">
        <v>0</v>
      </c>
      <c r="AI37" s="54">
        <v>-29378.125000000004</v>
      </c>
      <c r="AJ37" s="54">
        <v>0</v>
      </c>
      <c r="AK37" s="54">
        <v>-1678750</v>
      </c>
      <c r="AL37" t="s">
        <v>135</v>
      </c>
      <c r="AM37">
        <v>0</v>
      </c>
    </row>
    <row r="38" spans="1:39" ht="11.25" hidden="1" customHeight="1" x14ac:dyDescent="0.2">
      <c r="A38" s="29" t="s">
        <v>2974</v>
      </c>
      <c r="B38" s="29" t="s">
        <v>3057</v>
      </c>
      <c r="C38" s="40">
        <v>45383</v>
      </c>
      <c r="D38" s="39" t="s">
        <v>3720</v>
      </c>
      <c r="E38" s="29" t="s">
        <v>2673</v>
      </c>
      <c r="F38" s="32">
        <v>45407</v>
      </c>
      <c r="G38" s="32">
        <v>45771</v>
      </c>
      <c r="H38" s="30" t="s">
        <v>3762</v>
      </c>
      <c r="I38" s="31">
        <v>4240115842271</v>
      </c>
      <c r="J38" s="30" t="s">
        <v>1470</v>
      </c>
      <c r="K38" s="29" t="s">
        <v>2675</v>
      </c>
      <c r="L38" s="29" t="s">
        <v>2676</v>
      </c>
      <c r="M38" s="29" t="s">
        <v>2677</v>
      </c>
      <c r="N38" s="29" t="s">
        <v>3057</v>
      </c>
      <c r="O38" s="29" t="s">
        <v>3162</v>
      </c>
      <c r="P38" s="29" t="s">
        <v>3238</v>
      </c>
      <c r="Q38" s="29" t="s">
        <v>3239</v>
      </c>
      <c r="R38" s="32">
        <v>43588</v>
      </c>
      <c r="S38" s="32">
        <v>46147</v>
      </c>
      <c r="T38" s="33">
        <v>1050000</v>
      </c>
      <c r="U38" s="29">
        <v>30</v>
      </c>
      <c r="V38" s="34">
        <f t="shared" si="0"/>
        <v>315000</v>
      </c>
      <c r="W38" s="34">
        <f t="shared" si="1"/>
        <v>735000</v>
      </c>
      <c r="X38" s="35">
        <v>3.75</v>
      </c>
      <c r="Y38" s="34">
        <f t="shared" si="2"/>
        <v>27562.5</v>
      </c>
      <c r="Z38" s="36" t="s">
        <v>3123</v>
      </c>
      <c r="AA38" s="29"/>
      <c r="AB38" s="29"/>
      <c r="AC38" s="29"/>
      <c r="AD38" s="29" t="s">
        <v>3156</v>
      </c>
      <c r="AE38" s="29">
        <v>0</v>
      </c>
      <c r="AG38" t="s">
        <v>4268</v>
      </c>
      <c r="AH38" s="54">
        <v>0</v>
      </c>
      <c r="AI38" s="54">
        <v>-27562.5</v>
      </c>
      <c r="AJ38" s="54">
        <v>0</v>
      </c>
      <c r="AK38" s="54">
        <v>-735000</v>
      </c>
      <c r="AL38" t="s">
        <v>135</v>
      </c>
      <c r="AM38">
        <v>0</v>
      </c>
    </row>
    <row r="39" spans="1:39" ht="11.25" hidden="1" customHeight="1" x14ac:dyDescent="0.2">
      <c r="A39" s="29" t="s">
        <v>2974</v>
      </c>
      <c r="B39" s="29" t="s">
        <v>3021</v>
      </c>
      <c r="C39" s="40">
        <v>45108</v>
      </c>
      <c r="D39" s="39" t="s">
        <v>3720</v>
      </c>
      <c r="E39" s="29" t="s">
        <v>2259</v>
      </c>
      <c r="F39" s="32">
        <v>45113</v>
      </c>
      <c r="G39" s="32">
        <v>45478</v>
      </c>
      <c r="H39" s="30" t="s">
        <v>3729</v>
      </c>
      <c r="I39" s="31">
        <v>3520113663519</v>
      </c>
      <c r="J39" s="30" t="s">
        <v>2261</v>
      </c>
      <c r="K39" s="29" t="s">
        <v>2262</v>
      </c>
      <c r="L39" s="29" t="s">
        <v>2263</v>
      </c>
      <c r="M39" s="29" t="s">
        <v>2264</v>
      </c>
      <c r="N39" s="29" t="s">
        <v>3021</v>
      </c>
      <c r="O39" s="29" t="s">
        <v>4013</v>
      </c>
      <c r="P39" s="29" t="s">
        <v>3154</v>
      </c>
      <c r="Q39" s="29" t="s">
        <v>3191</v>
      </c>
      <c r="R39" s="32">
        <v>44386</v>
      </c>
      <c r="S39" s="32">
        <v>45478</v>
      </c>
      <c r="T39" s="33">
        <v>2072000</v>
      </c>
      <c r="U39" s="29">
        <v>15</v>
      </c>
      <c r="V39" s="34">
        <f t="shared" si="0"/>
        <v>310800</v>
      </c>
      <c r="W39" s="34">
        <f t="shared" si="1"/>
        <v>1761200</v>
      </c>
      <c r="X39" s="35">
        <v>2.5</v>
      </c>
      <c r="Y39" s="34">
        <f t="shared" si="2"/>
        <v>44030</v>
      </c>
      <c r="Z39" s="36" t="s">
        <v>3104</v>
      </c>
      <c r="AA39" s="29"/>
      <c r="AB39" s="29"/>
      <c r="AC39" s="29"/>
      <c r="AD39" s="29" t="s">
        <v>3156</v>
      </c>
      <c r="AE39" s="29">
        <v>0</v>
      </c>
      <c r="AG39" t="s">
        <v>4269</v>
      </c>
      <c r="AH39" s="54">
        <v>0</v>
      </c>
      <c r="AI39" s="54">
        <v>-44030</v>
      </c>
      <c r="AJ39" s="54">
        <v>0</v>
      </c>
      <c r="AK39" s="54">
        <v>-1761200</v>
      </c>
      <c r="AL39" t="s">
        <v>135</v>
      </c>
      <c r="AM39">
        <v>0</v>
      </c>
    </row>
    <row r="40" spans="1:39" ht="11.25" hidden="1" customHeight="1" x14ac:dyDescent="0.2">
      <c r="A40" s="29" t="s">
        <v>2974</v>
      </c>
      <c r="B40" s="29" t="s">
        <v>3082</v>
      </c>
      <c r="C40" s="40">
        <v>45505</v>
      </c>
      <c r="D40" s="39" t="s">
        <v>3720</v>
      </c>
      <c r="E40" s="29" t="s">
        <v>2859</v>
      </c>
      <c r="F40" s="32">
        <v>45520</v>
      </c>
      <c r="G40" s="32">
        <v>45884</v>
      </c>
      <c r="H40" s="30" t="s">
        <v>3784</v>
      </c>
      <c r="I40" s="31">
        <v>3320104447931</v>
      </c>
      <c r="J40" s="30" t="s">
        <v>1422</v>
      </c>
      <c r="K40" s="29"/>
      <c r="L40" s="29" t="s">
        <v>2861</v>
      </c>
      <c r="M40" s="29" t="s">
        <v>2862</v>
      </c>
      <c r="N40" s="29" t="s">
        <v>3082</v>
      </c>
      <c r="O40" s="29" t="s">
        <v>4013</v>
      </c>
      <c r="P40" s="29" t="s">
        <v>3154</v>
      </c>
      <c r="Q40" s="29" t="s">
        <v>3270</v>
      </c>
      <c r="R40" s="32">
        <v>44434</v>
      </c>
      <c r="S40" s="32">
        <v>46270</v>
      </c>
      <c r="T40" s="33">
        <v>1830000</v>
      </c>
      <c r="U40" s="29">
        <v>20</v>
      </c>
      <c r="V40" s="34">
        <f t="shared" si="0"/>
        <v>366000</v>
      </c>
      <c r="W40" s="34">
        <f t="shared" si="1"/>
        <v>1464000</v>
      </c>
      <c r="X40" s="35">
        <v>2.5</v>
      </c>
      <c r="Y40" s="34">
        <f t="shared" si="2"/>
        <v>36600</v>
      </c>
      <c r="Z40" s="36" t="s">
        <v>3144</v>
      </c>
      <c r="AA40" s="29"/>
      <c r="AB40" s="29"/>
      <c r="AC40" s="29"/>
      <c r="AD40" s="29" t="s">
        <v>3156</v>
      </c>
      <c r="AE40" s="29">
        <v>0</v>
      </c>
      <c r="AG40" t="s">
        <v>4270</v>
      </c>
      <c r="AH40" s="54">
        <v>0</v>
      </c>
      <c r="AI40" s="54">
        <v>-36600</v>
      </c>
      <c r="AJ40" s="54">
        <v>0</v>
      </c>
      <c r="AK40" s="54">
        <v>-1464000</v>
      </c>
      <c r="AL40" t="s">
        <v>135</v>
      </c>
      <c r="AM40">
        <v>0</v>
      </c>
    </row>
    <row r="41" spans="1:39" ht="11.25" hidden="1" customHeight="1" x14ac:dyDescent="0.2">
      <c r="A41" s="29" t="s">
        <v>2974</v>
      </c>
      <c r="B41" s="29" t="s">
        <v>3005</v>
      </c>
      <c r="C41" s="40">
        <v>45566</v>
      </c>
      <c r="D41" s="39" t="s">
        <v>3720</v>
      </c>
      <c r="E41" s="29" t="s">
        <v>27</v>
      </c>
      <c r="F41" s="32">
        <v>45575</v>
      </c>
      <c r="G41" s="32">
        <v>45939</v>
      </c>
      <c r="H41" s="30" t="s">
        <v>3804</v>
      </c>
      <c r="I41" s="31">
        <v>3520113900661</v>
      </c>
      <c r="J41" s="30" t="s">
        <v>29</v>
      </c>
      <c r="K41" s="29" t="s">
        <v>31</v>
      </c>
      <c r="L41" s="29" t="s">
        <v>32</v>
      </c>
      <c r="M41" s="29" t="s">
        <v>33</v>
      </c>
      <c r="N41" s="29" t="s">
        <v>3005</v>
      </c>
      <c r="O41" s="29" t="s">
        <v>4013</v>
      </c>
      <c r="P41" s="29" t="s">
        <v>3154</v>
      </c>
      <c r="Q41" s="29" t="s">
        <v>3155</v>
      </c>
      <c r="R41" s="32">
        <v>44848</v>
      </c>
      <c r="S41" s="32">
        <v>46665</v>
      </c>
      <c r="T41" s="33">
        <v>1675000</v>
      </c>
      <c r="U41" s="29">
        <v>15</v>
      </c>
      <c r="V41" s="34">
        <f t="shared" si="0"/>
        <v>251250</v>
      </c>
      <c r="W41" s="34">
        <f t="shared" si="1"/>
        <v>1423750</v>
      </c>
      <c r="X41" s="35">
        <v>2.5</v>
      </c>
      <c r="Y41" s="34">
        <f t="shared" si="2"/>
        <v>35593.75</v>
      </c>
      <c r="Z41" s="36" t="s">
        <v>3149</v>
      </c>
      <c r="AA41" s="29"/>
      <c r="AB41" s="29"/>
      <c r="AC41" s="29"/>
      <c r="AD41" s="29" t="s">
        <v>3156</v>
      </c>
      <c r="AE41" s="29">
        <v>0</v>
      </c>
      <c r="AG41" t="s">
        <v>4250</v>
      </c>
      <c r="AH41" s="54">
        <v>0</v>
      </c>
      <c r="AI41" s="54">
        <v>-35593.75</v>
      </c>
      <c r="AJ41" s="54">
        <v>0</v>
      </c>
      <c r="AK41" s="54">
        <v>-1423750</v>
      </c>
      <c r="AL41" t="s">
        <v>135</v>
      </c>
      <c r="AM41">
        <v>0</v>
      </c>
    </row>
    <row r="42" spans="1:39" ht="11.25" hidden="1" customHeight="1" x14ac:dyDescent="0.2">
      <c r="A42" s="29" t="s">
        <v>2974</v>
      </c>
      <c r="B42" s="29" t="s">
        <v>3009</v>
      </c>
      <c r="C42" s="40">
        <v>45566</v>
      </c>
      <c r="D42" s="39" t="s">
        <v>3720</v>
      </c>
      <c r="E42" s="29" t="s">
        <v>60</v>
      </c>
      <c r="F42" s="32">
        <v>45577</v>
      </c>
      <c r="G42" s="32">
        <v>45941</v>
      </c>
      <c r="H42" s="30" t="s">
        <v>3806</v>
      </c>
      <c r="I42" s="31">
        <v>4220198430769</v>
      </c>
      <c r="J42" s="30" t="s">
        <v>62</v>
      </c>
      <c r="K42" s="29" t="s">
        <v>64</v>
      </c>
      <c r="L42" s="29" t="s">
        <v>65</v>
      </c>
      <c r="M42" s="29" t="s">
        <v>66</v>
      </c>
      <c r="N42" s="29" t="s">
        <v>3009</v>
      </c>
      <c r="O42" s="29" t="s">
        <v>3162</v>
      </c>
      <c r="P42" s="29" t="s">
        <v>3163</v>
      </c>
      <c r="Q42" s="29" t="s">
        <v>3164</v>
      </c>
      <c r="R42" s="32">
        <v>45212</v>
      </c>
      <c r="S42" s="32">
        <v>46300</v>
      </c>
      <c r="T42" s="33">
        <v>4958000</v>
      </c>
      <c r="U42" s="29">
        <v>10</v>
      </c>
      <c r="V42" s="34">
        <f t="shared" si="0"/>
        <v>495800</v>
      </c>
      <c r="W42" s="34">
        <f t="shared" si="1"/>
        <v>4462200</v>
      </c>
      <c r="X42" s="35">
        <v>1.25</v>
      </c>
      <c r="Y42" s="34">
        <f t="shared" si="2"/>
        <v>55777.5</v>
      </c>
      <c r="Z42" s="36" t="s">
        <v>3098</v>
      </c>
      <c r="AA42" s="29"/>
      <c r="AB42" s="29"/>
      <c r="AC42" s="29"/>
      <c r="AD42" s="29" t="s">
        <v>3156</v>
      </c>
      <c r="AE42" s="29">
        <v>0</v>
      </c>
      <c r="AG42" t="s">
        <v>4250</v>
      </c>
      <c r="AH42" s="54">
        <v>0</v>
      </c>
      <c r="AI42" s="54">
        <v>-55777.5</v>
      </c>
      <c r="AJ42" s="54">
        <v>0</v>
      </c>
      <c r="AK42" s="54">
        <v>-4462200</v>
      </c>
      <c r="AL42" t="s">
        <v>135</v>
      </c>
      <c r="AM42">
        <v>0</v>
      </c>
    </row>
    <row r="43" spans="1:39" ht="11.25" hidden="1" customHeight="1" x14ac:dyDescent="0.2">
      <c r="A43" s="29" t="s">
        <v>2974</v>
      </c>
      <c r="B43" s="29" t="s">
        <v>3332</v>
      </c>
      <c r="C43" s="40">
        <v>45597</v>
      </c>
      <c r="D43" s="39" t="s">
        <v>3720</v>
      </c>
      <c r="E43" s="29" t="s">
        <v>846</v>
      </c>
      <c r="F43" s="32">
        <v>45620</v>
      </c>
      <c r="G43" s="32">
        <v>45984</v>
      </c>
      <c r="H43" s="30" t="s">
        <v>3885</v>
      </c>
      <c r="I43" s="31">
        <v>3520180913293</v>
      </c>
      <c r="J43" s="30" t="s">
        <v>848</v>
      </c>
      <c r="K43" s="29" t="s">
        <v>849</v>
      </c>
      <c r="L43" s="29" t="s">
        <v>850</v>
      </c>
      <c r="M43" s="29" t="s">
        <v>851</v>
      </c>
      <c r="N43" s="29" t="s">
        <v>3332</v>
      </c>
      <c r="O43" s="29" t="s">
        <v>4013</v>
      </c>
      <c r="P43" s="29" t="s">
        <v>3154</v>
      </c>
      <c r="Q43" s="29" t="s">
        <v>3536</v>
      </c>
      <c r="R43" s="32">
        <v>44165</v>
      </c>
      <c r="S43" s="32">
        <v>45996</v>
      </c>
      <c r="T43" s="33">
        <v>2498000</v>
      </c>
      <c r="U43" s="29">
        <v>25</v>
      </c>
      <c r="V43" s="34">
        <f t="shared" si="0"/>
        <v>624500</v>
      </c>
      <c r="W43" s="34">
        <f t="shared" si="1"/>
        <v>1873500</v>
      </c>
      <c r="X43" s="35">
        <v>3.75</v>
      </c>
      <c r="Y43" s="34">
        <f t="shared" si="2"/>
        <v>70256.25</v>
      </c>
      <c r="Z43" s="36" t="s">
        <v>3098</v>
      </c>
      <c r="AA43" s="29"/>
      <c r="AB43" s="29"/>
      <c r="AC43" s="29"/>
      <c r="AD43" s="29" t="s">
        <v>3156</v>
      </c>
      <c r="AE43" s="29">
        <v>0</v>
      </c>
      <c r="AG43" t="s">
        <v>846</v>
      </c>
      <c r="AH43" s="54">
        <v>70256</v>
      </c>
      <c r="AI43" s="54">
        <v>-0.25</v>
      </c>
      <c r="AJ43" s="54">
        <v>1873500</v>
      </c>
      <c r="AK43" s="54">
        <v>0</v>
      </c>
      <c r="AL43" t="s">
        <v>26</v>
      </c>
      <c r="AM43" t="s">
        <v>4249</v>
      </c>
    </row>
    <row r="44" spans="1:39" ht="11.25" hidden="1" customHeight="1" x14ac:dyDescent="0.2">
      <c r="A44" s="29" t="s">
        <v>2974</v>
      </c>
      <c r="B44" s="29" t="s">
        <v>3068</v>
      </c>
      <c r="C44" s="40">
        <v>45444</v>
      </c>
      <c r="D44" s="39" t="s">
        <v>3720</v>
      </c>
      <c r="E44" s="29" t="s">
        <v>2762</v>
      </c>
      <c r="F44" s="32">
        <v>45465</v>
      </c>
      <c r="G44" s="32">
        <v>45829</v>
      </c>
      <c r="H44" s="30" t="s">
        <v>3771</v>
      </c>
      <c r="I44" s="31">
        <v>3520015033529</v>
      </c>
      <c r="J44" s="30" t="s">
        <v>934</v>
      </c>
      <c r="K44" s="29" t="s">
        <v>2764</v>
      </c>
      <c r="L44" s="29" t="s">
        <v>2765</v>
      </c>
      <c r="M44" s="29" t="s">
        <v>2766</v>
      </c>
      <c r="N44" s="29" t="s">
        <v>3068</v>
      </c>
      <c r="O44" s="29" t="s">
        <v>4013</v>
      </c>
      <c r="P44" s="29" t="s">
        <v>3154</v>
      </c>
      <c r="Q44" s="29" t="s">
        <v>3253</v>
      </c>
      <c r="R44" s="32">
        <v>45103</v>
      </c>
      <c r="S44" s="32">
        <v>45843</v>
      </c>
      <c r="T44" s="33">
        <v>1856000</v>
      </c>
      <c r="U44" s="29">
        <v>10</v>
      </c>
      <c r="V44" s="34">
        <f t="shared" si="0"/>
        <v>185600</v>
      </c>
      <c r="W44" s="34">
        <f t="shared" si="1"/>
        <v>1670400</v>
      </c>
      <c r="X44" s="35">
        <v>2</v>
      </c>
      <c r="Y44" s="34">
        <f t="shared" si="2"/>
        <v>33408</v>
      </c>
      <c r="Z44" s="36" t="s">
        <v>3134</v>
      </c>
      <c r="AA44" s="29"/>
      <c r="AB44" s="29"/>
      <c r="AC44" s="29"/>
      <c r="AD44" s="29" t="s">
        <v>3156</v>
      </c>
      <c r="AE44" s="29">
        <v>0</v>
      </c>
    </row>
    <row r="45" spans="1:39" ht="11.25" hidden="1" customHeight="1" x14ac:dyDescent="0.2">
      <c r="A45" s="29" t="s">
        <v>2974</v>
      </c>
      <c r="B45" s="29" t="s">
        <v>3077</v>
      </c>
      <c r="C45" s="40">
        <v>45505</v>
      </c>
      <c r="D45" s="39" t="s">
        <v>3720</v>
      </c>
      <c r="E45" s="29" t="s">
        <v>2820</v>
      </c>
      <c r="F45" s="32">
        <v>45520</v>
      </c>
      <c r="G45" s="32">
        <v>45884</v>
      </c>
      <c r="H45" s="30" t="s">
        <v>3785</v>
      </c>
      <c r="I45" s="31">
        <v>3630309398157</v>
      </c>
      <c r="J45" s="30" t="s">
        <v>29</v>
      </c>
      <c r="K45" s="29"/>
      <c r="L45" s="29" t="s">
        <v>2822</v>
      </c>
      <c r="M45" s="29" t="s">
        <v>2823</v>
      </c>
      <c r="N45" s="29" t="s">
        <v>3077</v>
      </c>
      <c r="O45" s="29" t="s">
        <v>4013</v>
      </c>
      <c r="P45" s="29" t="s">
        <v>3216</v>
      </c>
      <c r="Q45" s="29" t="s">
        <v>3263</v>
      </c>
      <c r="R45" s="32">
        <v>45155</v>
      </c>
      <c r="S45" s="32">
        <v>45905</v>
      </c>
      <c r="T45" s="33">
        <v>2612000</v>
      </c>
      <c r="U45" s="29">
        <v>10</v>
      </c>
      <c r="V45" s="34">
        <f t="shared" si="0"/>
        <v>261200</v>
      </c>
      <c r="W45" s="34">
        <f t="shared" si="1"/>
        <v>2350800</v>
      </c>
      <c r="X45" s="35">
        <v>2</v>
      </c>
      <c r="Y45" s="34">
        <f t="shared" si="2"/>
        <v>47016</v>
      </c>
      <c r="Z45" s="36" t="s">
        <v>3140</v>
      </c>
      <c r="AA45" s="29"/>
      <c r="AB45" s="29"/>
      <c r="AC45" s="29"/>
      <c r="AD45" s="29" t="s">
        <v>3156</v>
      </c>
      <c r="AE45" s="29">
        <v>0</v>
      </c>
      <c r="AG45" t="s">
        <v>4262</v>
      </c>
      <c r="AH45" s="54">
        <v>0</v>
      </c>
      <c r="AI45" s="54">
        <v>-47016</v>
      </c>
      <c r="AJ45" s="54">
        <v>0</v>
      </c>
      <c r="AK45" s="54">
        <v>-2350800</v>
      </c>
      <c r="AL45" t="s">
        <v>135</v>
      </c>
      <c r="AM45">
        <v>0</v>
      </c>
    </row>
    <row r="46" spans="1:39" ht="11.25" hidden="1" customHeight="1" x14ac:dyDescent="0.2">
      <c r="A46" s="29" t="s">
        <v>2974</v>
      </c>
      <c r="B46" s="29" t="s">
        <v>3093</v>
      </c>
      <c r="C46" s="40">
        <v>45536</v>
      </c>
      <c r="D46" s="39" t="s">
        <v>3720</v>
      </c>
      <c r="E46" s="29" t="s">
        <v>2938</v>
      </c>
      <c r="F46" s="32">
        <v>45563</v>
      </c>
      <c r="G46" s="32">
        <v>45927</v>
      </c>
      <c r="H46" s="30" t="s">
        <v>3797</v>
      </c>
      <c r="I46" s="31">
        <v>3520115222267</v>
      </c>
      <c r="J46" s="30" t="s">
        <v>283</v>
      </c>
      <c r="K46" s="29" t="s">
        <v>2940</v>
      </c>
      <c r="L46" s="29" t="s">
        <v>2941</v>
      </c>
      <c r="M46" s="29" t="s">
        <v>2942</v>
      </c>
      <c r="N46" s="29" t="s">
        <v>3093</v>
      </c>
      <c r="O46" s="29" t="s">
        <v>4013</v>
      </c>
      <c r="P46" s="29" t="s">
        <v>3154</v>
      </c>
      <c r="Q46" s="29" t="s">
        <v>3281</v>
      </c>
      <c r="R46" s="32">
        <v>44833</v>
      </c>
      <c r="S46" s="32">
        <v>45936</v>
      </c>
      <c r="T46" s="33">
        <v>2650000</v>
      </c>
      <c r="U46" s="29">
        <v>15</v>
      </c>
      <c r="V46" s="34">
        <f t="shared" si="0"/>
        <v>397500</v>
      </c>
      <c r="W46" s="34">
        <f t="shared" si="1"/>
        <v>2252500</v>
      </c>
      <c r="X46" s="35">
        <v>1.5</v>
      </c>
      <c r="Y46" s="34">
        <f t="shared" si="2"/>
        <v>33787.5</v>
      </c>
      <c r="Z46" s="36" t="s">
        <v>3140</v>
      </c>
      <c r="AA46" s="29"/>
      <c r="AB46" s="29"/>
      <c r="AC46" s="29"/>
      <c r="AD46" s="29" t="s">
        <v>3156</v>
      </c>
      <c r="AE46" s="29">
        <v>0</v>
      </c>
      <c r="AG46" t="s">
        <v>4265</v>
      </c>
      <c r="AH46" s="54">
        <v>0</v>
      </c>
      <c r="AI46" s="54">
        <v>-33787.5</v>
      </c>
      <c r="AJ46" s="54">
        <v>0</v>
      </c>
      <c r="AK46" s="54">
        <v>-2252500</v>
      </c>
      <c r="AL46" t="s">
        <v>135</v>
      </c>
      <c r="AM46">
        <v>0</v>
      </c>
    </row>
    <row r="47" spans="1:39" ht="11.25" hidden="1" customHeight="1" x14ac:dyDescent="0.2">
      <c r="A47" s="29" t="s">
        <v>2974</v>
      </c>
      <c r="B47" s="29" t="s">
        <v>3092</v>
      </c>
      <c r="C47" s="40">
        <v>45536</v>
      </c>
      <c r="D47" s="39" t="s">
        <v>3720</v>
      </c>
      <c r="E47" s="29" t="s">
        <v>2930</v>
      </c>
      <c r="F47" s="32">
        <v>45563</v>
      </c>
      <c r="G47" s="32">
        <v>45927</v>
      </c>
      <c r="H47" s="30" t="s">
        <v>3798</v>
      </c>
      <c r="I47" s="31">
        <v>3520014213037</v>
      </c>
      <c r="J47" s="30" t="s">
        <v>400</v>
      </c>
      <c r="K47" s="29" t="s">
        <v>2932</v>
      </c>
      <c r="L47" s="29" t="s">
        <v>2933</v>
      </c>
      <c r="M47" s="29" t="s">
        <v>2934</v>
      </c>
      <c r="N47" s="29" t="s">
        <v>3092</v>
      </c>
      <c r="O47" s="29" t="s">
        <v>4013</v>
      </c>
      <c r="P47" s="29" t="s">
        <v>3154</v>
      </c>
      <c r="Q47" s="29" t="s">
        <v>3280</v>
      </c>
      <c r="R47" s="32">
        <v>44834</v>
      </c>
      <c r="S47" s="32">
        <v>46665</v>
      </c>
      <c r="T47" s="33">
        <v>2569000</v>
      </c>
      <c r="U47" s="29">
        <v>15</v>
      </c>
      <c r="V47" s="34">
        <f t="shared" si="0"/>
        <v>385350</v>
      </c>
      <c r="W47" s="34">
        <f t="shared" si="1"/>
        <v>2183650</v>
      </c>
      <c r="X47" s="35">
        <v>2</v>
      </c>
      <c r="Y47" s="34">
        <f t="shared" si="2"/>
        <v>43673</v>
      </c>
      <c r="Z47" s="36" t="s">
        <v>3284</v>
      </c>
      <c r="AA47" s="29"/>
      <c r="AB47" s="29"/>
      <c r="AC47" s="29"/>
      <c r="AD47" s="29" t="s">
        <v>3156</v>
      </c>
      <c r="AE47" s="29">
        <v>0</v>
      </c>
      <c r="AG47" t="s">
        <v>4265</v>
      </c>
      <c r="AH47" s="54">
        <v>0</v>
      </c>
      <c r="AI47" s="54">
        <v>-43673</v>
      </c>
      <c r="AJ47" s="54">
        <v>0</v>
      </c>
      <c r="AK47" s="54">
        <v>-2183650</v>
      </c>
      <c r="AL47" t="s">
        <v>135</v>
      </c>
      <c r="AM47">
        <v>0</v>
      </c>
    </row>
    <row r="48" spans="1:39" ht="11.25" hidden="1" customHeight="1" x14ac:dyDescent="0.2">
      <c r="A48" s="29" t="s">
        <v>2974</v>
      </c>
      <c r="B48" s="29" t="s">
        <v>3024</v>
      </c>
      <c r="C48" s="40">
        <v>45139</v>
      </c>
      <c r="D48" s="39" t="s">
        <v>3720</v>
      </c>
      <c r="E48" s="29" t="s">
        <v>2297</v>
      </c>
      <c r="F48" s="32">
        <v>45168</v>
      </c>
      <c r="G48" s="32">
        <v>45533</v>
      </c>
      <c r="H48" s="30" t="s">
        <v>3731</v>
      </c>
      <c r="I48" s="31">
        <v>3520226786699</v>
      </c>
      <c r="J48" s="30" t="s">
        <v>71</v>
      </c>
      <c r="K48" s="29" t="s">
        <v>2299</v>
      </c>
      <c r="L48" s="29" t="s">
        <v>2300</v>
      </c>
      <c r="M48" s="29" t="s">
        <v>2301</v>
      </c>
      <c r="N48" s="29" t="s">
        <v>3024</v>
      </c>
      <c r="O48" s="29" t="s">
        <v>4013</v>
      </c>
      <c r="P48" s="29" t="s">
        <v>3195</v>
      </c>
      <c r="Q48" s="29" t="s">
        <v>3196</v>
      </c>
      <c r="R48" s="32">
        <v>43711</v>
      </c>
      <c r="S48" s="32">
        <v>45540</v>
      </c>
      <c r="T48" s="33">
        <v>1395000</v>
      </c>
      <c r="U48" s="29">
        <v>25</v>
      </c>
      <c r="V48" s="34">
        <f t="shared" si="0"/>
        <v>348750</v>
      </c>
      <c r="W48" s="34">
        <f t="shared" si="1"/>
        <v>1046250</v>
      </c>
      <c r="X48" s="35">
        <v>3.75</v>
      </c>
      <c r="Y48" s="34">
        <f t="shared" si="2"/>
        <v>39234.375</v>
      </c>
      <c r="Z48" s="36" t="s">
        <v>3107</v>
      </c>
      <c r="AA48" s="29"/>
      <c r="AB48" s="29"/>
      <c r="AC48" s="29"/>
      <c r="AD48" s="29" t="s">
        <v>3156</v>
      </c>
      <c r="AE48" s="29">
        <v>0</v>
      </c>
      <c r="AG48" t="s">
        <v>4271</v>
      </c>
      <c r="AH48" s="54">
        <v>0</v>
      </c>
      <c r="AI48" s="54">
        <v>-39234.375</v>
      </c>
      <c r="AJ48" s="54">
        <v>0</v>
      </c>
      <c r="AK48" s="54">
        <v>-1046250</v>
      </c>
      <c r="AL48" t="s">
        <v>135</v>
      </c>
      <c r="AM48">
        <v>0</v>
      </c>
    </row>
    <row r="49" spans="1:39" ht="11.25" hidden="1" customHeight="1" x14ac:dyDescent="0.2">
      <c r="A49" s="29" t="s">
        <v>2974</v>
      </c>
      <c r="B49" s="29" t="s">
        <v>3043</v>
      </c>
      <c r="C49" s="40">
        <v>45352</v>
      </c>
      <c r="D49" s="39" t="s">
        <v>3720</v>
      </c>
      <c r="E49" s="29" t="s">
        <v>2497</v>
      </c>
      <c r="F49" s="32">
        <v>45366</v>
      </c>
      <c r="G49" s="32">
        <v>45730</v>
      </c>
      <c r="H49" s="30" t="s">
        <v>3748</v>
      </c>
      <c r="I49" s="31">
        <v>4250114904823</v>
      </c>
      <c r="J49" s="30" t="s">
        <v>2499</v>
      </c>
      <c r="K49" s="29" t="s">
        <v>2500</v>
      </c>
      <c r="L49" s="29" t="s">
        <v>2501</v>
      </c>
      <c r="M49" s="29" t="s">
        <v>2502</v>
      </c>
      <c r="N49" s="29" t="s">
        <v>3043</v>
      </c>
      <c r="O49" s="29" t="s">
        <v>4013</v>
      </c>
      <c r="P49" s="29" t="s">
        <v>3154</v>
      </c>
      <c r="Q49" s="29" t="s">
        <v>3221</v>
      </c>
      <c r="R49" s="32">
        <v>45002</v>
      </c>
      <c r="S49" s="32">
        <v>46118</v>
      </c>
      <c r="T49" s="33">
        <v>2250000</v>
      </c>
      <c r="U49" s="29">
        <v>10</v>
      </c>
      <c r="V49" s="34">
        <f t="shared" si="0"/>
        <v>225000</v>
      </c>
      <c r="W49" s="34">
        <f t="shared" si="1"/>
        <v>2025000</v>
      </c>
      <c r="X49" s="35">
        <v>2</v>
      </c>
      <c r="Y49" s="34">
        <f t="shared" si="2"/>
        <v>40500</v>
      </c>
      <c r="Z49" s="36" t="s">
        <v>3117</v>
      </c>
      <c r="AA49" s="29"/>
      <c r="AB49" s="29"/>
      <c r="AC49" s="29"/>
      <c r="AD49" s="29" t="s">
        <v>3156</v>
      </c>
      <c r="AE49" s="29">
        <v>0</v>
      </c>
      <c r="AG49" t="s">
        <v>4255</v>
      </c>
      <c r="AH49" s="54">
        <v>0</v>
      </c>
      <c r="AI49" s="54">
        <v>-40500</v>
      </c>
      <c r="AJ49" s="54">
        <v>0</v>
      </c>
      <c r="AK49" s="54">
        <v>-2025000</v>
      </c>
      <c r="AL49" t="s">
        <v>135</v>
      </c>
      <c r="AM49">
        <v>0</v>
      </c>
    </row>
    <row r="50" spans="1:39" ht="11.25" hidden="1" customHeight="1" x14ac:dyDescent="0.2">
      <c r="A50" s="29" t="s">
        <v>2974</v>
      </c>
      <c r="B50" s="29" t="s">
        <v>3359</v>
      </c>
      <c r="C50" s="40">
        <v>45597</v>
      </c>
      <c r="D50" s="39" t="s">
        <v>3720</v>
      </c>
      <c r="E50" s="29" t="s">
        <v>1065</v>
      </c>
      <c r="F50" s="32">
        <v>45624</v>
      </c>
      <c r="G50" s="32">
        <v>45988</v>
      </c>
      <c r="H50" s="30" t="s">
        <v>3955</v>
      </c>
      <c r="I50" s="31">
        <v>3740558735715</v>
      </c>
      <c r="J50" s="30" t="s">
        <v>1067</v>
      </c>
      <c r="K50" s="29" t="s">
        <v>1068</v>
      </c>
      <c r="L50" s="29" t="s">
        <v>1069</v>
      </c>
      <c r="M50" s="29" t="s">
        <v>1070</v>
      </c>
      <c r="N50" s="29" t="s">
        <v>3359</v>
      </c>
      <c r="O50" s="29" t="s">
        <v>3167</v>
      </c>
      <c r="P50" s="29" t="s">
        <v>3168</v>
      </c>
      <c r="Q50" s="29" t="s">
        <v>3566</v>
      </c>
      <c r="R50" s="32">
        <v>44894</v>
      </c>
      <c r="S50" s="32">
        <v>45996</v>
      </c>
      <c r="T50" s="33">
        <v>4000000</v>
      </c>
      <c r="U50" s="29">
        <v>15</v>
      </c>
      <c r="V50" s="34">
        <f t="shared" si="0"/>
        <v>600000</v>
      </c>
      <c r="W50" s="34">
        <f t="shared" si="1"/>
        <v>3400000</v>
      </c>
      <c r="X50" s="35">
        <v>1.5</v>
      </c>
      <c r="Y50" s="34">
        <f t="shared" si="2"/>
        <v>51000</v>
      </c>
      <c r="Z50" s="36" t="s">
        <v>4177</v>
      </c>
      <c r="AA50" s="29"/>
      <c r="AB50" s="29"/>
      <c r="AC50" s="29"/>
      <c r="AD50" s="29" t="s">
        <v>3156</v>
      </c>
      <c r="AE50" s="29">
        <v>0</v>
      </c>
      <c r="AG50" t="s">
        <v>4272</v>
      </c>
      <c r="AH50" s="54">
        <v>0</v>
      </c>
      <c r="AI50" s="54">
        <v>-51000</v>
      </c>
      <c r="AJ50" s="54">
        <v>0</v>
      </c>
      <c r="AK50" s="54">
        <v>-3400000</v>
      </c>
      <c r="AL50" t="s">
        <v>135</v>
      </c>
      <c r="AM50">
        <v>0</v>
      </c>
    </row>
    <row r="51" spans="1:39" ht="11.25" hidden="1" customHeight="1" x14ac:dyDescent="0.2">
      <c r="A51" s="29" t="s">
        <v>2974</v>
      </c>
      <c r="B51" s="29" t="s">
        <v>3080</v>
      </c>
      <c r="C51" s="40">
        <v>45505</v>
      </c>
      <c r="D51" s="39" t="s">
        <v>3720</v>
      </c>
      <c r="E51" s="29" t="s">
        <v>2843</v>
      </c>
      <c r="F51" s="32">
        <v>45528</v>
      </c>
      <c r="G51" s="32">
        <v>45892</v>
      </c>
      <c r="H51" s="30" t="s">
        <v>3788</v>
      </c>
      <c r="I51" s="31">
        <v>3630224517163</v>
      </c>
      <c r="J51" s="30" t="s">
        <v>460</v>
      </c>
      <c r="K51" s="29" t="s">
        <v>2845</v>
      </c>
      <c r="L51" s="29" t="s">
        <v>2846</v>
      </c>
      <c r="M51" s="29" t="s">
        <v>2847</v>
      </c>
      <c r="N51" s="29" t="s">
        <v>3080</v>
      </c>
      <c r="O51" s="29" t="s">
        <v>4013</v>
      </c>
      <c r="P51" s="29" t="s">
        <v>3216</v>
      </c>
      <c r="Q51" s="29" t="s">
        <v>3267</v>
      </c>
      <c r="R51" s="32">
        <v>44903</v>
      </c>
      <c r="S51" s="32">
        <v>47092</v>
      </c>
      <c r="T51" s="33">
        <v>1306000</v>
      </c>
      <c r="U51" s="29">
        <v>15</v>
      </c>
      <c r="V51" s="34">
        <f t="shared" si="0"/>
        <v>195900</v>
      </c>
      <c r="W51" s="34">
        <f t="shared" si="1"/>
        <v>1110100</v>
      </c>
      <c r="X51" s="35">
        <v>2.5</v>
      </c>
      <c r="Y51" s="34">
        <f t="shared" si="2"/>
        <v>27752.5</v>
      </c>
      <c r="Z51" s="36" t="s">
        <v>3142</v>
      </c>
      <c r="AA51" s="29"/>
      <c r="AB51" s="29"/>
      <c r="AC51" s="29"/>
      <c r="AD51" s="29" t="s">
        <v>3156</v>
      </c>
      <c r="AE51" s="29">
        <v>0</v>
      </c>
      <c r="AG51" t="s">
        <v>4260</v>
      </c>
      <c r="AH51" s="54">
        <v>0</v>
      </c>
      <c r="AI51" s="54">
        <v>-27752.5</v>
      </c>
      <c r="AJ51" s="54">
        <v>0</v>
      </c>
      <c r="AK51" s="54">
        <v>-1110100</v>
      </c>
      <c r="AL51" t="s">
        <v>135</v>
      </c>
      <c r="AM51">
        <v>0</v>
      </c>
    </row>
    <row r="52" spans="1:39" ht="11.25" hidden="1" customHeight="1" x14ac:dyDescent="0.2">
      <c r="A52" s="29" t="s">
        <v>2974</v>
      </c>
      <c r="B52" s="29" t="s">
        <v>3086</v>
      </c>
      <c r="C52" s="40">
        <v>45536</v>
      </c>
      <c r="D52" s="39" t="s">
        <v>3720</v>
      </c>
      <c r="E52" s="29" t="s">
        <v>2890</v>
      </c>
      <c r="F52" s="32">
        <v>45563</v>
      </c>
      <c r="G52" s="32">
        <v>45927</v>
      </c>
      <c r="H52" s="30" t="s">
        <v>3799</v>
      </c>
      <c r="I52" s="31">
        <v>3740560101225</v>
      </c>
      <c r="J52" s="30" t="s">
        <v>2892</v>
      </c>
      <c r="K52" s="29" t="s">
        <v>2893</v>
      </c>
      <c r="L52" s="29" t="s">
        <v>2894</v>
      </c>
      <c r="M52" s="29" t="s">
        <v>2895</v>
      </c>
      <c r="N52" s="29" t="s">
        <v>3086</v>
      </c>
      <c r="O52" s="29" t="s">
        <v>3167</v>
      </c>
      <c r="P52" s="29" t="s">
        <v>3168</v>
      </c>
      <c r="Q52" s="29" t="s">
        <v>3274</v>
      </c>
      <c r="R52" s="32">
        <v>45201</v>
      </c>
      <c r="S52" s="32">
        <v>46300</v>
      </c>
      <c r="T52" s="33">
        <v>2500000</v>
      </c>
      <c r="U52" s="29">
        <v>10</v>
      </c>
      <c r="V52" s="34">
        <f t="shared" si="0"/>
        <v>250000</v>
      </c>
      <c r="W52" s="34">
        <f t="shared" si="1"/>
        <v>2250000</v>
      </c>
      <c r="X52" s="35">
        <v>2</v>
      </c>
      <c r="Y52" s="34">
        <f t="shared" si="2"/>
        <v>45000</v>
      </c>
      <c r="Z52" s="36" t="s">
        <v>3147</v>
      </c>
      <c r="AA52" s="29"/>
      <c r="AB52" s="29"/>
      <c r="AC52" s="29"/>
      <c r="AD52" s="29" t="s">
        <v>3156</v>
      </c>
      <c r="AE52" s="29">
        <v>0</v>
      </c>
    </row>
    <row r="53" spans="1:39" ht="11.25" hidden="1" customHeight="1" x14ac:dyDescent="0.2">
      <c r="A53" s="29" t="s">
        <v>2974</v>
      </c>
      <c r="B53" s="29" t="s">
        <v>3033</v>
      </c>
      <c r="C53" s="40">
        <v>45292</v>
      </c>
      <c r="D53" s="39" t="s">
        <v>3720</v>
      </c>
      <c r="E53" s="29" t="s">
        <v>2395</v>
      </c>
      <c r="F53" s="32">
        <v>45319</v>
      </c>
      <c r="G53" s="32">
        <v>45684</v>
      </c>
      <c r="H53" s="30" t="s">
        <v>3741</v>
      </c>
      <c r="I53" s="31">
        <v>3320295929517</v>
      </c>
      <c r="J53" s="30" t="s">
        <v>553</v>
      </c>
      <c r="K53" s="29"/>
      <c r="L53" s="29" t="s">
        <v>2397</v>
      </c>
      <c r="M53" s="29" t="s">
        <v>2398</v>
      </c>
      <c r="N53" s="29" t="s">
        <v>3033</v>
      </c>
      <c r="O53" s="29" t="s">
        <v>4013</v>
      </c>
      <c r="P53" s="29" t="s">
        <v>3207</v>
      </c>
      <c r="Q53" s="29" t="s">
        <v>3208</v>
      </c>
      <c r="R53" s="32">
        <v>43860</v>
      </c>
      <c r="S53" s="32">
        <v>45693</v>
      </c>
      <c r="T53" s="33">
        <v>1855000</v>
      </c>
      <c r="U53" s="29">
        <v>25</v>
      </c>
      <c r="V53" s="34">
        <f t="shared" si="0"/>
        <v>463750</v>
      </c>
      <c r="W53" s="34">
        <f t="shared" si="1"/>
        <v>1391250</v>
      </c>
      <c r="X53" s="35">
        <v>2.7</v>
      </c>
      <c r="Y53" s="34">
        <f t="shared" si="2"/>
        <v>37563.750000000007</v>
      </c>
      <c r="Z53" s="36" t="s">
        <v>3110</v>
      </c>
      <c r="AA53" s="29"/>
      <c r="AB53" s="29"/>
      <c r="AC53" s="29"/>
      <c r="AD53" s="29" t="s">
        <v>3156</v>
      </c>
      <c r="AE53" s="29">
        <v>0</v>
      </c>
      <c r="AG53" t="s">
        <v>4273</v>
      </c>
      <c r="AH53" s="54">
        <v>0</v>
      </c>
      <c r="AI53" s="54">
        <v>-37563.750000000007</v>
      </c>
      <c r="AJ53" s="54">
        <v>0</v>
      </c>
      <c r="AK53" s="54">
        <v>-1391250</v>
      </c>
      <c r="AL53" t="s">
        <v>135</v>
      </c>
      <c r="AM53">
        <v>0</v>
      </c>
    </row>
    <row r="54" spans="1:39" ht="11.25" hidden="1" customHeight="1" x14ac:dyDescent="0.2">
      <c r="A54" s="29" t="s">
        <v>2974</v>
      </c>
      <c r="B54" s="29" t="s">
        <v>3054</v>
      </c>
      <c r="C54" s="40">
        <v>45383</v>
      </c>
      <c r="D54" s="39" t="s">
        <v>3720</v>
      </c>
      <c r="E54" s="29" t="s">
        <v>2651</v>
      </c>
      <c r="F54" s="32">
        <v>45409</v>
      </c>
      <c r="G54" s="32">
        <v>45773</v>
      </c>
      <c r="H54" s="30" t="s">
        <v>3764</v>
      </c>
      <c r="I54" s="31">
        <v>3520214848497</v>
      </c>
      <c r="J54" s="30" t="s">
        <v>2653</v>
      </c>
      <c r="K54" s="29" t="s">
        <v>2654</v>
      </c>
      <c r="L54" s="29" t="s">
        <v>2655</v>
      </c>
      <c r="M54" s="29" t="s">
        <v>2656</v>
      </c>
      <c r="N54" s="29" t="s">
        <v>3054</v>
      </c>
      <c r="O54" s="29" t="s">
        <v>4013</v>
      </c>
      <c r="P54" s="29" t="s">
        <v>3154</v>
      </c>
      <c r="Q54" s="29" t="s">
        <v>3235</v>
      </c>
      <c r="R54" s="32">
        <v>44693</v>
      </c>
      <c r="S54" s="32">
        <v>46512</v>
      </c>
      <c r="T54" s="33">
        <v>2856000</v>
      </c>
      <c r="U54" s="29">
        <v>15</v>
      </c>
      <c r="V54" s="34">
        <f t="shared" si="0"/>
        <v>428400</v>
      </c>
      <c r="W54" s="34">
        <f t="shared" si="1"/>
        <v>2427600</v>
      </c>
      <c r="X54" s="35">
        <v>1.75</v>
      </c>
      <c r="Y54" s="34">
        <f t="shared" si="2"/>
        <v>42483.000000000007</v>
      </c>
      <c r="Z54" s="36" t="s">
        <v>3110</v>
      </c>
      <c r="AA54" s="29"/>
      <c r="AB54" s="29"/>
      <c r="AC54" s="29"/>
      <c r="AD54" s="29" t="s">
        <v>3156</v>
      </c>
      <c r="AE54" s="29">
        <v>0</v>
      </c>
      <c r="AG54" t="s">
        <v>4267</v>
      </c>
      <c r="AH54" s="54">
        <v>0</v>
      </c>
      <c r="AI54" s="54">
        <v>-42483.000000000007</v>
      </c>
      <c r="AJ54" s="54">
        <v>0</v>
      </c>
      <c r="AK54" s="54">
        <v>-2427600</v>
      </c>
      <c r="AL54" t="s">
        <v>135</v>
      </c>
      <c r="AM54">
        <v>0</v>
      </c>
    </row>
    <row r="55" spans="1:39" ht="11.25" hidden="1" customHeight="1" x14ac:dyDescent="0.2">
      <c r="A55" s="29" t="s">
        <v>2974</v>
      </c>
      <c r="B55" s="29" t="s">
        <v>3319</v>
      </c>
      <c r="C55" s="40">
        <v>45597</v>
      </c>
      <c r="D55" s="39" t="s">
        <v>3720</v>
      </c>
      <c r="E55" s="29" t="s">
        <v>738</v>
      </c>
      <c r="F55" s="32">
        <v>45625</v>
      </c>
      <c r="G55" s="32">
        <v>45989</v>
      </c>
      <c r="H55" s="30" t="s">
        <v>3958</v>
      </c>
      <c r="I55" s="31">
        <v>3520239474243</v>
      </c>
      <c r="J55" s="30" t="s">
        <v>665</v>
      </c>
      <c r="K55" s="29" t="s">
        <v>740</v>
      </c>
      <c r="L55" s="29" t="s">
        <v>741</v>
      </c>
      <c r="M55" s="29" t="s">
        <v>742</v>
      </c>
      <c r="N55" s="29" t="s">
        <v>3319</v>
      </c>
      <c r="O55" s="29" t="s">
        <v>4013</v>
      </c>
      <c r="P55" s="29" t="s">
        <v>3154</v>
      </c>
      <c r="Q55" s="29" t="s">
        <v>3521</v>
      </c>
      <c r="R55" s="32">
        <v>45260</v>
      </c>
      <c r="S55" s="32">
        <v>46727</v>
      </c>
      <c r="T55" s="33">
        <v>7000000</v>
      </c>
      <c r="U55" s="29">
        <v>10</v>
      </c>
      <c r="V55" s="34">
        <f t="shared" si="0"/>
        <v>700000</v>
      </c>
      <c r="W55" s="34">
        <f t="shared" si="1"/>
        <v>6300000</v>
      </c>
      <c r="X55" s="35">
        <v>1.5</v>
      </c>
      <c r="Y55" s="34">
        <f t="shared" si="2"/>
        <v>94500</v>
      </c>
      <c r="Z55" s="36" t="s">
        <v>4178</v>
      </c>
      <c r="AA55" s="29"/>
      <c r="AB55" s="29"/>
      <c r="AC55" s="29"/>
      <c r="AD55" s="29" t="s">
        <v>3156</v>
      </c>
      <c r="AE55" s="29">
        <v>0</v>
      </c>
      <c r="AG55" t="s">
        <v>4258</v>
      </c>
      <c r="AH55" s="54">
        <v>0</v>
      </c>
      <c r="AI55" s="54">
        <v>-94500</v>
      </c>
      <c r="AJ55" s="54">
        <v>0</v>
      </c>
      <c r="AK55" s="54">
        <v>-6300000</v>
      </c>
      <c r="AL55" t="s">
        <v>135</v>
      </c>
      <c r="AM55">
        <v>0</v>
      </c>
    </row>
    <row r="56" spans="1:39" ht="11.25" hidden="1" customHeight="1" x14ac:dyDescent="0.2">
      <c r="A56" s="29" t="s">
        <v>2974</v>
      </c>
      <c r="B56" s="29" t="s">
        <v>3058</v>
      </c>
      <c r="C56" s="40">
        <v>45383</v>
      </c>
      <c r="D56" s="39" t="s">
        <v>3720</v>
      </c>
      <c r="E56" s="29" t="s">
        <v>2681</v>
      </c>
      <c r="F56" s="32">
        <v>45408</v>
      </c>
      <c r="G56" s="32">
        <v>45772</v>
      </c>
      <c r="H56" s="30" t="s">
        <v>3763</v>
      </c>
      <c r="I56" s="31">
        <v>3520273956271</v>
      </c>
      <c r="J56" s="30" t="s">
        <v>814</v>
      </c>
      <c r="K56" s="29" t="s">
        <v>2683</v>
      </c>
      <c r="L56" s="29" t="s">
        <v>2684</v>
      </c>
      <c r="M56" s="29" t="s">
        <v>2685</v>
      </c>
      <c r="N56" s="29" t="s">
        <v>3058</v>
      </c>
      <c r="O56" s="29" t="s">
        <v>4013</v>
      </c>
      <c r="P56" s="29" t="s">
        <v>3154</v>
      </c>
      <c r="Q56" s="29" t="s">
        <v>3240</v>
      </c>
      <c r="R56" s="32">
        <v>44314</v>
      </c>
      <c r="S56" s="32">
        <v>46147</v>
      </c>
      <c r="T56" s="33">
        <v>1850000</v>
      </c>
      <c r="U56" s="29">
        <v>20</v>
      </c>
      <c r="V56" s="34">
        <f t="shared" si="0"/>
        <v>370000</v>
      </c>
      <c r="W56" s="34">
        <f t="shared" si="1"/>
        <v>1480000</v>
      </c>
      <c r="X56" s="35">
        <v>2.5</v>
      </c>
      <c r="Y56" s="34">
        <f t="shared" si="2"/>
        <v>37000</v>
      </c>
      <c r="Z56" s="36" t="s">
        <v>3127</v>
      </c>
      <c r="AA56" s="29"/>
      <c r="AB56" s="29"/>
      <c r="AC56" s="29"/>
      <c r="AD56" s="29" t="s">
        <v>3156</v>
      </c>
      <c r="AE56" s="29">
        <v>0</v>
      </c>
      <c r="AG56" t="s">
        <v>4251</v>
      </c>
      <c r="AH56" s="54">
        <v>0</v>
      </c>
      <c r="AI56" s="54">
        <v>-37000</v>
      </c>
      <c r="AJ56" s="54">
        <v>0</v>
      </c>
      <c r="AK56" s="54">
        <v>-1480000</v>
      </c>
      <c r="AL56" t="s">
        <v>135</v>
      </c>
      <c r="AM56">
        <v>0</v>
      </c>
    </row>
    <row r="57" spans="1:39" ht="11.25" hidden="1" customHeight="1" x14ac:dyDescent="0.2">
      <c r="A57" s="29" t="s">
        <v>2974</v>
      </c>
      <c r="B57" s="29" t="s">
        <v>3048</v>
      </c>
      <c r="C57" s="40">
        <v>45383</v>
      </c>
      <c r="D57" s="39" t="s">
        <v>3720</v>
      </c>
      <c r="E57" s="29" t="s">
        <v>2594</v>
      </c>
      <c r="F57" s="32">
        <v>45386</v>
      </c>
      <c r="G57" s="32">
        <v>45750</v>
      </c>
      <c r="H57" s="30" t="s">
        <v>3756</v>
      </c>
      <c r="I57" s="31">
        <v>1420362635421</v>
      </c>
      <c r="J57" s="30" t="s">
        <v>71</v>
      </c>
      <c r="K57" s="29" t="s">
        <v>2596</v>
      </c>
      <c r="L57" s="29" t="s">
        <v>2597</v>
      </c>
      <c r="M57" s="29" t="s">
        <v>2598</v>
      </c>
      <c r="N57" s="29" t="s">
        <v>3048</v>
      </c>
      <c r="O57" s="29" t="s">
        <v>3167</v>
      </c>
      <c r="P57" s="29" t="s">
        <v>3168</v>
      </c>
      <c r="Q57" s="29" t="s">
        <v>3226</v>
      </c>
      <c r="R57" s="32">
        <v>45023</v>
      </c>
      <c r="S57" s="32">
        <v>46482</v>
      </c>
      <c r="T57" s="33">
        <v>1951000</v>
      </c>
      <c r="U57" s="29">
        <v>10</v>
      </c>
      <c r="V57" s="34">
        <f t="shared" si="0"/>
        <v>195100</v>
      </c>
      <c r="W57" s="34">
        <f t="shared" si="1"/>
        <v>1755900</v>
      </c>
      <c r="X57" s="35">
        <v>2</v>
      </c>
      <c r="Y57" s="34">
        <f t="shared" si="2"/>
        <v>35118</v>
      </c>
      <c r="Z57" s="36" t="s">
        <v>3121</v>
      </c>
      <c r="AA57" s="29"/>
      <c r="AB57" s="29"/>
      <c r="AC57" s="29"/>
      <c r="AD57" s="29" t="s">
        <v>3156</v>
      </c>
      <c r="AE57" s="29">
        <v>0</v>
      </c>
      <c r="AG57" t="s">
        <v>4274</v>
      </c>
      <c r="AH57" s="54">
        <v>0</v>
      </c>
      <c r="AI57" s="54">
        <v>-35118</v>
      </c>
      <c r="AJ57" s="54">
        <v>0</v>
      </c>
      <c r="AK57" s="54">
        <v>-1755900</v>
      </c>
      <c r="AL57" t="s">
        <v>135</v>
      </c>
      <c r="AM57">
        <v>0</v>
      </c>
    </row>
    <row r="58" spans="1:39" ht="11.25" hidden="1" customHeight="1" x14ac:dyDescent="0.2">
      <c r="A58" s="29" t="s">
        <v>2974</v>
      </c>
      <c r="B58" s="29" t="s">
        <v>3069</v>
      </c>
      <c r="C58" s="40">
        <v>45444</v>
      </c>
      <c r="D58" s="39" t="s">
        <v>3720</v>
      </c>
      <c r="E58" s="29" t="s">
        <v>2769</v>
      </c>
      <c r="F58" s="32">
        <v>45470</v>
      </c>
      <c r="G58" s="32">
        <v>45834</v>
      </c>
      <c r="H58" s="30" t="s">
        <v>3773</v>
      </c>
      <c r="I58" s="31">
        <v>3520144174297</v>
      </c>
      <c r="J58" s="30" t="s">
        <v>54</v>
      </c>
      <c r="K58" s="29" t="s">
        <v>2771</v>
      </c>
      <c r="L58" s="29" t="s">
        <v>2772</v>
      </c>
      <c r="M58" s="29" t="s">
        <v>2773</v>
      </c>
      <c r="N58" s="29" t="s">
        <v>3069</v>
      </c>
      <c r="O58" s="29" t="s">
        <v>4013</v>
      </c>
      <c r="P58" s="29" t="s">
        <v>3154</v>
      </c>
      <c r="Q58" s="29" t="s">
        <v>3254</v>
      </c>
      <c r="R58" s="32">
        <v>44741</v>
      </c>
      <c r="S58" s="32">
        <v>46573</v>
      </c>
      <c r="T58" s="33">
        <v>1306000</v>
      </c>
      <c r="U58" s="29">
        <v>15</v>
      </c>
      <c r="V58" s="34">
        <f t="shared" si="0"/>
        <v>195900</v>
      </c>
      <c r="W58" s="34">
        <f t="shared" si="1"/>
        <v>1110100</v>
      </c>
      <c r="X58" s="35">
        <v>1.75</v>
      </c>
      <c r="Y58" s="34">
        <f t="shared" si="2"/>
        <v>19426.750000000004</v>
      </c>
      <c r="Z58" s="36" t="s">
        <v>3135</v>
      </c>
      <c r="AA58" s="29"/>
      <c r="AB58" s="29"/>
      <c r="AC58" s="29"/>
      <c r="AD58" s="29" t="s">
        <v>3156</v>
      </c>
      <c r="AE58" s="29">
        <v>0</v>
      </c>
      <c r="AG58" t="s">
        <v>4264</v>
      </c>
      <c r="AH58" s="54">
        <v>0</v>
      </c>
      <c r="AI58" s="54">
        <v>-19426.750000000004</v>
      </c>
      <c r="AJ58" s="54">
        <v>0</v>
      </c>
      <c r="AK58" s="54">
        <v>-1110100</v>
      </c>
      <c r="AL58" t="s">
        <v>135</v>
      </c>
      <c r="AM58">
        <v>0</v>
      </c>
    </row>
    <row r="59" spans="1:39" ht="11.25" hidden="1" customHeight="1" x14ac:dyDescent="0.2">
      <c r="A59" s="29" t="s">
        <v>2974</v>
      </c>
      <c r="B59" s="29" t="s">
        <v>3008</v>
      </c>
      <c r="C59" s="40">
        <v>45566</v>
      </c>
      <c r="D59" s="39" t="s">
        <v>3720</v>
      </c>
      <c r="E59" s="29" t="s">
        <v>52</v>
      </c>
      <c r="F59" s="32">
        <v>45579</v>
      </c>
      <c r="G59" s="32">
        <v>45943</v>
      </c>
      <c r="H59" s="30" t="s">
        <v>3807</v>
      </c>
      <c r="I59" s="31">
        <v>3640115109781</v>
      </c>
      <c r="J59" s="30" t="s">
        <v>54</v>
      </c>
      <c r="K59" s="29" t="s">
        <v>55</v>
      </c>
      <c r="L59" s="29" t="s">
        <v>56</v>
      </c>
      <c r="M59" s="29" t="s">
        <v>57</v>
      </c>
      <c r="N59" s="29" t="s">
        <v>3008</v>
      </c>
      <c r="O59" s="29" t="s">
        <v>4013</v>
      </c>
      <c r="P59" s="29" t="s">
        <v>3154</v>
      </c>
      <c r="Q59" s="29" t="s">
        <v>3161</v>
      </c>
      <c r="R59" s="32">
        <v>44861</v>
      </c>
      <c r="S59" s="32">
        <v>45966</v>
      </c>
      <c r="T59" s="33">
        <v>1733000</v>
      </c>
      <c r="U59" s="29">
        <v>15</v>
      </c>
      <c r="V59" s="34">
        <f t="shared" si="0"/>
        <v>259950</v>
      </c>
      <c r="W59" s="34">
        <f t="shared" si="1"/>
        <v>1473050</v>
      </c>
      <c r="X59" s="35">
        <v>2.5</v>
      </c>
      <c r="Y59" s="34">
        <f t="shared" si="2"/>
        <v>36826.25</v>
      </c>
      <c r="Z59" s="36" t="s">
        <v>3097</v>
      </c>
      <c r="AA59" s="29"/>
      <c r="AB59" s="29"/>
      <c r="AC59" s="29"/>
      <c r="AD59" s="29" t="s">
        <v>3156</v>
      </c>
      <c r="AE59" s="29">
        <v>0</v>
      </c>
      <c r="AG59" t="s">
        <v>4250</v>
      </c>
      <c r="AH59" s="54">
        <v>0</v>
      </c>
      <c r="AI59" s="54">
        <v>-36826.25</v>
      </c>
      <c r="AJ59" s="54">
        <v>0</v>
      </c>
      <c r="AK59" s="54">
        <v>-1473050</v>
      </c>
      <c r="AL59" t="s">
        <v>135</v>
      </c>
      <c r="AM59">
        <v>0</v>
      </c>
    </row>
    <row r="60" spans="1:39" ht="11.25" hidden="1" customHeight="1" x14ac:dyDescent="0.2">
      <c r="A60" s="29" t="s">
        <v>2974</v>
      </c>
      <c r="B60" s="29" t="s">
        <v>3469</v>
      </c>
      <c r="C60" s="40">
        <v>45597</v>
      </c>
      <c r="D60" s="39" t="s">
        <v>3720</v>
      </c>
      <c r="E60" s="29" t="s">
        <v>1959</v>
      </c>
      <c r="F60" s="32">
        <v>45601</v>
      </c>
      <c r="G60" s="32">
        <v>45965</v>
      </c>
      <c r="H60" s="30" t="s">
        <v>3831</v>
      </c>
      <c r="I60" s="31">
        <v>3520253901285</v>
      </c>
      <c r="J60" s="30" t="s">
        <v>1470</v>
      </c>
      <c r="K60" s="29" t="s">
        <v>1961</v>
      </c>
      <c r="L60" s="29" t="s">
        <v>1962</v>
      </c>
      <c r="M60" s="29" t="s">
        <v>1963</v>
      </c>
      <c r="N60" s="29" t="s">
        <v>3469</v>
      </c>
      <c r="O60" s="29" t="s">
        <v>4013</v>
      </c>
      <c r="P60" s="29" t="s">
        <v>3198</v>
      </c>
      <c r="Q60" s="29" t="s">
        <v>3692</v>
      </c>
      <c r="R60" s="32">
        <v>43426</v>
      </c>
      <c r="S60" s="32">
        <v>45996</v>
      </c>
      <c r="T60" s="33">
        <v>1184000</v>
      </c>
      <c r="U60" s="29">
        <v>35</v>
      </c>
      <c r="V60" s="34">
        <f t="shared" si="0"/>
        <v>414400</v>
      </c>
      <c r="W60" s="34">
        <f t="shared" si="1"/>
        <v>769600</v>
      </c>
      <c r="X60" s="35">
        <v>3.75</v>
      </c>
      <c r="Y60" s="34">
        <f t="shared" si="2"/>
        <v>28860</v>
      </c>
      <c r="Z60" s="36" t="s">
        <v>4175</v>
      </c>
      <c r="AA60" s="29"/>
      <c r="AB60" s="29"/>
      <c r="AC60" s="29"/>
      <c r="AD60" s="29" t="s">
        <v>3156</v>
      </c>
      <c r="AE60" s="29">
        <v>0</v>
      </c>
      <c r="AG60" t="s">
        <v>1959</v>
      </c>
      <c r="AH60" s="54">
        <v>28860</v>
      </c>
      <c r="AI60" s="54">
        <v>0</v>
      </c>
      <c r="AJ60" s="54">
        <v>769600</v>
      </c>
      <c r="AK60" s="54">
        <v>0</v>
      </c>
      <c r="AL60" t="s">
        <v>26</v>
      </c>
      <c r="AM60" t="s">
        <v>4249</v>
      </c>
    </row>
    <row r="61" spans="1:39" ht="11.25" hidden="1" customHeight="1" x14ac:dyDescent="0.2">
      <c r="A61" s="29" t="s">
        <v>2974</v>
      </c>
      <c r="B61" s="29" t="s">
        <v>3046</v>
      </c>
      <c r="C61" s="40">
        <v>45352</v>
      </c>
      <c r="D61" s="39" t="s">
        <v>3720</v>
      </c>
      <c r="E61" s="29" t="s">
        <v>2538</v>
      </c>
      <c r="F61" s="32">
        <v>45359</v>
      </c>
      <c r="G61" s="32">
        <v>45723</v>
      </c>
      <c r="H61" s="30" t="s">
        <v>3746</v>
      </c>
      <c r="I61" s="31">
        <v>3310077703451</v>
      </c>
      <c r="J61" s="30" t="s">
        <v>2540</v>
      </c>
      <c r="K61" s="29" t="s">
        <v>2541</v>
      </c>
      <c r="L61" s="29" t="s">
        <v>2542</v>
      </c>
      <c r="M61" s="29" t="s">
        <v>2543</v>
      </c>
      <c r="N61" s="29" t="s">
        <v>3046</v>
      </c>
      <c r="O61" s="29" t="s">
        <v>4013</v>
      </c>
      <c r="P61" s="29" t="s">
        <v>3172</v>
      </c>
      <c r="Q61" s="29" t="s">
        <v>3224</v>
      </c>
      <c r="R61" s="32">
        <v>44264</v>
      </c>
      <c r="S61" s="32">
        <v>46086</v>
      </c>
      <c r="T61" s="33">
        <v>7076000</v>
      </c>
      <c r="U61" s="29">
        <v>20</v>
      </c>
      <c r="V61" s="34">
        <f t="shared" si="0"/>
        <v>1415200</v>
      </c>
      <c r="W61" s="34">
        <f t="shared" si="1"/>
        <v>5660800</v>
      </c>
      <c r="X61" s="35">
        <v>1.5</v>
      </c>
      <c r="Y61" s="34">
        <f t="shared" si="2"/>
        <v>84912</v>
      </c>
      <c r="Z61" s="36" t="s">
        <v>3119</v>
      </c>
      <c r="AA61" s="29"/>
      <c r="AB61" s="29"/>
      <c r="AC61" s="29"/>
      <c r="AD61" s="29" t="s">
        <v>3156</v>
      </c>
      <c r="AE61" s="29">
        <v>0</v>
      </c>
      <c r="AG61" t="s">
        <v>4275</v>
      </c>
      <c r="AH61" s="54">
        <v>0</v>
      </c>
      <c r="AI61" s="54">
        <v>-84912</v>
      </c>
      <c r="AJ61" s="54">
        <v>0</v>
      </c>
      <c r="AK61" s="54">
        <v>-5660800</v>
      </c>
      <c r="AL61" t="s">
        <v>135</v>
      </c>
      <c r="AM61">
        <v>0</v>
      </c>
    </row>
    <row r="62" spans="1:39" ht="11.25" hidden="1" customHeight="1" x14ac:dyDescent="0.2">
      <c r="A62" s="29" t="s">
        <v>2974</v>
      </c>
      <c r="B62" s="29" t="s">
        <v>3039</v>
      </c>
      <c r="C62" s="40">
        <v>45352</v>
      </c>
      <c r="D62" s="39" t="s">
        <v>3720</v>
      </c>
      <c r="E62" s="29" t="s">
        <v>2465</v>
      </c>
      <c r="F62" s="32">
        <v>45378</v>
      </c>
      <c r="G62" s="32">
        <v>45742</v>
      </c>
      <c r="H62" s="30" t="s">
        <v>3751</v>
      </c>
      <c r="I62" s="31">
        <v>3310236280471</v>
      </c>
      <c r="J62" s="30" t="s">
        <v>283</v>
      </c>
      <c r="K62" s="29" t="s">
        <v>2467</v>
      </c>
      <c r="L62" s="29" t="s">
        <v>2468</v>
      </c>
      <c r="M62" s="29" t="s">
        <v>2469</v>
      </c>
      <c r="N62" s="29" t="s">
        <v>3039</v>
      </c>
      <c r="O62" s="29" t="s">
        <v>4013</v>
      </c>
      <c r="P62" s="29" t="s">
        <v>3172</v>
      </c>
      <c r="Q62" s="29" t="s">
        <v>3215</v>
      </c>
      <c r="R62" s="32">
        <v>45043</v>
      </c>
      <c r="S62" s="32">
        <v>46147</v>
      </c>
      <c r="T62" s="33">
        <v>3100000</v>
      </c>
      <c r="U62" s="29">
        <v>10</v>
      </c>
      <c r="V62" s="34">
        <f t="shared" si="0"/>
        <v>310000</v>
      </c>
      <c r="W62" s="34">
        <f t="shared" si="1"/>
        <v>2790000</v>
      </c>
      <c r="X62" s="35">
        <v>2</v>
      </c>
      <c r="Y62" s="34">
        <f t="shared" si="2"/>
        <v>55800</v>
      </c>
      <c r="Z62" s="36" t="s">
        <v>3113</v>
      </c>
      <c r="AA62" s="29"/>
      <c r="AB62" s="29"/>
      <c r="AC62" s="29"/>
      <c r="AD62" s="29" t="s">
        <v>3156</v>
      </c>
      <c r="AE62" s="29">
        <v>0</v>
      </c>
      <c r="AG62" t="s">
        <v>4255</v>
      </c>
      <c r="AH62" s="54">
        <v>0</v>
      </c>
      <c r="AI62" s="54">
        <v>-55800</v>
      </c>
      <c r="AJ62" s="54">
        <v>0</v>
      </c>
      <c r="AK62" s="54">
        <v>-2790000</v>
      </c>
      <c r="AL62" t="s">
        <v>135</v>
      </c>
      <c r="AM62">
        <v>0</v>
      </c>
    </row>
    <row r="63" spans="1:39" ht="11.25" hidden="1" customHeight="1" x14ac:dyDescent="0.2">
      <c r="A63" s="29" t="s">
        <v>2974</v>
      </c>
      <c r="B63" s="29" t="s">
        <v>3053</v>
      </c>
      <c r="C63" s="40">
        <v>45383</v>
      </c>
      <c r="D63" s="39" t="s">
        <v>3720</v>
      </c>
      <c r="E63" s="29" t="s">
        <v>2643</v>
      </c>
      <c r="F63" s="32">
        <v>45387</v>
      </c>
      <c r="G63" s="32">
        <v>45751</v>
      </c>
      <c r="H63" s="30" t="s">
        <v>3757</v>
      </c>
      <c r="I63" s="31">
        <v>3740595665202</v>
      </c>
      <c r="J63" s="30" t="s">
        <v>292</v>
      </c>
      <c r="K63" s="29" t="s">
        <v>2645</v>
      </c>
      <c r="L63" s="29" t="s">
        <v>2646</v>
      </c>
      <c r="M63" s="29" t="s">
        <v>2647</v>
      </c>
      <c r="N63" s="29" t="s">
        <v>3053</v>
      </c>
      <c r="O63" s="29" t="s">
        <v>3167</v>
      </c>
      <c r="P63" s="29" t="s">
        <v>3168</v>
      </c>
      <c r="Q63" s="29" t="s">
        <v>3234</v>
      </c>
      <c r="R63" s="32">
        <v>44663</v>
      </c>
      <c r="S63" s="32">
        <v>46848</v>
      </c>
      <c r="T63" s="33">
        <v>1546000</v>
      </c>
      <c r="U63" s="29">
        <v>15</v>
      </c>
      <c r="V63" s="34">
        <f t="shared" si="0"/>
        <v>231900</v>
      </c>
      <c r="W63" s="34">
        <f t="shared" si="1"/>
        <v>1314100</v>
      </c>
      <c r="X63" s="35">
        <v>1.75</v>
      </c>
      <c r="Y63" s="34">
        <f t="shared" si="2"/>
        <v>22996.750000000004</v>
      </c>
      <c r="Z63" s="36" t="s">
        <v>3125</v>
      </c>
      <c r="AA63" s="29"/>
      <c r="AB63" s="29"/>
      <c r="AC63" s="29"/>
      <c r="AD63" s="29" t="s">
        <v>3156</v>
      </c>
      <c r="AE63" s="29">
        <v>0</v>
      </c>
      <c r="AG63" t="s">
        <v>4267</v>
      </c>
      <c r="AH63" s="54">
        <v>0</v>
      </c>
      <c r="AI63" s="54">
        <v>-22996.750000000004</v>
      </c>
      <c r="AJ63" s="54">
        <v>0</v>
      </c>
      <c r="AK63" s="54">
        <v>-1314100</v>
      </c>
      <c r="AL63" t="s">
        <v>135</v>
      </c>
      <c r="AM63">
        <v>0</v>
      </c>
    </row>
    <row r="64" spans="1:39" ht="11.25" hidden="1" customHeight="1" x14ac:dyDescent="0.2">
      <c r="A64" s="29" t="s">
        <v>2974</v>
      </c>
      <c r="B64" s="29" t="s">
        <v>3055</v>
      </c>
      <c r="C64" s="40">
        <v>45383</v>
      </c>
      <c r="D64" s="39" t="s">
        <v>3720</v>
      </c>
      <c r="E64" s="29" t="s">
        <v>2660</v>
      </c>
      <c r="F64" s="32">
        <v>45412</v>
      </c>
      <c r="G64" s="32">
        <v>45776</v>
      </c>
      <c r="H64" s="30" t="s">
        <v>3766</v>
      </c>
      <c r="I64" s="31">
        <v>3520218210621</v>
      </c>
      <c r="J64" s="30" t="s">
        <v>368</v>
      </c>
      <c r="K64" s="29"/>
      <c r="L64" s="29" t="s">
        <v>2662</v>
      </c>
      <c r="M64" s="29" t="s">
        <v>2663</v>
      </c>
      <c r="N64" s="29" t="s">
        <v>3055</v>
      </c>
      <c r="O64" s="29" t="s">
        <v>4013</v>
      </c>
      <c r="P64" s="29" t="s">
        <v>3154</v>
      </c>
      <c r="Q64" s="29" t="s">
        <v>3236</v>
      </c>
      <c r="R64" s="32">
        <v>44733</v>
      </c>
      <c r="S64" s="32">
        <v>46573</v>
      </c>
      <c r="T64" s="33">
        <v>2084000</v>
      </c>
      <c r="U64" s="29">
        <v>15</v>
      </c>
      <c r="V64" s="34">
        <f t="shared" si="0"/>
        <v>312600</v>
      </c>
      <c r="W64" s="34">
        <f t="shared" si="1"/>
        <v>1771400</v>
      </c>
      <c r="X64" s="35">
        <v>2.5</v>
      </c>
      <c r="Y64" s="34">
        <f t="shared" si="2"/>
        <v>44285</v>
      </c>
      <c r="Z64" s="36" t="s">
        <v>3126</v>
      </c>
      <c r="AA64" s="29"/>
      <c r="AB64" s="29"/>
      <c r="AC64" s="29"/>
      <c r="AD64" s="29" t="s">
        <v>3156</v>
      </c>
      <c r="AE64" s="29">
        <v>0</v>
      </c>
      <c r="AG64" t="s">
        <v>4267</v>
      </c>
      <c r="AH64" s="54">
        <v>0</v>
      </c>
      <c r="AI64" s="54">
        <v>-44285</v>
      </c>
      <c r="AJ64" s="54">
        <v>0</v>
      </c>
      <c r="AK64" s="54">
        <v>-1771400</v>
      </c>
      <c r="AL64" t="s">
        <v>135</v>
      </c>
      <c r="AM64">
        <v>0</v>
      </c>
    </row>
    <row r="65" spans="1:39" ht="11.25" hidden="1" customHeight="1" x14ac:dyDescent="0.2">
      <c r="A65" s="29" t="s">
        <v>2974</v>
      </c>
      <c r="B65" s="29" t="s">
        <v>3084</v>
      </c>
      <c r="C65" s="40">
        <v>45505</v>
      </c>
      <c r="D65" s="39" t="s">
        <v>3720</v>
      </c>
      <c r="E65" s="29" t="s">
        <v>2874</v>
      </c>
      <c r="F65" s="32">
        <v>45533</v>
      </c>
      <c r="G65" s="32">
        <v>45897</v>
      </c>
      <c r="H65" s="30" t="s">
        <v>3790</v>
      </c>
      <c r="I65" s="31">
        <v>3520213054543</v>
      </c>
      <c r="J65" s="30" t="s">
        <v>1479</v>
      </c>
      <c r="K65" s="29" t="s">
        <v>2876</v>
      </c>
      <c r="L65" s="29" t="s">
        <v>2877</v>
      </c>
      <c r="M65" s="29" t="s">
        <v>2878</v>
      </c>
      <c r="N65" s="29" t="s">
        <v>3084</v>
      </c>
      <c r="O65" s="29" t="s">
        <v>4013</v>
      </c>
      <c r="P65" s="29" t="s">
        <v>3154</v>
      </c>
      <c r="Q65" s="29" t="s">
        <v>3272</v>
      </c>
      <c r="R65" s="32">
        <v>43710</v>
      </c>
      <c r="S65" s="32">
        <v>46270</v>
      </c>
      <c r="T65" s="33">
        <v>3897000</v>
      </c>
      <c r="U65" s="29">
        <v>30</v>
      </c>
      <c r="V65" s="34">
        <f t="shared" si="0"/>
        <v>1169100</v>
      </c>
      <c r="W65" s="34">
        <f t="shared" si="1"/>
        <v>2727900</v>
      </c>
      <c r="X65" s="35">
        <v>1.5</v>
      </c>
      <c r="Y65" s="34">
        <f t="shared" si="2"/>
        <v>40918.5</v>
      </c>
      <c r="Z65" s="36" t="s">
        <v>3146</v>
      </c>
      <c r="AA65" s="29"/>
      <c r="AB65" s="29"/>
      <c r="AC65" s="29"/>
      <c r="AD65" s="29" t="s">
        <v>3156</v>
      </c>
      <c r="AE65" s="29">
        <v>0</v>
      </c>
      <c r="AG65" t="s">
        <v>4276</v>
      </c>
      <c r="AH65" s="54">
        <v>0</v>
      </c>
      <c r="AI65" s="54">
        <v>-40918.5</v>
      </c>
      <c r="AJ65" s="54">
        <v>0</v>
      </c>
      <c r="AK65" s="54">
        <v>-2727900</v>
      </c>
      <c r="AL65" t="s">
        <v>135</v>
      </c>
      <c r="AM65">
        <v>0</v>
      </c>
    </row>
    <row r="66" spans="1:39" ht="11.25" hidden="1" customHeight="1" x14ac:dyDescent="0.2">
      <c r="A66" s="29" t="s">
        <v>2974</v>
      </c>
      <c r="B66" s="29" t="s">
        <v>3065</v>
      </c>
      <c r="C66" s="40">
        <v>45444</v>
      </c>
      <c r="D66" s="39" t="s">
        <v>3720</v>
      </c>
      <c r="E66" s="29" t="s">
        <v>2744</v>
      </c>
      <c r="F66" s="32">
        <v>45472</v>
      </c>
      <c r="G66" s="32">
        <v>45836</v>
      </c>
      <c r="H66" s="30" t="s">
        <v>3775</v>
      </c>
      <c r="I66" s="31">
        <v>3630269292171</v>
      </c>
      <c r="J66" s="30" t="s">
        <v>1422</v>
      </c>
      <c r="K66" s="29" t="s">
        <v>2746</v>
      </c>
      <c r="L66" s="29" t="s">
        <v>2747</v>
      </c>
      <c r="M66" s="29" t="s">
        <v>2748</v>
      </c>
      <c r="N66" s="29" t="s">
        <v>3065</v>
      </c>
      <c r="O66" s="29" t="s">
        <v>4013</v>
      </c>
      <c r="P66" s="29" t="s">
        <v>3249</v>
      </c>
      <c r="Q66" s="29" t="s">
        <v>3250</v>
      </c>
      <c r="R66" s="32">
        <v>44015</v>
      </c>
      <c r="S66" s="32">
        <v>45843</v>
      </c>
      <c r="T66" s="33">
        <v>1200000</v>
      </c>
      <c r="U66" s="29">
        <v>25</v>
      </c>
      <c r="V66" s="34">
        <f t="shared" ref="V66:V129" si="3">T66*U66%</f>
        <v>300000</v>
      </c>
      <c r="W66" s="34">
        <f t="shared" ref="W66:W129" si="4">T66-V66</f>
        <v>900000</v>
      </c>
      <c r="X66" s="35">
        <v>3.75</v>
      </c>
      <c r="Y66" s="34">
        <f t="shared" ref="Y66:Y129" si="5">W66*X66%</f>
        <v>33750</v>
      </c>
      <c r="Z66" s="36" t="s">
        <v>3132</v>
      </c>
      <c r="AA66" s="29"/>
      <c r="AB66" s="29"/>
      <c r="AC66" s="29"/>
      <c r="AD66" s="29" t="s">
        <v>3156</v>
      </c>
      <c r="AE66" s="29">
        <v>0</v>
      </c>
      <c r="AG66" t="s">
        <v>4264</v>
      </c>
      <c r="AH66" s="54">
        <v>0</v>
      </c>
      <c r="AI66" s="54">
        <v>-33750</v>
      </c>
      <c r="AJ66" s="54">
        <v>0</v>
      </c>
      <c r="AK66" s="54">
        <v>-900000</v>
      </c>
      <c r="AL66" t="s">
        <v>135</v>
      </c>
      <c r="AM66">
        <v>0</v>
      </c>
    </row>
    <row r="67" spans="1:39" ht="11.25" hidden="1" customHeight="1" x14ac:dyDescent="0.2">
      <c r="A67" s="29" t="s">
        <v>2974</v>
      </c>
      <c r="B67" s="29" t="s">
        <v>3060</v>
      </c>
      <c r="C67" s="40">
        <v>45383</v>
      </c>
      <c r="D67" s="39" t="s">
        <v>3720</v>
      </c>
      <c r="E67" s="29" t="s">
        <v>2697</v>
      </c>
      <c r="F67" s="32">
        <v>45412</v>
      </c>
      <c r="G67" s="32">
        <v>45776</v>
      </c>
      <c r="H67" s="30" t="s">
        <v>3767</v>
      </c>
      <c r="I67" s="31">
        <v>3520223457699</v>
      </c>
      <c r="J67" s="30" t="s">
        <v>391</v>
      </c>
      <c r="K67" s="29" t="s">
        <v>2699</v>
      </c>
      <c r="L67" s="29" t="s">
        <v>2700</v>
      </c>
      <c r="M67" s="29" t="s">
        <v>2701</v>
      </c>
      <c r="N67" s="29" t="s">
        <v>3060</v>
      </c>
      <c r="O67" s="29" t="s">
        <v>4013</v>
      </c>
      <c r="P67" s="29" t="s">
        <v>3154</v>
      </c>
      <c r="Q67" s="29" t="s">
        <v>3242</v>
      </c>
      <c r="R67" s="32">
        <v>44322</v>
      </c>
      <c r="S67" s="32">
        <v>46147</v>
      </c>
      <c r="T67" s="33">
        <v>2800000</v>
      </c>
      <c r="U67" s="29">
        <v>20</v>
      </c>
      <c r="V67" s="34">
        <f t="shared" si="3"/>
        <v>560000</v>
      </c>
      <c r="W67" s="34">
        <f t="shared" si="4"/>
        <v>2240000</v>
      </c>
      <c r="X67" s="35">
        <v>2.5</v>
      </c>
      <c r="Y67" s="34">
        <f t="shared" si="5"/>
        <v>56000</v>
      </c>
      <c r="Z67" s="36" t="s">
        <v>3129</v>
      </c>
      <c r="AA67" s="29"/>
      <c r="AB67" s="29"/>
      <c r="AC67" s="29"/>
      <c r="AD67" s="29" t="s">
        <v>3156</v>
      </c>
      <c r="AE67" s="29">
        <v>0</v>
      </c>
      <c r="AG67" t="s">
        <v>4251</v>
      </c>
      <c r="AH67" s="54">
        <v>0</v>
      </c>
      <c r="AI67" s="54">
        <v>-56000</v>
      </c>
      <c r="AJ67" s="54">
        <v>0</v>
      </c>
      <c r="AK67" s="54">
        <v>-2240000</v>
      </c>
      <c r="AL67" t="s">
        <v>135</v>
      </c>
      <c r="AM67">
        <v>0</v>
      </c>
    </row>
    <row r="68" spans="1:39" ht="11.25" hidden="1" customHeight="1" x14ac:dyDescent="0.2">
      <c r="A68" s="29" t="s">
        <v>2974</v>
      </c>
      <c r="B68" s="29" t="s">
        <v>3062</v>
      </c>
      <c r="C68" s="40">
        <v>45413</v>
      </c>
      <c r="D68" s="39" t="s">
        <v>3720</v>
      </c>
      <c r="E68" s="29" t="s">
        <v>2722</v>
      </c>
      <c r="F68" s="32">
        <v>45416</v>
      </c>
      <c r="G68" s="32">
        <v>45780</v>
      </c>
      <c r="H68" s="30" t="s">
        <v>3769</v>
      </c>
      <c r="I68" s="31">
        <v>4520416091005</v>
      </c>
      <c r="J68" s="30" t="s">
        <v>2724</v>
      </c>
      <c r="K68" s="29" t="s">
        <v>2725</v>
      </c>
      <c r="L68" s="29" t="s">
        <v>2726</v>
      </c>
      <c r="M68" s="29" t="s">
        <v>2727</v>
      </c>
      <c r="N68" s="29" t="s">
        <v>3062</v>
      </c>
      <c r="O68" s="29" t="s">
        <v>3162</v>
      </c>
      <c r="P68" s="29" t="s">
        <v>3211</v>
      </c>
      <c r="Q68" s="29" t="s">
        <v>3245</v>
      </c>
      <c r="R68" s="32">
        <v>43595</v>
      </c>
      <c r="S68" s="32">
        <v>45782</v>
      </c>
      <c r="T68" s="33">
        <v>874000</v>
      </c>
      <c r="U68" s="29">
        <v>30</v>
      </c>
      <c r="V68" s="34">
        <f t="shared" si="3"/>
        <v>262200</v>
      </c>
      <c r="W68" s="34">
        <f t="shared" si="4"/>
        <v>611800</v>
      </c>
      <c r="X68" s="35">
        <v>3.75</v>
      </c>
      <c r="Y68" s="34">
        <f t="shared" si="5"/>
        <v>22942.5</v>
      </c>
      <c r="Z68" s="36" t="s">
        <v>3130</v>
      </c>
      <c r="AA68" s="29"/>
      <c r="AB68" s="29"/>
      <c r="AC68" s="29"/>
      <c r="AD68" s="29" t="s">
        <v>3156</v>
      </c>
      <c r="AE68" s="29">
        <v>0</v>
      </c>
      <c r="AG68" t="s">
        <v>4277</v>
      </c>
      <c r="AH68" s="54">
        <v>0</v>
      </c>
      <c r="AI68" s="54">
        <v>-22942.5</v>
      </c>
      <c r="AJ68" s="54">
        <v>0</v>
      </c>
      <c r="AK68" s="54">
        <v>-611800</v>
      </c>
      <c r="AL68" t="s">
        <v>135</v>
      </c>
      <c r="AM68">
        <v>0</v>
      </c>
    </row>
    <row r="69" spans="1:39" ht="11.25" hidden="1" customHeight="1" x14ac:dyDescent="0.2">
      <c r="A69" s="29" t="s">
        <v>2974</v>
      </c>
      <c r="B69" s="29" t="s">
        <v>3027</v>
      </c>
      <c r="C69" s="40">
        <v>45231</v>
      </c>
      <c r="D69" s="39" t="s">
        <v>3720</v>
      </c>
      <c r="E69" s="29" t="s">
        <v>2327</v>
      </c>
      <c r="F69" s="32">
        <v>45260</v>
      </c>
      <c r="G69" s="32">
        <v>45625</v>
      </c>
      <c r="H69" s="30" t="s">
        <v>3737</v>
      </c>
      <c r="I69" s="31">
        <v>3520266819349</v>
      </c>
      <c r="J69" s="30" t="s">
        <v>128</v>
      </c>
      <c r="K69" s="29" t="s">
        <v>2329</v>
      </c>
      <c r="L69" s="29" t="s">
        <v>2330</v>
      </c>
      <c r="M69" s="29" t="s">
        <v>2331</v>
      </c>
      <c r="N69" s="29" t="s">
        <v>3027</v>
      </c>
      <c r="O69" s="29" t="s">
        <v>4013</v>
      </c>
      <c r="P69" s="29" t="s">
        <v>3154</v>
      </c>
      <c r="Q69" s="29" t="s">
        <v>3200</v>
      </c>
      <c r="R69" s="32">
        <v>44897</v>
      </c>
      <c r="S69" s="32">
        <v>46727</v>
      </c>
      <c r="T69" s="33">
        <v>1850000</v>
      </c>
      <c r="U69" s="29">
        <v>10</v>
      </c>
      <c r="V69" s="34">
        <f t="shared" si="3"/>
        <v>185000</v>
      </c>
      <c r="W69" s="34">
        <f t="shared" si="4"/>
        <v>1665000</v>
      </c>
      <c r="X69" s="35">
        <v>2</v>
      </c>
      <c r="Y69" s="34">
        <f t="shared" si="5"/>
        <v>33300</v>
      </c>
      <c r="Z69" s="36" t="s">
        <v>3108</v>
      </c>
      <c r="AA69" s="29"/>
      <c r="AB69" s="29"/>
      <c r="AC69" s="29"/>
      <c r="AD69" s="29" t="s">
        <v>3156</v>
      </c>
      <c r="AE69" s="29">
        <v>0</v>
      </c>
      <c r="AG69" t="s">
        <v>4272</v>
      </c>
      <c r="AH69" s="54">
        <v>0</v>
      </c>
      <c r="AI69" s="54">
        <v>-33300</v>
      </c>
      <c r="AJ69" s="54">
        <v>0</v>
      </c>
      <c r="AK69" s="54">
        <v>-1665000</v>
      </c>
      <c r="AL69" t="s">
        <v>135</v>
      </c>
      <c r="AM69">
        <v>0</v>
      </c>
    </row>
    <row r="70" spans="1:39" ht="11.25" hidden="1" customHeight="1" x14ac:dyDescent="0.2">
      <c r="A70" s="29" t="s">
        <v>2974</v>
      </c>
      <c r="B70" s="29" t="s">
        <v>3150</v>
      </c>
      <c r="C70" s="40">
        <v>43221</v>
      </c>
      <c r="D70" s="39" t="s">
        <v>3720</v>
      </c>
      <c r="E70" s="29" t="s">
        <v>2146</v>
      </c>
      <c r="F70" s="32">
        <v>43235</v>
      </c>
      <c r="G70" s="32">
        <v>43599</v>
      </c>
      <c r="H70" s="30" t="s">
        <v>3721</v>
      </c>
      <c r="I70" s="31">
        <v>3520251193503</v>
      </c>
      <c r="J70" s="30" t="s">
        <v>2148</v>
      </c>
      <c r="K70" s="29"/>
      <c r="L70" s="29" t="s">
        <v>2149</v>
      </c>
      <c r="M70" s="29" t="s">
        <v>2150</v>
      </c>
      <c r="N70" s="29" t="s">
        <v>3150</v>
      </c>
      <c r="O70" s="29" t="s">
        <v>4013</v>
      </c>
      <c r="P70" s="29" t="s">
        <v>3154</v>
      </c>
      <c r="Q70" s="29" t="s">
        <v>3179</v>
      </c>
      <c r="R70" s="32">
        <v>42143</v>
      </c>
      <c r="S70" s="32">
        <v>43987</v>
      </c>
      <c r="T70" s="33">
        <v>1770500</v>
      </c>
      <c r="U70" s="29">
        <v>20</v>
      </c>
      <c r="V70" s="34">
        <f t="shared" si="3"/>
        <v>354100</v>
      </c>
      <c r="W70" s="34">
        <f t="shared" si="4"/>
        <v>1416400</v>
      </c>
      <c r="X70" s="35">
        <v>3.75</v>
      </c>
      <c r="Y70" s="34">
        <f t="shared" si="5"/>
        <v>53115</v>
      </c>
      <c r="Z70" s="36" t="s">
        <v>3102</v>
      </c>
      <c r="AA70" s="29"/>
      <c r="AB70" s="34"/>
      <c r="AC70" s="29"/>
      <c r="AD70" s="29" t="s">
        <v>3160</v>
      </c>
      <c r="AE70" s="29">
        <v>3315</v>
      </c>
    </row>
    <row r="71" spans="1:39" ht="11.25" hidden="1" customHeight="1" x14ac:dyDescent="0.2">
      <c r="A71" s="29" t="s">
        <v>2974</v>
      </c>
      <c r="B71" s="29" t="s">
        <v>3150</v>
      </c>
      <c r="C71" s="40">
        <v>43586</v>
      </c>
      <c r="D71" s="39" t="s">
        <v>3720</v>
      </c>
      <c r="E71" s="29" t="s">
        <v>2151</v>
      </c>
      <c r="F71" s="32">
        <v>43600</v>
      </c>
      <c r="G71" s="32">
        <v>43965</v>
      </c>
      <c r="H71" s="30" t="s">
        <v>3721</v>
      </c>
      <c r="I71" s="31">
        <v>3520251193503</v>
      </c>
      <c r="J71" s="30" t="s">
        <v>2148</v>
      </c>
      <c r="K71" s="29"/>
      <c r="L71" s="29" t="s">
        <v>2149</v>
      </c>
      <c r="M71" s="29" t="s">
        <v>2150</v>
      </c>
      <c r="N71" s="29" t="s">
        <v>3150</v>
      </c>
      <c r="O71" s="29" t="s">
        <v>4013</v>
      </c>
      <c r="P71" s="29" t="s">
        <v>3154</v>
      </c>
      <c r="Q71" s="29" t="s">
        <v>3179</v>
      </c>
      <c r="R71" s="32">
        <v>42143</v>
      </c>
      <c r="S71" s="32">
        <v>43987</v>
      </c>
      <c r="T71" s="33">
        <v>1770500</v>
      </c>
      <c r="U71" s="29">
        <v>25</v>
      </c>
      <c r="V71" s="34">
        <f t="shared" si="3"/>
        <v>442625</v>
      </c>
      <c r="W71" s="34">
        <f t="shared" si="4"/>
        <v>1327875</v>
      </c>
      <c r="X71" s="35">
        <v>3.75</v>
      </c>
      <c r="Y71" s="34">
        <f t="shared" si="5"/>
        <v>49795.3125</v>
      </c>
      <c r="Z71" s="36" t="s">
        <v>3102</v>
      </c>
      <c r="AA71" s="29"/>
      <c r="AB71" s="34"/>
      <c r="AC71" s="29"/>
      <c r="AD71" s="29" t="s">
        <v>3160</v>
      </c>
      <c r="AE71" s="29">
        <v>3315</v>
      </c>
    </row>
    <row r="72" spans="1:39" ht="11.25" hidden="1" customHeight="1" x14ac:dyDescent="0.2">
      <c r="A72" s="29" t="s">
        <v>2974</v>
      </c>
      <c r="B72" s="29" t="s">
        <v>3153</v>
      </c>
      <c r="C72" s="40">
        <v>44166</v>
      </c>
      <c r="D72" s="39" t="s">
        <v>3720</v>
      </c>
      <c r="E72" s="29" t="s">
        <v>2163</v>
      </c>
      <c r="F72" s="32">
        <v>44195</v>
      </c>
      <c r="G72" s="32">
        <v>44559</v>
      </c>
      <c r="H72" s="30" t="s">
        <v>3722</v>
      </c>
      <c r="I72" s="31">
        <v>3520141904229</v>
      </c>
      <c r="J72" s="30" t="s">
        <v>239</v>
      </c>
      <c r="K72" s="29"/>
      <c r="L72" s="29" t="s">
        <v>2165</v>
      </c>
      <c r="M72" s="29" t="s">
        <v>2166</v>
      </c>
      <c r="N72" s="29" t="s">
        <v>3153</v>
      </c>
      <c r="O72" s="29" t="s">
        <v>4013</v>
      </c>
      <c r="P72" s="29" t="s">
        <v>3183</v>
      </c>
      <c r="Q72" s="29" t="s">
        <v>3184</v>
      </c>
      <c r="R72" s="32">
        <v>43472</v>
      </c>
      <c r="S72" s="32">
        <v>45296</v>
      </c>
      <c r="T72" s="33">
        <v>2026000</v>
      </c>
      <c r="U72" s="29">
        <v>10</v>
      </c>
      <c r="V72" s="34">
        <f t="shared" si="3"/>
        <v>202600</v>
      </c>
      <c r="W72" s="34">
        <f t="shared" si="4"/>
        <v>1823400</v>
      </c>
      <c r="X72" s="35">
        <v>3.75</v>
      </c>
      <c r="Y72" s="34">
        <f t="shared" si="5"/>
        <v>68377.5</v>
      </c>
      <c r="Z72" s="36" t="s">
        <v>3102</v>
      </c>
      <c r="AA72" s="29"/>
      <c r="AB72" s="34"/>
      <c r="AC72" s="29"/>
      <c r="AD72" s="29" t="s">
        <v>3160</v>
      </c>
      <c r="AE72" s="29">
        <v>1885</v>
      </c>
    </row>
    <row r="73" spans="1:39" ht="11.25" hidden="1" customHeight="1" x14ac:dyDescent="0.2">
      <c r="A73" s="29" t="s">
        <v>2974</v>
      </c>
      <c r="B73" s="29" t="s">
        <v>3017</v>
      </c>
      <c r="C73" s="40">
        <v>44593</v>
      </c>
      <c r="D73" s="39" t="s">
        <v>3720</v>
      </c>
      <c r="E73" s="29" t="s">
        <v>2206</v>
      </c>
      <c r="F73" s="32">
        <v>44620</v>
      </c>
      <c r="G73" s="32">
        <v>44984</v>
      </c>
      <c r="H73" s="30" t="s">
        <v>3724</v>
      </c>
      <c r="I73" s="31">
        <v>3520271630131</v>
      </c>
      <c r="J73" s="30" t="s">
        <v>391</v>
      </c>
      <c r="K73" s="29" t="s">
        <v>2208</v>
      </c>
      <c r="L73" s="29" t="s">
        <v>2209</v>
      </c>
      <c r="M73" s="29" t="s">
        <v>2210</v>
      </c>
      <c r="N73" s="29" t="s">
        <v>3017</v>
      </c>
      <c r="O73" s="29" t="s">
        <v>4013</v>
      </c>
      <c r="P73" s="29" t="s">
        <v>3154</v>
      </c>
      <c r="Q73" s="29" t="s">
        <v>3185</v>
      </c>
      <c r="R73" s="32">
        <v>43892</v>
      </c>
      <c r="S73" s="32">
        <v>45721</v>
      </c>
      <c r="T73" s="33">
        <v>2903000</v>
      </c>
      <c r="U73" s="29">
        <v>15</v>
      </c>
      <c r="V73" s="34">
        <f t="shared" si="3"/>
        <v>435450</v>
      </c>
      <c r="W73" s="34">
        <f t="shared" si="4"/>
        <v>2467550</v>
      </c>
      <c r="X73" s="35">
        <v>3.75</v>
      </c>
      <c r="Y73" s="34">
        <f t="shared" si="5"/>
        <v>92533.125</v>
      </c>
      <c r="Z73" s="36" t="s">
        <v>3102</v>
      </c>
      <c r="AA73" s="29"/>
      <c r="AB73" s="34"/>
      <c r="AC73" s="29"/>
      <c r="AD73" s="29" t="s">
        <v>3186</v>
      </c>
      <c r="AE73" s="29">
        <v>1004</v>
      </c>
    </row>
    <row r="74" spans="1:39" ht="11.25" hidden="1" customHeight="1" x14ac:dyDescent="0.2">
      <c r="A74" s="29" t="s">
        <v>2974</v>
      </c>
      <c r="B74" s="29" t="s">
        <v>3018</v>
      </c>
      <c r="C74" s="40">
        <v>44958</v>
      </c>
      <c r="D74" s="39" t="s">
        <v>3720</v>
      </c>
      <c r="E74" s="29" t="s">
        <v>2226</v>
      </c>
      <c r="F74" s="32">
        <v>44985</v>
      </c>
      <c r="G74" s="32">
        <v>45349</v>
      </c>
      <c r="H74" s="30" t="s">
        <v>3725</v>
      </c>
      <c r="I74" s="31">
        <v>3310089601239</v>
      </c>
      <c r="J74" s="30" t="s">
        <v>368</v>
      </c>
      <c r="K74" s="29" t="s">
        <v>2228</v>
      </c>
      <c r="L74" s="29" t="s">
        <v>2229</v>
      </c>
      <c r="M74" s="29" t="s">
        <v>2230</v>
      </c>
      <c r="N74" s="29" t="s">
        <v>3018</v>
      </c>
      <c r="O74" s="29" t="s">
        <v>4013</v>
      </c>
      <c r="P74" s="29" t="s">
        <v>3172</v>
      </c>
      <c r="Q74" s="29" t="s">
        <v>3187</v>
      </c>
      <c r="R74" s="32">
        <v>44622</v>
      </c>
      <c r="S74" s="32">
        <v>46451</v>
      </c>
      <c r="T74" s="33">
        <v>1700000</v>
      </c>
      <c r="U74" s="29">
        <v>10</v>
      </c>
      <c r="V74" s="34">
        <f t="shared" si="3"/>
        <v>170000</v>
      </c>
      <c r="W74" s="34">
        <f t="shared" si="4"/>
        <v>1530000</v>
      </c>
      <c r="X74" s="35">
        <v>2.5</v>
      </c>
      <c r="Y74" s="34">
        <f t="shared" si="5"/>
        <v>38250</v>
      </c>
      <c r="Z74" s="36" t="s">
        <v>3102</v>
      </c>
      <c r="AA74" s="29"/>
      <c r="AB74" s="34"/>
      <c r="AC74" s="29"/>
      <c r="AD74" s="29" t="s">
        <v>3160</v>
      </c>
      <c r="AE74" s="29">
        <v>758</v>
      </c>
    </row>
    <row r="75" spans="1:39" ht="11.25" hidden="1" customHeight="1" x14ac:dyDescent="0.2">
      <c r="A75" s="29" t="s">
        <v>2974</v>
      </c>
      <c r="B75" s="29" t="s">
        <v>3034</v>
      </c>
      <c r="C75" s="40">
        <v>45323</v>
      </c>
      <c r="D75" s="39" t="s">
        <v>3720</v>
      </c>
      <c r="E75" s="29" t="s">
        <v>2425</v>
      </c>
      <c r="F75" s="32">
        <v>45333</v>
      </c>
      <c r="G75" s="32">
        <v>45698</v>
      </c>
      <c r="H75" s="30" t="s">
        <v>3742</v>
      </c>
      <c r="I75" s="31">
        <v>3520220789370</v>
      </c>
      <c r="J75" s="30" t="s">
        <v>112</v>
      </c>
      <c r="K75" s="29" t="s">
        <v>2427</v>
      </c>
      <c r="L75" s="29" t="s">
        <v>2428</v>
      </c>
      <c r="M75" s="29" t="s">
        <v>2429</v>
      </c>
      <c r="N75" s="29" t="s">
        <v>3034</v>
      </c>
      <c r="O75" s="29" t="s">
        <v>4013</v>
      </c>
      <c r="P75" s="29" t="s">
        <v>3154</v>
      </c>
      <c r="Q75" s="29" t="s">
        <v>3209</v>
      </c>
      <c r="R75" s="32">
        <v>44608</v>
      </c>
      <c r="S75" s="32">
        <v>46451</v>
      </c>
      <c r="T75" s="33">
        <v>950000</v>
      </c>
      <c r="U75" s="29">
        <v>15</v>
      </c>
      <c r="V75" s="34">
        <f t="shared" si="3"/>
        <v>142500</v>
      </c>
      <c r="W75" s="34">
        <f t="shared" si="4"/>
        <v>807500</v>
      </c>
      <c r="X75" s="35">
        <v>2.5</v>
      </c>
      <c r="Y75" s="34">
        <f t="shared" si="5"/>
        <v>20187.5</v>
      </c>
      <c r="Z75" s="36" t="s">
        <v>3102</v>
      </c>
      <c r="AA75" s="29"/>
      <c r="AB75" s="34"/>
      <c r="AC75" s="29"/>
      <c r="AD75" s="29" t="s">
        <v>3160</v>
      </c>
      <c r="AE75" s="29">
        <v>363</v>
      </c>
    </row>
    <row r="76" spans="1:39" ht="11.25" hidden="1" customHeight="1" x14ac:dyDescent="0.2">
      <c r="A76" s="29" t="s">
        <v>2974</v>
      </c>
      <c r="B76" s="29" t="s">
        <v>3064</v>
      </c>
      <c r="C76" s="40">
        <v>45444</v>
      </c>
      <c r="D76" s="39" t="s">
        <v>3720</v>
      </c>
      <c r="E76" s="29" t="s">
        <v>2737</v>
      </c>
      <c r="F76" s="32">
        <v>45468</v>
      </c>
      <c r="G76" s="32">
        <v>45832</v>
      </c>
      <c r="H76" s="30" t="s">
        <v>3772</v>
      </c>
      <c r="I76" s="31">
        <v>3630309487075</v>
      </c>
      <c r="J76" s="30" t="s">
        <v>1479</v>
      </c>
      <c r="K76" s="29" t="s">
        <v>2739</v>
      </c>
      <c r="L76" s="29" t="s">
        <v>2740</v>
      </c>
      <c r="M76" s="29" t="s">
        <v>2741</v>
      </c>
      <c r="N76" s="29" t="s">
        <v>3064</v>
      </c>
      <c r="O76" s="29" t="s">
        <v>4013</v>
      </c>
      <c r="P76" s="29" t="s">
        <v>3216</v>
      </c>
      <c r="Q76" s="29" t="s">
        <v>3248</v>
      </c>
      <c r="R76" s="32">
        <v>44015</v>
      </c>
      <c r="S76" s="32">
        <v>45843</v>
      </c>
      <c r="T76" s="33">
        <v>4054500</v>
      </c>
      <c r="U76" s="29">
        <v>25</v>
      </c>
      <c r="V76" s="34">
        <f t="shared" si="3"/>
        <v>1013625</v>
      </c>
      <c r="W76" s="34">
        <f t="shared" si="4"/>
        <v>3040875</v>
      </c>
      <c r="X76" s="35">
        <v>1.5</v>
      </c>
      <c r="Y76" s="34">
        <f t="shared" si="5"/>
        <v>45613.125</v>
      </c>
      <c r="Z76" s="36" t="s">
        <v>3102</v>
      </c>
      <c r="AA76" s="29"/>
      <c r="AB76" s="34"/>
      <c r="AC76" s="29"/>
      <c r="AD76" s="29" t="s">
        <v>3160</v>
      </c>
      <c r="AE76" s="29">
        <v>272</v>
      </c>
    </row>
    <row r="77" spans="1:39" ht="11.25" hidden="1" customHeight="1" x14ac:dyDescent="0.2">
      <c r="A77" s="29" t="s">
        <v>2974</v>
      </c>
      <c r="B77" s="29" t="s">
        <v>3073</v>
      </c>
      <c r="C77" s="40">
        <v>45474</v>
      </c>
      <c r="D77" s="39" t="s">
        <v>3720</v>
      </c>
      <c r="E77" s="29" t="s">
        <v>2796</v>
      </c>
      <c r="F77" s="32">
        <v>45496</v>
      </c>
      <c r="G77" s="32">
        <v>45860</v>
      </c>
      <c r="H77" s="30" t="s">
        <v>3780</v>
      </c>
      <c r="I77" s="31">
        <v>3410417767359</v>
      </c>
      <c r="J77" s="30" t="s">
        <v>29</v>
      </c>
      <c r="K77" s="29" t="s">
        <v>2798</v>
      </c>
      <c r="L77" s="29" t="s">
        <v>2799</v>
      </c>
      <c r="M77" s="29" t="s">
        <v>2800</v>
      </c>
      <c r="N77" s="29" t="s">
        <v>3073</v>
      </c>
      <c r="O77" s="29" t="s">
        <v>4013</v>
      </c>
      <c r="P77" s="29" t="s">
        <v>3258</v>
      </c>
      <c r="Q77" s="29" t="s">
        <v>3259</v>
      </c>
      <c r="R77" s="32">
        <v>44047</v>
      </c>
      <c r="S77" s="32">
        <v>45874</v>
      </c>
      <c r="T77" s="33">
        <v>1398000</v>
      </c>
      <c r="U77" s="29">
        <v>25</v>
      </c>
      <c r="V77" s="34">
        <f t="shared" si="3"/>
        <v>349500</v>
      </c>
      <c r="W77" s="34">
        <f t="shared" si="4"/>
        <v>1048500</v>
      </c>
      <c r="X77" s="35">
        <v>3.75</v>
      </c>
      <c r="Y77" s="34">
        <f t="shared" si="5"/>
        <v>39318.75</v>
      </c>
      <c r="Z77" s="36" t="s">
        <v>3102</v>
      </c>
      <c r="AA77" s="29"/>
      <c r="AB77" s="34"/>
      <c r="AC77" s="29"/>
      <c r="AD77" s="29" t="s">
        <v>3160</v>
      </c>
      <c r="AE77" s="29">
        <v>210</v>
      </c>
    </row>
    <row r="78" spans="1:39" ht="11.25" hidden="1" customHeight="1" x14ac:dyDescent="0.2">
      <c r="A78" s="29" t="s">
        <v>2974</v>
      </c>
      <c r="B78" s="29" t="s">
        <v>3089</v>
      </c>
      <c r="C78" s="40">
        <v>45536</v>
      </c>
      <c r="D78" s="39" t="s">
        <v>3720</v>
      </c>
      <c r="E78" s="29" t="s">
        <v>2907</v>
      </c>
      <c r="F78" s="32">
        <v>45550</v>
      </c>
      <c r="G78" s="32">
        <v>45914</v>
      </c>
      <c r="H78" s="30" t="s">
        <v>3792</v>
      </c>
      <c r="I78" s="31">
        <v>3410197095563</v>
      </c>
      <c r="J78" s="30" t="s">
        <v>391</v>
      </c>
      <c r="K78" s="29" t="s">
        <v>2909</v>
      </c>
      <c r="L78" s="29" t="s">
        <v>2910</v>
      </c>
      <c r="M78" s="29" t="s">
        <v>2911</v>
      </c>
      <c r="N78" s="29" t="s">
        <v>3089</v>
      </c>
      <c r="O78" s="29" t="s">
        <v>4013</v>
      </c>
      <c r="P78" s="29" t="s">
        <v>3258</v>
      </c>
      <c r="Q78" s="29" t="s">
        <v>3277</v>
      </c>
      <c r="R78" s="32">
        <v>44091</v>
      </c>
      <c r="S78" s="32">
        <v>45936</v>
      </c>
      <c r="T78" s="33">
        <v>2725000</v>
      </c>
      <c r="U78" s="29">
        <v>25</v>
      </c>
      <c r="V78" s="34">
        <f t="shared" si="3"/>
        <v>681250</v>
      </c>
      <c r="W78" s="34">
        <f t="shared" si="4"/>
        <v>2043750</v>
      </c>
      <c r="X78" s="35">
        <v>2.5</v>
      </c>
      <c r="Y78" s="34">
        <f t="shared" si="5"/>
        <v>51093.75</v>
      </c>
      <c r="Z78" s="36" t="s">
        <v>3102</v>
      </c>
      <c r="AA78" s="29"/>
      <c r="AB78" s="34"/>
      <c r="AC78" s="29"/>
      <c r="AD78" s="29" t="s">
        <v>3160</v>
      </c>
      <c r="AE78" s="29">
        <v>210</v>
      </c>
    </row>
    <row r="79" spans="1:39" ht="11.25" hidden="1" customHeight="1" x14ac:dyDescent="0.2">
      <c r="A79" s="29" t="s">
        <v>2974</v>
      </c>
      <c r="B79" s="29" t="s">
        <v>3090</v>
      </c>
      <c r="C79" s="40">
        <v>45536</v>
      </c>
      <c r="D79" s="39" t="s">
        <v>3720</v>
      </c>
      <c r="E79" s="29" t="s">
        <v>2915</v>
      </c>
      <c r="F79" s="32">
        <v>45550</v>
      </c>
      <c r="G79" s="32">
        <v>45914</v>
      </c>
      <c r="H79" s="30" t="s">
        <v>3793</v>
      </c>
      <c r="I79" s="31">
        <v>3520215531895</v>
      </c>
      <c r="J79" s="30" t="s">
        <v>1634</v>
      </c>
      <c r="K79" s="29"/>
      <c r="L79" s="29" t="s">
        <v>2917</v>
      </c>
      <c r="M79" s="29" t="s">
        <v>2918</v>
      </c>
      <c r="N79" s="29" t="s">
        <v>3090</v>
      </c>
      <c r="O79" s="29" t="s">
        <v>4013</v>
      </c>
      <c r="P79" s="29" t="s">
        <v>3154</v>
      </c>
      <c r="Q79" s="29" t="s">
        <v>3278</v>
      </c>
      <c r="R79" s="32">
        <v>44841</v>
      </c>
      <c r="S79" s="32">
        <v>46665</v>
      </c>
      <c r="T79" s="33">
        <v>2754000</v>
      </c>
      <c r="U79" s="29">
        <v>15</v>
      </c>
      <c r="V79" s="34">
        <f t="shared" si="3"/>
        <v>413100</v>
      </c>
      <c r="W79" s="34">
        <f t="shared" si="4"/>
        <v>2340900</v>
      </c>
      <c r="X79" s="35">
        <v>2</v>
      </c>
      <c r="Y79" s="34">
        <f t="shared" si="5"/>
        <v>46818</v>
      </c>
      <c r="Z79" s="36" t="s">
        <v>3102</v>
      </c>
      <c r="AA79" s="29"/>
      <c r="AB79" s="34"/>
      <c r="AC79" s="29"/>
      <c r="AD79" s="29" t="s">
        <v>3160</v>
      </c>
      <c r="AE79" s="29">
        <v>150</v>
      </c>
    </row>
    <row r="80" spans="1:39" ht="11.25" hidden="1" customHeight="1" x14ac:dyDescent="0.2">
      <c r="A80" s="29" t="s">
        <v>2974</v>
      </c>
      <c r="B80" s="29" t="s">
        <v>3088</v>
      </c>
      <c r="C80" s="40">
        <v>45536</v>
      </c>
      <c r="D80" s="39" t="s">
        <v>3720</v>
      </c>
      <c r="E80" s="29" t="s">
        <v>2900</v>
      </c>
      <c r="F80" s="32">
        <v>45558</v>
      </c>
      <c r="G80" s="32">
        <v>45922</v>
      </c>
      <c r="H80" s="30" t="s">
        <v>3795</v>
      </c>
      <c r="I80" s="31">
        <v>3460403969865</v>
      </c>
      <c r="J80" s="30" t="s">
        <v>155</v>
      </c>
      <c r="K80" s="29"/>
      <c r="L80" s="29" t="s">
        <v>2902</v>
      </c>
      <c r="M80" s="29" t="s">
        <v>2903</v>
      </c>
      <c r="N80" s="29" t="s">
        <v>3088</v>
      </c>
      <c r="O80" s="29" t="s">
        <v>4013</v>
      </c>
      <c r="P80" s="29" t="s">
        <v>3258</v>
      </c>
      <c r="Q80" s="29" t="s">
        <v>3276</v>
      </c>
      <c r="R80" s="32">
        <v>44104</v>
      </c>
      <c r="S80" s="32">
        <v>45936</v>
      </c>
      <c r="T80" s="33">
        <v>1700000</v>
      </c>
      <c r="U80" s="29">
        <v>25</v>
      </c>
      <c r="V80" s="34">
        <f t="shared" si="3"/>
        <v>425000</v>
      </c>
      <c r="W80" s="34">
        <f t="shared" si="4"/>
        <v>1275000</v>
      </c>
      <c r="X80" s="35">
        <v>3.5</v>
      </c>
      <c r="Y80" s="34">
        <f t="shared" si="5"/>
        <v>44625.000000000007</v>
      </c>
      <c r="Z80" s="36" t="s">
        <v>3102</v>
      </c>
      <c r="AA80" s="29"/>
      <c r="AB80" s="34"/>
      <c r="AC80" s="29"/>
      <c r="AD80" s="29" t="s">
        <v>3160</v>
      </c>
      <c r="AE80" s="29">
        <v>150</v>
      </c>
    </row>
    <row r="81" spans="1:39" ht="11.25" hidden="1" customHeight="1" x14ac:dyDescent="0.2">
      <c r="A81" s="29" t="s">
        <v>2974</v>
      </c>
      <c r="B81" s="29" t="s">
        <v>3091</v>
      </c>
      <c r="C81" s="40">
        <v>45536</v>
      </c>
      <c r="D81" s="39" t="s">
        <v>3720</v>
      </c>
      <c r="E81" s="29" t="s">
        <v>2922</v>
      </c>
      <c r="F81" s="32">
        <v>45562</v>
      </c>
      <c r="G81" s="32">
        <v>45926</v>
      </c>
      <c r="H81" s="30" t="s">
        <v>3796</v>
      </c>
      <c r="I81" s="31">
        <v>3840331518045</v>
      </c>
      <c r="J81" s="30" t="s">
        <v>301</v>
      </c>
      <c r="K81" s="29" t="s">
        <v>2924</v>
      </c>
      <c r="L81" s="29" t="s">
        <v>2925</v>
      </c>
      <c r="M81" s="29" t="s">
        <v>2926</v>
      </c>
      <c r="N81" s="29" t="s">
        <v>3091</v>
      </c>
      <c r="O81" s="29" t="s">
        <v>4013</v>
      </c>
      <c r="P81" s="29" t="s">
        <v>3154</v>
      </c>
      <c r="Q81" s="29" t="s">
        <v>3279</v>
      </c>
      <c r="R81" s="32">
        <v>44834</v>
      </c>
      <c r="S81" s="32">
        <v>46665</v>
      </c>
      <c r="T81" s="33">
        <v>2200000</v>
      </c>
      <c r="U81" s="29">
        <v>15</v>
      </c>
      <c r="V81" s="34">
        <f t="shared" si="3"/>
        <v>330000</v>
      </c>
      <c r="W81" s="34">
        <f t="shared" si="4"/>
        <v>1870000</v>
      </c>
      <c r="X81" s="35">
        <v>2</v>
      </c>
      <c r="Y81" s="34">
        <f t="shared" si="5"/>
        <v>37400</v>
      </c>
      <c r="Z81" s="36" t="s">
        <v>3102</v>
      </c>
      <c r="AA81" s="29"/>
      <c r="AB81" s="34"/>
      <c r="AC81" s="29"/>
      <c r="AD81" s="29" t="s">
        <v>3160</v>
      </c>
      <c r="AE81" s="29">
        <v>88</v>
      </c>
    </row>
    <row r="82" spans="1:39" ht="11.25" hidden="1" customHeight="1" x14ac:dyDescent="0.2">
      <c r="A82" s="29" t="s">
        <v>2974</v>
      </c>
      <c r="B82" s="29" t="s">
        <v>3085</v>
      </c>
      <c r="C82" s="40">
        <v>45536</v>
      </c>
      <c r="D82" s="39" t="s">
        <v>3720</v>
      </c>
      <c r="E82" s="29" t="s">
        <v>2882</v>
      </c>
      <c r="F82" s="32">
        <v>45564</v>
      </c>
      <c r="G82" s="32">
        <v>45928</v>
      </c>
      <c r="H82" s="30" t="s">
        <v>3801</v>
      </c>
      <c r="I82" s="31">
        <v>6110118727087</v>
      </c>
      <c r="J82" s="30" t="s">
        <v>899</v>
      </c>
      <c r="K82" s="29" t="s">
        <v>2884</v>
      </c>
      <c r="L82" s="29" t="s">
        <v>2885</v>
      </c>
      <c r="M82" s="29" t="s">
        <v>2886</v>
      </c>
      <c r="N82" s="29" t="s">
        <v>3085</v>
      </c>
      <c r="O82" s="29" t="s">
        <v>3167</v>
      </c>
      <c r="P82" s="29" t="s">
        <v>3168</v>
      </c>
      <c r="Q82" s="29" t="s">
        <v>3273</v>
      </c>
      <c r="R82" s="32">
        <v>44834</v>
      </c>
      <c r="S82" s="32">
        <v>46665</v>
      </c>
      <c r="T82" s="33">
        <v>1424000</v>
      </c>
      <c r="U82" s="29">
        <v>15</v>
      </c>
      <c r="V82" s="34">
        <f t="shared" si="3"/>
        <v>213600</v>
      </c>
      <c r="W82" s="34">
        <f t="shared" si="4"/>
        <v>1210400</v>
      </c>
      <c r="X82" s="35">
        <v>2</v>
      </c>
      <c r="Y82" s="34">
        <f t="shared" si="5"/>
        <v>24208</v>
      </c>
      <c r="Z82" s="36" t="s">
        <v>3102</v>
      </c>
      <c r="AA82" s="29"/>
      <c r="AB82" s="34"/>
      <c r="AC82" s="29"/>
      <c r="AD82" s="29" t="s">
        <v>3160</v>
      </c>
      <c r="AE82" s="29">
        <v>210</v>
      </c>
    </row>
    <row r="83" spans="1:39" ht="11.25" hidden="1" customHeight="1" x14ac:dyDescent="0.2">
      <c r="A83" s="29" t="s">
        <v>2974</v>
      </c>
      <c r="B83" s="29" t="s">
        <v>3015</v>
      </c>
      <c r="C83" s="40">
        <v>45566</v>
      </c>
      <c r="D83" s="39" t="s">
        <v>3720</v>
      </c>
      <c r="E83" s="29" t="s">
        <v>110</v>
      </c>
      <c r="F83" s="32">
        <v>45589</v>
      </c>
      <c r="G83" s="32">
        <v>45953</v>
      </c>
      <c r="H83" s="30" t="s">
        <v>3811</v>
      </c>
      <c r="I83" s="31">
        <v>3120251917929</v>
      </c>
      <c r="J83" s="30" t="s">
        <v>112</v>
      </c>
      <c r="K83" s="29" t="s">
        <v>113</v>
      </c>
      <c r="L83" s="29" t="s">
        <v>114</v>
      </c>
      <c r="M83" s="29" t="s">
        <v>115</v>
      </c>
      <c r="N83" s="29" t="s">
        <v>3015</v>
      </c>
      <c r="O83" s="29" t="s">
        <v>4013</v>
      </c>
      <c r="P83" s="29" t="s">
        <v>3176</v>
      </c>
      <c r="Q83" s="29" t="s">
        <v>3177</v>
      </c>
      <c r="R83" s="32">
        <v>45226</v>
      </c>
      <c r="S83" s="32">
        <v>47063</v>
      </c>
      <c r="T83" s="33">
        <v>1200000</v>
      </c>
      <c r="U83" s="29">
        <v>10</v>
      </c>
      <c r="V83" s="34">
        <f t="shared" si="3"/>
        <v>120000</v>
      </c>
      <c r="W83" s="34">
        <f t="shared" si="4"/>
        <v>1080000</v>
      </c>
      <c r="X83" s="35">
        <v>2</v>
      </c>
      <c r="Y83" s="34">
        <f t="shared" si="5"/>
        <v>21600</v>
      </c>
      <c r="Z83" s="36" t="s">
        <v>3102</v>
      </c>
      <c r="AA83" s="29"/>
      <c r="AB83" s="34"/>
      <c r="AC83" s="29"/>
      <c r="AD83" s="29" t="s">
        <v>3160</v>
      </c>
      <c r="AE83" s="29">
        <v>119</v>
      </c>
    </row>
    <row r="84" spans="1:39" ht="11.25" hidden="1" customHeight="1" x14ac:dyDescent="0.2">
      <c r="A84" s="29" t="s">
        <v>2974</v>
      </c>
      <c r="B84" s="29" t="s">
        <v>3345</v>
      </c>
      <c r="C84" s="40">
        <v>45597</v>
      </c>
      <c r="D84" s="39" t="s">
        <v>3720</v>
      </c>
      <c r="E84" s="29" t="s">
        <v>956</v>
      </c>
      <c r="F84" s="32">
        <v>45611</v>
      </c>
      <c r="G84" s="32">
        <v>45975</v>
      </c>
      <c r="H84" s="30" t="s">
        <v>3863</v>
      </c>
      <c r="I84" s="31">
        <v>3550104832455</v>
      </c>
      <c r="J84" s="47" t="s">
        <v>4213</v>
      </c>
      <c r="K84" s="29" t="s">
        <v>958</v>
      </c>
      <c r="L84" s="29" t="s">
        <v>959</v>
      </c>
      <c r="M84" s="29" t="s">
        <v>960</v>
      </c>
      <c r="N84" s="29" t="s">
        <v>3345</v>
      </c>
      <c r="O84" s="29" t="s">
        <v>4013</v>
      </c>
      <c r="P84" s="29" t="s">
        <v>3154</v>
      </c>
      <c r="Q84" s="29" t="s">
        <v>3552</v>
      </c>
      <c r="R84" s="32">
        <v>44895</v>
      </c>
      <c r="S84" s="32">
        <v>46727</v>
      </c>
      <c r="T84" s="33">
        <v>1733000</v>
      </c>
      <c r="U84" s="29">
        <v>15</v>
      </c>
      <c r="V84" s="34">
        <f t="shared" si="3"/>
        <v>259950</v>
      </c>
      <c r="W84" s="34">
        <f t="shared" si="4"/>
        <v>1473050</v>
      </c>
      <c r="X84" s="35">
        <v>2.5</v>
      </c>
      <c r="Y84" s="34">
        <f t="shared" si="5"/>
        <v>36826.25</v>
      </c>
      <c r="Z84" s="36" t="s">
        <v>3102</v>
      </c>
      <c r="AA84" s="29"/>
      <c r="AB84" s="29"/>
      <c r="AC84" s="29"/>
      <c r="AD84" s="48" t="s">
        <v>3186</v>
      </c>
      <c r="AE84" s="48">
        <v>65</v>
      </c>
      <c r="AG84" t="s">
        <v>956</v>
      </c>
      <c r="AH84" s="54">
        <v>36826</v>
      </c>
      <c r="AI84" s="54">
        <v>-0.25</v>
      </c>
      <c r="AJ84" s="54">
        <v>1473050</v>
      </c>
      <c r="AK84" s="54">
        <v>0</v>
      </c>
      <c r="AL84" t="s">
        <v>26</v>
      </c>
      <c r="AM84" t="s">
        <v>4249</v>
      </c>
    </row>
    <row r="85" spans="1:39" ht="11.25" hidden="1" customHeight="1" x14ac:dyDescent="0.2">
      <c r="A85" s="29" t="s">
        <v>2974</v>
      </c>
      <c r="B85" s="29" t="s">
        <v>3031</v>
      </c>
      <c r="C85" s="40">
        <v>45261</v>
      </c>
      <c r="D85" s="39" t="s">
        <v>3720</v>
      </c>
      <c r="E85" s="29" t="s">
        <v>2379</v>
      </c>
      <c r="F85" s="32">
        <v>45282</v>
      </c>
      <c r="G85" s="32">
        <v>45647</v>
      </c>
      <c r="H85" s="30" t="s">
        <v>3738</v>
      </c>
      <c r="I85" s="31">
        <v>3520115616629</v>
      </c>
      <c r="J85" s="47" t="s">
        <v>665</v>
      </c>
      <c r="K85" s="29"/>
      <c r="L85" s="29" t="s">
        <v>2381</v>
      </c>
      <c r="M85" s="29" t="s">
        <v>2382</v>
      </c>
      <c r="N85" s="29" t="s">
        <v>3031</v>
      </c>
      <c r="O85" s="29" t="s">
        <v>4013</v>
      </c>
      <c r="P85" s="29" t="s">
        <v>3204</v>
      </c>
      <c r="Q85" s="29" t="s">
        <v>3205</v>
      </c>
      <c r="R85" s="32">
        <v>44558</v>
      </c>
      <c r="S85" s="32">
        <v>46392</v>
      </c>
      <c r="T85" s="33">
        <v>4327000</v>
      </c>
      <c r="U85" s="29">
        <v>15</v>
      </c>
      <c r="V85" s="34">
        <f t="shared" si="3"/>
        <v>649050</v>
      </c>
      <c r="W85" s="34">
        <f t="shared" si="4"/>
        <v>3677950</v>
      </c>
      <c r="X85" s="35">
        <v>1.5</v>
      </c>
      <c r="Y85" s="34">
        <f t="shared" si="5"/>
        <v>55169.25</v>
      </c>
      <c r="Z85" s="36" t="s">
        <v>3102</v>
      </c>
      <c r="AA85" s="29"/>
      <c r="AB85" s="34"/>
      <c r="AC85" s="29"/>
      <c r="AD85" s="48" t="s">
        <v>3160</v>
      </c>
      <c r="AE85" s="48">
        <v>308</v>
      </c>
    </row>
    <row r="86" spans="1:39" ht="11.25" hidden="1" customHeight="1" x14ac:dyDescent="0.2">
      <c r="A86" s="29" t="s">
        <v>2974</v>
      </c>
      <c r="B86" s="29" t="s">
        <v>3025</v>
      </c>
      <c r="C86" s="40">
        <v>45170</v>
      </c>
      <c r="D86" s="39" t="s">
        <v>3720</v>
      </c>
      <c r="E86" s="29" t="s">
        <v>2311</v>
      </c>
      <c r="F86" s="32">
        <v>45199</v>
      </c>
      <c r="G86" s="32">
        <v>45564</v>
      </c>
      <c r="H86" s="30" t="s">
        <v>3733</v>
      </c>
      <c r="I86" s="31">
        <v>3520188592075</v>
      </c>
      <c r="J86" s="47" t="s">
        <v>4242</v>
      </c>
      <c r="K86" s="29" t="s">
        <v>2313</v>
      </c>
      <c r="L86" s="29" t="s">
        <v>2314</v>
      </c>
      <c r="M86" s="29" t="s">
        <v>2315</v>
      </c>
      <c r="N86" s="29" t="s">
        <v>3025</v>
      </c>
      <c r="O86" s="29" t="s">
        <v>4013</v>
      </c>
      <c r="P86" s="29" t="s">
        <v>3154</v>
      </c>
      <c r="Q86" s="29" t="s">
        <v>3197</v>
      </c>
      <c r="R86" s="32">
        <v>44109</v>
      </c>
      <c r="S86" s="32">
        <v>45570</v>
      </c>
      <c r="T86" s="33">
        <v>1300000</v>
      </c>
      <c r="U86" s="29">
        <v>20</v>
      </c>
      <c r="V86" s="34">
        <f t="shared" si="3"/>
        <v>260000</v>
      </c>
      <c r="W86" s="34">
        <f t="shared" si="4"/>
        <v>1040000</v>
      </c>
      <c r="X86" s="35">
        <v>2.5</v>
      </c>
      <c r="Y86" s="34">
        <f t="shared" si="5"/>
        <v>26000</v>
      </c>
      <c r="Z86" s="36" t="s">
        <v>3102</v>
      </c>
      <c r="AA86" s="29"/>
      <c r="AB86" s="34"/>
      <c r="AC86" s="29"/>
      <c r="AD86" s="48" t="s">
        <v>3160</v>
      </c>
      <c r="AE86" s="48">
        <v>157</v>
      </c>
    </row>
    <row r="87" spans="1:39" ht="11.25" hidden="1" customHeight="1" x14ac:dyDescent="0.2">
      <c r="A87" s="29" t="s">
        <v>2974</v>
      </c>
      <c r="B87" s="29" t="s">
        <v>3019</v>
      </c>
      <c r="C87" s="40">
        <v>45017</v>
      </c>
      <c r="D87" s="39" t="s">
        <v>3720</v>
      </c>
      <c r="E87" s="29" t="s">
        <v>2243</v>
      </c>
      <c r="F87" s="32">
        <v>45046</v>
      </c>
      <c r="G87" s="32">
        <v>45411</v>
      </c>
      <c r="H87" s="30" t="s">
        <v>3726</v>
      </c>
      <c r="I87" s="31">
        <v>3520280233493</v>
      </c>
      <c r="J87" s="47" t="s">
        <v>4224</v>
      </c>
      <c r="K87" s="29" t="s">
        <v>2245</v>
      </c>
      <c r="L87" s="29" t="s">
        <v>2246</v>
      </c>
      <c r="M87" s="29" t="s">
        <v>2247</v>
      </c>
      <c r="N87" s="29" t="s">
        <v>3019</v>
      </c>
      <c r="O87" s="29" t="s">
        <v>4013</v>
      </c>
      <c r="P87" s="29" t="s">
        <v>3188</v>
      </c>
      <c r="Q87" s="29" t="s">
        <v>3189</v>
      </c>
      <c r="R87" s="32">
        <v>43591</v>
      </c>
      <c r="S87" s="32">
        <v>45418</v>
      </c>
      <c r="T87" s="33">
        <v>1344000</v>
      </c>
      <c r="U87" s="29">
        <v>25</v>
      </c>
      <c r="V87" s="34">
        <f t="shared" si="3"/>
        <v>336000</v>
      </c>
      <c r="W87" s="34">
        <f t="shared" si="4"/>
        <v>1008000</v>
      </c>
      <c r="X87" s="35">
        <v>3.75</v>
      </c>
      <c r="Y87" s="34">
        <f t="shared" si="5"/>
        <v>37800</v>
      </c>
      <c r="Z87" s="36" t="s">
        <v>3102</v>
      </c>
      <c r="AA87" s="29"/>
      <c r="AB87" s="34"/>
      <c r="AC87" s="29"/>
      <c r="AD87" s="48" t="s">
        <v>3160</v>
      </c>
      <c r="AE87" s="48">
        <v>523</v>
      </c>
    </row>
    <row r="88" spans="1:39" ht="11.25" hidden="1" customHeight="1" x14ac:dyDescent="0.2">
      <c r="A88" s="29" t="s">
        <v>2974</v>
      </c>
      <c r="B88" s="29" t="s">
        <v>3041</v>
      </c>
      <c r="C88" s="40">
        <v>45352</v>
      </c>
      <c r="D88" s="39" t="s">
        <v>3720</v>
      </c>
      <c r="E88" s="29" t="s">
        <v>2481</v>
      </c>
      <c r="F88" s="32">
        <v>45382</v>
      </c>
      <c r="G88" s="32">
        <v>45746</v>
      </c>
      <c r="H88" s="30" t="s">
        <v>3755</v>
      </c>
      <c r="I88" s="31">
        <v>3840320676629</v>
      </c>
      <c r="J88" s="30" t="s">
        <v>292</v>
      </c>
      <c r="K88" s="29" t="s">
        <v>2483</v>
      </c>
      <c r="L88" s="29" t="s">
        <v>2484</v>
      </c>
      <c r="M88" s="29" t="s">
        <v>2485</v>
      </c>
      <c r="N88" s="29" t="s">
        <v>3041</v>
      </c>
      <c r="O88" s="29" t="s">
        <v>3167</v>
      </c>
      <c r="P88" s="29" t="s">
        <v>3168</v>
      </c>
      <c r="Q88" s="29" t="s">
        <v>3218</v>
      </c>
      <c r="R88" s="32">
        <v>45020</v>
      </c>
      <c r="S88" s="32">
        <v>45387</v>
      </c>
      <c r="T88" s="33">
        <v>2650000</v>
      </c>
      <c r="U88" s="29">
        <v>10</v>
      </c>
      <c r="V88" s="34">
        <f t="shared" si="3"/>
        <v>265000</v>
      </c>
      <c r="W88" s="34">
        <f t="shared" si="4"/>
        <v>2385000</v>
      </c>
      <c r="X88" s="35">
        <v>2</v>
      </c>
      <c r="Y88" s="34">
        <f t="shared" si="5"/>
        <v>47700</v>
      </c>
      <c r="Z88" s="36" t="s">
        <v>3115</v>
      </c>
      <c r="AA88" s="29"/>
      <c r="AB88" s="29"/>
      <c r="AC88" s="29"/>
      <c r="AD88" s="29" t="s">
        <v>3182</v>
      </c>
      <c r="AE88" s="29">
        <v>0</v>
      </c>
      <c r="AG88" t="s">
        <v>4255</v>
      </c>
      <c r="AH88" s="54">
        <v>0</v>
      </c>
      <c r="AI88" s="54">
        <v>-47700</v>
      </c>
      <c r="AJ88" s="54">
        <v>0</v>
      </c>
      <c r="AK88" s="54">
        <v>-2385000</v>
      </c>
      <c r="AL88" t="s">
        <v>135</v>
      </c>
      <c r="AM88">
        <v>0</v>
      </c>
    </row>
    <row r="89" spans="1:39" ht="11.25" hidden="1" customHeight="1" x14ac:dyDescent="0.2">
      <c r="A89" s="29" t="s">
        <v>2974</v>
      </c>
      <c r="B89" s="29" t="s">
        <v>3026</v>
      </c>
      <c r="C89" s="40">
        <v>45200</v>
      </c>
      <c r="D89" s="39" t="s">
        <v>3720</v>
      </c>
      <c r="E89" s="29" t="s">
        <v>2319</v>
      </c>
      <c r="F89" s="32">
        <v>45210</v>
      </c>
      <c r="G89" s="32">
        <v>45575</v>
      </c>
      <c r="H89" s="30" t="s">
        <v>3734</v>
      </c>
      <c r="I89" s="31">
        <v>3520211424113</v>
      </c>
      <c r="J89" s="30" t="s">
        <v>934</v>
      </c>
      <c r="K89" s="29" t="s">
        <v>2321</v>
      </c>
      <c r="L89" s="29" t="s">
        <v>2322</v>
      </c>
      <c r="M89" s="29" t="s">
        <v>2323</v>
      </c>
      <c r="N89" s="29" t="s">
        <v>3026</v>
      </c>
      <c r="O89" s="29" t="s">
        <v>4013</v>
      </c>
      <c r="P89" s="29" t="s">
        <v>3198</v>
      </c>
      <c r="Q89" s="29" t="s">
        <v>3199</v>
      </c>
      <c r="R89" s="32">
        <v>43395</v>
      </c>
      <c r="S89" s="32">
        <v>45602</v>
      </c>
      <c r="T89" s="33">
        <v>756000</v>
      </c>
      <c r="U89" s="29">
        <v>30</v>
      </c>
      <c r="V89" s="34">
        <f t="shared" si="3"/>
        <v>226800</v>
      </c>
      <c r="W89" s="34">
        <f t="shared" si="4"/>
        <v>529200</v>
      </c>
      <c r="X89" s="35">
        <v>3.75</v>
      </c>
      <c r="Y89" s="34">
        <f t="shared" si="5"/>
        <v>19845</v>
      </c>
      <c r="Z89" s="36" t="s">
        <v>4244</v>
      </c>
      <c r="AA89" s="29"/>
      <c r="AB89" s="29"/>
      <c r="AC89" s="29"/>
      <c r="AD89" s="29" t="s">
        <v>3182</v>
      </c>
      <c r="AE89" s="29">
        <v>0</v>
      </c>
    </row>
    <row r="90" spans="1:39" ht="11.25" hidden="1" customHeight="1" x14ac:dyDescent="0.2">
      <c r="A90" s="29" t="s">
        <v>2974</v>
      </c>
      <c r="B90" s="29" t="s">
        <v>3047</v>
      </c>
      <c r="C90" s="40">
        <v>45352</v>
      </c>
      <c r="D90" s="39" t="s">
        <v>3720</v>
      </c>
      <c r="E90" s="29" t="s">
        <v>2547</v>
      </c>
      <c r="F90" s="32">
        <v>45380</v>
      </c>
      <c r="G90" s="32">
        <v>45744</v>
      </c>
      <c r="H90" s="30" t="s">
        <v>3753</v>
      </c>
      <c r="I90" s="31">
        <v>3220338155017</v>
      </c>
      <c r="J90" s="30" t="s">
        <v>391</v>
      </c>
      <c r="K90" s="29" t="s">
        <v>2549</v>
      </c>
      <c r="L90" s="29" t="s">
        <v>2550</v>
      </c>
      <c r="M90" s="29" t="s">
        <v>2551</v>
      </c>
      <c r="N90" s="29" t="s">
        <v>3047</v>
      </c>
      <c r="O90" s="29" t="s">
        <v>4013</v>
      </c>
      <c r="P90" s="29" t="s">
        <v>3154</v>
      </c>
      <c r="Q90" s="29" t="s">
        <v>3225</v>
      </c>
      <c r="R90" s="32">
        <v>43557</v>
      </c>
      <c r="S90" s="32">
        <v>45387</v>
      </c>
      <c r="T90" s="33">
        <v>1850000</v>
      </c>
      <c r="U90" s="29">
        <v>30</v>
      </c>
      <c r="V90" s="34">
        <f t="shared" si="3"/>
        <v>555000</v>
      </c>
      <c r="W90" s="34">
        <f t="shared" si="4"/>
        <v>1295000</v>
      </c>
      <c r="X90" s="35">
        <v>3.75</v>
      </c>
      <c r="Y90" s="34">
        <f t="shared" si="5"/>
        <v>48562.5</v>
      </c>
      <c r="Z90" s="36" t="s">
        <v>3120</v>
      </c>
      <c r="AA90" s="29"/>
      <c r="AB90" s="29"/>
      <c r="AC90" s="29"/>
      <c r="AD90" s="29" t="s">
        <v>3182</v>
      </c>
      <c r="AE90" s="29">
        <v>0</v>
      </c>
      <c r="AG90" t="s">
        <v>4278</v>
      </c>
      <c r="AH90" s="54">
        <v>0</v>
      </c>
      <c r="AI90" s="54">
        <v>-48562.5</v>
      </c>
      <c r="AJ90" s="54">
        <v>0</v>
      </c>
      <c r="AK90" s="54">
        <v>-1295000</v>
      </c>
      <c r="AL90" t="s">
        <v>135</v>
      </c>
      <c r="AM90">
        <v>0</v>
      </c>
    </row>
    <row r="91" spans="1:39" ht="11.25" hidden="1" customHeight="1" x14ac:dyDescent="0.2">
      <c r="A91" s="29" t="s">
        <v>2974</v>
      </c>
      <c r="B91" s="29" t="s">
        <v>3151</v>
      </c>
      <c r="C91" s="40">
        <v>44287</v>
      </c>
      <c r="D91" s="39" t="s">
        <v>3720</v>
      </c>
      <c r="E91" s="29" t="s">
        <v>2156</v>
      </c>
      <c r="F91" s="32">
        <v>44315</v>
      </c>
      <c r="G91" s="32">
        <v>44679</v>
      </c>
      <c r="H91" s="30" t="s">
        <v>3723</v>
      </c>
      <c r="I91" s="31">
        <v>3630203149897</v>
      </c>
      <c r="J91" s="30" t="s">
        <v>94</v>
      </c>
      <c r="K91" s="29" t="s">
        <v>2158</v>
      </c>
      <c r="L91" s="29" t="s">
        <v>2159</v>
      </c>
      <c r="M91" s="29" t="s">
        <v>2160</v>
      </c>
      <c r="N91" s="29" t="s">
        <v>3151</v>
      </c>
      <c r="O91" s="29" t="s">
        <v>4013</v>
      </c>
      <c r="P91" s="29" t="s">
        <v>3180</v>
      </c>
      <c r="Q91" s="29" t="s">
        <v>3181</v>
      </c>
      <c r="R91" s="32">
        <v>43223</v>
      </c>
      <c r="S91" s="32">
        <v>45051</v>
      </c>
      <c r="T91" s="33">
        <v>2572000</v>
      </c>
      <c r="U91" s="29">
        <v>20</v>
      </c>
      <c r="V91" s="34">
        <f t="shared" si="3"/>
        <v>514400</v>
      </c>
      <c r="W91" s="34">
        <f t="shared" si="4"/>
        <v>2057600</v>
      </c>
      <c r="X91" s="35">
        <v>3.75</v>
      </c>
      <c r="Y91" s="34">
        <f t="shared" si="5"/>
        <v>77160</v>
      </c>
      <c r="Z91" s="36" t="s">
        <v>3152</v>
      </c>
      <c r="AA91" s="29"/>
      <c r="AB91" s="29"/>
      <c r="AC91" s="29"/>
      <c r="AD91" s="29" t="s">
        <v>3182</v>
      </c>
      <c r="AE91" s="29">
        <v>0</v>
      </c>
    </row>
    <row r="92" spans="1:39" ht="11.25" hidden="1" customHeight="1" x14ac:dyDescent="0.2">
      <c r="A92" s="29" t="s">
        <v>2974</v>
      </c>
      <c r="B92" s="29" t="s">
        <v>3023</v>
      </c>
      <c r="C92" s="40">
        <v>45139</v>
      </c>
      <c r="D92" s="39" t="s">
        <v>3720</v>
      </c>
      <c r="E92" s="29" t="s">
        <v>2289</v>
      </c>
      <c r="F92" s="32">
        <v>45169</v>
      </c>
      <c r="G92" s="32">
        <v>45534</v>
      </c>
      <c r="H92" s="30" t="s">
        <v>3732</v>
      </c>
      <c r="I92" s="31">
        <v>3630329599507</v>
      </c>
      <c r="J92" s="30" t="s">
        <v>24</v>
      </c>
      <c r="K92" s="29" t="s">
        <v>2291</v>
      </c>
      <c r="L92" s="29" t="s">
        <v>2292</v>
      </c>
      <c r="M92" s="29" t="s">
        <v>2293</v>
      </c>
      <c r="N92" s="29" t="s">
        <v>3023</v>
      </c>
      <c r="O92" s="29" t="s">
        <v>4013</v>
      </c>
      <c r="P92" s="29" t="s">
        <v>3193</v>
      </c>
      <c r="Q92" s="29" t="s">
        <v>3194</v>
      </c>
      <c r="R92" s="32">
        <v>43347</v>
      </c>
      <c r="S92" s="32">
        <v>45540</v>
      </c>
      <c r="T92" s="33">
        <v>700000</v>
      </c>
      <c r="U92" s="29">
        <v>30</v>
      </c>
      <c r="V92" s="34">
        <f t="shared" si="3"/>
        <v>210000</v>
      </c>
      <c r="W92" s="34">
        <f t="shared" si="4"/>
        <v>490000</v>
      </c>
      <c r="X92" s="35">
        <v>3.75</v>
      </c>
      <c r="Y92" s="34">
        <f t="shared" si="5"/>
        <v>18375</v>
      </c>
      <c r="Z92" s="36" t="s">
        <v>4243</v>
      </c>
      <c r="AA92" s="29"/>
      <c r="AB92" s="29"/>
      <c r="AC92" s="29"/>
      <c r="AD92" s="29" t="s">
        <v>3182</v>
      </c>
      <c r="AE92" s="29">
        <v>0</v>
      </c>
    </row>
    <row r="93" spans="1:39" ht="11.25" hidden="1" customHeight="1" x14ac:dyDescent="0.2">
      <c r="A93" s="29" t="s">
        <v>2974</v>
      </c>
      <c r="B93" s="29" t="s">
        <v>3051</v>
      </c>
      <c r="C93" s="40">
        <v>45383</v>
      </c>
      <c r="D93" s="39" t="s">
        <v>3720</v>
      </c>
      <c r="E93" s="29" t="s">
        <v>2618</v>
      </c>
      <c r="F93" s="32">
        <v>45400</v>
      </c>
      <c r="G93" s="32">
        <v>45764</v>
      </c>
      <c r="H93" s="30" t="s">
        <v>3760</v>
      </c>
      <c r="I93" s="31">
        <v>6110139189467</v>
      </c>
      <c r="J93" s="30" t="s">
        <v>391</v>
      </c>
      <c r="K93" s="29" t="s">
        <v>2620</v>
      </c>
      <c r="L93" s="29" t="s">
        <v>2621</v>
      </c>
      <c r="M93" s="29" t="s">
        <v>2622</v>
      </c>
      <c r="N93" s="29" t="s">
        <v>3051</v>
      </c>
      <c r="O93" s="29" t="s">
        <v>3167</v>
      </c>
      <c r="P93" s="29" t="s">
        <v>3168</v>
      </c>
      <c r="Q93" s="29" t="s">
        <v>3231</v>
      </c>
      <c r="R93" s="32">
        <v>44672</v>
      </c>
      <c r="S93" s="32">
        <v>46512</v>
      </c>
      <c r="T93" s="33">
        <v>2500000</v>
      </c>
      <c r="U93" s="29">
        <v>15</v>
      </c>
      <c r="V93" s="34">
        <f t="shared" si="3"/>
        <v>375000</v>
      </c>
      <c r="W93" s="34">
        <f t="shared" si="4"/>
        <v>2125000</v>
      </c>
      <c r="X93" s="35">
        <v>2.5</v>
      </c>
      <c r="Y93" s="34">
        <f t="shared" si="5"/>
        <v>53125</v>
      </c>
      <c r="Z93" s="36" t="s">
        <v>3124</v>
      </c>
      <c r="AA93" s="29"/>
      <c r="AB93" s="29"/>
      <c r="AC93" s="29"/>
      <c r="AD93" s="29" t="s">
        <v>3186</v>
      </c>
      <c r="AE93" s="29">
        <v>0</v>
      </c>
    </row>
    <row r="94" spans="1:39" ht="11.25" hidden="1" customHeight="1" x14ac:dyDescent="0.2">
      <c r="A94" s="29" t="s">
        <v>2974</v>
      </c>
      <c r="B94" s="29" t="s">
        <v>3428</v>
      </c>
      <c r="C94" s="40">
        <v>45597</v>
      </c>
      <c r="D94" s="39" t="s">
        <v>3720</v>
      </c>
      <c r="E94" s="29" t="s">
        <v>1624</v>
      </c>
      <c r="F94" s="32">
        <v>45605</v>
      </c>
      <c r="G94" s="32">
        <v>45969</v>
      </c>
      <c r="H94" s="30" t="s">
        <v>3840</v>
      </c>
      <c r="I94" s="31">
        <v>3520101487035</v>
      </c>
      <c r="J94" s="47" t="s">
        <v>4193</v>
      </c>
      <c r="K94" s="29" t="s">
        <v>1626</v>
      </c>
      <c r="L94" s="29" t="s">
        <v>1627</v>
      </c>
      <c r="M94" s="29" t="s">
        <v>1628</v>
      </c>
      <c r="N94" s="29" t="s">
        <v>3428</v>
      </c>
      <c r="O94" s="29" t="s">
        <v>4013</v>
      </c>
      <c r="P94" s="29" t="s">
        <v>3154</v>
      </c>
      <c r="Q94" s="29" t="s">
        <v>3644</v>
      </c>
      <c r="R94" s="32">
        <v>44567</v>
      </c>
      <c r="S94" s="32">
        <v>46392</v>
      </c>
      <c r="T94" s="33">
        <v>1508000</v>
      </c>
      <c r="U94" s="29">
        <v>15</v>
      </c>
      <c r="V94" s="34">
        <f t="shared" si="3"/>
        <v>226200</v>
      </c>
      <c r="W94" s="34">
        <f t="shared" si="4"/>
        <v>1281800</v>
      </c>
      <c r="X94" s="35">
        <v>1.75</v>
      </c>
      <c r="Y94" s="34">
        <f t="shared" si="5"/>
        <v>22431.500000000004</v>
      </c>
      <c r="Z94" s="36" t="s">
        <v>4207</v>
      </c>
      <c r="AA94" s="29"/>
      <c r="AB94" s="29"/>
      <c r="AC94" s="29"/>
      <c r="AD94" s="48" t="s">
        <v>3160</v>
      </c>
      <c r="AE94" s="48">
        <v>0</v>
      </c>
      <c r="AG94" t="s">
        <v>1624</v>
      </c>
      <c r="AH94" s="54">
        <v>22432</v>
      </c>
      <c r="AI94" s="54">
        <v>0.49999999999636202</v>
      </c>
      <c r="AJ94" s="54">
        <v>1281800</v>
      </c>
      <c r="AK94" s="54">
        <v>0</v>
      </c>
      <c r="AL94" t="s">
        <v>26</v>
      </c>
      <c r="AM94" t="s">
        <v>4249</v>
      </c>
    </row>
    <row r="95" spans="1:39" ht="11.25" hidden="1" customHeight="1" x14ac:dyDescent="0.2">
      <c r="A95" s="29" t="s">
        <v>2974</v>
      </c>
      <c r="B95" s="29" t="s">
        <v>3381</v>
      </c>
      <c r="C95" s="40">
        <v>45597</v>
      </c>
      <c r="D95" s="39" t="s">
        <v>3720</v>
      </c>
      <c r="E95" s="29" t="s">
        <v>1240</v>
      </c>
      <c r="F95" s="32">
        <v>45607</v>
      </c>
      <c r="G95" s="32">
        <v>45971</v>
      </c>
      <c r="H95" s="30" t="s">
        <v>3847</v>
      </c>
      <c r="I95" s="31">
        <v>3310272552567</v>
      </c>
      <c r="J95" s="47" t="s">
        <v>4221</v>
      </c>
      <c r="K95" s="29" t="s">
        <v>1242</v>
      </c>
      <c r="L95" s="29" t="s">
        <v>1243</v>
      </c>
      <c r="M95" s="29" t="s">
        <v>1244</v>
      </c>
      <c r="N95" s="29" t="s">
        <v>3381</v>
      </c>
      <c r="O95" s="29" t="s">
        <v>4013</v>
      </c>
      <c r="P95" s="29" t="s">
        <v>3172</v>
      </c>
      <c r="Q95" s="29" t="s">
        <v>3588</v>
      </c>
      <c r="R95" s="32">
        <v>44907</v>
      </c>
      <c r="S95" s="32">
        <v>46361</v>
      </c>
      <c r="T95" s="33">
        <v>4310990</v>
      </c>
      <c r="U95" s="29">
        <v>15</v>
      </c>
      <c r="V95" s="34">
        <f t="shared" si="3"/>
        <v>646648.5</v>
      </c>
      <c r="W95" s="34">
        <f t="shared" si="4"/>
        <v>3664341.5</v>
      </c>
      <c r="X95" s="35">
        <v>1.5</v>
      </c>
      <c r="Y95" s="34">
        <f t="shared" si="5"/>
        <v>54965.122499999998</v>
      </c>
      <c r="Z95" s="36" t="s">
        <v>4207</v>
      </c>
      <c r="AA95" s="29"/>
      <c r="AB95" s="29"/>
      <c r="AC95" s="29"/>
      <c r="AD95" s="48" t="s">
        <v>3160</v>
      </c>
      <c r="AE95" s="48">
        <v>4</v>
      </c>
      <c r="AG95" t="s">
        <v>1240</v>
      </c>
      <c r="AH95" s="54">
        <v>54965</v>
      </c>
      <c r="AI95" s="54">
        <v>-0.12249999999767169</v>
      </c>
      <c r="AJ95" s="54">
        <v>3664342</v>
      </c>
      <c r="AK95" s="54">
        <v>0.5</v>
      </c>
      <c r="AL95" t="s">
        <v>26</v>
      </c>
      <c r="AM95" t="s">
        <v>4249</v>
      </c>
    </row>
    <row r="96" spans="1:39" ht="11.25" hidden="1" customHeight="1" x14ac:dyDescent="0.2">
      <c r="A96" s="29" t="s">
        <v>2974</v>
      </c>
      <c r="B96" s="29" t="s">
        <v>3391</v>
      </c>
      <c r="C96" s="40">
        <v>45597</v>
      </c>
      <c r="D96" s="39" t="s">
        <v>3720</v>
      </c>
      <c r="E96" s="29" t="s">
        <v>1324</v>
      </c>
      <c r="F96" s="32">
        <v>45611</v>
      </c>
      <c r="G96" s="32">
        <v>45975</v>
      </c>
      <c r="H96" s="30" t="s">
        <v>3864</v>
      </c>
      <c r="I96" s="31">
        <v>4240128673429</v>
      </c>
      <c r="J96" s="47" t="s">
        <v>4223</v>
      </c>
      <c r="K96" s="29"/>
      <c r="L96" s="29" t="s">
        <v>1326</v>
      </c>
      <c r="M96" s="29" t="s">
        <v>1327</v>
      </c>
      <c r="N96" s="29" t="s">
        <v>3391</v>
      </c>
      <c r="O96" s="29" t="s">
        <v>3162</v>
      </c>
      <c r="P96" s="29" t="s">
        <v>3163</v>
      </c>
      <c r="Q96" s="29" t="s">
        <v>3601</v>
      </c>
      <c r="R96" s="32">
        <v>44601</v>
      </c>
      <c r="S96" s="32">
        <v>47154</v>
      </c>
      <c r="T96" s="33">
        <v>1640000</v>
      </c>
      <c r="U96" s="29">
        <v>15</v>
      </c>
      <c r="V96" s="34">
        <f t="shared" si="3"/>
        <v>246000</v>
      </c>
      <c r="W96" s="34">
        <f t="shared" si="4"/>
        <v>1394000</v>
      </c>
      <c r="X96" s="35">
        <v>2.5</v>
      </c>
      <c r="Y96" s="34">
        <f t="shared" si="5"/>
        <v>34850</v>
      </c>
      <c r="Z96" s="36" t="s">
        <v>4207</v>
      </c>
      <c r="AA96" s="29"/>
      <c r="AB96" s="29"/>
      <c r="AC96" s="29"/>
      <c r="AD96" s="48" t="s">
        <v>3160</v>
      </c>
      <c r="AE96" s="48">
        <v>4</v>
      </c>
      <c r="AG96" t="s">
        <v>1324</v>
      </c>
      <c r="AH96" s="54">
        <v>34850</v>
      </c>
      <c r="AI96" s="54">
        <v>0</v>
      </c>
      <c r="AJ96" s="54">
        <v>1394000</v>
      </c>
      <c r="AK96" s="54">
        <v>0</v>
      </c>
      <c r="AL96" t="s">
        <v>26</v>
      </c>
      <c r="AM96" t="s">
        <v>4249</v>
      </c>
    </row>
    <row r="97" spans="1:39" ht="11.25" hidden="1" customHeight="1" x14ac:dyDescent="0.2">
      <c r="A97" s="29" t="s">
        <v>2974</v>
      </c>
      <c r="B97" s="29" t="s">
        <v>3404</v>
      </c>
      <c r="C97" s="40">
        <v>45597</v>
      </c>
      <c r="D97" s="39" t="s">
        <v>3720</v>
      </c>
      <c r="E97" s="29" t="s">
        <v>1429</v>
      </c>
      <c r="F97" s="32">
        <v>45615</v>
      </c>
      <c r="G97" s="32">
        <v>45979</v>
      </c>
      <c r="H97" s="30" t="s">
        <v>3889</v>
      </c>
      <c r="I97" s="31">
        <v>4200043573107</v>
      </c>
      <c r="J97" s="47" t="s">
        <v>4202</v>
      </c>
      <c r="K97" s="29" t="s">
        <v>1432</v>
      </c>
      <c r="L97" s="29" t="s">
        <v>1433</v>
      </c>
      <c r="M97" s="29" t="s">
        <v>1434</v>
      </c>
      <c r="N97" s="29" t="s">
        <v>3404</v>
      </c>
      <c r="O97" s="29" t="s">
        <v>3162</v>
      </c>
      <c r="P97" s="29" t="s">
        <v>3211</v>
      </c>
      <c r="Q97" s="29" t="s">
        <v>3616</v>
      </c>
      <c r="R97" s="32">
        <v>44608</v>
      </c>
      <c r="S97" s="32">
        <v>46451</v>
      </c>
      <c r="T97" s="33">
        <v>3255000</v>
      </c>
      <c r="U97" s="29">
        <v>15</v>
      </c>
      <c r="V97" s="34">
        <f t="shared" si="3"/>
        <v>488250</v>
      </c>
      <c r="W97" s="34">
        <f t="shared" si="4"/>
        <v>2766750</v>
      </c>
      <c r="X97" s="35">
        <v>1.25</v>
      </c>
      <c r="Y97" s="34">
        <f t="shared" si="5"/>
        <v>34584.375</v>
      </c>
      <c r="Z97" s="36" t="s">
        <v>4207</v>
      </c>
      <c r="AA97" s="29"/>
      <c r="AB97" s="29"/>
      <c r="AC97" s="29"/>
      <c r="AD97" s="48" t="s">
        <v>3160</v>
      </c>
      <c r="AE97" s="48">
        <v>4</v>
      </c>
      <c r="AG97" t="s">
        <v>1429</v>
      </c>
      <c r="AH97" s="54">
        <v>34584</v>
      </c>
      <c r="AI97" s="54">
        <v>-0.375</v>
      </c>
      <c r="AJ97" s="54">
        <v>2766750</v>
      </c>
      <c r="AK97" s="54">
        <v>0</v>
      </c>
      <c r="AL97" t="s">
        <v>26</v>
      </c>
      <c r="AM97" t="s">
        <v>4249</v>
      </c>
    </row>
    <row r="98" spans="1:39" ht="11.25" hidden="1" customHeight="1" x14ac:dyDescent="0.2">
      <c r="A98" s="29" t="s">
        <v>2974</v>
      </c>
      <c r="B98" s="29" t="s">
        <v>3484</v>
      </c>
      <c r="C98" s="40">
        <v>45597</v>
      </c>
      <c r="D98" s="39" t="s">
        <v>3720</v>
      </c>
      <c r="E98" s="29" t="s">
        <v>2106</v>
      </c>
      <c r="F98" s="32">
        <v>45622</v>
      </c>
      <c r="G98" s="32">
        <v>45986</v>
      </c>
      <c r="H98" s="30" t="s">
        <v>3946</v>
      </c>
      <c r="I98" s="31">
        <v>3630308031771</v>
      </c>
      <c r="J98" s="47" t="s">
        <v>4202</v>
      </c>
      <c r="K98" s="29" t="s">
        <v>2108</v>
      </c>
      <c r="L98" s="29" t="s">
        <v>2109</v>
      </c>
      <c r="M98" s="29" t="s">
        <v>2110</v>
      </c>
      <c r="N98" s="29" t="s">
        <v>3484</v>
      </c>
      <c r="O98" s="29" t="s">
        <v>4013</v>
      </c>
      <c r="P98" s="29" t="s">
        <v>3195</v>
      </c>
      <c r="Q98" s="29" t="s">
        <v>3713</v>
      </c>
      <c r="R98" s="32">
        <v>43801</v>
      </c>
      <c r="S98" s="32">
        <v>45996</v>
      </c>
      <c r="T98" s="33">
        <v>3183000</v>
      </c>
      <c r="U98" s="29">
        <v>30</v>
      </c>
      <c r="V98" s="34">
        <f t="shared" si="3"/>
        <v>954900</v>
      </c>
      <c r="W98" s="34">
        <f t="shared" si="4"/>
        <v>2228100</v>
      </c>
      <c r="X98" s="35">
        <v>3.75</v>
      </c>
      <c r="Y98" s="34">
        <f t="shared" si="5"/>
        <v>83553.75</v>
      </c>
      <c r="Z98" s="36" t="s">
        <v>4207</v>
      </c>
      <c r="AA98" s="29"/>
      <c r="AB98" s="29"/>
      <c r="AC98" s="29"/>
      <c r="AD98" s="48" t="s">
        <v>3160</v>
      </c>
      <c r="AE98" s="48">
        <v>4</v>
      </c>
      <c r="AG98" t="s">
        <v>2106</v>
      </c>
      <c r="AH98" s="54">
        <v>83554</v>
      </c>
      <c r="AI98" s="54">
        <v>0.25</v>
      </c>
      <c r="AJ98" s="54">
        <v>2228100</v>
      </c>
      <c r="AK98" s="54">
        <v>0</v>
      </c>
      <c r="AL98" t="s">
        <v>26</v>
      </c>
      <c r="AM98" t="s">
        <v>4249</v>
      </c>
    </row>
    <row r="99" spans="1:39" ht="11.25" hidden="1" customHeight="1" x14ac:dyDescent="0.2">
      <c r="A99" s="29" t="s">
        <v>2974</v>
      </c>
      <c r="B99" s="29" t="s">
        <v>3340</v>
      </c>
      <c r="C99" s="40">
        <v>45597</v>
      </c>
      <c r="D99" s="39" t="s">
        <v>3720</v>
      </c>
      <c r="E99" s="29" t="s">
        <v>914</v>
      </c>
      <c r="F99" s="32">
        <v>45626</v>
      </c>
      <c r="G99" s="32">
        <v>45990</v>
      </c>
      <c r="H99" s="30" t="s">
        <v>3977</v>
      </c>
      <c r="I99" s="31">
        <v>4220169229628</v>
      </c>
      <c r="J99" s="47" t="s">
        <v>4212</v>
      </c>
      <c r="K99" s="29" t="s">
        <v>917</v>
      </c>
      <c r="L99" s="29" t="s">
        <v>918</v>
      </c>
      <c r="M99" s="29" t="s">
        <v>919</v>
      </c>
      <c r="N99" s="29" t="s">
        <v>3340</v>
      </c>
      <c r="O99" s="29" t="s">
        <v>3162</v>
      </c>
      <c r="P99" s="29" t="s">
        <v>3544</v>
      </c>
      <c r="Q99" s="29" t="s">
        <v>3545</v>
      </c>
      <c r="R99" s="32">
        <v>44897</v>
      </c>
      <c r="S99" s="32">
        <v>45996</v>
      </c>
      <c r="T99" s="33">
        <v>1424000</v>
      </c>
      <c r="U99" s="29">
        <v>15</v>
      </c>
      <c r="V99" s="34">
        <f t="shared" si="3"/>
        <v>213600</v>
      </c>
      <c r="W99" s="34">
        <f t="shared" si="4"/>
        <v>1210400</v>
      </c>
      <c r="X99" s="35">
        <v>2</v>
      </c>
      <c r="Y99" s="34">
        <f t="shared" si="5"/>
        <v>24208</v>
      </c>
      <c r="Z99" s="36" t="s">
        <v>4207</v>
      </c>
      <c r="AA99" s="29"/>
      <c r="AB99" s="29"/>
      <c r="AC99" s="29"/>
      <c r="AD99" s="48" t="s">
        <v>3160</v>
      </c>
      <c r="AE99" s="48">
        <v>4</v>
      </c>
      <c r="AG99" t="s">
        <v>914</v>
      </c>
      <c r="AH99" s="54">
        <v>24208</v>
      </c>
      <c r="AI99" s="54">
        <v>0</v>
      </c>
      <c r="AJ99" s="54">
        <v>1210400</v>
      </c>
      <c r="AK99" s="54">
        <v>0</v>
      </c>
      <c r="AL99" t="s">
        <v>26</v>
      </c>
      <c r="AM99" t="s">
        <v>4249</v>
      </c>
    </row>
    <row r="100" spans="1:39" ht="11.25" hidden="1" customHeight="1" x14ac:dyDescent="0.2">
      <c r="A100" s="29" t="s">
        <v>2974</v>
      </c>
      <c r="B100" s="29" t="s">
        <v>3016</v>
      </c>
      <c r="C100" s="40">
        <v>45566</v>
      </c>
      <c r="D100" s="39" t="s">
        <v>3720</v>
      </c>
      <c r="E100" s="29" t="s">
        <v>118</v>
      </c>
      <c r="F100" s="32">
        <v>45581</v>
      </c>
      <c r="G100" s="32">
        <v>45945</v>
      </c>
      <c r="H100" s="30" t="s">
        <v>3808</v>
      </c>
      <c r="I100" s="31">
        <v>3520198476263</v>
      </c>
      <c r="J100" s="47" t="s">
        <v>4241</v>
      </c>
      <c r="K100" s="29" t="s">
        <v>121</v>
      </c>
      <c r="L100" s="29" t="s">
        <v>122</v>
      </c>
      <c r="M100" s="29" t="s">
        <v>123</v>
      </c>
      <c r="N100" s="29" t="s">
        <v>3016</v>
      </c>
      <c r="O100" s="29" t="s">
        <v>4013</v>
      </c>
      <c r="P100" s="29" t="s">
        <v>3154</v>
      </c>
      <c r="Q100" s="29" t="s">
        <v>3178</v>
      </c>
      <c r="R100" s="32">
        <v>43760</v>
      </c>
      <c r="S100" s="32">
        <v>45966</v>
      </c>
      <c r="T100" s="33">
        <v>1225000</v>
      </c>
      <c r="U100" s="29">
        <v>30</v>
      </c>
      <c r="V100" s="34">
        <f t="shared" si="3"/>
        <v>367500</v>
      </c>
      <c r="W100" s="34">
        <f t="shared" si="4"/>
        <v>857500</v>
      </c>
      <c r="X100" s="35">
        <v>3.5</v>
      </c>
      <c r="Y100" s="34">
        <f t="shared" si="5"/>
        <v>30012.500000000004</v>
      </c>
      <c r="Z100" s="36" t="s">
        <v>4207</v>
      </c>
      <c r="AA100" s="29"/>
      <c r="AB100" s="29"/>
      <c r="AC100" s="29"/>
      <c r="AD100" s="48" t="s">
        <v>3160</v>
      </c>
      <c r="AE100" s="48">
        <v>4</v>
      </c>
    </row>
    <row r="101" spans="1:39" ht="11.25" hidden="1" customHeight="1" x14ac:dyDescent="0.2">
      <c r="A101" s="29" t="s">
        <v>2974</v>
      </c>
      <c r="B101" s="29" t="s">
        <v>3012</v>
      </c>
      <c r="C101" s="40">
        <v>45566</v>
      </c>
      <c r="D101" s="39" t="s">
        <v>3720</v>
      </c>
      <c r="E101" s="29" t="s">
        <v>85</v>
      </c>
      <c r="F101" s="32">
        <v>45587</v>
      </c>
      <c r="G101" s="32">
        <v>45951</v>
      </c>
      <c r="H101" s="30" t="s">
        <v>3810</v>
      </c>
      <c r="I101" s="31">
        <v>3210260846063</v>
      </c>
      <c r="J101" s="47" t="s">
        <v>4213</v>
      </c>
      <c r="K101" s="29" t="s">
        <v>87</v>
      </c>
      <c r="L101" s="29" t="s">
        <v>88</v>
      </c>
      <c r="M101" s="29" t="s">
        <v>89</v>
      </c>
      <c r="N101" s="29" t="s">
        <v>3012</v>
      </c>
      <c r="O101" s="29" t="s">
        <v>4013</v>
      </c>
      <c r="P101" s="29" t="s">
        <v>3170</v>
      </c>
      <c r="Q101" s="29" t="s">
        <v>3171</v>
      </c>
      <c r="R101" s="32">
        <v>44546</v>
      </c>
      <c r="S101" s="32">
        <v>47123</v>
      </c>
      <c r="T101" s="33">
        <v>1335000</v>
      </c>
      <c r="U101" s="29">
        <v>20</v>
      </c>
      <c r="V101" s="34">
        <f t="shared" si="3"/>
        <v>267000</v>
      </c>
      <c r="W101" s="34">
        <f t="shared" si="4"/>
        <v>1068000</v>
      </c>
      <c r="X101" s="35">
        <v>2.5</v>
      </c>
      <c r="Y101" s="34">
        <f t="shared" si="5"/>
        <v>26700</v>
      </c>
      <c r="Z101" s="36" t="s">
        <v>4207</v>
      </c>
      <c r="AA101" s="29"/>
      <c r="AB101" s="29"/>
      <c r="AC101" s="29"/>
      <c r="AD101" s="48" t="s">
        <v>3160</v>
      </c>
      <c r="AE101" s="48">
        <v>4</v>
      </c>
    </row>
    <row r="102" spans="1:39" ht="11.25" hidden="1" customHeight="1" x14ac:dyDescent="0.2">
      <c r="A102" s="29" t="s">
        <v>2974</v>
      </c>
      <c r="B102" s="29" t="s">
        <v>3079</v>
      </c>
      <c r="C102" s="40">
        <v>45505</v>
      </c>
      <c r="D102" s="39" t="s">
        <v>3720</v>
      </c>
      <c r="E102" s="29" t="s">
        <v>2835</v>
      </c>
      <c r="F102" s="32">
        <v>45526</v>
      </c>
      <c r="G102" s="32">
        <v>45890</v>
      </c>
      <c r="H102" s="30" t="s">
        <v>3786</v>
      </c>
      <c r="I102" s="31">
        <v>3210210016299</v>
      </c>
      <c r="J102" s="47" t="s">
        <v>4213</v>
      </c>
      <c r="K102" s="29" t="s">
        <v>2837</v>
      </c>
      <c r="L102" s="29" t="s">
        <v>2838</v>
      </c>
      <c r="M102" s="29" t="s">
        <v>2839</v>
      </c>
      <c r="N102" s="29" t="s">
        <v>3079</v>
      </c>
      <c r="O102" s="29" t="s">
        <v>4013</v>
      </c>
      <c r="P102" s="29" t="s">
        <v>3170</v>
      </c>
      <c r="Q102" s="29" t="s">
        <v>3266</v>
      </c>
      <c r="R102" s="32">
        <v>44924</v>
      </c>
      <c r="S102" s="32">
        <v>46757</v>
      </c>
      <c r="T102" s="33">
        <v>1546000</v>
      </c>
      <c r="U102" s="29">
        <v>15</v>
      </c>
      <c r="V102" s="34">
        <f t="shared" si="3"/>
        <v>231900</v>
      </c>
      <c r="W102" s="34">
        <f t="shared" si="4"/>
        <v>1314100</v>
      </c>
      <c r="X102" s="35">
        <v>1.75</v>
      </c>
      <c r="Y102" s="34">
        <f t="shared" si="5"/>
        <v>22996.750000000004</v>
      </c>
      <c r="Z102" s="36" t="s">
        <v>4207</v>
      </c>
      <c r="AA102" s="29"/>
      <c r="AB102" s="29"/>
      <c r="AC102" s="29"/>
      <c r="AD102" s="48" t="s">
        <v>3160</v>
      </c>
      <c r="AE102" s="48">
        <v>0</v>
      </c>
    </row>
    <row r="103" spans="1:39" ht="11.25" hidden="1" customHeight="1" x14ac:dyDescent="0.2">
      <c r="A103" s="29" t="s">
        <v>2974</v>
      </c>
      <c r="B103" s="29" t="s">
        <v>3070</v>
      </c>
      <c r="C103" s="40">
        <v>45474</v>
      </c>
      <c r="D103" s="39" t="s">
        <v>3720</v>
      </c>
      <c r="E103" s="29" t="s">
        <v>2776</v>
      </c>
      <c r="F103" s="32">
        <v>45486</v>
      </c>
      <c r="G103" s="32">
        <v>45850</v>
      </c>
      <c r="H103" s="30" t="s">
        <v>3778</v>
      </c>
      <c r="I103" s="31">
        <v>3740569082261</v>
      </c>
      <c r="J103" s="47" t="s">
        <v>4212</v>
      </c>
      <c r="K103" s="29" t="s">
        <v>2778</v>
      </c>
      <c r="L103" s="29" t="s">
        <v>2177</v>
      </c>
      <c r="M103" s="29" t="s">
        <v>2178</v>
      </c>
      <c r="N103" s="29" t="s">
        <v>3070</v>
      </c>
      <c r="O103" s="29" t="s">
        <v>3167</v>
      </c>
      <c r="P103" s="29" t="s">
        <v>3168</v>
      </c>
      <c r="Q103" s="29" t="s">
        <v>3255</v>
      </c>
      <c r="R103" s="32">
        <v>44550</v>
      </c>
      <c r="S103" s="32">
        <v>46392</v>
      </c>
      <c r="T103" s="33">
        <v>1020000</v>
      </c>
      <c r="U103" s="29">
        <v>20</v>
      </c>
      <c r="V103" s="34">
        <f t="shared" si="3"/>
        <v>204000</v>
      </c>
      <c r="W103" s="34">
        <f t="shared" si="4"/>
        <v>816000</v>
      </c>
      <c r="X103" s="35">
        <v>2.5</v>
      </c>
      <c r="Y103" s="34">
        <f t="shared" si="5"/>
        <v>20400</v>
      </c>
      <c r="Z103" s="36" t="s">
        <v>4207</v>
      </c>
      <c r="AA103" s="29"/>
      <c r="AB103" s="29"/>
      <c r="AC103" s="29"/>
      <c r="AD103" s="48" t="s">
        <v>3160</v>
      </c>
      <c r="AE103" s="48">
        <v>0</v>
      </c>
    </row>
    <row r="104" spans="1:39" ht="11.25" hidden="1" customHeight="1" x14ac:dyDescent="0.2">
      <c r="A104" s="29" t="s">
        <v>2974</v>
      </c>
      <c r="B104" s="29" t="s">
        <v>3074</v>
      </c>
      <c r="C104" s="40">
        <v>45474</v>
      </c>
      <c r="D104" s="39" t="s">
        <v>3720</v>
      </c>
      <c r="E104" s="29" t="s">
        <v>2803</v>
      </c>
      <c r="F104" s="32">
        <v>45488</v>
      </c>
      <c r="G104" s="32">
        <v>45852</v>
      </c>
      <c r="H104" s="30" t="s">
        <v>3779</v>
      </c>
      <c r="I104" s="31">
        <v>6110103326849</v>
      </c>
      <c r="J104" s="47" t="s">
        <v>4181</v>
      </c>
      <c r="K104" s="29" t="s">
        <v>2270</v>
      </c>
      <c r="L104" s="29" t="s">
        <v>2173</v>
      </c>
      <c r="M104" s="29" t="s">
        <v>2174</v>
      </c>
      <c r="N104" s="29" t="s">
        <v>3074</v>
      </c>
      <c r="O104" s="29" t="s">
        <v>3167</v>
      </c>
      <c r="P104" s="29" t="s">
        <v>3168</v>
      </c>
      <c r="Q104" s="29" t="s">
        <v>3260</v>
      </c>
      <c r="R104" s="32">
        <v>44636</v>
      </c>
      <c r="S104" s="32">
        <v>46482</v>
      </c>
      <c r="T104" s="33">
        <v>1903200</v>
      </c>
      <c r="U104" s="29">
        <v>15</v>
      </c>
      <c r="V104" s="34">
        <f t="shared" si="3"/>
        <v>285480</v>
      </c>
      <c r="W104" s="34">
        <f t="shared" si="4"/>
        <v>1617720</v>
      </c>
      <c r="X104" s="35">
        <v>2.5</v>
      </c>
      <c r="Y104" s="34">
        <f t="shared" si="5"/>
        <v>40443</v>
      </c>
      <c r="Z104" s="36" t="s">
        <v>4207</v>
      </c>
      <c r="AA104" s="29"/>
      <c r="AB104" s="29"/>
      <c r="AC104" s="29"/>
      <c r="AD104" s="48" t="s">
        <v>3160</v>
      </c>
      <c r="AE104" s="48">
        <v>4</v>
      </c>
    </row>
    <row r="105" spans="1:39" ht="11.25" hidden="1" customHeight="1" x14ac:dyDescent="0.2">
      <c r="A105" s="29" t="s">
        <v>2974</v>
      </c>
      <c r="B105" s="29" t="s">
        <v>3067</v>
      </c>
      <c r="C105" s="40">
        <v>45444</v>
      </c>
      <c r="D105" s="39" t="s">
        <v>3720</v>
      </c>
      <c r="E105" s="29" t="s">
        <v>2758</v>
      </c>
      <c r="F105" s="32">
        <v>45473</v>
      </c>
      <c r="G105" s="32">
        <v>45837</v>
      </c>
      <c r="H105" s="30" t="s">
        <v>3776</v>
      </c>
      <c r="I105" s="31">
        <v>3840604904169</v>
      </c>
      <c r="J105" s="47" t="s">
        <v>4212</v>
      </c>
      <c r="K105" s="29" t="s">
        <v>2760</v>
      </c>
      <c r="L105" s="29" t="s">
        <v>2170</v>
      </c>
      <c r="M105" s="29" t="s">
        <v>2171</v>
      </c>
      <c r="N105" s="29" t="s">
        <v>3067</v>
      </c>
      <c r="O105" s="29" t="s">
        <v>3167</v>
      </c>
      <c r="P105" s="29" t="s">
        <v>3168</v>
      </c>
      <c r="Q105" s="29" t="s">
        <v>3252</v>
      </c>
      <c r="R105" s="32">
        <v>44610</v>
      </c>
      <c r="S105" s="32">
        <v>45721</v>
      </c>
      <c r="T105" s="33">
        <v>1020000</v>
      </c>
      <c r="U105" s="29">
        <v>15</v>
      </c>
      <c r="V105" s="34">
        <f t="shared" si="3"/>
        <v>153000</v>
      </c>
      <c r="W105" s="34">
        <f t="shared" si="4"/>
        <v>867000</v>
      </c>
      <c r="X105" s="35">
        <v>2.5</v>
      </c>
      <c r="Y105" s="34">
        <f t="shared" si="5"/>
        <v>21675</v>
      </c>
      <c r="Z105" s="36" t="s">
        <v>4207</v>
      </c>
      <c r="AA105" s="29"/>
      <c r="AB105" s="29"/>
      <c r="AC105" s="29"/>
      <c r="AD105" s="48" t="s">
        <v>3160</v>
      </c>
      <c r="AE105" s="48">
        <v>34</v>
      </c>
    </row>
    <row r="106" spans="1:39" ht="11.25" hidden="1" customHeight="1" x14ac:dyDescent="0.2">
      <c r="A106" s="29" t="s">
        <v>2974</v>
      </c>
      <c r="B106" s="29" t="s">
        <v>3056</v>
      </c>
      <c r="C106" s="40">
        <v>45383</v>
      </c>
      <c r="D106" s="39" t="s">
        <v>3720</v>
      </c>
      <c r="E106" s="29" t="s">
        <v>2667</v>
      </c>
      <c r="F106" s="32">
        <v>45412</v>
      </c>
      <c r="G106" s="32">
        <v>45776</v>
      </c>
      <c r="H106" s="30" t="s">
        <v>3768</v>
      </c>
      <c r="I106" s="31">
        <v>3310203075981</v>
      </c>
      <c r="J106" s="47" t="s">
        <v>4233</v>
      </c>
      <c r="K106" s="29" t="s">
        <v>2669</v>
      </c>
      <c r="L106" s="29" t="s">
        <v>2670</v>
      </c>
      <c r="M106" s="29" t="s">
        <v>2671</v>
      </c>
      <c r="N106" s="29" t="s">
        <v>3056</v>
      </c>
      <c r="O106" s="29" t="s">
        <v>4013</v>
      </c>
      <c r="P106" s="29" t="s">
        <v>3172</v>
      </c>
      <c r="Q106" s="29" t="s">
        <v>3237</v>
      </c>
      <c r="R106" s="32">
        <v>44911</v>
      </c>
      <c r="S106" s="32">
        <v>46757</v>
      </c>
      <c r="T106" s="33">
        <v>2784000</v>
      </c>
      <c r="U106" s="29">
        <v>15</v>
      </c>
      <c r="V106" s="34">
        <f t="shared" si="3"/>
        <v>417600</v>
      </c>
      <c r="W106" s="34">
        <f t="shared" si="4"/>
        <v>2366400</v>
      </c>
      <c r="X106" s="35">
        <v>1.75</v>
      </c>
      <c r="Y106" s="34">
        <f t="shared" si="5"/>
        <v>41412.000000000007</v>
      </c>
      <c r="Z106" s="36" t="s">
        <v>4207</v>
      </c>
      <c r="AA106" s="29"/>
      <c r="AB106" s="29"/>
      <c r="AC106" s="29"/>
      <c r="AD106" s="48" t="s">
        <v>3160</v>
      </c>
      <c r="AE106" s="48">
        <v>0</v>
      </c>
    </row>
    <row r="107" spans="1:39" ht="11.25" customHeight="1" x14ac:dyDescent="0.2">
      <c r="A107" s="29" t="s">
        <v>2974</v>
      </c>
      <c r="B107" s="29" t="s">
        <v>3301</v>
      </c>
      <c r="C107" s="40">
        <v>45597</v>
      </c>
      <c r="D107" s="39" t="s">
        <v>3720</v>
      </c>
      <c r="E107" s="29" t="s">
        <v>593</v>
      </c>
      <c r="F107" s="32">
        <v>45598</v>
      </c>
      <c r="G107" s="32">
        <v>45962</v>
      </c>
      <c r="H107" s="30" t="s">
        <v>3814</v>
      </c>
      <c r="I107" s="31">
        <v>3630312183513</v>
      </c>
      <c r="J107" s="47" t="s">
        <v>4208</v>
      </c>
      <c r="K107" s="29" t="s">
        <v>595</v>
      </c>
      <c r="L107" s="29" t="s">
        <v>596</v>
      </c>
      <c r="M107" s="29" t="s">
        <v>597</v>
      </c>
      <c r="N107" s="29" t="s">
        <v>3301</v>
      </c>
      <c r="O107" s="29" t="s">
        <v>4013</v>
      </c>
      <c r="P107" s="29" t="s">
        <v>3216</v>
      </c>
      <c r="Q107" s="29" t="s">
        <v>3502</v>
      </c>
      <c r="R107" s="32">
        <v>45236</v>
      </c>
      <c r="S107" s="32">
        <v>46331</v>
      </c>
      <c r="T107" s="33">
        <v>1000000</v>
      </c>
      <c r="U107" s="29">
        <v>10</v>
      </c>
      <c r="V107" s="34">
        <f t="shared" si="3"/>
        <v>100000</v>
      </c>
      <c r="W107" s="34">
        <f t="shared" si="4"/>
        <v>900000</v>
      </c>
      <c r="X107" s="35">
        <v>2</v>
      </c>
      <c r="Y107" s="34">
        <f t="shared" si="5"/>
        <v>18000</v>
      </c>
      <c r="Z107" s="29"/>
      <c r="AA107" s="29" t="s">
        <v>4014</v>
      </c>
      <c r="AB107" s="29">
        <v>1141071867</v>
      </c>
      <c r="AC107" s="49">
        <v>45644</v>
      </c>
      <c r="AD107" s="48" t="s">
        <v>3160</v>
      </c>
      <c r="AE107" s="48">
        <v>4</v>
      </c>
      <c r="AG107" t="s">
        <v>593</v>
      </c>
      <c r="AH107" s="54">
        <v>18000</v>
      </c>
      <c r="AI107" s="54">
        <v>0</v>
      </c>
      <c r="AJ107" s="54">
        <v>900000</v>
      </c>
      <c r="AK107" s="54">
        <v>0</v>
      </c>
      <c r="AL107" t="s">
        <v>26</v>
      </c>
      <c r="AM107" t="s">
        <v>4249</v>
      </c>
    </row>
    <row r="108" spans="1:39" ht="11.25" customHeight="1" x14ac:dyDescent="0.2">
      <c r="A108" s="29" t="s">
        <v>2974</v>
      </c>
      <c r="B108" s="29" t="s">
        <v>3312</v>
      </c>
      <c r="C108" s="40">
        <v>45597</v>
      </c>
      <c r="D108" s="39" t="s">
        <v>3720</v>
      </c>
      <c r="E108" s="29" t="s">
        <v>680</v>
      </c>
      <c r="F108" s="32">
        <v>45598</v>
      </c>
      <c r="G108" s="32">
        <v>45962</v>
      </c>
      <c r="H108" s="30" t="s">
        <v>3815</v>
      </c>
      <c r="I108" s="31">
        <v>3230201263547</v>
      </c>
      <c r="J108" s="47" t="s">
        <v>4185</v>
      </c>
      <c r="K108" s="29" t="s">
        <v>683</v>
      </c>
      <c r="L108" s="29" t="s">
        <v>684</v>
      </c>
      <c r="M108" s="29" t="s">
        <v>685</v>
      </c>
      <c r="N108" s="29" t="s">
        <v>3312</v>
      </c>
      <c r="O108" s="29" t="s">
        <v>4013</v>
      </c>
      <c r="P108" s="29" t="s">
        <v>3216</v>
      </c>
      <c r="Q108" s="29" t="s">
        <v>3514</v>
      </c>
      <c r="R108" s="32">
        <v>45236</v>
      </c>
      <c r="S108" s="32">
        <v>46331</v>
      </c>
      <c r="T108" s="33">
        <v>3500000</v>
      </c>
      <c r="U108" s="29">
        <v>10</v>
      </c>
      <c r="V108" s="34">
        <f t="shared" si="3"/>
        <v>350000</v>
      </c>
      <c r="W108" s="34">
        <f t="shared" si="4"/>
        <v>3150000</v>
      </c>
      <c r="X108" s="35">
        <v>1.5</v>
      </c>
      <c r="Y108" s="34">
        <f t="shared" si="5"/>
        <v>47250</v>
      </c>
      <c r="Z108" s="29"/>
      <c r="AA108" s="29" t="s">
        <v>4014</v>
      </c>
      <c r="AB108" s="29">
        <v>1141071867</v>
      </c>
      <c r="AC108" s="49">
        <v>45644</v>
      </c>
      <c r="AD108" s="48" t="s">
        <v>3160</v>
      </c>
      <c r="AE108" s="48">
        <v>4</v>
      </c>
      <c r="AG108" t="s">
        <v>680</v>
      </c>
      <c r="AH108" s="54">
        <v>47250</v>
      </c>
      <c r="AI108" s="54">
        <v>0</v>
      </c>
      <c r="AJ108" s="54">
        <v>3150000</v>
      </c>
      <c r="AK108" s="54">
        <v>0</v>
      </c>
      <c r="AL108" t="s">
        <v>26</v>
      </c>
      <c r="AM108" t="s">
        <v>4249</v>
      </c>
    </row>
    <row r="109" spans="1:39" ht="11.25" customHeight="1" x14ac:dyDescent="0.2">
      <c r="A109" s="29" t="s">
        <v>2974</v>
      </c>
      <c r="B109" s="29" t="s">
        <v>3323</v>
      </c>
      <c r="C109" s="40">
        <v>45597</v>
      </c>
      <c r="D109" s="39" t="s">
        <v>3720</v>
      </c>
      <c r="E109" s="29" t="s">
        <v>771</v>
      </c>
      <c r="F109" s="32">
        <v>45598</v>
      </c>
      <c r="G109" s="32">
        <v>45962</v>
      </c>
      <c r="H109" s="30" t="s">
        <v>3816</v>
      </c>
      <c r="I109" s="31">
        <v>3630222161701</v>
      </c>
      <c r="J109" s="47" t="s">
        <v>4194</v>
      </c>
      <c r="K109" s="29" t="s">
        <v>773</v>
      </c>
      <c r="L109" s="29" t="s">
        <v>774</v>
      </c>
      <c r="M109" s="29" t="s">
        <v>775</v>
      </c>
      <c r="N109" s="29" t="s">
        <v>3323</v>
      </c>
      <c r="O109" s="29" t="s">
        <v>4013</v>
      </c>
      <c r="P109" s="29" t="s">
        <v>3216</v>
      </c>
      <c r="Q109" s="29" t="s">
        <v>3525</v>
      </c>
      <c r="R109" s="32">
        <v>45233</v>
      </c>
      <c r="S109" s="32">
        <v>47063</v>
      </c>
      <c r="T109" s="33">
        <v>2900000</v>
      </c>
      <c r="U109" s="29">
        <v>10</v>
      </c>
      <c r="V109" s="34">
        <f t="shared" si="3"/>
        <v>290000</v>
      </c>
      <c r="W109" s="34">
        <f t="shared" si="4"/>
        <v>2610000</v>
      </c>
      <c r="X109" s="35">
        <v>2</v>
      </c>
      <c r="Y109" s="34">
        <f t="shared" si="5"/>
        <v>52200</v>
      </c>
      <c r="Z109" s="29"/>
      <c r="AA109" s="29" t="s">
        <v>4014</v>
      </c>
      <c r="AB109" s="29">
        <v>1141071867</v>
      </c>
      <c r="AC109" s="49">
        <v>45644</v>
      </c>
      <c r="AD109" s="48" t="s">
        <v>3160</v>
      </c>
      <c r="AE109" s="48">
        <v>4</v>
      </c>
      <c r="AG109" t="s">
        <v>771</v>
      </c>
      <c r="AH109" s="54">
        <v>52200</v>
      </c>
      <c r="AI109" s="54">
        <v>0</v>
      </c>
      <c r="AJ109" s="54">
        <v>2610000</v>
      </c>
      <c r="AK109" s="54">
        <v>0</v>
      </c>
      <c r="AL109" t="s">
        <v>26</v>
      </c>
      <c r="AM109" t="s">
        <v>4249</v>
      </c>
    </row>
    <row r="110" spans="1:39" ht="11.25" customHeight="1" x14ac:dyDescent="0.2">
      <c r="A110" s="29" t="s">
        <v>2974</v>
      </c>
      <c r="B110" s="29" t="s">
        <v>3333</v>
      </c>
      <c r="C110" s="40">
        <v>45597</v>
      </c>
      <c r="D110" s="39" t="s">
        <v>3720</v>
      </c>
      <c r="E110" s="29" t="s">
        <v>855</v>
      </c>
      <c r="F110" s="32">
        <v>45598</v>
      </c>
      <c r="G110" s="32">
        <v>45962</v>
      </c>
      <c r="H110" s="30" t="s">
        <v>3817</v>
      </c>
      <c r="I110" s="31">
        <v>3130391568053</v>
      </c>
      <c r="J110" s="47" t="s">
        <v>4209</v>
      </c>
      <c r="K110" s="29" t="s">
        <v>858</v>
      </c>
      <c r="L110" s="29" t="s">
        <v>859</v>
      </c>
      <c r="M110" s="29" t="s">
        <v>860</v>
      </c>
      <c r="N110" s="29" t="s">
        <v>3333</v>
      </c>
      <c r="O110" s="29" t="s">
        <v>4013</v>
      </c>
      <c r="P110" s="29" t="s">
        <v>3154</v>
      </c>
      <c r="Q110" s="29" t="s">
        <v>3537</v>
      </c>
      <c r="R110" s="32">
        <v>45233</v>
      </c>
      <c r="S110" s="32">
        <v>46331</v>
      </c>
      <c r="T110" s="33">
        <v>3200000</v>
      </c>
      <c r="U110" s="29">
        <v>10</v>
      </c>
      <c r="V110" s="34">
        <f t="shared" si="3"/>
        <v>320000</v>
      </c>
      <c r="W110" s="34">
        <f t="shared" si="4"/>
        <v>2880000</v>
      </c>
      <c r="X110" s="35">
        <v>2</v>
      </c>
      <c r="Y110" s="34">
        <f t="shared" si="5"/>
        <v>57600</v>
      </c>
      <c r="Z110" s="29"/>
      <c r="AA110" s="29" t="s">
        <v>4014</v>
      </c>
      <c r="AB110" s="29">
        <v>1141071867</v>
      </c>
      <c r="AC110" s="49">
        <v>45644</v>
      </c>
      <c r="AD110" s="48" t="s">
        <v>3160</v>
      </c>
      <c r="AE110" s="48">
        <v>4</v>
      </c>
      <c r="AG110" t="s">
        <v>855</v>
      </c>
      <c r="AH110" s="54">
        <v>57600</v>
      </c>
      <c r="AI110" s="54">
        <v>0</v>
      </c>
      <c r="AJ110" s="54">
        <v>2880000</v>
      </c>
      <c r="AK110" s="54">
        <v>0</v>
      </c>
      <c r="AL110" t="s">
        <v>26</v>
      </c>
      <c r="AM110" t="s">
        <v>4249</v>
      </c>
    </row>
    <row r="111" spans="1:39" ht="11.25" customHeight="1" x14ac:dyDescent="0.2">
      <c r="A111" s="29" t="s">
        <v>2974</v>
      </c>
      <c r="B111" s="29" t="s">
        <v>3334</v>
      </c>
      <c r="C111" s="40">
        <v>45597</v>
      </c>
      <c r="D111" s="39" t="s">
        <v>3720</v>
      </c>
      <c r="E111" s="29" t="s">
        <v>864</v>
      </c>
      <c r="F111" s="32">
        <v>45598</v>
      </c>
      <c r="G111" s="32">
        <v>45962</v>
      </c>
      <c r="H111" s="30" t="s">
        <v>3818</v>
      </c>
      <c r="I111" s="31">
        <v>3520191247861</v>
      </c>
      <c r="J111" s="47" t="s">
        <v>4182</v>
      </c>
      <c r="K111" s="29" t="s">
        <v>866</v>
      </c>
      <c r="L111" s="29" t="s">
        <v>867</v>
      </c>
      <c r="M111" s="29" t="s">
        <v>868</v>
      </c>
      <c r="N111" s="29" t="s">
        <v>3334</v>
      </c>
      <c r="O111" s="29" t="s">
        <v>4013</v>
      </c>
      <c r="P111" s="29" t="s">
        <v>3154</v>
      </c>
      <c r="Q111" s="29" t="s">
        <v>3538</v>
      </c>
      <c r="R111" s="32">
        <v>45233</v>
      </c>
      <c r="S111" s="32">
        <v>47063</v>
      </c>
      <c r="T111" s="33">
        <v>1853000</v>
      </c>
      <c r="U111" s="29">
        <v>10</v>
      </c>
      <c r="V111" s="34">
        <f t="shared" si="3"/>
        <v>185300</v>
      </c>
      <c r="W111" s="34">
        <f t="shared" si="4"/>
        <v>1667700</v>
      </c>
      <c r="X111" s="35">
        <v>2</v>
      </c>
      <c r="Y111" s="34">
        <f t="shared" si="5"/>
        <v>33354</v>
      </c>
      <c r="Z111" s="29"/>
      <c r="AA111" s="29" t="s">
        <v>4014</v>
      </c>
      <c r="AB111" s="29">
        <v>1141071867</v>
      </c>
      <c r="AC111" s="49">
        <v>45644</v>
      </c>
      <c r="AD111" s="48" t="s">
        <v>3160</v>
      </c>
      <c r="AE111" s="48">
        <v>4</v>
      </c>
      <c r="AG111" t="s">
        <v>864</v>
      </c>
      <c r="AH111" s="54">
        <v>33354</v>
      </c>
      <c r="AI111" s="54">
        <v>0</v>
      </c>
      <c r="AJ111" s="54">
        <v>1667700</v>
      </c>
      <c r="AK111" s="54">
        <v>0</v>
      </c>
      <c r="AL111" t="s">
        <v>26</v>
      </c>
      <c r="AM111" t="s">
        <v>4249</v>
      </c>
    </row>
    <row r="112" spans="1:39" ht="11.25" customHeight="1" x14ac:dyDescent="0.2">
      <c r="A112" s="29" t="s">
        <v>2974</v>
      </c>
      <c r="B112" s="29" t="s">
        <v>3335</v>
      </c>
      <c r="C112" s="40">
        <v>45597</v>
      </c>
      <c r="D112" s="39" t="s">
        <v>3720</v>
      </c>
      <c r="E112" s="29" t="s">
        <v>872</v>
      </c>
      <c r="F112" s="32">
        <v>45598</v>
      </c>
      <c r="G112" s="32">
        <v>45962</v>
      </c>
      <c r="H112" s="30" t="s">
        <v>3819</v>
      </c>
      <c r="I112" s="31">
        <v>3310005800963</v>
      </c>
      <c r="J112" s="47" t="s">
        <v>4182</v>
      </c>
      <c r="K112" s="29" t="s">
        <v>874</v>
      </c>
      <c r="L112" s="29" t="s">
        <v>875</v>
      </c>
      <c r="M112" s="29" t="s">
        <v>876</v>
      </c>
      <c r="N112" s="29" t="s">
        <v>3335</v>
      </c>
      <c r="O112" s="29" t="s">
        <v>4013</v>
      </c>
      <c r="P112" s="29" t="s">
        <v>3172</v>
      </c>
      <c r="Q112" s="29" t="s">
        <v>3539</v>
      </c>
      <c r="R112" s="32">
        <v>45233</v>
      </c>
      <c r="S112" s="32">
        <v>47063</v>
      </c>
      <c r="T112" s="33">
        <v>2850000</v>
      </c>
      <c r="U112" s="29">
        <v>10</v>
      </c>
      <c r="V112" s="34">
        <f t="shared" si="3"/>
        <v>285000</v>
      </c>
      <c r="W112" s="34">
        <f t="shared" si="4"/>
        <v>2565000</v>
      </c>
      <c r="X112" s="35">
        <v>2</v>
      </c>
      <c r="Y112" s="34">
        <f t="shared" si="5"/>
        <v>51300</v>
      </c>
      <c r="Z112" s="29"/>
      <c r="AA112" s="29" t="s">
        <v>4014</v>
      </c>
      <c r="AB112" s="29">
        <v>1141071867</v>
      </c>
      <c r="AC112" s="49">
        <v>45644</v>
      </c>
      <c r="AD112" s="48" t="s">
        <v>3160</v>
      </c>
      <c r="AE112" s="48">
        <v>4</v>
      </c>
      <c r="AG112" t="s">
        <v>872</v>
      </c>
      <c r="AH112" s="54">
        <v>51300</v>
      </c>
      <c r="AI112" s="54">
        <v>0</v>
      </c>
      <c r="AJ112" s="54">
        <v>2565000</v>
      </c>
      <c r="AK112" s="54">
        <v>0</v>
      </c>
      <c r="AL112" t="s">
        <v>26</v>
      </c>
      <c r="AM112" t="s">
        <v>4249</v>
      </c>
    </row>
    <row r="113" spans="1:39" ht="11.25" customHeight="1" x14ac:dyDescent="0.2">
      <c r="A113" s="29" t="s">
        <v>2974</v>
      </c>
      <c r="B113" s="29" t="s">
        <v>3336</v>
      </c>
      <c r="C113" s="40">
        <v>45597</v>
      </c>
      <c r="D113" s="39" t="s">
        <v>3720</v>
      </c>
      <c r="E113" s="29" t="s">
        <v>880</v>
      </c>
      <c r="F113" s="32">
        <v>45598</v>
      </c>
      <c r="G113" s="32">
        <v>45962</v>
      </c>
      <c r="H113" s="30" t="s">
        <v>3820</v>
      </c>
      <c r="I113" s="31">
        <v>3540457520062</v>
      </c>
      <c r="J113" s="47" t="s">
        <v>4210</v>
      </c>
      <c r="K113" s="29" t="s">
        <v>882</v>
      </c>
      <c r="L113" s="29" t="s">
        <v>883</v>
      </c>
      <c r="M113" s="29" t="s">
        <v>884</v>
      </c>
      <c r="N113" s="29" t="s">
        <v>3336</v>
      </c>
      <c r="O113" s="29" t="s">
        <v>4013</v>
      </c>
      <c r="P113" s="29" t="s">
        <v>3154</v>
      </c>
      <c r="Q113" s="29" t="s">
        <v>3540</v>
      </c>
      <c r="R113" s="32">
        <v>45233</v>
      </c>
      <c r="S113" s="32">
        <v>46331</v>
      </c>
      <c r="T113" s="33">
        <v>900000</v>
      </c>
      <c r="U113" s="29">
        <v>10</v>
      </c>
      <c r="V113" s="34">
        <f t="shared" si="3"/>
        <v>90000</v>
      </c>
      <c r="W113" s="34">
        <f t="shared" si="4"/>
        <v>810000</v>
      </c>
      <c r="X113" s="35">
        <v>2</v>
      </c>
      <c r="Y113" s="34">
        <f t="shared" si="5"/>
        <v>16200</v>
      </c>
      <c r="Z113" s="29"/>
      <c r="AA113" s="29" t="s">
        <v>4014</v>
      </c>
      <c r="AB113" s="29">
        <v>1141071867</v>
      </c>
      <c r="AC113" s="49">
        <v>45644</v>
      </c>
      <c r="AD113" s="48" t="s">
        <v>3160</v>
      </c>
      <c r="AE113" s="48">
        <v>0</v>
      </c>
      <c r="AG113" t="s">
        <v>880</v>
      </c>
      <c r="AH113" s="54">
        <v>16200</v>
      </c>
      <c r="AI113" s="54">
        <v>0</v>
      </c>
      <c r="AJ113" s="54">
        <v>810000</v>
      </c>
      <c r="AK113" s="54">
        <v>0</v>
      </c>
      <c r="AL113" t="s">
        <v>26</v>
      </c>
      <c r="AM113" t="s">
        <v>4249</v>
      </c>
    </row>
    <row r="114" spans="1:39" ht="11.25" customHeight="1" x14ac:dyDescent="0.2">
      <c r="A114" s="29" t="s">
        <v>2974</v>
      </c>
      <c r="B114" s="29" t="s">
        <v>3344</v>
      </c>
      <c r="C114" s="40">
        <v>45597</v>
      </c>
      <c r="D114" s="39" t="s">
        <v>3720</v>
      </c>
      <c r="E114" s="29" t="s">
        <v>948</v>
      </c>
      <c r="F114" s="32">
        <v>45598</v>
      </c>
      <c r="G114" s="32">
        <v>45962</v>
      </c>
      <c r="H114" s="30" t="s">
        <v>3821</v>
      </c>
      <c r="I114" s="31">
        <v>3520286399689</v>
      </c>
      <c r="J114" s="47" t="s">
        <v>4192</v>
      </c>
      <c r="K114" s="29" t="s">
        <v>950</v>
      </c>
      <c r="L114" s="29" t="s">
        <v>951</v>
      </c>
      <c r="M114" s="29" t="s">
        <v>952</v>
      </c>
      <c r="N114" s="29" t="s">
        <v>3344</v>
      </c>
      <c r="O114" s="29" t="s">
        <v>4013</v>
      </c>
      <c r="P114" s="29" t="s">
        <v>3154</v>
      </c>
      <c r="Q114" s="29" t="s">
        <v>3551</v>
      </c>
      <c r="R114" s="32">
        <v>44873</v>
      </c>
      <c r="S114" s="32">
        <v>46696</v>
      </c>
      <c r="T114" s="33">
        <v>3256000</v>
      </c>
      <c r="U114" s="29">
        <v>15</v>
      </c>
      <c r="V114" s="34">
        <f t="shared" si="3"/>
        <v>488400</v>
      </c>
      <c r="W114" s="34">
        <f t="shared" si="4"/>
        <v>2767600</v>
      </c>
      <c r="X114" s="35">
        <v>2.5</v>
      </c>
      <c r="Y114" s="34">
        <f t="shared" si="5"/>
        <v>69190</v>
      </c>
      <c r="Z114" s="29"/>
      <c r="AA114" s="29" t="s">
        <v>4014</v>
      </c>
      <c r="AB114" s="29">
        <v>1141071867</v>
      </c>
      <c r="AC114" s="49">
        <v>45644</v>
      </c>
      <c r="AD114" s="48" t="s">
        <v>3160</v>
      </c>
      <c r="AE114" s="48">
        <v>4</v>
      </c>
      <c r="AG114" t="s">
        <v>948</v>
      </c>
      <c r="AH114" s="54">
        <v>69190</v>
      </c>
      <c r="AI114" s="54">
        <v>0</v>
      </c>
      <c r="AJ114" s="54">
        <v>2767600</v>
      </c>
      <c r="AK114" s="54">
        <v>0</v>
      </c>
      <c r="AL114" t="s">
        <v>26</v>
      </c>
      <c r="AM114" t="s">
        <v>4249</v>
      </c>
    </row>
    <row r="115" spans="1:39" ht="11.25" customHeight="1" x14ac:dyDescent="0.2">
      <c r="A115" s="29" t="s">
        <v>2974</v>
      </c>
      <c r="B115" s="29" t="s">
        <v>3337</v>
      </c>
      <c r="C115" s="40">
        <v>45597</v>
      </c>
      <c r="D115" s="39" t="s">
        <v>3720</v>
      </c>
      <c r="E115" s="29" t="s">
        <v>888</v>
      </c>
      <c r="F115" s="32">
        <v>45599</v>
      </c>
      <c r="G115" s="32">
        <v>45963</v>
      </c>
      <c r="H115" s="30" t="s">
        <v>3822</v>
      </c>
      <c r="I115" s="31">
        <v>3520240857343</v>
      </c>
      <c r="J115" s="47" t="s">
        <v>4211</v>
      </c>
      <c r="K115" s="29" t="s">
        <v>891</v>
      </c>
      <c r="L115" s="29" t="s">
        <v>892</v>
      </c>
      <c r="M115" s="29" t="s">
        <v>893</v>
      </c>
      <c r="N115" s="29" t="s">
        <v>3337</v>
      </c>
      <c r="O115" s="29" t="s">
        <v>4013</v>
      </c>
      <c r="P115" s="29" t="s">
        <v>3154</v>
      </c>
      <c r="Q115" s="29" t="s">
        <v>3541</v>
      </c>
      <c r="R115" s="32">
        <v>45233</v>
      </c>
      <c r="S115" s="32">
        <v>46331</v>
      </c>
      <c r="T115" s="33">
        <v>8000000</v>
      </c>
      <c r="U115" s="29">
        <v>10</v>
      </c>
      <c r="V115" s="34">
        <f t="shared" si="3"/>
        <v>800000</v>
      </c>
      <c r="W115" s="34">
        <f t="shared" si="4"/>
        <v>7200000</v>
      </c>
      <c r="X115" s="35">
        <v>1.5</v>
      </c>
      <c r="Y115" s="34">
        <f t="shared" si="5"/>
        <v>108000</v>
      </c>
      <c r="Z115" s="29"/>
      <c r="AA115" s="29" t="s">
        <v>4014</v>
      </c>
      <c r="AB115" s="29">
        <v>1141071867</v>
      </c>
      <c r="AC115" s="49">
        <v>45644</v>
      </c>
      <c r="AD115" s="48" t="s">
        <v>3160</v>
      </c>
      <c r="AE115" s="48">
        <v>0</v>
      </c>
      <c r="AG115" t="s">
        <v>888</v>
      </c>
      <c r="AH115" s="54">
        <v>108000</v>
      </c>
      <c r="AI115" s="54">
        <v>0</v>
      </c>
      <c r="AJ115" s="54">
        <v>7200000</v>
      </c>
      <c r="AK115" s="54">
        <v>0</v>
      </c>
      <c r="AL115" t="s">
        <v>26</v>
      </c>
      <c r="AM115" t="s">
        <v>4249</v>
      </c>
    </row>
    <row r="116" spans="1:39" ht="11.25" customHeight="1" x14ac:dyDescent="0.2">
      <c r="A116" s="29" t="s">
        <v>2974</v>
      </c>
      <c r="B116" s="29" t="s">
        <v>3338</v>
      </c>
      <c r="C116" s="40">
        <v>45597</v>
      </c>
      <c r="D116" s="39" t="s">
        <v>3720</v>
      </c>
      <c r="E116" s="29" t="s">
        <v>897</v>
      </c>
      <c r="F116" s="32">
        <v>45599</v>
      </c>
      <c r="G116" s="32">
        <v>45963</v>
      </c>
      <c r="H116" s="30" t="s">
        <v>3823</v>
      </c>
      <c r="I116" s="31">
        <v>4230106206909</v>
      </c>
      <c r="J116" s="47" t="s">
        <v>4212</v>
      </c>
      <c r="K116" s="29" t="s">
        <v>900</v>
      </c>
      <c r="L116" s="29" t="s">
        <v>901</v>
      </c>
      <c r="M116" s="29" t="s">
        <v>902</v>
      </c>
      <c r="N116" s="29" t="s">
        <v>3338</v>
      </c>
      <c r="O116" s="29" t="s">
        <v>3162</v>
      </c>
      <c r="P116" s="29" t="s">
        <v>3211</v>
      </c>
      <c r="Q116" s="29" t="s">
        <v>3542</v>
      </c>
      <c r="R116" s="32">
        <v>44872</v>
      </c>
      <c r="S116" s="32">
        <v>46696</v>
      </c>
      <c r="T116" s="33">
        <v>1424000</v>
      </c>
      <c r="U116" s="29">
        <v>15</v>
      </c>
      <c r="V116" s="34">
        <f t="shared" si="3"/>
        <v>213600</v>
      </c>
      <c r="W116" s="34">
        <f t="shared" si="4"/>
        <v>1210400</v>
      </c>
      <c r="X116" s="35">
        <v>2</v>
      </c>
      <c r="Y116" s="34">
        <f t="shared" si="5"/>
        <v>24208</v>
      </c>
      <c r="Z116" s="29"/>
      <c r="AA116" s="29" t="s">
        <v>4014</v>
      </c>
      <c r="AB116" s="29">
        <v>1141071867</v>
      </c>
      <c r="AC116" s="49">
        <v>45644</v>
      </c>
      <c r="AD116" s="48" t="s">
        <v>3160</v>
      </c>
      <c r="AE116" s="48">
        <v>0</v>
      </c>
      <c r="AG116" t="s">
        <v>897</v>
      </c>
      <c r="AH116" s="54">
        <v>24208</v>
      </c>
      <c r="AI116" s="54">
        <v>0</v>
      </c>
      <c r="AJ116" s="54">
        <v>1210400</v>
      </c>
      <c r="AK116" s="54">
        <v>0</v>
      </c>
      <c r="AL116" t="s">
        <v>26</v>
      </c>
      <c r="AM116" t="s">
        <v>4249</v>
      </c>
    </row>
    <row r="117" spans="1:39" ht="11.25" customHeight="1" x14ac:dyDescent="0.2">
      <c r="A117" s="29" t="s">
        <v>2974</v>
      </c>
      <c r="B117" s="29" t="s">
        <v>3355</v>
      </c>
      <c r="C117" s="40">
        <v>45597</v>
      </c>
      <c r="D117" s="39" t="s">
        <v>3720</v>
      </c>
      <c r="E117" s="29" t="s">
        <v>1034</v>
      </c>
      <c r="F117" s="32">
        <v>45599</v>
      </c>
      <c r="G117" s="32">
        <v>45963</v>
      </c>
      <c r="H117" s="30" t="s">
        <v>3824</v>
      </c>
      <c r="I117" s="31">
        <v>3120233076411</v>
      </c>
      <c r="J117" s="47" t="s">
        <v>4213</v>
      </c>
      <c r="K117" s="29"/>
      <c r="L117" s="29" t="s">
        <v>1036</v>
      </c>
      <c r="M117" s="29" t="s">
        <v>1037</v>
      </c>
      <c r="N117" s="29" t="s">
        <v>3355</v>
      </c>
      <c r="O117" s="29" t="s">
        <v>4013</v>
      </c>
      <c r="P117" s="29" t="s">
        <v>3176</v>
      </c>
      <c r="Q117" s="29" t="s">
        <v>3562</v>
      </c>
      <c r="R117" s="32">
        <v>44882</v>
      </c>
      <c r="S117" s="32">
        <v>46727</v>
      </c>
      <c r="T117" s="33">
        <v>1675000</v>
      </c>
      <c r="U117" s="29">
        <v>15</v>
      </c>
      <c r="V117" s="34">
        <f t="shared" si="3"/>
        <v>251250</v>
      </c>
      <c r="W117" s="34">
        <f t="shared" si="4"/>
        <v>1423750</v>
      </c>
      <c r="X117" s="35">
        <v>2.5</v>
      </c>
      <c r="Y117" s="34">
        <f t="shared" si="5"/>
        <v>35593.75</v>
      </c>
      <c r="Z117" s="29"/>
      <c r="AA117" s="29" t="s">
        <v>4014</v>
      </c>
      <c r="AB117" s="29">
        <v>1141071867</v>
      </c>
      <c r="AC117" s="49">
        <v>45644</v>
      </c>
      <c r="AD117" s="48" t="s">
        <v>3160</v>
      </c>
      <c r="AE117" s="48">
        <v>0</v>
      </c>
      <c r="AG117" t="s">
        <v>1034</v>
      </c>
      <c r="AH117" s="54">
        <v>35594</v>
      </c>
      <c r="AI117" s="54">
        <v>0.25</v>
      </c>
      <c r="AJ117" s="54">
        <v>1423750</v>
      </c>
      <c r="AK117" s="54">
        <v>0</v>
      </c>
      <c r="AL117" t="s">
        <v>26</v>
      </c>
      <c r="AM117" t="s">
        <v>4249</v>
      </c>
    </row>
    <row r="118" spans="1:39" ht="11.25" customHeight="1" x14ac:dyDescent="0.2">
      <c r="A118" s="29" t="s">
        <v>2974</v>
      </c>
      <c r="B118" s="29" t="s">
        <v>3290</v>
      </c>
      <c r="C118" s="40">
        <v>45597</v>
      </c>
      <c r="D118" s="39" t="s">
        <v>3720</v>
      </c>
      <c r="E118" s="29" t="s">
        <v>500</v>
      </c>
      <c r="F118" s="32">
        <v>45600</v>
      </c>
      <c r="G118" s="32">
        <v>45964</v>
      </c>
      <c r="H118" s="30" t="s">
        <v>3825</v>
      </c>
      <c r="I118" s="31">
        <v>3310477555807</v>
      </c>
      <c r="J118" s="47" t="s">
        <v>4203</v>
      </c>
      <c r="K118" s="29" t="s">
        <v>502</v>
      </c>
      <c r="L118" s="29" t="s">
        <v>503</v>
      </c>
      <c r="M118" s="29" t="s">
        <v>504</v>
      </c>
      <c r="N118" s="29" t="s">
        <v>3290</v>
      </c>
      <c r="O118" s="29" t="s">
        <v>4013</v>
      </c>
      <c r="P118" s="29" t="s">
        <v>3489</v>
      </c>
      <c r="Q118" s="29" t="s">
        <v>3490</v>
      </c>
      <c r="R118" s="32">
        <v>44508</v>
      </c>
      <c r="S118" s="32">
        <v>46331</v>
      </c>
      <c r="T118" s="33">
        <v>1335000</v>
      </c>
      <c r="U118" s="29">
        <v>20</v>
      </c>
      <c r="V118" s="34">
        <f t="shared" si="3"/>
        <v>267000</v>
      </c>
      <c r="W118" s="34">
        <f t="shared" si="4"/>
        <v>1068000</v>
      </c>
      <c r="X118" s="35">
        <v>2.5</v>
      </c>
      <c r="Y118" s="34">
        <f t="shared" si="5"/>
        <v>26700</v>
      </c>
      <c r="Z118" s="29"/>
      <c r="AA118" s="29" t="s">
        <v>4014</v>
      </c>
      <c r="AB118" s="29">
        <v>1141071867</v>
      </c>
      <c r="AC118" s="49">
        <v>45644</v>
      </c>
      <c r="AD118" s="48" t="s">
        <v>3160</v>
      </c>
      <c r="AE118" s="48">
        <v>4</v>
      </c>
      <c r="AG118" t="s">
        <v>500</v>
      </c>
      <c r="AH118" s="54">
        <v>26700</v>
      </c>
      <c r="AI118" s="54">
        <v>0</v>
      </c>
      <c r="AJ118" s="54">
        <v>1068000</v>
      </c>
      <c r="AK118" s="54">
        <v>0</v>
      </c>
      <c r="AL118" t="s">
        <v>26</v>
      </c>
      <c r="AM118" t="s">
        <v>4249</v>
      </c>
    </row>
    <row r="119" spans="1:39" ht="11.25" customHeight="1" x14ac:dyDescent="0.2">
      <c r="A119" s="29" t="s">
        <v>2974</v>
      </c>
      <c r="B119" s="29" t="s">
        <v>3384</v>
      </c>
      <c r="C119" s="40">
        <v>45597</v>
      </c>
      <c r="D119" s="39" t="s">
        <v>3720</v>
      </c>
      <c r="E119" s="29" t="s">
        <v>1271</v>
      </c>
      <c r="F119" s="32">
        <v>45600</v>
      </c>
      <c r="G119" s="32">
        <v>45964</v>
      </c>
      <c r="H119" s="30" t="s">
        <v>3826</v>
      </c>
      <c r="I119" s="31">
        <v>3520271969289</v>
      </c>
      <c r="J119" s="47" t="s">
        <v>4195</v>
      </c>
      <c r="K119" s="29"/>
      <c r="L119" s="29" t="s">
        <v>1273</v>
      </c>
      <c r="M119" s="29" t="s">
        <v>1274</v>
      </c>
      <c r="N119" s="29" t="s">
        <v>3384</v>
      </c>
      <c r="O119" s="29" t="s">
        <v>4013</v>
      </c>
      <c r="P119" s="29" t="s">
        <v>3154</v>
      </c>
      <c r="Q119" s="29" t="s">
        <v>3592</v>
      </c>
      <c r="R119" s="32">
        <v>44519</v>
      </c>
      <c r="S119" s="32">
        <v>46361</v>
      </c>
      <c r="T119" s="33">
        <v>2933000</v>
      </c>
      <c r="U119" s="29">
        <v>20</v>
      </c>
      <c r="V119" s="34">
        <f t="shared" si="3"/>
        <v>586600</v>
      </c>
      <c r="W119" s="34">
        <f t="shared" si="4"/>
        <v>2346400</v>
      </c>
      <c r="X119" s="35">
        <v>1.75</v>
      </c>
      <c r="Y119" s="34">
        <f t="shared" si="5"/>
        <v>41062.000000000007</v>
      </c>
      <c r="Z119" s="29"/>
      <c r="AA119" s="29" t="s">
        <v>4014</v>
      </c>
      <c r="AB119" s="29">
        <v>1141071867</v>
      </c>
      <c r="AC119" s="49">
        <v>45644</v>
      </c>
      <c r="AD119" s="48" t="s">
        <v>3160</v>
      </c>
      <c r="AE119" s="48">
        <v>4</v>
      </c>
      <c r="AG119" t="s">
        <v>1271</v>
      </c>
      <c r="AH119" s="54">
        <v>41062</v>
      </c>
      <c r="AI119" s="54">
        <v>0</v>
      </c>
      <c r="AJ119" s="54">
        <v>2346400</v>
      </c>
      <c r="AK119" s="54">
        <v>0</v>
      </c>
      <c r="AL119" t="s">
        <v>26</v>
      </c>
      <c r="AM119" t="s">
        <v>4249</v>
      </c>
    </row>
    <row r="120" spans="1:39" ht="11.25" customHeight="1" x14ac:dyDescent="0.2">
      <c r="A120" s="29" t="s">
        <v>2974</v>
      </c>
      <c r="B120" s="29" t="s">
        <v>3395</v>
      </c>
      <c r="C120" s="40">
        <v>45597</v>
      </c>
      <c r="D120" s="39" t="s">
        <v>3720</v>
      </c>
      <c r="E120" s="29" t="s">
        <v>1354</v>
      </c>
      <c r="F120" s="32">
        <v>45600</v>
      </c>
      <c r="G120" s="32">
        <v>45964</v>
      </c>
      <c r="H120" s="30" t="s">
        <v>3827</v>
      </c>
      <c r="I120" s="31">
        <v>3520160468395</v>
      </c>
      <c r="J120" s="47" t="s">
        <v>4203</v>
      </c>
      <c r="K120" s="29" t="s">
        <v>1356</v>
      </c>
      <c r="L120" s="29" t="s">
        <v>1357</v>
      </c>
      <c r="M120" s="29" t="s">
        <v>1358</v>
      </c>
      <c r="N120" s="29" t="s">
        <v>3395</v>
      </c>
      <c r="O120" s="29" t="s">
        <v>4013</v>
      </c>
      <c r="P120" s="29" t="s">
        <v>3154</v>
      </c>
      <c r="Q120" s="29" t="s">
        <v>3606</v>
      </c>
      <c r="R120" s="32">
        <v>44515</v>
      </c>
      <c r="S120" s="32">
        <v>46331</v>
      </c>
      <c r="T120" s="33">
        <v>1521000</v>
      </c>
      <c r="U120" s="29">
        <v>20</v>
      </c>
      <c r="V120" s="34">
        <f t="shared" si="3"/>
        <v>304200</v>
      </c>
      <c r="W120" s="34">
        <f t="shared" si="4"/>
        <v>1216800</v>
      </c>
      <c r="X120" s="35">
        <v>2.5</v>
      </c>
      <c r="Y120" s="34">
        <f t="shared" si="5"/>
        <v>30420</v>
      </c>
      <c r="Z120" s="29"/>
      <c r="AA120" s="29" t="s">
        <v>4014</v>
      </c>
      <c r="AB120" s="29">
        <v>1141071867</v>
      </c>
      <c r="AC120" s="49">
        <v>45644</v>
      </c>
      <c r="AD120" s="48" t="s">
        <v>3160</v>
      </c>
      <c r="AE120" s="48">
        <v>4</v>
      </c>
      <c r="AG120" t="s">
        <v>1354</v>
      </c>
      <c r="AH120" s="54">
        <v>30420</v>
      </c>
      <c r="AI120" s="54">
        <v>0</v>
      </c>
      <c r="AJ120" s="54">
        <v>1216800</v>
      </c>
      <c r="AK120" s="54">
        <v>0</v>
      </c>
      <c r="AL120" t="s">
        <v>26</v>
      </c>
      <c r="AM120" t="s">
        <v>4249</v>
      </c>
    </row>
    <row r="121" spans="1:39" ht="11.25" customHeight="1" x14ac:dyDescent="0.2">
      <c r="A121" s="29" t="s">
        <v>2974</v>
      </c>
      <c r="B121" s="29" t="s">
        <v>3406</v>
      </c>
      <c r="C121" s="40">
        <v>45597</v>
      </c>
      <c r="D121" s="39" t="s">
        <v>3720</v>
      </c>
      <c r="E121" s="29" t="s">
        <v>1445</v>
      </c>
      <c r="F121" s="32">
        <v>45600</v>
      </c>
      <c r="G121" s="32">
        <v>45964</v>
      </c>
      <c r="H121" s="30" t="s">
        <v>3828</v>
      </c>
      <c r="I121" s="31">
        <v>3540117640267</v>
      </c>
      <c r="J121" s="47" t="s">
        <v>4190</v>
      </c>
      <c r="K121" s="29" t="s">
        <v>1447</v>
      </c>
      <c r="L121" s="29" t="s">
        <v>1448</v>
      </c>
      <c r="M121" s="29" t="s">
        <v>1449</v>
      </c>
      <c r="N121" s="29" t="s">
        <v>3406</v>
      </c>
      <c r="O121" s="29" t="s">
        <v>4013</v>
      </c>
      <c r="P121" s="29" t="s">
        <v>3154</v>
      </c>
      <c r="Q121" s="29" t="s">
        <v>3618</v>
      </c>
      <c r="R121" s="32">
        <v>44508</v>
      </c>
      <c r="S121" s="32">
        <v>46331</v>
      </c>
      <c r="T121" s="33">
        <v>2200000</v>
      </c>
      <c r="U121" s="29">
        <v>20</v>
      </c>
      <c r="V121" s="34">
        <f t="shared" si="3"/>
        <v>440000</v>
      </c>
      <c r="W121" s="34">
        <f t="shared" si="4"/>
        <v>1760000</v>
      </c>
      <c r="X121" s="35">
        <v>1.75</v>
      </c>
      <c r="Y121" s="34">
        <f t="shared" si="5"/>
        <v>30800.000000000004</v>
      </c>
      <c r="Z121" s="29"/>
      <c r="AA121" s="29" t="s">
        <v>4014</v>
      </c>
      <c r="AB121" s="29">
        <v>1141071867</v>
      </c>
      <c r="AC121" s="49">
        <v>45644</v>
      </c>
      <c r="AD121" s="48" t="s">
        <v>3160</v>
      </c>
      <c r="AE121" s="48">
        <v>4</v>
      </c>
      <c r="AG121" t="s">
        <v>1445</v>
      </c>
      <c r="AH121" s="54">
        <v>30800</v>
      </c>
      <c r="AI121" s="54">
        <v>0</v>
      </c>
      <c r="AJ121" s="54">
        <v>1760000</v>
      </c>
      <c r="AK121" s="54">
        <v>0</v>
      </c>
      <c r="AL121" t="s">
        <v>26</v>
      </c>
      <c r="AM121" t="s">
        <v>4249</v>
      </c>
    </row>
    <row r="122" spans="1:39" ht="11.25" customHeight="1" x14ac:dyDescent="0.2">
      <c r="A122" s="29" t="s">
        <v>2974</v>
      </c>
      <c r="B122" s="29" t="s">
        <v>3417</v>
      </c>
      <c r="C122" s="40">
        <v>45597</v>
      </c>
      <c r="D122" s="39" t="s">
        <v>3720</v>
      </c>
      <c r="E122" s="29" t="s">
        <v>1534</v>
      </c>
      <c r="F122" s="32">
        <v>45601</v>
      </c>
      <c r="G122" s="32">
        <v>45965</v>
      </c>
      <c r="H122" s="30" t="s">
        <v>3829</v>
      </c>
      <c r="I122" s="31">
        <v>3520241943199</v>
      </c>
      <c r="J122" s="47" t="s">
        <v>4203</v>
      </c>
      <c r="K122" s="29" t="s">
        <v>1536</v>
      </c>
      <c r="L122" s="29" t="s">
        <v>1537</v>
      </c>
      <c r="M122" s="29" t="s">
        <v>1538</v>
      </c>
      <c r="N122" s="29" t="s">
        <v>3417</v>
      </c>
      <c r="O122" s="29" t="s">
        <v>4013</v>
      </c>
      <c r="P122" s="29" t="s">
        <v>3154</v>
      </c>
      <c r="Q122" s="29" t="s">
        <v>3631</v>
      </c>
      <c r="R122" s="32">
        <v>44518</v>
      </c>
      <c r="S122" s="32">
        <v>47092</v>
      </c>
      <c r="T122" s="33">
        <v>1335000</v>
      </c>
      <c r="U122" s="29">
        <v>20</v>
      </c>
      <c r="V122" s="34">
        <f t="shared" si="3"/>
        <v>267000</v>
      </c>
      <c r="W122" s="34">
        <f t="shared" si="4"/>
        <v>1068000</v>
      </c>
      <c r="X122" s="35">
        <v>2.5</v>
      </c>
      <c r="Y122" s="34">
        <f t="shared" si="5"/>
        <v>26700</v>
      </c>
      <c r="Z122" s="29"/>
      <c r="AA122" s="29" t="s">
        <v>4014</v>
      </c>
      <c r="AB122" s="29">
        <v>1141071867</v>
      </c>
      <c r="AC122" s="49">
        <v>45644</v>
      </c>
      <c r="AD122" s="48" t="s">
        <v>3160</v>
      </c>
      <c r="AE122" s="48">
        <v>4</v>
      </c>
      <c r="AG122" t="s">
        <v>1534</v>
      </c>
      <c r="AH122" s="54">
        <v>26700</v>
      </c>
      <c r="AI122" s="54">
        <v>0</v>
      </c>
      <c r="AJ122" s="54">
        <v>1068000</v>
      </c>
      <c r="AK122" s="54">
        <v>0</v>
      </c>
      <c r="AL122" t="s">
        <v>26</v>
      </c>
      <c r="AM122" t="s">
        <v>4249</v>
      </c>
    </row>
    <row r="123" spans="1:39" ht="11.25" customHeight="1" x14ac:dyDescent="0.2">
      <c r="A123" s="29" t="s">
        <v>2974</v>
      </c>
      <c r="B123" s="29" t="s">
        <v>3458</v>
      </c>
      <c r="C123" s="40">
        <v>45597</v>
      </c>
      <c r="D123" s="39" t="s">
        <v>3720</v>
      </c>
      <c r="E123" s="29" t="s">
        <v>1870</v>
      </c>
      <c r="F123" s="32">
        <v>45601</v>
      </c>
      <c r="G123" s="32">
        <v>45965</v>
      </c>
      <c r="H123" s="30" t="s">
        <v>3830</v>
      </c>
      <c r="I123" s="31">
        <v>3510183976794</v>
      </c>
      <c r="J123" s="47" t="s">
        <v>4214</v>
      </c>
      <c r="K123" s="29" t="s">
        <v>1872</v>
      </c>
      <c r="L123" s="29" t="s">
        <v>1873</v>
      </c>
      <c r="M123" s="29" t="s">
        <v>1874</v>
      </c>
      <c r="N123" s="29" t="s">
        <v>3458</v>
      </c>
      <c r="O123" s="29" t="s">
        <v>4013</v>
      </c>
      <c r="P123" s="29" t="s">
        <v>3638</v>
      </c>
      <c r="Q123" s="29" t="s">
        <v>3677</v>
      </c>
      <c r="R123" s="32">
        <v>43420</v>
      </c>
      <c r="S123" s="32">
        <v>45996</v>
      </c>
      <c r="T123" s="33">
        <v>1501000</v>
      </c>
      <c r="U123" s="29">
        <v>35</v>
      </c>
      <c r="V123" s="34">
        <f t="shared" si="3"/>
        <v>525350</v>
      </c>
      <c r="W123" s="34">
        <f t="shared" si="4"/>
        <v>975650</v>
      </c>
      <c r="X123" s="35">
        <v>3.75</v>
      </c>
      <c r="Y123" s="34">
        <f t="shared" si="5"/>
        <v>36586.875</v>
      </c>
      <c r="Z123" s="29"/>
      <c r="AA123" s="29" t="s">
        <v>4014</v>
      </c>
      <c r="AB123" s="29">
        <v>1141071867</v>
      </c>
      <c r="AC123" s="49">
        <v>45644</v>
      </c>
      <c r="AD123" s="48" t="s">
        <v>3160</v>
      </c>
      <c r="AE123" s="48">
        <v>0</v>
      </c>
      <c r="AG123" t="s">
        <v>1870</v>
      </c>
      <c r="AH123" s="54">
        <v>36587</v>
      </c>
      <c r="AI123" s="54">
        <v>0.125</v>
      </c>
      <c r="AJ123" s="54">
        <v>975650</v>
      </c>
      <c r="AK123" s="54">
        <v>0</v>
      </c>
      <c r="AL123" t="s">
        <v>26</v>
      </c>
      <c r="AM123" t="s">
        <v>4249</v>
      </c>
    </row>
    <row r="124" spans="1:39" ht="11.25" customHeight="1" x14ac:dyDescent="0.2">
      <c r="A124" s="29" t="s">
        <v>2974</v>
      </c>
      <c r="B124" s="29" t="s">
        <v>3480</v>
      </c>
      <c r="C124" s="40">
        <v>45597</v>
      </c>
      <c r="D124" s="39" t="s">
        <v>3720</v>
      </c>
      <c r="E124" s="29" t="s">
        <v>2046</v>
      </c>
      <c r="F124" s="32">
        <v>45601</v>
      </c>
      <c r="G124" s="32">
        <v>45965</v>
      </c>
      <c r="H124" s="30" t="s">
        <v>3832</v>
      </c>
      <c r="I124" s="31">
        <v>3110508411037</v>
      </c>
      <c r="J124" s="47" t="s">
        <v>4180</v>
      </c>
      <c r="K124" s="29"/>
      <c r="L124" s="29" t="s">
        <v>2048</v>
      </c>
      <c r="M124" s="29" t="s">
        <v>2049</v>
      </c>
      <c r="N124" s="29" t="s">
        <v>3480</v>
      </c>
      <c r="O124" s="29" t="s">
        <v>4013</v>
      </c>
      <c r="P124" s="29" t="s">
        <v>3704</v>
      </c>
      <c r="Q124" s="29" t="s">
        <v>3705</v>
      </c>
      <c r="R124" s="32">
        <v>43776</v>
      </c>
      <c r="S124" s="32">
        <v>45966</v>
      </c>
      <c r="T124" s="33">
        <v>1308000</v>
      </c>
      <c r="U124" s="29">
        <v>30</v>
      </c>
      <c r="V124" s="34">
        <f t="shared" si="3"/>
        <v>392400</v>
      </c>
      <c r="W124" s="34">
        <f t="shared" si="4"/>
        <v>915600</v>
      </c>
      <c r="X124" s="35">
        <v>3.75</v>
      </c>
      <c r="Y124" s="34">
        <f t="shared" si="5"/>
        <v>34335</v>
      </c>
      <c r="Z124" s="29"/>
      <c r="AA124" s="29" t="s">
        <v>4014</v>
      </c>
      <c r="AB124" s="29">
        <v>1141071867</v>
      </c>
      <c r="AC124" s="49">
        <v>45644</v>
      </c>
      <c r="AD124" s="48" t="s">
        <v>3160</v>
      </c>
      <c r="AE124" s="48">
        <v>4</v>
      </c>
      <c r="AG124" t="s">
        <v>2046</v>
      </c>
      <c r="AH124" s="54">
        <v>34335</v>
      </c>
      <c r="AI124" s="54">
        <v>0</v>
      </c>
      <c r="AJ124" s="54">
        <v>915600</v>
      </c>
      <c r="AK124" s="54">
        <v>0</v>
      </c>
      <c r="AL124" t="s">
        <v>26</v>
      </c>
      <c r="AM124" t="s">
        <v>4249</v>
      </c>
    </row>
    <row r="125" spans="1:39" ht="11.25" customHeight="1" x14ac:dyDescent="0.2">
      <c r="A125" s="29" t="s">
        <v>2974</v>
      </c>
      <c r="B125" s="29" t="s">
        <v>3291</v>
      </c>
      <c r="C125" s="40">
        <v>45597</v>
      </c>
      <c r="D125" s="39" t="s">
        <v>3720</v>
      </c>
      <c r="E125" s="29" t="s">
        <v>508</v>
      </c>
      <c r="F125" s="32">
        <v>45602</v>
      </c>
      <c r="G125" s="32">
        <v>45966</v>
      </c>
      <c r="H125" s="30" t="s">
        <v>3833</v>
      </c>
      <c r="I125" s="31">
        <v>3740540683745</v>
      </c>
      <c r="J125" s="47" t="s">
        <v>4189</v>
      </c>
      <c r="K125" s="29"/>
      <c r="L125" s="29" t="s">
        <v>510</v>
      </c>
      <c r="M125" s="29" t="s">
        <v>511</v>
      </c>
      <c r="N125" s="29" t="s">
        <v>3291</v>
      </c>
      <c r="O125" s="29" t="s">
        <v>3167</v>
      </c>
      <c r="P125" s="29" t="s">
        <v>3168</v>
      </c>
      <c r="Q125" s="29" t="s">
        <v>3491</v>
      </c>
      <c r="R125" s="32">
        <v>45244</v>
      </c>
      <c r="S125" s="32">
        <v>47063</v>
      </c>
      <c r="T125" s="33">
        <v>2935000</v>
      </c>
      <c r="U125" s="29">
        <v>10</v>
      </c>
      <c r="V125" s="34">
        <f t="shared" si="3"/>
        <v>293500</v>
      </c>
      <c r="W125" s="34">
        <f t="shared" si="4"/>
        <v>2641500</v>
      </c>
      <c r="X125" s="35">
        <v>2</v>
      </c>
      <c r="Y125" s="34">
        <f t="shared" si="5"/>
        <v>52830</v>
      </c>
      <c r="Z125" s="29"/>
      <c r="AA125" s="29" t="s">
        <v>4014</v>
      </c>
      <c r="AB125" s="29">
        <v>1141071867</v>
      </c>
      <c r="AC125" s="49">
        <v>45644</v>
      </c>
      <c r="AD125" s="48" t="s">
        <v>3160</v>
      </c>
      <c r="AE125" s="48">
        <v>4</v>
      </c>
      <c r="AG125" t="s">
        <v>508</v>
      </c>
      <c r="AH125" s="54">
        <v>52830</v>
      </c>
      <c r="AI125" s="54">
        <v>0</v>
      </c>
      <c r="AJ125" s="54">
        <v>2641500</v>
      </c>
      <c r="AK125" s="54">
        <v>0</v>
      </c>
      <c r="AL125" t="s">
        <v>26</v>
      </c>
      <c r="AM125" t="s">
        <v>4249</v>
      </c>
    </row>
    <row r="126" spans="1:39" ht="11.25" customHeight="1" x14ac:dyDescent="0.2">
      <c r="A126" s="29" t="s">
        <v>2974</v>
      </c>
      <c r="B126" s="29" t="s">
        <v>3295</v>
      </c>
      <c r="C126" s="40">
        <v>45597</v>
      </c>
      <c r="D126" s="39" t="s">
        <v>3720</v>
      </c>
      <c r="E126" s="29" t="s">
        <v>543</v>
      </c>
      <c r="F126" s="32">
        <v>45602</v>
      </c>
      <c r="G126" s="32">
        <v>45966</v>
      </c>
      <c r="H126" s="30" t="s">
        <v>3834</v>
      </c>
      <c r="I126" s="31">
        <v>3650233356323</v>
      </c>
      <c r="J126" s="47" t="s">
        <v>4215</v>
      </c>
      <c r="K126" s="29"/>
      <c r="L126" s="29" t="s">
        <v>546</v>
      </c>
      <c r="M126" s="29" t="s">
        <v>547</v>
      </c>
      <c r="N126" s="29" t="s">
        <v>3295</v>
      </c>
      <c r="O126" s="29" t="s">
        <v>4013</v>
      </c>
      <c r="P126" s="29" t="s">
        <v>3154</v>
      </c>
      <c r="Q126" s="29" t="s">
        <v>3495</v>
      </c>
      <c r="R126" s="32">
        <v>45245</v>
      </c>
      <c r="S126" s="32">
        <v>46331</v>
      </c>
      <c r="T126" s="33">
        <v>4474000</v>
      </c>
      <c r="U126" s="29">
        <v>10</v>
      </c>
      <c r="V126" s="34">
        <f t="shared" si="3"/>
        <v>447400</v>
      </c>
      <c r="W126" s="34">
        <f t="shared" si="4"/>
        <v>4026600</v>
      </c>
      <c r="X126" s="35">
        <v>1.5</v>
      </c>
      <c r="Y126" s="34">
        <f t="shared" si="5"/>
        <v>60399</v>
      </c>
      <c r="Z126" s="29"/>
      <c r="AA126" s="29" t="s">
        <v>4014</v>
      </c>
      <c r="AB126" s="29">
        <v>1141071867</v>
      </c>
      <c r="AC126" s="49">
        <v>45644</v>
      </c>
      <c r="AD126" s="48" t="s">
        <v>3160</v>
      </c>
      <c r="AE126" s="48">
        <v>0</v>
      </c>
      <c r="AG126" t="s">
        <v>543</v>
      </c>
      <c r="AH126" s="54">
        <v>60399</v>
      </c>
      <c r="AI126" s="54">
        <v>0</v>
      </c>
      <c r="AJ126" s="54">
        <v>4026600</v>
      </c>
      <c r="AK126" s="54">
        <v>0</v>
      </c>
      <c r="AL126" t="s">
        <v>26</v>
      </c>
      <c r="AM126" t="s">
        <v>4249</v>
      </c>
    </row>
    <row r="127" spans="1:39" ht="11.25" customHeight="1" x14ac:dyDescent="0.2">
      <c r="A127" s="29" t="s">
        <v>2974</v>
      </c>
      <c r="B127" s="29" t="s">
        <v>3449</v>
      </c>
      <c r="C127" s="40">
        <v>45597</v>
      </c>
      <c r="D127" s="39" t="s">
        <v>3720</v>
      </c>
      <c r="E127" s="29" t="s">
        <v>1795</v>
      </c>
      <c r="F127" s="32">
        <v>45602</v>
      </c>
      <c r="G127" s="32">
        <v>45966</v>
      </c>
      <c r="H127" s="30" t="s">
        <v>3835</v>
      </c>
      <c r="I127" s="31">
        <v>3640199876531</v>
      </c>
      <c r="J127" s="47" t="s">
        <v>4204</v>
      </c>
      <c r="K127" s="29" t="s">
        <v>1798</v>
      </c>
      <c r="L127" s="29" t="s">
        <v>1799</v>
      </c>
      <c r="M127" s="29" t="s">
        <v>1800</v>
      </c>
      <c r="N127" s="29" t="s">
        <v>3449</v>
      </c>
      <c r="O127" s="29" t="s">
        <v>4013</v>
      </c>
      <c r="P127" s="29" t="s">
        <v>3666</v>
      </c>
      <c r="Q127" s="29" t="s">
        <v>3667</v>
      </c>
      <c r="R127" s="32">
        <v>44148</v>
      </c>
      <c r="S127" s="32">
        <v>45966</v>
      </c>
      <c r="T127" s="33">
        <v>1134000</v>
      </c>
      <c r="U127" s="29">
        <v>25</v>
      </c>
      <c r="V127" s="34">
        <f t="shared" si="3"/>
        <v>283500</v>
      </c>
      <c r="W127" s="34">
        <f t="shared" si="4"/>
        <v>850500</v>
      </c>
      <c r="X127" s="35">
        <v>2.5</v>
      </c>
      <c r="Y127" s="34">
        <f t="shared" si="5"/>
        <v>21262.5</v>
      </c>
      <c r="Z127" s="29"/>
      <c r="AA127" s="29" t="s">
        <v>4014</v>
      </c>
      <c r="AB127" s="29">
        <v>1141071867</v>
      </c>
      <c r="AC127" s="49">
        <v>45644</v>
      </c>
      <c r="AD127" s="48" t="s">
        <v>3160</v>
      </c>
      <c r="AE127" s="48">
        <v>4</v>
      </c>
      <c r="AG127" t="s">
        <v>1795</v>
      </c>
      <c r="AH127" s="54">
        <v>21263</v>
      </c>
      <c r="AI127" s="54">
        <v>0.5</v>
      </c>
      <c r="AJ127" s="54">
        <v>850500</v>
      </c>
      <c r="AK127" s="54">
        <v>0</v>
      </c>
      <c r="AL127" t="s">
        <v>26</v>
      </c>
      <c r="AM127" t="s">
        <v>4249</v>
      </c>
    </row>
    <row r="128" spans="1:39" ht="11.25" customHeight="1" x14ac:dyDescent="0.2">
      <c r="A128" s="29" t="s">
        <v>2974</v>
      </c>
      <c r="B128" s="29" t="s">
        <v>3293</v>
      </c>
      <c r="C128" s="40">
        <v>45597</v>
      </c>
      <c r="D128" s="39" t="s">
        <v>3720</v>
      </c>
      <c r="E128" s="29" t="s">
        <v>524</v>
      </c>
      <c r="F128" s="32">
        <v>45603</v>
      </c>
      <c r="G128" s="32">
        <v>45967</v>
      </c>
      <c r="H128" s="30" t="s">
        <v>3836</v>
      </c>
      <c r="I128" s="31">
        <v>3520239896761</v>
      </c>
      <c r="J128" s="47" t="s">
        <v>4216</v>
      </c>
      <c r="K128" s="29" t="s">
        <v>528</v>
      </c>
      <c r="L128" s="29" t="s">
        <v>529</v>
      </c>
      <c r="M128" s="29" t="s">
        <v>530</v>
      </c>
      <c r="N128" s="29" t="s">
        <v>3293</v>
      </c>
      <c r="O128" s="29" t="s">
        <v>4013</v>
      </c>
      <c r="P128" s="29" t="s">
        <v>3154</v>
      </c>
      <c r="Q128" s="29" t="s">
        <v>3493</v>
      </c>
      <c r="R128" s="32">
        <v>45243</v>
      </c>
      <c r="S128" s="32">
        <v>46331</v>
      </c>
      <c r="T128" s="33">
        <v>2600000</v>
      </c>
      <c r="U128" s="29">
        <v>10</v>
      </c>
      <c r="V128" s="34">
        <f t="shared" si="3"/>
        <v>260000</v>
      </c>
      <c r="W128" s="34">
        <f t="shared" si="4"/>
        <v>2340000</v>
      </c>
      <c r="X128" s="35">
        <v>2</v>
      </c>
      <c r="Y128" s="34">
        <f t="shared" si="5"/>
        <v>46800</v>
      </c>
      <c r="Z128" s="29"/>
      <c r="AA128" s="29" t="s">
        <v>4014</v>
      </c>
      <c r="AB128" s="29">
        <v>1141071867</v>
      </c>
      <c r="AC128" s="49">
        <v>45644</v>
      </c>
      <c r="AD128" s="48" t="s">
        <v>3160</v>
      </c>
      <c r="AE128" s="48">
        <v>4</v>
      </c>
      <c r="AG128" t="s">
        <v>524</v>
      </c>
      <c r="AH128" s="54">
        <v>46800</v>
      </c>
      <c r="AI128" s="54">
        <v>0</v>
      </c>
      <c r="AJ128" s="54">
        <v>2340000</v>
      </c>
      <c r="AK128" s="54">
        <v>0</v>
      </c>
      <c r="AL128" t="s">
        <v>26</v>
      </c>
      <c r="AM128" t="s">
        <v>4249</v>
      </c>
    </row>
    <row r="129" spans="1:39" ht="11.25" customHeight="1" x14ac:dyDescent="0.2">
      <c r="A129" s="29" t="s">
        <v>2974</v>
      </c>
      <c r="B129" s="29" t="s">
        <v>3294</v>
      </c>
      <c r="C129" s="40">
        <v>45597</v>
      </c>
      <c r="D129" s="39" t="s">
        <v>3720</v>
      </c>
      <c r="E129" s="29" t="s">
        <v>534</v>
      </c>
      <c r="F129" s="32">
        <v>45603</v>
      </c>
      <c r="G129" s="32">
        <v>45967</v>
      </c>
      <c r="H129" s="30" t="s">
        <v>3837</v>
      </c>
      <c r="I129" s="31">
        <v>4210121869395</v>
      </c>
      <c r="J129" s="47" t="s">
        <v>4217</v>
      </c>
      <c r="K129" s="29" t="s">
        <v>537</v>
      </c>
      <c r="L129" s="29" t="s">
        <v>538</v>
      </c>
      <c r="M129" s="29" t="s">
        <v>539</v>
      </c>
      <c r="N129" s="29" t="s">
        <v>3294</v>
      </c>
      <c r="O129" s="29" t="s">
        <v>3162</v>
      </c>
      <c r="P129" s="29" t="s">
        <v>3211</v>
      </c>
      <c r="Q129" s="29" t="s">
        <v>3494</v>
      </c>
      <c r="R129" s="32">
        <v>45238</v>
      </c>
      <c r="S129" s="32">
        <v>46696</v>
      </c>
      <c r="T129" s="33">
        <v>10000000</v>
      </c>
      <c r="U129" s="29">
        <v>10</v>
      </c>
      <c r="V129" s="34">
        <f t="shared" si="3"/>
        <v>1000000</v>
      </c>
      <c r="W129" s="34">
        <f t="shared" si="4"/>
        <v>9000000</v>
      </c>
      <c r="X129" s="35">
        <v>1.5</v>
      </c>
      <c r="Y129" s="34">
        <f t="shared" si="5"/>
        <v>135000</v>
      </c>
      <c r="Z129" s="29"/>
      <c r="AA129" s="29" t="s">
        <v>4014</v>
      </c>
      <c r="AB129" s="29">
        <v>1141071867</v>
      </c>
      <c r="AC129" s="49">
        <v>45644</v>
      </c>
      <c r="AD129" s="48" t="s">
        <v>3160</v>
      </c>
      <c r="AE129" s="48">
        <v>4</v>
      </c>
      <c r="AG129" t="s">
        <v>534</v>
      </c>
      <c r="AH129" s="54">
        <v>135000</v>
      </c>
      <c r="AI129" s="54">
        <v>0</v>
      </c>
      <c r="AJ129" s="54">
        <v>9000000</v>
      </c>
      <c r="AK129" s="54">
        <v>0</v>
      </c>
      <c r="AL129" t="s">
        <v>26</v>
      </c>
      <c r="AM129" t="s">
        <v>4249</v>
      </c>
    </row>
    <row r="130" spans="1:39" ht="11.25" customHeight="1" x14ac:dyDescent="0.2">
      <c r="A130" s="29" t="s">
        <v>2974</v>
      </c>
      <c r="B130" s="29" t="s">
        <v>3366</v>
      </c>
      <c r="C130" s="40">
        <v>45597</v>
      </c>
      <c r="D130" s="39" t="s">
        <v>3720</v>
      </c>
      <c r="E130" s="29" t="s">
        <v>1122</v>
      </c>
      <c r="F130" s="32">
        <v>45603</v>
      </c>
      <c r="G130" s="32">
        <v>45967</v>
      </c>
      <c r="H130" s="30" t="s">
        <v>3838</v>
      </c>
      <c r="I130" s="31">
        <v>3520227864893</v>
      </c>
      <c r="J130" s="47" t="s">
        <v>4218</v>
      </c>
      <c r="K130" s="29"/>
      <c r="L130" s="29" t="s">
        <v>1124</v>
      </c>
      <c r="M130" s="29" t="s">
        <v>1125</v>
      </c>
      <c r="N130" s="29" t="s">
        <v>3366</v>
      </c>
      <c r="O130" s="29" t="s">
        <v>4013</v>
      </c>
      <c r="P130" s="29" t="s">
        <v>3154</v>
      </c>
      <c r="Q130" s="29" t="s">
        <v>3573</v>
      </c>
      <c r="R130" s="32">
        <v>44895</v>
      </c>
      <c r="S130" s="32">
        <v>46727</v>
      </c>
      <c r="T130" s="33">
        <v>3909000</v>
      </c>
      <c r="U130" s="29">
        <v>15</v>
      </c>
      <c r="V130" s="34">
        <f t="shared" ref="V130:V193" si="6">T130*U130%</f>
        <v>586350</v>
      </c>
      <c r="W130" s="34">
        <f t="shared" ref="W130:W193" si="7">T130-V130</f>
        <v>3322650</v>
      </c>
      <c r="X130" s="35">
        <v>2.5</v>
      </c>
      <c r="Y130" s="34">
        <f t="shared" ref="Y130:Y193" si="8">W130*X130%</f>
        <v>83066.25</v>
      </c>
      <c r="Z130" s="29"/>
      <c r="AA130" s="29" t="s">
        <v>4014</v>
      </c>
      <c r="AB130" s="29">
        <v>1141071867</v>
      </c>
      <c r="AC130" s="49">
        <v>45644</v>
      </c>
      <c r="AD130" s="48" t="s">
        <v>3160</v>
      </c>
      <c r="AE130" s="48">
        <v>4</v>
      </c>
      <c r="AG130" t="s">
        <v>1122</v>
      </c>
      <c r="AH130" s="54">
        <v>83066</v>
      </c>
      <c r="AI130" s="54">
        <v>-0.25</v>
      </c>
      <c r="AJ130" s="54">
        <v>3322650</v>
      </c>
      <c r="AK130" s="54">
        <v>0</v>
      </c>
      <c r="AL130" t="s">
        <v>26</v>
      </c>
      <c r="AM130" t="s">
        <v>4249</v>
      </c>
    </row>
    <row r="131" spans="1:39" ht="11.25" customHeight="1" x14ac:dyDescent="0.2">
      <c r="A131" s="29" t="s">
        <v>2974</v>
      </c>
      <c r="B131" s="29" t="s">
        <v>3341</v>
      </c>
      <c r="C131" s="40">
        <v>45597</v>
      </c>
      <c r="D131" s="39" t="s">
        <v>3720</v>
      </c>
      <c r="E131" s="29" t="s">
        <v>923</v>
      </c>
      <c r="F131" s="32">
        <v>45605</v>
      </c>
      <c r="G131" s="32">
        <v>45969</v>
      </c>
      <c r="H131" s="30" t="s">
        <v>3839</v>
      </c>
      <c r="I131" s="31">
        <v>4240137180624</v>
      </c>
      <c r="J131" s="47" t="s">
        <v>4212</v>
      </c>
      <c r="K131" s="29" t="s">
        <v>926</v>
      </c>
      <c r="L131" s="29" t="s">
        <v>927</v>
      </c>
      <c r="M131" s="29" t="s">
        <v>928</v>
      </c>
      <c r="N131" s="29" t="s">
        <v>3341</v>
      </c>
      <c r="O131" s="29" t="s">
        <v>3162</v>
      </c>
      <c r="P131" s="29" t="s">
        <v>3546</v>
      </c>
      <c r="Q131" s="29" t="s">
        <v>3547</v>
      </c>
      <c r="R131" s="32">
        <v>44512</v>
      </c>
      <c r="S131" s="32">
        <v>46331</v>
      </c>
      <c r="T131" s="33">
        <v>1020000</v>
      </c>
      <c r="U131" s="29">
        <v>20</v>
      </c>
      <c r="V131" s="34">
        <f t="shared" si="6"/>
        <v>204000</v>
      </c>
      <c r="W131" s="34">
        <f t="shared" si="7"/>
        <v>816000</v>
      </c>
      <c r="X131" s="35">
        <v>2.5</v>
      </c>
      <c r="Y131" s="34">
        <f t="shared" si="8"/>
        <v>20400</v>
      </c>
      <c r="Z131" s="29"/>
      <c r="AA131" s="29" t="s">
        <v>4014</v>
      </c>
      <c r="AB131" s="29">
        <v>1141071867</v>
      </c>
      <c r="AC131" s="49">
        <v>45644</v>
      </c>
      <c r="AD131" s="48" t="s">
        <v>3160</v>
      </c>
      <c r="AE131" s="48">
        <v>4</v>
      </c>
      <c r="AG131" t="s">
        <v>923</v>
      </c>
      <c r="AH131" s="54">
        <v>20400</v>
      </c>
      <c r="AI131" s="54">
        <v>0</v>
      </c>
      <c r="AJ131" s="54">
        <v>816000</v>
      </c>
      <c r="AK131" s="54">
        <v>0</v>
      </c>
      <c r="AL131" t="s">
        <v>26</v>
      </c>
      <c r="AM131" t="s">
        <v>4249</v>
      </c>
    </row>
    <row r="132" spans="1:39" ht="11.25" customHeight="1" x14ac:dyDescent="0.2">
      <c r="A132" s="29" t="s">
        <v>2974</v>
      </c>
      <c r="B132" s="29" t="s">
        <v>3439</v>
      </c>
      <c r="C132" s="40">
        <v>45597</v>
      </c>
      <c r="D132" s="39" t="s">
        <v>3720</v>
      </c>
      <c r="E132" s="29" t="s">
        <v>1713</v>
      </c>
      <c r="F132" s="32">
        <v>45605</v>
      </c>
      <c r="G132" s="32">
        <v>45969</v>
      </c>
      <c r="H132" s="30" t="s">
        <v>3841</v>
      </c>
      <c r="I132" s="31">
        <v>4220188699393</v>
      </c>
      <c r="J132" s="47" t="s">
        <v>4180</v>
      </c>
      <c r="K132" s="29" t="s">
        <v>1715</v>
      </c>
      <c r="L132" s="29" t="s">
        <v>1716</v>
      </c>
      <c r="M132" s="29" t="s">
        <v>1717</v>
      </c>
      <c r="N132" s="29" t="s">
        <v>3439</v>
      </c>
      <c r="O132" s="29" t="s">
        <v>3162</v>
      </c>
      <c r="P132" s="29" t="s">
        <v>3655</v>
      </c>
      <c r="Q132" s="29" t="s">
        <v>3656</v>
      </c>
      <c r="R132" s="32">
        <v>44524</v>
      </c>
      <c r="S132" s="32">
        <v>46361</v>
      </c>
      <c r="T132" s="33">
        <v>1508000</v>
      </c>
      <c r="U132" s="29">
        <v>20</v>
      </c>
      <c r="V132" s="34">
        <f t="shared" si="6"/>
        <v>301600</v>
      </c>
      <c r="W132" s="34">
        <f t="shared" si="7"/>
        <v>1206400</v>
      </c>
      <c r="X132" s="35">
        <v>1.75</v>
      </c>
      <c r="Y132" s="34">
        <f t="shared" si="8"/>
        <v>21112.000000000004</v>
      </c>
      <c r="Z132" s="29"/>
      <c r="AA132" s="29" t="s">
        <v>4014</v>
      </c>
      <c r="AB132" s="29">
        <v>1141071867</v>
      </c>
      <c r="AC132" s="49">
        <v>45644</v>
      </c>
      <c r="AD132" s="48" t="s">
        <v>3160</v>
      </c>
      <c r="AE132" s="48">
        <v>4</v>
      </c>
      <c r="AG132" t="s">
        <v>1713</v>
      </c>
      <c r="AH132" s="54">
        <v>21112</v>
      </c>
      <c r="AI132" s="54">
        <v>0</v>
      </c>
      <c r="AJ132" s="54">
        <v>1206400</v>
      </c>
      <c r="AK132" s="54">
        <v>0</v>
      </c>
      <c r="AL132" t="s">
        <v>26</v>
      </c>
      <c r="AM132" t="s">
        <v>4249</v>
      </c>
    </row>
    <row r="133" spans="1:39" ht="11.25" customHeight="1" x14ac:dyDescent="0.2">
      <c r="A133" s="29" t="s">
        <v>2974</v>
      </c>
      <c r="B133" s="29" t="s">
        <v>3377</v>
      </c>
      <c r="C133" s="40">
        <v>45597</v>
      </c>
      <c r="D133" s="39" t="s">
        <v>3720</v>
      </c>
      <c r="E133" s="29" t="s">
        <v>1208</v>
      </c>
      <c r="F133" s="32">
        <v>45606</v>
      </c>
      <c r="G133" s="32">
        <v>45970</v>
      </c>
      <c r="H133" s="30" t="s">
        <v>3842</v>
      </c>
      <c r="I133" s="31">
        <v>4220133711585</v>
      </c>
      <c r="J133" s="47" t="s">
        <v>4219</v>
      </c>
      <c r="K133" s="29" t="s">
        <v>1211</v>
      </c>
      <c r="L133" s="29" t="s">
        <v>1212</v>
      </c>
      <c r="M133" s="29" t="s">
        <v>1213</v>
      </c>
      <c r="N133" s="29" t="s">
        <v>3377</v>
      </c>
      <c r="O133" s="29" t="s">
        <v>3162</v>
      </c>
      <c r="P133" s="29" t="s">
        <v>3211</v>
      </c>
      <c r="Q133" s="29" t="s">
        <v>3584</v>
      </c>
      <c r="R133" s="32">
        <v>44881</v>
      </c>
      <c r="S133" s="32">
        <v>46361</v>
      </c>
      <c r="T133" s="33">
        <v>5000000</v>
      </c>
      <c r="U133" s="29">
        <v>15</v>
      </c>
      <c r="V133" s="34">
        <f t="shared" si="6"/>
        <v>750000</v>
      </c>
      <c r="W133" s="34">
        <f t="shared" si="7"/>
        <v>4250000</v>
      </c>
      <c r="X133" s="35">
        <v>1.5</v>
      </c>
      <c r="Y133" s="34">
        <f t="shared" si="8"/>
        <v>63750</v>
      </c>
      <c r="Z133" s="29"/>
      <c r="AA133" s="29" t="s">
        <v>4014</v>
      </c>
      <c r="AB133" s="29">
        <v>1141071867</v>
      </c>
      <c r="AC133" s="49">
        <v>45644</v>
      </c>
      <c r="AD133" s="48" t="s">
        <v>3160</v>
      </c>
      <c r="AE133" s="48">
        <v>4</v>
      </c>
      <c r="AG133" t="s">
        <v>1208</v>
      </c>
      <c r="AH133" s="54">
        <v>63750</v>
      </c>
      <c r="AI133" s="54">
        <v>0</v>
      </c>
      <c r="AJ133" s="54">
        <v>4250000</v>
      </c>
      <c r="AK133" s="54">
        <v>0</v>
      </c>
      <c r="AL133" t="s">
        <v>26</v>
      </c>
      <c r="AM133" t="s">
        <v>4249</v>
      </c>
    </row>
    <row r="134" spans="1:39" ht="11.25" customHeight="1" x14ac:dyDescent="0.2">
      <c r="A134" s="29" t="s">
        <v>2974</v>
      </c>
      <c r="B134" s="29" t="s">
        <v>3380</v>
      </c>
      <c r="C134" s="40">
        <v>45597</v>
      </c>
      <c r="D134" s="39" t="s">
        <v>3720</v>
      </c>
      <c r="E134" s="29" t="s">
        <v>1232</v>
      </c>
      <c r="F134" s="32">
        <v>45606</v>
      </c>
      <c r="G134" s="32">
        <v>45970</v>
      </c>
      <c r="H134" s="30" t="s">
        <v>3843</v>
      </c>
      <c r="I134" s="31">
        <v>3540212027267</v>
      </c>
      <c r="J134" s="47" t="s">
        <v>4195</v>
      </c>
      <c r="K134" s="29" t="s">
        <v>1234</v>
      </c>
      <c r="L134" s="29" t="s">
        <v>1235</v>
      </c>
      <c r="M134" s="29" t="s">
        <v>1236</v>
      </c>
      <c r="N134" s="29" t="s">
        <v>3380</v>
      </c>
      <c r="O134" s="29" t="s">
        <v>4013</v>
      </c>
      <c r="P134" s="29" t="s">
        <v>3154</v>
      </c>
      <c r="Q134" s="29" t="s">
        <v>3587</v>
      </c>
      <c r="R134" s="32">
        <v>44880</v>
      </c>
      <c r="S134" s="32">
        <v>45966</v>
      </c>
      <c r="T134" s="33">
        <v>3500000</v>
      </c>
      <c r="U134" s="29">
        <v>15</v>
      </c>
      <c r="V134" s="34">
        <f t="shared" si="6"/>
        <v>525000</v>
      </c>
      <c r="W134" s="34">
        <f t="shared" si="7"/>
        <v>2975000</v>
      </c>
      <c r="X134" s="35">
        <v>1.5</v>
      </c>
      <c r="Y134" s="34">
        <f t="shared" si="8"/>
        <v>44625</v>
      </c>
      <c r="Z134" s="29"/>
      <c r="AA134" s="29" t="s">
        <v>4014</v>
      </c>
      <c r="AB134" s="29">
        <v>1141071867</v>
      </c>
      <c r="AC134" s="49">
        <v>45644</v>
      </c>
      <c r="AD134" s="48" t="s">
        <v>3160</v>
      </c>
      <c r="AE134" s="48">
        <v>4</v>
      </c>
      <c r="AG134" t="s">
        <v>1232</v>
      </c>
      <c r="AH134" s="54">
        <v>44625</v>
      </c>
      <c r="AI134" s="54">
        <v>0</v>
      </c>
      <c r="AJ134" s="54">
        <v>2975000</v>
      </c>
      <c r="AK134" s="54">
        <v>0</v>
      </c>
      <c r="AL134" t="s">
        <v>26</v>
      </c>
      <c r="AM134" t="s">
        <v>4249</v>
      </c>
    </row>
    <row r="135" spans="1:39" ht="11.25" customHeight="1" x14ac:dyDescent="0.2">
      <c r="A135" s="29" t="s">
        <v>2974</v>
      </c>
      <c r="B135" s="29" t="s">
        <v>3444</v>
      </c>
      <c r="C135" s="40">
        <v>45597</v>
      </c>
      <c r="D135" s="39" t="s">
        <v>3720</v>
      </c>
      <c r="E135" s="29" t="s">
        <v>1753</v>
      </c>
      <c r="F135" s="32">
        <v>45606</v>
      </c>
      <c r="G135" s="32">
        <v>45970</v>
      </c>
      <c r="H135" s="30" t="s">
        <v>3844</v>
      </c>
      <c r="I135" s="31">
        <v>3520291105319</v>
      </c>
      <c r="J135" s="47" t="s">
        <v>4220</v>
      </c>
      <c r="K135" s="29" t="s">
        <v>1755</v>
      </c>
      <c r="L135" s="29" t="s">
        <v>1756</v>
      </c>
      <c r="M135" s="29" t="s">
        <v>1757</v>
      </c>
      <c r="N135" s="29" t="s">
        <v>3444</v>
      </c>
      <c r="O135" s="29" t="s">
        <v>4013</v>
      </c>
      <c r="P135" s="29" t="s">
        <v>3154</v>
      </c>
      <c r="Q135" s="29" t="s">
        <v>3661</v>
      </c>
      <c r="R135" s="32">
        <v>44515</v>
      </c>
      <c r="S135" s="32">
        <v>46331</v>
      </c>
      <c r="T135" s="33">
        <v>3923000</v>
      </c>
      <c r="U135" s="29">
        <v>20</v>
      </c>
      <c r="V135" s="34">
        <f t="shared" si="6"/>
        <v>784600</v>
      </c>
      <c r="W135" s="34">
        <f t="shared" si="7"/>
        <v>3138400</v>
      </c>
      <c r="X135" s="35">
        <v>1.5</v>
      </c>
      <c r="Y135" s="34">
        <f t="shared" si="8"/>
        <v>47076</v>
      </c>
      <c r="Z135" s="29"/>
      <c r="AA135" s="29" t="s">
        <v>4014</v>
      </c>
      <c r="AB135" s="29">
        <v>1141071867</v>
      </c>
      <c r="AC135" s="49">
        <v>45644</v>
      </c>
      <c r="AD135" s="48" t="s">
        <v>3160</v>
      </c>
      <c r="AE135" s="48">
        <v>4</v>
      </c>
      <c r="AG135" t="s">
        <v>1753</v>
      </c>
      <c r="AH135" s="54">
        <v>47076</v>
      </c>
      <c r="AI135" s="54">
        <v>0</v>
      </c>
      <c r="AJ135" s="54">
        <v>3138400</v>
      </c>
      <c r="AK135" s="54">
        <v>0</v>
      </c>
      <c r="AL135" t="s">
        <v>26</v>
      </c>
      <c r="AM135" t="s">
        <v>4249</v>
      </c>
    </row>
    <row r="136" spans="1:39" ht="11.25" customHeight="1" x14ac:dyDescent="0.2">
      <c r="A136" s="29" t="s">
        <v>2974</v>
      </c>
      <c r="B136" s="29" t="s">
        <v>3445</v>
      </c>
      <c r="C136" s="40">
        <v>45597</v>
      </c>
      <c r="D136" s="39" t="s">
        <v>3720</v>
      </c>
      <c r="E136" s="29" t="s">
        <v>1761</v>
      </c>
      <c r="F136" s="32">
        <v>45606</v>
      </c>
      <c r="G136" s="32">
        <v>45970</v>
      </c>
      <c r="H136" s="30" t="s">
        <v>3845</v>
      </c>
      <c r="I136" s="31">
        <v>3520229141765</v>
      </c>
      <c r="J136" s="47" t="s">
        <v>4220</v>
      </c>
      <c r="K136" s="29" t="s">
        <v>1763</v>
      </c>
      <c r="L136" s="29" t="s">
        <v>1764</v>
      </c>
      <c r="M136" s="29" t="s">
        <v>1765</v>
      </c>
      <c r="N136" s="29" t="s">
        <v>3445</v>
      </c>
      <c r="O136" s="29" t="s">
        <v>4013</v>
      </c>
      <c r="P136" s="29" t="s">
        <v>3609</v>
      </c>
      <c r="Q136" s="29" t="s">
        <v>3662</v>
      </c>
      <c r="R136" s="32">
        <v>44519</v>
      </c>
      <c r="S136" s="32">
        <v>46361</v>
      </c>
      <c r="T136" s="33">
        <v>3903000</v>
      </c>
      <c r="U136" s="29">
        <v>20</v>
      </c>
      <c r="V136" s="34">
        <f t="shared" si="6"/>
        <v>780600</v>
      </c>
      <c r="W136" s="34">
        <f t="shared" si="7"/>
        <v>3122400</v>
      </c>
      <c r="X136" s="35">
        <v>1.5</v>
      </c>
      <c r="Y136" s="34">
        <f t="shared" si="8"/>
        <v>46836</v>
      </c>
      <c r="Z136" s="29"/>
      <c r="AA136" s="29" t="s">
        <v>4014</v>
      </c>
      <c r="AB136" s="29">
        <v>1141071867</v>
      </c>
      <c r="AC136" s="49">
        <v>45644</v>
      </c>
      <c r="AD136" s="48" t="s">
        <v>3160</v>
      </c>
      <c r="AE136" s="48">
        <v>0</v>
      </c>
      <c r="AG136" t="s">
        <v>1761</v>
      </c>
      <c r="AH136" s="54">
        <v>46836</v>
      </c>
      <c r="AI136" s="54">
        <v>0</v>
      </c>
      <c r="AJ136" s="54">
        <v>3122400</v>
      </c>
      <c r="AK136" s="54">
        <v>0</v>
      </c>
      <c r="AL136" t="s">
        <v>26</v>
      </c>
      <c r="AM136" t="s">
        <v>4249</v>
      </c>
    </row>
    <row r="137" spans="1:39" ht="11.25" customHeight="1" x14ac:dyDescent="0.2">
      <c r="A137" s="29" t="s">
        <v>2974</v>
      </c>
      <c r="B137" s="29" t="s">
        <v>3342</v>
      </c>
      <c r="C137" s="40">
        <v>45597</v>
      </c>
      <c r="D137" s="39" t="s">
        <v>3720</v>
      </c>
      <c r="E137" s="29" t="s">
        <v>932</v>
      </c>
      <c r="F137" s="32">
        <v>45607</v>
      </c>
      <c r="G137" s="32">
        <v>45971</v>
      </c>
      <c r="H137" s="30" t="s">
        <v>3846</v>
      </c>
      <c r="I137" s="31">
        <v>3630344880459</v>
      </c>
      <c r="J137" s="47" t="s">
        <v>4212</v>
      </c>
      <c r="K137" s="29" t="s">
        <v>935</v>
      </c>
      <c r="L137" s="29" t="s">
        <v>936</v>
      </c>
      <c r="M137" s="29" t="s">
        <v>937</v>
      </c>
      <c r="N137" s="29" t="s">
        <v>3342</v>
      </c>
      <c r="O137" s="29" t="s">
        <v>3162</v>
      </c>
      <c r="P137" s="29" t="s">
        <v>3211</v>
      </c>
      <c r="Q137" s="29" t="s">
        <v>3548</v>
      </c>
      <c r="R137" s="32">
        <v>44517</v>
      </c>
      <c r="S137" s="32">
        <v>46361</v>
      </c>
      <c r="T137" s="33">
        <v>1020000</v>
      </c>
      <c r="U137" s="29">
        <v>20</v>
      </c>
      <c r="V137" s="34">
        <f t="shared" si="6"/>
        <v>204000</v>
      </c>
      <c r="W137" s="34">
        <f t="shared" si="7"/>
        <v>816000</v>
      </c>
      <c r="X137" s="35">
        <v>1.75</v>
      </c>
      <c r="Y137" s="34">
        <f t="shared" si="8"/>
        <v>14280.000000000002</v>
      </c>
      <c r="Z137" s="29"/>
      <c r="AA137" s="29" t="s">
        <v>4014</v>
      </c>
      <c r="AB137" s="29">
        <v>1141071867</v>
      </c>
      <c r="AC137" s="49">
        <v>45644</v>
      </c>
      <c r="AD137" s="48" t="s">
        <v>3160</v>
      </c>
      <c r="AE137" s="48">
        <v>0</v>
      </c>
      <c r="AG137" t="s">
        <v>932</v>
      </c>
      <c r="AH137" s="54">
        <v>14280</v>
      </c>
      <c r="AI137" s="54">
        <v>0</v>
      </c>
      <c r="AJ137" s="54">
        <v>816000</v>
      </c>
      <c r="AK137" s="54">
        <v>0</v>
      </c>
      <c r="AL137" t="s">
        <v>26</v>
      </c>
      <c r="AM137" t="s">
        <v>4249</v>
      </c>
    </row>
    <row r="138" spans="1:39" ht="11.25" customHeight="1" x14ac:dyDescent="0.2">
      <c r="A138" s="29" t="s">
        <v>2974</v>
      </c>
      <c r="B138" s="37" t="s">
        <v>3285</v>
      </c>
      <c r="C138" s="40">
        <v>45597</v>
      </c>
      <c r="D138" s="39" t="s">
        <v>3720</v>
      </c>
      <c r="E138" s="29" t="s">
        <v>1248</v>
      </c>
      <c r="F138" s="32">
        <v>45607</v>
      </c>
      <c r="G138" s="32">
        <v>45971</v>
      </c>
      <c r="H138" s="30" t="s">
        <v>3848</v>
      </c>
      <c r="I138" s="31">
        <v>4210197377087</v>
      </c>
      <c r="J138" s="47" t="s">
        <v>4215</v>
      </c>
      <c r="K138" s="29" t="s">
        <v>1250</v>
      </c>
      <c r="L138" s="29" t="s">
        <v>1251</v>
      </c>
      <c r="M138" s="29" t="s">
        <v>1252</v>
      </c>
      <c r="N138" s="37" t="s">
        <v>3285</v>
      </c>
      <c r="O138" s="29" t="s">
        <v>3162</v>
      </c>
      <c r="P138" s="29" t="s">
        <v>3211</v>
      </c>
      <c r="Q138" s="29" t="s">
        <v>3589</v>
      </c>
      <c r="R138" s="32">
        <v>44886</v>
      </c>
      <c r="S138" s="32">
        <v>46727</v>
      </c>
      <c r="T138" s="33">
        <v>2899000</v>
      </c>
      <c r="U138" s="29">
        <v>15</v>
      </c>
      <c r="V138" s="34">
        <f t="shared" si="6"/>
        <v>434850</v>
      </c>
      <c r="W138" s="34">
        <f t="shared" si="7"/>
        <v>2464150</v>
      </c>
      <c r="X138" s="35">
        <v>2.5</v>
      </c>
      <c r="Y138" s="34">
        <f t="shared" si="8"/>
        <v>61603.75</v>
      </c>
      <c r="Z138" s="29"/>
      <c r="AA138" s="29" t="s">
        <v>4014</v>
      </c>
      <c r="AB138" s="29">
        <v>1141071867</v>
      </c>
      <c r="AC138" s="49">
        <v>45644</v>
      </c>
      <c r="AD138" s="48" t="s">
        <v>3160</v>
      </c>
      <c r="AE138" s="48">
        <v>4</v>
      </c>
      <c r="AG138" t="s">
        <v>1248</v>
      </c>
      <c r="AH138" s="54">
        <v>61604</v>
      </c>
      <c r="AI138" s="54">
        <v>0.25</v>
      </c>
      <c r="AJ138" s="54">
        <v>2464150</v>
      </c>
      <c r="AK138" s="54">
        <v>0</v>
      </c>
      <c r="AL138" t="s">
        <v>26</v>
      </c>
      <c r="AM138" t="s">
        <v>4249</v>
      </c>
    </row>
    <row r="139" spans="1:39" ht="11.25" customHeight="1" x14ac:dyDescent="0.2">
      <c r="A139" s="29" t="s">
        <v>2974</v>
      </c>
      <c r="B139" s="29" t="s">
        <v>3382</v>
      </c>
      <c r="C139" s="40">
        <v>45597</v>
      </c>
      <c r="D139" s="39" t="s">
        <v>3720</v>
      </c>
      <c r="E139" s="29" t="s">
        <v>1256</v>
      </c>
      <c r="F139" s="32">
        <v>45607</v>
      </c>
      <c r="G139" s="32">
        <v>45971</v>
      </c>
      <c r="H139" s="30" t="s">
        <v>3849</v>
      </c>
      <c r="I139" s="31">
        <v>3520236546705</v>
      </c>
      <c r="J139" s="47" t="s">
        <v>4203</v>
      </c>
      <c r="K139" s="29" t="s">
        <v>1258</v>
      </c>
      <c r="L139" s="29" t="s">
        <v>1259</v>
      </c>
      <c r="M139" s="29" t="s">
        <v>1260</v>
      </c>
      <c r="N139" s="29" t="s">
        <v>3382</v>
      </c>
      <c r="O139" s="29" t="s">
        <v>4013</v>
      </c>
      <c r="P139" s="29" t="s">
        <v>3154</v>
      </c>
      <c r="Q139" s="29" t="s">
        <v>3590</v>
      </c>
      <c r="R139" s="32">
        <v>44894</v>
      </c>
      <c r="S139" s="32">
        <v>46727</v>
      </c>
      <c r="T139" s="33">
        <v>1546000</v>
      </c>
      <c r="U139" s="29">
        <v>15</v>
      </c>
      <c r="V139" s="34">
        <f t="shared" si="6"/>
        <v>231900</v>
      </c>
      <c r="W139" s="34">
        <f t="shared" si="7"/>
        <v>1314100</v>
      </c>
      <c r="X139" s="35">
        <v>1.75</v>
      </c>
      <c r="Y139" s="34">
        <f t="shared" si="8"/>
        <v>22996.750000000004</v>
      </c>
      <c r="Z139" s="29"/>
      <c r="AA139" s="29" t="s">
        <v>4014</v>
      </c>
      <c r="AB139" s="29">
        <v>1141071867</v>
      </c>
      <c r="AC139" s="49">
        <v>45644</v>
      </c>
      <c r="AD139" s="48" t="s">
        <v>3160</v>
      </c>
      <c r="AE139" s="48">
        <v>4</v>
      </c>
      <c r="AG139" t="s">
        <v>1256</v>
      </c>
      <c r="AH139" s="54">
        <v>22997</v>
      </c>
      <c r="AI139" s="54">
        <v>0.24999999999636202</v>
      </c>
      <c r="AJ139" s="54">
        <v>1314100</v>
      </c>
      <c r="AK139" s="54">
        <v>0</v>
      </c>
      <c r="AL139" t="s">
        <v>26</v>
      </c>
      <c r="AM139" t="s">
        <v>4249</v>
      </c>
    </row>
    <row r="140" spans="1:39" ht="11.25" customHeight="1" x14ac:dyDescent="0.2">
      <c r="A140" s="29" t="s">
        <v>2974</v>
      </c>
      <c r="B140" s="29" t="s">
        <v>3385</v>
      </c>
      <c r="C140" s="40">
        <v>45597</v>
      </c>
      <c r="D140" s="39" t="s">
        <v>3720</v>
      </c>
      <c r="E140" s="29" t="s">
        <v>1278</v>
      </c>
      <c r="F140" s="32">
        <v>45607</v>
      </c>
      <c r="G140" s="32">
        <v>45971</v>
      </c>
      <c r="H140" s="30" t="s">
        <v>3850</v>
      </c>
      <c r="I140" s="31">
        <v>3110168434001</v>
      </c>
      <c r="J140" s="47" t="s">
        <v>4195</v>
      </c>
      <c r="K140" s="29" t="s">
        <v>1280</v>
      </c>
      <c r="L140" s="29" t="s">
        <v>1281</v>
      </c>
      <c r="M140" s="29" t="s">
        <v>1282</v>
      </c>
      <c r="N140" s="29" t="s">
        <v>3385</v>
      </c>
      <c r="O140" s="29" t="s">
        <v>4013</v>
      </c>
      <c r="P140" s="29" t="s">
        <v>3154</v>
      </c>
      <c r="Q140" s="29" t="s">
        <v>3593</v>
      </c>
      <c r="R140" s="32">
        <v>44517</v>
      </c>
      <c r="S140" s="32">
        <v>46361</v>
      </c>
      <c r="T140" s="33">
        <v>2703000</v>
      </c>
      <c r="U140" s="29">
        <v>20</v>
      </c>
      <c r="V140" s="34">
        <f t="shared" si="6"/>
        <v>540600</v>
      </c>
      <c r="W140" s="34">
        <f t="shared" si="7"/>
        <v>2162400</v>
      </c>
      <c r="X140" s="35">
        <v>1.75</v>
      </c>
      <c r="Y140" s="34">
        <f t="shared" si="8"/>
        <v>37842</v>
      </c>
      <c r="Z140" s="29"/>
      <c r="AA140" s="29" t="s">
        <v>4014</v>
      </c>
      <c r="AB140" s="29">
        <v>1141071867</v>
      </c>
      <c r="AC140" s="49">
        <v>45644</v>
      </c>
      <c r="AD140" s="48" t="s">
        <v>3160</v>
      </c>
      <c r="AE140" s="48">
        <v>4</v>
      </c>
      <c r="AG140" t="s">
        <v>1278</v>
      </c>
      <c r="AH140" s="54">
        <v>37842</v>
      </c>
      <c r="AI140" s="54">
        <v>0</v>
      </c>
      <c r="AJ140" s="54">
        <v>2162400</v>
      </c>
      <c r="AK140" s="54">
        <v>0</v>
      </c>
      <c r="AL140" t="s">
        <v>26</v>
      </c>
      <c r="AM140" t="s">
        <v>4249</v>
      </c>
    </row>
    <row r="141" spans="1:39" ht="11.25" customHeight="1" x14ac:dyDescent="0.2">
      <c r="A141" s="29" t="s">
        <v>2974</v>
      </c>
      <c r="B141" s="29" t="s">
        <v>3388</v>
      </c>
      <c r="C141" s="40">
        <v>45597</v>
      </c>
      <c r="D141" s="39" t="s">
        <v>3720</v>
      </c>
      <c r="E141" s="29" t="s">
        <v>1304</v>
      </c>
      <c r="F141" s="32">
        <v>45607</v>
      </c>
      <c r="G141" s="32">
        <v>45971</v>
      </c>
      <c r="H141" s="30" t="s">
        <v>3851</v>
      </c>
      <c r="I141" s="31">
        <v>6110103340963</v>
      </c>
      <c r="J141" s="47" t="s">
        <v>4208</v>
      </c>
      <c r="K141" s="29" t="s">
        <v>1306</v>
      </c>
      <c r="L141" s="29" t="s">
        <v>1307</v>
      </c>
      <c r="M141" s="29" t="s">
        <v>1308</v>
      </c>
      <c r="N141" s="29" t="s">
        <v>3388</v>
      </c>
      <c r="O141" s="29" t="s">
        <v>3167</v>
      </c>
      <c r="P141" s="29" t="s">
        <v>3168</v>
      </c>
      <c r="Q141" s="29" t="s">
        <v>3598</v>
      </c>
      <c r="R141" s="32">
        <v>44522</v>
      </c>
      <c r="S141" s="32">
        <v>46361</v>
      </c>
      <c r="T141" s="33">
        <v>1000000</v>
      </c>
      <c r="U141" s="29">
        <v>20</v>
      </c>
      <c r="V141" s="34">
        <f t="shared" si="6"/>
        <v>200000</v>
      </c>
      <c r="W141" s="34">
        <f t="shared" si="7"/>
        <v>800000</v>
      </c>
      <c r="X141" s="35">
        <v>1.75</v>
      </c>
      <c r="Y141" s="34">
        <f t="shared" si="8"/>
        <v>14000.000000000002</v>
      </c>
      <c r="Z141" s="29"/>
      <c r="AA141" s="29" t="s">
        <v>4014</v>
      </c>
      <c r="AB141" s="29">
        <v>1141071867</v>
      </c>
      <c r="AC141" s="49">
        <v>45644</v>
      </c>
      <c r="AD141" s="48" t="s">
        <v>3160</v>
      </c>
      <c r="AE141" s="48">
        <v>4</v>
      </c>
      <c r="AG141" t="s">
        <v>1304</v>
      </c>
      <c r="AH141" s="54">
        <v>14000</v>
      </c>
      <c r="AI141" s="54">
        <v>0</v>
      </c>
      <c r="AJ141" s="54">
        <v>800000</v>
      </c>
      <c r="AK141" s="54">
        <v>0</v>
      </c>
      <c r="AL141" t="s">
        <v>26</v>
      </c>
      <c r="AM141" t="s">
        <v>4249</v>
      </c>
    </row>
    <row r="142" spans="1:39" ht="11.25" customHeight="1" x14ac:dyDescent="0.2">
      <c r="A142" s="29" t="s">
        <v>2974</v>
      </c>
      <c r="B142" s="29" t="s">
        <v>3446</v>
      </c>
      <c r="C142" s="40">
        <v>45597</v>
      </c>
      <c r="D142" s="39" t="s">
        <v>3720</v>
      </c>
      <c r="E142" s="29" t="s">
        <v>1769</v>
      </c>
      <c r="F142" s="32">
        <v>45607</v>
      </c>
      <c r="G142" s="32">
        <v>45971</v>
      </c>
      <c r="H142" s="30" t="s">
        <v>3852</v>
      </c>
      <c r="I142" s="31">
        <v>3840399798421</v>
      </c>
      <c r="J142" s="47" t="s">
        <v>4185</v>
      </c>
      <c r="K142" s="29" t="s">
        <v>1772</v>
      </c>
      <c r="L142" s="29" t="s">
        <v>1773</v>
      </c>
      <c r="M142" s="29" t="s">
        <v>1774</v>
      </c>
      <c r="N142" s="29" t="s">
        <v>3446</v>
      </c>
      <c r="O142" s="29" t="s">
        <v>4013</v>
      </c>
      <c r="P142" s="29" t="s">
        <v>3172</v>
      </c>
      <c r="Q142" s="29" t="s">
        <v>3663</v>
      </c>
      <c r="R142" s="32">
        <v>44515</v>
      </c>
      <c r="S142" s="32">
        <v>46331</v>
      </c>
      <c r="T142" s="33">
        <v>2300000</v>
      </c>
      <c r="U142" s="29">
        <v>20</v>
      </c>
      <c r="V142" s="34">
        <f t="shared" si="6"/>
        <v>460000</v>
      </c>
      <c r="W142" s="34">
        <f t="shared" si="7"/>
        <v>1840000</v>
      </c>
      <c r="X142" s="35">
        <v>1.75</v>
      </c>
      <c r="Y142" s="34">
        <f t="shared" si="8"/>
        <v>32200.000000000004</v>
      </c>
      <c r="Z142" s="29"/>
      <c r="AA142" s="29" t="s">
        <v>4014</v>
      </c>
      <c r="AB142" s="29">
        <v>1141071867</v>
      </c>
      <c r="AC142" s="49">
        <v>45644</v>
      </c>
      <c r="AD142" s="48" t="s">
        <v>3160</v>
      </c>
      <c r="AE142" s="48">
        <v>4</v>
      </c>
      <c r="AG142" t="s">
        <v>1769</v>
      </c>
      <c r="AH142" s="54">
        <v>32200</v>
      </c>
      <c r="AI142" s="54">
        <v>0</v>
      </c>
      <c r="AJ142" s="54">
        <v>1840000</v>
      </c>
      <c r="AK142" s="54">
        <v>0</v>
      </c>
      <c r="AL142" t="s">
        <v>26</v>
      </c>
      <c r="AM142" t="s">
        <v>4249</v>
      </c>
    </row>
    <row r="143" spans="1:39" ht="11.25" customHeight="1" x14ac:dyDescent="0.2">
      <c r="A143" s="29" t="s">
        <v>2974</v>
      </c>
      <c r="B143" s="29" t="s">
        <v>3386</v>
      </c>
      <c r="C143" s="40">
        <v>45597</v>
      </c>
      <c r="D143" s="39" t="s">
        <v>3720</v>
      </c>
      <c r="E143" s="29" t="s">
        <v>1286</v>
      </c>
      <c r="F143" s="32">
        <v>45608</v>
      </c>
      <c r="G143" s="32">
        <v>45972</v>
      </c>
      <c r="H143" s="30" t="s">
        <v>3853</v>
      </c>
      <c r="I143" s="31">
        <v>3410279131601</v>
      </c>
      <c r="J143" s="47" t="s">
        <v>4185</v>
      </c>
      <c r="K143" s="29" t="s">
        <v>1289</v>
      </c>
      <c r="L143" s="29" t="s">
        <v>1290</v>
      </c>
      <c r="M143" s="29" t="s">
        <v>1291</v>
      </c>
      <c r="N143" s="29" t="s">
        <v>3386</v>
      </c>
      <c r="O143" s="29" t="s">
        <v>4013</v>
      </c>
      <c r="P143" s="29" t="s">
        <v>3594</v>
      </c>
      <c r="Q143" s="29" t="s">
        <v>3595</v>
      </c>
      <c r="R143" s="32">
        <v>44517</v>
      </c>
      <c r="S143" s="32">
        <v>46361</v>
      </c>
      <c r="T143" s="33">
        <v>2600000</v>
      </c>
      <c r="U143" s="29">
        <v>20</v>
      </c>
      <c r="V143" s="34">
        <f t="shared" si="6"/>
        <v>520000</v>
      </c>
      <c r="W143" s="34">
        <f t="shared" si="7"/>
        <v>2080000</v>
      </c>
      <c r="X143" s="35">
        <v>1.75</v>
      </c>
      <c r="Y143" s="34">
        <f t="shared" si="8"/>
        <v>36400</v>
      </c>
      <c r="Z143" s="29"/>
      <c r="AA143" s="29" t="s">
        <v>4014</v>
      </c>
      <c r="AB143" s="29">
        <v>1141071867</v>
      </c>
      <c r="AC143" s="49">
        <v>45644</v>
      </c>
      <c r="AD143" s="48" t="s">
        <v>3160</v>
      </c>
      <c r="AE143" s="48">
        <v>4</v>
      </c>
      <c r="AG143" t="s">
        <v>1286</v>
      </c>
      <c r="AH143" s="54">
        <v>36400</v>
      </c>
      <c r="AI143" s="54">
        <v>0</v>
      </c>
      <c r="AJ143" s="54">
        <v>2080000</v>
      </c>
      <c r="AK143" s="54">
        <v>0</v>
      </c>
      <c r="AL143" t="s">
        <v>26</v>
      </c>
      <c r="AM143" t="s">
        <v>4249</v>
      </c>
    </row>
    <row r="144" spans="1:39" ht="11.25" customHeight="1" x14ac:dyDescent="0.2">
      <c r="A144" s="29" t="s">
        <v>2974</v>
      </c>
      <c r="B144" s="29" t="s">
        <v>3389</v>
      </c>
      <c r="C144" s="40">
        <v>45597</v>
      </c>
      <c r="D144" s="39" t="s">
        <v>3720</v>
      </c>
      <c r="E144" s="29" t="s">
        <v>1311</v>
      </c>
      <c r="F144" s="32">
        <v>45608</v>
      </c>
      <c r="G144" s="32">
        <v>45972</v>
      </c>
      <c r="H144" s="30" t="s">
        <v>3854</v>
      </c>
      <c r="I144" s="31">
        <v>3520282667891</v>
      </c>
      <c r="J144" s="47" t="s">
        <v>4213</v>
      </c>
      <c r="K144" s="29" t="s">
        <v>1313</v>
      </c>
      <c r="L144" s="29" t="s">
        <v>1314</v>
      </c>
      <c r="M144" s="29" t="s">
        <v>1315</v>
      </c>
      <c r="N144" s="29" t="s">
        <v>3389</v>
      </c>
      <c r="O144" s="29" t="s">
        <v>4013</v>
      </c>
      <c r="P144" s="29" t="s">
        <v>3154</v>
      </c>
      <c r="Q144" s="29" t="s">
        <v>3599</v>
      </c>
      <c r="R144" s="32">
        <v>44517</v>
      </c>
      <c r="S144" s="32">
        <v>46361</v>
      </c>
      <c r="T144" s="33">
        <v>1625000</v>
      </c>
      <c r="U144" s="29">
        <v>20</v>
      </c>
      <c r="V144" s="34">
        <f t="shared" si="6"/>
        <v>325000</v>
      </c>
      <c r="W144" s="34">
        <f t="shared" si="7"/>
        <v>1300000</v>
      </c>
      <c r="X144" s="35">
        <v>1.75</v>
      </c>
      <c r="Y144" s="34">
        <f t="shared" si="8"/>
        <v>22750.000000000004</v>
      </c>
      <c r="Z144" s="29"/>
      <c r="AA144" s="29" t="s">
        <v>4014</v>
      </c>
      <c r="AB144" s="29">
        <v>1141071867</v>
      </c>
      <c r="AC144" s="49">
        <v>45644</v>
      </c>
      <c r="AD144" s="48" t="s">
        <v>3160</v>
      </c>
      <c r="AE144" s="48">
        <v>4</v>
      </c>
      <c r="AG144" t="s">
        <v>1311</v>
      </c>
      <c r="AH144" s="54">
        <v>22750</v>
      </c>
      <c r="AI144" s="54">
        <v>0</v>
      </c>
      <c r="AJ144" s="54">
        <v>1300000</v>
      </c>
      <c r="AK144" s="54">
        <v>0</v>
      </c>
      <c r="AL144" t="s">
        <v>26</v>
      </c>
      <c r="AM144" t="s">
        <v>4249</v>
      </c>
    </row>
    <row r="145" spans="1:39" ht="11.25" customHeight="1" x14ac:dyDescent="0.2">
      <c r="A145" s="29" t="s">
        <v>2974</v>
      </c>
      <c r="B145" s="29" t="s">
        <v>3390</v>
      </c>
      <c r="C145" s="40">
        <v>45597</v>
      </c>
      <c r="D145" s="39" t="s">
        <v>3720</v>
      </c>
      <c r="E145" s="29" t="s">
        <v>1318</v>
      </c>
      <c r="F145" s="32">
        <v>45608</v>
      </c>
      <c r="G145" s="32">
        <v>45972</v>
      </c>
      <c r="H145" s="30" t="s">
        <v>3855</v>
      </c>
      <c r="I145" s="31">
        <v>3520207390445</v>
      </c>
      <c r="J145" s="47" t="s">
        <v>4185</v>
      </c>
      <c r="K145" s="29"/>
      <c r="L145" s="29" t="s">
        <v>1320</v>
      </c>
      <c r="M145" s="29" t="s">
        <v>1321</v>
      </c>
      <c r="N145" s="29" t="s">
        <v>3390</v>
      </c>
      <c r="O145" s="29" t="s">
        <v>4013</v>
      </c>
      <c r="P145" s="29" t="s">
        <v>3154</v>
      </c>
      <c r="Q145" s="29" t="s">
        <v>3600</v>
      </c>
      <c r="R145" s="32">
        <v>44519</v>
      </c>
      <c r="S145" s="32">
        <v>46361</v>
      </c>
      <c r="T145" s="33">
        <v>3180000</v>
      </c>
      <c r="U145" s="29">
        <v>20</v>
      </c>
      <c r="V145" s="34">
        <f t="shared" si="6"/>
        <v>636000</v>
      </c>
      <c r="W145" s="34">
        <f t="shared" si="7"/>
        <v>2544000</v>
      </c>
      <c r="X145" s="35">
        <v>1.75</v>
      </c>
      <c r="Y145" s="34">
        <f t="shared" si="8"/>
        <v>44520.000000000007</v>
      </c>
      <c r="Z145" s="29"/>
      <c r="AA145" s="29" t="s">
        <v>4014</v>
      </c>
      <c r="AB145" s="29">
        <v>1141071867</v>
      </c>
      <c r="AC145" s="49">
        <v>45644</v>
      </c>
      <c r="AD145" s="48" t="s">
        <v>3160</v>
      </c>
      <c r="AE145" s="48">
        <v>0</v>
      </c>
      <c r="AG145" t="s">
        <v>1318</v>
      </c>
      <c r="AH145" s="54">
        <v>44520</v>
      </c>
      <c r="AI145" s="54">
        <v>0</v>
      </c>
      <c r="AJ145" s="54">
        <v>2544000</v>
      </c>
      <c r="AK145" s="54">
        <v>0</v>
      </c>
      <c r="AL145" t="s">
        <v>26</v>
      </c>
      <c r="AM145" t="s">
        <v>4249</v>
      </c>
    </row>
    <row r="146" spans="1:39" ht="11.25" customHeight="1" x14ac:dyDescent="0.2">
      <c r="A146" s="29" t="s">
        <v>2974</v>
      </c>
      <c r="B146" s="29" t="s">
        <v>3448</v>
      </c>
      <c r="C146" s="40">
        <v>45597</v>
      </c>
      <c r="D146" s="39" t="s">
        <v>3720</v>
      </c>
      <c r="E146" s="29" t="s">
        <v>1787</v>
      </c>
      <c r="F146" s="32">
        <v>45608</v>
      </c>
      <c r="G146" s="32">
        <v>45972</v>
      </c>
      <c r="H146" s="30" t="s">
        <v>3856</v>
      </c>
      <c r="I146" s="31">
        <v>4220105836869</v>
      </c>
      <c r="J146" s="47" t="s">
        <v>417</v>
      </c>
      <c r="K146" s="29" t="s">
        <v>1789</v>
      </c>
      <c r="L146" s="29" t="s">
        <v>1790</v>
      </c>
      <c r="M146" s="29" t="s">
        <v>1791</v>
      </c>
      <c r="N146" s="29" t="s">
        <v>3448</v>
      </c>
      <c r="O146" s="29" t="s">
        <v>3162</v>
      </c>
      <c r="P146" s="29" t="s">
        <v>3163</v>
      </c>
      <c r="Q146" s="29" t="s">
        <v>3665</v>
      </c>
      <c r="R146" s="32">
        <v>44151</v>
      </c>
      <c r="S146" s="32">
        <v>45996</v>
      </c>
      <c r="T146" s="33">
        <v>2400000</v>
      </c>
      <c r="U146" s="29">
        <v>25</v>
      </c>
      <c r="V146" s="34">
        <f t="shared" si="6"/>
        <v>600000</v>
      </c>
      <c r="W146" s="34">
        <f t="shared" si="7"/>
        <v>1800000</v>
      </c>
      <c r="X146" s="35">
        <v>2.5</v>
      </c>
      <c r="Y146" s="34">
        <f t="shared" si="8"/>
        <v>45000</v>
      </c>
      <c r="Z146" s="29"/>
      <c r="AA146" s="29" t="s">
        <v>4014</v>
      </c>
      <c r="AB146" s="29">
        <v>1141071867</v>
      </c>
      <c r="AC146" s="49">
        <v>45644</v>
      </c>
      <c r="AD146" s="48" t="s">
        <v>3160</v>
      </c>
      <c r="AE146" s="48">
        <v>4</v>
      </c>
      <c r="AG146" t="s">
        <v>1787</v>
      </c>
      <c r="AH146" s="54">
        <v>45000</v>
      </c>
      <c r="AI146" s="54">
        <v>0</v>
      </c>
      <c r="AJ146" s="54">
        <v>1800000</v>
      </c>
      <c r="AK146" s="54">
        <v>0</v>
      </c>
      <c r="AL146" t="s">
        <v>26</v>
      </c>
      <c r="AM146" t="s">
        <v>4249</v>
      </c>
    </row>
    <row r="147" spans="1:39" ht="11.25" customHeight="1" x14ac:dyDescent="0.2">
      <c r="A147" s="29" t="s">
        <v>2974</v>
      </c>
      <c r="B147" s="29" t="s">
        <v>3451</v>
      </c>
      <c r="C147" s="40">
        <v>45597</v>
      </c>
      <c r="D147" s="39" t="s">
        <v>3720</v>
      </c>
      <c r="E147" s="29" t="s">
        <v>1812</v>
      </c>
      <c r="F147" s="32">
        <v>45608</v>
      </c>
      <c r="G147" s="32">
        <v>45972</v>
      </c>
      <c r="H147" s="30" t="s">
        <v>3857</v>
      </c>
      <c r="I147" s="31">
        <v>3630242530565</v>
      </c>
      <c r="J147" s="47" t="s">
        <v>4185</v>
      </c>
      <c r="K147" s="29" t="s">
        <v>1814</v>
      </c>
      <c r="L147" s="29" t="s">
        <v>1815</v>
      </c>
      <c r="M147" s="29" t="s">
        <v>1816</v>
      </c>
      <c r="N147" s="29" t="s">
        <v>3451</v>
      </c>
      <c r="O147" s="29" t="s">
        <v>4013</v>
      </c>
      <c r="P147" s="29" t="s">
        <v>3216</v>
      </c>
      <c r="Q147" s="29" t="s">
        <v>3669</v>
      </c>
      <c r="R147" s="32">
        <v>44152</v>
      </c>
      <c r="S147" s="32">
        <v>45996</v>
      </c>
      <c r="T147" s="33">
        <v>2400000</v>
      </c>
      <c r="U147" s="29">
        <v>25</v>
      </c>
      <c r="V147" s="34">
        <f t="shared" si="6"/>
        <v>600000</v>
      </c>
      <c r="W147" s="34">
        <f t="shared" si="7"/>
        <v>1800000</v>
      </c>
      <c r="X147" s="35">
        <v>1.5</v>
      </c>
      <c r="Y147" s="34">
        <f t="shared" si="8"/>
        <v>27000</v>
      </c>
      <c r="Z147" s="29"/>
      <c r="AA147" s="29" t="s">
        <v>4014</v>
      </c>
      <c r="AB147" s="29">
        <v>1141071867</v>
      </c>
      <c r="AC147" s="49">
        <v>45644</v>
      </c>
      <c r="AD147" s="48" t="s">
        <v>3160</v>
      </c>
      <c r="AE147" s="48">
        <v>0</v>
      </c>
      <c r="AG147" t="s">
        <v>1812</v>
      </c>
      <c r="AH147" s="54">
        <v>27000</v>
      </c>
      <c r="AI147" s="54">
        <v>0</v>
      </c>
      <c r="AJ147" s="54">
        <v>1800000</v>
      </c>
      <c r="AK147" s="54">
        <v>0</v>
      </c>
      <c r="AL147" t="s">
        <v>26</v>
      </c>
      <c r="AM147" t="s">
        <v>4249</v>
      </c>
    </row>
    <row r="148" spans="1:39" ht="11.25" customHeight="1" x14ac:dyDescent="0.2">
      <c r="A148" s="29" t="s">
        <v>2974</v>
      </c>
      <c r="B148" s="29" t="s">
        <v>3488</v>
      </c>
      <c r="C148" s="40">
        <v>45597</v>
      </c>
      <c r="D148" s="39" t="s">
        <v>3720</v>
      </c>
      <c r="E148" s="29" t="s">
        <v>2138</v>
      </c>
      <c r="F148" s="32">
        <v>45608</v>
      </c>
      <c r="G148" s="32">
        <v>45972</v>
      </c>
      <c r="H148" s="30" t="s">
        <v>3858</v>
      </c>
      <c r="I148" s="31">
        <v>3130182065213</v>
      </c>
      <c r="J148" s="47" t="s">
        <v>4192</v>
      </c>
      <c r="K148" s="29" t="s">
        <v>2140</v>
      </c>
      <c r="L148" s="29" t="s">
        <v>2141</v>
      </c>
      <c r="M148" s="29" t="s">
        <v>2142</v>
      </c>
      <c r="N148" s="29" t="s">
        <v>3488</v>
      </c>
      <c r="O148" s="29" t="s">
        <v>4013</v>
      </c>
      <c r="P148" s="29" t="s">
        <v>3157</v>
      </c>
      <c r="Q148" s="29" t="s">
        <v>3719</v>
      </c>
      <c r="R148" s="32">
        <v>44162</v>
      </c>
      <c r="S148" s="32">
        <v>46727</v>
      </c>
      <c r="T148" s="33">
        <v>2873600</v>
      </c>
      <c r="U148" s="29">
        <v>25</v>
      </c>
      <c r="V148" s="34">
        <f t="shared" si="6"/>
        <v>718400</v>
      </c>
      <c r="W148" s="34">
        <f t="shared" si="7"/>
        <v>2155200</v>
      </c>
      <c r="X148" s="35">
        <v>2.5</v>
      </c>
      <c r="Y148" s="34">
        <f t="shared" si="8"/>
        <v>53880</v>
      </c>
      <c r="Z148" s="29"/>
      <c r="AA148" s="29" t="s">
        <v>4014</v>
      </c>
      <c r="AB148" s="29">
        <v>1141071867</v>
      </c>
      <c r="AC148" s="49">
        <v>45644</v>
      </c>
      <c r="AD148" s="48" t="s">
        <v>3160</v>
      </c>
      <c r="AE148" s="48">
        <v>4</v>
      </c>
      <c r="AG148" t="s">
        <v>2138</v>
      </c>
      <c r="AH148" s="54">
        <v>53880</v>
      </c>
      <c r="AI148" s="54">
        <v>0</v>
      </c>
      <c r="AJ148" s="54">
        <v>2155200</v>
      </c>
      <c r="AK148" s="54">
        <v>0</v>
      </c>
      <c r="AL148" t="s">
        <v>26</v>
      </c>
      <c r="AM148" t="s">
        <v>4249</v>
      </c>
    </row>
    <row r="149" spans="1:39" ht="11.25" customHeight="1" x14ac:dyDescent="0.2">
      <c r="A149" s="29" t="s">
        <v>2974</v>
      </c>
      <c r="B149" s="29" t="s">
        <v>3292</v>
      </c>
      <c r="C149" s="40">
        <v>45597</v>
      </c>
      <c r="D149" s="39" t="s">
        <v>3720</v>
      </c>
      <c r="E149" s="29" t="s">
        <v>515</v>
      </c>
      <c r="F149" s="32">
        <v>45609</v>
      </c>
      <c r="G149" s="32">
        <v>45973</v>
      </c>
      <c r="H149" s="30" t="s">
        <v>3859</v>
      </c>
      <c r="I149" s="31">
        <v>3130114816589</v>
      </c>
      <c r="J149" s="47" t="s">
        <v>748</v>
      </c>
      <c r="K149" s="29" t="s">
        <v>518</v>
      </c>
      <c r="L149" s="29" t="s">
        <v>519</v>
      </c>
      <c r="M149" s="29" t="s">
        <v>520</v>
      </c>
      <c r="N149" s="29" t="s">
        <v>3292</v>
      </c>
      <c r="O149" s="29" t="s">
        <v>4013</v>
      </c>
      <c r="P149" s="29" t="s">
        <v>3157</v>
      </c>
      <c r="Q149" s="29" t="s">
        <v>3492</v>
      </c>
      <c r="R149" s="32">
        <v>45257</v>
      </c>
      <c r="S149" s="32">
        <v>46727</v>
      </c>
      <c r="T149" s="33">
        <v>8879000</v>
      </c>
      <c r="U149" s="29">
        <v>10</v>
      </c>
      <c r="V149" s="34">
        <f t="shared" si="6"/>
        <v>887900</v>
      </c>
      <c r="W149" s="34">
        <f t="shared" si="7"/>
        <v>7991100</v>
      </c>
      <c r="X149" s="35">
        <v>1.5</v>
      </c>
      <c r="Y149" s="34">
        <f t="shared" si="8"/>
        <v>119866.5</v>
      </c>
      <c r="Z149" s="29"/>
      <c r="AA149" s="29" t="s">
        <v>4014</v>
      </c>
      <c r="AB149" s="29">
        <v>1141071867</v>
      </c>
      <c r="AC149" s="49">
        <v>45644</v>
      </c>
      <c r="AD149" s="48" t="s">
        <v>3160</v>
      </c>
      <c r="AE149" s="48">
        <v>4</v>
      </c>
      <c r="AG149" t="s">
        <v>515</v>
      </c>
      <c r="AH149" s="54">
        <v>119867</v>
      </c>
      <c r="AI149" s="54">
        <v>0.5</v>
      </c>
      <c r="AJ149" s="54">
        <v>7991100</v>
      </c>
      <c r="AK149" s="54">
        <v>0</v>
      </c>
      <c r="AL149" t="s">
        <v>26</v>
      </c>
      <c r="AM149" t="s">
        <v>4249</v>
      </c>
    </row>
    <row r="150" spans="1:39" ht="11.25" customHeight="1" x14ac:dyDescent="0.2">
      <c r="A150" s="29" t="s">
        <v>2974</v>
      </c>
      <c r="B150" s="29" t="s">
        <v>3296</v>
      </c>
      <c r="C150" s="40">
        <v>45597</v>
      </c>
      <c r="D150" s="39" t="s">
        <v>3720</v>
      </c>
      <c r="E150" s="29" t="s">
        <v>551</v>
      </c>
      <c r="F150" s="32">
        <v>45609</v>
      </c>
      <c r="G150" s="32">
        <v>45973</v>
      </c>
      <c r="H150" s="30" t="s">
        <v>3860</v>
      </c>
      <c r="I150" s="31">
        <v>4120194701449</v>
      </c>
      <c r="J150" s="47" t="s">
        <v>4222</v>
      </c>
      <c r="K150" s="29" t="s">
        <v>554</v>
      </c>
      <c r="L150" s="29" t="s">
        <v>555</v>
      </c>
      <c r="M150" s="29" t="s">
        <v>556</v>
      </c>
      <c r="N150" s="29" t="s">
        <v>3296</v>
      </c>
      <c r="O150" s="29" t="s">
        <v>3162</v>
      </c>
      <c r="P150" s="29" t="s">
        <v>3496</v>
      </c>
      <c r="Q150" s="29" t="s">
        <v>3497</v>
      </c>
      <c r="R150" s="32">
        <v>45244</v>
      </c>
      <c r="S150" s="32">
        <v>47063</v>
      </c>
      <c r="T150" s="33">
        <v>3000000</v>
      </c>
      <c r="U150" s="29">
        <v>10</v>
      </c>
      <c r="V150" s="34">
        <f t="shared" si="6"/>
        <v>300000</v>
      </c>
      <c r="W150" s="34">
        <f t="shared" si="7"/>
        <v>2700000</v>
      </c>
      <c r="X150" s="35">
        <v>2</v>
      </c>
      <c r="Y150" s="34">
        <f t="shared" si="8"/>
        <v>54000</v>
      </c>
      <c r="Z150" s="29"/>
      <c r="AA150" s="29" t="s">
        <v>4014</v>
      </c>
      <c r="AB150" s="29">
        <v>1141071867</v>
      </c>
      <c r="AC150" s="49">
        <v>45644</v>
      </c>
      <c r="AD150" s="48" t="s">
        <v>3160</v>
      </c>
      <c r="AE150" s="48">
        <v>4</v>
      </c>
      <c r="AG150" t="s">
        <v>551</v>
      </c>
      <c r="AH150" s="54">
        <v>54000</v>
      </c>
      <c r="AI150" s="54">
        <v>0</v>
      </c>
      <c r="AJ150" s="54">
        <v>2700000</v>
      </c>
      <c r="AK150" s="54">
        <v>0</v>
      </c>
      <c r="AL150" t="s">
        <v>26</v>
      </c>
      <c r="AM150" t="s">
        <v>4249</v>
      </c>
    </row>
    <row r="151" spans="1:39" ht="11.25" customHeight="1" x14ac:dyDescent="0.2">
      <c r="A151" s="29" t="s">
        <v>2974</v>
      </c>
      <c r="B151" s="29" t="s">
        <v>3383</v>
      </c>
      <c r="C151" s="40">
        <v>45597</v>
      </c>
      <c r="D151" s="39" t="s">
        <v>3720</v>
      </c>
      <c r="E151" s="29" t="s">
        <v>1264</v>
      </c>
      <c r="F151" s="32">
        <v>45610</v>
      </c>
      <c r="G151" s="32">
        <v>45974</v>
      </c>
      <c r="H151" s="30" t="s">
        <v>3861</v>
      </c>
      <c r="I151" s="31">
        <v>3520236954889</v>
      </c>
      <c r="J151" s="47" t="s">
        <v>4213</v>
      </c>
      <c r="K151" s="29"/>
      <c r="L151" s="29" t="s">
        <v>1266</v>
      </c>
      <c r="M151" s="29" t="s">
        <v>1267</v>
      </c>
      <c r="N151" s="29" t="s">
        <v>3383</v>
      </c>
      <c r="O151" s="29" t="s">
        <v>4013</v>
      </c>
      <c r="P151" s="29" t="s">
        <v>3154</v>
      </c>
      <c r="Q151" s="29" t="s">
        <v>3591</v>
      </c>
      <c r="R151" s="32">
        <v>44910</v>
      </c>
      <c r="S151" s="32">
        <v>47457</v>
      </c>
      <c r="T151" s="33">
        <v>1425000</v>
      </c>
      <c r="U151" s="29">
        <v>15</v>
      </c>
      <c r="V151" s="34">
        <f t="shared" si="6"/>
        <v>213750</v>
      </c>
      <c r="W151" s="34">
        <f t="shared" si="7"/>
        <v>1211250</v>
      </c>
      <c r="X151" s="35">
        <v>2.5</v>
      </c>
      <c r="Y151" s="34">
        <f t="shared" si="8"/>
        <v>30281.25</v>
      </c>
      <c r="Z151" s="29"/>
      <c r="AA151" s="29" t="s">
        <v>4014</v>
      </c>
      <c r="AB151" s="29">
        <v>1141071867</v>
      </c>
      <c r="AC151" s="49">
        <v>45644</v>
      </c>
      <c r="AD151" s="48" t="s">
        <v>3160</v>
      </c>
      <c r="AE151" s="48">
        <v>0</v>
      </c>
      <c r="AG151" t="s">
        <v>1264</v>
      </c>
      <c r="AH151" s="54">
        <v>30281</v>
      </c>
      <c r="AI151" s="54">
        <v>-0.25</v>
      </c>
      <c r="AJ151" s="54">
        <v>1211250</v>
      </c>
      <c r="AK151" s="54">
        <v>0</v>
      </c>
      <c r="AL151" t="s">
        <v>26</v>
      </c>
      <c r="AM151" t="s">
        <v>4249</v>
      </c>
    </row>
    <row r="152" spans="1:39" ht="11.25" customHeight="1" x14ac:dyDescent="0.2">
      <c r="A152" s="29" t="s">
        <v>2974</v>
      </c>
      <c r="B152" s="29" t="s">
        <v>3297</v>
      </c>
      <c r="C152" s="40">
        <v>45597</v>
      </c>
      <c r="D152" s="39" t="s">
        <v>3720</v>
      </c>
      <c r="E152" s="29" t="s">
        <v>560</v>
      </c>
      <c r="F152" s="32">
        <v>45611</v>
      </c>
      <c r="G152" s="32">
        <v>45975</v>
      </c>
      <c r="H152" s="30" t="s">
        <v>3862</v>
      </c>
      <c r="I152" s="31">
        <v>3520226319102</v>
      </c>
      <c r="J152" s="47" t="s">
        <v>4216</v>
      </c>
      <c r="K152" s="29" t="s">
        <v>563</v>
      </c>
      <c r="L152" s="29" t="s">
        <v>564</v>
      </c>
      <c r="M152" s="29" t="s">
        <v>565</v>
      </c>
      <c r="N152" s="29" t="s">
        <v>3297</v>
      </c>
      <c r="O152" s="29" t="s">
        <v>4013</v>
      </c>
      <c r="P152" s="29" t="s">
        <v>3154</v>
      </c>
      <c r="Q152" s="29" t="s">
        <v>3498</v>
      </c>
      <c r="R152" s="32">
        <v>45254</v>
      </c>
      <c r="S152" s="32">
        <v>46361</v>
      </c>
      <c r="T152" s="33">
        <v>4300000</v>
      </c>
      <c r="U152" s="29">
        <v>10</v>
      </c>
      <c r="V152" s="34">
        <f t="shared" si="6"/>
        <v>430000</v>
      </c>
      <c r="W152" s="34">
        <f t="shared" si="7"/>
        <v>3870000</v>
      </c>
      <c r="X152" s="35">
        <v>1.5</v>
      </c>
      <c r="Y152" s="34">
        <f t="shared" si="8"/>
        <v>58050</v>
      </c>
      <c r="Z152" s="29"/>
      <c r="AA152" s="29" t="s">
        <v>4014</v>
      </c>
      <c r="AB152" s="29">
        <v>1141071867</v>
      </c>
      <c r="AC152" s="49">
        <v>45644</v>
      </c>
      <c r="AD152" s="48" t="s">
        <v>3160</v>
      </c>
      <c r="AE152" s="48">
        <v>4</v>
      </c>
      <c r="AG152" t="s">
        <v>560</v>
      </c>
      <c r="AH152" s="54">
        <v>58050</v>
      </c>
      <c r="AI152" s="54">
        <v>0</v>
      </c>
      <c r="AJ152" s="54">
        <v>3870000</v>
      </c>
      <c r="AK152" s="54">
        <v>0</v>
      </c>
      <c r="AL152" t="s">
        <v>26</v>
      </c>
      <c r="AM152" t="s">
        <v>4249</v>
      </c>
    </row>
    <row r="153" spans="1:39" ht="11.25" customHeight="1" x14ac:dyDescent="0.2">
      <c r="A153" s="29" t="s">
        <v>2974</v>
      </c>
      <c r="B153" s="29" t="s">
        <v>3392</v>
      </c>
      <c r="C153" s="40">
        <v>45597</v>
      </c>
      <c r="D153" s="39" t="s">
        <v>3720</v>
      </c>
      <c r="E153" s="29" t="s">
        <v>1331</v>
      </c>
      <c r="F153" s="32">
        <v>45612</v>
      </c>
      <c r="G153" s="32">
        <v>45976</v>
      </c>
      <c r="H153" s="30" t="s">
        <v>3865</v>
      </c>
      <c r="I153" s="31">
        <v>3310022653439</v>
      </c>
      <c r="J153" s="47" t="s">
        <v>4224</v>
      </c>
      <c r="K153" s="29"/>
      <c r="L153" s="29" t="s">
        <v>1333</v>
      </c>
      <c r="M153" s="29" t="s">
        <v>1334</v>
      </c>
      <c r="N153" s="29" t="s">
        <v>3392</v>
      </c>
      <c r="O153" s="29" t="s">
        <v>4013</v>
      </c>
      <c r="P153" s="29" t="s">
        <v>3172</v>
      </c>
      <c r="Q153" s="29" t="s">
        <v>3602</v>
      </c>
      <c r="R153" s="32">
        <v>44523</v>
      </c>
      <c r="S153" s="32">
        <v>45996</v>
      </c>
      <c r="T153" s="33">
        <v>1530000</v>
      </c>
      <c r="U153" s="29">
        <v>20</v>
      </c>
      <c r="V153" s="34">
        <f t="shared" si="6"/>
        <v>306000</v>
      </c>
      <c r="W153" s="34">
        <f t="shared" si="7"/>
        <v>1224000</v>
      </c>
      <c r="X153" s="35">
        <v>1.75</v>
      </c>
      <c r="Y153" s="34">
        <f t="shared" si="8"/>
        <v>21420.000000000004</v>
      </c>
      <c r="Z153" s="29"/>
      <c r="AA153" s="29" t="s">
        <v>4014</v>
      </c>
      <c r="AB153" s="29">
        <v>1141071867</v>
      </c>
      <c r="AC153" s="49">
        <v>45644</v>
      </c>
      <c r="AD153" s="48" t="s">
        <v>3160</v>
      </c>
      <c r="AE153" s="48">
        <v>4</v>
      </c>
      <c r="AG153" t="s">
        <v>1331</v>
      </c>
      <c r="AH153" s="54">
        <v>21420</v>
      </c>
      <c r="AI153" s="54">
        <v>0</v>
      </c>
      <c r="AJ153" s="54">
        <v>1224000</v>
      </c>
      <c r="AK153" s="54">
        <v>0</v>
      </c>
      <c r="AL153" t="s">
        <v>26</v>
      </c>
      <c r="AM153" t="s">
        <v>4249</v>
      </c>
    </row>
    <row r="154" spans="1:39" ht="11.25" customHeight="1" x14ac:dyDescent="0.2">
      <c r="A154" s="29" t="s">
        <v>2974</v>
      </c>
      <c r="B154" s="29" t="s">
        <v>3399</v>
      </c>
      <c r="C154" s="40">
        <v>45597</v>
      </c>
      <c r="D154" s="39" t="s">
        <v>3720</v>
      </c>
      <c r="E154" s="29" t="s">
        <v>1386</v>
      </c>
      <c r="F154" s="32">
        <v>45612</v>
      </c>
      <c r="G154" s="32">
        <v>45976</v>
      </c>
      <c r="H154" s="30" t="s">
        <v>3866</v>
      </c>
      <c r="I154" s="31">
        <v>3610468787709</v>
      </c>
      <c r="J154" s="47" t="s">
        <v>4188</v>
      </c>
      <c r="K154" s="29" t="s">
        <v>1389</v>
      </c>
      <c r="L154" s="29" t="s">
        <v>1390</v>
      </c>
      <c r="M154" s="29" t="s">
        <v>1391</v>
      </c>
      <c r="N154" s="29" t="s">
        <v>3399</v>
      </c>
      <c r="O154" s="29" t="s">
        <v>4013</v>
      </c>
      <c r="P154" s="29" t="s">
        <v>3154</v>
      </c>
      <c r="Q154" s="29" t="s">
        <v>3611</v>
      </c>
      <c r="R154" s="32">
        <v>44525</v>
      </c>
      <c r="S154" s="32">
        <v>45996</v>
      </c>
      <c r="T154" s="33">
        <v>3380000</v>
      </c>
      <c r="U154" s="29">
        <v>20</v>
      </c>
      <c r="V154" s="34">
        <f t="shared" si="6"/>
        <v>676000</v>
      </c>
      <c r="W154" s="34">
        <f t="shared" si="7"/>
        <v>2704000</v>
      </c>
      <c r="X154" s="35">
        <v>2.5</v>
      </c>
      <c r="Y154" s="34">
        <f t="shared" si="8"/>
        <v>67600</v>
      </c>
      <c r="Z154" s="29"/>
      <c r="AA154" s="29" t="s">
        <v>4014</v>
      </c>
      <c r="AB154" s="29">
        <v>1141071867</v>
      </c>
      <c r="AC154" s="49">
        <v>45644</v>
      </c>
      <c r="AD154" s="48" t="s">
        <v>3160</v>
      </c>
      <c r="AE154" s="48">
        <v>34</v>
      </c>
      <c r="AG154" t="s">
        <v>1386</v>
      </c>
      <c r="AH154" s="54">
        <v>67600</v>
      </c>
      <c r="AI154" s="54">
        <v>0</v>
      </c>
      <c r="AJ154" s="54">
        <v>2704000</v>
      </c>
      <c r="AK154" s="54">
        <v>0</v>
      </c>
      <c r="AL154" t="s">
        <v>26</v>
      </c>
      <c r="AM154" t="s">
        <v>4249</v>
      </c>
    </row>
    <row r="155" spans="1:39" ht="11.25" customHeight="1" x14ac:dyDescent="0.2">
      <c r="A155" s="29" t="s">
        <v>2974</v>
      </c>
      <c r="B155" s="29" t="s">
        <v>3455</v>
      </c>
      <c r="C155" s="40">
        <v>45597</v>
      </c>
      <c r="D155" s="39" t="s">
        <v>3720</v>
      </c>
      <c r="E155" s="29" t="s">
        <v>1845</v>
      </c>
      <c r="F155" s="32">
        <v>45612</v>
      </c>
      <c r="G155" s="32">
        <v>45976</v>
      </c>
      <c r="H155" s="30" t="s">
        <v>3867</v>
      </c>
      <c r="I155" s="31">
        <v>3520117810525</v>
      </c>
      <c r="J155" s="47" t="s">
        <v>4214</v>
      </c>
      <c r="K155" s="29" t="s">
        <v>1847</v>
      </c>
      <c r="L155" s="29" t="s">
        <v>1848</v>
      </c>
      <c r="M155" s="29" t="s">
        <v>1849</v>
      </c>
      <c r="N155" s="29" t="s">
        <v>3455</v>
      </c>
      <c r="O155" s="29" t="s">
        <v>4013</v>
      </c>
      <c r="P155" s="29" t="s">
        <v>3154</v>
      </c>
      <c r="Q155" s="29" t="s">
        <v>3673</v>
      </c>
      <c r="R155" s="32">
        <v>44160</v>
      </c>
      <c r="S155" s="32">
        <v>45996</v>
      </c>
      <c r="T155" s="33">
        <v>1900000</v>
      </c>
      <c r="U155" s="29">
        <v>25</v>
      </c>
      <c r="V155" s="34">
        <f t="shared" si="6"/>
        <v>475000</v>
      </c>
      <c r="W155" s="34">
        <f t="shared" si="7"/>
        <v>1425000</v>
      </c>
      <c r="X155" s="35">
        <v>2.5</v>
      </c>
      <c r="Y155" s="34">
        <f t="shared" si="8"/>
        <v>35625</v>
      </c>
      <c r="Z155" s="29"/>
      <c r="AA155" s="29" t="s">
        <v>4014</v>
      </c>
      <c r="AB155" s="29">
        <v>1141071867</v>
      </c>
      <c r="AC155" s="49">
        <v>45644</v>
      </c>
      <c r="AD155" s="48" t="s">
        <v>3160</v>
      </c>
      <c r="AE155" s="48">
        <v>65</v>
      </c>
      <c r="AG155" t="s">
        <v>1845</v>
      </c>
      <c r="AH155" s="54">
        <v>35625</v>
      </c>
      <c r="AI155" s="54">
        <v>0</v>
      </c>
      <c r="AJ155" s="54">
        <v>1425000</v>
      </c>
      <c r="AK155" s="54">
        <v>0</v>
      </c>
      <c r="AL155" t="s">
        <v>26</v>
      </c>
      <c r="AM155" t="s">
        <v>4249</v>
      </c>
    </row>
    <row r="156" spans="1:39" ht="11.25" customHeight="1" x14ac:dyDescent="0.2">
      <c r="A156" s="29" t="s">
        <v>2974</v>
      </c>
      <c r="B156" s="29" t="s">
        <v>3298</v>
      </c>
      <c r="C156" s="40">
        <v>45597</v>
      </c>
      <c r="D156" s="39" t="s">
        <v>3720</v>
      </c>
      <c r="E156" s="29" t="s">
        <v>569</v>
      </c>
      <c r="F156" s="32">
        <v>45613</v>
      </c>
      <c r="G156" s="32">
        <v>45977</v>
      </c>
      <c r="H156" s="30" t="s">
        <v>3868</v>
      </c>
      <c r="I156" s="31">
        <v>3130107944821</v>
      </c>
      <c r="J156" s="47" t="s">
        <v>4208</v>
      </c>
      <c r="K156" s="29" t="s">
        <v>572</v>
      </c>
      <c r="L156" s="29" t="s">
        <v>573</v>
      </c>
      <c r="M156" s="29" t="s">
        <v>574</v>
      </c>
      <c r="N156" s="29" t="s">
        <v>3298</v>
      </c>
      <c r="O156" s="29" t="s">
        <v>4013</v>
      </c>
      <c r="P156" s="29" t="s">
        <v>3157</v>
      </c>
      <c r="Q156" s="29" t="s">
        <v>3499</v>
      </c>
      <c r="R156" s="32">
        <v>45253</v>
      </c>
      <c r="S156" s="32">
        <v>47092</v>
      </c>
      <c r="T156" s="33">
        <v>1400000</v>
      </c>
      <c r="U156" s="29">
        <v>10</v>
      </c>
      <c r="V156" s="34">
        <f t="shared" si="6"/>
        <v>140000</v>
      </c>
      <c r="W156" s="34">
        <f t="shared" si="7"/>
        <v>1260000</v>
      </c>
      <c r="X156" s="35">
        <v>2</v>
      </c>
      <c r="Y156" s="34">
        <f t="shared" si="8"/>
        <v>25200</v>
      </c>
      <c r="Z156" s="29"/>
      <c r="AA156" s="29" t="s">
        <v>4014</v>
      </c>
      <c r="AB156" s="29">
        <v>1141071867</v>
      </c>
      <c r="AC156" s="49">
        <v>45644</v>
      </c>
      <c r="AD156" s="48" t="s">
        <v>3160</v>
      </c>
      <c r="AE156" s="48">
        <v>65</v>
      </c>
      <c r="AG156" t="s">
        <v>569</v>
      </c>
      <c r="AH156" s="54">
        <v>25200</v>
      </c>
      <c r="AI156" s="54">
        <v>0</v>
      </c>
      <c r="AJ156" s="54">
        <v>1260000</v>
      </c>
      <c r="AK156" s="54">
        <v>0</v>
      </c>
      <c r="AL156" t="s">
        <v>26</v>
      </c>
      <c r="AM156" t="s">
        <v>4249</v>
      </c>
    </row>
    <row r="157" spans="1:39" ht="11.25" customHeight="1" x14ac:dyDescent="0.2">
      <c r="A157" s="29" t="s">
        <v>2974</v>
      </c>
      <c r="B157" s="29" t="s">
        <v>3331</v>
      </c>
      <c r="C157" s="40">
        <v>45597</v>
      </c>
      <c r="D157" s="39" t="s">
        <v>3720</v>
      </c>
      <c r="E157" s="29" t="s">
        <v>838</v>
      </c>
      <c r="F157" s="32">
        <v>45613</v>
      </c>
      <c r="G157" s="32">
        <v>45977</v>
      </c>
      <c r="H157" s="30" t="s">
        <v>3869</v>
      </c>
      <c r="I157" s="31">
        <v>3130114354099</v>
      </c>
      <c r="J157" s="47" t="s">
        <v>4215</v>
      </c>
      <c r="K157" s="29" t="s">
        <v>840</v>
      </c>
      <c r="L157" s="29" t="s">
        <v>841</v>
      </c>
      <c r="M157" s="29" t="s">
        <v>842</v>
      </c>
      <c r="N157" s="29" t="s">
        <v>3331</v>
      </c>
      <c r="O157" s="29" t="s">
        <v>4013</v>
      </c>
      <c r="P157" s="29" t="s">
        <v>3157</v>
      </c>
      <c r="Q157" s="29" t="s">
        <v>3535</v>
      </c>
      <c r="R157" s="32">
        <v>44895</v>
      </c>
      <c r="S157" s="32">
        <v>46727</v>
      </c>
      <c r="T157" s="33">
        <v>2899000</v>
      </c>
      <c r="U157" s="29">
        <v>15</v>
      </c>
      <c r="V157" s="34">
        <f t="shared" si="6"/>
        <v>434850</v>
      </c>
      <c r="W157" s="34">
        <f t="shared" si="7"/>
        <v>2464150</v>
      </c>
      <c r="X157" s="35">
        <v>2.5</v>
      </c>
      <c r="Y157" s="34">
        <f t="shared" si="8"/>
        <v>61603.75</v>
      </c>
      <c r="Z157" s="29"/>
      <c r="AA157" s="29" t="s">
        <v>4014</v>
      </c>
      <c r="AB157" s="29">
        <v>1141071867</v>
      </c>
      <c r="AC157" s="49">
        <v>45644</v>
      </c>
      <c r="AD157" s="48" t="s">
        <v>3160</v>
      </c>
      <c r="AE157" s="48">
        <v>4</v>
      </c>
      <c r="AG157" t="s">
        <v>838</v>
      </c>
      <c r="AH157" s="54">
        <v>61604</v>
      </c>
      <c r="AI157" s="54">
        <v>0.25</v>
      </c>
      <c r="AJ157" s="54">
        <v>2464150</v>
      </c>
      <c r="AK157" s="54">
        <v>0</v>
      </c>
      <c r="AL157" t="s">
        <v>26</v>
      </c>
      <c r="AM157" t="s">
        <v>4249</v>
      </c>
    </row>
    <row r="158" spans="1:39" ht="11.25" customHeight="1" x14ac:dyDescent="0.2">
      <c r="A158" s="29" t="s">
        <v>2974</v>
      </c>
      <c r="B158" s="29" t="s">
        <v>3346</v>
      </c>
      <c r="C158" s="40">
        <v>45597</v>
      </c>
      <c r="D158" s="39" t="s">
        <v>3720</v>
      </c>
      <c r="E158" s="29" t="s">
        <v>964</v>
      </c>
      <c r="F158" s="32">
        <v>45613</v>
      </c>
      <c r="G158" s="32">
        <v>45977</v>
      </c>
      <c r="H158" s="30" t="s">
        <v>3870</v>
      </c>
      <c r="I158" s="31">
        <v>3520265518195</v>
      </c>
      <c r="J158" s="47" t="s">
        <v>4215</v>
      </c>
      <c r="K158" s="29" t="s">
        <v>966</v>
      </c>
      <c r="L158" s="29" t="s">
        <v>967</v>
      </c>
      <c r="M158" s="29" t="s">
        <v>968</v>
      </c>
      <c r="N158" s="29" t="s">
        <v>3346</v>
      </c>
      <c r="O158" s="29" t="s">
        <v>4013</v>
      </c>
      <c r="P158" s="29" t="s">
        <v>3154</v>
      </c>
      <c r="Q158" s="29" t="s">
        <v>3553</v>
      </c>
      <c r="R158" s="32">
        <v>44886</v>
      </c>
      <c r="S158" s="32">
        <v>46361</v>
      </c>
      <c r="T158" s="33">
        <v>2899000</v>
      </c>
      <c r="U158" s="29">
        <v>15</v>
      </c>
      <c r="V158" s="34">
        <f t="shared" si="6"/>
        <v>434850</v>
      </c>
      <c r="W158" s="34">
        <f t="shared" si="7"/>
        <v>2464150</v>
      </c>
      <c r="X158" s="35">
        <v>2.5</v>
      </c>
      <c r="Y158" s="34">
        <f t="shared" si="8"/>
        <v>61603.75</v>
      </c>
      <c r="Z158" s="29"/>
      <c r="AA158" s="29" t="s">
        <v>4014</v>
      </c>
      <c r="AB158" s="29">
        <v>1141071867</v>
      </c>
      <c r="AC158" s="49">
        <v>45644</v>
      </c>
      <c r="AD158" s="48" t="s">
        <v>3160</v>
      </c>
      <c r="AE158" s="48">
        <v>4</v>
      </c>
      <c r="AG158" t="s">
        <v>964</v>
      </c>
      <c r="AH158" s="54">
        <v>61604</v>
      </c>
      <c r="AI158" s="54">
        <v>0.25</v>
      </c>
      <c r="AJ158" s="54">
        <v>2464150</v>
      </c>
      <c r="AK158" s="54">
        <v>0</v>
      </c>
      <c r="AL158" t="s">
        <v>26</v>
      </c>
      <c r="AM158" t="s">
        <v>4249</v>
      </c>
    </row>
    <row r="159" spans="1:39" ht="11.25" customHeight="1" x14ac:dyDescent="0.2">
      <c r="A159" s="29" t="s">
        <v>2974</v>
      </c>
      <c r="B159" s="29" t="s">
        <v>3347</v>
      </c>
      <c r="C159" s="40">
        <v>45597</v>
      </c>
      <c r="D159" s="39" t="s">
        <v>3720</v>
      </c>
      <c r="E159" s="29" t="s">
        <v>972</v>
      </c>
      <c r="F159" s="32">
        <v>45613</v>
      </c>
      <c r="G159" s="32">
        <v>45977</v>
      </c>
      <c r="H159" s="30" t="s">
        <v>3871</v>
      </c>
      <c r="I159" s="31">
        <v>3520202934601</v>
      </c>
      <c r="J159" s="47" t="s">
        <v>4189</v>
      </c>
      <c r="K159" s="29" t="s">
        <v>974</v>
      </c>
      <c r="L159" s="29" t="s">
        <v>975</v>
      </c>
      <c r="M159" s="29" t="s">
        <v>976</v>
      </c>
      <c r="N159" s="29" t="s">
        <v>3347</v>
      </c>
      <c r="O159" s="29" t="s">
        <v>4013</v>
      </c>
      <c r="P159" s="29" t="s">
        <v>3154</v>
      </c>
      <c r="Q159" s="29" t="s">
        <v>3554</v>
      </c>
      <c r="R159" s="32">
        <v>44886</v>
      </c>
      <c r="S159" s="32">
        <v>46727</v>
      </c>
      <c r="T159" s="33">
        <v>1475000</v>
      </c>
      <c r="U159" s="29">
        <v>15</v>
      </c>
      <c r="V159" s="34">
        <f t="shared" si="6"/>
        <v>221250</v>
      </c>
      <c r="W159" s="34">
        <f t="shared" si="7"/>
        <v>1253750</v>
      </c>
      <c r="X159" s="35">
        <v>2</v>
      </c>
      <c r="Y159" s="34">
        <f t="shared" si="8"/>
        <v>25075</v>
      </c>
      <c r="Z159" s="29"/>
      <c r="AA159" s="29" t="s">
        <v>4014</v>
      </c>
      <c r="AB159" s="29">
        <v>1141071867</v>
      </c>
      <c r="AC159" s="49">
        <v>45644</v>
      </c>
      <c r="AD159" s="48" t="s">
        <v>3160</v>
      </c>
      <c r="AE159" s="48">
        <v>4</v>
      </c>
      <c r="AG159" t="s">
        <v>972</v>
      </c>
      <c r="AH159" s="54">
        <v>25075</v>
      </c>
      <c r="AI159" s="54">
        <v>0</v>
      </c>
      <c r="AJ159" s="54">
        <v>1253750</v>
      </c>
      <c r="AK159" s="54">
        <v>0</v>
      </c>
      <c r="AL159" t="s">
        <v>26</v>
      </c>
      <c r="AM159" t="s">
        <v>4249</v>
      </c>
    </row>
    <row r="160" spans="1:39" ht="11.25" customHeight="1" x14ac:dyDescent="0.2">
      <c r="A160" s="29" t="s">
        <v>2974</v>
      </c>
      <c r="B160" s="29" t="s">
        <v>3348</v>
      </c>
      <c r="C160" s="40">
        <v>45597</v>
      </c>
      <c r="D160" s="39" t="s">
        <v>3720</v>
      </c>
      <c r="E160" s="29" t="s">
        <v>980</v>
      </c>
      <c r="F160" s="32">
        <v>45613</v>
      </c>
      <c r="G160" s="32">
        <v>45977</v>
      </c>
      <c r="H160" s="30" t="s">
        <v>3872</v>
      </c>
      <c r="I160" s="31">
        <v>3840158285775</v>
      </c>
      <c r="J160" s="47" t="s">
        <v>4203</v>
      </c>
      <c r="K160" s="29" t="s">
        <v>982</v>
      </c>
      <c r="L160" s="29" t="s">
        <v>983</v>
      </c>
      <c r="M160" s="29" t="s">
        <v>984</v>
      </c>
      <c r="N160" s="29" t="s">
        <v>3348</v>
      </c>
      <c r="O160" s="29" t="s">
        <v>4013</v>
      </c>
      <c r="P160" s="29" t="s">
        <v>3154</v>
      </c>
      <c r="Q160" s="29" t="s">
        <v>3555</v>
      </c>
      <c r="R160" s="32">
        <v>44901</v>
      </c>
      <c r="S160" s="32">
        <v>47457</v>
      </c>
      <c r="T160" s="33">
        <v>1306000</v>
      </c>
      <c r="U160" s="29">
        <v>15</v>
      </c>
      <c r="V160" s="34">
        <f t="shared" si="6"/>
        <v>195900</v>
      </c>
      <c r="W160" s="34">
        <f t="shared" si="7"/>
        <v>1110100</v>
      </c>
      <c r="X160" s="35">
        <v>1.75</v>
      </c>
      <c r="Y160" s="34">
        <f t="shared" si="8"/>
        <v>19426.750000000004</v>
      </c>
      <c r="Z160" s="29"/>
      <c r="AA160" s="29" t="s">
        <v>4014</v>
      </c>
      <c r="AB160" s="29">
        <v>1141071867</v>
      </c>
      <c r="AC160" s="49">
        <v>45644</v>
      </c>
      <c r="AD160" s="48" t="s">
        <v>3160</v>
      </c>
      <c r="AE160" s="48">
        <v>4</v>
      </c>
      <c r="AG160" t="s">
        <v>980</v>
      </c>
      <c r="AH160" s="54">
        <v>19427</v>
      </c>
      <c r="AI160" s="54">
        <v>0.24999999999636202</v>
      </c>
      <c r="AJ160" s="54">
        <v>1110100</v>
      </c>
      <c r="AK160" s="54">
        <v>0</v>
      </c>
      <c r="AL160" t="s">
        <v>26</v>
      </c>
      <c r="AM160" t="s">
        <v>4249</v>
      </c>
    </row>
    <row r="161" spans="1:39" ht="11.25" customHeight="1" x14ac:dyDescent="0.2">
      <c r="A161" s="29" t="s">
        <v>2974</v>
      </c>
      <c r="B161" s="29" t="s">
        <v>3393</v>
      </c>
      <c r="C161" s="40">
        <v>45597</v>
      </c>
      <c r="D161" s="39" t="s">
        <v>3720</v>
      </c>
      <c r="E161" s="29" t="s">
        <v>1338</v>
      </c>
      <c r="F161" s="32">
        <v>45613</v>
      </c>
      <c r="G161" s="32">
        <v>45977</v>
      </c>
      <c r="H161" s="30" t="s">
        <v>3873</v>
      </c>
      <c r="I161" s="31">
        <v>3520207747999</v>
      </c>
      <c r="J161" s="47" t="s">
        <v>4213</v>
      </c>
      <c r="K161" s="29" t="s">
        <v>1340</v>
      </c>
      <c r="L161" s="29" t="s">
        <v>1341</v>
      </c>
      <c r="M161" s="29" t="s">
        <v>1342</v>
      </c>
      <c r="N161" s="29" t="s">
        <v>3393</v>
      </c>
      <c r="O161" s="29" t="s">
        <v>4013</v>
      </c>
      <c r="P161" s="29" t="s">
        <v>3154</v>
      </c>
      <c r="Q161" s="29" t="s">
        <v>3603</v>
      </c>
      <c r="R161" s="32">
        <v>44523</v>
      </c>
      <c r="S161" s="32">
        <v>47092</v>
      </c>
      <c r="T161" s="33">
        <v>1508000</v>
      </c>
      <c r="U161" s="29">
        <v>20</v>
      </c>
      <c r="V161" s="34">
        <f t="shared" si="6"/>
        <v>301600</v>
      </c>
      <c r="W161" s="34">
        <f t="shared" si="7"/>
        <v>1206400</v>
      </c>
      <c r="X161" s="35">
        <v>1.75</v>
      </c>
      <c r="Y161" s="34">
        <f t="shared" si="8"/>
        <v>21112.000000000004</v>
      </c>
      <c r="Z161" s="29"/>
      <c r="AA161" s="29" t="s">
        <v>4014</v>
      </c>
      <c r="AB161" s="29">
        <v>1141071867</v>
      </c>
      <c r="AC161" s="49">
        <v>45644</v>
      </c>
      <c r="AD161" s="48" t="s">
        <v>3160</v>
      </c>
      <c r="AE161" s="48">
        <v>4</v>
      </c>
      <c r="AG161" t="s">
        <v>1338</v>
      </c>
      <c r="AH161" s="54">
        <v>21112</v>
      </c>
      <c r="AI161" s="54">
        <v>0</v>
      </c>
      <c r="AJ161" s="54">
        <v>1206400</v>
      </c>
      <c r="AK161" s="54">
        <v>0</v>
      </c>
      <c r="AL161" t="s">
        <v>26</v>
      </c>
      <c r="AM161" t="s">
        <v>4249</v>
      </c>
    </row>
    <row r="162" spans="1:39" ht="11.25" customHeight="1" x14ac:dyDescent="0.2">
      <c r="A162" s="29" t="s">
        <v>2974</v>
      </c>
      <c r="B162" s="29" t="s">
        <v>3394</v>
      </c>
      <c r="C162" s="40">
        <v>45597</v>
      </c>
      <c r="D162" s="39" t="s">
        <v>3720</v>
      </c>
      <c r="E162" s="29" t="s">
        <v>1346</v>
      </c>
      <c r="F162" s="32">
        <v>45613</v>
      </c>
      <c r="G162" s="32">
        <v>45977</v>
      </c>
      <c r="H162" s="30" t="s">
        <v>3874</v>
      </c>
      <c r="I162" s="31">
        <v>3740568971087</v>
      </c>
      <c r="J162" s="47" t="s">
        <v>4225</v>
      </c>
      <c r="K162" s="29" t="s">
        <v>1348</v>
      </c>
      <c r="L162" s="29" t="s">
        <v>1349</v>
      </c>
      <c r="M162" s="29" t="s">
        <v>1350</v>
      </c>
      <c r="N162" s="29" t="s">
        <v>3394</v>
      </c>
      <c r="O162" s="29" t="s">
        <v>3167</v>
      </c>
      <c r="P162" s="29" t="s">
        <v>3604</v>
      </c>
      <c r="Q162" s="29" t="s">
        <v>3605</v>
      </c>
      <c r="R162" s="32">
        <v>44524</v>
      </c>
      <c r="S162" s="32">
        <v>47092</v>
      </c>
      <c r="T162" s="33">
        <v>4022000</v>
      </c>
      <c r="U162" s="29">
        <v>20</v>
      </c>
      <c r="V162" s="34">
        <f t="shared" si="6"/>
        <v>804400</v>
      </c>
      <c r="W162" s="34">
        <f t="shared" si="7"/>
        <v>3217600</v>
      </c>
      <c r="X162" s="35">
        <v>1.5</v>
      </c>
      <c r="Y162" s="34">
        <f t="shared" si="8"/>
        <v>48264</v>
      </c>
      <c r="Z162" s="29"/>
      <c r="AA162" s="29" t="s">
        <v>4014</v>
      </c>
      <c r="AB162" s="29">
        <v>1141071867</v>
      </c>
      <c r="AC162" s="49">
        <v>45644</v>
      </c>
      <c r="AD162" s="48" t="s">
        <v>3160</v>
      </c>
      <c r="AE162" s="48">
        <v>0</v>
      </c>
      <c r="AG162" t="s">
        <v>1346</v>
      </c>
      <c r="AH162" s="54">
        <v>48264</v>
      </c>
      <c r="AI162" s="54">
        <v>0</v>
      </c>
      <c r="AJ162" s="54">
        <v>3217600</v>
      </c>
      <c r="AK162" s="54">
        <v>0</v>
      </c>
      <c r="AL162" t="s">
        <v>26</v>
      </c>
      <c r="AM162" t="s">
        <v>4249</v>
      </c>
    </row>
    <row r="163" spans="1:39" ht="11.25" customHeight="1" x14ac:dyDescent="0.2">
      <c r="A163" s="29" t="s">
        <v>2974</v>
      </c>
      <c r="B163" s="29" t="s">
        <v>3396</v>
      </c>
      <c r="C163" s="40">
        <v>45597</v>
      </c>
      <c r="D163" s="39" t="s">
        <v>3720</v>
      </c>
      <c r="E163" s="29" t="s">
        <v>1362</v>
      </c>
      <c r="F163" s="32">
        <v>45613</v>
      </c>
      <c r="G163" s="32">
        <v>45977</v>
      </c>
      <c r="H163" s="30" t="s">
        <v>3875</v>
      </c>
      <c r="I163" s="31">
        <v>3520139148623</v>
      </c>
      <c r="J163" s="47" t="s">
        <v>4224</v>
      </c>
      <c r="K163" s="29" t="s">
        <v>1364</v>
      </c>
      <c r="L163" s="29" t="s">
        <v>1365</v>
      </c>
      <c r="M163" s="29" t="s">
        <v>1366</v>
      </c>
      <c r="N163" s="29" t="s">
        <v>3396</v>
      </c>
      <c r="O163" s="29" t="s">
        <v>4013</v>
      </c>
      <c r="P163" s="29" t="s">
        <v>3154</v>
      </c>
      <c r="Q163" s="29" t="s">
        <v>3607</v>
      </c>
      <c r="R163" s="32">
        <v>44523</v>
      </c>
      <c r="S163" s="32">
        <v>46361</v>
      </c>
      <c r="T163" s="33">
        <v>1610000</v>
      </c>
      <c r="U163" s="29">
        <v>20</v>
      </c>
      <c r="V163" s="34">
        <f t="shared" si="6"/>
        <v>322000</v>
      </c>
      <c r="W163" s="34">
        <f t="shared" si="7"/>
        <v>1288000</v>
      </c>
      <c r="X163" s="35">
        <v>1.75</v>
      </c>
      <c r="Y163" s="34">
        <f t="shared" si="8"/>
        <v>22540.000000000004</v>
      </c>
      <c r="Z163" s="29"/>
      <c r="AA163" s="29" t="s">
        <v>4014</v>
      </c>
      <c r="AB163" s="29">
        <v>1141071867</v>
      </c>
      <c r="AC163" s="49">
        <v>45644</v>
      </c>
      <c r="AD163" s="48" t="s">
        <v>3160</v>
      </c>
      <c r="AE163" s="48">
        <v>0</v>
      </c>
      <c r="AG163" t="s">
        <v>1362</v>
      </c>
      <c r="AH163" s="54">
        <v>22540</v>
      </c>
      <c r="AI163" s="54">
        <v>0</v>
      </c>
      <c r="AJ163" s="54">
        <v>1288000</v>
      </c>
      <c r="AK163" s="54">
        <v>0</v>
      </c>
      <c r="AL163" t="s">
        <v>26</v>
      </c>
      <c r="AM163" t="s">
        <v>4249</v>
      </c>
    </row>
    <row r="164" spans="1:39" ht="11.25" customHeight="1" x14ac:dyDescent="0.2">
      <c r="A164" s="29" t="s">
        <v>2974</v>
      </c>
      <c r="B164" s="29" t="s">
        <v>3397</v>
      </c>
      <c r="C164" s="40">
        <v>45597</v>
      </c>
      <c r="D164" s="39" t="s">
        <v>3720</v>
      </c>
      <c r="E164" s="29" t="s">
        <v>1370</v>
      </c>
      <c r="F164" s="32">
        <v>45613</v>
      </c>
      <c r="G164" s="32">
        <v>45977</v>
      </c>
      <c r="H164" s="30" t="s">
        <v>3876</v>
      </c>
      <c r="I164" s="31">
        <v>3520277425463</v>
      </c>
      <c r="J164" s="47" t="s">
        <v>4224</v>
      </c>
      <c r="K164" s="29" t="s">
        <v>1372</v>
      </c>
      <c r="L164" s="29" t="s">
        <v>1373</v>
      </c>
      <c r="M164" s="29" t="s">
        <v>1374</v>
      </c>
      <c r="N164" s="29" t="s">
        <v>3397</v>
      </c>
      <c r="O164" s="29" t="s">
        <v>4013</v>
      </c>
      <c r="P164" s="29" t="s">
        <v>3154</v>
      </c>
      <c r="Q164" s="29" t="s">
        <v>3608</v>
      </c>
      <c r="R164" s="32">
        <v>44523</v>
      </c>
      <c r="S164" s="32">
        <v>46361</v>
      </c>
      <c r="T164" s="33">
        <v>1852000</v>
      </c>
      <c r="U164" s="29">
        <v>20</v>
      </c>
      <c r="V164" s="34">
        <f t="shared" si="6"/>
        <v>370400</v>
      </c>
      <c r="W164" s="34">
        <f t="shared" si="7"/>
        <v>1481600</v>
      </c>
      <c r="X164" s="35">
        <v>1.75</v>
      </c>
      <c r="Y164" s="34">
        <f t="shared" si="8"/>
        <v>25928.000000000004</v>
      </c>
      <c r="Z164" s="29"/>
      <c r="AA164" s="29" t="s">
        <v>4014</v>
      </c>
      <c r="AB164" s="29">
        <v>1141071867</v>
      </c>
      <c r="AC164" s="49">
        <v>45644</v>
      </c>
      <c r="AD164" s="48" t="s">
        <v>3160</v>
      </c>
      <c r="AE164" s="48">
        <v>4</v>
      </c>
      <c r="AG164" t="s">
        <v>1370</v>
      </c>
      <c r="AH164" s="54">
        <v>25928</v>
      </c>
      <c r="AI164" s="54">
        <v>0</v>
      </c>
      <c r="AJ164" s="54">
        <v>1481600</v>
      </c>
      <c r="AK164" s="54">
        <v>0</v>
      </c>
      <c r="AL164" t="s">
        <v>26</v>
      </c>
      <c r="AM164" t="s">
        <v>4249</v>
      </c>
    </row>
    <row r="165" spans="1:39" ht="11.25" customHeight="1" x14ac:dyDescent="0.2">
      <c r="A165" s="29" t="s">
        <v>2974</v>
      </c>
      <c r="B165" s="29" t="s">
        <v>3398</v>
      </c>
      <c r="C165" s="40">
        <v>45597</v>
      </c>
      <c r="D165" s="39" t="s">
        <v>3720</v>
      </c>
      <c r="E165" s="29" t="s">
        <v>1378</v>
      </c>
      <c r="F165" s="32">
        <v>45613</v>
      </c>
      <c r="G165" s="32">
        <v>45977</v>
      </c>
      <c r="H165" s="30" t="s">
        <v>3877</v>
      </c>
      <c r="I165" s="31">
        <v>3520150770671</v>
      </c>
      <c r="J165" s="47" t="s">
        <v>4193</v>
      </c>
      <c r="K165" s="29" t="s">
        <v>1380</v>
      </c>
      <c r="L165" s="29" t="s">
        <v>1381</v>
      </c>
      <c r="M165" s="29" t="s">
        <v>1382</v>
      </c>
      <c r="N165" s="29" t="s">
        <v>3398</v>
      </c>
      <c r="O165" s="29" t="s">
        <v>4013</v>
      </c>
      <c r="P165" s="29" t="s">
        <v>3609</v>
      </c>
      <c r="Q165" s="29" t="s">
        <v>3610</v>
      </c>
      <c r="R165" s="32">
        <v>44524</v>
      </c>
      <c r="S165" s="32">
        <v>46361</v>
      </c>
      <c r="T165" s="33">
        <v>1508000</v>
      </c>
      <c r="U165" s="29">
        <v>20</v>
      </c>
      <c r="V165" s="34">
        <f t="shared" si="6"/>
        <v>301600</v>
      </c>
      <c r="W165" s="34">
        <f t="shared" si="7"/>
        <v>1206400</v>
      </c>
      <c r="X165" s="35">
        <v>1.75</v>
      </c>
      <c r="Y165" s="34">
        <f t="shared" si="8"/>
        <v>21112.000000000004</v>
      </c>
      <c r="Z165" s="29"/>
      <c r="AA165" s="29" t="s">
        <v>4014</v>
      </c>
      <c r="AB165" s="29">
        <v>1141071867</v>
      </c>
      <c r="AC165" s="49">
        <v>45644</v>
      </c>
      <c r="AD165" s="48" t="s">
        <v>3160</v>
      </c>
      <c r="AE165" s="48">
        <v>4</v>
      </c>
      <c r="AG165" t="s">
        <v>1378</v>
      </c>
      <c r="AH165" s="54">
        <v>21112</v>
      </c>
      <c r="AI165" s="54">
        <v>0</v>
      </c>
      <c r="AJ165" s="54">
        <v>1206400</v>
      </c>
      <c r="AK165" s="54">
        <v>0</v>
      </c>
      <c r="AL165" t="s">
        <v>26</v>
      </c>
      <c r="AM165" t="s">
        <v>4249</v>
      </c>
    </row>
    <row r="166" spans="1:39" ht="11.25" customHeight="1" x14ac:dyDescent="0.2">
      <c r="A166" s="29" t="s">
        <v>2974</v>
      </c>
      <c r="B166" s="29" t="s">
        <v>3400</v>
      </c>
      <c r="C166" s="40">
        <v>45597</v>
      </c>
      <c r="D166" s="39" t="s">
        <v>3720</v>
      </c>
      <c r="E166" s="29" t="s">
        <v>1395</v>
      </c>
      <c r="F166" s="32">
        <v>45613</v>
      </c>
      <c r="G166" s="32">
        <v>45977</v>
      </c>
      <c r="H166" s="30" t="s">
        <v>3878</v>
      </c>
      <c r="I166" s="31">
        <v>6110179054951</v>
      </c>
      <c r="J166" s="47" t="s">
        <v>4196</v>
      </c>
      <c r="K166" s="29" t="s">
        <v>1397</v>
      </c>
      <c r="L166" s="29" t="s">
        <v>1398</v>
      </c>
      <c r="M166" s="29" t="s">
        <v>1399</v>
      </c>
      <c r="N166" s="29" t="s">
        <v>3400</v>
      </c>
      <c r="O166" s="29" t="s">
        <v>3167</v>
      </c>
      <c r="P166" s="29" t="s">
        <v>3168</v>
      </c>
      <c r="Q166" s="29" t="s">
        <v>3612</v>
      </c>
      <c r="R166" s="32">
        <v>44518</v>
      </c>
      <c r="S166" s="32">
        <v>45996</v>
      </c>
      <c r="T166" s="33">
        <v>2589000</v>
      </c>
      <c r="U166" s="29">
        <v>20</v>
      </c>
      <c r="V166" s="34">
        <f t="shared" si="6"/>
        <v>517800</v>
      </c>
      <c r="W166" s="34">
        <f t="shared" si="7"/>
        <v>2071200</v>
      </c>
      <c r="X166" s="35">
        <v>2.5</v>
      </c>
      <c r="Y166" s="34">
        <f t="shared" si="8"/>
        <v>51780</v>
      </c>
      <c r="Z166" s="29"/>
      <c r="AA166" s="29" t="s">
        <v>4014</v>
      </c>
      <c r="AB166" s="29">
        <v>1141071867</v>
      </c>
      <c r="AC166" s="49">
        <v>45644</v>
      </c>
      <c r="AD166" s="48" t="s">
        <v>3160</v>
      </c>
      <c r="AE166" s="48">
        <v>0</v>
      </c>
      <c r="AG166" t="s">
        <v>1395</v>
      </c>
      <c r="AH166" s="54">
        <v>51780</v>
      </c>
      <c r="AI166" s="54">
        <v>0</v>
      </c>
      <c r="AJ166" s="54">
        <v>2071200</v>
      </c>
      <c r="AK166" s="54">
        <v>0</v>
      </c>
      <c r="AL166" t="s">
        <v>26</v>
      </c>
      <c r="AM166" t="s">
        <v>4249</v>
      </c>
    </row>
    <row r="167" spans="1:39" ht="11.25" customHeight="1" x14ac:dyDescent="0.2">
      <c r="A167" s="29" t="s">
        <v>2974</v>
      </c>
      <c r="B167" s="29" t="s">
        <v>3401</v>
      </c>
      <c r="C167" s="40">
        <v>45597</v>
      </c>
      <c r="D167" s="39" t="s">
        <v>3720</v>
      </c>
      <c r="E167" s="29" t="s">
        <v>1403</v>
      </c>
      <c r="F167" s="32">
        <v>45613</v>
      </c>
      <c r="G167" s="32">
        <v>45977</v>
      </c>
      <c r="H167" s="30" t="s">
        <v>3879</v>
      </c>
      <c r="I167" s="31">
        <v>3310029134899</v>
      </c>
      <c r="J167" s="47" t="s">
        <v>4204</v>
      </c>
      <c r="K167" s="29" t="s">
        <v>1405</v>
      </c>
      <c r="L167" s="29" t="s">
        <v>1406</v>
      </c>
      <c r="M167" s="29" t="s">
        <v>1407</v>
      </c>
      <c r="N167" s="29" t="s">
        <v>3401</v>
      </c>
      <c r="O167" s="29" t="s">
        <v>4013</v>
      </c>
      <c r="P167" s="29" t="s">
        <v>3172</v>
      </c>
      <c r="Q167" s="29" t="s">
        <v>3613</v>
      </c>
      <c r="R167" s="32">
        <v>44519</v>
      </c>
      <c r="S167" s="32">
        <v>46361</v>
      </c>
      <c r="T167" s="33">
        <v>1049000</v>
      </c>
      <c r="U167" s="29">
        <v>20</v>
      </c>
      <c r="V167" s="34">
        <f t="shared" si="6"/>
        <v>209800</v>
      </c>
      <c r="W167" s="34">
        <f t="shared" si="7"/>
        <v>839200</v>
      </c>
      <c r="X167" s="35">
        <v>2.5</v>
      </c>
      <c r="Y167" s="34">
        <f t="shared" si="8"/>
        <v>20980</v>
      </c>
      <c r="Z167" s="29"/>
      <c r="AA167" s="29" t="s">
        <v>4014</v>
      </c>
      <c r="AB167" s="29">
        <v>1141071867</v>
      </c>
      <c r="AC167" s="49">
        <v>45644</v>
      </c>
      <c r="AD167" s="48" t="s">
        <v>3160</v>
      </c>
      <c r="AE167" s="48">
        <v>4</v>
      </c>
      <c r="AG167" t="s">
        <v>1403</v>
      </c>
      <c r="AH167" s="54">
        <v>20980</v>
      </c>
      <c r="AI167" s="54">
        <v>0</v>
      </c>
      <c r="AJ167" s="54">
        <v>839200</v>
      </c>
      <c r="AK167" s="54">
        <v>0</v>
      </c>
      <c r="AL167" t="s">
        <v>26</v>
      </c>
      <c r="AM167" t="s">
        <v>4249</v>
      </c>
    </row>
    <row r="168" spans="1:39" ht="11.25" customHeight="1" x14ac:dyDescent="0.2">
      <c r="A168" s="29" t="s">
        <v>2974</v>
      </c>
      <c r="B168" s="29" t="s">
        <v>3453</v>
      </c>
      <c r="C168" s="40">
        <v>45597</v>
      </c>
      <c r="D168" s="39" t="s">
        <v>3720</v>
      </c>
      <c r="E168" s="29" t="s">
        <v>1828</v>
      </c>
      <c r="F168" s="32">
        <v>45613</v>
      </c>
      <c r="G168" s="32">
        <v>45977</v>
      </c>
      <c r="H168" s="30" t="s">
        <v>3880</v>
      </c>
      <c r="I168" s="31">
        <v>3130308189335</v>
      </c>
      <c r="J168" s="47" t="s">
        <v>4220</v>
      </c>
      <c r="K168" s="29" t="s">
        <v>1830</v>
      </c>
      <c r="L168" s="29" t="s">
        <v>1831</v>
      </c>
      <c r="M168" s="29" t="s">
        <v>1832</v>
      </c>
      <c r="N168" s="29" t="s">
        <v>3453</v>
      </c>
      <c r="O168" s="29" t="s">
        <v>4013</v>
      </c>
      <c r="P168" s="29" t="s">
        <v>3219</v>
      </c>
      <c r="Q168" s="29" t="s">
        <v>3671</v>
      </c>
      <c r="R168" s="32">
        <v>44158</v>
      </c>
      <c r="S168" s="32">
        <v>45996</v>
      </c>
      <c r="T168" s="33">
        <v>3900000</v>
      </c>
      <c r="U168" s="29">
        <v>25</v>
      </c>
      <c r="V168" s="34">
        <f t="shared" si="6"/>
        <v>975000</v>
      </c>
      <c r="W168" s="34">
        <f t="shared" si="7"/>
        <v>2925000</v>
      </c>
      <c r="X168" s="35">
        <v>1.5</v>
      </c>
      <c r="Y168" s="34">
        <f t="shared" si="8"/>
        <v>43875</v>
      </c>
      <c r="Z168" s="29"/>
      <c r="AA168" s="29" t="s">
        <v>4014</v>
      </c>
      <c r="AB168" s="29">
        <v>1141071867</v>
      </c>
      <c r="AC168" s="49">
        <v>45644</v>
      </c>
      <c r="AD168" s="48" t="s">
        <v>3160</v>
      </c>
      <c r="AE168" s="48">
        <v>4</v>
      </c>
      <c r="AG168" t="s">
        <v>1828</v>
      </c>
      <c r="AH168" s="54">
        <v>43875</v>
      </c>
      <c r="AI168" s="54">
        <v>0</v>
      </c>
      <c r="AJ168" s="54">
        <v>2925000</v>
      </c>
      <c r="AK168" s="54">
        <v>0</v>
      </c>
      <c r="AL168" t="s">
        <v>26</v>
      </c>
      <c r="AM168" t="s">
        <v>4249</v>
      </c>
    </row>
    <row r="169" spans="1:39" ht="11.25" customHeight="1" x14ac:dyDescent="0.2">
      <c r="A169" s="29" t="s">
        <v>2974</v>
      </c>
      <c r="B169" s="29" t="s">
        <v>3457</v>
      </c>
      <c r="C169" s="40">
        <v>45597</v>
      </c>
      <c r="D169" s="39" t="s">
        <v>3720</v>
      </c>
      <c r="E169" s="29" t="s">
        <v>1861</v>
      </c>
      <c r="F169" s="32">
        <v>45613</v>
      </c>
      <c r="G169" s="32">
        <v>45977</v>
      </c>
      <c r="H169" s="30" t="s">
        <v>3881</v>
      </c>
      <c r="I169" s="31">
        <v>3640177468271</v>
      </c>
      <c r="J169" s="47" t="s">
        <v>4188</v>
      </c>
      <c r="K169" s="29" t="s">
        <v>1864</v>
      </c>
      <c r="L169" s="29" t="s">
        <v>1865</v>
      </c>
      <c r="M169" s="29" t="s">
        <v>1866</v>
      </c>
      <c r="N169" s="29" t="s">
        <v>3457</v>
      </c>
      <c r="O169" s="29" t="s">
        <v>4013</v>
      </c>
      <c r="P169" s="29" t="s">
        <v>3666</v>
      </c>
      <c r="Q169" s="29" t="s">
        <v>3676</v>
      </c>
      <c r="R169" s="32">
        <v>44160</v>
      </c>
      <c r="S169" s="32">
        <v>46727</v>
      </c>
      <c r="T169" s="33">
        <v>3495500</v>
      </c>
      <c r="U169" s="29">
        <v>25</v>
      </c>
      <c r="V169" s="34">
        <f t="shared" si="6"/>
        <v>873875</v>
      </c>
      <c r="W169" s="34">
        <f t="shared" si="7"/>
        <v>2621625</v>
      </c>
      <c r="X169" s="35">
        <v>2.5</v>
      </c>
      <c r="Y169" s="34">
        <f t="shared" si="8"/>
        <v>65540.625</v>
      </c>
      <c r="Z169" s="29"/>
      <c r="AA169" s="29" t="s">
        <v>4014</v>
      </c>
      <c r="AB169" s="29">
        <v>1141071867</v>
      </c>
      <c r="AC169" s="49">
        <v>45644</v>
      </c>
      <c r="AD169" s="48" t="s">
        <v>3160</v>
      </c>
      <c r="AE169" s="48">
        <v>0</v>
      </c>
      <c r="AG169" t="s">
        <v>1861</v>
      </c>
      <c r="AH169" s="54">
        <v>65541</v>
      </c>
      <c r="AI169" s="54">
        <v>0.375</v>
      </c>
      <c r="AJ169" s="54">
        <v>2621625</v>
      </c>
      <c r="AK169" s="54">
        <v>0</v>
      </c>
      <c r="AL169" t="s">
        <v>26</v>
      </c>
      <c r="AM169" t="s">
        <v>4249</v>
      </c>
    </row>
    <row r="170" spans="1:39" ht="11.25" customHeight="1" x14ac:dyDescent="0.2">
      <c r="A170" s="29" t="s">
        <v>2974</v>
      </c>
      <c r="B170" s="29" t="s">
        <v>3349</v>
      </c>
      <c r="C170" s="40">
        <v>45597</v>
      </c>
      <c r="D170" s="39" t="s">
        <v>3720</v>
      </c>
      <c r="E170" s="29" t="s">
        <v>988</v>
      </c>
      <c r="F170" s="32">
        <v>45614</v>
      </c>
      <c r="G170" s="32">
        <v>45978</v>
      </c>
      <c r="H170" s="30" t="s">
        <v>3882</v>
      </c>
      <c r="I170" s="31">
        <v>3740591559753</v>
      </c>
      <c r="J170" s="47" t="s">
        <v>4180</v>
      </c>
      <c r="K170" s="29"/>
      <c r="L170" s="29" t="s">
        <v>990</v>
      </c>
      <c r="M170" s="29" t="s">
        <v>991</v>
      </c>
      <c r="N170" s="29" t="s">
        <v>3349</v>
      </c>
      <c r="O170" s="29" t="s">
        <v>3167</v>
      </c>
      <c r="P170" s="29" t="s">
        <v>3168</v>
      </c>
      <c r="Q170" s="29" t="s">
        <v>3556</v>
      </c>
      <c r="R170" s="32">
        <v>44886</v>
      </c>
      <c r="S170" s="32">
        <v>46727</v>
      </c>
      <c r="T170" s="33">
        <v>1733000</v>
      </c>
      <c r="U170" s="29">
        <v>15</v>
      </c>
      <c r="V170" s="34">
        <f t="shared" si="6"/>
        <v>259950</v>
      </c>
      <c r="W170" s="34">
        <f t="shared" si="7"/>
        <v>1473050</v>
      </c>
      <c r="X170" s="35">
        <v>2.5</v>
      </c>
      <c r="Y170" s="34">
        <f t="shared" si="8"/>
        <v>36826.25</v>
      </c>
      <c r="Z170" s="29"/>
      <c r="AA170" s="29" t="s">
        <v>4014</v>
      </c>
      <c r="AB170" s="29">
        <v>1141071867</v>
      </c>
      <c r="AC170" s="49">
        <v>45644</v>
      </c>
      <c r="AD170" s="48" t="s">
        <v>3160</v>
      </c>
      <c r="AE170" s="48">
        <v>4</v>
      </c>
      <c r="AG170" t="s">
        <v>988</v>
      </c>
      <c r="AH170" s="54">
        <v>36826</v>
      </c>
      <c r="AI170" s="54">
        <v>-0.25</v>
      </c>
      <c r="AJ170" s="54">
        <v>1473050</v>
      </c>
      <c r="AK170" s="54">
        <v>0</v>
      </c>
      <c r="AL170" t="s">
        <v>26</v>
      </c>
      <c r="AM170" t="s">
        <v>4249</v>
      </c>
    </row>
    <row r="171" spans="1:39" ht="11.25" customHeight="1" x14ac:dyDescent="0.2">
      <c r="A171" s="29" t="s">
        <v>2974</v>
      </c>
      <c r="B171" s="29" t="s">
        <v>3402</v>
      </c>
      <c r="C171" s="40">
        <v>45597</v>
      </c>
      <c r="D171" s="39" t="s">
        <v>3720</v>
      </c>
      <c r="E171" s="29" t="s">
        <v>1411</v>
      </c>
      <c r="F171" s="32">
        <v>45614</v>
      </c>
      <c r="G171" s="32">
        <v>45978</v>
      </c>
      <c r="H171" s="30" t="s">
        <v>3883</v>
      </c>
      <c r="I171" s="31">
        <v>1720169906605</v>
      </c>
      <c r="J171" s="47" t="s">
        <v>4226</v>
      </c>
      <c r="K171" s="29" t="s">
        <v>1414</v>
      </c>
      <c r="L171" s="29" t="s">
        <v>1415</v>
      </c>
      <c r="M171" s="29" t="s">
        <v>1416</v>
      </c>
      <c r="N171" s="29" t="s">
        <v>3402</v>
      </c>
      <c r="O171" s="29" t="s">
        <v>4013</v>
      </c>
      <c r="P171" s="29" t="s">
        <v>3154</v>
      </c>
      <c r="Q171" s="29" t="s">
        <v>3614</v>
      </c>
      <c r="R171" s="32">
        <v>44524</v>
      </c>
      <c r="S171" s="32">
        <v>45996</v>
      </c>
      <c r="T171" s="33">
        <v>4480000</v>
      </c>
      <c r="U171" s="29">
        <v>20</v>
      </c>
      <c r="V171" s="34">
        <f t="shared" si="6"/>
        <v>896000</v>
      </c>
      <c r="W171" s="34">
        <f t="shared" si="7"/>
        <v>3584000</v>
      </c>
      <c r="X171" s="35">
        <v>1.5</v>
      </c>
      <c r="Y171" s="34">
        <f t="shared" si="8"/>
        <v>53760</v>
      </c>
      <c r="Z171" s="29"/>
      <c r="AA171" s="29" t="s">
        <v>4014</v>
      </c>
      <c r="AB171" s="29">
        <v>1141071867</v>
      </c>
      <c r="AC171" s="49">
        <v>45644</v>
      </c>
      <c r="AD171" s="48" t="s">
        <v>3160</v>
      </c>
      <c r="AE171" s="48">
        <v>0</v>
      </c>
      <c r="AG171" t="s">
        <v>1411</v>
      </c>
      <c r="AH171" s="54">
        <v>53760</v>
      </c>
      <c r="AI171" s="54">
        <v>0</v>
      </c>
      <c r="AJ171" s="54">
        <v>3584000</v>
      </c>
      <c r="AK171" s="54">
        <v>0</v>
      </c>
      <c r="AL171" t="s">
        <v>26</v>
      </c>
      <c r="AM171" t="s">
        <v>4249</v>
      </c>
    </row>
    <row r="172" spans="1:39" ht="11.25" customHeight="1" x14ac:dyDescent="0.2">
      <c r="A172" s="29" t="s">
        <v>2974</v>
      </c>
      <c r="B172" s="29" t="s">
        <v>3403</v>
      </c>
      <c r="C172" s="40">
        <v>45597</v>
      </c>
      <c r="D172" s="39" t="s">
        <v>3720</v>
      </c>
      <c r="E172" s="29" t="s">
        <v>1420</v>
      </c>
      <c r="F172" s="32">
        <v>45614</v>
      </c>
      <c r="G172" s="32">
        <v>45978</v>
      </c>
      <c r="H172" s="30" t="s">
        <v>3884</v>
      </c>
      <c r="I172" s="31">
        <v>3120585503833</v>
      </c>
      <c r="J172" s="47" t="s">
        <v>4227</v>
      </c>
      <c r="K172" s="29" t="s">
        <v>1423</v>
      </c>
      <c r="L172" s="29" t="s">
        <v>1424</v>
      </c>
      <c r="M172" s="29" t="s">
        <v>1425</v>
      </c>
      <c r="N172" s="29" t="s">
        <v>3403</v>
      </c>
      <c r="O172" s="29" t="s">
        <v>4013</v>
      </c>
      <c r="P172" s="29" t="s">
        <v>3154</v>
      </c>
      <c r="Q172" s="29" t="s">
        <v>3615</v>
      </c>
      <c r="R172" s="32">
        <v>44522</v>
      </c>
      <c r="S172" s="32">
        <v>46361</v>
      </c>
      <c r="T172" s="33">
        <v>1750000</v>
      </c>
      <c r="U172" s="29">
        <v>20</v>
      </c>
      <c r="V172" s="34">
        <f t="shared" si="6"/>
        <v>350000</v>
      </c>
      <c r="W172" s="34">
        <f t="shared" si="7"/>
        <v>1400000</v>
      </c>
      <c r="X172" s="35">
        <v>1.75</v>
      </c>
      <c r="Y172" s="34">
        <f t="shared" si="8"/>
        <v>24500.000000000004</v>
      </c>
      <c r="Z172" s="29"/>
      <c r="AA172" s="29" t="s">
        <v>4014</v>
      </c>
      <c r="AB172" s="29">
        <v>1141071867</v>
      </c>
      <c r="AC172" s="49">
        <v>45644</v>
      </c>
      <c r="AD172" s="48" t="s">
        <v>3160</v>
      </c>
      <c r="AE172" s="48">
        <v>4</v>
      </c>
      <c r="AG172" t="s">
        <v>1420</v>
      </c>
      <c r="AH172" s="54">
        <v>24500</v>
      </c>
      <c r="AI172" s="54">
        <v>0</v>
      </c>
      <c r="AJ172" s="54">
        <v>1400000</v>
      </c>
      <c r="AK172" s="54">
        <v>0</v>
      </c>
      <c r="AL172" t="s">
        <v>26</v>
      </c>
      <c r="AM172" t="s">
        <v>4249</v>
      </c>
    </row>
    <row r="173" spans="1:39" ht="11.25" customHeight="1" x14ac:dyDescent="0.2">
      <c r="A173" s="29" t="s">
        <v>2974</v>
      </c>
      <c r="B173" s="29" t="s">
        <v>3411</v>
      </c>
      <c r="C173" s="40">
        <v>45597</v>
      </c>
      <c r="D173" s="39" t="s">
        <v>3720</v>
      </c>
      <c r="E173" s="29" t="s">
        <v>1486</v>
      </c>
      <c r="F173" s="32">
        <v>45614</v>
      </c>
      <c r="G173" s="32">
        <v>45978</v>
      </c>
      <c r="H173" s="30" t="s">
        <v>3885</v>
      </c>
      <c r="I173" s="31">
        <v>3120253994797</v>
      </c>
      <c r="J173" s="47" t="s">
        <v>4193</v>
      </c>
      <c r="K173" s="29" t="s">
        <v>1488</v>
      </c>
      <c r="L173" s="29" t="s">
        <v>1489</v>
      </c>
      <c r="M173" s="29" t="s">
        <v>1490</v>
      </c>
      <c r="N173" s="29" t="s">
        <v>3411</v>
      </c>
      <c r="O173" s="29" t="s">
        <v>4013</v>
      </c>
      <c r="P173" s="29" t="s">
        <v>3176</v>
      </c>
      <c r="Q173" s="29" t="s">
        <v>3624</v>
      </c>
      <c r="R173" s="32">
        <v>44529</v>
      </c>
      <c r="S173" s="32">
        <v>46361</v>
      </c>
      <c r="T173" s="33">
        <v>1508000</v>
      </c>
      <c r="U173" s="29">
        <v>20</v>
      </c>
      <c r="V173" s="34">
        <f t="shared" si="6"/>
        <v>301600</v>
      </c>
      <c r="W173" s="34">
        <f t="shared" si="7"/>
        <v>1206400</v>
      </c>
      <c r="X173" s="35">
        <v>1.75</v>
      </c>
      <c r="Y173" s="34">
        <f t="shared" si="8"/>
        <v>21112.000000000004</v>
      </c>
      <c r="Z173" s="29"/>
      <c r="AA173" s="29" t="s">
        <v>4014</v>
      </c>
      <c r="AB173" s="29">
        <v>1141071867</v>
      </c>
      <c r="AC173" s="49">
        <v>45644</v>
      </c>
      <c r="AD173" s="48" t="s">
        <v>3160</v>
      </c>
      <c r="AE173" s="48">
        <v>4</v>
      </c>
      <c r="AG173" t="s">
        <v>1486</v>
      </c>
      <c r="AH173" s="54">
        <v>21112</v>
      </c>
      <c r="AI173" s="54">
        <v>0</v>
      </c>
      <c r="AJ173" s="54">
        <v>1206400</v>
      </c>
      <c r="AK173" s="54">
        <v>0</v>
      </c>
      <c r="AL173" t="s">
        <v>26</v>
      </c>
      <c r="AM173" t="s">
        <v>4249</v>
      </c>
    </row>
    <row r="174" spans="1:39" ht="11.25" customHeight="1" x14ac:dyDescent="0.2">
      <c r="A174" s="29" t="s">
        <v>2974</v>
      </c>
      <c r="B174" s="29" t="s">
        <v>3450</v>
      </c>
      <c r="C174" s="40">
        <v>45597</v>
      </c>
      <c r="D174" s="39" t="s">
        <v>3720</v>
      </c>
      <c r="E174" s="29" t="s">
        <v>1804</v>
      </c>
      <c r="F174" s="32">
        <v>45614</v>
      </c>
      <c r="G174" s="32">
        <v>45978</v>
      </c>
      <c r="H174" s="30" t="s">
        <v>3886</v>
      </c>
      <c r="I174" s="31">
        <v>4210165749355</v>
      </c>
      <c r="J174" s="47" t="s">
        <v>4213</v>
      </c>
      <c r="K174" s="29" t="s">
        <v>1806</v>
      </c>
      <c r="L174" s="29" t="s">
        <v>1807</v>
      </c>
      <c r="M174" s="29" t="s">
        <v>1808</v>
      </c>
      <c r="N174" s="29" t="s">
        <v>3450</v>
      </c>
      <c r="O174" s="29" t="s">
        <v>3162</v>
      </c>
      <c r="P174" s="29" t="s">
        <v>3163</v>
      </c>
      <c r="Q174" s="29" t="s">
        <v>3668</v>
      </c>
      <c r="R174" s="32">
        <v>44158</v>
      </c>
      <c r="S174" s="32">
        <v>45996</v>
      </c>
      <c r="T174" s="33">
        <v>1633000</v>
      </c>
      <c r="U174" s="29">
        <v>25</v>
      </c>
      <c r="V174" s="34">
        <f t="shared" si="6"/>
        <v>408250</v>
      </c>
      <c r="W174" s="34">
        <f t="shared" si="7"/>
        <v>1224750</v>
      </c>
      <c r="X174" s="35">
        <v>2.5</v>
      </c>
      <c r="Y174" s="34">
        <f t="shared" si="8"/>
        <v>30618.75</v>
      </c>
      <c r="Z174" s="29"/>
      <c r="AA174" s="29" t="s">
        <v>4014</v>
      </c>
      <c r="AB174" s="29">
        <v>1141071867</v>
      </c>
      <c r="AC174" s="49">
        <v>45644</v>
      </c>
      <c r="AD174" s="48" t="s">
        <v>3160</v>
      </c>
      <c r="AE174" s="48">
        <v>4</v>
      </c>
      <c r="AG174" t="s">
        <v>1804</v>
      </c>
      <c r="AH174" s="54">
        <v>30619</v>
      </c>
      <c r="AI174" s="54">
        <v>0.25</v>
      </c>
      <c r="AJ174" s="54">
        <v>1224750</v>
      </c>
      <c r="AK174" s="54">
        <v>0</v>
      </c>
      <c r="AL174" t="s">
        <v>26</v>
      </c>
      <c r="AM174" t="s">
        <v>4249</v>
      </c>
    </row>
    <row r="175" spans="1:39" ht="11.25" customHeight="1" x14ac:dyDescent="0.2">
      <c r="A175" s="29" t="s">
        <v>2974</v>
      </c>
      <c r="B175" s="29" t="s">
        <v>3452</v>
      </c>
      <c r="C175" s="40">
        <v>45597</v>
      </c>
      <c r="D175" s="39" t="s">
        <v>3720</v>
      </c>
      <c r="E175" s="29" t="s">
        <v>1820</v>
      </c>
      <c r="F175" s="32">
        <v>45614</v>
      </c>
      <c r="G175" s="32">
        <v>45978</v>
      </c>
      <c r="H175" s="30" t="s">
        <v>3887</v>
      </c>
      <c r="I175" s="31">
        <v>3520225240377</v>
      </c>
      <c r="J175" s="47" t="s">
        <v>4224</v>
      </c>
      <c r="K175" s="29" t="s">
        <v>1822</v>
      </c>
      <c r="L175" s="29" t="s">
        <v>1823</v>
      </c>
      <c r="M175" s="29" t="s">
        <v>1824</v>
      </c>
      <c r="N175" s="29" t="s">
        <v>3452</v>
      </c>
      <c r="O175" s="29" t="s">
        <v>4013</v>
      </c>
      <c r="P175" s="29" t="s">
        <v>3154</v>
      </c>
      <c r="Q175" s="29" t="s">
        <v>3670</v>
      </c>
      <c r="R175" s="32">
        <v>44159</v>
      </c>
      <c r="S175" s="32">
        <v>45996</v>
      </c>
      <c r="T175" s="33">
        <v>1730000</v>
      </c>
      <c r="U175" s="29">
        <v>25</v>
      </c>
      <c r="V175" s="34">
        <f t="shared" si="6"/>
        <v>432500</v>
      </c>
      <c r="W175" s="34">
        <f t="shared" si="7"/>
        <v>1297500</v>
      </c>
      <c r="X175" s="35">
        <v>2.5</v>
      </c>
      <c r="Y175" s="34">
        <f t="shared" si="8"/>
        <v>32437.5</v>
      </c>
      <c r="Z175" s="29"/>
      <c r="AA175" s="29" t="s">
        <v>4014</v>
      </c>
      <c r="AB175" s="29">
        <v>1141071867</v>
      </c>
      <c r="AC175" s="49">
        <v>45644</v>
      </c>
      <c r="AD175" s="48" t="s">
        <v>3160</v>
      </c>
      <c r="AE175" s="48">
        <v>4</v>
      </c>
      <c r="AG175" t="s">
        <v>1820</v>
      </c>
      <c r="AH175" s="54">
        <v>32438</v>
      </c>
      <c r="AI175" s="54">
        <v>0.5</v>
      </c>
      <c r="AJ175" s="54">
        <v>1297500</v>
      </c>
      <c r="AK175" s="54">
        <v>0</v>
      </c>
      <c r="AL175" t="s">
        <v>26</v>
      </c>
      <c r="AM175" t="s">
        <v>4249</v>
      </c>
    </row>
    <row r="176" spans="1:39" ht="11.25" customHeight="1" x14ac:dyDescent="0.2">
      <c r="A176" s="29" t="s">
        <v>2974</v>
      </c>
      <c r="B176" s="29" t="s">
        <v>3387</v>
      </c>
      <c r="C176" s="40">
        <v>45597</v>
      </c>
      <c r="D176" s="39" t="s">
        <v>3720</v>
      </c>
      <c r="E176" s="29" t="s">
        <v>1295</v>
      </c>
      <c r="F176" s="32">
        <v>45615</v>
      </c>
      <c r="G176" s="32">
        <v>45979</v>
      </c>
      <c r="H176" s="30" t="s">
        <v>3888</v>
      </c>
      <c r="I176" s="31">
        <v>1510103532131</v>
      </c>
      <c r="J176" s="47" t="s">
        <v>4192</v>
      </c>
      <c r="K176" s="29" t="s">
        <v>1298</v>
      </c>
      <c r="L176" s="29" t="s">
        <v>1299</v>
      </c>
      <c r="M176" s="29" t="s">
        <v>1300</v>
      </c>
      <c r="N176" s="29" t="s">
        <v>3387</v>
      </c>
      <c r="O176" s="29" t="s">
        <v>3167</v>
      </c>
      <c r="P176" s="29" t="s">
        <v>3596</v>
      </c>
      <c r="Q176" s="29" t="s">
        <v>3597</v>
      </c>
      <c r="R176" s="32">
        <v>44522</v>
      </c>
      <c r="S176" s="32">
        <v>46361</v>
      </c>
      <c r="T176" s="33">
        <v>3190000</v>
      </c>
      <c r="U176" s="29">
        <v>20</v>
      </c>
      <c r="V176" s="34">
        <f t="shared" si="6"/>
        <v>638000</v>
      </c>
      <c r="W176" s="34">
        <f t="shared" si="7"/>
        <v>2552000</v>
      </c>
      <c r="X176" s="35">
        <v>2.5</v>
      </c>
      <c r="Y176" s="34">
        <f t="shared" si="8"/>
        <v>63800</v>
      </c>
      <c r="Z176" s="29"/>
      <c r="AA176" s="29" t="s">
        <v>4014</v>
      </c>
      <c r="AB176" s="29">
        <v>1141071867</v>
      </c>
      <c r="AC176" s="49">
        <v>45644</v>
      </c>
      <c r="AD176" s="48" t="s">
        <v>3160</v>
      </c>
      <c r="AE176" s="48">
        <v>4</v>
      </c>
      <c r="AG176" t="s">
        <v>1295</v>
      </c>
      <c r="AH176" s="54">
        <v>63800</v>
      </c>
      <c r="AI176" s="54">
        <v>0</v>
      </c>
      <c r="AJ176" s="54">
        <v>2552000</v>
      </c>
      <c r="AK176" s="54">
        <v>0</v>
      </c>
      <c r="AL176" t="s">
        <v>26</v>
      </c>
      <c r="AM176" t="s">
        <v>4249</v>
      </c>
    </row>
    <row r="177" spans="1:39" ht="11.25" customHeight="1" x14ac:dyDescent="0.2">
      <c r="A177" s="29" t="s">
        <v>2974</v>
      </c>
      <c r="B177" s="29" t="s">
        <v>3459</v>
      </c>
      <c r="C177" s="40">
        <v>45597</v>
      </c>
      <c r="D177" s="39" t="s">
        <v>3720</v>
      </c>
      <c r="E177" s="29" t="s">
        <v>1878</v>
      </c>
      <c r="F177" s="32">
        <v>45615</v>
      </c>
      <c r="G177" s="32">
        <v>45979</v>
      </c>
      <c r="H177" s="30" t="s">
        <v>3890</v>
      </c>
      <c r="I177" s="31">
        <v>3660315146957</v>
      </c>
      <c r="J177" s="47" t="s">
        <v>4195</v>
      </c>
      <c r="K177" s="29" t="s">
        <v>1880</v>
      </c>
      <c r="L177" s="29" t="s">
        <v>1881</v>
      </c>
      <c r="M177" s="29" t="s">
        <v>1882</v>
      </c>
      <c r="N177" s="29" t="s">
        <v>3459</v>
      </c>
      <c r="O177" s="29" t="s">
        <v>4013</v>
      </c>
      <c r="P177" s="29" t="s">
        <v>3678</v>
      </c>
      <c r="Q177" s="29" t="s">
        <v>3679</v>
      </c>
      <c r="R177" s="32">
        <v>44161</v>
      </c>
      <c r="S177" s="32">
        <v>45996</v>
      </c>
      <c r="T177" s="33">
        <v>3028000</v>
      </c>
      <c r="U177" s="29">
        <v>25</v>
      </c>
      <c r="V177" s="34">
        <f t="shared" si="6"/>
        <v>757000</v>
      </c>
      <c r="W177" s="34">
        <f t="shared" si="7"/>
        <v>2271000</v>
      </c>
      <c r="X177" s="35">
        <v>2</v>
      </c>
      <c r="Y177" s="34">
        <f t="shared" si="8"/>
        <v>45420</v>
      </c>
      <c r="Z177" s="29"/>
      <c r="AA177" s="29" t="s">
        <v>4014</v>
      </c>
      <c r="AB177" s="29">
        <v>1141071867</v>
      </c>
      <c r="AC177" s="49">
        <v>45644</v>
      </c>
      <c r="AD177" s="48" t="s">
        <v>3160</v>
      </c>
      <c r="AE177" s="48">
        <v>4</v>
      </c>
      <c r="AG177" t="s">
        <v>1878</v>
      </c>
      <c r="AH177" s="54">
        <v>45420</v>
      </c>
      <c r="AI177" s="54">
        <v>0</v>
      </c>
      <c r="AJ177" s="54">
        <v>2271000</v>
      </c>
      <c r="AK177" s="54">
        <v>0</v>
      </c>
      <c r="AL177" t="s">
        <v>26</v>
      </c>
      <c r="AM177" t="s">
        <v>4249</v>
      </c>
    </row>
    <row r="178" spans="1:39" ht="11.25" customHeight="1" x14ac:dyDescent="0.2">
      <c r="A178" s="29" t="s">
        <v>2974</v>
      </c>
      <c r="B178" s="29" t="s">
        <v>3300</v>
      </c>
      <c r="C178" s="40">
        <v>45597</v>
      </c>
      <c r="D178" s="39" t="s">
        <v>3720</v>
      </c>
      <c r="E178" s="29" t="s">
        <v>585</v>
      </c>
      <c r="F178" s="32">
        <v>45616</v>
      </c>
      <c r="G178" s="32">
        <v>45980</v>
      </c>
      <c r="H178" s="30" t="s">
        <v>3891</v>
      </c>
      <c r="I178" s="31">
        <v>3520188057824</v>
      </c>
      <c r="J178" s="47" t="s">
        <v>4189</v>
      </c>
      <c r="K178" s="29" t="s">
        <v>587</v>
      </c>
      <c r="L178" s="29" t="s">
        <v>588</v>
      </c>
      <c r="M178" s="29" t="s">
        <v>589</v>
      </c>
      <c r="N178" s="29" t="s">
        <v>3300</v>
      </c>
      <c r="O178" s="29" t="s">
        <v>4013</v>
      </c>
      <c r="P178" s="29" t="s">
        <v>3154</v>
      </c>
      <c r="Q178" s="29" t="s">
        <v>3501</v>
      </c>
      <c r="R178" s="32">
        <v>45253</v>
      </c>
      <c r="S178" s="32">
        <v>46361</v>
      </c>
      <c r="T178" s="33">
        <v>2200000</v>
      </c>
      <c r="U178" s="29">
        <v>10</v>
      </c>
      <c r="V178" s="34">
        <f t="shared" si="6"/>
        <v>220000</v>
      </c>
      <c r="W178" s="34">
        <f t="shared" si="7"/>
        <v>1980000</v>
      </c>
      <c r="X178" s="35">
        <v>2</v>
      </c>
      <c r="Y178" s="34">
        <f t="shared" si="8"/>
        <v>39600</v>
      </c>
      <c r="Z178" s="29"/>
      <c r="AA178" s="29" t="s">
        <v>4014</v>
      </c>
      <c r="AB178" s="29">
        <v>1141071867</v>
      </c>
      <c r="AC178" s="49">
        <v>45644</v>
      </c>
      <c r="AD178" s="48" t="s">
        <v>3160</v>
      </c>
      <c r="AE178" s="48">
        <v>4</v>
      </c>
      <c r="AG178" t="s">
        <v>585</v>
      </c>
      <c r="AH178" s="54">
        <v>39600</v>
      </c>
      <c r="AI178" s="54">
        <v>0</v>
      </c>
      <c r="AJ178" s="54">
        <v>1980000</v>
      </c>
      <c r="AK178" s="54">
        <v>0</v>
      </c>
      <c r="AL178" t="s">
        <v>26</v>
      </c>
      <c r="AM178" t="s">
        <v>4249</v>
      </c>
    </row>
    <row r="179" spans="1:39" ht="11.25" customHeight="1" x14ac:dyDescent="0.2">
      <c r="A179" s="29" t="s">
        <v>2974</v>
      </c>
      <c r="B179" s="29" t="s">
        <v>3302</v>
      </c>
      <c r="C179" s="40">
        <v>45597</v>
      </c>
      <c r="D179" s="39" t="s">
        <v>3720</v>
      </c>
      <c r="E179" s="29" t="s">
        <v>601</v>
      </c>
      <c r="F179" s="32">
        <v>45616</v>
      </c>
      <c r="G179" s="32">
        <v>45980</v>
      </c>
      <c r="H179" s="30" t="s">
        <v>3892</v>
      </c>
      <c r="I179" s="31">
        <v>4180106338861</v>
      </c>
      <c r="J179" s="47" t="s">
        <v>4222</v>
      </c>
      <c r="K179" s="29" t="s">
        <v>603</v>
      </c>
      <c r="L179" s="29" t="s">
        <v>604</v>
      </c>
      <c r="M179" s="29" t="s">
        <v>605</v>
      </c>
      <c r="N179" s="29" t="s">
        <v>3302</v>
      </c>
      <c r="O179" s="29" t="s">
        <v>3162</v>
      </c>
      <c r="P179" s="29" t="s">
        <v>3503</v>
      </c>
      <c r="Q179" s="29" t="s">
        <v>3504</v>
      </c>
      <c r="R179" s="32">
        <v>45253</v>
      </c>
      <c r="S179" s="32">
        <v>47092</v>
      </c>
      <c r="T179" s="33">
        <v>4084000</v>
      </c>
      <c r="U179" s="29">
        <v>10</v>
      </c>
      <c r="V179" s="34">
        <f t="shared" si="6"/>
        <v>408400</v>
      </c>
      <c r="W179" s="34">
        <f t="shared" si="7"/>
        <v>3675600</v>
      </c>
      <c r="X179" s="35">
        <v>1.5</v>
      </c>
      <c r="Y179" s="34">
        <f t="shared" si="8"/>
        <v>55134</v>
      </c>
      <c r="Z179" s="29"/>
      <c r="AA179" s="29" t="s">
        <v>4014</v>
      </c>
      <c r="AB179" s="29">
        <v>1141071867</v>
      </c>
      <c r="AC179" s="49">
        <v>45644</v>
      </c>
      <c r="AD179" s="48" t="s">
        <v>3160</v>
      </c>
      <c r="AE179" s="48">
        <v>4</v>
      </c>
      <c r="AG179" t="s">
        <v>601</v>
      </c>
      <c r="AH179" s="54">
        <v>55134</v>
      </c>
      <c r="AI179" s="54">
        <v>0</v>
      </c>
      <c r="AJ179" s="54">
        <v>3675600</v>
      </c>
      <c r="AK179" s="54">
        <v>0</v>
      </c>
      <c r="AL179" t="s">
        <v>26</v>
      </c>
      <c r="AM179" t="s">
        <v>4249</v>
      </c>
    </row>
    <row r="180" spans="1:39" ht="11.25" customHeight="1" x14ac:dyDescent="0.2">
      <c r="A180" s="29" t="s">
        <v>2974</v>
      </c>
      <c r="B180" s="29" t="s">
        <v>3454</v>
      </c>
      <c r="C180" s="40">
        <v>45597</v>
      </c>
      <c r="D180" s="39" t="s">
        <v>3720</v>
      </c>
      <c r="E180" s="29" t="s">
        <v>1836</v>
      </c>
      <c r="F180" s="32">
        <v>45616</v>
      </c>
      <c r="G180" s="32">
        <v>45980</v>
      </c>
      <c r="H180" s="30" t="s">
        <v>3893</v>
      </c>
      <c r="I180" s="31">
        <v>3520191594311</v>
      </c>
      <c r="J180" s="47" t="s">
        <v>4228</v>
      </c>
      <c r="K180" s="29" t="s">
        <v>1839</v>
      </c>
      <c r="L180" s="29" t="s">
        <v>1840</v>
      </c>
      <c r="M180" s="29" t="s">
        <v>1841</v>
      </c>
      <c r="N180" s="29" t="s">
        <v>3454</v>
      </c>
      <c r="O180" s="29" t="s">
        <v>4013</v>
      </c>
      <c r="P180" s="29" t="s">
        <v>3154</v>
      </c>
      <c r="Q180" s="29" t="s">
        <v>3672</v>
      </c>
      <c r="R180" s="32">
        <v>44160</v>
      </c>
      <c r="S180" s="32">
        <v>45996</v>
      </c>
      <c r="T180" s="33">
        <v>3500000</v>
      </c>
      <c r="U180" s="29">
        <v>25</v>
      </c>
      <c r="V180" s="34">
        <f t="shared" si="6"/>
        <v>875000</v>
      </c>
      <c r="W180" s="34">
        <f t="shared" si="7"/>
        <v>2625000</v>
      </c>
      <c r="X180" s="35">
        <v>1.5</v>
      </c>
      <c r="Y180" s="34">
        <f t="shared" si="8"/>
        <v>39375</v>
      </c>
      <c r="Z180" s="29"/>
      <c r="AA180" s="29" t="s">
        <v>4014</v>
      </c>
      <c r="AB180" s="29">
        <v>1141071867</v>
      </c>
      <c r="AC180" s="49">
        <v>45644</v>
      </c>
      <c r="AD180" s="48" t="s">
        <v>3160</v>
      </c>
      <c r="AE180" s="48">
        <v>4</v>
      </c>
      <c r="AG180" t="s">
        <v>1836</v>
      </c>
      <c r="AH180" s="54">
        <v>39375</v>
      </c>
      <c r="AI180" s="54">
        <v>0</v>
      </c>
      <c r="AJ180" s="54">
        <v>2625000</v>
      </c>
      <c r="AK180" s="54">
        <v>0</v>
      </c>
      <c r="AL180" t="s">
        <v>26</v>
      </c>
      <c r="AM180" t="s">
        <v>4249</v>
      </c>
    </row>
    <row r="181" spans="1:39" ht="11.25" customHeight="1" x14ac:dyDescent="0.2">
      <c r="A181" s="29" t="s">
        <v>2974</v>
      </c>
      <c r="B181" s="29" t="s">
        <v>3456</v>
      </c>
      <c r="C181" s="40">
        <v>45597</v>
      </c>
      <c r="D181" s="39" t="s">
        <v>3720</v>
      </c>
      <c r="E181" s="29" t="s">
        <v>1853</v>
      </c>
      <c r="F181" s="32">
        <v>45616</v>
      </c>
      <c r="G181" s="32">
        <v>45980</v>
      </c>
      <c r="H181" s="30" t="s">
        <v>3894</v>
      </c>
      <c r="I181" s="31">
        <v>3520225951861</v>
      </c>
      <c r="J181" s="47" t="s">
        <v>4225</v>
      </c>
      <c r="K181" s="29" t="s">
        <v>1855</v>
      </c>
      <c r="L181" s="29" t="s">
        <v>1856</v>
      </c>
      <c r="M181" s="29" t="s">
        <v>1857</v>
      </c>
      <c r="N181" s="29" t="s">
        <v>3456</v>
      </c>
      <c r="O181" s="29" t="s">
        <v>4013</v>
      </c>
      <c r="P181" s="29" t="s">
        <v>3674</v>
      </c>
      <c r="Q181" s="29" t="s">
        <v>3675</v>
      </c>
      <c r="R181" s="32">
        <v>44160</v>
      </c>
      <c r="S181" s="32">
        <v>45996</v>
      </c>
      <c r="T181" s="33">
        <v>4052500</v>
      </c>
      <c r="U181" s="29">
        <v>25</v>
      </c>
      <c r="V181" s="34">
        <f t="shared" si="6"/>
        <v>1013125</v>
      </c>
      <c r="W181" s="34">
        <f t="shared" si="7"/>
        <v>3039375</v>
      </c>
      <c r="X181" s="35">
        <v>1.5</v>
      </c>
      <c r="Y181" s="34">
        <f t="shared" si="8"/>
        <v>45590.625</v>
      </c>
      <c r="Z181" s="29"/>
      <c r="AA181" s="29" t="s">
        <v>4014</v>
      </c>
      <c r="AB181" s="29">
        <v>1141071867</v>
      </c>
      <c r="AC181" s="49">
        <v>45644</v>
      </c>
      <c r="AD181" s="48" t="s">
        <v>3160</v>
      </c>
      <c r="AE181" s="48">
        <v>0</v>
      </c>
      <c r="AG181" t="s">
        <v>1853</v>
      </c>
      <c r="AH181" s="54">
        <v>45591</v>
      </c>
      <c r="AI181" s="54">
        <v>0.375</v>
      </c>
      <c r="AJ181" s="54">
        <v>3039375</v>
      </c>
      <c r="AK181" s="54">
        <v>0</v>
      </c>
      <c r="AL181" t="s">
        <v>26</v>
      </c>
      <c r="AM181" t="s">
        <v>4249</v>
      </c>
    </row>
    <row r="182" spans="1:39" ht="11.25" customHeight="1" x14ac:dyDescent="0.2">
      <c r="A182" s="29" t="s">
        <v>2974</v>
      </c>
      <c r="B182" s="29" t="s">
        <v>3460</v>
      </c>
      <c r="C182" s="40">
        <v>45597</v>
      </c>
      <c r="D182" s="39" t="s">
        <v>3720</v>
      </c>
      <c r="E182" s="29" t="s">
        <v>1886</v>
      </c>
      <c r="F182" s="32">
        <v>45616</v>
      </c>
      <c r="G182" s="32">
        <v>45980</v>
      </c>
      <c r="H182" s="30" t="s">
        <v>3895</v>
      </c>
      <c r="I182" s="31">
        <v>3410132897359</v>
      </c>
      <c r="J182" s="47" t="s">
        <v>417</v>
      </c>
      <c r="K182" s="29" t="s">
        <v>1888</v>
      </c>
      <c r="L182" s="29" t="s">
        <v>1889</v>
      </c>
      <c r="M182" s="29" t="s">
        <v>1890</v>
      </c>
      <c r="N182" s="29" t="s">
        <v>3460</v>
      </c>
      <c r="O182" s="29" t="s">
        <v>4013</v>
      </c>
      <c r="P182" s="29" t="s">
        <v>3258</v>
      </c>
      <c r="Q182" s="29" t="s">
        <v>3680</v>
      </c>
      <c r="R182" s="32">
        <v>44161</v>
      </c>
      <c r="S182" s="32">
        <v>45996</v>
      </c>
      <c r="T182" s="33">
        <v>2900000</v>
      </c>
      <c r="U182" s="29">
        <v>25</v>
      </c>
      <c r="V182" s="34">
        <f t="shared" si="6"/>
        <v>725000</v>
      </c>
      <c r="W182" s="34">
        <f t="shared" si="7"/>
        <v>2175000</v>
      </c>
      <c r="X182" s="35">
        <v>2.5</v>
      </c>
      <c r="Y182" s="34">
        <f t="shared" si="8"/>
        <v>54375</v>
      </c>
      <c r="Z182" s="29"/>
      <c r="AA182" s="29" t="s">
        <v>4014</v>
      </c>
      <c r="AB182" s="29">
        <v>1141071867</v>
      </c>
      <c r="AC182" s="49">
        <v>45644</v>
      </c>
      <c r="AD182" s="48" t="s">
        <v>3160</v>
      </c>
      <c r="AE182" s="48">
        <v>0</v>
      </c>
      <c r="AG182" t="s">
        <v>1886</v>
      </c>
      <c r="AH182" s="54">
        <v>54375</v>
      </c>
      <c r="AI182" s="54">
        <v>0</v>
      </c>
      <c r="AJ182" s="54">
        <v>2175000</v>
      </c>
      <c r="AK182" s="54">
        <v>0</v>
      </c>
      <c r="AL182" t="s">
        <v>26</v>
      </c>
      <c r="AM182" t="s">
        <v>4249</v>
      </c>
    </row>
    <row r="183" spans="1:39" ht="11.25" customHeight="1" x14ac:dyDescent="0.2">
      <c r="A183" s="29" t="s">
        <v>2974</v>
      </c>
      <c r="B183" s="29" t="s">
        <v>3461</v>
      </c>
      <c r="C183" s="40">
        <v>45597</v>
      </c>
      <c r="D183" s="39" t="s">
        <v>3720</v>
      </c>
      <c r="E183" s="29" t="s">
        <v>1894</v>
      </c>
      <c r="F183" s="32">
        <v>45616</v>
      </c>
      <c r="G183" s="32">
        <v>45980</v>
      </c>
      <c r="H183" s="30" t="s">
        <v>3896</v>
      </c>
      <c r="I183" s="31">
        <v>6110118245785</v>
      </c>
      <c r="J183" s="47" t="s">
        <v>4229</v>
      </c>
      <c r="K183" s="29" t="s">
        <v>1897</v>
      </c>
      <c r="L183" s="29" t="s">
        <v>1898</v>
      </c>
      <c r="M183" s="29" t="s">
        <v>1899</v>
      </c>
      <c r="N183" s="29" t="s">
        <v>3461</v>
      </c>
      <c r="O183" s="29" t="s">
        <v>3167</v>
      </c>
      <c r="P183" s="29" t="s">
        <v>3168</v>
      </c>
      <c r="Q183" s="29" t="s">
        <v>3681</v>
      </c>
      <c r="R183" s="32">
        <v>44161</v>
      </c>
      <c r="S183" s="32">
        <v>45996</v>
      </c>
      <c r="T183" s="33">
        <v>1500000</v>
      </c>
      <c r="U183" s="29">
        <v>25</v>
      </c>
      <c r="V183" s="34">
        <f t="shared" si="6"/>
        <v>375000</v>
      </c>
      <c r="W183" s="34">
        <f t="shared" si="7"/>
        <v>1125000</v>
      </c>
      <c r="X183" s="35">
        <v>2.5</v>
      </c>
      <c r="Y183" s="34">
        <f t="shared" si="8"/>
        <v>28125</v>
      </c>
      <c r="Z183" s="29"/>
      <c r="AA183" s="29" t="s">
        <v>4014</v>
      </c>
      <c r="AB183" s="29">
        <v>1141071867</v>
      </c>
      <c r="AC183" s="49">
        <v>45644</v>
      </c>
      <c r="AD183" s="48" t="s">
        <v>3160</v>
      </c>
      <c r="AE183" s="48">
        <v>0</v>
      </c>
      <c r="AG183" t="s">
        <v>1894</v>
      </c>
      <c r="AH183" s="54">
        <v>28125</v>
      </c>
      <c r="AI183" s="54">
        <v>0</v>
      </c>
      <c r="AJ183" s="54">
        <v>1125000</v>
      </c>
      <c r="AK183" s="54">
        <v>0</v>
      </c>
      <c r="AL183" t="s">
        <v>26</v>
      </c>
      <c r="AM183" t="s">
        <v>4249</v>
      </c>
    </row>
    <row r="184" spans="1:39" ht="11.25" customHeight="1" x14ac:dyDescent="0.2">
      <c r="A184" s="29" t="s">
        <v>2974</v>
      </c>
      <c r="B184" s="29" t="s">
        <v>3463</v>
      </c>
      <c r="C184" s="40">
        <v>45597</v>
      </c>
      <c r="D184" s="39" t="s">
        <v>3720</v>
      </c>
      <c r="E184" s="29" t="s">
        <v>1912</v>
      </c>
      <c r="F184" s="32">
        <v>45616</v>
      </c>
      <c r="G184" s="32">
        <v>45980</v>
      </c>
      <c r="H184" s="30" t="s">
        <v>3897</v>
      </c>
      <c r="I184" s="31">
        <v>3550403441359</v>
      </c>
      <c r="J184" s="47" t="s">
        <v>4185</v>
      </c>
      <c r="K184" s="29" t="s">
        <v>1914</v>
      </c>
      <c r="L184" s="29" t="s">
        <v>1915</v>
      </c>
      <c r="M184" s="29" t="s">
        <v>1916</v>
      </c>
      <c r="N184" s="29" t="s">
        <v>3463</v>
      </c>
      <c r="O184" s="29" t="s">
        <v>4013</v>
      </c>
      <c r="P184" s="29" t="s">
        <v>3154</v>
      </c>
      <c r="Q184" s="29" t="s">
        <v>3683</v>
      </c>
      <c r="R184" s="32">
        <v>44162</v>
      </c>
      <c r="S184" s="32">
        <v>45996</v>
      </c>
      <c r="T184" s="33">
        <v>2455000</v>
      </c>
      <c r="U184" s="29">
        <v>25</v>
      </c>
      <c r="V184" s="34">
        <f t="shared" si="6"/>
        <v>613750</v>
      </c>
      <c r="W184" s="34">
        <f t="shared" si="7"/>
        <v>1841250</v>
      </c>
      <c r="X184" s="35">
        <v>2.5</v>
      </c>
      <c r="Y184" s="34">
        <f t="shared" si="8"/>
        <v>46031.25</v>
      </c>
      <c r="Z184" s="29"/>
      <c r="AA184" s="29" t="s">
        <v>4014</v>
      </c>
      <c r="AB184" s="29">
        <v>1141071867</v>
      </c>
      <c r="AC184" s="49">
        <v>45644</v>
      </c>
      <c r="AD184" s="48" t="s">
        <v>3160</v>
      </c>
      <c r="AE184" s="48">
        <v>4</v>
      </c>
      <c r="AG184" t="s">
        <v>1912</v>
      </c>
      <c r="AH184" s="54">
        <v>46031</v>
      </c>
      <c r="AI184" s="54">
        <v>-0.25</v>
      </c>
      <c r="AJ184" s="54">
        <v>1841250</v>
      </c>
      <c r="AK184" s="54">
        <v>0</v>
      </c>
      <c r="AL184" t="s">
        <v>26</v>
      </c>
      <c r="AM184" t="s">
        <v>4249</v>
      </c>
    </row>
    <row r="185" spans="1:39" ht="11.25" customHeight="1" x14ac:dyDescent="0.2">
      <c r="A185" s="29" t="s">
        <v>2974</v>
      </c>
      <c r="B185" s="29" t="s">
        <v>3466</v>
      </c>
      <c r="C185" s="40">
        <v>45597</v>
      </c>
      <c r="D185" s="39" t="s">
        <v>3720</v>
      </c>
      <c r="E185" s="29" t="s">
        <v>1936</v>
      </c>
      <c r="F185" s="32">
        <v>45616</v>
      </c>
      <c r="G185" s="32">
        <v>45980</v>
      </c>
      <c r="H185" s="30" t="s">
        <v>3898</v>
      </c>
      <c r="I185" s="31">
        <v>3820199208097</v>
      </c>
      <c r="J185" s="47" t="s">
        <v>4224</v>
      </c>
      <c r="K185" s="29" t="s">
        <v>1938</v>
      </c>
      <c r="L185" s="29" t="s">
        <v>1939</v>
      </c>
      <c r="M185" s="29" t="s">
        <v>1940</v>
      </c>
      <c r="N185" s="29" t="s">
        <v>3466</v>
      </c>
      <c r="O185" s="29" t="s">
        <v>4013</v>
      </c>
      <c r="P185" s="29" t="s">
        <v>3687</v>
      </c>
      <c r="Q185" s="29" t="s">
        <v>3688</v>
      </c>
      <c r="R185" s="32">
        <v>44165</v>
      </c>
      <c r="S185" s="32">
        <v>45996</v>
      </c>
      <c r="T185" s="33">
        <v>1730000</v>
      </c>
      <c r="U185" s="29">
        <v>25</v>
      </c>
      <c r="V185" s="34">
        <f t="shared" si="6"/>
        <v>432500</v>
      </c>
      <c r="W185" s="34">
        <f t="shared" si="7"/>
        <v>1297500</v>
      </c>
      <c r="X185" s="35">
        <v>2.5</v>
      </c>
      <c r="Y185" s="34">
        <f t="shared" si="8"/>
        <v>32437.5</v>
      </c>
      <c r="Z185" s="29"/>
      <c r="AA185" s="29" t="s">
        <v>4014</v>
      </c>
      <c r="AB185" s="29">
        <v>1141071867</v>
      </c>
      <c r="AC185" s="49">
        <v>45644</v>
      </c>
      <c r="AD185" s="48" t="s">
        <v>3160</v>
      </c>
      <c r="AE185" s="48">
        <v>34</v>
      </c>
      <c r="AG185" t="s">
        <v>1936</v>
      </c>
      <c r="AH185" s="54">
        <v>32438</v>
      </c>
      <c r="AI185" s="54">
        <v>0.5</v>
      </c>
      <c r="AJ185" s="54">
        <v>1297500</v>
      </c>
      <c r="AK185" s="54">
        <v>0</v>
      </c>
      <c r="AL185" t="s">
        <v>26</v>
      </c>
      <c r="AM185" t="s">
        <v>4249</v>
      </c>
    </row>
    <row r="186" spans="1:39" ht="11.25" customHeight="1" x14ac:dyDescent="0.2">
      <c r="A186" s="29" t="s">
        <v>2974</v>
      </c>
      <c r="B186" s="38" t="s">
        <v>3288</v>
      </c>
      <c r="C186" s="40">
        <v>45597</v>
      </c>
      <c r="D186" s="39" t="s">
        <v>3720</v>
      </c>
      <c r="E186" s="29" t="s">
        <v>2084</v>
      </c>
      <c r="F186" s="32">
        <v>45616</v>
      </c>
      <c r="G186" s="32">
        <v>45980</v>
      </c>
      <c r="H186" s="30" t="s">
        <v>3899</v>
      </c>
      <c r="I186" s="31">
        <v>3210260214993</v>
      </c>
      <c r="J186" s="47" t="s">
        <v>4224</v>
      </c>
      <c r="K186" s="29" t="s">
        <v>2086</v>
      </c>
      <c r="L186" s="29" t="s">
        <v>2087</v>
      </c>
      <c r="M186" s="29" t="s">
        <v>2088</v>
      </c>
      <c r="N186" s="38" t="s">
        <v>3288</v>
      </c>
      <c r="O186" s="29" t="s">
        <v>4013</v>
      </c>
      <c r="P186" s="29" t="s">
        <v>3170</v>
      </c>
      <c r="Q186" s="29" t="s">
        <v>3710</v>
      </c>
      <c r="R186" s="32">
        <v>44162</v>
      </c>
      <c r="S186" s="32">
        <v>45996</v>
      </c>
      <c r="T186" s="33">
        <v>1350000</v>
      </c>
      <c r="U186" s="29">
        <v>25</v>
      </c>
      <c r="V186" s="34">
        <f t="shared" si="6"/>
        <v>337500</v>
      </c>
      <c r="W186" s="34">
        <f t="shared" si="7"/>
        <v>1012500</v>
      </c>
      <c r="X186" s="35">
        <v>2.5</v>
      </c>
      <c r="Y186" s="34">
        <f t="shared" si="8"/>
        <v>25312.5</v>
      </c>
      <c r="Z186" s="29"/>
      <c r="AA186" s="29" t="s">
        <v>4014</v>
      </c>
      <c r="AB186" s="29">
        <v>1141071867</v>
      </c>
      <c r="AC186" s="49">
        <v>45644</v>
      </c>
      <c r="AD186" s="48" t="s">
        <v>3160</v>
      </c>
      <c r="AE186" s="48">
        <v>0</v>
      </c>
      <c r="AG186" t="s">
        <v>2084</v>
      </c>
      <c r="AH186" s="54">
        <v>25313</v>
      </c>
      <c r="AI186" s="54">
        <v>0.5</v>
      </c>
      <c r="AJ186" s="54">
        <v>1012500</v>
      </c>
      <c r="AK186" s="54">
        <v>0</v>
      </c>
      <c r="AL186" t="s">
        <v>26</v>
      </c>
      <c r="AM186" t="s">
        <v>4249</v>
      </c>
    </row>
    <row r="187" spans="1:39" ht="11.25" customHeight="1" x14ac:dyDescent="0.2">
      <c r="A187" s="29" t="s">
        <v>2974</v>
      </c>
      <c r="B187" s="29" t="s">
        <v>3486</v>
      </c>
      <c r="C187" s="40">
        <v>45597</v>
      </c>
      <c r="D187" s="39" t="s">
        <v>3720</v>
      </c>
      <c r="E187" s="29" t="s">
        <v>2122</v>
      </c>
      <c r="F187" s="32">
        <v>45616</v>
      </c>
      <c r="G187" s="32">
        <v>45980</v>
      </c>
      <c r="H187" s="30" t="s">
        <v>3900</v>
      </c>
      <c r="I187" s="31">
        <v>3630270982119</v>
      </c>
      <c r="J187" s="47" t="s">
        <v>4195</v>
      </c>
      <c r="K187" s="29" t="s">
        <v>2125</v>
      </c>
      <c r="L187" s="29" t="s">
        <v>2126</v>
      </c>
      <c r="M187" s="29" t="s">
        <v>2127</v>
      </c>
      <c r="N187" s="29" t="s">
        <v>3486</v>
      </c>
      <c r="O187" s="29" t="s">
        <v>4013</v>
      </c>
      <c r="P187" s="29" t="s">
        <v>3216</v>
      </c>
      <c r="Q187" s="29" t="s">
        <v>3716</v>
      </c>
      <c r="R187" s="32">
        <v>44160</v>
      </c>
      <c r="S187" s="32">
        <v>46727</v>
      </c>
      <c r="T187" s="33">
        <v>2494000</v>
      </c>
      <c r="U187" s="29">
        <v>25</v>
      </c>
      <c r="V187" s="34">
        <f t="shared" si="6"/>
        <v>623500</v>
      </c>
      <c r="W187" s="34">
        <f t="shared" si="7"/>
        <v>1870500</v>
      </c>
      <c r="X187" s="35">
        <v>3.75</v>
      </c>
      <c r="Y187" s="34">
        <f t="shared" si="8"/>
        <v>70143.75</v>
      </c>
      <c r="Z187" s="29"/>
      <c r="AA187" s="29" t="s">
        <v>4014</v>
      </c>
      <c r="AB187" s="29">
        <v>1141071867</v>
      </c>
      <c r="AC187" s="49">
        <v>45644</v>
      </c>
      <c r="AD187" s="48" t="s">
        <v>3160</v>
      </c>
      <c r="AE187" s="48">
        <v>0</v>
      </c>
      <c r="AG187" t="s">
        <v>2122</v>
      </c>
      <c r="AH187" s="54">
        <v>70144</v>
      </c>
      <c r="AI187" s="54">
        <v>0.25</v>
      </c>
      <c r="AJ187" s="54">
        <v>1870500</v>
      </c>
      <c r="AK187" s="54">
        <v>0</v>
      </c>
      <c r="AL187" t="s">
        <v>26</v>
      </c>
      <c r="AM187" t="s">
        <v>4249</v>
      </c>
    </row>
    <row r="188" spans="1:39" ht="11.25" customHeight="1" x14ac:dyDescent="0.2">
      <c r="A188" s="29" t="s">
        <v>2974</v>
      </c>
      <c r="B188" s="29" t="s">
        <v>3303</v>
      </c>
      <c r="C188" s="40">
        <v>45597</v>
      </c>
      <c r="D188" s="39" t="s">
        <v>3720</v>
      </c>
      <c r="E188" s="29" t="s">
        <v>609</v>
      </c>
      <c r="F188" s="32">
        <v>45617</v>
      </c>
      <c r="G188" s="32">
        <v>45981</v>
      </c>
      <c r="H188" s="30" t="s">
        <v>3901</v>
      </c>
      <c r="I188" s="31">
        <v>3530172283823</v>
      </c>
      <c r="J188" s="47" t="s">
        <v>4220</v>
      </c>
      <c r="K188" s="29" t="s">
        <v>611</v>
      </c>
      <c r="L188" s="29" t="s">
        <v>612</v>
      </c>
      <c r="M188" s="29" t="s">
        <v>613</v>
      </c>
      <c r="N188" s="29" t="s">
        <v>3303</v>
      </c>
      <c r="O188" s="29" t="s">
        <v>4013</v>
      </c>
      <c r="P188" s="29" t="s">
        <v>3154</v>
      </c>
      <c r="Q188" s="29" t="s">
        <v>3505</v>
      </c>
      <c r="R188" s="32">
        <v>45258</v>
      </c>
      <c r="S188" s="32">
        <v>46361</v>
      </c>
      <c r="T188" s="33">
        <v>3800000</v>
      </c>
      <c r="U188" s="29">
        <v>10</v>
      </c>
      <c r="V188" s="34">
        <f t="shared" si="6"/>
        <v>380000</v>
      </c>
      <c r="W188" s="34">
        <f t="shared" si="7"/>
        <v>3420000</v>
      </c>
      <c r="X188" s="35">
        <v>1.5</v>
      </c>
      <c r="Y188" s="34">
        <f t="shared" si="8"/>
        <v>51300</v>
      </c>
      <c r="Z188" s="29"/>
      <c r="AA188" s="29" t="s">
        <v>4014</v>
      </c>
      <c r="AB188" s="29">
        <v>1141071867</v>
      </c>
      <c r="AC188" s="49">
        <v>45644</v>
      </c>
      <c r="AD188" s="48" t="s">
        <v>3160</v>
      </c>
      <c r="AE188" s="48">
        <v>0</v>
      </c>
      <c r="AG188" t="s">
        <v>609</v>
      </c>
      <c r="AH188" s="54">
        <v>51300</v>
      </c>
      <c r="AI188" s="54">
        <v>0</v>
      </c>
      <c r="AJ188" s="54">
        <v>3420000</v>
      </c>
      <c r="AK188" s="54">
        <v>0</v>
      </c>
      <c r="AL188" t="s">
        <v>26</v>
      </c>
      <c r="AM188" t="s">
        <v>4249</v>
      </c>
    </row>
    <row r="189" spans="1:39" ht="11.25" customHeight="1" x14ac:dyDescent="0.2">
      <c r="A189" s="29" t="s">
        <v>2974</v>
      </c>
      <c r="B189" s="29" t="s">
        <v>3304</v>
      </c>
      <c r="C189" s="40">
        <v>45597</v>
      </c>
      <c r="D189" s="39" t="s">
        <v>3720</v>
      </c>
      <c r="E189" s="29" t="s">
        <v>616</v>
      </c>
      <c r="F189" s="32">
        <v>45617</v>
      </c>
      <c r="G189" s="32">
        <v>45981</v>
      </c>
      <c r="H189" s="30" t="s">
        <v>3902</v>
      </c>
      <c r="I189" s="31">
        <v>3450150667383</v>
      </c>
      <c r="J189" s="47" t="s">
        <v>4222</v>
      </c>
      <c r="K189" s="29" t="s">
        <v>618</v>
      </c>
      <c r="L189" s="29" t="s">
        <v>619</v>
      </c>
      <c r="M189" s="29" t="s">
        <v>620</v>
      </c>
      <c r="N189" s="29" t="s">
        <v>3304</v>
      </c>
      <c r="O189" s="29" t="s">
        <v>4013</v>
      </c>
      <c r="P189" s="29" t="s">
        <v>3154</v>
      </c>
      <c r="Q189" s="29" t="s">
        <v>3506</v>
      </c>
      <c r="R189" s="32">
        <v>45254</v>
      </c>
      <c r="S189" s="32">
        <v>47092</v>
      </c>
      <c r="T189" s="33">
        <v>2950000</v>
      </c>
      <c r="U189" s="29">
        <v>10</v>
      </c>
      <c r="V189" s="34">
        <f t="shared" si="6"/>
        <v>295000</v>
      </c>
      <c r="W189" s="34">
        <f t="shared" si="7"/>
        <v>2655000</v>
      </c>
      <c r="X189" s="35">
        <v>2</v>
      </c>
      <c r="Y189" s="34">
        <f t="shared" si="8"/>
        <v>53100</v>
      </c>
      <c r="Z189" s="29"/>
      <c r="AA189" s="29" t="s">
        <v>4014</v>
      </c>
      <c r="AB189" s="29">
        <v>1141071867</v>
      </c>
      <c r="AC189" s="49">
        <v>45644</v>
      </c>
      <c r="AD189" s="48" t="s">
        <v>3160</v>
      </c>
      <c r="AE189" s="48">
        <v>4</v>
      </c>
      <c r="AG189" t="s">
        <v>616</v>
      </c>
      <c r="AH189" s="54">
        <v>53100</v>
      </c>
      <c r="AI189" s="54">
        <v>0</v>
      </c>
      <c r="AJ189" s="54">
        <v>2655000</v>
      </c>
      <c r="AK189" s="54">
        <v>0</v>
      </c>
      <c r="AL189" t="s">
        <v>26</v>
      </c>
      <c r="AM189" t="s">
        <v>4249</v>
      </c>
    </row>
    <row r="190" spans="1:39" ht="11.25" customHeight="1" x14ac:dyDescent="0.2">
      <c r="A190" s="29" t="s">
        <v>2974</v>
      </c>
      <c r="B190" s="29" t="s">
        <v>3350</v>
      </c>
      <c r="C190" s="40">
        <v>45597</v>
      </c>
      <c r="D190" s="39" t="s">
        <v>3720</v>
      </c>
      <c r="E190" s="29" t="s">
        <v>995</v>
      </c>
      <c r="F190" s="32">
        <v>45617</v>
      </c>
      <c r="G190" s="32">
        <v>45981</v>
      </c>
      <c r="H190" s="30" t="s">
        <v>3904</v>
      </c>
      <c r="I190" s="31">
        <v>6110134796196</v>
      </c>
      <c r="J190" s="47" t="s">
        <v>4189</v>
      </c>
      <c r="K190" s="29" t="s">
        <v>997</v>
      </c>
      <c r="L190" s="29" t="s">
        <v>998</v>
      </c>
      <c r="M190" s="29" t="s">
        <v>999</v>
      </c>
      <c r="N190" s="29" t="s">
        <v>3350</v>
      </c>
      <c r="O190" s="29" t="s">
        <v>3167</v>
      </c>
      <c r="P190" s="29" t="s">
        <v>3168</v>
      </c>
      <c r="Q190" s="29" t="s">
        <v>3557</v>
      </c>
      <c r="R190" s="32">
        <v>44887</v>
      </c>
      <c r="S190" s="32">
        <v>47457</v>
      </c>
      <c r="T190" s="33">
        <v>1951000</v>
      </c>
      <c r="U190" s="29">
        <v>15</v>
      </c>
      <c r="V190" s="34">
        <f t="shared" si="6"/>
        <v>292650</v>
      </c>
      <c r="W190" s="34">
        <f t="shared" si="7"/>
        <v>1658350</v>
      </c>
      <c r="X190" s="35">
        <v>2.5</v>
      </c>
      <c r="Y190" s="34">
        <f t="shared" si="8"/>
        <v>41458.75</v>
      </c>
      <c r="Z190" s="29"/>
      <c r="AA190" s="29" t="s">
        <v>4014</v>
      </c>
      <c r="AB190" s="29">
        <v>1141071867</v>
      </c>
      <c r="AC190" s="49">
        <v>45644</v>
      </c>
      <c r="AD190" s="48" t="s">
        <v>3160</v>
      </c>
      <c r="AE190" s="48">
        <v>0</v>
      </c>
      <c r="AG190" t="s">
        <v>995</v>
      </c>
      <c r="AH190" s="54">
        <v>41459</v>
      </c>
      <c r="AI190" s="54">
        <v>0.25</v>
      </c>
      <c r="AJ190" s="54">
        <v>1658350</v>
      </c>
      <c r="AK190" s="54">
        <v>0</v>
      </c>
      <c r="AL190" t="s">
        <v>26</v>
      </c>
      <c r="AM190" t="s">
        <v>4249</v>
      </c>
    </row>
    <row r="191" spans="1:39" ht="11.25" customHeight="1" x14ac:dyDescent="0.2">
      <c r="A191" s="29" t="s">
        <v>2974</v>
      </c>
      <c r="B191" s="29" t="s">
        <v>3351</v>
      </c>
      <c r="C191" s="40">
        <v>45597</v>
      </c>
      <c r="D191" s="39" t="s">
        <v>3720</v>
      </c>
      <c r="E191" s="29" t="s">
        <v>1003</v>
      </c>
      <c r="F191" s="32">
        <v>45617</v>
      </c>
      <c r="G191" s="32">
        <v>45981</v>
      </c>
      <c r="H191" s="30" t="s">
        <v>3905</v>
      </c>
      <c r="I191" s="31">
        <v>3520255571899</v>
      </c>
      <c r="J191" s="47" t="s">
        <v>4180</v>
      </c>
      <c r="K191" s="29" t="s">
        <v>1005</v>
      </c>
      <c r="L191" s="29" t="s">
        <v>1006</v>
      </c>
      <c r="M191" s="29" t="s">
        <v>1007</v>
      </c>
      <c r="N191" s="29" t="s">
        <v>3351</v>
      </c>
      <c r="O191" s="29" t="s">
        <v>4013</v>
      </c>
      <c r="P191" s="29" t="s">
        <v>3154</v>
      </c>
      <c r="Q191" s="29" t="s">
        <v>3558</v>
      </c>
      <c r="R191" s="32">
        <v>44895</v>
      </c>
      <c r="S191" s="32">
        <v>47457</v>
      </c>
      <c r="T191" s="33">
        <v>1733000</v>
      </c>
      <c r="U191" s="29">
        <v>15</v>
      </c>
      <c r="V191" s="34">
        <f t="shared" si="6"/>
        <v>259950</v>
      </c>
      <c r="W191" s="34">
        <f t="shared" si="7"/>
        <v>1473050</v>
      </c>
      <c r="X191" s="35">
        <v>2.5</v>
      </c>
      <c r="Y191" s="34">
        <f t="shared" si="8"/>
        <v>36826.25</v>
      </c>
      <c r="Z191" s="29"/>
      <c r="AA191" s="29" t="s">
        <v>4014</v>
      </c>
      <c r="AB191" s="29">
        <v>1141071867</v>
      </c>
      <c r="AC191" s="49">
        <v>45644</v>
      </c>
      <c r="AD191" s="48" t="s">
        <v>3160</v>
      </c>
      <c r="AE191" s="48">
        <v>0</v>
      </c>
      <c r="AG191" t="s">
        <v>1003</v>
      </c>
      <c r="AH191" s="54">
        <v>36826</v>
      </c>
      <c r="AI191" s="54">
        <v>-0.25</v>
      </c>
      <c r="AJ191" s="54">
        <v>1473050</v>
      </c>
      <c r="AK191" s="54">
        <v>0</v>
      </c>
      <c r="AL191" t="s">
        <v>26</v>
      </c>
      <c r="AM191" t="s">
        <v>4249</v>
      </c>
    </row>
    <row r="192" spans="1:39" ht="11.25" customHeight="1" x14ac:dyDescent="0.2">
      <c r="A192" s="29" t="s">
        <v>2974</v>
      </c>
      <c r="B192" s="29" t="s">
        <v>3352</v>
      </c>
      <c r="C192" s="40">
        <v>45597</v>
      </c>
      <c r="D192" s="39" t="s">
        <v>3720</v>
      </c>
      <c r="E192" s="29" t="s">
        <v>1011</v>
      </c>
      <c r="F192" s="32">
        <v>45617</v>
      </c>
      <c r="G192" s="32">
        <v>45981</v>
      </c>
      <c r="H192" s="30" t="s">
        <v>3906</v>
      </c>
      <c r="I192" s="31">
        <v>6110107046163</v>
      </c>
      <c r="J192" s="47" t="s">
        <v>4189</v>
      </c>
      <c r="K192" s="29"/>
      <c r="L192" s="29" t="s">
        <v>1013</v>
      </c>
      <c r="M192" s="29" t="s">
        <v>1014</v>
      </c>
      <c r="N192" s="29" t="s">
        <v>3352</v>
      </c>
      <c r="O192" s="29" t="s">
        <v>3167</v>
      </c>
      <c r="P192" s="29" t="s">
        <v>3168</v>
      </c>
      <c r="Q192" s="29" t="s">
        <v>3559</v>
      </c>
      <c r="R192" s="32">
        <v>44893</v>
      </c>
      <c r="S192" s="32">
        <v>46361</v>
      </c>
      <c r="T192" s="33">
        <v>1951000</v>
      </c>
      <c r="U192" s="29">
        <v>15</v>
      </c>
      <c r="V192" s="34">
        <f t="shared" si="6"/>
        <v>292650</v>
      </c>
      <c r="W192" s="34">
        <f t="shared" si="7"/>
        <v>1658350</v>
      </c>
      <c r="X192" s="35">
        <v>2.5</v>
      </c>
      <c r="Y192" s="34">
        <f t="shared" si="8"/>
        <v>41458.75</v>
      </c>
      <c r="Z192" s="29"/>
      <c r="AA192" s="29" t="s">
        <v>4014</v>
      </c>
      <c r="AB192" s="29">
        <v>1141071867</v>
      </c>
      <c r="AC192" s="49">
        <v>45644</v>
      </c>
      <c r="AD192" s="48" t="s">
        <v>3160</v>
      </c>
      <c r="AE192" s="48">
        <v>0</v>
      </c>
      <c r="AG192" t="s">
        <v>1011</v>
      </c>
      <c r="AH192" s="54">
        <v>41459</v>
      </c>
      <c r="AI192" s="54">
        <v>0.25</v>
      </c>
      <c r="AJ192" s="54">
        <v>1658350</v>
      </c>
      <c r="AK192" s="54">
        <v>0</v>
      </c>
      <c r="AL192" t="s">
        <v>26</v>
      </c>
      <c r="AM192" t="s">
        <v>4249</v>
      </c>
    </row>
    <row r="193" spans="1:39" ht="11.25" customHeight="1" x14ac:dyDescent="0.2">
      <c r="A193" s="29" t="s">
        <v>2974</v>
      </c>
      <c r="B193" s="29" t="s">
        <v>3353</v>
      </c>
      <c r="C193" s="40">
        <v>45597</v>
      </c>
      <c r="D193" s="39" t="s">
        <v>3720</v>
      </c>
      <c r="E193" s="29" t="s">
        <v>1018</v>
      </c>
      <c r="F193" s="32">
        <v>45617</v>
      </c>
      <c r="G193" s="32">
        <v>45981</v>
      </c>
      <c r="H193" s="30" t="s">
        <v>3907</v>
      </c>
      <c r="I193" s="31">
        <v>3520296913107</v>
      </c>
      <c r="J193" s="47" t="s">
        <v>4182</v>
      </c>
      <c r="K193" s="29" t="s">
        <v>1020</v>
      </c>
      <c r="L193" s="29" t="s">
        <v>1021</v>
      </c>
      <c r="M193" s="29" t="s">
        <v>1022</v>
      </c>
      <c r="N193" s="29" t="s">
        <v>3353</v>
      </c>
      <c r="O193" s="29" t="s">
        <v>4013</v>
      </c>
      <c r="P193" s="29" t="s">
        <v>3154</v>
      </c>
      <c r="Q193" s="29" t="s">
        <v>3560</v>
      </c>
      <c r="R193" s="32">
        <v>44888</v>
      </c>
      <c r="S193" s="32">
        <v>46727</v>
      </c>
      <c r="T193" s="33">
        <v>1750000</v>
      </c>
      <c r="U193" s="29">
        <v>15</v>
      </c>
      <c r="V193" s="34">
        <f t="shared" si="6"/>
        <v>262500</v>
      </c>
      <c r="W193" s="34">
        <f t="shared" si="7"/>
        <v>1487500</v>
      </c>
      <c r="X193" s="35">
        <v>1.5</v>
      </c>
      <c r="Y193" s="34">
        <f t="shared" si="8"/>
        <v>22312.5</v>
      </c>
      <c r="Z193" s="29"/>
      <c r="AA193" s="29" t="s">
        <v>4014</v>
      </c>
      <c r="AB193" s="29">
        <v>1141071867</v>
      </c>
      <c r="AC193" s="49">
        <v>45644</v>
      </c>
      <c r="AD193" s="48" t="s">
        <v>3160</v>
      </c>
      <c r="AE193" s="48">
        <v>4</v>
      </c>
      <c r="AG193" t="s">
        <v>1018</v>
      </c>
      <c r="AH193" s="54">
        <v>22313</v>
      </c>
      <c r="AI193" s="54">
        <v>0.5</v>
      </c>
      <c r="AJ193" s="54">
        <v>1487500</v>
      </c>
      <c r="AK193" s="54">
        <v>0</v>
      </c>
      <c r="AL193" t="s">
        <v>26</v>
      </c>
      <c r="AM193" t="s">
        <v>4249</v>
      </c>
    </row>
    <row r="194" spans="1:39" ht="11.25" customHeight="1" x14ac:dyDescent="0.2">
      <c r="A194" s="29" t="s">
        <v>2974</v>
      </c>
      <c r="B194" s="29" t="s">
        <v>3354</v>
      </c>
      <c r="C194" s="40">
        <v>45597</v>
      </c>
      <c r="D194" s="39" t="s">
        <v>3720</v>
      </c>
      <c r="E194" s="29" t="s">
        <v>1026</v>
      </c>
      <c r="F194" s="32">
        <v>45617</v>
      </c>
      <c r="G194" s="32">
        <v>45981</v>
      </c>
      <c r="H194" s="30" t="s">
        <v>3908</v>
      </c>
      <c r="I194" s="31">
        <v>3630277313443</v>
      </c>
      <c r="J194" s="47" t="s">
        <v>4223</v>
      </c>
      <c r="K194" s="29" t="s">
        <v>1028</v>
      </c>
      <c r="L194" s="29" t="s">
        <v>1029</v>
      </c>
      <c r="M194" s="29" t="s">
        <v>1030</v>
      </c>
      <c r="N194" s="29" t="s">
        <v>3354</v>
      </c>
      <c r="O194" s="29" t="s">
        <v>4013</v>
      </c>
      <c r="P194" s="29" t="s">
        <v>3216</v>
      </c>
      <c r="Q194" s="29" t="s">
        <v>3561</v>
      </c>
      <c r="R194" s="32">
        <v>44908</v>
      </c>
      <c r="S194" s="32">
        <v>46727</v>
      </c>
      <c r="T194" s="33">
        <v>2515000</v>
      </c>
      <c r="U194" s="29">
        <v>15</v>
      </c>
      <c r="V194" s="34">
        <f t="shared" ref="V194:V257" si="9">T194*U194%</f>
        <v>377250</v>
      </c>
      <c r="W194" s="34">
        <f t="shared" ref="W194:W257" si="10">T194-V194</f>
        <v>2137750</v>
      </c>
      <c r="X194" s="35">
        <v>2.5</v>
      </c>
      <c r="Y194" s="34">
        <f t="shared" ref="Y194:Y257" si="11">W194*X194%</f>
        <v>53443.75</v>
      </c>
      <c r="Z194" s="29"/>
      <c r="AA194" s="29" t="s">
        <v>4014</v>
      </c>
      <c r="AB194" s="29">
        <v>1141071867</v>
      </c>
      <c r="AC194" s="49">
        <v>45644</v>
      </c>
      <c r="AD194" s="48" t="s">
        <v>3160</v>
      </c>
      <c r="AE194" s="48">
        <v>4</v>
      </c>
      <c r="AG194" t="s">
        <v>1026</v>
      </c>
      <c r="AH194" s="54">
        <v>53444</v>
      </c>
      <c r="AI194" s="54">
        <v>0.25</v>
      </c>
      <c r="AJ194" s="54">
        <v>2137750</v>
      </c>
      <c r="AK194" s="54">
        <v>0</v>
      </c>
      <c r="AL194" t="s">
        <v>26</v>
      </c>
      <c r="AM194" t="s">
        <v>4249</v>
      </c>
    </row>
    <row r="195" spans="1:39" ht="11.25" customHeight="1" x14ac:dyDescent="0.2">
      <c r="A195" s="29" t="s">
        <v>2974</v>
      </c>
      <c r="B195" s="29" t="s">
        <v>3306</v>
      </c>
      <c r="C195" s="40">
        <v>45597</v>
      </c>
      <c r="D195" s="39" t="s">
        <v>3720</v>
      </c>
      <c r="E195" s="29" t="s">
        <v>633</v>
      </c>
      <c r="F195" s="32">
        <v>45618</v>
      </c>
      <c r="G195" s="32">
        <v>45982</v>
      </c>
      <c r="H195" s="30" t="s">
        <v>3909</v>
      </c>
      <c r="I195" s="31">
        <v>3520230395015</v>
      </c>
      <c r="J195" s="47" t="s">
        <v>4188</v>
      </c>
      <c r="K195" s="29" t="s">
        <v>635</v>
      </c>
      <c r="L195" s="29" t="s">
        <v>636</v>
      </c>
      <c r="M195" s="29" t="s">
        <v>637</v>
      </c>
      <c r="N195" s="29" t="s">
        <v>3306</v>
      </c>
      <c r="O195" s="29" t="s">
        <v>4013</v>
      </c>
      <c r="P195" s="29" t="s">
        <v>3154</v>
      </c>
      <c r="Q195" s="29" t="s">
        <v>3508</v>
      </c>
      <c r="R195" s="32">
        <v>45253</v>
      </c>
      <c r="S195" s="32">
        <v>46361</v>
      </c>
      <c r="T195" s="33">
        <v>5000000</v>
      </c>
      <c r="U195" s="29">
        <v>10</v>
      </c>
      <c r="V195" s="34">
        <f t="shared" si="9"/>
        <v>500000</v>
      </c>
      <c r="W195" s="34">
        <f t="shared" si="10"/>
        <v>4500000</v>
      </c>
      <c r="X195" s="35">
        <v>1.5</v>
      </c>
      <c r="Y195" s="34">
        <f t="shared" si="11"/>
        <v>67500</v>
      </c>
      <c r="Z195" s="29"/>
      <c r="AA195" s="29" t="s">
        <v>4014</v>
      </c>
      <c r="AB195" s="29">
        <v>1141071867</v>
      </c>
      <c r="AC195" s="49">
        <v>45644</v>
      </c>
      <c r="AD195" s="48" t="s">
        <v>3160</v>
      </c>
      <c r="AE195" s="48">
        <v>4</v>
      </c>
      <c r="AG195" t="s">
        <v>633</v>
      </c>
      <c r="AH195" s="54">
        <v>67500</v>
      </c>
      <c r="AI195" s="54">
        <v>0</v>
      </c>
      <c r="AJ195" s="54">
        <v>4500000</v>
      </c>
      <c r="AK195" s="54">
        <v>0</v>
      </c>
      <c r="AL195" t="s">
        <v>26</v>
      </c>
      <c r="AM195" t="s">
        <v>4249</v>
      </c>
    </row>
    <row r="196" spans="1:39" ht="11.25" customHeight="1" x14ac:dyDescent="0.2">
      <c r="A196" s="29" t="s">
        <v>2974</v>
      </c>
      <c r="B196" s="29" t="s">
        <v>3307</v>
      </c>
      <c r="C196" s="40">
        <v>45597</v>
      </c>
      <c r="D196" s="39" t="s">
        <v>3720</v>
      </c>
      <c r="E196" s="29" t="s">
        <v>641</v>
      </c>
      <c r="F196" s="32">
        <v>45618</v>
      </c>
      <c r="G196" s="32">
        <v>45982</v>
      </c>
      <c r="H196" s="30" t="s">
        <v>3910</v>
      </c>
      <c r="I196" s="31">
        <v>3310024047545</v>
      </c>
      <c r="J196" s="47" t="s">
        <v>4200</v>
      </c>
      <c r="K196" s="29" t="s">
        <v>644</v>
      </c>
      <c r="L196" s="29" t="s">
        <v>645</v>
      </c>
      <c r="M196" s="29" t="s">
        <v>646</v>
      </c>
      <c r="N196" s="29" t="s">
        <v>3307</v>
      </c>
      <c r="O196" s="29" t="s">
        <v>4013</v>
      </c>
      <c r="P196" s="29" t="s">
        <v>3172</v>
      </c>
      <c r="Q196" s="29" t="s">
        <v>3509</v>
      </c>
      <c r="R196" s="32">
        <v>45258</v>
      </c>
      <c r="S196" s="32">
        <v>46361</v>
      </c>
      <c r="T196" s="33">
        <v>4000000</v>
      </c>
      <c r="U196" s="29">
        <v>10</v>
      </c>
      <c r="V196" s="34">
        <f t="shared" si="9"/>
        <v>400000</v>
      </c>
      <c r="W196" s="34">
        <f t="shared" si="10"/>
        <v>3600000</v>
      </c>
      <c r="X196" s="35">
        <v>1.5</v>
      </c>
      <c r="Y196" s="34">
        <f t="shared" si="11"/>
        <v>54000</v>
      </c>
      <c r="Z196" s="29"/>
      <c r="AA196" s="29" t="s">
        <v>4014</v>
      </c>
      <c r="AB196" s="29">
        <v>1141071867</v>
      </c>
      <c r="AC196" s="49">
        <v>45644</v>
      </c>
      <c r="AD196" s="48" t="s">
        <v>3160</v>
      </c>
      <c r="AE196" s="48">
        <v>4</v>
      </c>
      <c r="AG196" t="s">
        <v>641</v>
      </c>
      <c r="AH196" s="54">
        <v>54000</v>
      </c>
      <c r="AI196" s="54">
        <v>0</v>
      </c>
      <c r="AJ196" s="54">
        <v>3600000</v>
      </c>
      <c r="AK196" s="54">
        <v>0</v>
      </c>
      <c r="AL196" t="s">
        <v>26</v>
      </c>
      <c r="AM196" t="s">
        <v>4249</v>
      </c>
    </row>
    <row r="197" spans="1:39" ht="11.25" customHeight="1" x14ac:dyDescent="0.2">
      <c r="A197" s="29" t="s">
        <v>2974</v>
      </c>
      <c r="B197" s="29" t="s">
        <v>3405</v>
      </c>
      <c r="C197" s="40">
        <v>45597</v>
      </c>
      <c r="D197" s="39" t="s">
        <v>3720</v>
      </c>
      <c r="E197" s="29" t="s">
        <v>1438</v>
      </c>
      <c r="F197" s="32">
        <v>45618</v>
      </c>
      <c r="G197" s="32">
        <v>45982</v>
      </c>
      <c r="H197" s="30" t="s">
        <v>3911</v>
      </c>
      <c r="I197" s="31">
        <v>3520215829599</v>
      </c>
      <c r="J197" s="47" t="s">
        <v>4195</v>
      </c>
      <c r="K197" s="29"/>
      <c r="L197" s="29" t="s">
        <v>1440</v>
      </c>
      <c r="M197" s="29" t="s">
        <v>1441</v>
      </c>
      <c r="N197" s="29" t="s">
        <v>3405</v>
      </c>
      <c r="O197" s="29" t="s">
        <v>4013</v>
      </c>
      <c r="P197" s="29" t="s">
        <v>3154</v>
      </c>
      <c r="Q197" s="29" t="s">
        <v>3617</v>
      </c>
      <c r="R197" s="32">
        <v>44525</v>
      </c>
      <c r="S197" s="32">
        <v>46361</v>
      </c>
      <c r="T197" s="33">
        <v>2703000</v>
      </c>
      <c r="U197" s="29">
        <v>20</v>
      </c>
      <c r="V197" s="34">
        <f t="shared" si="9"/>
        <v>540600</v>
      </c>
      <c r="W197" s="34">
        <f t="shared" si="10"/>
        <v>2162400</v>
      </c>
      <c r="X197" s="35">
        <v>2.5</v>
      </c>
      <c r="Y197" s="34">
        <f t="shared" si="11"/>
        <v>54060</v>
      </c>
      <c r="Z197" s="29"/>
      <c r="AA197" s="29" t="s">
        <v>4014</v>
      </c>
      <c r="AB197" s="29">
        <v>1141071867</v>
      </c>
      <c r="AC197" s="49">
        <v>45644</v>
      </c>
      <c r="AD197" s="48" t="s">
        <v>3160</v>
      </c>
      <c r="AE197" s="48">
        <v>34</v>
      </c>
      <c r="AG197" t="s">
        <v>1438</v>
      </c>
      <c r="AH197" s="54">
        <v>54060</v>
      </c>
      <c r="AI197" s="54">
        <v>0</v>
      </c>
      <c r="AJ197" s="54">
        <v>2162400</v>
      </c>
      <c r="AK197" s="54">
        <v>0</v>
      </c>
      <c r="AL197" t="s">
        <v>26</v>
      </c>
      <c r="AM197" t="s">
        <v>4249</v>
      </c>
    </row>
    <row r="198" spans="1:39" ht="11.25" customHeight="1" x14ac:dyDescent="0.2">
      <c r="A198" s="29" t="s">
        <v>2974</v>
      </c>
      <c r="B198" s="29" t="s">
        <v>3422</v>
      </c>
      <c r="C198" s="40">
        <v>45597</v>
      </c>
      <c r="D198" s="39" t="s">
        <v>3720</v>
      </c>
      <c r="E198" s="29" t="s">
        <v>1574</v>
      </c>
      <c r="F198" s="32">
        <v>45618</v>
      </c>
      <c r="G198" s="32">
        <v>45982</v>
      </c>
      <c r="H198" s="30" t="s">
        <v>3912</v>
      </c>
      <c r="I198" s="31">
        <v>3330156390621</v>
      </c>
      <c r="J198" s="47" t="s">
        <v>4224</v>
      </c>
      <c r="K198" s="29" t="s">
        <v>1576</v>
      </c>
      <c r="L198" s="29" t="s">
        <v>1577</v>
      </c>
      <c r="M198" s="29" t="s">
        <v>1578</v>
      </c>
      <c r="N198" s="29" t="s">
        <v>3422</v>
      </c>
      <c r="O198" s="29" t="s">
        <v>4013</v>
      </c>
      <c r="P198" s="29" t="s">
        <v>3249</v>
      </c>
      <c r="Q198" s="29" t="s">
        <v>3636</v>
      </c>
      <c r="R198" s="32">
        <v>44530</v>
      </c>
      <c r="S198" s="32">
        <v>46361</v>
      </c>
      <c r="T198" s="33">
        <v>1852000</v>
      </c>
      <c r="U198" s="29">
        <v>20</v>
      </c>
      <c r="V198" s="34">
        <f t="shared" si="9"/>
        <v>370400</v>
      </c>
      <c r="W198" s="34">
        <f t="shared" si="10"/>
        <v>1481600</v>
      </c>
      <c r="X198" s="35">
        <v>1.75</v>
      </c>
      <c r="Y198" s="34">
        <f t="shared" si="11"/>
        <v>25928.000000000004</v>
      </c>
      <c r="Z198" s="29"/>
      <c r="AA198" s="29" t="s">
        <v>4014</v>
      </c>
      <c r="AB198" s="29">
        <v>1141071867</v>
      </c>
      <c r="AC198" s="49">
        <v>45644</v>
      </c>
      <c r="AD198" s="48" t="s">
        <v>3160</v>
      </c>
      <c r="AE198" s="48">
        <v>4</v>
      </c>
      <c r="AG198" t="s">
        <v>1574</v>
      </c>
      <c r="AH198" s="54">
        <v>25928</v>
      </c>
      <c r="AI198" s="54">
        <v>0</v>
      </c>
      <c r="AJ198" s="54">
        <v>1481600</v>
      </c>
      <c r="AK198" s="54">
        <v>0</v>
      </c>
      <c r="AL198" t="s">
        <v>26</v>
      </c>
      <c r="AM198" t="s">
        <v>4249</v>
      </c>
    </row>
    <row r="199" spans="1:39" ht="11.25" customHeight="1" x14ac:dyDescent="0.2">
      <c r="A199" s="29" t="s">
        <v>2974</v>
      </c>
      <c r="B199" s="29" t="s">
        <v>3308</v>
      </c>
      <c r="C199" s="40">
        <v>45597</v>
      </c>
      <c r="D199" s="39" t="s">
        <v>3720</v>
      </c>
      <c r="E199" s="29" t="s">
        <v>647</v>
      </c>
      <c r="F199" s="32">
        <v>45619</v>
      </c>
      <c r="G199" s="32">
        <v>45983</v>
      </c>
      <c r="H199" s="30" t="s">
        <v>3913</v>
      </c>
      <c r="I199" s="31">
        <v>3130337922299</v>
      </c>
      <c r="J199" s="47" t="s">
        <v>4202</v>
      </c>
      <c r="K199" s="29" t="s">
        <v>649</v>
      </c>
      <c r="L199" s="29" t="s">
        <v>650</v>
      </c>
      <c r="M199" s="29" t="s">
        <v>651</v>
      </c>
      <c r="N199" s="29" t="s">
        <v>3308</v>
      </c>
      <c r="O199" s="29" t="s">
        <v>4013</v>
      </c>
      <c r="P199" s="29" t="s">
        <v>3219</v>
      </c>
      <c r="Q199" s="29" t="s">
        <v>3510</v>
      </c>
      <c r="R199" s="32">
        <v>45254</v>
      </c>
      <c r="S199" s="32">
        <v>46361</v>
      </c>
      <c r="T199" s="33">
        <v>4050000</v>
      </c>
      <c r="U199" s="29">
        <v>10</v>
      </c>
      <c r="V199" s="34">
        <f t="shared" si="9"/>
        <v>405000</v>
      </c>
      <c r="W199" s="34">
        <f t="shared" si="10"/>
        <v>3645000</v>
      </c>
      <c r="X199" s="35">
        <v>1.5</v>
      </c>
      <c r="Y199" s="34">
        <f t="shared" si="11"/>
        <v>54675</v>
      </c>
      <c r="Z199" s="29"/>
      <c r="AA199" s="29" t="s">
        <v>4014</v>
      </c>
      <c r="AB199" s="29">
        <v>1141071867</v>
      </c>
      <c r="AC199" s="49">
        <v>45644</v>
      </c>
      <c r="AD199" s="48" t="s">
        <v>3160</v>
      </c>
      <c r="AE199" s="48">
        <v>0</v>
      </c>
      <c r="AG199" t="s">
        <v>647</v>
      </c>
      <c r="AH199" s="54">
        <v>54675</v>
      </c>
      <c r="AI199" s="54">
        <v>0</v>
      </c>
      <c r="AJ199" s="54">
        <v>3645000</v>
      </c>
      <c r="AK199" s="54">
        <v>0</v>
      </c>
      <c r="AL199" t="s">
        <v>26</v>
      </c>
      <c r="AM199" t="s">
        <v>4249</v>
      </c>
    </row>
    <row r="200" spans="1:39" ht="11.25" customHeight="1" x14ac:dyDescent="0.2">
      <c r="A200" s="29" t="s">
        <v>2974</v>
      </c>
      <c r="B200" s="29" t="s">
        <v>3309</v>
      </c>
      <c r="C200" s="40">
        <v>45597</v>
      </c>
      <c r="D200" s="39" t="s">
        <v>3720</v>
      </c>
      <c r="E200" s="29" t="s">
        <v>655</v>
      </c>
      <c r="F200" s="32">
        <v>45619</v>
      </c>
      <c r="G200" s="32">
        <v>45983</v>
      </c>
      <c r="H200" s="30" t="s">
        <v>3914</v>
      </c>
      <c r="I200" s="31">
        <v>3520061872145</v>
      </c>
      <c r="J200" s="47" t="s">
        <v>4192</v>
      </c>
      <c r="K200" s="29" t="s">
        <v>657</v>
      </c>
      <c r="L200" s="29" t="s">
        <v>658</v>
      </c>
      <c r="M200" s="29" t="s">
        <v>659</v>
      </c>
      <c r="N200" s="29" t="s">
        <v>3309</v>
      </c>
      <c r="O200" s="29" t="s">
        <v>4013</v>
      </c>
      <c r="P200" s="29" t="s">
        <v>3154</v>
      </c>
      <c r="Q200" s="29" t="s">
        <v>3511</v>
      </c>
      <c r="R200" s="32">
        <v>45257</v>
      </c>
      <c r="S200" s="32">
        <v>46361</v>
      </c>
      <c r="T200" s="33">
        <v>4285000</v>
      </c>
      <c r="U200" s="29">
        <v>10</v>
      </c>
      <c r="V200" s="34">
        <f t="shared" si="9"/>
        <v>428500</v>
      </c>
      <c r="W200" s="34">
        <f t="shared" si="10"/>
        <v>3856500</v>
      </c>
      <c r="X200" s="35">
        <v>1.5</v>
      </c>
      <c r="Y200" s="34">
        <f t="shared" si="11"/>
        <v>57847.5</v>
      </c>
      <c r="Z200" s="29"/>
      <c r="AA200" s="29" t="s">
        <v>4014</v>
      </c>
      <c r="AB200" s="29">
        <v>1141071867</v>
      </c>
      <c r="AC200" s="49">
        <v>45644</v>
      </c>
      <c r="AD200" s="48" t="s">
        <v>3160</v>
      </c>
      <c r="AE200" s="48">
        <v>0</v>
      </c>
      <c r="AG200" t="s">
        <v>655</v>
      </c>
      <c r="AH200" s="54">
        <v>57848</v>
      </c>
      <c r="AI200" s="54">
        <v>0.5</v>
      </c>
      <c r="AJ200" s="54">
        <v>3856500</v>
      </c>
      <c r="AK200" s="54">
        <v>0</v>
      </c>
      <c r="AL200" t="s">
        <v>26</v>
      </c>
      <c r="AM200" t="s">
        <v>4249</v>
      </c>
    </row>
    <row r="201" spans="1:39" ht="11.25" customHeight="1" x14ac:dyDescent="0.2">
      <c r="A201" s="29" t="s">
        <v>2974</v>
      </c>
      <c r="B201" s="29" t="s">
        <v>3310</v>
      </c>
      <c r="C201" s="40">
        <v>45597</v>
      </c>
      <c r="D201" s="39" t="s">
        <v>3720</v>
      </c>
      <c r="E201" s="29" t="s">
        <v>663</v>
      </c>
      <c r="F201" s="32">
        <v>45619</v>
      </c>
      <c r="G201" s="32">
        <v>45983</v>
      </c>
      <c r="H201" s="30" t="s">
        <v>3915</v>
      </c>
      <c r="I201" s="31">
        <v>3310075850164</v>
      </c>
      <c r="J201" s="47" t="s">
        <v>665</v>
      </c>
      <c r="K201" s="29" t="s">
        <v>666</v>
      </c>
      <c r="L201" s="29" t="s">
        <v>667</v>
      </c>
      <c r="M201" s="29" t="s">
        <v>668</v>
      </c>
      <c r="N201" s="29" t="s">
        <v>3310</v>
      </c>
      <c r="O201" s="29" t="s">
        <v>4013</v>
      </c>
      <c r="P201" s="29" t="s">
        <v>3172</v>
      </c>
      <c r="Q201" s="29" t="s">
        <v>3512</v>
      </c>
      <c r="R201" s="32">
        <v>45257</v>
      </c>
      <c r="S201" s="32">
        <v>46361</v>
      </c>
      <c r="T201" s="33">
        <v>6900000</v>
      </c>
      <c r="U201" s="29">
        <v>10</v>
      </c>
      <c r="V201" s="34">
        <f t="shared" si="9"/>
        <v>690000</v>
      </c>
      <c r="W201" s="34">
        <f t="shared" si="10"/>
        <v>6210000</v>
      </c>
      <c r="X201" s="35">
        <v>1.5</v>
      </c>
      <c r="Y201" s="34">
        <f t="shared" si="11"/>
        <v>93150</v>
      </c>
      <c r="Z201" s="29"/>
      <c r="AA201" s="29" t="s">
        <v>4014</v>
      </c>
      <c r="AB201" s="29">
        <v>1141071867</v>
      </c>
      <c r="AC201" s="49">
        <v>45644</v>
      </c>
      <c r="AD201" s="48" t="s">
        <v>3160</v>
      </c>
      <c r="AE201" s="48">
        <v>4</v>
      </c>
      <c r="AG201" t="s">
        <v>663</v>
      </c>
      <c r="AH201" s="54">
        <v>93150</v>
      </c>
      <c r="AI201" s="54">
        <v>0</v>
      </c>
      <c r="AJ201" s="54">
        <v>6210000</v>
      </c>
      <c r="AK201" s="54">
        <v>0</v>
      </c>
      <c r="AL201" t="s">
        <v>26</v>
      </c>
      <c r="AM201" t="s">
        <v>4249</v>
      </c>
    </row>
    <row r="202" spans="1:39" ht="11.25" customHeight="1" x14ac:dyDescent="0.2">
      <c r="A202" s="29" t="s">
        <v>2974</v>
      </c>
      <c r="B202" s="29" t="s">
        <v>3407</v>
      </c>
      <c r="C202" s="40">
        <v>45597</v>
      </c>
      <c r="D202" s="39" t="s">
        <v>3720</v>
      </c>
      <c r="E202" s="29" t="s">
        <v>1453</v>
      </c>
      <c r="F202" s="32">
        <v>45619</v>
      </c>
      <c r="G202" s="32">
        <v>45983</v>
      </c>
      <c r="H202" s="30" t="s">
        <v>3916</v>
      </c>
      <c r="I202" s="31">
        <v>3520247458899</v>
      </c>
      <c r="J202" s="47" t="s">
        <v>4196</v>
      </c>
      <c r="K202" s="29"/>
      <c r="L202" s="29" t="s">
        <v>1456</v>
      </c>
      <c r="M202" s="29" t="s">
        <v>1457</v>
      </c>
      <c r="N202" s="29" t="s">
        <v>3407</v>
      </c>
      <c r="O202" s="29" t="s">
        <v>4013</v>
      </c>
      <c r="P202" s="29" t="s">
        <v>3154</v>
      </c>
      <c r="Q202" s="29" t="s">
        <v>3619</v>
      </c>
      <c r="R202" s="32">
        <v>44526</v>
      </c>
      <c r="S202" s="32">
        <v>46361</v>
      </c>
      <c r="T202" s="33">
        <v>2489000</v>
      </c>
      <c r="U202" s="29">
        <v>20</v>
      </c>
      <c r="V202" s="34">
        <f t="shared" si="9"/>
        <v>497800</v>
      </c>
      <c r="W202" s="34">
        <f t="shared" si="10"/>
        <v>1991200</v>
      </c>
      <c r="X202" s="35">
        <v>1.75</v>
      </c>
      <c r="Y202" s="34">
        <f t="shared" si="11"/>
        <v>34846</v>
      </c>
      <c r="Z202" s="29"/>
      <c r="AA202" s="29" t="s">
        <v>4014</v>
      </c>
      <c r="AB202" s="29">
        <v>1141071867</v>
      </c>
      <c r="AC202" s="49">
        <v>45644</v>
      </c>
      <c r="AD202" s="48" t="s">
        <v>3160</v>
      </c>
      <c r="AE202" s="48">
        <v>34</v>
      </c>
      <c r="AG202" t="s">
        <v>1453</v>
      </c>
      <c r="AH202" s="54">
        <v>34846</v>
      </c>
      <c r="AI202" s="54">
        <v>0</v>
      </c>
      <c r="AJ202" s="54">
        <v>1991200</v>
      </c>
      <c r="AK202" s="54">
        <v>0</v>
      </c>
      <c r="AL202" t="s">
        <v>26</v>
      </c>
      <c r="AM202" t="s">
        <v>4249</v>
      </c>
    </row>
    <row r="203" spans="1:39" ht="11.25" customHeight="1" x14ac:dyDescent="0.2">
      <c r="A203" s="29" t="s">
        <v>2974</v>
      </c>
      <c r="B203" s="29" t="s">
        <v>3408</v>
      </c>
      <c r="C203" s="40">
        <v>45597</v>
      </c>
      <c r="D203" s="39" t="s">
        <v>3720</v>
      </c>
      <c r="E203" s="29" t="s">
        <v>1461</v>
      </c>
      <c r="F203" s="32">
        <v>45619</v>
      </c>
      <c r="G203" s="32">
        <v>45983</v>
      </c>
      <c r="H203" s="30" t="s">
        <v>3917</v>
      </c>
      <c r="I203" s="31">
        <v>3120225332891</v>
      </c>
      <c r="J203" s="47" t="s">
        <v>4230</v>
      </c>
      <c r="K203" s="29"/>
      <c r="L203" s="29" t="s">
        <v>1463</v>
      </c>
      <c r="M203" s="29" t="s">
        <v>1464</v>
      </c>
      <c r="N203" s="29" t="s">
        <v>3408</v>
      </c>
      <c r="O203" s="29" t="s">
        <v>4013</v>
      </c>
      <c r="P203" s="29" t="s">
        <v>3176</v>
      </c>
      <c r="Q203" s="29" t="s">
        <v>3620</v>
      </c>
      <c r="R203" s="32">
        <v>44530</v>
      </c>
      <c r="S203" s="32">
        <v>46361</v>
      </c>
      <c r="T203" s="33">
        <v>7099000</v>
      </c>
      <c r="U203" s="29">
        <v>20</v>
      </c>
      <c r="V203" s="34">
        <f t="shared" si="9"/>
        <v>1419800</v>
      </c>
      <c r="W203" s="34">
        <f t="shared" si="10"/>
        <v>5679200</v>
      </c>
      <c r="X203" s="35">
        <v>1.5</v>
      </c>
      <c r="Y203" s="34">
        <f t="shared" si="11"/>
        <v>85188</v>
      </c>
      <c r="Z203" s="29"/>
      <c r="AA203" s="29" t="s">
        <v>4014</v>
      </c>
      <c r="AB203" s="29">
        <v>1141071867</v>
      </c>
      <c r="AC203" s="49">
        <v>45644</v>
      </c>
      <c r="AD203" s="48" t="s">
        <v>3160</v>
      </c>
      <c r="AE203" s="48">
        <v>4</v>
      </c>
      <c r="AG203" t="s">
        <v>1461</v>
      </c>
      <c r="AH203" s="54">
        <v>85188</v>
      </c>
      <c r="AI203" s="54">
        <v>0</v>
      </c>
      <c r="AJ203" s="54">
        <v>5679200</v>
      </c>
      <c r="AK203" s="54">
        <v>0</v>
      </c>
      <c r="AL203" t="s">
        <v>26</v>
      </c>
      <c r="AM203" t="s">
        <v>4249</v>
      </c>
    </row>
    <row r="204" spans="1:39" ht="11.25" customHeight="1" x14ac:dyDescent="0.2">
      <c r="A204" s="29" t="s">
        <v>2974</v>
      </c>
      <c r="B204" s="29" t="s">
        <v>3409</v>
      </c>
      <c r="C204" s="40">
        <v>45597</v>
      </c>
      <c r="D204" s="39" t="s">
        <v>3720</v>
      </c>
      <c r="E204" s="29" t="s">
        <v>1468</v>
      </c>
      <c r="F204" s="32">
        <v>45619</v>
      </c>
      <c r="G204" s="32">
        <v>45983</v>
      </c>
      <c r="H204" s="30" t="s">
        <v>3918</v>
      </c>
      <c r="I204" s="31">
        <v>3540106524425</v>
      </c>
      <c r="J204" s="47" t="s">
        <v>4224</v>
      </c>
      <c r="K204" s="29" t="s">
        <v>1471</v>
      </c>
      <c r="L204" s="29" t="s">
        <v>1472</v>
      </c>
      <c r="M204" s="29" t="s">
        <v>1473</v>
      </c>
      <c r="N204" s="29" t="s">
        <v>3409</v>
      </c>
      <c r="O204" s="29" t="s">
        <v>4013</v>
      </c>
      <c r="P204" s="29" t="s">
        <v>3154</v>
      </c>
      <c r="Q204" s="29" t="s">
        <v>3621</v>
      </c>
      <c r="R204" s="32">
        <v>44526</v>
      </c>
      <c r="S204" s="32">
        <v>46361</v>
      </c>
      <c r="T204" s="33">
        <v>1565000</v>
      </c>
      <c r="U204" s="29">
        <v>20</v>
      </c>
      <c r="V204" s="34">
        <f t="shared" si="9"/>
        <v>313000</v>
      </c>
      <c r="W204" s="34">
        <f t="shared" si="10"/>
        <v>1252000</v>
      </c>
      <c r="X204" s="35">
        <v>1.75</v>
      </c>
      <c r="Y204" s="34">
        <f t="shared" si="11"/>
        <v>21910.000000000004</v>
      </c>
      <c r="Z204" s="29"/>
      <c r="AA204" s="29" t="s">
        <v>4014</v>
      </c>
      <c r="AB204" s="29">
        <v>1141071867</v>
      </c>
      <c r="AC204" s="49">
        <v>45644</v>
      </c>
      <c r="AD204" s="48" t="s">
        <v>3160</v>
      </c>
      <c r="AE204" s="48">
        <v>0</v>
      </c>
      <c r="AG204" t="s">
        <v>1468</v>
      </c>
      <c r="AH204" s="54">
        <v>21910</v>
      </c>
      <c r="AI204" s="54">
        <v>0</v>
      </c>
      <c r="AJ204" s="54">
        <v>1252000</v>
      </c>
      <c r="AK204" s="54">
        <v>0</v>
      </c>
      <c r="AL204" t="s">
        <v>26</v>
      </c>
      <c r="AM204" t="s">
        <v>4249</v>
      </c>
    </row>
    <row r="205" spans="1:39" ht="11.25" customHeight="1" x14ac:dyDescent="0.2">
      <c r="A205" s="29" t="s">
        <v>2974</v>
      </c>
      <c r="B205" s="29" t="s">
        <v>3410</v>
      </c>
      <c r="C205" s="40">
        <v>45597</v>
      </c>
      <c r="D205" s="39" t="s">
        <v>3720</v>
      </c>
      <c r="E205" s="29" t="s">
        <v>1477</v>
      </c>
      <c r="F205" s="32">
        <v>45619</v>
      </c>
      <c r="G205" s="32">
        <v>45983</v>
      </c>
      <c r="H205" s="30" t="s">
        <v>3919</v>
      </c>
      <c r="I205" s="31">
        <v>3520189357019</v>
      </c>
      <c r="J205" s="47" t="s">
        <v>4183</v>
      </c>
      <c r="K205" s="29" t="s">
        <v>1480</v>
      </c>
      <c r="L205" s="29" t="s">
        <v>1481</v>
      </c>
      <c r="M205" s="29" t="s">
        <v>1482</v>
      </c>
      <c r="N205" s="29" t="s">
        <v>3410</v>
      </c>
      <c r="O205" s="29" t="s">
        <v>4013</v>
      </c>
      <c r="P205" s="29" t="s">
        <v>3622</v>
      </c>
      <c r="Q205" s="29" t="s">
        <v>3623</v>
      </c>
      <c r="R205" s="32">
        <v>44529</v>
      </c>
      <c r="S205" s="32">
        <v>46361</v>
      </c>
      <c r="T205" s="33">
        <v>4407000</v>
      </c>
      <c r="U205" s="29">
        <v>20</v>
      </c>
      <c r="V205" s="34">
        <f t="shared" si="9"/>
        <v>881400</v>
      </c>
      <c r="W205" s="34">
        <f t="shared" si="10"/>
        <v>3525600</v>
      </c>
      <c r="X205" s="35">
        <v>1.5</v>
      </c>
      <c r="Y205" s="34">
        <f t="shared" si="11"/>
        <v>52884</v>
      </c>
      <c r="Z205" s="29"/>
      <c r="AA205" s="29" t="s">
        <v>4014</v>
      </c>
      <c r="AB205" s="29">
        <v>1141071867</v>
      </c>
      <c r="AC205" s="49">
        <v>45644</v>
      </c>
      <c r="AD205" s="48" t="s">
        <v>3160</v>
      </c>
      <c r="AE205" s="48">
        <v>4</v>
      </c>
      <c r="AG205" t="s">
        <v>1477</v>
      </c>
      <c r="AH205" s="54">
        <v>52884</v>
      </c>
      <c r="AI205" s="54">
        <v>0</v>
      </c>
      <c r="AJ205" s="54">
        <v>3525600</v>
      </c>
      <c r="AK205" s="54">
        <v>0</v>
      </c>
      <c r="AL205" t="s">
        <v>26</v>
      </c>
      <c r="AM205" t="s">
        <v>4249</v>
      </c>
    </row>
    <row r="206" spans="1:39" ht="11.25" customHeight="1" x14ac:dyDescent="0.2">
      <c r="A206" s="29" t="s">
        <v>2974</v>
      </c>
      <c r="B206" s="29" t="s">
        <v>3412</v>
      </c>
      <c r="C206" s="40">
        <v>45597</v>
      </c>
      <c r="D206" s="39" t="s">
        <v>3720</v>
      </c>
      <c r="E206" s="29" t="s">
        <v>1494</v>
      </c>
      <c r="F206" s="32">
        <v>45619</v>
      </c>
      <c r="G206" s="32">
        <v>45983</v>
      </c>
      <c r="H206" s="30" t="s">
        <v>3920</v>
      </c>
      <c r="I206" s="31">
        <v>3520150503969</v>
      </c>
      <c r="J206" s="47" t="s">
        <v>4185</v>
      </c>
      <c r="K206" s="29" t="s">
        <v>1496</v>
      </c>
      <c r="L206" s="29" t="s">
        <v>1497</v>
      </c>
      <c r="M206" s="29" t="s">
        <v>1498</v>
      </c>
      <c r="N206" s="29" t="s">
        <v>3412</v>
      </c>
      <c r="O206" s="29" t="s">
        <v>4013</v>
      </c>
      <c r="P206" s="29" t="s">
        <v>3625</v>
      </c>
      <c r="Q206" s="29" t="s">
        <v>3626</v>
      </c>
      <c r="R206" s="32">
        <v>44525</v>
      </c>
      <c r="S206" s="32">
        <v>46361</v>
      </c>
      <c r="T206" s="33">
        <v>2000000</v>
      </c>
      <c r="U206" s="29">
        <v>20</v>
      </c>
      <c r="V206" s="34">
        <f t="shared" si="9"/>
        <v>400000</v>
      </c>
      <c r="W206" s="34">
        <f t="shared" si="10"/>
        <v>1600000</v>
      </c>
      <c r="X206" s="35">
        <v>1.75</v>
      </c>
      <c r="Y206" s="34">
        <f t="shared" si="11"/>
        <v>28000.000000000004</v>
      </c>
      <c r="Z206" s="29"/>
      <c r="AA206" s="29" t="s">
        <v>4014</v>
      </c>
      <c r="AB206" s="29">
        <v>1141071867</v>
      </c>
      <c r="AC206" s="49">
        <v>45644</v>
      </c>
      <c r="AD206" s="48" t="s">
        <v>3160</v>
      </c>
      <c r="AE206" s="48">
        <v>0</v>
      </c>
      <c r="AG206" t="s">
        <v>1494</v>
      </c>
      <c r="AH206" s="54">
        <v>28000</v>
      </c>
      <c r="AI206" s="54">
        <v>0</v>
      </c>
      <c r="AJ206" s="54">
        <v>1600000</v>
      </c>
      <c r="AK206" s="54">
        <v>0</v>
      </c>
      <c r="AL206" t="s">
        <v>26</v>
      </c>
      <c r="AM206" t="s">
        <v>4249</v>
      </c>
    </row>
    <row r="207" spans="1:39" ht="11.25" customHeight="1" x14ac:dyDescent="0.2">
      <c r="A207" s="29" t="s">
        <v>2974</v>
      </c>
      <c r="B207" s="29" t="s">
        <v>3413</v>
      </c>
      <c r="C207" s="40">
        <v>45597</v>
      </c>
      <c r="D207" s="39" t="s">
        <v>3720</v>
      </c>
      <c r="E207" s="29" t="s">
        <v>1502</v>
      </c>
      <c r="F207" s="32">
        <v>45619</v>
      </c>
      <c r="G207" s="32">
        <v>45983</v>
      </c>
      <c r="H207" s="30" t="s">
        <v>3921</v>
      </c>
      <c r="I207" s="31">
        <v>3520109250283</v>
      </c>
      <c r="J207" s="47" t="s">
        <v>4181</v>
      </c>
      <c r="K207" s="29" t="s">
        <v>1504</v>
      </c>
      <c r="L207" s="29" t="s">
        <v>1505</v>
      </c>
      <c r="M207" s="29" t="s">
        <v>1506</v>
      </c>
      <c r="N207" s="29" t="s">
        <v>3413</v>
      </c>
      <c r="O207" s="29" t="s">
        <v>4013</v>
      </c>
      <c r="P207" s="29" t="s">
        <v>3154</v>
      </c>
      <c r="Q207" s="29" t="s">
        <v>3627</v>
      </c>
      <c r="R207" s="32">
        <v>44525</v>
      </c>
      <c r="S207" s="32">
        <v>46361</v>
      </c>
      <c r="T207" s="33">
        <v>1830000</v>
      </c>
      <c r="U207" s="29">
        <v>20</v>
      </c>
      <c r="V207" s="34">
        <f t="shared" si="9"/>
        <v>366000</v>
      </c>
      <c r="W207" s="34">
        <f t="shared" si="10"/>
        <v>1464000</v>
      </c>
      <c r="X207" s="35">
        <v>1.75</v>
      </c>
      <c r="Y207" s="34">
        <f t="shared" si="11"/>
        <v>25620.000000000004</v>
      </c>
      <c r="Z207" s="29"/>
      <c r="AA207" s="29" t="s">
        <v>4014</v>
      </c>
      <c r="AB207" s="29">
        <v>1141071867</v>
      </c>
      <c r="AC207" s="49">
        <v>45644</v>
      </c>
      <c r="AD207" s="48" t="s">
        <v>3160</v>
      </c>
      <c r="AE207" s="48">
        <v>4</v>
      </c>
      <c r="AG207" t="s">
        <v>1502</v>
      </c>
      <c r="AH207" s="54">
        <v>25620</v>
      </c>
      <c r="AI207" s="54">
        <v>0</v>
      </c>
      <c r="AJ207" s="54">
        <v>1464000</v>
      </c>
      <c r="AK207" s="54">
        <v>0</v>
      </c>
      <c r="AL207" t="s">
        <v>26</v>
      </c>
      <c r="AM207" t="s">
        <v>4249</v>
      </c>
    </row>
    <row r="208" spans="1:39" ht="11.25" customHeight="1" x14ac:dyDescent="0.2">
      <c r="A208" s="29" t="s">
        <v>2974</v>
      </c>
      <c r="B208" s="29" t="s">
        <v>3414</v>
      </c>
      <c r="C208" s="40">
        <v>45597</v>
      </c>
      <c r="D208" s="39" t="s">
        <v>3720</v>
      </c>
      <c r="E208" s="29" t="s">
        <v>1510</v>
      </c>
      <c r="F208" s="32">
        <v>45619</v>
      </c>
      <c r="G208" s="32">
        <v>45983</v>
      </c>
      <c r="H208" s="30" t="s">
        <v>3922</v>
      </c>
      <c r="I208" s="31">
        <v>3520210531319</v>
      </c>
      <c r="J208" s="47" t="s">
        <v>4195</v>
      </c>
      <c r="K208" s="29" t="s">
        <v>1512</v>
      </c>
      <c r="L208" s="29" t="s">
        <v>1513</v>
      </c>
      <c r="M208" s="29" t="s">
        <v>1514</v>
      </c>
      <c r="N208" s="29" t="s">
        <v>3414</v>
      </c>
      <c r="O208" s="29" t="s">
        <v>4013</v>
      </c>
      <c r="P208" s="29" t="s">
        <v>3154</v>
      </c>
      <c r="Q208" s="29" t="s">
        <v>3628</v>
      </c>
      <c r="R208" s="32">
        <v>44529</v>
      </c>
      <c r="S208" s="32">
        <v>46361</v>
      </c>
      <c r="T208" s="33">
        <v>2970000</v>
      </c>
      <c r="U208" s="29">
        <v>20</v>
      </c>
      <c r="V208" s="34">
        <f t="shared" si="9"/>
        <v>594000</v>
      </c>
      <c r="W208" s="34">
        <f t="shared" si="10"/>
        <v>2376000</v>
      </c>
      <c r="X208" s="35">
        <v>1.75</v>
      </c>
      <c r="Y208" s="34">
        <f t="shared" si="11"/>
        <v>41580.000000000007</v>
      </c>
      <c r="Z208" s="29"/>
      <c r="AA208" s="29" t="s">
        <v>4014</v>
      </c>
      <c r="AB208" s="29">
        <v>1141071867</v>
      </c>
      <c r="AC208" s="49">
        <v>45644</v>
      </c>
      <c r="AD208" s="48" t="s">
        <v>3160</v>
      </c>
      <c r="AE208" s="48">
        <v>4</v>
      </c>
      <c r="AG208" t="s">
        <v>1510</v>
      </c>
      <c r="AH208" s="54">
        <v>41580</v>
      </c>
      <c r="AI208" s="54">
        <v>0</v>
      </c>
      <c r="AJ208" s="54">
        <v>2376000</v>
      </c>
      <c r="AK208" s="54">
        <v>0</v>
      </c>
      <c r="AL208" t="s">
        <v>26</v>
      </c>
      <c r="AM208" t="s">
        <v>4249</v>
      </c>
    </row>
    <row r="209" spans="1:39" ht="11.25" customHeight="1" x14ac:dyDescent="0.2">
      <c r="A209" s="29" t="s">
        <v>2974</v>
      </c>
      <c r="B209" s="29" t="s">
        <v>3415</v>
      </c>
      <c r="C209" s="40">
        <v>45597</v>
      </c>
      <c r="D209" s="39" t="s">
        <v>3720</v>
      </c>
      <c r="E209" s="29" t="s">
        <v>1518</v>
      </c>
      <c r="F209" s="32">
        <v>45619</v>
      </c>
      <c r="G209" s="32">
        <v>45983</v>
      </c>
      <c r="H209" s="30" t="s">
        <v>3923</v>
      </c>
      <c r="I209" s="31">
        <v>3520236166823</v>
      </c>
      <c r="J209" s="47" t="s">
        <v>4227</v>
      </c>
      <c r="K209" s="29" t="s">
        <v>1520</v>
      </c>
      <c r="L209" s="29" t="s">
        <v>1521</v>
      </c>
      <c r="M209" s="29" t="s">
        <v>1522</v>
      </c>
      <c r="N209" s="29" t="s">
        <v>3415</v>
      </c>
      <c r="O209" s="29" t="s">
        <v>4013</v>
      </c>
      <c r="P209" s="29" t="s">
        <v>3154</v>
      </c>
      <c r="Q209" s="29" t="s">
        <v>3629</v>
      </c>
      <c r="R209" s="32">
        <v>44529</v>
      </c>
      <c r="S209" s="32">
        <v>46361</v>
      </c>
      <c r="T209" s="33">
        <v>1700000</v>
      </c>
      <c r="U209" s="29">
        <v>20</v>
      </c>
      <c r="V209" s="34">
        <f t="shared" si="9"/>
        <v>340000</v>
      </c>
      <c r="W209" s="34">
        <f t="shared" si="10"/>
        <v>1360000</v>
      </c>
      <c r="X209" s="35">
        <v>1.75</v>
      </c>
      <c r="Y209" s="34">
        <f t="shared" si="11"/>
        <v>23800.000000000004</v>
      </c>
      <c r="Z209" s="29"/>
      <c r="AA209" s="29" t="s">
        <v>4014</v>
      </c>
      <c r="AB209" s="29">
        <v>1141071867</v>
      </c>
      <c r="AC209" s="49">
        <v>45644</v>
      </c>
      <c r="AD209" s="48" t="s">
        <v>3160</v>
      </c>
      <c r="AE209" s="48">
        <v>4</v>
      </c>
      <c r="AG209" t="s">
        <v>1518</v>
      </c>
      <c r="AH209" s="54">
        <v>23800</v>
      </c>
      <c r="AI209" s="54">
        <v>0</v>
      </c>
      <c r="AJ209" s="54">
        <v>1360000</v>
      </c>
      <c r="AK209" s="54">
        <v>0</v>
      </c>
      <c r="AL209" t="s">
        <v>26</v>
      </c>
      <c r="AM209" t="s">
        <v>4249</v>
      </c>
    </row>
    <row r="210" spans="1:39" ht="11.25" customHeight="1" x14ac:dyDescent="0.2">
      <c r="A210" s="29" t="s">
        <v>2974</v>
      </c>
      <c r="B210" s="29" t="s">
        <v>3416</v>
      </c>
      <c r="C210" s="40">
        <v>45597</v>
      </c>
      <c r="D210" s="39" t="s">
        <v>3720</v>
      </c>
      <c r="E210" s="29" t="s">
        <v>1526</v>
      </c>
      <c r="F210" s="32">
        <v>45619</v>
      </c>
      <c r="G210" s="32">
        <v>45983</v>
      </c>
      <c r="H210" s="30" t="s">
        <v>3924</v>
      </c>
      <c r="I210" s="31">
        <v>3410284226171</v>
      </c>
      <c r="J210" s="47" t="s">
        <v>4213</v>
      </c>
      <c r="K210" s="29" t="s">
        <v>1528</v>
      </c>
      <c r="L210" s="29" t="s">
        <v>1529</v>
      </c>
      <c r="M210" s="29" t="s">
        <v>1530</v>
      </c>
      <c r="N210" s="29" t="s">
        <v>3416</v>
      </c>
      <c r="O210" s="29" t="s">
        <v>4013</v>
      </c>
      <c r="P210" s="29" t="s">
        <v>3594</v>
      </c>
      <c r="Q210" s="29" t="s">
        <v>3630</v>
      </c>
      <c r="R210" s="32">
        <v>44526</v>
      </c>
      <c r="S210" s="32">
        <v>46361</v>
      </c>
      <c r="T210" s="33">
        <v>1521000</v>
      </c>
      <c r="U210" s="29">
        <v>20</v>
      </c>
      <c r="V210" s="34">
        <f t="shared" si="9"/>
        <v>304200</v>
      </c>
      <c r="W210" s="34">
        <f t="shared" si="10"/>
        <v>1216800</v>
      </c>
      <c r="X210" s="35">
        <v>1.75</v>
      </c>
      <c r="Y210" s="34">
        <f t="shared" si="11"/>
        <v>21294.000000000004</v>
      </c>
      <c r="Z210" s="29"/>
      <c r="AA210" s="29" t="s">
        <v>4014</v>
      </c>
      <c r="AB210" s="29">
        <v>1141071867</v>
      </c>
      <c r="AC210" s="49">
        <v>45644</v>
      </c>
      <c r="AD210" s="48" t="s">
        <v>3160</v>
      </c>
      <c r="AE210" s="48">
        <v>4</v>
      </c>
      <c r="AG210" t="s">
        <v>1526</v>
      </c>
      <c r="AH210" s="54">
        <v>21294</v>
      </c>
      <c r="AI210" s="54">
        <v>0</v>
      </c>
      <c r="AJ210" s="54">
        <v>1216800</v>
      </c>
      <c r="AK210" s="54">
        <v>0</v>
      </c>
      <c r="AL210" t="s">
        <v>26</v>
      </c>
      <c r="AM210" t="s">
        <v>4249</v>
      </c>
    </row>
    <row r="211" spans="1:39" ht="11.25" customHeight="1" x14ac:dyDescent="0.2">
      <c r="A211" s="29" t="s">
        <v>2974</v>
      </c>
      <c r="B211" s="29" t="s">
        <v>3418</v>
      </c>
      <c r="C211" s="40">
        <v>45597</v>
      </c>
      <c r="D211" s="39" t="s">
        <v>3720</v>
      </c>
      <c r="E211" s="29" t="s">
        <v>1542</v>
      </c>
      <c r="F211" s="32">
        <v>45619</v>
      </c>
      <c r="G211" s="32">
        <v>45983</v>
      </c>
      <c r="H211" s="30" t="s">
        <v>3925</v>
      </c>
      <c r="I211" s="31">
        <v>3520150095793</v>
      </c>
      <c r="J211" s="47" t="s">
        <v>4193</v>
      </c>
      <c r="K211" s="29" t="s">
        <v>1544</v>
      </c>
      <c r="L211" s="29" t="s">
        <v>1545</v>
      </c>
      <c r="M211" s="29" t="s">
        <v>1546</v>
      </c>
      <c r="N211" s="29" t="s">
        <v>3418</v>
      </c>
      <c r="O211" s="29" t="s">
        <v>4013</v>
      </c>
      <c r="P211" s="29" t="s">
        <v>3154</v>
      </c>
      <c r="Q211" s="29" t="s">
        <v>3632</v>
      </c>
      <c r="R211" s="32">
        <v>44526</v>
      </c>
      <c r="S211" s="32">
        <v>47092</v>
      </c>
      <c r="T211" s="33">
        <v>1475000</v>
      </c>
      <c r="U211" s="29">
        <v>20</v>
      </c>
      <c r="V211" s="34">
        <f t="shared" si="9"/>
        <v>295000</v>
      </c>
      <c r="W211" s="34">
        <f t="shared" si="10"/>
        <v>1180000</v>
      </c>
      <c r="X211" s="35">
        <v>1.75</v>
      </c>
      <c r="Y211" s="34">
        <f t="shared" si="11"/>
        <v>20650.000000000004</v>
      </c>
      <c r="Z211" s="29"/>
      <c r="AA211" s="29" t="s">
        <v>4014</v>
      </c>
      <c r="AB211" s="29">
        <v>1141071867</v>
      </c>
      <c r="AC211" s="49">
        <v>45644</v>
      </c>
      <c r="AD211" s="48" t="s">
        <v>3160</v>
      </c>
      <c r="AE211" s="48">
        <v>34</v>
      </c>
      <c r="AG211" t="s">
        <v>1542</v>
      </c>
      <c r="AH211" s="54">
        <v>20650</v>
      </c>
      <c r="AI211" s="54">
        <v>0</v>
      </c>
      <c r="AJ211" s="54">
        <v>1180000</v>
      </c>
      <c r="AK211" s="54">
        <v>0</v>
      </c>
      <c r="AL211" t="s">
        <v>26</v>
      </c>
      <c r="AM211" t="s">
        <v>4249</v>
      </c>
    </row>
    <row r="212" spans="1:39" ht="11.25" customHeight="1" x14ac:dyDescent="0.2">
      <c r="A212" s="29" t="s">
        <v>2974</v>
      </c>
      <c r="B212" s="29" t="s">
        <v>3468</v>
      </c>
      <c r="C212" s="40">
        <v>45597</v>
      </c>
      <c r="D212" s="39" t="s">
        <v>3720</v>
      </c>
      <c r="E212" s="29" t="s">
        <v>1951</v>
      </c>
      <c r="F212" s="32">
        <v>45619</v>
      </c>
      <c r="G212" s="32">
        <v>45983</v>
      </c>
      <c r="H212" s="30" t="s">
        <v>3926</v>
      </c>
      <c r="I212" s="31">
        <v>3840136534353</v>
      </c>
      <c r="J212" s="47" t="s">
        <v>4220</v>
      </c>
      <c r="K212" s="29"/>
      <c r="L212" s="29" t="s">
        <v>1954</v>
      </c>
      <c r="M212" s="29" t="s">
        <v>1955</v>
      </c>
      <c r="N212" s="29" t="s">
        <v>3468</v>
      </c>
      <c r="O212" s="29" t="s">
        <v>4013</v>
      </c>
      <c r="P212" s="29" t="s">
        <v>3690</v>
      </c>
      <c r="Q212" s="29" t="s">
        <v>3691</v>
      </c>
      <c r="R212" s="32">
        <v>44166</v>
      </c>
      <c r="S212" s="32">
        <v>45996</v>
      </c>
      <c r="T212" s="33">
        <v>3933000</v>
      </c>
      <c r="U212" s="29">
        <v>25</v>
      </c>
      <c r="V212" s="34">
        <f t="shared" si="9"/>
        <v>983250</v>
      </c>
      <c r="W212" s="34">
        <f t="shared" si="10"/>
        <v>2949750</v>
      </c>
      <c r="X212" s="35">
        <v>1.5</v>
      </c>
      <c r="Y212" s="34">
        <f t="shared" si="11"/>
        <v>44246.25</v>
      </c>
      <c r="Z212" s="29"/>
      <c r="AA212" s="29" t="s">
        <v>4014</v>
      </c>
      <c r="AB212" s="29">
        <v>1141071867</v>
      </c>
      <c r="AC212" s="49">
        <v>45644</v>
      </c>
      <c r="AD212" s="48" t="s">
        <v>3160</v>
      </c>
      <c r="AE212" s="48">
        <v>4</v>
      </c>
      <c r="AG212" t="s">
        <v>1951</v>
      </c>
      <c r="AH212" s="54">
        <v>44246</v>
      </c>
      <c r="AI212" s="54">
        <v>-0.25</v>
      </c>
      <c r="AJ212" s="54">
        <v>2949750</v>
      </c>
      <c r="AK212" s="54">
        <v>0</v>
      </c>
      <c r="AL212" t="s">
        <v>26</v>
      </c>
      <c r="AM212" t="s">
        <v>4249</v>
      </c>
    </row>
    <row r="213" spans="1:39" ht="11.25" customHeight="1" x14ac:dyDescent="0.2">
      <c r="A213" s="29" t="s">
        <v>2974</v>
      </c>
      <c r="B213" s="29" t="s">
        <v>3487</v>
      </c>
      <c r="C213" s="40">
        <v>45597</v>
      </c>
      <c r="D213" s="39" t="s">
        <v>3720</v>
      </c>
      <c r="E213" s="29" t="s">
        <v>2131</v>
      </c>
      <c r="F213" s="32">
        <v>45619</v>
      </c>
      <c r="G213" s="32">
        <v>45983</v>
      </c>
      <c r="H213" s="30" t="s">
        <v>3927</v>
      </c>
      <c r="I213" s="31">
        <v>3520295694273</v>
      </c>
      <c r="J213" s="47" t="s">
        <v>4203</v>
      </c>
      <c r="K213" s="29"/>
      <c r="L213" s="29" t="s">
        <v>2133</v>
      </c>
      <c r="M213" s="29" t="s">
        <v>2134</v>
      </c>
      <c r="N213" s="29" t="s">
        <v>3487</v>
      </c>
      <c r="O213" s="29" t="s">
        <v>4013</v>
      </c>
      <c r="P213" s="29" t="s">
        <v>3717</v>
      </c>
      <c r="Q213" s="29" t="s">
        <v>3718</v>
      </c>
      <c r="R213" s="32">
        <v>44159</v>
      </c>
      <c r="S213" s="32">
        <v>45996</v>
      </c>
      <c r="T213" s="33">
        <v>1198000</v>
      </c>
      <c r="U213" s="29">
        <v>25</v>
      </c>
      <c r="V213" s="34">
        <f t="shared" si="9"/>
        <v>299500</v>
      </c>
      <c r="W213" s="34">
        <f t="shared" si="10"/>
        <v>898500</v>
      </c>
      <c r="X213" s="35">
        <v>2.5</v>
      </c>
      <c r="Y213" s="34">
        <f t="shared" si="11"/>
        <v>22462.5</v>
      </c>
      <c r="Z213" s="29"/>
      <c r="AA213" s="29" t="s">
        <v>4014</v>
      </c>
      <c r="AB213" s="29">
        <v>1141071867</v>
      </c>
      <c r="AC213" s="49">
        <v>45644</v>
      </c>
      <c r="AD213" s="48" t="s">
        <v>3160</v>
      </c>
      <c r="AE213" s="48">
        <v>4</v>
      </c>
      <c r="AG213" t="s">
        <v>2131</v>
      </c>
      <c r="AH213" s="54">
        <v>22463</v>
      </c>
      <c r="AI213" s="54">
        <v>0.5</v>
      </c>
      <c r="AJ213" s="54">
        <v>898500</v>
      </c>
      <c r="AK213" s="54">
        <v>0</v>
      </c>
      <c r="AL213" t="s">
        <v>26</v>
      </c>
      <c r="AM213" t="s">
        <v>4249</v>
      </c>
    </row>
    <row r="214" spans="1:39" ht="11.25" customHeight="1" x14ac:dyDescent="0.2">
      <c r="A214" s="29" t="s">
        <v>2974</v>
      </c>
      <c r="B214" s="29" t="s">
        <v>3311</v>
      </c>
      <c r="C214" s="40">
        <v>45597</v>
      </c>
      <c r="D214" s="39" t="s">
        <v>3720</v>
      </c>
      <c r="E214" s="29" t="s">
        <v>672</v>
      </c>
      <c r="F214" s="32">
        <v>45620</v>
      </c>
      <c r="G214" s="32">
        <v>45984</v>
      </c>
      <c r="H214" s="30" t="s">
        <v>3928</v>
      </c>
      <c r="I214" s="31">
        <v>6110125570333</v>
      </c>
      <c r="J214" s="47" t="s">
        <v>4231</v>
      </c>
      <c r="K214" s="29" t="s">
        <v>674</v>
      </c>
      <c r="L214" s="29" t="s">
        <v>675</v>
      </c>
      <c r="M214" s="29" t="s">
        <v>676</v>
      </c>
      <c r="N214" s="29" t="s">
        <v>3311</v>
      </c>
      <c r="O214" s="29" t="s">
        <v>4013</v>
      </c>
      <c r="P214" s="29" t="s">
        <v>3154</v>
      </c>
      <c r="Q214" s="29" t="s">
        <v>3513</v>
      </c>
      <c r="R214" s="32">
        <v>45258</v>
      </c>
      <c r="S214" s="32">
        <v>46361</v>
      </c>
      <c r="T214" s="33">
        <v>4000000</v>
      </c>
      <c r="U214" s="29">
        <v>10</v>
      </c>
      <c r="V214" s="34">
        <f t="shared" si="9"/>
        <v>400000</v>
      </c>
      <c r="W214" s="34">
        <f t="shared" si="10"/>
        <v>3600000</v>
      </c>
      <c r="X214" s="35">
        <v>1.5</v>
      </c>
      <c r="Y214" s="34">
        <f t="shared" si="11"/>
        <v>54000</v>
      </c>
      <c r="Z214" s="29"/>
      <c r="AA214" s="29" t="s">
        <v>4014</v>
      </c>
      <c r="AB214" s="29">
        <v>1141071867</v>
      </c>
      <c r="AC214" s="49">
        <v>45644</v>
      </c>
      <c r="AD214" s="48" t="s">
        <v>3160</v>
      </c>
      <c r="AE214" s="48">
        <v>0</v>
      </c>
      <c r="AG214" t="s">
        <v>672</v>
      </c>
      <c r="AH214" s="54">
        <v>54000</v>
      </c>
      <c r="AI214" s="54">
        <v>0</v>
      </c>
      <c r="AJ214" s="54">
        <v>3600000</v>
      </c>
      <c r="AK214" s="54">
        <v>0</v>
      </c>
      <c r="AL214" t="s">
        <v>26</v>
      </c>
      <c r="AM214" t="s">
        <v>4249</v>
      </c>
    </row>
    <row r="215" spans="1:39" ht="11.25" customHeight="1" x14ac:dyDescent="0.2">
      <c r="A215" s="29" t="s">
        <v>2974</v>
      </c>
      <c r="B215" s="29" t="s">
        <v>3356</v>
      </c>
      <c r="C215" s="40">
        <v>45597</v>
      </c>
      <c r="D215" s="39" t="s">
        <v>3720</v>
      </c>
      <c r="E215" s="29" t="s">
        <v>1041</v>
      </c>
      <c r="F215" s="32">
        <v>45620</v>
      </c>
      <c r="G215" s="32">
        <v>45984</v>
      </c>
      <c r="H215" s="30" t="s">
        <v>3929</v>
      </c>
      <c r="I215" s="31">
        <v>3520183351657</v>
      </c>
      <c r="J215" s="47" t="s">
        <v>4180</v>
      </c>
      <c r="K215" s="29" t="s">
        <v>1043</v>
      </c>
      <c r="L215" s="29" t="s">
        <v>1044</v>
      </c>
      <c r="M215" s="29" t="s">
        <v>1045</v>
      </c>
      <c r="N215" s="29" t="s">
        <v>3356</v>
      </c>
      <c r="O215" s="29" t="s">
        <v>4013</v>
      </c>
      <c r="P215" s="29" t="s">
        <v>3154</v>
      </c>
      <c r="Q215" s="29" t="s">
        <v>3563</v>
      </c>
      <c r="R215" s="32">
        <v>44893</v>
      </c>
      <c r="S215" s="32">
        <v>46727</v>
      </c>
      <c r="T215" s="33">
        <v>1976000</v>
      </c>
      <c r="U215" s="29">
        <v>15</v>
      </c>
      <c r="V215" s="34">
        <f t="shared" si="9"/>
        <v>296400</v>
      </c>
      <c r="W215" s="34">
        <f t="shared" si="10"/>
        <v>1679600</v>
      </c>
      <c r="X215" s="35">
        <v>2</v>
      </c>
      <c r="Y215" s="34">
        <f t="shared" si="11"/>
        <v>33592</v>
      </c>
      <c r="Z215" s="29"/>
      <c r="AA215" s="29" t="s">
        <v>4014</v>
      </c>
      <c r="AB215" s="29">
        <v>1141071867</v>
      </c>
      <c r="AC215" s="49">
        <v>45644</v>
      </c>
      <c r="AD215" s="48" t="s">
        <v>3160</v>
      </c>
      <c r="AE215" s="48">
        <v>4</v>
      </c>
      <c r="AG215" t="s">
        <v>1041</v>
      </c>
      <c r="AH215" s="54">
        <v>33592</v>
      </c>
      <c r="AI215" s="54">
        <v>0</v>
      </c>
      <c r="AJ215" s="54">
        <v>1679600</v>
      </c>
      <c r="AK215" s="54">
        <v>0</v>
      </c>
      <c r="AL215" t="s">
        <v>26</v>
      </c>
      <c r="AM215" t="s">
        <v>4249</v>
      </c>
    </row>
    <row r="216" spans="1:39" ht="11.25" customHeight="1" x14ac:dyDescent="0.2">
      <c r="A216" s="29" t="s">
        <v>2974</v>
      </c>
      <c r="B216" s="29" t="s">
        <v>3419</v>
      </c>
      <c r="C216" s="40">
        <v>45597</v>
      </c>
      <c r="D216" s="39" t="s">
        <v>3720</v>
      </c>
      <c r="E216" s="29" t="s">
        <v>1550</v>
      </c>
      <c r="F216" s="32">
        <v>45620</v>
      </c>
      <c r="G216" s="32">
        <v>45984</v>
      </c>
      <c r="H216" s="30" t="s">
        <v>3930</v>
      </c>
      <c r="I216" s="31">
        <v>3620353641083</v>
      </c>
      <c r="J216" s="47" t="s">
        <v>4213</v>
      </c>
      <c r="K216" s="29"/>
      <c r="L216" s="29" t="s">
        <v>1552</v>
      </c>
      <c r="M216" s="29" t="s">
        <v>1553</v>
      </c>
      <c r="N216" s="29" t="s">
        <v>3419</v>
      </c>
      <c r="O216" s="29" t="s">
        <v>4013</v>
      </c>
      <c r="P216" s="29" t="s">
        <v>3176</v>
      </c>
      <c r="Q216" s="29" t="s">
        <v>3633</v>
      </c>
      <c r="R216" s="32">
        <v>44529</v>
      </c>
      <c r="S216" s="32">
        <v>46361</v>
      </c>
      <c r="T216" s="33">
        <v>1508000</v>
      </c>
      <c r="U216" s="29">
        <v>20</v>
      </c>
      <c r="V216" s="34">
        <f t="shared" si="9"/>
        <v>301600</v>
      </c>
      <c r="W216" s="34">
        <f t="shared" si="10"/>
        <v>1206400</v>
      </c>
      <c r="X216" s="35">
        <v>1.75</v>
      </c>
      <c r="Y216" s="34">
        <f t="shared" si="11"/>
        <v>21112.000000000004</v>
      </c>
      <c r="Z216" s="29"/>
      <c r="AA216" s="29" t="s">
        <v>4014</v>
      </c>
      <c r="AB216" s="29">
        <v>1141071867</v>
      </c>
      <c r="AC216" s="49">
        <v>45644</v>
      </c>
      <c r="AD216" s="48" t="s">
        <v>3160</v>
      </c>
      <c r="AE216" s="48">
        <v>4</v>
      </c>
      <c r="AG216" t="s">
        <v>1550</v>
      </c>
      <c r="AH216" s="54">
        <v>21112</v>
      </c>
      <c r="AI216" s="54">
        <v>0</v>
      </c>
      <c r="AJ216" s="54">
        <v>1206400</v>
      </c>
      <c r="AK216" s="54">
        <v>0</v>
      </c>
      <c r="AL216" t="s">
        <v>26</v>
      </c>
      <c r="AM216" t="s">
        <v>4249</v>
      </c>
    </row>
    <row r="217" spans="1:39" ht="11.25" customHeight="1" x14ac:dyDescent="0.2">
      <c r="A217" s="29" t="s">
        <v>2974</v>
      </c>
      <c r="B217" s="29" t="s">
        <v>3420</v>
      </c>
      <c r="C217" s="40">
        <v>45597</v>
      </c>
      <c r="D217" s="39" t="s">
        <v>3720</v>
      </c>
      <c r="E217" s="29" t="s">
        <v>1557</v>
      </c>
      <c r="F217" s="32">
        <v>45620</v>
      </c>
      <c r="G217" s="32">
        <v>45984</v>
      </c>
      <c r="H217" s="30" t="s">
        <v>3931</v>
      </c>
      <c r="I217" s="31">
        <v>3410144150315</v>
      </c>
      <c r="J217" s="47" t="s">
        <v>4224</v>
      </c>
      <c r="K217" s="29" t="s">
        <v>1560</v>
      </c>
      <c r="L217" s="29" t="s">
        <v>1561</v>
      </c>
      <c r="M217" s="29" t="s">
        <v>1562</v>
      </c>
      <c r="N217" s="29" t="s">
        <v>3420</v>
      </c>
      <c r="O217" s="29" t="s">
        <v>4013</v>
      </c>
      <c r="P217" s="29" t="s">
        <v>3594</v>
      </c>
      <c r="Q217" s="29" t="s">
        <v>3634</v>
      </c>
      <c r="R217" s="32">
        <v>44530</v>
      </c>
      <c r="S217" s="32">
        <v>46361</v>
      </c>
      <c r="T217" s="33">
        <v>1975000</v>
      </c>
      <c r="U217" s="29">
        <v>20</v>
      </c>
      <c r="V217" s="34">
        <f t="shared" si="9"/>
        <v>395000</v>
      </c>
      <c r="W217" s="34">
        <f t="shared" si="10"/>
        <v>1580000</v>
      </c>
      <c r="X217" s="35">
        <v>1.75</v>
      </c>
      <c r="Y217" s="34">
        <f t="shared" si="11"/>
        <v>27650.000000000004</v>
      </c>
      <c r="Z217" s="29"/>
      <c r="AA217" s="29" t="s">
        <v>4014</v>
      </c>
      <c r="AB217" s="29">
        <v>1141071867</v>
      </c>
      <c r="AC217" s="49">
        <v>45644</v>
      </c>
      <c r="AD217" s="48" t="s">
        <v>3160</v>
      </c>
      <c r="AE217" s="48">
        <v>4</v>
      </c>
      <c r="AG217" t="s">
        <v>1557</v>
      </c>
      <c r="AH217" s="54">
        <v>27650</v>
      </c>
      <c r="AI217" s="54">
        <v>0</v>
      </c>
      <c r="AJ217" s="54">
        <v>1580000</v>
      </c>
      <c r="AK217" s="54">
        <v>0</v>
      </c>
      <c r="AL217" t="s">
        <v>26</v>
      </c>
      <c r="AM217" t="s">
        <v>4249</v>
      </c>
    </row>
    <row r="218" spans="1:39" ht="11.25" customHeight="1" x14ac:dyDescent="0.2">
      <c r="A218" s="29" t="s">
        <v>2974</v>
      </c>
      <c r="B218" s="29" t="s">
        <v>3426</v>
      </c>
      <c r="C218" s="40">
        <v>45597</v>
      </c>
      <c r="D218" s="39" t="s">
        <v>3720</v>
      </c>
      <c r="E218" s="29" t="s">
        <v>1606</v>
      </c>
      <c r="F218" s="32">
        <v>45620</v>
      </c>
      <c r="G218" s="32">
        <v>45984</v>
      </c>
      <c r="H218" s="30" t="s">
        <v>3932</v>
      </c>
      <c r="I218" s="31">
        <v>3520282847205</v>
      </c>
      <c r="J218" s="47" t="s">
        <v>4232</v>
      </c>
      <c r="K218" s="29" t="s">
        <v>1609</v>
      </c>
      <c r="L218" s="29" t="s">
        <v>1610</v>
      </c>
      <c r="M218" s="29" t="s">
        <v>1611</v>
      </c>
      <c r="N218" s="29" t="s">
        <v>3426</v>
      </c>
      <c r="O218" s="29" t="s">
        <v>4013</v>
      </c>
      <c r="P218" s="29" t="s">
        <v>3154</v>
      </c>
      <c r="Q218" s="29" t="s">
        <v>3642</v>
      </c>
      <c r="R218" s="32">
        <v>44530</v>
      </c>
      <c r="S218" s="32">
        <v>46361</v>
      </c>
      <c r="T218" s="33">
        <v>3180000</v>
      </c>
      <c r="U218" s="29">
        <v>20</v>
      </c>
      <c r="V218" s="34">
        <f t="shared" si="9"/>
        <v>636000</v>
      </c>
      <c r="W218" s="34">
        <f t="shared" si="10"/>
        <v>2544000</v>
      </c>
      <c r="X218" s="35">
        <v>1.75</v>
      </c>
      <c r="Y218" s="34">
        <f t="shared" si="11"/>
        <v>44520.000000000007</v>
      </c>
      <c r="Z218" s="29"/>
      <c r="AA218" s="29" t="s">
        <v>4014</v>
      </c>
      <c r="AB218" s="29">
        <v>1141071867</v>
      </c>
      <c r="AC218" s="49">
        <v>45644</v>
      </c>
      <c r="AD218" s="48" t="s">
        <v>3160</v>
      </c>
      <c r="AE218" s="48">
        <v>4</v>
      </c>
      <c r="AG218" t="s">
        <v>1606</v>
      </c>
      <c r="AH218" s="54">
        <v>44520</v>
      </c>
      <c r="AI218" s="54">
        <v>0</v>
      </c>
      <c r="AJ218" s="54">
        <v>2544000</v>
      </c>
      <c r="AK218" s="54">
        <v>0</v>
      </c>
      <c r="AL218" t="s">
        <v>26</v>
      </c>
      <c r="AM218" t="s">
        <v>4249</v>
      </c>
    </row>
    <row r="219" spans="1:39" ht="11.25" customHeight="1" x14ac:dyDescent="0.2">
      <c r="A219" s="29" t="s">
        <v>2974</v>
      </c>
      <c r="B219" s="29" t="s">
        <v>3427</v>
      </c>
      <c r="C219" s="40">
        <v>45597</v>
      </c>
      <c r="D219" s="39" t="s">
        <v>3720</v>
      </c>
      <c r="E219" s="29" t="s">
        <v>1615</v>
      </c>
      <c r="F219" s="32">
        <v>45620</v>
      </c>
      <c r="G219" s="32">
        <v>45984</v>
      </c>
      <c r="H219" s="30" t="s">
        <v>3933</v>
      </c>
      <c r="I219" s="31">
        <v>3630268368730</v>
      </c>
      <c r="J219" s="47" t="s">
        <v>665</v>
      </c>
      <c r="K219" s="29" t="s">
        <v>1618</v>
      </c>
      <c r="L219" s="29" t="s">
        <v>1619</v>
      </c>
      <c r="M219" s="29" t="s">
        <v>1620</v>
      </c>
      <c r="N219" s="29" t="s">
        <v>3427</v>
      </c>
      <c r="O219" s="29" t="s">
        <v>4013</v>
      </c>
      <c r="P219" s="29" t="s">
        <v>3216</v>
      </c>
      <c r="Q219" s="29" t="s">
        <v>3643</v>
      </c>
      <c r="R219" s="32">
        <v>44544</v>
      </c>
      <c r="S219" s="32">
        <v>46361</v>
      </c>
      <c r="T219" s="33">
        <v>4330000</v>
      </c>
      <c r="U219" s="29">
        <v>20</v>
      </c>
      <c r="V219" s="34">
        <f t="shared" si="9"/>
        <v>866000</v>
      </c>
      <c r="W219" s="34">
        <f t="shared" si="10"/>
        <v>3464000</v>
      </c>
      <c r="X219" s="35">
        <v>1.5</v>
      </c>
      <c r="Y219" s="34">
        <f t="shared" si="11"/>
        <v>51960</v>
      </c>
      <c r="Z219" s="29"/>
      <c r="AA219" s="29" t="s">
        <v>4014</v>
      </c>
      <c r="AB219" s="29">
        <v>1141071867</v>
      </c>
      <c r="AC219" s="49">
        <v>45644</v>
      </c>
      <c r="AD219" s="48" t="s">
        <v>3160</v>
      </c>
      <c r="AE219" s="48">
        <v>0</v>
      </c>
      <c r="AG219" t="s">
        <v>1615</v>
      </c>
      <c r="AH219" s="54">
        <v>51960</v>
      </c>
      <c r="AI219" s="54">
        <v>0</v>
      </c>
      <c r="AJ219" s="54">
        <v>3464000</v>
      </c>
      <c r="AK219" s="54">
        <v>0</v>
      </c>
      <c r="AL219" t="s">
        <v>26</v>
      </c>
      <c r="AM219" t="s">
        <v>4249</v>
      </c>
    </row>
    <row r="220" spans="1:39" ht="11.25" customHeight="1" x14ac:dyDescent="0.2">
      <c r="A220" s="29" t="s">
        <v>2974</v>
      </c>
      <c r="B220" s="29" t="s">
        <v>3462</v>
      </c>
      <c r="C220" s="40">
        <v>45597</v>
      </c>
      <c r="D220" s="39" t="s">
        <v>3720</v>
      </c>
      <c r="E220" s="29" t="s">
        <v>1903</v>
      </c>
      <c r="F220" s="32">
        <v>45620</v>
      </c>
      <c r="G220" s="32">
        <v>45984</v>
      </c>
      <c r="H220" s="30" t="s">
        <v>3934</v>
      </c>
      <c r="I220" s="31">
        <v>3660375323151</v>
      </c>
      <c r="J220" s="47" t="s">
        <v>417</v>
      </c>
      <c r="K220" s="29" t="s">
        <v>1906</v>
      </c>
      <c r="L220" s="29" t="s">
        <v>1907</v>
      </c>
      <c r="M220" s="29" t="s">
        <v>1908</v>
      </c>
      <c r="N220" s="29" t="s">
        <v>3462</v>
      </c>
      <c r="O220" s="29" t="s">
        <v>4013</v>
      </c>
      <c r="P220" s="29" t="s">
        <v>3678</v>
      </c>
      <c r="Q220" s="29" t="s">
        <v>3682</v>
      </c>
      <c r="R220" s="32">
        <v>44161</v>
      </c>
      <c r="S220" s="32">
        <v>45996</v>
      </c>
      <c r="T220" s="33">
        <v>2350000</v>
      </c>
      <c r="U220" s="29">
        <v>25</v>
      </c>
      <c r="V220" s="34">
        <f t="shared" si="9"/>
        <v>587500</v>
      </c>
      <c r="W220" s="34">
        <f t="shared" si="10"/>
        <v>1762500</v>
      </c>
      <c r="X220" s="35">
        <v>2.5</v>
      </c>
      <c r="Y220" s="34">
        <f t="shared" si="11"/>
        <v>44062.5</v>
      </c>
      <c r="Z220" s="29"/>
      <c r="AA220" s="29" t="s">
        <v>4014</v>
      </c>
      <c r="AB220" s="29">
        <v>1141071867</v>
      </c>
      <c r="AC220" s="49">
        <v>45644</v>
      </c>
      <c r="AD220" s="48" t="s">
        <v>3160</v>
      </c>
      <c r="AE220" s="48">
        <v>4</v>
      </c>
      <c r="AG220" t="s">
        <v>1903</v>
      </c>
      <c r="AH220" s="54">
        <v>44063</v>
      </c>
      <c r="AI220" s="54">
        <v>0.5</v>
      </c>
      <c r="AJ220" s="54">
        <v>1762500</v>
      </c>
      <c r="AK220" s="54">
        <v>0</v>
      </c>
      <c r="AL220" t="s">
        <v>26</v>
      </c>
      <c r="AM220" t="s">
        <v>4249</v>
      </c>
    </row>
    <row r="221" spans="1:39" ht="11.25" customHeight="1" x14ac:dyDescent="0.2">
      <c r="A221" s="29" t="s">
        <v>2974</v>
      </c>
      <c r="B221" s="29" t="s">
        <v>3465</v>
      </c>
      <c r="C221" s="40">
        <v>45597</v>
      </c>
      <c r="D221" s="39" t="s">
        <v>3720</v>
      </c>
      <c r="E221" s="29" t="s">
        <v>1929</v>
      </c>
      <c r="F221" s="32">
        <v>45620</v>
      </c>
      <c r="G221" s="32">
        <v>45984</v>
      </c>
      <c r="H221" s="30" t="s">
        <v>3935</v>
      </c>
      <c r="I221" s="31">
        <v>3530119729913</v>
      </c>
      <c r="J221" s="47" t="s">
        <v>4180</v>
      </c>
      <c r="K221" s="29"/>
      <c r="L221" s="29" t="s">
        <v>1931</v>
      </c>
      <c r="M221" s="29" t="s">
        <v>1932</v>
      </c>
      <c r="N221" s="29" t="s">
        <v>3465</v>
      </c>
      <c r="O221" s="29" t="s">
        <v>4013</v>
      </c>
      <c r="P221" s="29" t="s">
        <v>3685</v>
      </c>
      <c r="Q221" s="29" t="s">
        <v>3686</v>
      </c>
      <c r="R221" s="32">
        <v>44162</v>
      </c>
      <c r="S221" s="32">
        <v>45996</v>
      </c>
      <c r="T221" s="33">
        <v>1433000</v>
      </c>
      <c r="U221" s="29">
        <v>25</v>
      </c>
      <c r="V221" s="34">
        <f t="shared" si="9"/>
        <v>358250</v>
      </c>
      <c r="W221" s="34">
        <f t="shared" si="10"/>
        <v>1074750</v>
      </c>
      <c r="X221" s="35">
        <v>2.5</v>
      </c>
      <c r="Y221" s="34">
        <f t="shared" si="11"/>
        <v>26868.75</v>
      </c>
      <c r="Z221" s="29"/>
      <c r="AA221" s="29" t="s">
        <v>4014</v>
      </c>
      <c r="AB221" s="29">
        <v>1141071867</v>
      </c>
      <c r="AC221" s="49">
        <v>45644</v>
      </c>
      <c r="AD221" s="48" t="s">
        <v>3160</v>
      </c>
      <c r="AE221" s="48">
        <v>0</v>
      </c>
      <c r="AG221" t="s">
        <v>1929</v>
      </c>
      <c r="AH221" s="54">
        <v>26869</v>
      </c>
      <c r="AI221" s="54">
        <v>0.25</v>
      </c>
      <c r="AJ221" s="54">
        <v>1074750</v>
      </c>
      <c r="AK221" s="54">
        <v>0</v>
      </c>
      <c r="AL221" t="s">
        <v>26</v>
      </c>
      <c r="AM221" t="s">
        <v>4249</v>
      </c>
    </row>
    <row r="222" spans="1:39" ht="11.25" customHeight="1" x14ac:dyDescent="0.2">
      <c r="A222" s="29" t="s">
        <v>2974</v>
      </c>
      <c r="B222" s="29" t="s">
        <v>3339</v>
      </c>
      <c r="C222" s="40">
        <v>45597</v>
      </c>
      <c r="D222" s="39" t="s">
        <v>3720</v>
      </c>
      <c r="E222" s="29" t="s">
        <v>906</v>
      </c>
      <c r="F222" s="32">
        <v>45621</v>
      </c>
      <c r="G222" s="32">
        <v>45985</v>
      </c>
      <c r="H222" s="30" t="s">
        <v>3936</v>
      </c>
      <c r="I222" s="31">
        <v>6110134329295</v>
      </c>
      <c r="J222" s="47" t="s">
        <v>4212</v>
      </c>
      <c r="K222" s="29" t="s">
        <v>908</v>
      </c>
      <c r="L222" s="29" t="s">
        <v>909</v>
      </c>
      <c r="M222" s="29" t="s">
        <v>910</v>
      </c>
      <c r="N222" s="29" t="s">
        <v>3339</v>
      </c>
      <c r="O222" s="29" t="s">
        <v>3167</v>
      </c>
      <c r="P222" s="29" t="s">
        <v>3168</v>
      </c>
      <c r="Q222" s="29" t="s">
        <v>3543</v>
      </c>
      <c r="R222" s="32">
        <v>44893</v>
      </c>
      <c r="S222" s="32">
        <v>46727</v>
      </c>
      <c r="T222" s="33">
        <v>1424000</v>
      </c>
      <c r="U222" s="29">
        <v>15</v>
      </c>
      <c r="V222" s="34">
        <f t="shared" si="9"/>
        <v>213600</v>
      </c>
      <c r="W222" s="34">
        <f t="shared" si="10"/>
        <v>1210400</v>
      </c>
      <c r="X222" s="35">
        <v>2</v>
      </c>
      <c r="Y222" s="34">
        <f t="shared" si="11"/>
        <v>24208</v>
      </c>
      <c r="Z222" s="29"/>
      <c r="AA222" s="29" t="s">
        <v>4014</v>
      </c>
      <c r="AB222" s="29">
        <v>1141071867</v>
      </c>
      <c r="AC222" s="49">
        <v>45644</v>
      </c>
      <c r="AD222" s="48" t="s">
        <v>3160</v>
      </c>
      <c r="AE222" s="48">
        <v>4</v>
      </c>
      <c r="AG222" t="s">
        <v>906</v>
      </c>
      <c r="AH222" s="54">
        <v>24208</v>
      </c>
      <c r="AI222" s="54">
        <v>0</v>
      </c>
      <c r="AJ222" s="54">
        <v>1210400</v>
      </c>
      <c r="AK222" s="54">
        <v>0</v>
      </c>
      <c r="AL222" t="s">
        <v>26</v>
      </c>
      <c r="AM222" t="s">
        <v>4249</v>
      </c>
    </row>
    <row r="223" spans="1:39" ht="11.25" customHeight="1" x14ac:dyDescent="0.2">
      <c r="A223" s="29" t="s">
        <v>2974</v>
      </c>
      <c r="B223" s="29" t="s">
        <v>3343</v>
      </c>
      <c r="C223" s="40">
        <v>45597</v>
      </c>
      <c r="D223" s="39" t="s">
        <v>3720</v>
      </c>
      <c r="E223" s="29" t="s">
        <v>940</v>
      </c>
      <c r="F223" s="32">
        <v>45621</v>
      </c>
      <c r="G223" s="32">
        <v>45985</v>
      </c>
      <c r="H223" s="30" t="s">
        <v>3937</v>
      </c>
      <c r="I223" s="31">
        <v>6110132034139</v>
      </c>
      <c r="J223" s="47" t="s">
        <v>4212</v>
      </c>
      <c r="K223" s="29" t="s">
        <v>942</v>
      </c>
      <c r="L223" s="29" t="s">
        <v>943</v>
      </c>
      <c r="M223" s="29" t="s">
        <v>944</v>
      </c>
      <c r="N223" s="29" t="s">
        <v>3343</v>
      </c>
      <c r="O223" s="29" t="s">
        <v>3167</v>
      </c>
      <c r="P223" s="29" t="s">
        <v>3549</v>
      </c>
      <c r="Q223" s="29" t="s">
        <v>3550</v>
      </c>
      <c r="R223" s="32">
        <v>44533</v>
      </c>
      <c r="S223" s="32">
        <v>46361</v>
      </c>
      <c r="T223" s="33">
        <v>1020000</v>
      </c>
      <c r="U223" s="29">
        <v>20</v>
      </c>
      <c r="V223" s="34">
        <f t="shared" si="9"/>
        <v>204000</v>
      </c>
      <c r="W223" s="34">
        <f t="shared" si="10"/>
        <v>816000</v>
      </c>
      <c r="X223" s="35">
        <v>1.75</v>
      </c>
      <c r="Y223" s="34">
        <f t="shared" si="11"/>
        <v>14280.000000000002</v>
      </c>
      <c r="Z223" s="29"/>
      <c r="AA223" s="29" t="s">
        <v>4014</v>
      </c>
      <c r="AB223" s="29">
        <v>1141071867</v>
      </c>
      <c r="AC223" s="49">
        <v>45644</v>
      </c>
      <c r="AD223" s="48" t="s">
        <v>3160</v>
      </c>
      <c r="AE223" s="48">
        <v>0</v>
      </c>
      <c r="AG223" t="s">
        <v>940</v>
      </c>
      <c r="AH223" s="54">
        <v>14280</v>
      </c>
      <c r="AI223" s="54">
        <v>0</v>
      </c>
      <c r="AJ223" s="54">
        <v>816000</v>
      </c>
      <c r="AK223" s="54">
        <v>0</v>
      </c>
      <c r="AL223" t="s">
        <v>26</v>
      </c>
      <c r="AM223" t="s">
        <v>4249</v>
      </c>
    </row>
    <row r="224" spans="1:39" ht="11.25" customHeight="1" x14ac:dyDescent="0.2">
      <c r="A224" s="29" t="s">
        <v>2974</v>
      </c>
      <c r="B224" s="29" t="s">
        <v>3357</v>
      </c>
      <c r="C224" s="40">
        <v>45597</v>
      </c>
      <c r="D224" s="39" t="s">
        <v>3720</v>
      </c>
      <c r="E224" s="29" t="s">
        <v>1049</v>
      </c>
      <c r="F224" s="32">
        <v>45621</v>
      </c>
      <c r="G224" s="32">
        <v>45985</v>
      </c>
      <c r="H224" s="30" t="s">
        <v>3938</v>
      </c>
      <c r="I224" s="31">
        <v>4430312190304</v>
      </c>
      <c r="J224" s="47" t="s">
        <v>4182</v>
      </c>
      <c r="K224" s="29" t="s">
        <v>1051</v>
      </c>
      <c r="L224" s="29" t="s">
        <v>1052</v>
      </c>
      <c r="M224" s="29" t="s">
        <v>1053</v>
      </c>
      <c r="N224" s="29" t="s">
        <v>3357</v>
      </c>
      <c r="O224" s="29" t="s">
        <v>3167</v>
      </c>
      <c r="P224" s="29" t="s">
        <v>3168</v>
      </c>
      <c r="Q224" s="29" t="s">
        <v>3564</v>
      </c>
      <c r="R224" s="32">
        <v>44894</v>
      </c>
      <c r="S224" s="32">
        <v>46361</v>
      </c>
      <c r="T224" s="33">
        <v>1750000</v>
      </c>
      <c r="U224" s="29">
        <v>15</v>
      </c>
      <c r="V224" s="34">
        <f t="shared" si="9"/>
        <v>262500</v>
      </c>
      <c r="W224" s="34">
        <f t="shared" si="10"/>
        <v>1487500</v>
      </c>
      <c r="X224" s="35">
        <v>2</v>
      </c>
      <c r="Y224" s="34">
        <f t="shared" si="11"/>
        <v>29750</v>
      </c>
      <c r="Z224" s="29"/>
      <c r="AA224" s="29" t="s">
        <v>4014</v>
      </c>
      <c r="AB224" s="29">
        <v>1141071867</v>
      </c>
      <c r="AC224" s="49">
        <v>45644</v>
      </c>
      <c r="AD224" s="48" t="s">
        <v>3160</v>
      </c>
      <c r="AE224" s="48">
        <v>65</v>
      </c>
      <c r="AG224" t="s">
        <v>1049</v>
      </c>
      <c r="AH224" s="54">
        <v>29750</v>
      </c>
      <c r="AI224" s="54">
        <v>0</v>
      </c>
      <c r="AJ224" s="54">
        <v>1487500</v>
      </c>
      <c r="AK224" s="54">
        <v>0</v>
      </c>
      <c r="AL224" t="s">
        <v>26</v>
      </c>
      <c r="AM224" t="s">
        <v>4249</v>
      </c>
    </row>
    <row r="225" spans="1:39" ht="11.25" customHeight="1" x14ac:dyDescent="0.2">
      <c r="A225" s="29" t="s">
        <v>2974</v>
      </c>
      <c r="B225" s="29" t="s">
        <v>3358</v>
      </c>
      <c r="C225" s="40">
        <v>45597</v>
      </c>
      <c r="D225" s="39" t="s">
        <v>3720</v>
      </c>
      <c r="E225" s="29" t="s">
        <v>1057</v>
      </c>
      <c r="F225" s="32">
        <v>45621</v>
      </c>
      <c r="G225" s="32">
        <v>45985</v>
      </c>
      <c r="H225" s="30" t="s">
        <v>3939</v>
      </c>
      <c r="I225" s="31">
        <v>6110124418788</v>
      </c>
      <c r="J225" s="47" t="s">
        <v>4182</v>
      </c>
      <c r="K225" s="29" t="s">
        <v>1059</v>
      </c>
      <c r="L225" s="29" t="s">
        <v>1060</v>
      </c>
      <c r="M225" s="29" t="s">
        <v>1061</v>
      </c>
      <c r="N225" s="29" t="s">
        <v>3358</v>
      </c>
      <c r="O225" s="29" t="s">
        <v>3167</v>
      </c>
      <c r="P225" s="29" t="s">
        <v>3168</v>
      </c>
      <c r="Q225" s="29" t="s">
        <v>3565</v>
      </c>
      <c r="R225" s="32">
        <v>44893</v>
      </c>
      <c r="S225" s="32">
        <v>46727</v>
      </c>
      <c r="T225" s="33">
        <v>2564000</v>
      </c>
      <c r="U225" s="29">
        <v>15</v>
      </c>
      <c r="V225" s="34">
        <f t="shared" si="9"/>
        <v>384600</v>
      </c>
      <c r="W225" s="34">
        <f t="shared" si="10"/>
        <v>2179400</v>
      </c>
      <c r="X225" s="35">
        <v>2</v>
      </c>
      <c r="Y225" s="34">
        <f t="shared" si="11"/>
        <v>43588</v>
      </c>
      <c r="Z225" s="29"/>
      <c r="AA225" s="29" t="s">
        <v>4014</v>
      </c>
      <c r="AB225" s="29">
        <v>1141071867</v>
      </c>
      <c r="AC225" s="49">
        <v>45644</v>
      </c>
      <c r="AD225" s="48" t="s">
        <v>3160</v>
      </c>
      <c r="AE225" s="48">
        <v>4</v>
      </c>
      <c r="AG225" t="s">
        <v>1057</v>
      </c>
      <c r="AH225" s="54">
        <v>43588</v>
      </c>
      <c r="AI225" s="54">
        <v>0</v>
      </c>
      <c r="AJ225" s="54">
        <v>2179400</v>
      </c>
      <c r="AK225" s="54">
        <v>0</v>
      </c>
      <c r="AL225" t="s">
        <v>26</v>
      </c>
      <c r="AM225" t="s">
        <v>4249</v>
      </c>
    </row>
    <row r="226" spans="1:39" ht="11.25" customHeight="1" x14ac:dyDescent="0.2">
      <c r="A226" s="29" t="s">
        <v>2974</v>
      </c>
      <c r="B226" s="29" t="s">
        <v>3421</v>
      </c>
      <c r="C226" s="40">
        <v>45597</v>
      </c>
      <c r="D226" s="39" t="s">
        <v>3720</v>
      </c>
      <c r="E226" s="29" t="s">
        <v>1566</v>
      </c>
      <c r="F226" s="32">
        <v>45621</v>
      </c>
      <c r="G226" s="32">
        <v>45985</v>
      </c>
      <c r="H226" s="30" t="s">
        <v>3940</v>
      </c>
      <c r="I226" s="31">
        <v>3740596343523</v>
      </c>
      <c r="J226" s="47" t="s">
        <v>4224</v>
      </c>
      <c r="K226" s="29" t="s">
        <v>1568</v>
      </c>
      <c r="L226" s="29" t="s">
        <v>1569</v>
      </c>
      <c r="M226" s="29" t="s">
        <v>1570</v>
      </c>
      <c r="N226" s="29" t="s">
        <v>3421</v>
      </c>
      <c r="O226" s="29" t="s">
        <v>3167</v>
      </c>
      <c r="P226" s="29" t="s">
        <v>3168</v>
      </c>
      <c r="Q226" s="29" t="s">
        <v>3635</v>
      </c>
      <c r="R226" s="32">
        <v>44530</v>
      </c>
      <c r="S226" s="32">
        <v>47092</v>
      </c>
      <c r="T226" s="33">
        <v>1852000</v>
      </c>
      <c r="U226" s="29">
        <v>20</v>
      </c>
      <c r="V226" s="34">
        <f t="shared" si="9"/>
        <v>370400</v>
      </c>
      <c r="W226" s="34">
        <f t="shared" si="10"/>
        <v>1481600</v>
      </c>
      <c r="X226" s="35">
        <v>1.75</v>
      </c>
      <c r="Y226" s="34">
        <f t="shared" si="11"/>
        <v>25928.000000000004</v>
      </c>
      <c r="Z226" s="29"/>
      <c r="AA226" s="29" t="s">
        <v>4014</v>
      </c>
      <c r="AB226" s="29">
        <v>1141071867</v>
      </c>
      <c r="AC226" s="49">
        <v>45644</v>
      </c>
      <c r="AD226" s="48" t="s">
        <v>3160</v>
      </c>
      <c r="AE226" s="48">
        <v>34</v>
      </c>
      <c r="AG226" t="s">
        <v>1566</v>
      </c>
      <c r="AH226" s="54">
        <v>25928</v>
      </c>
      <c r="AI226" s="54">
        <v>0</v>
      </c>
      <c r="AJ226" s="54">
        <v>1481600</v>
      </c>
      <c r="AK226" s="54">
        <v>0</v>
      </c>
      <c r="AL226" t="s">
        <v>26</v>
      </c>
      <c r="AM226" t="s">
        <v>4249</v>
      </c>
    </row>
    <row r="227" spans="1:39" ht="11.25" customHeight="1" x14ac:dyDescent="0.2">
      <c r="A227" s="29" t="s">
        <v>2974</v>
      </c>
      <c r="B227" s="29" t="s">
        <v>3423</v>
      </c>
      <c r="C227" s="40">
        <v>45597</v>
      </c>
      <c r="D227" s="39" t="s">
        <v>3720</v>
      </c>
      <c r="E227" s="29" t="s">
        <v>1582</v>
      </c>
      <c r="F227" s="32">
        <v>45621</v>
      </c>
      <c r="G227" s="32">
        <v>45985</v>
      </c>
      <c r="H227" s="30" t="s">
        <v>3941</v>
      </c>
      <c r="I227" s="31">
        <v>3630233590141</v>
      </c>
      <c r="J227" s="47" t="s">
        <v>4227</v>
      </c>
      <c r="K227" s="29" t="s">
        <v>1585</v>
      </c>
      <c r="L227" s="29" t="s">
        <v>1586</v>
      </c>
      <c r="M227" s="29" t="s">
        <v>1587</v>
      </c>
      <c r="N227" s="29" t="s">
        <v>3423</v>
      </c>
      <c r="O227" s="29" t="s">
        <v>4013</v>
      </c>
      <c r="P227" s="29" t="s">
        <v>3216</v>
      </c>
      <c r="Q227" s="29" t="s">
        <v>3637</v>
      </c>
      <c r="R227" s="32">
        <v>44530</v>
      </c>
      <c r="S227" s="32">
        <v>46361</v>
      </c>
      <c r="T227" s="33">
        <v>2050000</v>
      </c>
      <c r="U227" s="29">
        <v>20</v>
      </c>
      <c r="V227" s="34">
        <f t="shared" si="9"/>
        <v>410000</v>
      </c>
      <c r="W227" s="34">
        <f t="shared" si="10"/>
        <v>1640000</v>
      </c>
      <c r="X227" s="35">
        <v>1.75</v>
      </c>
      <c r="Y227" s="34">
        <f t="shared" si="11"/>
        <v>28700.000000000004</v>
      </c>
      <c r="Z227" s="29"/>
      <c r="AA227" s="29" t="s">
        <v>4014</v>
      </c>
      <c r="AB227" s="29">
        <v>1141071867</v>
      </c>
      <c r="AC227" s="49">
        <v>45644</v>
      </c>
      <c r="AD227" s="48" t="s">
        <v>3160</v>
      </c>
      <c r="AE227" s="48">
        <v>0</v>
      </c>
      <c r="AG227" t="s">
        <v>1582</v>
      </c>
      <c r="AH227" s="54">
        <v>28700</v>
      </c>
      <c r="AI227" s="54">
        <v>0</v>
      </c>
      <c r="AJ227" s="54">
        <v>1640000</v>
      </c>
      <c r="AK227" s="54">
        <v>0</v>
      </c>
      <c r="AL227" t="s">
        <v>26</v>
      </c>
      <c r="AM227" t="s">
        <v>4249</v>
      </c>
    </row>
    <row r="228" spans="1:39" ht="11.25" customHeight="1" x14ac:dyDescent="0.2">
      <c r="A228" s="29" t="s">
        <v>2974</v>
      </c>
      <c r="B228" s="29" t="s">
        <v>3424</v>
      </c>
      <c r="C228" s="40">
        <v>45597</v>
      </c>
      <c r="D228" s="39" t="s">
        <v>3720</v>
      </c>
      <c r="E228" s="29" t="s">
        <v>1591</v>
      </c>
      <c r="F228" s="32">
        <v>45621</v>
      </c>
      <c r="G228" s="32">
        <v>45985</v>
      </c>
      <c r="H228" s="30" t="s">
        <v>3942</v>
      </c>
      <c r="I228" s="31">
        <v>3510281712957</v>
      </c>
      <c r="J228" s="47" t="s">
        <v>4185</v>
      </c>
      <c r="K228" s="29"/>
      <c r="L228" s="29" t="s">
        <v>1593</v>
      </c>
      <c r="M228" s="29" t="s">
        <v>1594</v>
      </c>
      <c r="N228" s="29" t="s">
        <v>3424</v>
      </c>
      <c r="O228" s="29" t="s">
        <v>4013</v>
      </c>
      <c r="P228" s="29" t="s">
        <v>3638</v>
      </c>
      <c r="Q228" s="29" t="s">
        <v>3639</v>
      </c>
      <c r="R228" s="32">
        <v>44530</v>
      </c>
      <c r="S228" s="32">
        <v>46361</v>
      </c>
      <c r="T228" s="33">
        <v>2605000</v>
      </c>
      <c r="U228" s="29">
        <v>20</v>
      </c>
      <c r="V228" s="34">
        <f t="shared" si="9"/>
        <v>521000</v>
      </c>
      <c r="W228" s="34">
        <f t="shared" si="10"/>
        <v>2084000</v>
      </c>
      <c r="X228" s="35">
        <v>1.75</v>
      </c>
      <c r="Y228" s="34">
        <f t="shared" si="11"/>
        <v>36470</v>
      </c>
      <c r="Z228" s="29"/>
      <c r="AA228" s="29" t="s">
        <v>4014</v>
      </c>
      <c r="AB228" s="29">
        <v>1141071867</v>
      </c>
      <c r="AC228" s="49">
        <v>45644</v>
      </c>
      <c r="AD228" s="48" t="s">
        <v>3160</v>
      </c>
      <c r="AE228" s="48">
        <v>4</v>
      </c>
      <c r="AG228" t="s">
        <v>1591</v>
      </c>
      <c r="AH228" s="54">
        <v>36470</v>
      </c>
      <c r="AI228" s="54">
        <v>0</v>
      </c>
      <c r="AJ228" s="54">
        <v>2084000</v>
      </c>
      <c r="AK228" s="54">
        <v>0</v>
      </c>
      <c r="AL228" t="s">
        <v>26</v>
      </c>
      <c r="AM228" t="s">
        <v>4249</v>
      </c>
    </row>
    <row r="229" spans="1:39" ht="11.25" customHeight="1" x14ac:dyDescent="0.2">
      <c r="A229" s="29" t="s">
        <v>2974</v>
      </c>
      <c r="B229" s="29" t="s">
        <v>3425</v>
      </c>
      <c r="C229" s="40">
        <v>45597</v>
      </c>
      <c r="D229" s="39" t="s">
        <v>3720</v>
      </c>
      <c r="E229" s="29" t="s">
        <v>1598</v>
      </c>
      <c r="F229" s="32">
        <v>45622</v>
      </c>
      <c r="G229" s="32">
        <v>45986</v>
      </c>
      <c r="H229" s="30" t="s">
        <v>3943</v>
      </c>
      <c r="I229" s="31">
        <v>3310503657703</v>
      </c>
      <c r="J229" s="47" t="s">
        <v>4192</v>
      </c>
      <c r="K229" s="29" t="s">
        <v>1600</v>
      </c>
      <c r="L229" s="29" t="s">
        <v>1601</v>
      </c>
      <c r="M229" s="29" t="s">
        <v>1602</v>
      </c>
      <c r="N229" s="29" t="s">
        <v>3425</v>
      </c>
      <c r="O229" s="29" t="s">
        <v>4013</v>
      </c>
      <c r="P229" s="29" t="s">
        <v>3640</v>
      </c>
      <c r="Q229" s="29" t="s">
        <v>3641</v>
      </c>
      <c r="R229" s="32">
        <v>44536</v>
      </c>
      <c r="S229" s="32">
        <v>46361</v>
      </c>
      <c r="T229" s="33">
        <v>2605000</v>
      </c>
      <c r="U229" s="29">
        <v>20</v>
      </c>
      <c r="V229" s="34">
        <f t="shared" si="9"/>
        <v>521000</v>
      </c>
      <c r="W229" s="34">
        <f t="shared" si="10"/>
        <v>2084000</v>
      </c>
      <c r="X229" s="35">
        <v>2.5</v>
      </c>
      <c r="Y229" s="34">
        <f t="shared" si="11"/>
        <v>52100</v>
      </c>
      <c r="Z229" s="29"/>
      <c r="AA229" s="29" t="s">
        <v>4014</v>
      </c>
      <c r="AB229" s="29">
        <v>1141071867</v>
      </c>
      <c r="AC229" s="49">
        <v>45644</v>
      </c>
      <c r="AD229" s="48" t="s">
        <v>3160</v>
      </c>
      <c r="AE229" s="48">
        <v>4</v>
      </c>
      <c r="AG229" t="s">
        <v>1598</v>
      </c>
      <c r="AH229" s="54">
        <v>52100</v>
      </c>
      <c r="AI229" s="54">
        <v>0</v>
      </c>
      <c r="AJ229" s="54">
        <v>2084000</v>
      </c>
      <c r="AK229" s="54">
        <v>0</v>
      </c>
      <c r="AL229" t="s">
        <v>26</v>
      </c>
      <c r="AM229" t="s">
        <v>4249</v>
      </c>
    </row>
    <row r="230" spans="1:39" ht="11.25" customHeight="1" x14ac:dyDescent="0.2">
      <c r="A230" s="29" t="s">
        <v>2974</v>
      </c>
      <c r="B230" s="29" t="s">
        <v>3464</v>
      </c>
      <c r="C230" s="40">
        <v>45597</v>
      </c>
      <c r="D230" s="39" t="s">
        <v>3720</v>
      </c>
      <c r="E230" s="29" t="s">
        <v>1920</v>
      </c>
      <c r="F230" s="32">
        <v>45622</v>
      </c>
      <c r="G230" s="32">
        <v>45986</v>
      </c>
      <c r="H230" s="30" t="s">
        <v>3944</v>
      </c>
      <c r="I230" s="31">
        <v>3530184068785</v>
      </c>
      <c r="J230" s="47" t="s">
        <v>4215</v>
      </c>
      <c r="K230" s="29" t="s">
        <v>1923</v>
      </c>
      <c r="L230" s="29" t="s">
        <v>1924</v>
      </c>
      <c r="M230" s="29" t="s">
        <v>1925</v>
      </c>
      <c r="N230" s="29" t="s">
        <v>3464</v>
      </c>
      <c r="O230" s="29" t="s">
        <v>4013</v>
      </c>
      <c r="P230" s="29" t="s">
        <v>3674</v>
      </c>
      <c r="Q230" s="29" t="s">
        <v>3684</v>
      </c>
      <c r="R230" s="32">
        <v>44162</v>
      </c>
      <c r="S230" s="32">
        <v>45996</v>
      </c>
      <c r="T230" s="33">
        <v>2030000</v>
      </c>
      <c r="U230" s="29">
        <v>25</v>
      </c>
      <c r="V230" s="34">
        <f t="shared" si="9"/>
        <v>507500</v>
      </c>
      <c r="W230" s="34">
        <f t="shared" si="10"/>
        <v>1522500</v>
      </c>
      <c r="X230" s="35">
        <v>2.5</v>
      </c>
      <c r="Y230" s="34">
        <f t="shared" si="11"/>
        <v>38062.5</v>
      </c>
      <c r="Z230" s="29"/>
      <c r="AA230" s="29" t="s">
        <v>4014</v>
      </c>
      <c r="AB230" s="29">
        <v>1141071867</v>
      </c>
      <c r="AC230" s="49">
        <v>45644</v>
      </c>
      <c r="AD230" s="48" t="s">
        <v>3160</v>
      </c>
      <c r="AE230" s="48">
        <v>0</v>
      </c>
      <c r="AG230" t="s">
        <v>1920</v>
      </c>
      <c r="AH230" s="54">
        <v>38063</v>
      </c>
      <c r="AI230" s="54">
        <v>0.5</v>
      </c>
      <c r="AJ230" s="54">
        <v>1522500</v>
      </c>
      <c r="AK230" s="54">
        <v>0</v>
      </c>
      <c r="AL230" t="s">
        <v>26</v>
      </c>
      <c r="AM230" t="s">
        <v>4249</v>
      </c>
    </row>
    <row r="231" spans="1:39" ht="11.25" customHeight="1" x14ac:dyDescent="0.2">
      <c r="A231" s="29" t="s">
        <v>2974</v>
      </c>
      <c r="B231" s="29" t="s">
        <v>3467</v>
      </c>
      <c r="C231" s="40">
        <v>45597</v>
      </c>
      <c r="D231" s="39" t="s">
        <v>3720</v>
      </c>
      <c r="E231" s="29" t="s">
        <v>1944</v>
      </c>
      <c r="F231" s="32">
        <v>45622</v>
      </c>
      <c r="G231" s="32">
        <v>45986</v>
      </c>
      <c r="H231" s="30" t="s">
        <v>3945</v>
      </c>
      <c r="I231" s="31">
        <v>3520228581151</v>
      </c>
      <c r="J231" s="47" t="s">
        <v>4224</v>
      </c>
      <c r="K231" s="29"/>
      <c r="L231" s="29" t="s">
        <v>1946</v>
      </c>
      <c r="M231" s="29" t="s">
        <v>1947</v>
      </c>
      <c r="N231" s="29" t="s">
        <v>3467</v>
      </c>
      <c r="O231" s="29" t="s">
        <v>4013</v>
      </c>
      <c r="P231" s="29" t="s">
        <v>3154</v>
      </c>
      <c r="Q231" s="29" t="s">
        <v>3689</v>
      </c>
      <c r="R231" s="32">
        <v>44166</v>
      </c>
      <c r="S231" s="32">
        <v>46727</v>
      </c>
      <c r="T231" s="33">
        <v>1730000</v>
      </c>
      <c r="U231" s="29">
        <v>25</v>
      </c>
      <c r="V231" s="34">
        <f t="shared" si="9"/>
        <v>432500</v>
      </c>
      <c r="W231" s="34">
        <f t="shared" si="10"/>
        <v>1297500</v>
      </c>
      <c r="X231" s="35">
        <v>2.5</v>
      </c>
      <c r="Y231" s="34">
        <f t="shared" si="11"/>
        <v>32437.5</v>
      </c>
      <c r="Z231" s="29"/>
      <c r="AA231" s="29" t="s">
        <v>4014</v>
      </c>
      <c r="AB231" s="29">
        <v>1141071867</v>
      </c>
      <c r="AC231" s="49">
        <v>45644</v>
      </c>
      <c r="AD231" s="48" t="s">
        <v>3160</v>
      </c>
      <c r="AE231" s="48">
        <v>34</v>
      </c>
      <c r="AG231" t="s">
        <v>1944</v>
      </c>
      <c r="AH231" s="54">
        <v>32438</v>
      </c>
      <c r="AI231" s="54">
        <v>0.5</v>
      </c>
      <c r="AJ231" s="54">
        <v>1297500</v>
      </c>
      <c r="AK231" s="54">
        <v>0</v>
      </c>
      <c r="AL231" t="s">
        <v>26</v>
      </c>
      <c r="AM231" t="s">
        <v>4249</v>
      </c>
    </row>
    <row r="232" spans="1:39" ht="11.25" customHeight="1" x14ac:dyDescent="0.2">
      <c r="A232" s="29" t="s">
        <v>2974</v>
      </c>
      <c r="B232" s="29" t="s">
        <v>3299</v>
      </c>
      <c r="C232" s="40">
        <v>45597</v>
      </c>
      <c r="D232" s="39" t="s">
        <v>3720</v>
      </c>
      <c r="E232" s="29" t="s">
        <v>578</v>
      </c>
      <c r="F232" s="32">
        <v>45623</v>
      </c>
      <c r="G232" s="32">
        <v>45987</v>
      </c>
      <c r="H232" s="30" t="s">
        <v>3947</v>
      </c>
      <c r="I232" s="31">
        <v>3520263515819</v>
      </c>
      <c r="J232" s="47" t="s">
        <v>4182</v>
      </c>
      <c r="K232" s="29"/>
      <c r="L232" s="29" t="s">
        <v>580</v>
      </c>
      <c r="M232" s="29" t="s">
        <v>581</v>
      </c>
      <c r="N232" s="29" t="s">
        <v>3299</v>
      </c>
      <c r="O232" s="29" t="s">
        <v>4013</v>
      </c>
      <c r="P232" s="29" t="s">
        <v>3154</v>
      </c>
      <c r="Q232" s="29" t="s">
        <v>3500</v>
      </c>
      <c r="R232" s="32">
        <v>45259</v>
      </c>
      <c r="S232" s="32">
        <v>47092</v>
      </c>
      <c r="T232" s="33">
        <v>3210100</v>
      </c>
      <c r="U232" s="29">
        <v>10</v>
      </c>
      <c r="V232" s="34">
        <f t="shared" si="9"/>
        <v>321010</v>
      </c>
      <c r="W232" s="34">
        <f t="shared" si="10"/>
        <v>2889090</v>
      </c>
      <c r="X232" s="35">
        <v>2</v>
      </c>
      <c r="Y232" s="34">
        <f t="shared" si="11"/>
        <v>57781.8</v>
      </c>
      <c r="Z232" s="29"/>
      <c r="AA232" s="29" t="s">
        <v>4014</v>
      </c>
      <c r="AB232" s="29">
        <v>1141071867</v>
      </c>
      <c r="AC232" s="49">
        <v>45644</v>
      </c>
      <c r="AD232" s="48" t="s">
        <v>3160</v>
      </c>
      <c r="AE232" s="48">
        <v>0</v>
      </c>
      <c r="AG232" t="s">
        <v>578</v>
      </c>
      <c r="AH232" s="54">
        <v>57782</v>
      </c>
      <c r="AI232" s="54">
        <v>0.19999999999708962</v>
      </c>
      <c r="AJ232" s="54">
        <v>2889090</v>
      </c>
      <c r="AK232" s="54">
        <v>0</v>
      </c>
      <c r="AL232" t="s">
        <v>26</v>
      </c>
      <c r="AM232" t="s">
        <v>4249</v>
      </c>
    </row>
    <row r="233" spans="1:39" ht="11.25" customHeight="1" x14ac:dyDescent="0.2">
      <c r="A233" s="29" t="s">
        <v>2974</v>
      </c>
      <c r="B233" s="29" t="s">
        <v>3313</v>
      </c>
      <c r="C233" s="40">
        <v>45597</v>
      </c>
      <c r="D233" s="39" t="s">
        <v>3720</v>
      </c>
      <c r="E233" s="29" t="s">
        <v>689</v>
      </c>
      <c r="F233" s="32">
        <v>45623</v>
      </c>
      <c r="G233" s="32">
        <v>45987</v>
      </c>
      <c r="H233" s="30" t="s">
        <v>3948</v>
      </c>
      <c r="I233" s="31">
        <v>3630380779689</v>
      </c>
      <c r="J233" s="47" t="s">
        <v>4180</v>
      </c>
      <c r="K233" s="29" t="s">
        <v>691</v>
      </c>
      <c r="L233" s="29" t="s">
        <v>692</v>
      </c>
      <c r="M233" s="29" t="s">
        <v>693</v>
      </c>
      <c r="N233" s="29" t="s">
        <v>3313</v>
      </c>
      <c r="O233" s="29" t="s">
        <v>4013</v>
      </c>
      <c r="P233" s="29" t="s">
        <v>3216</v>
      </c>
      <c r="Q233" s="29" t="s">
        <v>3515</v>
      </c>
      <c r="R233" s="32">
        <v>45260</v>
      </c>
      <c r="S233" s="32">
        <v>47092</v>
      </c>
      <c r="T233" s="33">
        <v>2100000</v>
      </c>
      <c r="U233" s="29">
        <v>10</v>
      </c>
      <c r="V233" s="34">
        <f t="shared" si="9"/>
        <v>210000</v>
      </c>
      <c r="W233" s="34">
        <f t="shared" si="10"/>
        <v>1890000</v>
      </c>
      <c r="X233" s="35">
        <v>2</v>
      </c>
      <c r="Y233" s="34">
        <f t="shared" si="11"/>
        <v>37800</v>
      </c>
      <c r="Z233" s="29"/>
      <c r="AA233" s="29" t="s">
        <v>4014</v>
      </c>
      <c r="AB233" s="29">
        <v>1141071867</v>
      </c>
      <c r="AC233" s="49">
        <v>45644</v>
      </c>
      <c r="AD233" s="48" t="s">
        <v>3160</v>
      </c>
      <c r="AE233" s="48">
        <v>4</v>
      </c>
      <c r="AG233" t="s">
        <v>689</v>
      </c>
      <c r="AH233" s="54">
        <v>37800</v>
      </c>
      <c r="AI233" s="54">
        <v>0</v>
      </c>
      <c r="AJ233" s="54">
        <v>1890000</v>
      </c>
      <c r="AK233" s="54">
        <v>0</v>
      </c>
      <c r="AL233" t="s">
        <v>26</v>
      </c>
      <c r="AM233" t="s">
        <v>4249</v>
      </c>
    </row>
    <row r="234" spans="1:39" ht="11.25" customHeight="1" x14ac:dyDescent="0.2">
      <c r="A234" s="29" t="s">
        <v>2974</v>
      </c>
      <c r="B234" s="29" t="s">
        <v>3471</v>
      </c>
      <c r="C234" s="40">
        <v>45597</v>
      </c>
      <c r="D234" s="39" t="s">
        <v>3720</v>
      </c>
      <c r="E234" s="29" t="s">
        <v>1975</v>
      </c>
      <c r="F234" s="32">
        <v>45623</v>
      </c>
      <c r="G234" s="32">
        <v>45987</v>
      </c>
      <c r="H234" s="30" t="s">
        <v>3949</v>
      </c>
      <c r="I234" s="31">
        <v>3520277100975</v>
      </c>
      <c r="J234" s="47" t="s">
        <v>4224</v>
      </c>
      <c r="K234" s="29" t="s">
        <v>1977</v>
      </c>
      <c r="L234" s="29" t="s">
        <v>1978</v>
      </c>
      <c r="M234" s="29" t="s">
        <v>1979</v>
      </c>
      <c r="N234" s="29" t="s">
        <v>3471</v>
      </c>
      <c r="O234" s="29" t="s">
        <v>4013</v>
      </c>
      <c r="P234" s="29" t="s">
        <v>3154</v>
      </c>
      <c r="Q234" s="29" t="s">
        <v>3694</v>
      </c>
      <c r="R234" s="32">
        <v>44166</v>
      </c>
      <c r="S234" s="32">
        <v>45996</v>
      </c>
      <c r="T234" s="33">
        <v>1730000</v>
      </c>
      <c r="U234" s="29">
        <v>25</v>
      </c>
      <c r="V234" s="34">
        <f t="shared" si="9"/>
        <v>432500</v>
      </c>
      <c r="W234" s="34">
        <f t="shared" si="10"/>
        <v>1297500</v>
      </c>
      <c r="X234" s="35">
        <v>2.5</v>
      </c>
      <c r="Y234" s="34">
        <f t="shared" si="11"/>
        <v>32437.5</v>
      </c>
      <c r="Z234" s="29"/>
      <c r="AA234" s="29" t="s">
        <v>4014</v>
      </c>
      <c r="AB234" s="29">
        <v>1141071867</v>
      </c>
      <c r="AC234" s="49">
        <v>45644</v>
      </c>
      <c r="AD234" s="48" t="s">
        <v>3160</v>
      </c>
      <c r="AE234" s="48">
        <v>4</v>
      </c>
      <c r="AG234" t="s">
        <v>1975</v>
      </c>
      <c r="AH234" s="54">
        <v>32438</v>
      </c>
      <c r="AI234" s="54">
        <v>0.5</v>
      </c>
      <c r="AJ234" s="54">
        <v>1297500</v>
      </c>
      <c r="AK234" s="54">
        <v>0</v>
      </c>
      <c r="AL234" t="s">
        <v>26</v>
      </c>
      <c r="AM234" t="s">
        <v>4249</v>
      </c>
    </row>
    <row r="235" spans="1:39" ht="11.25" customHeight="1" x14ac:dyDescent="0.2">
      <c r="A235" s="29" t="s">
        <v>2974</v>
      </c>
      <c r="B235" s="29" t="s">
        <v>3472</v>
      </c>
      <c r="C235" s="40">
        <v>45597</v>
      </c>
      <c r="D235" s="39" t="s">
        <v>3720</v>
      </c>
      <c r="E235" s="29" t="s">
        <v>1983</v>
      </c>
      <c r="F235" s="32">
        <v>45623</v>
      </c>
      <c r="G235" s="32">
        <v>45987</v>
      </c>
      <c r="H235" s="30" t="s">
        <v>3950</v>
      </c>
      <c r="I235" s="31">
        <v>3540420411167</v>
      </c>
      <c r="J235" s="47" t="s">
        <v>4225</v>
      </c>
      <c r="K235" s="29" t="s">
        <v>1985</v>
      </c>
      <c r="L235" s="29" t="s">
        <v>1986</v>
      </c>
      <c r="M235" s="29" t="s">
        <v>1987</v>
      </c>
      <c r="N235" s="29" t="s">
        <v>3472</v>
      </c>
      <c r="O235" s="29" t="s">
        <v>4013</v>
      </c>
      <c r="P235" s="29" t="s">
        <v>3695</v>
      </c>
      <c r="Q235" s="29" t="s">
        <v>3696</v>
      </c>
      <c r="R235" s="32">
        <v>44166</v>
      </c>
      <c r="S235" s="32">
        <v>45996</v>
      </c>
      <c r="T235" s="33">
        <v>4127000</v>
      </c>
      <c r="U235" s="29">
        <v>25</v>
      </c>
      <c r="V235" s="34">
        <f t="shared" si="9"/>
        <v>1031750</v>
      </c>
      <c r="W235" s="34">
        <f t="shared" si="10"/>
        <v>3095250</v>
      </c>
      <c r="X235" s="35">
        <v>1.5</v>
      </c>
      <c r="Y235" s="34">
        <f t="shared" si="11"/>
        <v>46428.75</v>
      </c>
      <c r="Z235" s="29"/>
      <c r="AA235" s="29" t="s">
        <v>4014</v>
      </c>
      <c r="AB235" s="29">
        <v>1141071867</v>
      </c>
      <c r="AC235" s="49">
        <v>45644</v>
      </c>
      <c r="AD235" s="48" t="s">
        <v>3160</v>
      </c>
      <c r="AE235" s="48">
        <v>4</v>
      </c>
      <c r="AG235" t="s">
        <v>1983</v>
      </c>
      <c r="AH235" s="54">
        <v>46429</v>
      </c>
      <c r="AI235" s="54">
        <v>0.25</v>
      </c>
      <c r="AJ235" s="54">
        <v>3095250</v>
      </c>
      <c r="AK235" s="54">
        <v>0</v>
      </c>
      <c r="AL235" t="s">
        <v>26</v>
      </c>
      <c r="AM235" t="s">
        <v>4249</v>
      </c>
    </row>
    <row r="236" spans="1:39" ht="11.25" customHeight="1" x14ac:dyDescent="0.2">
      <c r="A236" s="29" t="s">
        <v>2974</v>
      </c>
      <c r="B236" s="29" t="s">
        <v>3314</v>
      </c>
      <c r="C236" s="40">
        <v>45597</v>
      </c>
      <c r="D236" s="39" t="s">
        <v>3720</v>
      </c>
      <c r="E236" s="29" t="s">
        <v>697</v>
      </c>
      <c r="F236" s="32">
        <v>45624</v>
      </c>
      <c r="G236" s="32">
        <v>45988</v>
      </c>
      <c r="H236" s="30" t="s">
        <v>3951</v>
      </c>
      <c r="I236" s="31">
        <v>4200043203631</v>
      </c>
      <c r="J236" s="47" t="s">
        <v>4189</v>
      </c>
      <c r="K236" s="29" t="s">
        <v>699</v>
      </c>
      <c r="L236" s="29" t="s">
        <v>700</v>
      </c>
      <c r="M236" s="29" t="s">
        <v>701</v>
      </c>
      <c r="N236" s="29" t="s">
        <v>3314</v>
      </c>
      <c r="O236" s="29" t="s">
        <v>3162</v>
      </c>
      <c r="P236" s="29" t="s">
        <v>3211</v>
      </c>
      <c r="Q236" s="29" t="s">
        <v>3516</v>
      </c>
      <c r="R236" s="32">
        <v>45260</v>
      </c>
      <c r="S236" s="32">
        <v>47092</v>
      </c>
      <c r="T236" s="33">
        <v>2935000</v>
      </c>
      <c r="U236" s="29">
        <v>10</v>
      </c>
      <c r="V236" s="34">
        <f t="shared" si="9"/>
        <v>293500</v>
      </c>
      <c r="W236" s="34">
        <f t="shared" si="10"/>
        <v>2641500</v>
      </c>
      <c r="X236" s="35">
        <v>2</v>
      </c>
      <c r="Y236" s="34">
        <f t="shared" si="11"/>
        <v>52830</v>
      </c>
      <c r="Z236" s="29"/>
      <c r="AA236" s="29" t="s">
        <v>4014</v>
      </c>
      <c r="AB236" s="29">
        <v>1141071867</v>
      </c>
      <c r="AC236" s="49">
        <v>45644</v>
      </c>
      <c r="AD236" s="48" t="s">
        <v>3160</v>
      </c>
      <c r="AE236" s="48">
        <v>4</v>
      </c>
      <c r="AG236" t="s">
        <v>697</v>
      </c>
      <c r="AH236" s="54">
        <v>52830</v>
      </c>
      <c r="AI236" s="54">
        <v>0</v>
      </c>
      <c r="AJ236" s="54">
        <v>2641500</v>
      </c>
      <c r="AK236" s="54">
        <v>0</v>
      </c>
      <c r="AL236" t="s">
        <v>26</v>
      </c>
      <c r="AM236" t="s">
        <v>4249</v>
      </c>
    </row>
    <row r="237" spans="1:39" ht="11.25" customHeight="1" x14ac:dyDescent="0.2">
      <c r="A237" s="29" t="s">
        <v>2974</v>
      </c>
      <c r="B237" s="29" t="s">
        <v>3315</v>
      </c>
      <c r="C237" s="40">
        <v>45597</v>
      </c>
      <c r="D237" s="39" t="s">
        <v>3720</v>
      </c>
      <c r="E237" s="29" t="s">
        <v>705</v>
      </c>
      <c r="F237" s="32">
        <v>45624</v>
      </c>
      <c r="G237" s="32">
        <v>45988</v>
      </c>
      <c r="H237" s="30" t="s">
        <v>3952</v>
      </c>
      <c r="I237" s="31">
        <v>3520218515529</v>
      </c>
      <c r="J237" s="47" t="s">
        <v>4223</v>
      </c>
      <c r="K237" s="29"/>
      <c r="L237" s="29" t="s">
        <v>707</v>
      </c>
      <c r="M237" s="29" t="s">
        <v>708</v>
      </c>
      <c r="N237" s="29" t="s">
        <v>3315</v>
      </c>
      <c r="O237" s="29" t="s">
        <v>4013</v>
      </c>
      <c r="P237" s="29" t="s">
        <v>3154</v>
      </c>
      <c r="Q237" s="29" t="s">
        <v>3517</v>
      </c>
      <c r="R237" s="32">
        <v>45260</v>
      </c>
      <c r="S237" s="32">
        <v>47092</v>
      </c>
      <c r="T237" s="33">
        <v>2999000</v>
      </c>
      <c r="U237" s="29">
        <v>10</v>
      </c>
      <c r="V237" s="34">
        <f t="shared" si="9"/>
        <v>299900</v>
      </c>
      <c r="W237" s="34">
        <f t="shared" si="10"/>
        <v>2699100</v>
      </c>
      <c r="X237" s="35">
        <v>2</v>
      </c>
      <c r="Y237" s="34">
        <f t="shared" si="11"/>
        <v>53982</v>
      </c>
      <c r="Z237" s="29"/>
      <c r="AA237" s="29" t="s">
        <v>4014</v>
      </c>
      <c r="AB237" s="29">
        <v>1141071867</v>
      </c>
      <c r="AC237" s="49">
        <v>45644</v>
      </c>
      <c r="AD237" s="48" t="s">
        <v>3160</v>
      </c>
      <c r="AE237" s="48">
        <v>4</v>
      </c>
      <c r="AG237" t="s">
        <v>705</v>
      </c>
      <c r="AH237" s="54">
        <v>53982</v>
      </c>
      <c r="AI237" s="54">
        <v>0</v>
      </c>
      <c r="AJ237" s="54">
        <v>2699100</v>
      </c>
      <c r="AK237" s="54">
        <v>0</v>
      </c>
      <c r="AL237" t="s">
        <v>26</v>
      </c>
      <c r="AM237" t="s">
        <v>4249</v>
      </c>
    </row>
    <row r="238" spans="1:39" ht="11.25" customHeight="1" x14ac:dyDescent="0.2">
      <c r="A238" s="29" t="s">
        <v>2974</v>
      </c>
      <c r="B238" s="29" t="s">
        <v>3316</v>
      </c>
      <c r="C238" s="40">
        <v>45597</v>
      </c>
      <c r="D238" s="39" t="s">
        <v>3720</v>
      </c>
      <c r="E238" s="29" t="s">
        <v>712</v>
      </c>
      <c r="F238" s="32">
        <v>45624</v>
      </c>
      <c r="G238" s="32">
        <v>45988</v>
      </c>
      <c r="H238" s="30" t="s">
        <v>3953</v>
      </c>
      <c r="I238" s="31">
        <v>3650264704743</v>
      </c>
      <c r="J238" s="47" t="s">
        <v>4182</v>
      </c>
      <c r="K238" s="29" t="s">
        <v>714</v>
      </c>
      <c r="L238" s="29" t="s">
        <v>715</v>
      </c>
      <c r="M238" s="29" t="s">
        <v>716</v>
      </c>
      <c r="N238" s="29" t="s">
        <v>3316</v>
      </c>
      <c r="O238" s="29" t="s">
        <v>3167</v>
      </c>
      <c r="P238" s="29" t="s">
        <v>3168</v>
      </c>
      <c r="Q238" s="29" t="s">
        <v>3518</v>
      </c>
      <c r="R238" s="32">
        <v>45261</v>
      </c>
      <c r="S238" s="32">
        <v>47092</v>
      </c>
      <c r="T238" s="33">
        <v>2000000</v>
      </c>
      <c r="U238" s="29">
        <v>10</v>
      </c>
      <c r="V238" s="34">
        <f t="shared" si="9"/>
        <v>200000</v>
      </c>
      <c r="W238" s="34">
        <f t="shared" si="10"/>
        <v>1800000</v>
      </c>
      <c r="X238" s="35">
        <v>2</v>
      </c>
      <c r="Y238" s="34">
        <f t="shared" si="11"/>
        <v>36000</v>
      </c>
      <c r="Z238" s="29"/>
      <c r="AA238" s="29" t="s">
        <v>4014</v>
      </c>
      <c r="AB238" s="29">
        <v>1141071867</v>
      </c>
      <c r="AC238" s="49">
        <v>45644</v>
      </c>
      <c r="AD238" s="48" t="s">
        <v>3160</v>
      </c>
      <c r="AE238" s="48">
        <v>4</v>
      </c>
      <c r="AG238" t="s">
        <v>712</v>
      </c>
      <c r="AH238" s="54">
        <v>36000</v>
      </c>
      <c r="AI238" s="54">
        <v>0</v>
      </c>
      <c r="AJ238" s="54">
        <v>1800000</v>
      </c>
      <c r="AK238" s="54">
        <v>0</v>
      </c>
      <c r="AL238" t="s">
        <v>26</v>
      </c>
      <c r="AM238" t="s">
        <v>4249</v>
      </c>
    </row>
    <row r="239" spans="1:39" ht="11.25" customHeight="1" x14ac:dyDescent="0.2">
      <c r="A239" s="29" t="s">
        <v>2974</v>
      </c>
      <c r="B239" s="29" t="s">
        <v>3317</v>
      </c>
      <c r="C239" s="40">
        <v>45597</v>
      </c>
      <c r="D239" s="39" t="s">
        <v>3720</v>
      </c>
      <c r="E239" s="29" t="s">
        <v>720</v>
      </c>
      <c r="F239" s="32">
        <v>45624</v>
      </c>
      <c r="G239" s="32">
        <v>45988</v>
      </c>
      <c r="H239" s="30" t="s">
        <v>3954</v>
      </c>
      <c r="I239" s="31">
        <v>3410123766925</v>
      </c>
      <c r="J239" s="47" t="s">
        <v>417</v>
      </c>
      <c r="K239" s="29" t="s">
        <v>723</v>
      </c>
      <c r="L239" s="29" t="s">
        <v>724</v>
      </c>
      <c r="M239" s="29" t="s">
        <v>725</v>
      </c>
      <c r="N239" s="29" t="s">
        <v>3317</v>
      </c>
      <c r="O239" s="29" t="s">
        <v>4013</v>
      </c>
      <c r="P239" s="29" t="s">
        <v>3258</v>
      </c>
      <c r="Q239" s="29" t="s">
        <v>3519</v>
      </c>
      <c r="R239" s="32">
        <v>45260</v>
      </c>
      <c r="S239" s="32">
        <v>46361</v>
      </c>
      <c r="T239" s="33">
        <v>3800000</v>
      </c>
      <c r="U239" s="29">
        <v>10</v>
      </c>
      <c r="V239" s="34">
        <f t="shared" si="9"/>
        <v>380000</v>
      </c>
      <c r="W239" s="34">
        <f t="shared" si="10"/>
        <v>3420000</v>
      </c>
      <c r="X239" s="35">
        <v>1.5</v>
      </c>
      <c r="Y239" s="34">
        <f t="shared" si="11"/>
        <v>51300</v>
      </c>
      <c r="Z239" s="29"/>
      <c r="AA239" s="29" t="s">
        <v>4014</v>
      </c>
      <c r="AB239" s="29">
        <v>1141071867</v>
      </c>
      <c r="AC239" s="49">
        <v>45644</v>
      </c>
      <c r="AD239" s="48" t="s">
        <v>3160</v>
      </c>
      <c r="AE239" s="48">
        <v>4</v>
      </c>
      <c r="AG239" t="s">
        <v>720</v>
      </c>
      <c r="AH239" s="54">
        <v>51300</v>
      </c>
      <c r="AI239" s="54">
        <v>0</v>
      </c>
      <c r="AJ239" s="54">
        <v>3420000</v>
      </c>
      <c r="AK239" s="54">
        <v>0</v>
      </c>
      <c r="AL239" t="s">
        <v>26</v>
      </c>
      <c r="AM239" t="s">
        <v>4249</v>
      </c>
    </row>
    <row r="240" spans="1:39" ht="11.25" customHeight="1" x14ac:dyDescent="0.2">
      <c r="A240" s="29" t="s">
        <v>2974</v>
      </c>
      <c r="B240" s="29" t="s">
        <v>3318</v>
      </c>
      <c r="C240" s="40">
        <v>45597</v>
      </c>
      <c r="D240" s="39" t="s">
        <v>3720</v>
      </c>
      <c r="E240" s="29" t="s">
        <v>729</v>
      </c>
      <c r="F240" s="32">
        <v>45625</v>
      </c>
      <c r="G240" s="32">
        <v>45989</v>
      </c>
      <c r="H240" s="30" t="s">
        <v>3957</v>
      </c>
      <c r="I240" s="31">
        <v>3540113888079</v>
      </c>
      <c r="J240" s="47" t="s">
        <v>4233</v>
      </c>
      <c r="K240" s="29" t="s">
        <v>732</v>
      </c>
      <c r="L240" s="29" t="s">
        <v>733</v>
      </c>
      <c r="M240" s="29" t="s">
        <v>734</v>
      </c>
      <c r="N240" s="29" t="s">
        <v>3318</v>
      </c>
      <c r="O240" s="29" t="s">
        <v>4013</v>
      </c>
      <c r="P240" s="29" t="s">
        <v>3154</v>
      </c>
      <c r="Q240" s="29" t="s">
        <v>3520</v>
      </c>
      <c r="R240" s="32">
        <v>45260</v>
      </c>
      <c r="S240" s="32">
        <v>46361</v>
      </c>
      <c r="T240" s="33">
        <v>4500000</v>
      </c>
      <c r="U240" s="29">
        <v>10</v>
      </c>
      <c r="V240" s="34">
        <f t="shared" si="9"/>
        <v>450000</v>
      </c>
      <c r="W240" s="34">
        <f t="shared" si="10"/>
        <v>4050000</v>
      </c>
      <c r="X240" s="35">
        <v>1.5</v>
      </c>
      <c r="Y240" s="34">
        <f t="shared" si="11"/>
        <v>60750</v>
      </c>
      <c r="Z240" s="29"/>
      <c r="AA240" s="29" t="s">
        <v>4014</v>
      </c>
      <c r="AB240" s="29">
        <v>1141071867</v>
      </c>
      <c r="AC240" s="49">
        <v>45644</v>
      </c>
      <c r="AD240" s="48" t="s">
        <v>3160</v>
      </c>
      <c r="AE240" s="48">
        <v>4</v>
      </c>
      <c r="AG240" t="s">
        <v>729</v>
      </c>
      <c r="AH240" s="54">
        <v>60750</v>
      </c>
      <c r="AI240" s="54">
        <v>0</v>
      </c>
      <c r="AJ240" s="54">
        <v>4050000</v>
      </c>
      <c r="AK240" s="54">
        <v>0</v>
      </c>
      <c r="AL240" t="s">
        <v>26</v>
      </c>
      <c r="AM240" t="s">
        <v>4249</v>
      </c>
    </row>
    <row r="241" spans="1:39" ht="11.25" customHeight="1" x14ac:dyDescent="0.2">
      <c r="A241" s="29" t="s">
        <v>2974</v>
      </c>
      <c r="B241" s="29" t="s">
        <v>3320</v>
      </c>
      <c r="C241" s="40">
        <v>45597</v>
      </c>
      <c r="D241" s="39" t="s">
        <v>3720</v>
      </c>
      <c r="E241" s="29" t="s">
        <v>746</v>
      </c>
      <c r="F241" s="32">
        <v>45625</v>
      </c>
      <c r="G241" s="32">
        <v>45989</v>
      </c>
      <c r="H241" s="30" t="s">
        <v>3959</v>
      </c>
      <c r="I241" s="31">
        <v>3740527949587</v>
      </c>
      <c r="J241" s="47" t="s">
        <v>748</v>
      </c>
      <c r="K241" s="29" t="s">
        <v>749</v>
      </c>
      <c r="L241" s="29" t="s">
        <v>750</v>
      </c>
      <c r="M241" s="29" t="s">
        <v>751</v>
      </c>
      <c r="N241" s="29" t="s">
        <v>3320</v>
      </c>
      <c r="O241" s="29" t="s">
        <v>3167</v>
      </c>
      <c r="P241" s="29" t="s">
        <v>3168</v>
      </c>
      <c r="Q241" s="29" t="s">
        <v>3522</v>
      </c>
      <c r="R241" s="32">
        <v>45261</v>
      </c>
      <c r="S241" s="32">
        <v>46361</v>
      </c>
      <c r="T241" s="33">
        <v>8000000</v>
      </c>
      <c r="U241" s="29">
        <v>10</v>
      </c>
      <c r="V241" s="34">
        <f t="shared" si="9"/>
        <v>800000</v>
      </c>
      <c r="W241" s="34">
        <f t="shared" si="10"/>
        <v>7200000</v>
      </c>
      <c r="X241" s="35">
        <v>1.5</v>
      </c>
      <c r="Y241" s="34">
        <f t="shared" si="11"/>
        <v>108000</v>
      </c>
      <c r="Z241" s="29"/>
      <c r="AA241" s="29" t="s">
        <v>4014</v>
      </c>
      <c r="AB241" s="29">
        <v>1141071867</v>
      </c>
      <c r="AC241" s="49">
        <v>45644</v>
      </c>
      <c r="AD241" s="48" t="s">
        <v>3160</v>
      </c>
      <c r="AE241" s="48">
        <v>4</v>
      </c>
      <c r="AG241" t="s">
        <v>746</v>
      </c>
      <c r="AH241" s="54">
        <v>108000</v>
      </c>
      <c r="AI241" s="54">
        <v>0</v>
      </c>
      <c r="AJ241" s="54">
        <v>7200000</v>
      </c>
      <c r="AK241" s="54">
        <v>0</v>
      </c>
      <c r="AL241" t="s">
        <v>26</v>
      </c>
      <c r="AM241" t="s">
        <v>4249</v>
      </c>
    </row>
    <row r="242" spans="1:39" ht="11.25" customHeight="1" x14ac:dyDescent="0.2">
      <c r="A242" s="29" t="s">
        <v>2974</v>
      </c>
      <c r="B242" s="29" t="s">
        <v>3321</v>
      </c>
      <c r="C242" s="40">
        <v>45597</v>
      </c>
      <c r="D242" s="39" t="s">
        <v>3720</v>
      </c>
      <c r="E242" s="29" t="s">
        <v>755</v>
      </c>
      <c r="F242" s="32">
        <v>45625</v>
      </c>
      <c r="G242" s="32">
        <v>45989</v>
      </c>
      <c r="H242" s="30" t="s">
        <v>3960</v>
      </c>
      <c r="I242" s="31">
        <v>4220142400479</v>
      </c>
      <c r="J242" s="47" t="s">
        <v>4234</v>
      </c>
      <c r="K242" s="29" t="s">
        <v>758</v>
      </c>
      <c r="L242" s="29" t="s">
        <v>759</v>
      </c>
      <c r="M242" s="29" t="s">
        <v>760</v>
      </c>
      <c r="N242" s="29" t="s">
        <v>3321</v>
      </c>
      <c r="O242" s="29" t="s">
        <v>3162</v>
      </c>
      <c r="P242" s="29" t="s">
        <v>3163</v>
      </c>
      <c r="Q242" s="29" t="s">
        <v>3523</v>
      </c>
      <c r="R242" s="32">
        <v>45261</v>
      </c>
      <c r="S242" s="32">
        <v>45996</v>
      </c>
      <c r="T242" s="33">
        <v>6750000</v>
      </c>
      <c r="U242" s="29">
        <v>10</v>
      </c>
      <c r="V242" s="34">
        <f t="shared" si="9"/>
        <v>675000</v>
      </c>
      <c r="W242" s="34">
        <f t="shared" si="10"/>
        <v>6075000</v>
      </c>
      <c r="X242" s="35">
        <v>1.5</v>
      </c>
      <c r="Y242" s="34">
        <f t="shared" si="11"/>
        <v>91125</v>
      </c>
      <c r="Z242" s="29"/>
      <c r="AA242" s="29" t="s">
        <v>4014</v>
      </c>
      <c r="AB242" s="29">
        <v>1141071867</v>
      </c>
      <c r="AC242" s="49">
        <v>45644</v>
      </c>
      <c r="AD242" s="48" t="s">
        <v>3160</v>
      </c>
      <c r="AE242" s="48">
        <v>4</v>
      </c>
      <c r="AG242" t="s">
        <v>755</v>
      </c>
      <c r="AH242" s="54">
        <v>91125</v>
      </c>
      <c r="AI242" s="54">
        <v>0</v>
      </c>
      <c r="AJ242" s="54">
        <v>6075000</v>
      </c>
      <c r="AK242" s="54">
        <v>0</v>
      </c>
      <c r="AL242" t="s">
        <v>26</v>
      </c>
      <c r="AM242" t="s">
        <v>4249</v>
      </c>
    </row>
    <row r="243" spans="1:39" ht="11.25" customHeight="1" x14ac:dyDescent="0.2">
      <c r="A243" s="29" t="s">
        <v>2974</v>
      </c>
      <c r="B243" s="29" t="s">
        <v>3322</v>
      </c>
      <c r="C243" s="40">
        <v>45597</v>
      </c>
      <c r="D243" s="39" t="s">
        <v>3720</v>
      </c>
      <c r="E243" s="29" t="s">
        <v>764</v>
      </c>
      <c r="F243" s="32">
        <v>45625</v>
      </c>
      <c r="G243" s="32">
        <v>45989</v>
      </c>
      <c r="H243" s="30" t="s">
        <v>3961</v>
      </c>
      <c r="I243" s="31">
        <v>4250114526861</v>
      </c>
      <c r="J243" s="47" t="s">
        <v>4223</v>
      </c>
      <c r="K243" s="29"/>
      <c r="L243" s="29" t="s">
        <v>766</v>
      </c>
      <c r="M243" s="29" t="s">
        <v>767</v>
      </c>
      <c r="N243" s="29" t="s">
        <v>3322</v>
      </c>
      <c r="O243" s="29" t="s">
        <v>3162</v>
      </c>
      <c r="P243" s="29" t="s">
        <v>3163</v>
      </c>
      <c r="Q243" s="29" t="s">
        <v>3524</v>
      </c>
      <c r="R243" s="32">
        <v>45260</v>
      </c>
      <c r="S243" s="32">
        <v>46361</v>
      </c>
      <c r="T243" s="33">
        <v>2999000</v>
      </c>
      <c r="U243" s="29">
        <v>10</v>
      </c>
      <c r="V243" s="34">
        <f t="shared" si="9"/>
        <v>299900</v>
      </c>
      <c r="W243" s="34">
        <f t="shared" si="10"/>
        <v>2699100</v>
      </c>
      <c r="X243" s="35">
        <v>2</v>
      </c>
      <c r="Y243" s="34">
        <f t="shared" si="11"/>
        <v>53982</v>
      </c>
      <c r="Z243" s="29"/>
      <c r="AA243" s="29" t="s">
        <v>4014</v>
      </c>
      <c r="AB243" s="29">
        <v>1141071867</v>
      </c>
      <c r="AC243" s="49">
        <v>45644</v>
      </c>
      <c r="AD243" s="48" t="s">
        <v>3160</v>
      </c>
      <c r="AE243" s="48">
        <v>0</v>
      </c>
      <c r="AG243" t="s">
        <v>764</v>
      </c>
      <c r="AH243" s="54">
        <v>53982</v>
      </c>
      <c r="AI243" s="54">
        <v>0</v>
      </c>
      <c r="AJ243" s="54">
        <v>2699100</v>
      </c>
      <c r="AK243" s="54">
        <v>0</v>
      </c>
      <c r="AL243" t="s">
        <v>26</v>
      </c>
      <c r="AM243" t="s">
        <v>4249</v>
      </c>
    </row>
    <row r="244" spans="1:39" ht="11.25" customHeight="1" x14ac:dyDescent="0.2">
      <c r="A244" s="29" t="s">
        <v>2974</v>
      </c>
      <c r="B244" s="29" t="s">
        <v>3361</v>
      </c>
      <c r="C244" s="40">
        <v>45597</v>
      </c>
      <c r="D244" s="39" t="s">
        <v>3720</v>
      </c>
      <c r="E244" s="29" t="s">
        <v>1082</v>
      </c>
      <c r="F244" s="32">
        <v>45625</v>
      </c>
      <c r="G244" s="32">
        <v>45989</v>
      </c>
      <c r="H244" s="30" t="s">
        <v>3962</v>
      </c>
      <c r="I244" s="31">
        <v>3740561916984</v>
      </c>
      <c r="J244" s="47" t="s">
        <v>4194</v>
      </c>
      <c r="K244" s="29" t="s">
        <v>1084</v>
      </c>
      <c r="L244" s="29" t="s">
        <v>1085</v>
      </c>
      <c r="M244" s="29" t="s">
        <v>1086</v>
      </c>
      <c r="N244" s="29" t="s">
        <v>3361</v>
      </c>
      <c r="O244" s="29" t="s">
        <v>3167</v>
      </c>
      <c r="P244" s="29" t="s">
        <v>3168</v>
      </c>
      <c r="Q244" s="29" t="s">
        <v>3568</v>
      </c>
      <c r="R244" s="32">
        <v>44896</v>
      </c>
      <c r="S244" s="32">
        <v>46727</v>
      </c>
      <c r="T244" s="33">
        <v>2150000</v>
      </c>
      <c r="U244" s="29">
        <v>15</v>
      </c>
      <c r="V244" s="34">
        <f t="shared" si="9"/>
        <v>322500</v>
      </c>
      <c r="W244" s="34">
        <f t="shared" si="10"/>
        <v>1827500</v>
      </c>
      <c r="X244" s="35">
        <v>2</v>
      </c>
      <c r="Y244" s="34">
        <f t="shared" si="11"/>
        <v>36550</v>
      </c>
      <c r="Z244" s="29"/>
      <c r="AA244" s="29" t="s">
        <v>4014</v>
      </c>
      <c r="AB244" s="29">
        <v>1141071867</v>
      </c>
      <c r="AC244" s="49">
        <v>45644</v>
      </c>
      <c r="AD244" s="48" t="s">
        <v>3160</v>
      </c>
      <c r="AE244" s="48">
        <v>0</v>
      </c>
      <c r="AG244" t="s">
        <v>1082</v>
      </c>
      <c r="AH244" s="54">
        <v>36550</v>
      </c>
      <c r="AI244" s="54">
        <v>0</v>
      </c>
      <c r="AJ244" s="54">
        <v>1827500</v>
      </c>
      <c r="AK244" s="54">
        <v>0</v>
      </c>
      <c r="AL244" t="s">
        <v>26</v>
      </c>
      <c r="AM244" t="s">
        <v>4249</v>
      </c>
    </row>
    <row r="245" spans="1:39" ht="11.25" customHeight="1" x14ac:dyDescent="0.2">
      <c r="A245" s="29" t="s">
        <v>2974</v>
      </c>
      <c r="B245" s="29" t="s">
        <v>3362</v>
      </c>
      <c r="C245" s="40">
        <v>45597</v>
      </c>
      <c r="D245" s="39" t="s">
        <v>3720</v>
      </c>
      <c r="E245" s="29" t="s">
        <v>1090</v>
      </c>
      <c r="F245" s="32">
        <v>45625</v>
      </c>
      <c r="G245" s="32">
        <v>45989</v>
      </c>
      <c r="H245" s="30" t="s">
        <v>3963</v>
      </c>
      <c r="I245" s="31">
        <v>3520238620887</v>
      </c>
      <c r="J245" s="47" t="s">
        <v>417</v>
      </c>
      <c r="K245" s="29" t="s">
        <v>1092</v>
      </c>
      <c r="L245" s="29" t="s">
        <v>1093</v>
      </c>
      <c r="M245" s="29" t="s">
        <v>1094</v>
      </c>
      <c r="N245" s="29" t="s">
        <v>3362</v>
      </c>
      <c r="O245" s="29" t="s">
        <v>4013</v>
      </c>
      <c r="P245" s="29" t="s">
        <v>3154</v>
      </c>
      <c r="Q245" s="29" t="s">
        <v>3569</v>
      </c>
      <c r="R245" s="32">
        <v>44895</v>
      </c>
      <c r="S245" s="32">
        <v>45996</v>
      </c>
      <c r="T245" s="33">
        <v>2800000</v>
      </c>
      <c r="U245" s="29">
        <v>15</v>
      </c>
      <c r="V245" s="34">
        <f t="shared" si="9"/>
        <v>420000</v>
      </c>
      <c r="W245" s="34">
        <f t="shared" si="10"/>
        <v>2380000</v>
      </c>
      <c r="X245" s="35">
        <v>2</v>
      </c>
      <c r="Y245" s="34">
        <f t="shared" si="11"/>
        <v>47600</v>
      </c>
      <c r="Z245" s="29"/>
      <c r="AA245" s="29" t="s">
        <v>4014</v>
      </c>
      <c r="AB245" s="29">
        <v>1141071867</v>
      </c>
      <c r="AC245" s="49">
        <v>45644</v>
      </c>
      <c r="AD245" s="48" t="s">
        <v>3160</v>
      </c>
      <c r="AE245" s="48">
        <v>4</v>
      </c>
      <c r="AG245" t="s">
        <v>1090</v>
      </c>
      <c r="AH245" s="54">
        <v>47600</v>
      </c>
      <c r="AI245" s="54">
        <v>0</v>
      </c>
      <c r="AJ245" s="54">
        <v>2380000</v>
      </c>
      <c r="AK245" s="54">
        <v>0</v>
      </c>
      <c r="AL245" t="s">
        <v>26</v>
      </c>
      <c r="AM245" t="s">
        <v>4249</v>
      </c>
    </row>
    <row r="246" spans="1:39" ht="11.25" customHeight="1" x14ac:dyDescent="0.2">
      <c r="A246" s="29" t="s">
        <v>2974</v>
      </c>
      <c r="B246" s="29" t="s">
        <v>3363</v>
      </c>
      <c r="C246" s="40">
        <v>45597</v>
      </c>
      <c r="D246" s="39" t="s">
        <v>3720</v>
      </c>
      <c r="E246" s="29" t="s">
        <v>1098</v>
      </c>
      <c r="F246" s="32">
        <v>45625</v>
      </c>
      <c r="G246" s="32">
        <v>45989</v>
      </c>
      <c r="H246" s="30" t="s">
        <v>3964</v>
      </c>
      <c r="I246" s="31">
        <v>3520205051139</v>
      </c>
      <c r="J246" s="47" t="s">
        <v>4227</v>
      </c>
      <c r="K246" s="29" t="s">
        <v>1100</v>
      </c>
      <c r="L246" s="29" t="s">
        <v>1101</v>
      </c>
      <c r="M246" s="29" t="s">
        <v>1102</v>
      </c>
      <c r="N246" s="29" t="s">
        <v>3363</v>
      </c>
      <c r="O246" s="29" t="s">
        <v>4013</v>
      </c>
      <c r="P246" s="29" t="s">
        <v>3154</v>
      </c>
      <c r="Q246" s="29" t="s">
        <v>3570</v>
      </c>
      <c r="R246" s="32">
        <v>44896</v>
      </c>
      <c r="S246" s="32">
        <v>46727</v>
      </c>
      <c r="T246" s="33">
        <v>3000000</v>
      </c>
      <c r="U246" s="29">
        <v>15</v>
      </c>
      <c r="V246" s="34">
        <f t="shared" si="9"/>
        <v>450000</v>
      </c>
      <c r="W246" s="34">
        <f t="shared" si="10"/>
        <v>2550000</v>
      </c>
      <c r="X246" s="35">
        <v>2</v>
      </c>
      <c r="Y246" s="34">
        <f t="shared" si="11"/>
        <v>51000</v>
      </c>
      <c r="Z246" s="29"/>
      <c r="AA246" s="29" t="s">
        <v>4014</v>
      </c>
      <c r="AB246" s="29">
        <v>1141071867</v>
      </c>
      <c r="AC246" s="49">
        <v>45644</v>
      </c>
      <c r="AD246" s="48" t="s">
        <v>3160</v>
      </c>
      <c r="AE246" s="48">
        <v>4</v>
      </c>
      <c r="AG246" t="s">
        <v>1098</v>
      </c>
      <c r="AH246" s="54">
        <v>51000</v>
      </c>
      <c r="AI246" s="54">
        <v>0</v>
      </c>
      <c r="AJ246" s="54">
        <v>2550000</v>
      </c>
      <c r="AK246" s="54">
        <v>0</v>
      </c>
      <c r="AL246" t="s">
        <v>26</v>
      </c>
      <c r="AM246" t="s">
        <v>4249</v>
      </c>
    </row>
    <row r="247" spans="1:39" ht="11.25" customHeight="1" x14ac:dyDescent="0.2">
      <c r="A247" s="29" t="s">
        <v>2974</v>
      </c>
      <c r="B247" s="29" t="s">
        <v>3364</v>
      </c>
      <c r="C247" s="40">
        <v>45597</v>
      </c>
      <c r="D247" s="39" t="s">
        <v>3720</v>
      </c>
      <c r="E247" s="29" t="s">
        <v>1106</v>
      </c>
      <c r="F247" s="32">
        <v>45625</v>
      </c>
      <c r="G247" s="32">
        <v>45989</v>
      </c>
      <c r="H247" s="30" t="s">
        <v>3965</v>
      </c>
      <c r="I247" s="31">
        <v>3620390083853</v>
      </c>
      <c r="J247" s="47" t="s">
        <v>4213</v>
      </c>
      <c r="K247" s="29" t="s">
        <v>1108</v>
      </c>
      <c r="L247" s="29" t="s">
        <v>1109</v>
      </c>
      <c r="M247" s="29" t="s">
        <v>1110</v>
      </c>
      <c r="N247" s="29" t="s">
        <v>3364</v>
      </c>
      <c r="O247" s="29" t="s">
        <v>4013</v>
      </c>
      <c r="P247" s="29" t="s">
        <v>3176</v>
      </c>
      <c r="Q247" s="29" t="s">
        <v>3571</v>
      </c>
      <c r="R247" s="32">
        <v>44895</v>
      </c>
      <c r="S247" s="32">
        <v>46727</v>
      </c>
      <c r="T247" s="33">
        <v>1976000</v>
      </c>
      <c r="U247" s="29">
        <v>15</v>
      </c>
      <c r="V247" s="34">
        <f t="shared" si="9"/>
        <v>296400</v>
      </c>
      <c r="W247" s="34">
        <f t="shared" si="10"/>
        <v>1679600</v>
      </c>
      <c r="X247" s="35">
        <v>2</v>
      </c>
      <c r="Y247" s="34">
        <f t="shared" si="11"/>
        <v>33592</v>
      </c>
      <c r="Z247" s="29"/>
      <c r="AA247" s="29" t="s">
        <v>4014</v>
      </c>
      <c r="AB247" s="29">
        <v>1141071867</v>
      </c>
      <c r="AC247" s="49">
        <v>45644</v>
      </c>
      <c r="AD247" s="48" t="s">
        <v>3160</v>
      </c>
      <c r="AE247" s="48">
        <v>4</v>
      </c>
      <c r="AG247" t="s">
        <v>1106</v>
      </c>
      <c r="AH247" s="54">
        <v>33592</v>
      </c>
      <c r="AI247" s="54">
        <v>0</v>
      </c>
      <c r="AJ247" s="54">
        <v>1679600</v>
      </c>
      <c r="AK247" s="54">
        <v>0</v>
      </c>
      <c r="AL247" t="s">
        <v>26</v>
      </c>
      <c r="AM247" t="s">
        <v>4249</v>
      </c>
    </row>
    <row r="248" spans="1:39" ht="11.25" customHeight="1" x14ac:dyDescent="0.2">
      <c r="A248" s="29" t="s">
        <v>2974</v>
      </c>
      <c r="B248" s="29" t="s">
        <v>3365</v>
      </c>
      <c r="C248" s="40">
        <v>45597</v>
      </c>
      <c r="D248" s="39" t="s">
        <v>3720</v>
      </c>
      <c r="E248" s="29" t="s">
        <v>1114</v>
      </c>
      <c r="F248" s="32">
        <v>45625</v>
      </c>
      <c r="G248" s="32">
        <v>45989</v>
      </c>
      <c r="H248" s="30" t="s">
        <v>3966</v>
      </c>
      <c r="I248" s="31">
        <v>3520187624683</v>
      </c>
      <c r="J248" s="47" t="s">
        <v>4188</v>
      </c>
      <c r="K248" s="29" t="s">
        <v>1116</v>
      </c>
      <c r="L248" s="29" t="s">
        <v>1117</v>
      </c>
      <c r="M248" s="29" t="s">
        <v>1118</v>
      </c>
      <c r="N248" s="29" t="s">
        <v>3365</v>
      </c>
      <c r="O248" s="29" t="s">
        <v>4013</v>
      </c>
      <c r="P248" s="29" t="s">
        <v>3154</v>
      </c>
      <c r="Q248" s="29" t="s">
        <v>3572</v>
      </c>
      <c r="R248" s="32">
        <v>44895</v>
      </c>
      <c r="S248" s="32">
        <v>46361</v>
      </c>
      <c r="T248" s="33">
        <v>4100000</v>
      </c>
      <c r="U248" s="29">
        <v>15</v>
      </c>
      <c r="V248" s="34">
        <f t="shared" si="9"/>
        <v>615000</v>
      </c>
      <c r="W248" s="34">
        <f t="shared" si="10"/>
        <v>3485000</v>
      </c>
      <c r="X248" s="35">
        <v>1.5</v>
      </c>
      <c r="Y248" s="34">
        <f t="shared" si="11"/>
        <v>52275</v>
      </c>
      <c r="Z248" s="29"/>
      <c r="AA248" s="29" t="s">
        <v>4014</v>
      </c>
      <c r="AB248" s="29">
        <v>1141071867</v>
      </c>
      <c r="AC248" s="49">
        <v>45644</v>
      </c>
      <c r="AD248" s="48" t="s">
        <v>3160</v>
      </c>
      <c r="AE248" s="48">
        <v>0</v>
      </c>
      <c r="AG248" t="s">
        <v>1114</v>
      </c>
      <c r="AH248" s="54">
        <v>52275</v>
      </c>
      <c r="AI248" s="54">
        <v>0</v>
      </c>
      <c r="AJ248" s="54">
        <v>3485000</v>
      </c>
      <c r="AK248" s="54">
        <v>0</v>
      </c>
      <c r="AL248" t="s">
        <v>26</v>
      </c>
      <c r="AM248" t="s">
        <v>4249</v>
      </c>
    </row>
    <row r="249" spans="1:39" ht="11.25" customHeight="1" x14ac:dyDescent="0.2">
      <c r="A249" s="29" t="s">
        <v>2974</v>
      </c>
      <c r="B249" s="29" t="s">
        <v>3429</v>
      </c>
      <c r="C249" s="40">
        <v>45597</v>
      </c>
      <c r="D249" s="39" t="s">
        <v>3720</v>
      </c>
      <c r="E249" s="29" t="s">
        <v>1632</v>
      </c>
      <c r="F249" s="32">
        <v>45625</v>
      </c>
      <c r="G249" s="32">
        <v>45989</v>
      </c>
      <c r="H249" s="30" t="s">
        <v>3967</v>
      </c>
      <c r="I249" s="31">
        <v>3310029176747</v>
      </c>
      <c r="J249" s="47" t="s">
        <v>4227</v>
      </c>
      <c r="K249" s="29"/>
      <c r="L249" s="29" t="s">
        <v>1635</v>
      </c>
      <c r="M249" s="29" t="s">
        <v>1636</v>
      </c>
      <c r="N249" s="29" t="s">
        <v>3429</v>
      </c>
      <c r="O249" s="29" t="s">
        <v>4013</v>
      </c>
      <c r="P249" s="29" t="s">
        <v>3172</v>
      </c>
      <c r="Q249" s="29" t="s">
        <v>3645</v>
      </c>
      <c r="R249" s="32">
        <v>44532</v>
      </c>
      <c r="S249" s="32">
        <v>46361</v>
      </c>
      <c r="T249" s="33">
        <v>1655000</v>
      </c>
      <c r="U249" s="29">
        <v>20</v>
      </c>
      <c r="V249" s="34">
        <f t="shared" si="9"/>
        <v>331000</v>
      </c>
      <c r="W249" s="34">
        <f t="shared" si="10"/>
        <v>1324000</v>
      </c>
      <c r="X249" s="35">
        <v>2.5</v>
      </c>
      <c r="Y249" s="34">
        <f t="shared" si="11"/>
        <v>33100</v>
      </c>
      <c r="Z249" s="29"/>
      <c r="AA249" s="29" t="s">
        <v>4014</v>
      </c>
      <c r="AB249" s="29">
        <v>1141071867</v>
      </c>
      <c r="AC249" s="49">
        <v>45644</v>
      </c>
      <c r="AD249" s="48" t="s">
        <v>3160</v>
      </c>
      <c r="AE249" s="48">
        <v>4</v>
      </c>
      <c r="AG249" t="s">
        <v>1632</v>
      </c>
      <c r="AH249" s="54">
        <v>33100</v>
      </c>
      <c r="AI249" s="54">
        <v>0</v>
      </c>
      <c r="AJ249" s="54">
        <v>1324000</v>
      </c>
      <c r="AK249" s="54">
        <v>0</v>
      </c>
      <c r="AL249" t="s">
        <v>26</v>
      </c>
      <c r="AM249" t="s">
        <v>4249</v>
      </c>
    </row>
    <row r="250" spans="1:39" ht="11.25" customHeight="1" x14ac:dyDescent="0.2">
      <c r="A250" s="29" t="s">
        <v>2974</v>
      </c>
      <c r="B250" s="29" t="s">
        <v>3430</v>
      </c>
      <c r="C250" s="40">
        <v>45597</v>
      </c>
      <c r="D250" s="39" t="s">
        <v>3720</v>
      </c>
      <c r="E250" s="29" t="s">
        <v>1640</v>
      </c>
      <c r="F250" s="32">
        <v>45625</v>
      </c>
      <c r="G250" s="32">
        <v>45989</v>
      </c>
      <c r="H250" s="30" t="s">
        <v>3853</v>
      </c>
      <c r="I250" s="31">
        <v>3310068805931</v>
      </c>
      <c r="J250" s="47" t="s">
        <v>4192</v>
      </c>
      <c r="K250" s="29" t="s">
        <v>1642</v>
      </c>
      <c r="L250" s="29" t="s">
        <v>1643</v>
      </c>
      <c r="M250" s="29" t="s">
        <v>1644</v>
      </c>
      <c r="N250" s="29" t="s">
        <v>3430</v>
      </c>
      <c r="O250" s="29" t="s">
        <v>4013</v>
      </c>
      <c r="P250" s="29" t="s">
        <v>3172</v>
      </c>
      <c r="Q250" s="29" t="s">
        <v>3646</v>
      </c>
      <c r="R250" s="32">
        <v>44531</v>
      </c>
      <c r="S250" s="32">
        <v>46361</v>
      </c>
      <c r="T250" s="33">
        <v>2500000</v>
      </c>
      <c r="U250" s="29">
        <v>20</v>
      </c>
      <c r="V250" s="34">
        <f t="shared" si="9"/>
        <v>500000</v>
      </c>
      <c r="W250" s="34">
        <f t="shared" si="10"/>
        <v>2000000</v>
      </c>
      <c r="X250" s="35">
        <v>1.75</v>
      </c>
      <c r="Y250" s="34">
        <f t="shared" si="11"/>
        <v>35000</v>
      </c>
      <c r="Z250" s="29"/>
      <c r="AA250" s="29" t="s">
        <v>4014</v>
      </c>
      <c r="AB250" s="29">
        <v>1141071867</v>
      </c>
      <c r="AC250" s="49">
        <v>45644</v>
      </c>
      <c r="AD250" s="48" t="s">
        <v>3160</v>
      </c>
      <c r="AE250" s="48">
        <v>4</v>
      </c>
      <c r="AG250" t="s">
        <v>1640</v>
      </c>
      <c r="AH250" s="54">
        <v>35000</v>
      </c>
      <c r="AI250" s="54">
        <v>0</v>
      </c>
      <c r="AJ250" s="54">
        <v>2000000</v>
      </c>
      <c r="AK250" s="54">
        <v>0</v>
      </c>
      <c r="AL250" t="s">
        <v>26</v>
      </c>
      <c r="AM250" t="s">
        <v>4249</v>
      </c>
    </row>
    <row r="251" spans="1:39" ht="11.25" customHeight="1" x14ac:dyDescent="0.2">
      <c r="A251" s="29" t="s">
        <v>2974</v>
      </c>
      <c r="B251" s="29" t="s">
        <v>3447</v>
      </c>
      <c r="C251" s="40">
        <v>45597</v>
      </c>
      <c r="D251" s="39" t="s">
        <v>3720</v>
      </c>
      <c r="E251" s="29" t="s">
        <v>1778</v>
      </c>
      <c r="F251" s="32">
        <v>45625</v>
      </c>
      <c r="G251" s="32">
        <v>45989</v>
      </c>
      <c r="H251" s="30" t="s">
        <v>3968</v>
      </c>
      <c r="I251" s="31">
        <v>3310006006431</v>
      </c>
      <c r="J251" s="47" t="s">
        <v>4192</v>
      </c>
      <c r="K251" s="29" t="s">
        <v>1781</v>
      </c>
      <c r="L251" s="29" t="s">
        <v>1782</v>
      </c>
      <c r="M251" s="29" t="s">
        <v>1783</v>
      </c>
      <c r="N251" s="29" t="s">
        <v>3447</v>
      </c>
      <c r="O251" s="29" t="s">
        <v>4013</v>
      </c>
      <c r="P251" s="29" t="s">
        <v>3172</v>
      </c>
      <c r="Q251" s="29" t="s">
        <v>3664</v>
      </c>
      <c r="R251" s="32">
        <v>43439</v>
      </c>
      <c r="S251" s="32">
        <v>45996</v>
      </c>
      <c r="T251" s="33">
        <v>1876000</v>
      </c>
      <c r="U251" s="29">
        <v>35</v>
      </c>
      <c r="V251" s="34">
        <f t="shared" si="9"/>
        <v>656600</v>
      </c>
      <c r="W251" s="34">
        <f t="shared" si="10"/>
        <v>1219400</v>
      </c>
      <c r="X251" s="35">
        <v>3.3</v>
      </c>
      <c r="Y251" s="34">
        <f t="shared" si="11"/>
        <v>40240.200000000004</v>
      </c>
      <c r="Z251" s="29"/>
      <c r="AA251" s="29" t="s">
        <v>4014</v>
      </c>
      <c r="AB251" s="29">
        <v>1141071867</v>
      </c>
      <c r="AC251" s="49">
        <v>45644</v>
      </c>
      <c r="AD251" s="48" t="s">
        <v>3160</v>
      </c>
      <c r="AE251" s="48">
        <v>4</v>
      </c>
      <c r="AG251" t="s">
        <v>1778</v>
      </c>
      <c r="AH251" s="54">
        <v>40240</v>
      </c>
      <c r="AI251" s="54">
        <v>-0.20000000000436557</v>
      </c>
      <c r="AJ251" s="54">
        <v>1219400</v>
      </c>
      <c r="AK251" s="54">
        <v>0</v>
      </c>
      <c r="AL251" t="s">
        <v>26</v>
      </c>
      <c r="AM251" t="s">
        <v>4249</v>
      </c>
    </row>
    <row r="252" spans="1:39" ht="11.25" customHeight="1" x14ac:dyDescent="0.2">
      <c r="A252" s="29" t="s">
        <v>2974</v>
      </c>
      <c r="B252" s="29" t="s">
        <v>3485</v>
      </c>
      <c r="C252" s="40">
        <v>45597</v>
      </c>
      <c r="D252" s="39" t="s">
        <v>3720</v>
      </c>
      <c r="E252" s="29" t="s">
        <v>2114</v>
      </c>
      <c r="F252" s="32">
        <v>45625</v>
      </c>
      <c r="G252" s="32">
        <v>45989</v>
      </c>
      <c r="H252" s="30" t="s">
        <v>3969</v>
      </c>
      <c r="I252" s="31">
        <v>3520227274820</v>
      </c>
      <c r="J252" s="47" t="s">
        <v>4194</v>
      </c>
      <c r="K252" s="29" t="s">
        <v>2116</v>
      </c>
      <c r="L252" s="29" t="s">
        <v>2117</v>
      </c>
      <c r="M252" s="29" t="s">
        <v>2118</v>
      </c>
      <c r="N252" s="29" t="s">
        <v>3485</v>
      </c>
      <c r="O252" s="29" t="s">
        <v>4013</v>
      </c>
      <c r="P252" s="29" t="s">
        <v>3714</v>
      </c>
      <c r="Q252" s="29" t="s">
        <v>3715</v>
      </c>
      <c r="R252" s="32">
        <v>43804</v>
      </c>
      <c r="S252" s="32">
        <v>45996</v>
      </c>
      <c r="T252" s="33">
        <v>1518000</v>
      </c>
      <c r="U252" s="29">
        <v>30</v>
      </c>
      <c r="V252" s="34">
        <f t="shared" si="9"/>
        <v>455400</v>
      </c>
      <c r="W252" s="34">
        <f t="shared" si="10"/>
        <v>1062600</v>
      </c>
      <c r="X252" s="35">
        <v>3.25</v>
      </c>
      <c r="Y252" s="34">
        <f t="shared" si="11"/>
        <v>34534.5</v>
      </c>
      <c r="Z252" s="29"/>
      <c r="AA252" s="29" t="s">
        <v>4014</v>
      </c>
      <c r="AB252" s="29">
        <v>1141071867</v>
      </c>
      <c r="AC252" s="49">
        <v>45644</v>
      </c>
      <c r="AD252" s="48" t="s">
        <v>3160</v>
      </c>
      <c r="AE252" s="48">
        <v>0</v>
      </c>
      <c r="AG252" t="s">
        <v>2114</v>
      </c>
      <c r="AH252" s="54">
        <v>34535</v>
      </c>
      <c r="AI252" s="54">
        <v>0.5</v>
      </c>
      <c r="AJ252" s="54">
        <v>1062600</v>
      </c>
      <c r="AK252" s="54">
        <v>0</v>
      </c>
      <c r="AL252" t="s">
        <v>26</v>
      </c>
      <c r="AM252" t="s">
        <v>4249</v>
      </c>
    </row>
    <row r="253" spans="1:39" ht="11.25" customHeight="1" x14ac:dyDescent="0.2">
      <c r="A253" s="29" t="s">
        <v>2974</v>
      </c>
      <c r="B253" s="29" t="s">
        <v>3324</v>
      </c>
      <c r="C253" s="40">
        <v>45597</v>
      </c>
      <c r="D253" s="39" t="s">
        <v>3720</v>
      </c>
      <c r="E253" s="29" t="s">
        <v>779</v>
      </c>
      <c r="F253" s="32">
        <v>45626</v>
      </c>
      <c r="G253" s="32">
        <v>45990</v>
      </c>
      <c r="H253" s="30" t="s">
        <v>3970</v>
      </c>
      <c r="I253" s="31">
        <v>3620118922469</v>
      </c>
      <c r="J253" s="47" t="s">
        <v>4193</v>
      </c>
      <c r="K253" s="29" t="s">
        <v>781</v>
      </c>
      <c r="L253" s="29" t="s">
        <v>782</v>
      </c>
      <c r="M253" s="29" t="s">
        <v>783</v>
      </c>
      <c r="N253" s="29" t="s">
        <v>3324</v>
      </c>
      <c r="O253" s="29" t="s">
        <v>3167</v>
      </c>
      <c r="P253" s="29" t="s">
        <v>3168</v>
      </c>
      <c r="Q253" s="29" t="s">
        <v>3526</v>
      </c>
      <c r="R253" s="32">
        <v>45261</v>
      </c>
      <c r="S253" s="32">
        <v>47092</v>
      </c>
      <c r="T253" s="33">
        <v>2600000</v>
      </c>
      <c r="U253" s="29">
        <v>10</v>
      </c>
      <c r="V253" s="34">
        <f t="shared" si="9"/>
        <v>260000</v>
      </c>
      <c r="W253" s="34">
        <f t="shared" si="10"/>
        <v>2340000</v>
      </c>
      <c r="X253" s="35">
        <v>2</v>
      </c>
      <c r="Y253" s="34">
        <f t="shared" si="11"/>
        <v>46800</v>
      </c>
      <c r="Z253" s="29"/>
      <c r="AA253" s="29" t="s">
        <v>4014</v>
      </c>
      <c r="AB253" s="29">
        <v>1141071867</v>
      </c>
      <c r="AC253" s="49">
        <v>45644</v>
      </c>
      <c r="AD253" s="48" t="s">
        <v>3160</v>
      </c>
      <c r="AE253" s="48">
        <v>0</v>
      </c>
      <c r="AG253" t="s">
        <v>779</v>
      </c>
      <c r="AH253" s="54">
        <v>46800</v>
      </c>
      <c r="AI253" s="54">
        <v>0</v>
      </c>
      <c r="AJ253" s="54">
        <v>2340000</v>
      </c>
      <c r="AK253" s="54">
        <v>0</v>
      </c>
      <c r="AL253" t="s">
        <v>26</v>
      </c>
      <c r="AM253" t="s">
        <v>4249</v>
      </c>
    </row>
    <row r="254" spans="1:39" ht="11.25" customHeight="1" x14ac:dyDescent="0.2">
      <c r="A254" s="29" t="s">
        <v>2974</v>
      </c>
      <c r="B254" s="29" t="s">
        <v>3325</v>
      </c>
      <c r="C254" s="40">
        <v>45597</v>
      </c>
      <c r="D254" s="39" t="s">
        <v>3720</v>
      </c>
      <c r="E254" s="29" t="s">
        <v>787</v>
      </c>
      <c r="F254" s="32">
        <v>45626</v>
      </c>
      <c r="G254" s="32">
        <v>45990</v>
      </c>
      <c r="H254" s="30" t="s">
        <v>3971</v>
      </c>
      <c r="I254" s="31">
        <v>5620185247629</v>
      </c>
      <c r="J254" s="47" t="s">
        <v>4193</v>
      </c>
      <c r="K254" s="29" t="s">
        <v>789</v>
      </c>
      <c r="L254" s="29" t="s">
        <v>790</v>
      </c>
      <c r="M254" s="29" t="s">
        <v>791</v>
      </c>
      <c r="N254" s="29" t="s">
        <v>3325</v>
      </c>
      <c r="O254" s="29" t="s">
        <v>3162</v>
      </c>
      <c r="P254" s="29" t="s">
        <v>3527</v>
      </c>
      <c r="Q254" s="29" t="s">
        <v>3528</v>
      </c>
      <c r="R254" s="32">
        <v>45260</v>
      </c>
      <c r="S254" s="32">
        <v>47092</v>
      </c>
      <c r="T254" s="33">
        <v>2100000</v>
      </c>
      <c r="U254" s="29">
        <v>10</v>
      </c>
      <c r="V254" s="34">
        <f t="shared" si="9"/>
        <v>210000</v>
      </c>
      <c r="W254" s="34">
        <f t="shared" si="10"/>
        <v>1890000</v>
      </c>
      <c r="X254" s="35">
        <v>2</v>
      </c>
      <c r="Y254" s="34">
        <f t="shared" si="11"/>
        <v>37800</v>
      </c>
      <c r="Z254" s="29"/>
      <c r="AA254" s="29" t="s">
        <v>4014</v>
      </c>
      <c r="AB254" s="29">
        <v>1141071867</v>
      </c>
      <c r="AC254" s="49">
        <v>45644</v>
      </c>
      <c r="AD254" s="48" t="s">
        <v>3160</v>
      </c>
      <c r="AE254" s="48">
        <v>4</v>
      </c>
      <c r="AG254" t="s">
        <v>787</v>
      </c>
      <c r="AH254" s="54">
        <v>37800</v>
      </c>
      <c r="AI254" s="54">
        <v>0</v>
      </c>
      <c r="AJ254" s="54">
        <v>1890000</v>
      </c>
      <c r="AK254" s="54">
        <v>0</v>
      </c>
      <c r="AL254" t="s">
        <v>26</v>
      </c>
      <c r="AM254" t="s">
        <v>4249</v>
      </c>
    </row>
    <row r="255" spans="1:39" ht="11.25" customHeight="1" x14ac:dyDescent="0.2">
      <c r="A255" s="29" t="s">
        <v>2974</v>
      </c>
      <c r="B255" s="29" t="s">
        <v>3326</v>
      </c>
      <c r="C255" s="40">
        <v>45597</v>
      </c>
      <c r="D255" s="39" t="s">
        <v>3720</v>
      </c>
      <c r="E255" s="29" t="s">
        <v>795</v>
      </c>
      <c r="F255" s="32">
        <v>45626</v>
      </c>
      <c r="G255" s="32">
        <v>45990</v>
      </c>
      <c r="H255" s="30" t="s">
        <v>3972</v>
      </c>
      <c r="I255" s="31">
        <v>3110311484911</v>
      </c>
      <c r="J255" s="47" t="s">
        <v>4222</v>
      </c>
      <c r="K255" s="29" t="s">
        <v>797</v>
      </c>
      <c r="L255" s="29" t="s">
        <v>798</v>
      </c>
      <c r="M255" s="29" t="s">
        <v>799</v>
      </c>
      <c r="N255" s="29" t="s">
        <v>3326</v>
      </c>
      <c r="O255" s="29" t="s">
        <v>4013</v>
      </c>
      <c r="P255" s="29" t="s">
        <v>3154</v>
      </c>
      <c r="Q255" s="29" t="s">
        <v>3529</v>
      </c>
      <c r="R255" s="32">
        <v>45260</v>
      </c>
      <c r="S255" s="32">
        <v>47092</v>
      </c>
      <c r="T255" s="33">
        <v>1500000</v>
      </c>
      <c r="U255" s="29">
        <v>10</v>
      </c>
      <c r="V255" s="34">
        <f t="shared" si="9"/>
        <v>150000</v>
      </c>
      <c r="W255" s="34">
        <f t="shared" si="10"/>
        <v>1350000</v>
      </c>
      <c r="X255" s="35">
        <v>2</v>
      </c>
      <c r="Y255" s="34">
        <f t="shared" si="11"/>
        <v>27000</v>
      </c>
      <c r="Z255" s="29"/>
      <c r="AA255" s="29" t="s">
        <v>4014</v>
      </c>
      <c r="AB255" s="29">
        <v>1141071867</v>
      </c>
      <c r="AC255" s="49">
        <v>45644</v>
      </c>
      <c r="AD255" s="48" t="s">
        <v>3160</v>
      </c>
      <c r="AE255" s="48">
        <v>4</v>
      </c>
      <c r="AG255" t="s">
        <v>795</v>
      </c>
      <c r="AH255" s="54">
        <v>27000</v>
      </c>
      <c r="AI255" s="54">
        <v>0</v>
      </c>
      <c r="AJ255" s="54">
        <v>1350000</v>
      </c>
      <c r="AK255" s="54">
        <v>0</v>
      </c>
      <c r="AL255" t="s">
        <v>26</v>
      </c>
      <c r="AM255" t="s">
        <v>4249</v>
      </c>
    </row>
    <row r="256" spans="1:39" ht="11.25" customHeight="1" x14ac:dyDescent="0.2">
      <c r="A256" s="29" t="s">
        <v>2974</v>
      </c>
      <c r="B256" s="29" t="s">
        <v>3327</v>
      </c>
      <c r="C256" s="40">
        <v>45597</v>
      </c>
      <c r="D256" s="39" t="s">
        <v>3720</v>
      </c>
      <c r="E256" s="29" t="s">
        <v>803</v>
      </c>
      <c r="F256" s="32">
        <v>45626</v>
      </c>
      <c r="G256" s="32">
        <v>45990</v>
      </c>
      <c r="H256" s="30" t="s">
        <v>3973</v>
      </c>
      <c r="I256" s="31">
        <v>4240128150979</v>
      </c>
      <c r="J256" s="47" t="s">
        <v>4235</v>
      </c>
      <c r="K256" s="29" t="s">
        <v>806</v>
      </c>
      <c r="L256" s="29" t="s">
        <v>807</v>
      </c>
      <c r="M256" s="29" t="s">
        <v>808</v>
      </c>
      <c r="N256" s="29" t="s">
        <v>3327</v>
      </c>
      <c r="O256" s="29" t="s">
        <v>3162</v>
      </c>
      <c r="P256" s="29" t="s">
        <v>3211</v>
      </c>
      <c r="Q256" s="29" t="s">
        <v>3530</v>
      </c>
      <c r="R256" s="32">
        <v>45261</v>
      </c>
      <c r="S256" s="32">
        <v>46361</v>
      </c>
      <c r="T256" s="33">
        <v>1325000</v>
      </c>
      <c r="U256" s="29">
        <v>10</v>
      </c>
      <c r="V256" s="34">
        <f t="shared" si="9"/>
        <v>132500</v>
      </c>
      <c r="W256" s="34">
        <f t="shared" si="10"/>
        <v>1192500</v>
      </c>
      <c r="X256" s="35">
        <v>2</v>
      </c>
      <c r="Y256" s="34">
        <f t="shared" si="11"/>
        <v>23850</v>
      </c>
      <c r="Z256" s="29"/>
      <c r="AA256" s="29" t="s">
        <v>4014</v>
      </c>
      <c r="AB256" s="29">
        <v>1141071867</v>
      </c>
      <c r="AC256" s="49">
        <v>45644</v>
      </c>
      <c r="AD256" s="48" t="s">
        <v>3160</v>
      </c>
      <c r="AE256" s="48">
        <v>4</v>
      </c>
      <c r="AG256" t="s">
        <v>803</v>
      </c>
      <c r="AH256" s="54">
        <v>23850</v>
      </c>
      <c r="AI256" s="54">
        <v>0</v>
      </c>
      <c r="AJ256" s="54">
        <v>1192500</v>
      </c>
      <c r="AK256" s="54">
        <v>0</v>
      </c>
      <c r="AL256" t="s">
        <v>26</v>
      </c>
      <c r="AM256" t="s">
        <v>4249</v>
      </c>
    </row>
    <row r="257" spans="1:39" ht="11.25" customHeight="1" x14ac:dyDescent="0.2">
      <c r="A257" s="29" t="s">
        <v>2974</v>
      </c>
      <c r="B257" s="29" t="s">
        <v>3328</v>
      </c>
      <c r="C257" s="40">
        <v>45597</v>
      </c>
      <c r="D257" s="39" t="s">
        <v>3720</v>
      </c>
      <c r="E257" s="29" t="s">
        <v>812</v>
      </c>
      <c r="F257" s="32">
        <v>45626</v>
      </c>
      <c r="G257" s="32">
        <v>45990</v>
      </c>
      <c r="H257" s="30" t="s">
        <v>3974</v>
      </c>
      <c r="I257" s="31">
        <v>3620129101037</v>
      </c>
      <c r="J257" s="47" t="s">
        <v>4236</v>
      </c>
      <c r="K257" s="29" t="s">
        <v>815</v>
      </c>
      <c r="L257" s="29" t="s">
        <v>816</v>
      </c>
      <c r="M257" s="29" t="s">
        <v>817</v>
      </c>
      <c r="N257" s="29" t="s">
        <v>3328</v>
      </c>
      <c r="O257" s="29" t="s">
        <v>4013</v>
      </c>
      <c r="P257" s="29" t="s">
        <v>3176</v>
      </c>
      <c r="Q257" s="29" t="s">
        <v>3531</v>
      </c>
      <c r="R257" s="32">
        <v>45260</v>
      </c>
      <c r="S257" s="32">
        <v>46727</v>
      </c>
      <c r="T257" s="33">
        <v>3800000</v>
      </c>
      <c r="U257" s="29">
        <v>10</v>
      </c>
      <c r="V257" s="34">
        <f t="shared" si="9"/>
        <v>380000</v>
      </c>
      <c r="W257" s="34">
        <f t="shared" si="10"/>
        <v>3420000</v>
      </c>
      <c r="X257" s="35">
        <v>1.5</v>
      </c>
      <c r="Y257" s="34">
        <f t="shared" si="11"/>
        <v>51300</v>
      </c>
      <c r="Z257" s="29"/>
      <c r="AA257" s="29" t="s">
        <v>4014</v>
      </c>
      <c r="AB257" s="29">
        <v>1141071867</v>
      </c>
      <c r="AC257" s="49">
        <v>45644</v>
      </c>
      <c r="AD257" s="48" t="s">
        <v>3160</v>
      </c>
      <c r="AE257" s="48">
        <v>4</v>
      </c>
      <c r="AG257" t="s">
        <v>812</v>
      </c>
      <c r="AH257" s="54">
        <v>51300</v>
      </c>
      <c r="AI257" s="54">
        <v>0</v>
      </c>
      <c r="AJ257" s="54">
        <v>3420000</v>
      </c>
      <c r="AK257" s="54">
        <v>0</v>
      </c>
      <c r="AL257" t="s">
        <v>26</v>
      </c>
      <c r="AM257" t="s">
        <v>4249</v>
      </c>
    </row>
    <row r="258" spans="1:39" ht="11.25" customHeight="1" x14ac:dyDescent="0.2">
      <c r="A258" s="29" t="s">
        <v>2974</v>
      </c>
      <c r="B258" s="29" t="s">
        <v>3329</v>
      </c>
      <c r="C258" s="40">
        <v>45597</v>
      </c>
      <c r="D258" s="39" t="s">
        <v>3720</v>
      </c>
      <c r="E258" s="29" t="s">
        <v>821</v>
      </c>
      <c r="F258" s="32">
        <v>45626</v>
      </c>
      <c r="G258" s="32">
        <v>45990</v>
      </c>
      <c r="H258" s="30" t="s">
        <v>3975</v>
      </c>
      <c r="I258" s="31">
        <v>4220165591687</v>
      </c>
      <c r="J258" s="47" t="s">
        <v>4190</v>
      </c>
      <c r="K258" s="29" t="s">
        <v>824</v>
      </c>
      <c r="L258" s="29" t="s">
        <v>825</v>
      </c>
      <c r="M258" s="29" t="s">
        <v>826</v>
      </c>
      <c r="N258" s="29" t="s">
        <v>3329</v>
      </c>
      <c r="O258" s="29" t="s">
        <v>3162</v>
      </c>
      <c r="P258" s="29" t="s">
        <v>3211</v>
      </c>
      <c r="Q258" s="29" t="s">
        <v>3532</v>
      </c>
      <c r="R258" s="32">
        <v>45264</v>
      </c>
      <c r="S258" s="32">
        <v>46727</v>
      </c>
      <c r="T258" s="33">
        <v>2500000</v>
      </c>
      <c r="U258" s="29">
        <v>10</v>
      </c>
      <c r="V258" s="34">
        <f t="shared" ref="V258:V300" si="12">T258*U258%</f>
        <v>250000</v>
      </c>
      <c r="W258" s="34">
        <f t="shared" ref="W258:W300" si="13">T258-V258</f>
        <v>2250000</v>
      </c>
      <c r="X258" s="35">
        <v>2</v>
      </c>
      <c r="Y258" s="34">
        <f t="shared" ref="Y258:Y300" si="14">W258*X258%</f>
        <v>45000</v>
      </c>
      <c r="Z258" s="29"/>
      <c r="AA258" s="29" t="s">
        <v>4014</v>
      </c>
      <c r="AB258" s="29">
        <v>1141071867</v>
      </c>
      <c r="AC258" s="49">
        <v>45644</v>
      </c>
      <c r="AD258" s="48" t="s">
        <v>3160</v>
      </c>
      <c r="AE258" s="48">
        <v>4</v>
      </c>
      <c r="AG258" t="s">
        <v>821</v>
      </c>
      <c r="AH258" s="54">
        <v>45000</v>
      </c>
      <c r="AI258" s="54">
        <v>0</v>
      </c>
      <c r="AJ258" s="54">
        <v>2250000</v>
      </c>
      <c r="AK258" s="54">
        <v>0</v>
      </c>
      <c r="AL258" t="s">
        <v>26</v>
      </c>
      <c r="AM258" t="s">
        <v>4249</v>
      </c>
    </row>
    <row r="259" spans="1:39" ht="11.25" customHeight="1" x14ac:dyDescent="0.2">
      <c r="A259" s="29" t="s">
        <v>2974</v>
      </c>
      <c r="B259" s="29" t="s">
        <v>3330</v>
      </c>
      <c r="C259" s="40">
        <v>45597</v>
      </c>
      <c r="D259" s="39" t="s">
        <v>3720</v>
      </c>
      <c r="E259" s="29" t="s">
        <v>830</v>
      </c>
      <c r="F259" s="32">
        <v>45626</v>
      </c>
      <c r="G259" s="32">
        <v>45990</v>
      </c>
      <c r="H259" s="30" t="s">
        <v>3976</v>
      </c>
      <c r="I259" s="31">
        <v>6110119863023</v>
      </c>
      <c r="J259" s="47" t="s">
        <v>4193</v>
      </c>
      <c r="K259" s="29" t="s">
        <v>832</v>
      </c>
      <c r="L259" s="29" t="s">
        <v>833</v>
      </c>
      <c r="M259" s="29" t="s">
        <v>834</v>
      </c>
      <c r="N259" s="29" t="s">
        <v>3330</v>
      </c>
      <c r="O259" s="29" t="s">
        <v>3167</v>
      </c>
      <c r="P259" s="29" t="s">
        <v>3533</v>
      </c>
      <c r="Q259" s="29" t="s">
        <v>3534</v>
      </c>
      <c r="R259" s="32">
        <v>45264</v>
      </c>
      <c r="S259" s="32">
        <v>47092</v>
      </c>
      <c r="T259" s="33">
        <v>2000000</v>
      </c>
      <c r="U259" s="29">
        <v>10</v>
      </c>
      <c r="V259" s="34">
        <f t="shared" si="12"/>
        <v>200000</v>
      </c>
      <c r="W259" s="34">
        <f t="shared" si="13"/>
        <v>1800000</v>
      </c>
      <c r="X259" s="35">
        <v>2</v>
      </c>
      <c r="Y259" s="34">
        <f t="shared" si="14"/>
        <v>36000</v>
      </c>
      <c r="Z259" s="29"/>
      <c r="AA259" s="29" t="s">
        <v>4014</v>
      </c>
      <c r="AB259" s="29">
        <v>1141071867</v>
      </c>
      <c r="AC259" s="49">
        <v>45644</v>
      </c>
      <c r="AD259" s="48" t="s">
        <v>3160</v>
      </c>
      <c r="AE259" s="48">
        <v>4</v>
      </c>
      <c r="AG259" t="s">
        <v>830</v>
      </c>
      <c r="AH259" s="54">
        <v>36000</v>
      </c>
      <c r="AI259" s="54">
        <v>0</v>
      </c>
      <c r="AJ259" s="54">
        <v>1800000</v>
      </c>
      <c r="AK259" s="54">
        <v>0</v>
      </c>
      <c r="AL259" t="s">
        <v>26</v>
      </c>
      <c r="AM259" t="s">
        <v>4249</v>
      </c>
    </row>
    <row r="260" spans="1:39" ht="11.25" customHeight="1" x14ac:dyDescent="0.2">
      <c r="A260" s="29" t="s">
        <v>2974</v>
      </c>
      <c r="B260" s="29" t="s">
        <v>3367</v>
      </c>
      <c r="C260" s="40">
        <v>45597</v>
      </c>
      <c r="D260" s="39" t="s">
        <v>3720</v>
      </c>
      <c r="E260" s="29" t="s">
        <v>1129</v>
      </c>
      <c r="F260" s="32">
        <v>45626</v>
      </c>
      <c r="G260" s="32">
        <v>45990</v>
      </c>
      <c r="H260" s="30" t="s">
        <v>3978</v>
      </c>
      <c r="I260" s="31">
        <v>3310296110787</v>
      </c>
      <c r="J260" s="47" t="s">
        <v>4183</v>
      </c>
      <c r="K260" s="29" t="s">
        <v>1131</v>
      </c>
      <c r="L260" s="29" t="s">
        <v>1132</v>
      </c>
      <c r="M260" s="29" t="s">
        <v>1133</v>
      </c>
      <c r="N260" s="29" t="s">
        <v>3367</v>
      </c>
      <c r="O260" s="29" t="s">
        <v>4013</v>
      </c>
      <c r="P260" s="29" t="s">
        <v>3154</v>
      </c>
      <c r="Q260" s="29" t="s">
        <v>3574</v>
      </c>
      <c r="R260" s="32">
        <v>44896</v>
      </c>
      <c r="S260" s="32">
        <v>45996</v>
      </c>
      <c r="T260" s="33">
        <v>3800000</v>
      </c>
      <c r="U260" s="29">
        <v>15</v>
      </c>
      <c r="V260" s="34">
        <f t="shared" si="12"/>
        <v>570000</v>
      </c>
      <c r="W260" s="34">
        <f t="shared" si="13"/>
        <v>3230000</v>
      </c>
      <c r="X260" s="35">
        <v>1.5</v>
      </c>
      <c r="Y260" s="34">
        <f t="shared" si="14"/>
        <v>48450</v>
      </c>
      <c r="Z260" s="29"/>
      <c r="AA260" s="29" t="s">
        <v>4014</v>
      </c>
      <c r="AB260" s="29">
        <v>1141071867</v>
      </c>
      <c r="AC260" s="49">
        <v>45644</v>
      </c>
      <c r="AD260" s="48" t="s">
        <v>3160</v>
      </c>
      <c r="AE260" s="48">
        <v>4</v>
      </c>
      <c r="AG260" t="s">
        <v>1129</v>
      </c>
      <c r="AH260" s="54">
        <v>48450</v>
      </c>
      <c r="AI260" s="54">
        <v>0</v>
      </c>
      <c r="AJ260" s="54">
        <v>3230000</v>
      </c>
      <c r="AK260" s="54">
        <v>0</v>
      </c>
      <c r="AL260" t="s">
        <v>26</v>
      </c>
      <c r="AM260" t="s">
        <v>4249</v>
      </c>
    </row>
    <row r="261" spans="1:39" ht="11.25" customHeight="1" x14ac:dyDescent="0.2">
      <c r="A261" s="29" t="s">
        <v>2974</v>
      </c>
      <c r="B261" s="29" t="s">
        <v>3368</v>
      </c>
      <c r="C261" s="40">
        <v>45597</v>
      </c>
      <c r="D261" s="39" t="s">
        <v>3720</v>
      </c>
      <c r="E261" s="29" t="s">
        <v>1137</v>
      </c>
      <c r="F261" s="32">
        <v>45626</v>
      </c>
      <c r="G261" s="32">
        <v>45990</v>
      </c>
      <c r="H261" s="30" t="s">
        <v>3979</v>
      </c>
      <c r="I261" s="31">
        <v>3520253957467</v>
      </c>
      <c r="J261" s="47" t="s">
        <v>4224</v>
      </c>
      <c r="K261" s="29" t="s">
        <v>1139</v>
      </c>
      <c r="L261" s="29" t="s">
        <v>1140</v>
      </c>
      <c r="M261" s="29" t="s">
        <v>1141</v>
      </c>
      <c r="N261" s="29" t="s">
        <v>3368</v>
      </c>
      <c r="O261" s="29" t="s">
        <v>4013</v>
      </c>
      <c r="P261" s="29" t="s">
        <v>3154</v>
      </c>
      <c r="Q261" s="29" t="s">
        <v>3575</v>
      </c>
      <c r="R261" s="32">
        <v>44896</v>
      </c>
      <c r="S261" s="32">
        <v>45996</v>
      </c>
      <c r="T261" s="33">
        <v>1700000</v>
      </c>
      <c r="U261" s="29">
        <v>15</v>
      </c>
      <c r="V261" s="34">
        <f t="shared" si="12"/>
        <v>255000</v>
      </c>
      <c r="W261" s="34">
        <f t="shared" si="13"/>
        <v>1445000</v>
      </c>
      <c r="X261" s="35">
        <v>2</v>
      </c>
      <c r="Y261" s="34">
        <f t="shared" si="14"/>
        <v>28900</v>
      </c>
      <c r="Z261" s="29"/>
      <c r="AA261" s="29" t="s">
        <v>4014</v>
      </c>
      <c r="AB261" s="29">
        <v>1141071867</v>
      </c>
      <c r="AC261" s="49">
        <v>45644</v>
      </c>
      <c r="AD261" s="48" t="s">
        <v>3160</v>
      </c>
      <c r="AE261" s="48">
        <v>4</v>
      </c>
      <c r="AG261" t="s">
        <v>1137</v>
      </c>
      <c r="AH261" s="54">
        <v>28900</v>
      </c>
      <c r="AI261" s="54">
        <v>0</v>
      </c>
      <c r="AJ261" s="54">
        <v>1445000</v>
      </c>
      <c r="AK261" s="54">
        <v>0</v>
      </c>
      <c r="AL261" t="s">
        <v>26</v>
      </c>
      <c r="AM261" t="s">
        <v>4249</v>
      </c>
    </row>
    <row r="262" spans="1:39" ht="11.25" customHeight="1" x14ac:dyDescent="0.2">
      <c r="A262" s="29" t="s">
        <v>2974</v>
      </c>
      <c r="B262" s="29" t="s">
        <v>3369</v>
      </c>
      <c r="C262" s="40">
        <v>45597</v>
      </c>
      <c r="D262" s="39" t="s">
        <v>3720</v>
      </c>
      <c r="E262" s="29" t="s">
        <v>1145</v>
      </c>
      <c r="F262" s="32">
        <v>45626</v>
      </c>
      <c r="G262" s="32">
        <v>45990</v>
      </c>
      <c r="H262" s="30" t="s">
        <v>3980</v>
      </c>
      <c r="I262" s="31">
        <v>3650211490633</v>
      </c>
      <c r="J262" s="47" t="s">
        <v>4224</v>
      </c>
      <c r="K262" s="29" t="s">
        <v>1147</v>
      </c>
      <c r="L262" s="29" t="s">
        <v>1148</v>
      </c>
      <c r="M262" s="29" t="s">
        <v>1149</v>
      </c>
      <c r="N262" s="29" t="s">
        <v>3369</v>
      </c>
      <c r="O262" s="29" t="s">
        <v>4013</v>
      </c>
      <c r="P262" s="29" t="s">
        <v>3154</v>
      </c>
      <c r="Q262" s="29" t="s">
        <v>3576</v>
      </c>
      <c r="R262" s="32">
        <v>44896</v>
      </c>
      <c r="S262" s="32">
        <v>46727</v>
      </c>
      <c r="T262" s="33">
        <v>2564000</v>
      </c>
      <c r="U262" s="29">
        <v>15</v>
      </c>
      <c r="V262" s="34">
        <f t="shared" si="12"/>
        <v>384600</v>
      </c>
      <c r="W262" s="34">
        <f t="shared" si="13"/>
        <v>2179400</v>
      </c>
      <c r="X262" s="35">
        <v>2</v>
      </c>
      <c r="Y262" s="34">
        <f t="shared" si="14"/>
        <v>43588</v>
      </c>
      <c r="Z262" s="29"/>
      <c r="AA262" s="29" t="s">
        <v>4014</v>
      </c>
      <c r="AB262" s="29">
        <v>1141071867</v>
      </c>
      <c r="AC262" s="49">
        <v>45644</v>
      </c>
      <c r="AD262" s="48" t="s">
        <v>3160</v>
      </c>
      <c r="AE262" s="48">
        <v>0</v>
      </c>
      <c r="AG262" t="s">
        <v>1145</v>
      </c>
      <c r="AH262" s="54">
        <v>43588</v>
      </c>
      <c r="AI262" s="54">
        <v>0</v>
      </c>
      <c r="AJ262" s="54">
        <v>2179400</v>
      </c>
      <c r="AK262" s="54">
        <v>0</v>
      </c>
      <c r="AL262" t="s">
        <v>26</v>
      </c>
      <c r="AM262" t="s">
        <v>4249</v>
      </c>
    </row>
    <row r="263" spans="1:39" ht="11.25" customHeight="1" x14ac:dyDescent="0.2">
      <c r="A263" s="29" t="s">
        <v>2974</v>
      </c>
      <c r="B263" s="29" t="s">
        <v>3370</v>
      </c>
      <c r="C263" s="40">
        <v>45597</v>
      </c>
      <c r="D263" s="39" t="s">
        <v>3720</v>
      </c>
      <c r="E263" s="29" t="s">
        <v>1153</v>
      </c>
      <c r="F263" s="32">
        <v>45626</v>
      </c>
      <c r="G263" s="32">
        <v>45990</v>
      </c>
      <c r="H263" s="30" t="s">
        <v>3981</v>
      </c>
      <c r="I263" s="31">
        <v>6110102152505</v>
      </c>
      <c r="J263" s="47" t="s">
        <v>4223</v>
      </c>
      <c r="K263" s="29"/>
      <c r="L263" s="29" t="s">
        <v>1155</v>
      </c>
      <c r="M263" s="29" t="s">
        <v>1156</v>
      </c>
      <c r="N263" s="29" t="s">
        <v>3370</v>
      </c>
      <c r="O263" s="29" t="s">
        <v>3167</v>
      </c>
      <c r="P263" s="29" t="s">
        <v>3168</v>
      </c>
      <c r="Q263" s="29" t="s">
        <v>3577</v>
      </c>
      <c r="R263" s="32">
        <v>44896</v>
      </c>
      <c r="S263" s="32">
        <v>46727</v>
      </c>
      <c r="T263" s="33">
        <v>2520000</v>
      </c>
      <c r="U263" s="29">
        <v>15</v>
      </c>
      <c r="V263" s="34">
        <f t="shared" si="12"/>
        <v>378000</v>
      </c>
      <c r="W263" s="34">
        <f t="shared" si="13"/>
        <v>2142000</v>
      </c>
      <c r="X263" s="35">
        <v>2</v>
      </c>
      <c r="Y263" s="34">
        <f t="shared" si="14"/>
        <v>42840</v>
      </c>
      <c r="Z263" s="29"/>
      <c r="AA263" s="29" t="s">
        <v>4014</v>
      </c>
      <c r="AB263" s="29">
        <v>1141071867</v>
      </c>
      <c r="AC263" s="49">
        <v>45644</v>
      </c>
      <c r="AD263" s="48" t="s">
        <v>3160</v>
      </c>
      <c r="AE263" s="48">
        <v>4</v>
      </c>
      <c r="AG263" t="s">
        <v>1153</v>
      </c>
      <c r="AH263" s="54">
        <v>42840</v>
      </c>
      <c r="AI263" s="54">
        <v>0</v>
      </c>
      <c r="AJ263" s="54">
        <v>2142000</v>
      </c>
      <c r="AK263" s="54">
        <v>0</v>
      </c>
      <c r="AL263" t="s">
        <v>26</v>
      </c>
      <c r="AM263" t="s">
        <v>4249</v>
      </c>
    </row>
    <row r="264" spans="1:39" ht="11.25" customHeight="1" x14ac:dyDescent="0.2">
      <c r="A264" s="29" t="s">
        <v>2974</v>
      </c>
      <c r="B264" s="29" t="s">
        <v>3371</v>
      </c>
      <c r="C264" s="40">
        <v>45597</v>
      </c>
      <c r="D264" s="39" t="s">
        <v>3720</v>
      </c>
      <c r="E264" s="29" t="s">
        <v>1160</v>
      </c>
      <c r="F264" s="32">
        <v>45626</v>
      </c>
      <c r="G264" s="32">
        <v>45990</v>
      </c>
      <c r="H264" s="30" t="s">
        <v>3982</v>
      </c>
      <c r="I264" s="31">
        <v>4220111576983</v>
      </c>
      <c r="J264" s="47" t="s">
        <v>4183</v>
      </c>
      <c r="K264" s="29" t="s">
        <v>1162</v>
      </c>
      <c r="L264" s="29" t="s">
        <v>1163</v>
      </c>
      <c r="M264" s="29" t="s">
        <v>1164</v>
      </c>
      <c r="N264" s="29" t="s">
        <v>3371</v>
      </c>
      <c r="O264" s="29" t="s">
        <v>3162</v>
      </c>
      <c r="P264" s="29" t="s">
        <v>3211</v>
      </c>
      <c r="Q264" s="29" t="s">
        <v>3578</v>
      </c>
      <c r="R264" s="32">
        <v>44896</v>
      </c>
      <c r="S264" s="32">
        <v>45996</v>
      </c>
      <c r="T264" s="33">
        <v>3600000</v>
      </c>
      <c r="U264" s="29">
        <v>15</v>
      </c>
      <c r="V264" s="34">
        <f t="shared" si="12"/>
        <v>540000</v>
      </c>
      <c r="W264" s="34">
        <f t="shared" si="13"/>
        <v>3060000</v>
      </c>
      <c r="X264" s="35">
        <v>1.5</v>
      </c>
      <c r="Y264" s="34">
        <f t="shared" si="14"/>
        <v>45900</v>
      </c>
      <c r="Z264" s="29"/>
      <c r="AA264" s="29" t="s">
        <v>4014</v>
      </c>
      <c r="AB264" s="29">
        <v>1141071867</v>
      </c>
      <c r="AC264" s="49">
        <v>45644</v>
      </c>
      <c r="AD264" s="48" t="s">
        <v>3160</v>
      </c>
      <c r="AE264" s="48">
        <v>4</v>
      </c>
      <c r="AG264" t="s">
        <v>1160</v>
      </c>
      <c r="AH264" s="54">
        <v>45900</v>
      </c>
      <c r="AI264" s="54">
        <v>0</v>
      </c>
      <c r="AJ264" s="54">
        <v>3060000</v>
      </c>
      <c r="AK264" s="54">
        <v>0</v>
      </c>
      <c r="AL264" t="s">
        <v>26</v>
      </c>
      <c r="AM264" t="s">
        <v>4249</v>
      </c>
    </row>
    <row r="265" spans="1:39" ht="11.25" customHeight="1" x14ac:dyDescent="0.2">
      <c r="A265" s="29" t="s">
        <v>2974</v>
      </c>
      <c r="B265" s="29" t="s">
        <v>3372</v>
      </c>
      <c r="C265" s="40">
        <v>45597</v>
      </c>
      <c r="D265" s="39" t="s">
        <v>3720</v>
      </c>
      <c r="E265" s="29" t="s">
        <v>1168</v>
      </c>
      <c r="F265" s="32">
        <v>45626</v>
      </c>
      <c r="G265" s="32">
        <v>45990</v>
      </c>
      <c r="H265" s="30" t="s">
        <v>3983</v>
      </c>
      <c r="I265" s="31">
        <v>3410114752709</v>
      </c>
      <c r="J265" s="47" t="s">
        <v>4220</v>
      </c>
      <c r="K265" s="29" t="s">
        <v>1170</v>
      </c>
      <c r="L265" s="29" t="s">
        <v>1171</v>
      </c>
      <c r="M265" s="29" t="s">
        <v>1172</v>
      </c>
      <c r="N265" s="29" t="s">
        <v>3372</v>
      </c>
      <c r="O265" s="29" t="s">
        <v>4013</v>
      </c>
      <c r="P265" s="29" t="s">
        <v>3154</v>
      </c>
      <c r="Q265" s="29" t="s">
        <v>3579</v>
      </c>
      <c r="R265" s="32">
        <v>44897</v>
      </c>
      <c r="S265" s="32">
        <v>45996</v>
      </c>
      <c r="T265" s="33">
        <v>3200000</v>
      </c>
      <c r="U265" s="29">
        <v>15</v>
      </c>
      <c r="V265" s="34">
        <f t="shared" si="12"/>
        <v>480000</v>
      </c>
      <c r="W265" s="34">
        <f t="shared" si="13"/>
        <v>2720000</v>
      </c>
      <c r="X265" s="35">
        <v>2</v>
      </c>
      <c r="Y265" s="34">
        <f t="shared" si="14"/>
        <v>54400</v>
      </c>
      <c r="Z265" s="29"/>
      <c r="AA265" s="29" t="s">
        <v>4014</v>
      </c>
      <c r="AB265" s="29">
        <v>1141071867</v>
      </c>
      <c r="AC265" s="49">
        <v>45644</v>
      </c>
      <c r="AD265" s="48" t="s">
        <v>3160</v>
      </c>
      <c r="AE265" s="48">
        <v>4</v>
      </c>
      <c r="AG265" t="s">
        <v>1168</v>
      </c>
      <c r="AH265" s="54">
        <v>54400</v>
      </c>
      <c r="AI265" s="54">
        <v>0</v>
      </c>
      <c r="AJ265" s="54">
        <v>2720000</v>
      </c>
      <c r="AK265" s="54">
        <v>0</v>
      </c>
      <c r="AL265" t="s">
        <v>26</v>
      </c>
      <c r="AM265" t="s">
        <v>4249</v>
      </c>
    </row>
    <row r="266" spans="1:39" ht="11.25" customHeight="1" x14ac:dyDescent="0.2">
      <c r="A266" s="29" t="s">
        <v>2974</v>
      </c>
      <c r="B266" s="29" t="s">
        <v>3373</v>
      </c>
      <c r="C266" s="40">
        <v>45597</v>
      </c>
      <c r="D266" s="39" t="s">
        <v>3720</v>
      </c>
      <c r="E266" s="29" t="s">
        <v>1176</v>
      </c>
      <c r="F266" s="32">
        <v>45626</v>
      </c>
      <c r="G266" s="32">
        <v>45990</v>
      </c>
      <c r="H266" s="30" t="s">
        <v>3984</v>
      </c>
      <c r="I266" s="31">
        <v>3520103638753</v>
      </c>
      <c r="J266" s="47" t="s">
        <v>4213</v>
      </c>
      <c r="K266" s="29" t="s">
        <v>1178</v>
      </c>
      <c r="L266" s="29" t="s">
        <v>1179</v>
      </c>
      <c r="M266" s="29" t="s">
        <v>1180</v>
      </c>
      <c r="N266" s="29" t="s">
        <v>3373</v>
      </c>
      <c r="O266" s="29" t="s">
        <v>4013</v>
      </c>
      <c r="P266" s="29" t="s">
        <v>3154</v>
      </c>
      <c r="Q266" s="29" t="s">
        <v>3580</v>
      </c>
      <c r="R266" s="32">
        <v>44897</v>
      </c>
      <c r="S266" s="32">
        <v>46727</v>
      </c>
      <c r="T266" s="33">
        <v>2200000</v>
      </c>
      <c r="U266" s="29">
        <v>15</v>
      </c>
      <c r="V266" s="34">
        <f t="shared" si="12"/>
        <v>330000</v>
      </c>
      <c r="W266" s="34">
        <f t="shared" si="13"/>
        <v>1870000</v>
      </c>
      <c r="X266" s="35">
        <v>2</v>
      </c>
      <c r="Y266" s="34">
        <f t="shared" si="14"/>
        <v>37400</v>
      </c>
      <c r="Z266" s="29"/>
      <c r="AA266" s="29" t="s">
        <v>4014</v>
      </c>
      <c r="AB266" s="29">
        <v>1141071867</v>
      </c>
      <c r="AC266" s="49">
        <v>45644</v>
      </c>
      <c r="AD266" s="48" t="s">
        <v>3160</v>
      </c>
      <c r="AE266" s="48">
        <v>4</v>
      </c>
      <c r="AG266" t="s">
        <v>1176</v>
      </c>
      <c r="AH266" s="54">
        <v>37400</v>
      </c>
      <c r="AI266" s="54">
        <v>0</v>
      </c>
      <c r="AJ266" s="54">
        <v>1870000</v>
      </c>
      <c r="AK266" s="54">
        <v>0</v>
      </c>
      <c r="AL266" t="s">
        <v>26</v>
      </c>
      <c r="AM266" t="s">
        <v>4249</v>
      </c>
    </row>
    <row r="267" spans="1:39" ht="11.25" customHeight="1" x14ac:dyDescent="0.2">
      <c r="A267" s="29" t="s">
        <v>2974</v>
      </c>
      <c r="B267" s="29" t="s">
        <v>3374</v>
      </c>
      <c r="C267" s="40">
        <v>45597</v>
      </c>
      <c r="D267" s="39" t="s">
        <v>3720</v>
      </c>
      <c r="E267" s="29" t="s">
        <v>1184</v>
      </c>
      <c r="F267" s="32">
        <v>45626</v>
      </c>
      <c r="G267" s="32">
        <v>45990</v>
      </c>
      <c r="H267" s="30" t="s">
        <v>3985</v>
      </c>
      <c r="I267" s="31">
        <v>3310026040375</v>
      </c>
      <c r="J267" s="47" t="s">
        <v>4199</v>
      </c>
      <c r="K267" s="29"/>
      <c r="L267" s="29" t="s">
        <v>1186</v>
      </c>
      <c r="M267" s="29" t="s">
        <v>1187</v>
      </c>
      <c r="N267" s="29" t="s">
        <v>3374</v>
      </c>
      <c r="O267" s="29" t="s">
        <v>4013</v>
      </c>
      <c r="P267" s="29" t="s">
        <v>3154</v>
      </c>
      <c r="Q267" s="29" t="s">
        <v>3581</v>
      </c>
      <c r="R267" s="32">
        <v>44896</v>
      </c>
      <c r="S267" s="32">
        <v>45996</v>
      </c>
      <c r="T267" s="33">
        <v>3900000</v>
      </c>
      <c r="U267" s="29">
        <v>15</v>
      </c>
      <c r="V267" s="34">
        <f t="shared" si="12"/>
        <v>585000</v>
      </c>
      <c r="W267" s="34">
        <f t="shared" si="13"/>
        <v>3315000</v>
      </c>
      <c r="X267" s="35">
        <v>1.5</v>
      </c>
      <c r="Y267" s="34">
        <f t="shared" si="14"/>
        <v>49725</v>
      </c>
      <c r="Z267" s="29"/>
      <c r="AA267" s="29" t="s">
        <v>4014</v>
      </c>
      <c r="AB267" s="29">
        <v>1141071867</v>
      </c>
      <c r="AC267" s="49">
        <v>45644</v>
      </c>
      <c r="AD267" s="48" t="s">
        <v>3160</v>
      </c>
      <c r="AE267" s="48">
        <v>4</v>
      </c>
      <c r="AG267" t="s">
        <v>1184</v>
      </c>
      <c r="AH267" s="54">
        <v>49725</v>
      </c>
      <c r="AI267" s="54">
        <v>0</v>
      </c>
      <c r="AJ267" s="54">
        <v>3315000</v>
      </c>
      <c r="AK267" s="54">
        <v>0</v>
      </c>
      <c r="AL267" t="s">
        <v>26</v>
      </c>
      <c r="AM267" t="s">
        <v>4249</v>
      </c>
    </row>
    <row r="268" spans="1:39" ht="11.25" customHeight="1" x14ac:dyDescent="0.2">
      <c r="A268" s="29" t="s">
        <v>2974</v>
      </c>
      <c r="B268" s="29" t="s">
        <v>3375</v>
      </c>
      <c r="C268" s="40">
        <v>45597</v>
      </c>
      <c r="D268" s="39" t="s">
        <v>3720</v>
      </c>
      <c r="E268" s="29" t="s">
        <v>1191</v>
      </c>
      <c r="F268" s="32">
        <v>45626</v>
      </c>
      <c r="G268" s="32">
        <v>45990</v>
      </c>
      <c r="H268" s="30" t="s">
        <v>3986</v>
      </c>
      <c r="I268" s="31">
        <v>2130349232671</v>
      </c>
      <c r="J268" s="47" t="s">
        <v>4237</v>
      </c>
      <c r="K268" s="29" t="s">
        <v>1194</v>
      </c>
      <c r="L268" s="29" t="s">
        <v>1195</v>
      </c>
      <c r="M268" s="29" t="s">
        <v>1196</v>
      </c>
      <c r="N268" s="29" t="s">
        <v>3375</v>
      </c>
      <c r="O268" s="29" t="s">
        <v>3167</v>
      </c>
      <c r="P268" s="29" t="s">
        <v>3168</v>
      </c>
      <c r="Q268" s="29" t="s">
        <v>3582</v>
      </c>
      <c r="R268" s="32">
        <v>44900</v>
      </c>
      <c r="S268" s="32">
        <v>46361</v>
      </c>
      <c r="T268" s="33">
        <v>4400000</v>
      </c>
      <c r="U268" s="29">
        <v>15</v>
      </c>
      <c r="V268" s="34">
        <f t="shared" si="12"/>
        <v>660000</v>
      </c>
      <c r="W268" s="34">
        <f t="shared" si="13"/>
        <v>3740000</v>
      </c>
      <c r="X268" s="35">
        <v>1.5</v>
      </c>
      <c r="Y268" s="34">
        <f t="shared" si="14"/>
        <v>56100</v>
      </c>
      <c r="Z268" s="29"/>
      <c r="AA268" s="29" t="s">
        <v>4014</v>
      </c>
      <c r="AB268" s="29">
        <v>1141071867</v>
      </c>
      <c r="AC268" s="49">
        <v>45644</v>
      </c>
      <c r="AD268" s="48" t="s">
        <v>3160</v>
      </c>
      <c r="AE268" s="48">
        <v>4</v>
      </c>
      <c r="AG268" t="s">
        <v>1191</v>
      </c>
      <c r="AH268" s="54">
        <v>56100</v>
      </c>
      <c r="AI268" s="54">
        <v>0</v>
      </c>
      <c r="AJ268" s="54">
        <v>3740000</v>
      </c>
      <c r="AK268" s="54">
        <v>0</v>
      </c>
      <c r="AL268" t="s">
        <v>26</v>
      </c>
      <c r="AM268" t="s">
        <v>4249</v>
      </c>
    </row>
    <row r="269" spans="1:39" ht="11.25" customHeight="1" x14ac:dyDescent="0.2">
      <c r="A269" s="29" t="s">
        <v>2974</v>
      </c>
      <c r="B269" s="29" t="s">
        <v>3376</v>
      </c>
      <c r="C269" s="40">
        <v>45597</v>
      </c>
      <c r="D269" s="39" t="s">
        <v>3720</v>
      </c>
      <c r="E269" s="29" t="s">
        <v>1200</v>
      </c>
      <c r="F269" s="32">
        <v>45626</v>
      </c>
      <c r="G269" s="32">
        <v>45990</v>
      </c>
      <c r="H269" s="30" t="s">
        <v>3987</v>
      </c>
      <c r="I269" s="31">
        <v>3310020285385</v>
      </c>
      <c r="J269" s="47" t="s">
        <v>4220</v>
      </c>
      <c r="K269" s="29" t="s">
        <v>1202</v>
      </c>
      <c r="L269" s="29" t="s">
        <v>1203</v>
      </c>
      <c r="M269" s="29" t="s">
        <v>1204</v>
      </c>
      <c r="N269" s="29" t="s">
        <v>3376</v>
      </c>
      <c r="O269" s="29" t="s">
        <v>4013</v>
      </c>
      <c r="P269" s="29" t="s">
        <v>3172</v>
      </c>
      <c r="Q269" s="29" t="s">
        <v>3583</v>
      </c>
      <c r="R269" s="32">
        <v>44896</v>
      </c>
      <c r="S269" s="32">
        <v>45996</v>
      </c>
      <c r="T269" s="33">
        <v>4000000</v>
      </c>
      <c r="U269" s="29">
        <v>15</v>
      </c>
      <c r="V269" s="34">
        <f t="shared" si="12"/>
        <v>600000</v>
      </c>
      <c r="W269" s="34">
        <f t="shared" si="13"/>
        <v>3400000</v>
      </c>
      <c r="X269" s="35">
        <v>1.5</v>
      </c>
      <c r="Y269" s="34">
        <f t="shared" si="14"/>
        <v>51000</v>
      </c>
      <c r="Z269" s="29"/>
      <c r="AA269" s="29" t="s">
        <v>4014</v>
      </c>
      <c r="AB269" s="29">
        <v>1141071867</v>
      </c>
      <c r="AC269" s="49">
        <v>45644</v>
      </c>
      <c r="AD269" s="48" t="s">
        <v>3160</v>
      </c>
      <c r="AE269" s="48">
        <v>34</v>
      </c>
      <c r="AG269" t="s">
        <v>1200</v>
      </c>
      <c r="AH269" s="54">
        <v>51000</v>
      </c>
      <c r="AI269" s="54">
        <v>0</v>
      </c>
      <c r="AJ269" s="54">
        <v>3400000</v>
      </c>
      <c r="AK269" s="54">
        <v>0</v>
      </c>
      <c r="AL269" t="s">
        <v>26</v>
      </c>
      <c r="AM269" t="s">
        <v>4249</v>
      </c>
    </row>
    <row r="270" spans="1:39" ht="11.25" customHeight="1" x14ac:dyDescent="0.2">
      <c r="A270" s="29" t="s">
        <v>2974</v>
      </c>
      <c r="B270" s="29" t="s">
        <v>3378</v>
      </c>
      <c r="C270" s="40">
        <v>45597</v>
      </c>
      <c r="D270" s="39" t="s">
        <v>3720</v>
      </c>
      <c r="E270" s="29" t="s">
        <v>1216</v>
      </c>
      <c r="F270" s="32">
        <v>45626</v>
      </c>
      <c r="G270" s="32">
        <v>45990</v>
      </c>
      <c r="H270" s="30" t="s">
        <v>3988</v>
      </c>
      <c r="I270" s="31">
        <v>3520145776267</v>
      </c>
      <c r="J270" s="47" t="s">
        <v>4227</v>
      </c>
      <c r="K270" s="29" t="s">
        <v>1218</v>
      </c>
      <c r="L270" s="29" t="s">
        <v>1219</v>
      </c>
      <c r="M270" s="29" t="s">
        <v>1220</v>
      </c>
      <c r="N270" s="29" t="s">
        <v>3378</v>
      </c>
      <c r="O270" s="29" t="s">
        <v>4013</v>
      </c>
      <c r="P270" s="29" t="s">
        <v>3154</v>
      </c>
      <c r="Q270" s="29" t="s">
        <v>3585</v>
      </c>
      <c r="R270" s="32">
        <v>44897</v>
      </c>
      <c r="S270" s="32">
        <v>46727</v>
      </c>
      <c r="T270" s="33">
        <v>1550000</v>
      </c>
      <c r="U270" s="29">
        <v>15</v>
      </c>
      <c r="V270" s="34">
        <f t="shared" si="12"/>
        <v>232500</v>
      </c>
      <c r="W270" s="34">
        <f t="shared" si="13"/>
        <v>1317500</v>
      </c>
      <c r="X270" s="35">
        <v>2</v>
      </c>
      <c r="Y270" s="34">
        <f t="shared" si="14"/>
        <v>26350</v>
      </c>
      <c r="Z270" s="29"/>
      <c r="AA270" s="29" t="s">
        <v>4014</v>
      </c>
      <c r="AB270" s="29">
        <v>1141071867</v>
      </c>
      <c r="AC270" s="49">
        <v>45644</v>
      </c>
      <c r="AD270" s="48" t="s">
        <v>3160</v>
      </c>
      <c r="AE270" s="48">
        <v>4</v>
      </c>
      <c r="AG270" t="s">
        <v>1216</v>
      </c>
      <c r="AH270" s="54">
        <v>26350</v>
      </c>
      <c r="AI270" s="54">
        <v>0</v>
      </c>
      <c r="AJ270" s="54">
        <v>1317500</v>
      </c>
      <c r="AK270" s="54">
        <v>0</v>
      </c>
      <c r="AL270" t="s">
        <v>26</v>
      </c>
      <c r="AM270" t="s">
        <v>4249</v>
      </c>
    </row>
    <row r="271" spans="1:39" ht="11.25" customHeight="1" x14ac:dyDescent="0.2">
      <c r="A271" s="29" t="s">
        <v>2974</v>
      </c>
      <c r="B271" s="29" t="s">
        <v>3379</v>
      </c>
      <c r="C271" s="40">
        <v>45597</v>
      </c>
      <c r="D271" s="39" t="s">
        <v>3720</v>
      </c>
      <c r="E271" s="29" t="s">
        <v>1224</v>
      </c>
      <c r="F271" s="32">
        <v>45626</v>
      </c>
      <c r="G271" s="32">
        <v>45990</v>
      </c>
      <c r="H271" s="30" t="s">
        <v>3989</v>
      </c>
      <c r="I271" s="31">
        <v>1730143990435</v>
      </c>
      <c r="J271" s="47" t="s">
        <v>4215</v>
      </c>
      <c r="K271" s="29" t="s">
        <v>1226</v>
      </c>
      <c r="L271" s="29" t="s">
        <v>1227</v>
      </c>
      <c r="M271" s="29" t="s">
        <v>1228</v>
      </c>
      <c r="N271" s="29" t="s">
        <v>3379</v>
      </c>
      <c r="O271" s="29" t="s">
        <v>3167</v>
      </c>
      <c r="P271" s="29" t="s">
        <v>3168</v>
      </c>
      <c r="Q271" s="29" t="s">
        <v>3586</v>
      </c>
      <c r="R271" s="32">
        <v>44896</v>
      </c>
      <c r="S271" s="32">
        <v>45996</v>
      </c>
      <c r="T271" s="33">
        <v>3760000</v>
      </c>
      <c r="U271" s="29">
        <v>15</v>
      </c>
      <c r="V271" s="34">
        <f t="shared" si="12"/>
        <v>564000</v>
      </c>
      <c r="W271" s="34">
        <f t="shared" si="13"/>
        <v>3196000</v>
      </c>
      <c r="X271" s="35">
        <v>1.5</v>
      </c>
      <c r="Y271" s="34">
        <f t="shared" si="14"/>
        <v>47940</v>
      </c>
      <c r="Z271" s="29"/>
      <c r="AA271" s="29" t="s">
        <v>4014</v>
      </c>
      <c r="AB271" s="29">
        <v>1141071867</v>
      </c>
      <c r="AC271" s="49">
        <v>45644</v>
      </c>
      <c r="AD271" s="48" t="s">
        <v>3160</v>
      </c>
      <c r="AE271" s="48">
        <v>0</v>
      </c>
      <c r="AG271" t="s">
        <v>1224</v>
      </c>
      <c r="AH271" s="54">
        <v>47940</v>
      </c>
      <c r="AI271" s="54">
        <v>0</v>
      </c>
      <c r="AJ271" s="54">
        <v>3196000</v>
      </c>
      <c r="AK271" s="54">
        <v>0</v>
      </c>
      <c r="AL271" t="s">
        <v>26</v>
      </c>
      <c r="AM271" t="s">
        <v>4249</v>
      </c>
    </row>
    <row r="272" spans="1:39" ht="11.25" customHeight="1" x14ac:dyDescent="0.2">
      <c r="A272" s="29" t="s">
        <v>2974</v>
      </c>
      <c r="B272" s="29" t="s">
        <v>3431</v>
      </c>
      <c r="C272" s="40">
        <v>45597</v>
      </c>
      <c r="D272" s="39" t="s">
        <v>3720</v>
      </c>
      <c r="E272" s="29" t="s">
        <v>1648</v>
      </c>
      <c r="F272" s="32">
        <v>45626</v>
      </c>
      <c r="G272" s="32">
        <v>45990</v>
      </c>
      <c r="H272" s="30" t="s">
        <v>3990</v>
      </c>
      <c r="I272" s="31">
        <v>3520299516277</v>
      </c>
      <c r="J272" s="47" t="s">
        <v>4224</v>
      </c>
      <c r="K272" s="29" t="s">
        <v>1650</v>
      </c>
      <c r="L272" s="29" t="s">
        <v>1651</v>
      </c>
      <c r="M272" s="29" t="s">
        <v>1652</v>
      </c>
      <c r="N272" s="29" t="s">
        <v>3431</v>
      </c>
      <c r="O272" s="29" t="s">
        <v>4013</v>
      </c>
      <c r="P272" s="29" t="s">
        <v>3154</v>
      </c>
      <c r="Q272" s="29" t="s">
        <v>3647</v>
      </c>
      <c r="R272" s="32">
        <v>44533</v>
      </c>
      <c r="S272" s="32">
        <v>47092</v>
      </c>
      <c r="T272" s="33">
        <v>1350000</v>
      </c>
      <c r="U272" s="29">
        <v>20</v>
      </c>
      <c r="V272" s="34">
        <f t="shared" si="12"/>
        <v>270000</v>
      </c>
      <c r="W272" s="34">
        <f t="shared" si="13"/>
        <v>1080000</v>
      </c>
      <c r="X272" s="35">
        <v>1.75</v>
      </c>
      <c r="Y272" s="34">
        <f t="shared" si="14"/>
        <v>18900</v>
      </c>
      <c r="Z272" s="29"/>
      <c r="AA272" s="29" t="s">
        <v>4014</v>
      </c>
      <c r="AB272" s="29">
        <v>1141071867</v>
      </c>
      <c r="AC272" s="49">
        <v>45644</v>
      </c>
      <c r="AD272" s="48" t="s">
        <v>3160</v>
      </c>
      <c r="AE272" s="48">
        <v>4</v>
      </c>
      <c r="AG272" t="s">
        <v>1648</v>
      </c>
      <c r="AH272" s="54">
        <v>18900</v>
      </c>
      <c r="AI272" s="54">
        <v>0</v>
      </c>
      <c r="AJ272" s="54">
        <v>1080000</v>
      </c>
      <c r="AK272" s="54">
        <v>0</v>
      </c>
      <c r="AL272" t="s">
        <v>26</v>
      </c>
      <c r="AM272" t="s">
        <v>4249</v>
      </c>
    </row>
    <row r="273" spans="1:39" ht="11.25" customHeight="1" x14ac:dyDescent="0.2">
      <c r="A273" s="29" t="s">
        <v>2974</v>
      </c>
      <c r="B273" s="29" t="s">
        <v>3432</v>
      </c>
      <c r="C273" s="40">
        <v>45597</v>
      </c>
      <c r="D273" s="39" t="s">
        <v>3720</v>
      </c>
      <c r="E273" s="29" t="s">
        <v>1656</v>
      </c>
      <c r="F273" s="32">
        <v>45626</v>
      </c>
      <c r="G273" s="32">
        <v>45990</v>
      </c>
      <c r="H273" s="30" t="s">
        <v>3991</v>
      </c>
      <c r="I273" s="31">
        <v>3520129195379</v>
      </c>
      <c r="J273" s="47" t="s">
        <v>4196</v>
      </c>
      <c r="K273" s="29"/>
      <c r="L273" s="29" t="s">
        <v>1658</v>
      </c>
      <c r="M273" s="29" t="s">
        <v>1659</v>
      </c>
      <c r="N273" s="29" t="s">
        <v>3432</v>
      </c>
      <c r="O273" s="29" t="s">
        <v>4013</v>
      </c>
      <c r="P273" s="29" t="s">
        <v>3154</v>
      </c>
      <c r="Q273" s="29" t="s">
        <v>3648</v>
      </c>
      <c r="R273" s="32">
        <v>44536</v>
      </c>
      <c r="S273" s="32">
        <v>46361</v>
      </c>
      <c r="T273" s="33">
        <v>2589000</v>
      </c>
      <c r="U273" s="29">
        <v>20</v>
      </c>
      <c r="V273" s="34">
        <f t="shared" si="12"/>
        <v>517800</v>
      </c>
      <c r="W273" s="34">
        <f t="shared" si="13"/>
        <v>2071200</v>
      </c>
      <c r="X273" s="35">
        <v>1.75</v>
      </c>
      <c r="Y273" s="34">
        <f t="shared" si="14"/>
        <v>36246</v>
      </c>
      <c r="Z273" s="29"/>
      <c r="AA273" s="29" t="s">
        <v>4014</v>
      </c>
      <c r="AB273" s="29">
        <v>1141071867</v>
      </c>
      <c r="AC273" s="49">
        <v>45644</v>
      </c>
      <c r="AD273" s="48" t="s">
        <v>3160</v>
      </c>
      <c r="AE273" s="48">
        <v>0</v>
      </c>
      <c r="AG273" t="s">
        <v>1656</v>
      </c>
      <c r="AH273" s="54">
        <v>36246</v>
      </c>
      <c r="AI273" s="54">
        <v>0</v>
      </c>
      <c r="AJ273" s="54">
        <v>2071200</v>
      </c>
      <c r="AK273" s="54">
        <v>0</v>
      </c>
      <c r="AL273" t="s">
        <v>26</v>
      </c>
      <c r="AM273" t="s">
        <v>4249</v>
      </c>
    </row>
    <row r="274" spans="1:39" ht="11.25" customHeight="1" x14ac:dyDescent="0.2">
      <c r="A274" s="29" t="s">
        <v>2974</v>
      </c>
      <c r="B274" s="29" t="s">
        <v>3433</v>
      </c>
      <c r="C274" s="40">
        <v>45597</v>
      </c>
      <c r="D274" s="39" t="s">
        <v>3720</v>
      </c>
      <c r="E274" s="29" t="s">
        <v>1663</v>
      </c>
      <c r="F274" s="32">
        <v>45626</v>
      </c>
      <c r="G274" s="32">
        <v>45990</v>
      </c>
      <c r="H274" s="30" t="s">
        <v>3992</v>
      </c>
      <c r="I274" s="31">
        <v>3520261940637</v>
      </c>
      <c r="J274" s="47" t="s">
        <v>4224</v>
      </c>
      <c r="K274" s="29" t="s">
        <v>1665</v>
      </c>
      <c r="L274" s="29" t="s">
        <v>1666</v>
      </c>
      <c r="M274" s="29" t="s">
        <v>1667</v>
      </c>
      <c r="N274" s="29" t="s">
        <v>3433</v>
      </c>
      <c r="O274" s="29" t="s">
        <v>4013</v>
      </c>
      <c r="P274" s="29" t="s">
        <v>3154</v>
      </c>
      <c r="Q274" s="29" t="s">
        <v>3649</v>
      </c>
      <c r="R274" s="32">
        <v>44531</v>
      </c>
      <c r="S274" s="32">
        <v>47092</v>
      </c>
      <c r="T274" s="33">
        <v>1852000</v>
      </c>
      <c r="U274" s="29">
        <v>20</v>
      </c>
      <c r="V274" s="34">
        <f t="shared" si="12"/>
        <v>370400</v>
      </c>
      <c r="W274" s="34">
        <f t="shared" si="13"/>
        <v>1481600</v>
      </c>
      <c r="X274" s="35">
        <v>1.75</v>
      </c>
      <c r="Y274" s="34">
        <f t="shared" si="14"/>
        <v>25928.000000000004</v>
      </c>
      <c r="Z274" s="29"/>
      <c r="AA274" s="29" t="s">
        <v>4014</v>
      </c>
      <c r="AB274" s="29">
        <v>1141071867</v>
      </c>
      <c r="AC274" s="49">
        <v>45644</v>
      </c>
      <c r="AD274" s="48" t="s">
        <v>3160</v>
      </c>
      <c r="AE274" s="48">
        <v>0</v>
      </c>
      <c r="AG274" t="s">
        <v>1663</v>
      </c>
      <c r="AH274" s="54">
        <v>25928</v>
      </c>
      <c r="AI274" s="54">
        <v>0</v>
      </c>
      <c r="AJ274" s="54">
        <v>1481600</v>
      </c>
      <c r="AK274" s="54">
        <v>0</v>
      </c>
      <c r="AL274" t="s">
        <v>26</v>
      </c>
      <c r="AM274" t="s">
        <v>4249</v>
      </c>
    </row>
    <row r="275" spans="1:39" ht="11.25" customHeight="1" x14ac:dyDescent="0.2">
      <c r="A275" s="29" t="s">
        <v>2974</v>
      </c>
      <c r="B275" s="29" t="s">
        <v>3434</v>
      </c>
      <c r="C275" s="40">
        <v>45597</v>
      </c>
      <c r="D275" s="39" t="s">
        <v>3720</v>
      </c>
      <c r="E275" s="29" t="s">
        <v>1671</v>
      </c>
      <c r="F275" s="32">
        <v>45626</v>
      </c>
      <c r="G275" s="32">
        <v>45990</v>
      </c>
      <c r="H275" s="30" t="s">
        <v>3993</v>
      </c>
      <c r="I275" s="31">
        <v>3520194415579</v>
      </c>
      <c r="J275" s="47" t="s">
        <v>4224</v>
      </c>
      <c r="K275" s="29" t="s">
        <v>1673</v>
      </c>
      <c r="L275" s="29" t="s">
        <v>1674</v>
      </c>
      <c r="M275" s="29" t="s">
        <v>1675</v>
      </c>
      <c r="N275" s="29" t="s">
        <v>3434</v>
      </c>
      <c r="O275" s="29" t="s">
        <v>4013</v>
      </c>
      <c r="P275" s="29" t="s">
        <v>3154</v>
      </c>
      <c r="Q275" s="29" t="s">
        <v>3650</v>
      </c>
      <c r="R275" s="32">
        <v>44531</v>
      </c>
      <c r="S275" s="32">
        <v>46361</v>
      </c>
      <c r="T275" s="33">
        <v>1852000</v>
      </c>
      <c r="U275" s="29">
        <v>20</v>
      </c>
      <c r="V275" s="34">
        <f t="shared" si="12"/>
        <v>370400</v>
      </c>
      <c r="W275" s="34">
        <f t="shared" si="13"/>
        <v>1481600</v>
      </c>
      <c r="X275" s="35">
        <v>1.75</v>
      </c>
      <c r="Y275" s="34">
        <f t="shared" si="14"/>
        <v>25928.000000000004</v>
      </c>
      <c r="Z275" s="29"/>
      <c r="AA275" s="29" t="s">
        <v>4014</v>
      </c>
      <c r="AB275" s="29">
        <v>1141071867</v>
      </c>
      <c r="AC275" s="49">
        <v>45644</v>
      </c>
      <c r="AD275" s="48" t="s">
        <v>3160</v>
      </c>
      <c r="AE275" s="48">
        <v>4</v>
      </c>
      <c r="AG275" t="s">
        <v>1671</v>
      </c>
      <c r="AH275" s="54">
        <v>25928</v>
      </c>
      <c r="AI275" s="54">
        <v>0</v>
      </c>
      <c r="AJ275" s="54">
        <v>1481600</v>
      </c>
      <c r="AK275" s="54">
        <v>0</v>
      </c>
      <c r="AL275" t="s">
        <v>26</v>
      </c>
      <c r="AM275" t="s">
        <v>4249</v>
      </c>
    </row>
    <row r="276" spans="1:39" ht="11.25" customHeight="1" x14ac:dyDescent="0.2">
      <c r="A276" s="29" t="s">
        <v>2974</v>
      </c>
      <c r="B276" s="29" t="s">
        <v>3435</v>
      </c>
      <c r="C276" s="40">
        <v>45597</v>
      </c>
      <c r="D276" s="39" t="s">
        <v>3720</v>
      </c>
      <c r="E276" s="29" t="s">
        <v>1679</v>
      </c>
      <c r="F276" s="32">
        <v>45626</v>
      </c>
      <c r="G276" s="32">
        <v>45990</v>
      </c>
      <c r="H276" s="30" t="s">
        <v>3994</v>
      </c>
      <c r="I276" s="31">
        <v>3630314101365</v>
      </c>
      <c r="J276" s="47" t="s">
        <v>4224</v>
      </c>
      <c r="K276" s="29" t="s">
        <v>1681</v>
      </c>
      <c r="L276" s="29" t="s">
        <v>1682</v>
      </c>
      <c r="M276" s="29" t="s">
        <v>1683</v>
      </c>
      <c r="N276" s="29" t="s">
        <v>3435</v>
      </c>
      <c r="O276" s="29" t="s">
        <v>4013</v>
      </c>
      <c r="P276" s="29" t="s">
        <v>3216</v>
      </c>
      <c r="Q276" s="29" t="s">
        <v>3651</v>
      </c>
      <c r="R276" s="32">
        <v>44531</v>
      </c>
      <c r="S276" s="32">
        <v>46361</v>
      </c>
      <c r="T276" s="33">
        <v>1525000</v>
      </c>
      <c r="U276" s="29">
        <v>20</v>
      </c>
      <c r="V276" s="34">
        <f t="shared" si="12"/>
        <v>305000</v>
      </c>
      <c r="W276" s="34">
        <f t="shared" si="13"/>
        <v>1220000</v>
      </c>
      <c r="X276" s="35">
        <v>1.75</v>
      </c>
      <c r="Y276" s="34">
        <f t="shared" si="14"/>
        <v>21350.000000000004</v>
      </c>
      <c r="Z276" s="29"/>
      <c r="AA276" s="29" t="s">
        <v>4014</v>
      </c>
      <c r="AB276" s="29">
        <v>1141071867</v>
      </c>
      <c r="AC276" s="49">
        <v>45644</v>
      </c>
      <c r="AD276" s="48" t="s">
        <v>3160</v>
      </c>
      <c r="AE276" s="48">
        <v>4</v>
      </c>
      <c r="AG276" t="s">
        <v>1679</v>
      </c>
      <c r="AH276" s="54">
        <v>21350</v>
      </c>
      <c r="AI276" s="54">
        <v>0</v>
      </c>
      <c r="AJ276" s="54">
        <v>1220000</v>
      </c>
      <c r="AK276" s="54">
        <v>0</v>
      </c>
      <c r="AL276" t="s">
        <v>26</v>
      </c>
      <c r="AM276" t="s">
        <v>4249</v>
      </c>
    </row>
    <row r="277" spans="1:39" ht="11.25" customHeight="1" x14ac:dyDescent="0.2">
      <c r="A277" s="29" t="s">
        <v>2974</v>
      </c>
      <c r="B277" s="29" t="s">
        <v>3436</v>
      </c>
      <c r="C277" s="40">
        <v>45597</v>
      </c>
      <c r="D277" s="39" t="s">
        <v>3720</v>
      </c>
      <c r="E277" s="29" t="s">
        <v>1687</v>
      </c>
      <c r="F277" s="32">
        <v>45626</v>
      </c>
      <c r="G277" s="32">
        <v>45990</v>
      </c>
      <c r="H277" s="30" t="s">
        <v>3995</v>
      </c>
      <c r="I277" s="31">
        <v>3520225867393</v>
      </c>
      <c r="J277" s="47" t="s">
        <v>4238</v>
      </c>
      <c r="K277" s="29" t="s">
        <v>1690</v>
      </c>
      <c r="L277" s="29" t="s">
        <v>1691</v>
      </c>
      <c r="M277" s="29" t="s">
        <v>1692</v>
      </c>
      <c r="N277" s="29" t="s">
        <v>3436</v>
      </c>
      <c r="O277" s="29" t="s">
        <v>4013</v>
      </c>
      <c r="P277" s="29" t="s">
        <v>3154</v>
      </c>
      <c r="Q277" s="29" t="s">
        <v>3652</v>
      </c>
      <c r="R277" s="32">
        <v>44531</v>
      </c>
      <c r="S277" s="32">
        <v>46361</v>
      </c>
      <c r="T277" s="33">
        <v>3800000</v>
      </c>
      <c r="U277" s="29">
        <v>20</v>
      </c>
      <c r="V277" s="34">
        <f t="shared" si="12"/>
        <v>760000</v>
      </c>
      <c r="W277" s="34">
        <f t="shared" si="13"/>
        <v>3040000</v>
      </c>
      <c r="X277" s="35">
        <v>1.5</v>
      </c>
      <c r="Y277" s="34">
        <f t="shared" si="14"/>
        <v>45600</v>
      </c>
      <c r="Z277" s="29"/>
      <c r="AA277" s="29" t="s">
        <v>4014</v>
      </c>
      <c r="AB277" s="29">
        <v>1141071867</v>
      </c>
      <c r="AC277" s="49">
        <v>45644</v>
      </c>
      <c r="AD277" s="48" t="s">
        <v>3160</v>
      </c>
      <c r="AE277" s="48">
        <v>4</v>
      </c>
      <c r="AG277" t="s">
        <v>1687</v>
      </c>
      <c r="AH277" s="54">
        <v>45600</v>
      </c>
      <c r="AI277" s="54">
        <v>0</v>
      </c>
      <c r="AJ277" s="54">
        <v>3040000</v>
      </c>
      <c r="AK277" s="54">
        <v>0</v>
      </c>
      <c r="AL277" t="s">
        <v>26</v>
      </c>
      <c r="AM277" t="s">
        <v>4249</v>
      </c>
    </row>
    <row r="278" spans="1:39" ht="11.25" customHeight="1" x14ac:dyDescent="0.2">
      <c r="A278" s="29" t="s">
        <v>2974</v>
      </c>
      <c r="B278" s="29" t="s">
        <v>3437</v>
      </c>
      <c r="C278" s="40">
        <v>45597</v>
      </c>
      <c r="D278" s="39" t="s">
        <v>3720</v>
      </c>
      <c r="E278" s="29" t="s">
        <v>1696</v>
      </c>
      <c r="F278" s="32">
        <v>45626</v>
      </c>
      <c r="G278" s="32">
        <v>45990</v>
      </c>
      <c r="H278" s="30" t="s">
        <v>3996</v>
      </c>
      <c r="I278" s="31">
        <v>4220193242650</v>
      </c>
      <c r="J278" s="47" t="s">
        <v>4188</v>
      </c>
      <c r="K278" s="29" t="s">
        <v>1699</v>
      </c>
      <c r="L278" s="29" t="s">
        <v>1700</v>
      </c>
      <c r="M278" s="29" t="s">
        <v>1701</v>
      </c>
      <c r="N278" s="29" t="s">
        <v>3437</v>
      </c>
      <c r="O278" s="29" t="s">
        <v>4013</v>
      </c>
      <c r="P278" s="29" t="s">
        <v>3154</v>
      </c>
      <c r="Q278" s="29" t="s">
        <v>3653</v>
      </c>
      <c r="R278" s="32">
        <v>44531</v>
      </c>
      <c r="S278" s="32">
        <v>46361</v>
      </c>
      <c r="T278" s="33">
        <v>3550000</v>
      </c>
      <c r="U278" s="29">
        <v>20</v>
      </c>
      <c r="V278" s="34">
        <f t="shared" si="12"/>
        <v>710000</v>
      </c>
      <c r="W278" s="34">
        <f t="shared" si="13"/>
        <v>2840000</v>
      </c>
      <c r="X278" s="35">
        <v>1.5</v>
      </c>
      <c r="Y278" s="34">
        <f t="shared" si="14"/>
        <v>42600</v>
      </c>
      <c r="Z278" s="29"/>
      <c r="AA278" s="29" t="s">
        <v>4014</v>
      </c>
      <c r="AB278" s="29">
        <v>1141071867</v>
      </c>
      <c r="AC278" s="49">
        <v>45644</v>
      </c>
      <c r="AD278" s="48" t="s">
        <v>3160</v>
      </c>
      <c r="AE278" s="48">
        <v>4</v>
      </c>
      <c r="AG278" t="s">
        <v>1696</v>
      </c>
      <c r="AH278" s="54">
        <v>42600</v>
      </c>
      <c r="AI278" s="54">
        <v>0</v>
      </c>
      <c r="AJ278" s="54">
        <v>2840000</v>
      </c>
      <c r="AK278" s="54">
        <v>0</v>
      </c>
      <c r="AL278" t="s">
        <v>26</v>
      </c>
      <c r="AM278" t="s">
        <v>4249</v>
      </c>
    </row>
    <row r="279" spans="1:39" ht="11.25" customHeight="1" x14ac:dyDescent="0.2">
      <c r="A279" s="29" t="s">
        <v>2974</v>
      </c>
      <c r="B279" s="29" t="s">
        <v>3438</v>
      </c>
      <c r="C279" s="40">
        <v>45597</v>
      </c>
      <c r="D279" s="39" t="s">
        <v>3720</v>
      </c>
      <c r="E279" s="29" t="s">
        <v>1705</v>
      </c>
      <c r="F279" s="32">
        <v>45626</v>
      </c>
      <c r="G279" s="32">
        <v>45990</v>
      </c>
      <c r="H279" s="30" t="s">
        <v>3997</v>
      </c>
      <c r="I279" s="31">
        <v>3520213359761</v>
      </c>
      <c r="J279" s="47" t="s">
        <v>4239</v>
      </c>
      <c r="K279" s="29" t="s">
        <v>1707</v>
      </c>
      <c r="L279" s="29" t="s">
        <v>1708</v>
      </c>
      <c r="M279" s="29" t="s">
        <v>1709</v>
      </c>
      <c r="N279" s="29" t="s">
        <v>3438</v>
      </c>
      <c r="O279" s="29" t="s">
        <v>4013</v>
      </c>
      <c r="P279" s="29" t="s">
        <v>3154</v>
      </c>
      <c r="Q279" s="29" t="s">
        <v>3654</v>
      </c>
      <c r="R279" s="32">
        <v>44531</v>
      </c>
      <c r="S279" s="32">
        <v>46361</v>
      </c>
      <c r="T279" s="33">
        <v>3283000</v>
      </c>
      <c r="U279" s="29">
        <v>20</v>
      </c>
      <c r="V279" s="34">
        <f t="shared" si="12"/>
        <v>656600</v>
      </c>
      <c r="W279" s="34">
        <f t="shared" si="13"/>
        <v>2626400</v>
      </c>
      <c r="X279" s="35">
        <v>1.75</v>
      </c>
      <c r="Y279" s="34">
        <f t="shared" si="14"/>
        <v>45962.000000000007</v>
      </c>
      <c r="Z279" s="29"/>
      <c r="AA279" s="29" t="s">
        <v>4014</v>
      </c>
      <c r="AB279" s="29">
        <v>1141071867</v>
      </c>
      <c r="AC279" s="49">
        <v>45644</v>
      </c>
      <c r="AD279" s="48" t="s">
        <v>3160</v>
      </c>
      <c r="AE279" s="48">
        <v>4</v>
      </c>
      <c r="AG279" t="s">
        <v>1705</v>
      </c>
      <c r="AH279" s="54">
        <v>45962</v>
      </c>
      <c r="AI279" s="54">
        <v>0</v>
      </c>
      <c r="AJ279" s="54">
        <v>2626400</v>
      </c>
      <c r="AK279" s="54">
        <v>0</v>
      </c>
      <c r="AL279" t="s">
        <v>26</v>
      </c>
      <c r="AM279" t="s">
        <v>4249</v>
      </c>
    </row>
    <row r="280" spans="1:39" ht="11.25" customHeight="1" x14ac:dyDescent="0.2">
      <c r="A280" s="29" t="s">
        <v>2974</v>
      </c>
      <c r="B280" s="29" t="s">
        <v>3440</v>
      </c>
      <c r="C280" s="40">
        <v>45597</v>
      </c>
      <c r="D280" s="39" t="s">
        <v>3720</v>
      </c>
      <c r="E280" s="29" t="s">
        <v>1721</v>
      </c>
      <c r="F280" s="32">
        <v>45626</v>
      </c>
      <c r="G280" s="32">
        <v>45990</v>
      </c>
      <c r="H280" s="30" t="s">
        <v>3998</v>
      </c>
      <c r="I280" s="31">
        <v>3740503783461</v>
      </c>
      <c r="J280" s="47" t="s">
        <v>4223</v>
      </c>
      <c r="K280" s="29" t="s">
        <v>1723</v>
      </c>
      <c r="L280" s="29" t="s">
        <v>1724</v>
      </c>
      <c r="M280" s="29" t="s">
        <v>1725</v>
      </c>
      <c r="N280" s="29" t="s">
        <v>3440</v>
      </c>
      <c r="O280" s="29" t="s">
        <v>3167</v>
      </c>
      <c r="P280" s="29" t="s">
        <v>3168</v>
      </c>
      <c r="Q280" s="29" t="s">
        <v>3657</v>
      </c>
      <c r="R280" s="32">
        <v>44538</v>
      </c>
      <c r="S280" s="32">
        <v>46361</v>
      </c>
      <c r="T280" s="33">
        <v>1539000</v>
      </c>
      <c r="U280" s="29">
        <v>20</v>
      </c>
      <c r="V280" s="34">
        <f t="shared" si="12"/>
        <v>307800</v>
      </c>
      <c r="W280" s="34">
        <f t="shared" si="13"/>
        <v>1231200</v>
      </c>
      <c r="X280" s="35">
        <v>1.75</v>
      </c>
      <c r="Y280" s="34">
        <f t="shared" si="14"/>
        <v>21546.000000000004</v>
      </c>
      <c r="Z280" s="29"/>
      <c r="AA280" s="29" t="s">
        <v>4014</v>
      </c>
      <c r="AB280" s="29">
        <v>1141071867</v>
      </c>
      <c r="AC280" s="49">
        <v>45644</v>
      </c>
      <c r="AD280" s="48" t="s">
        <v>3160</v>
      </c>
      <c r="AE280" s="48">
        <v>4</v>
      </c>
      <c r="AG280" t="s">
        <v>1721</v>
      </c>
      <c r="AH280" s="54">
        <v>21546</v>
      </c>
      <c r="AI280" s="54">
        <v>0</v>
      </c>
      <c r="AJ280" s="54">
        <v>1231200</v>
      </c>
      <c r="AK280" s="54">
        <v>0</v>
      </c>
      <c r="AL280" t="s">
        <v>26</v>
      </c>
      <c r="AM280" t="s">
        <v>4249</v>
      </c>
    </row>
    <row r="281" spans="1:39" ht="11.25" customHeight="1" x14ac:dyDescent="0.2">
      <c r="A281" s="29" t="s">
        <v>2974</v>
      </c>
      <c r="B281" s="29" t="s">
        <v>3441</v>
      </c>
      <c r="C281" s="40">
        <v>45597</v>
      </c>
      <c r="D281" s="39" t="s">
        <v>3720</v>
      </c>
      <c r="E281" s="29" t="s">
        <v>1729</v>
      </c>
      <c r="F281" s="32">
        <v>45626</v>
      </c>
      <c r="G281" s="32">
        <v>45990</v>
      </c>
      <c r="H281" s="30" t="s">
        <v>3999</v>
      </c>
      <c r="I281" s="31">
        <v>3520231439495</v>
      </c>
      <c r="J281" s="47" t="s">
        <v>4224</v>
      </c>
      <c r="K281" s="29" t="s">
        <v>1731</v>
      </c>
      <c r="L281" s="29" t="s">
        <v>1732</v>
      </c>
      <c r="M281" s="29" t="s">
        <v>1733</v>
      </c>
      <c r="N281" s="29" t="s">
        <v>3441</v>
      </c>
      <c r="O281" s="29" t="s">
        <v>4013</v>
      </c>
      <c r="P281" s="29" t="s">
        <v>3154</v>
      </c>
      <c r="Q281" s="29" t="s">
        <v>3658</v>
      </c>
      <c r="R281" s="32">
        <v>44532</v>
      </c>
      <c r="S281" s="32">
        <v>46361</v>
      </c>
      <c r="T281" s="33">
        <v>1852000</v>
      </c>
      <c r="U281" s="29">
        <v>20</v>
      </c>
      <c r="V281" s="34">
        <f t="shared" si="12"/>
        <v>370400</v>
      </c>
      <c r="W281" s="34">
        <f t="shared" si="13"/>
        <v>1481600</v>
      </c>
      <c r="X281" s="35">
        <v>1.75</v>
      </c>
      <c r="Y281" s="34">
        <f t="shared" si="14"/>
        <v>25928.000000000004</v>
      </c>
      <c r="Z281" s="29"/>
      <c r="AA281" s="29" t="s">
        <v>4014</v>
      </c>
      <c r="AB281" s="29">
        <v>1141071867</v>
      </c>
      <c r="AC281" s="49">
        <v>45644</v>
      </c>
      <c r="AD281" s="48" t="s">
        <v>3160</v>
      </c>
      <c r="AE281" s="48">
        <v>4</v>
      </c>
      <c r="AG281" t="s">
        <v>1729</v>
      </c>
      <c r="AH281" s="54">
        <v>25928</v>
      </c>
      <c r="AI281" s="54">
        <v>0</v>
      </c>
      <c r="AJ281" s="54">
        <v>1481600</v>
      </c>
      <c r="AK281" s="54">
        <v>0</v>
      </c>
      <c r="AL281" t="s">
        <v>26</v>
      </c>
      <c r="AM281" t="s">
        <v>4249</v>
      </c>
    </row>
    <row r="282" spans="1:39" ht="11.25" customHeight="1" x14ac:dyDescent="0.2">
      <c r="A282" s="29" t="s">
        <v>2974</v>
      </c>
      <c r="B282" s="29" t="s">
        <v>3442</v>
      </c>
      <c r="C282" s="40">
        <v>45597</v>
      </c>
      <c r="D282" s="39" t="s">
        <v>3720</v>
      </c>
      <c r="E282" s="29" t="s">
        <v>1737</v>
      </c>
      <c r="F282" s="32">
        <v>45626</v>
      </c>
      <c r="G282" s="32">
        <v>45990</v>
      </c>
      <c r="H282" s="30" t="s">
        <v>4000</v>
      </c>
      <c r="I282" s="31">
        <v>3410251121983</v>
      </c>
      <c r="J282" s="47" t="s">
        <v>4221</v>
      </c>
      <c r="K282" s="29" t="s">
        <v>1739</v>
      </c>
      <c r="L282" s="29" t="s">
        <v>1740</v>
      </c>
      <c r="M282" s="29" t="s">
        <v>1741</v>
      </c>
      <c r="N282" s="29" t="s">
        <v>3442</v>
      </c>
      <c r="O282" s="29" t="s">
        <v>4013</v>
      </c>
      <c r="P282" s="29" t="s">
        <v>3172</v>
      </c>
      <c r="Q282" s="29" t="s">
        <v>3659</v>
      </c>
      <c r="R282" s="32">
        <v>44531</v>
      </c>
      <c r="S282" s="32">
        <v>46361</v>
      </c>
      <c r="T282" s="33">
        <v>3283000</v>
      </c>
      <c r="U282" s="29">
        <v>20</v>
      </c>
      <c r="V282" s="34">
        <f t="shared" si="12"/>
        <v>656600</v>
      </c>
      <c r="W282" s="34">
        <f t="shared" si="13"/>
        <v>2626400</v>
      </c>
      <c r="X282" s="35">
        <v>1.75</v>
      </c>
      <c r="Y282" s="34">
        <f t="shared" si="14"/>
        <v>45962.000000000007</v>
      </c>
      <c r="Z282" s="29"/>
      <c r="AA282" s="29" t="s">
        <v>4014</v>
      </c>
      <c r="AB282" s="29">
        <v>1141071867</v>
      </c>
      <c r="AC282" s="49">
        <v>45644</v>
      </c>
      <c r="AD282" s="48" t="s">
        <v>3160</v>
      </c>
      <c r="AE282" s="48">
        <v>4</v>
      </c>
      <c r="AG282" t="s">
        <v>1737</v>
      </c>
      <c r="AH282" s="54">
        <v>45962</v>
      </c>
      <c r="AI282" s="54">
        <v>0</v>
      </c>
      <c r="AJ282" s="54">
        <v>2626400</v>
      </c>
      <c r="AK282" s="54">
        <v>0</v>
      </c>
      <c r="AL282" t="s">
        <v>26</v>
      </c>
      <c r="AM282" t="s">
        <v>4249</v>
      </c>
    </row>
    <row r="283" spans="1:39" ht="11.25" customHeight="1" x14ac:dyDescent="0.2">
      <c r="A283" s="29" t="s">
        <v>2974</v>
      </c>
      <c r="B283" s="29" t="s">
        <v>3443</v>
      </c>
      <c r="C283" s="40">
        <v>45597</v>
      </c>
      <c r="D283" s="39" t="s">
        <v>3720</v>
      </c>
      <c r="E283" s="29" t="s">
        <v>1745</v>
      </c>
      <c r="F283" s="32">
        <v>45626</v>
      </c>
      <c r="G283" s="32">
        <v>45990</v>
      </c>
      <c r="H283" s="30" t="s">
        <v>4001</v>
      </c>
      <c r="I283" s="31">
        <v>3520232685667</v>
      </c>
      <c r="J283" s="47" t="s">
        <v>4224</v>
      </c>
      <c r="K283" s="29" t="s">
        <v>1747</v>
      </c>
      <c r="L283" s="29" t="s">
        <v>1748</v>
      </c>
      <c r="M283" s="29" t="s">
        <v>1749</v>
      </c>
      <c r="N283" s="29" t="s">
        <v>3443</v>
      </c>
      <c r="O283" s="29" t="s">
        <v>4013</v>
      </c>
      <c r="P283" s="29" t="s">
        <v>3154</v>
      </c>
      <c r="Q283" s="29" t="s">
        <v>3660</v>
      </c>
      <c r="R283" s="32">
        <v>44536</v>
      </c>
      <c r="S283" s="32">
        <v>46361</v>
      </c>
      <c r="T283" s="33">
        <v>1852000</v>
      </c>
      <c r="U283" s="29">
        <v>20</v>
      </c>
      <c r="V283" s="34">
        <f t="shared" si="12"/>
        <v>370400</v>
      </c>
      <c r="W283" s="34">
        <f t="shared" si="13"/>
        <v>1481600</v>
      </c>
      <c r="X283" s="35">
        <v>1.75</v>
      </c>
      <c r="Y283" s="34">
        <f t="shared" si="14"/>
        <v>25928.000000000004</v>
      </c>
      <c r="Z283" s="29"/>
      <c r="AA283" s="29" t="s">
        <v>4014</v>
      </c>
      <c r="AB283" s="29">
        <v>1141071867</v>
      </c>
      <c r="AC283" s="49">
        <v>45644</v>
      </c>
      <c r="AD283" s="48" t="s">
        <v>3160</v>
      </c>
      <c r="AE283" s="48">
        <v>4</v>
      </c>
      <c r="AG283" t="s">
        <v>1745</v>
      </c>
      <c r="AH283" s="54">
        <v>25928</v>
      </c>
      <c r="AI283" s="54">
        <v>0</v>
      </c>
      <c r="AJ283" s="54">
        <v>1481600</v>
      </c>
      <c r="AK283" s="54">
        <v>0</v>
      </c>
      <c r="AL283" t="s">
        <v>26</v>
      </c>
      <c r="AM283" t="s">
        <v>4249</v>
      </c>
    </row>
    <row r="284" spans="1:39" ht="11.25" customHeight="1" x14ac:dyDescent="0.2">
      <c r="A284" s="29" t="s">
        <v>2974</v>
      </c>
      <c r="B284" s="29" t="s">
        <v>3470</v>
      </c>
      <c r="C284" s="40">
        <v>45597</v>
      </c>
      <c r="D284" s="39" t="s">
        <v>3720</v>
      </c>
      <c r="E284" s="29" t="s">
        <v>1967</v>
      </c>
      <c r="F284" s="32">
        <v>45626</v>
      </c>
      <c r="G284" s="32">
        <v>45990</v>
      </c>
      <c r="H284" s="30" t="s">
        <v>4002</v>
      </c>
      <c r="I284" s="31">
        <v>3120115108609</v>
      </c>
      <c r="J284" s="47" t="s">
        <v>4185</v>
      </c>
      <c r="K284" s="29" t="s">
        <v>1969</v>
      </c>
      <c r="L284" s="29" t="s">
        <v>1970</v>
      </c>
      <c r="M284" s="29" t="s">
        <v>1971</v>
      </c>
      <c r="N284" s="29" t="s">
        <v>3470</v>
      </c>
      <c r="O284" s="29" t="s">
        <v>4013</v>
      </c>
      <c r="P284" s="29" t="s">
        <v>3176</v>
      </c>
      <c r="Q284" s="29" t="s">
        <v>3693</v>
      </c>
      <c r="R284" s="32">
        <v>44166</v>
      </c>
      <c r="S284" s="32">
        <v>46361</v>
      </c>
      <c r="T284" s="33">
        <v>2200000</v>
      </c>
      <c r="U284" s="29">
        <v>25</v>
      </c>
      <c r="V284" s="34">
        <f t="shared" si="12"/>
        <v>550000</v>
      </c>
      <c r="W284" s="34">
        <f t="shared" si="13"/>
        <v>1650000</v>
      </c>
      <c r="X284" s="35">
        <v>2.5</v>
      </c>
      <c r="Y284" s="34">
        <f t="shared" si="14"/>
        <v>41250</v>
      </c>
      <c r="Z284" s="29"/>
      <c r="AA284" s="29" t="s">
        <v>4014</v>
      </c>
      <c r="AB284" s="29">
        <v>1141071867</v>
      </c>
      <c r="AC284" s="49">
        <v>45644</v>
      </c>
      <c r="AD284" s="48" t="s">
        <v>3160</v>
      </c>
      <c r="AE284" s="48">
        <v>0</v>
      </c>
      <c r="AG284" t="s">
        <v>1967</v>
      </c>
      <c r="AH284" s="54">
        <v>41250</v>
      </c>
      <c r="AI284" s="54">
        <v>0</v>
      </c>
      <c r="AJ284" s="54">
        <v>1650000</v>
      </c>
      <c r="AK284" s="54">
        <v>0</v>
      </c>
      <c r="AL284" t="s">
        <v>26</v>
      </c>
      <c r="AM284" t="s">
        <v>4249</v>
      </c>
    </row>
    <row r="285" spans="1:39" ht="11.25" customHeight="1" x14ac:dyDescent="0.2">
      <c r="A285" s="29" t="s">
        <v>2974</v>
      </c>
      <c r="B285" s="29" t="s">
        <v>3473</v>
      </c>
      <c r="C285" s="40">
        <v>45597</v>
      </c>
      <c r="D285" s="39" t="s">
        <v>3720</v>
      </c>
      <c r="E285" s="29" t="s">
        <v>1991</v>
      </c>
      <c r="F285" s="32">
        <v>45626</v>
      </c>
      <c r="G285" s="32">
        <v>45990</v>
      </c>
      <c r="H285" s="30" t="s">
        <v>3875</v>
      </c>
      <c r="I285" s="31">
        <v>3520181854437</v>
      </c>
      <c r="J285" s="47" t="s">
        <v>4194</v>
      </c>
      <c r="K285" s="29"/>
      <c r="L285" s="29" t="s">
        <v>1993</v>
      </c>
      <c r="M285" s="29" t="s">
        <v>1994</v>
      </c>
      <c r="N285" s="29" t="s">
        <v>3473</v>
      </c>
      <c r="O285" s="29" t="s">
        <v>4013</v>
      </c>
      <c r="P285" s="29" t="s">
        <v>3154</v>
      </c>
      <c r="Q285" s="29" t="s">
        <v>3697</v>
      </c>
      <c r="R285" s="32">
        <v>44166</v>
      </c>
      <c r="S285" s="32">
        <v>45996</v>
      </c>
      <c r="T285" s="33">
        <v>1633000</v>
      </c>
      <c r="U285" s="29">
        <v>25</v>
      </c>
      <c r="V285" s="34">
        <f t="shared" si="12"/>
        <v>408250</v>
      </c>
      <c r="W285" s="34">
        <f t="shared" si="13"/>
        <v>1224750</v>
      </c>
      <c r="X285" s="35">
        <v>2.5</v>
      </c>
      <c r="Y285" s="34">
        <f t="shared" si="14"/>
        <v>30618.75</v>
      </c>
      <c r="Z285" s="29"/>
      <c r="AA285" s="29" t="s">
        <v>4014</v>
      </c>
      <c r="AB285" s="29">
        <v>1141071867</v>
      </c>
      <c r="AC285" s="49">
        <v>45644</v>
      </c>
      <c r="AD285" s="48" t="s">
        <v>3160</v>
      </c>
      <c r="AE285" s="48">
        <v>4</v>
      </c>
      <c r="AG285" t="s">
        <v>1991</v>
      </c>
      <c r="AH285" s="54">
        <v>30619</v>
      </c>
      <c r="AI285" s="54">
        <v>0.25</v>
      </c>
      <c r="AJ285" s="54">
        <v>1224750</v>
      </c>
      <c r="AK285" s="54">
        <v>0</v>
      </c>
      <c r="AL285" t="s">
        <v>26</v>
      </c>
      <c r="AM285" t="s">
        <v>4249</v>
      </c>
    </row>
    <row r="286" spans="1:39" ht="11.25" customHeight="1" x14ac:dyDescent="0.2">
      <c r="A286" s="29" t="s">
        <v>2974</v>
      </c>
      <c r="B286" s="29" t="s">
        <v>3474</v>
      </c>
      <c r="C286" s="40">
        <v>45597</v>
      </c>
      <c r="D286" s="39" t="s">
        <v>3720</v>
      </c>
      <c r="E286" s="29" t="s">
        <v>1998</v>
      </c>
      <c r="F286" s="32">
        <v>45626</v>
      </c>
      <c r="G286" s="32">
        <v>45990</v>
      </c>
      <c r="H286" s="30" t="s">
        <v>4003</v>
      </c>
      <c r="I286" s="31">
        <v>3540118033389</v>
      </c>
      <c r="J286" s="47" t="s">
        <v>4190</v>
      </c>
      <c r="K286" s="29"/>
      <c r="L286" s="29" t="s">
        <v>2000</v>
      </c>
      <c r="M286" s="29" t="s">
        <v>2001</v>
      </c>
      <c r="N286" s="29" t="s">
        <v>3474</v>
      </c>
      <c r="O286" s="29" t="s">
        <v>4013</v>
      </c>
      <c r="P286" s="29" t="s">
        <v>3695</v>
      </c>
      <c r="Q286" s="29" t="s">
        <v>3698</v>
      </c>
      <c r="R286" s="32">
        <v>44166</v>
      </c>
      <c r="S286" s="32">
        <v>45996</v>
      </c>
      <c r="T286" s="33">
        <v>2525000</v>
      </c>
      <c r="U286" s="29">
        <v>25</v>
      </c>
      <c r="V286" s="34">
        <f t="shared" si="12"/>
        <v>631250</v>
      </c>
      <c r="W286" s="34">
        <f t="shared" si="13"/>
        <v>1893750</v>
      </c>
      <c r="X286" s="35">
        <v>2.5</v>
      </c>
      <c r="Y286" s="34">
        <f t="shared" si="14"/>
        <v>47343.75</v>
      </c>
      <c r="Z286" s="29"/>
      <c r="AA286" s="29" t="s">
        <v>4014</v>
      </c>
      <c r="AB286" s="29">
        <v>1141071867</v>
      </c>
      <c r="AC286" s="49">
        <v>45644</v>
      </c>
      <c r="AD286" s="48" t="s">
        <v>3160</v>
      </c>
      <c r="AE286" s="48">
        <v>0</v>
      </c>
      <c r="AG286" t="s">
        <v>1998</v>
      </c>
      <c r="AH286" s="54">
        <v>47344</v>
      </c>
      <c r="AI286" s="54">
        <v>0.25</v>
      </c>
      <c r="AJ286" s="54">
        <v>1893750</v>
      </c>
      <c r="AK286" s="54">
        <v>0</v>
      </c>
      <c r="AL286" t="s">
        <v>26</v>
      </c>
      <c r="AM286" t="s">
        <v>4249</v>
      </c>
    </row>
    <row r="287" spans="1:39" ht="11.25" customHeight="1" x14ac:dyDescent="0.2">
      <c r="A287" s="29" t="s">
        <v>2974</v>
      </c>
      <c r="B287" s="29" t="s">
        <v>3475</v>
      </c>
      <c r="C287" s="40">
        <v>45597</v>
      </c>
      <c r="D287" s="39" t="s">
        <v>3720</v>
      </c>
      <c r="E287" s="29" t="s">
        <v>2005</v>
      </c>
      <c r="F287" s="32">
        <v>45626</v>
      </c>
      <c r="G287" s="32">
        <v>45990</v>
      </c>
      <c r="H287" s="30" t="s">
        <v>4004</v>
      </c>
      <c r="I287" s="31">
        <v>3210295499691</v>
      </c>
      <c r="J287" s="47" t="s">
        <v>4180</v>
      </c>
      <c r="K287" s="29"/>
      <c r="L287" s="29" t="s">
        <v>2007</v>
      </c>
      <c r="M287" s="29" t="s">
        <v>2008</v>
      </c>
      <c r="N287" s="29" t="s">
        <v>3475</v>
      </c>
      <c r="O287" s="29" t="s">
        <v>4013</v>
      </c>
      <c r="P287" s="29" t="s">
        <v>3216</v>
      </c>
      <c r="Q287" s="29" t="s">
        <v>3699</v>
      </c>
      <c r="R287" s="32">
        <v>44166</v>
      </c>
      <c r="S287" s="32">
        <v>45996</v>
      </c>
      <c r="T287" s="33">
        <v>1433000</v>
      </c>
      <c r="U287" s="29">
        <v>25</v>
      </c>
      <c r="V287" s="34">
        <f t="shared" si="12"/>
        <v>358250</v>
      </c>
      <c r="W287" s="34">
        <f t="shared" si="13"/>
        <v>1074750</v>
      </c>
      <c r="X287" s="35">
        <v>2.5</v>
      </c>
      <c r="Y287" s="34">
        <f t="shared" si="14"/>
        <v>26868.75</v>
      </c>
      <c r="Z287" s="29"/>
      <c r="AA287" s="29" t="s">
        <v>4014</v>
      </c>
      <c r="AB287" s="29">
        <v>1141071867</v>
      </c>
      <c r="AC287" s="49">
        <v>45644</v>
      </c>
      <c r="AD287" s="48" t="s">
        <v>3160</v>
      </c>
      <c r="AE287" s="48">
        <v>34</v>
      </c>
      <c r="AG287" t="s">
        <v>2005</v>
      </c>
      <c r="AH287" s="54">
        <v>26869</v>
      </c>
      <c r="AI287" s="54">
        <v>0.25</v>
      </c>
      <c r="AJ287" s="54">
        <v>1074750</v>
      </c>
      <c r="AK287" s="54">
        <v>0</v>
      </c>
      <c r="AL287" t="s">
        <v>26</v>
      </c>
      <c r="AM287" t="s">
        <v>4249</v>
      </c>
    </row>
    <row r="288" spans="1:39" ht="11.25" customHeight="1" x14ac:dyDescent="0.2">
      <c r="A288" s="29" t="s">
        <v>2974</v>
      </c>
      <c r="B288" s="29" t="s">
        <v>3476</v>
      </c>
      <c r="C288" s="40">
        <v>45597</v>
      </c>
      <c r="D288" s="39" t="s">
        <v>3720</v>
      </c>
      <c r="E288" s="29" t="s">
        <v>2012</v>
      </c>
      <c r="F288" s="32">
        <v>45626</v>
      </c>
      <c r="G288" s="32">
        <v>45990</v>
      </c>
      <c r="H288" s="30" t="s">
        <v>3888</v>
      </c>
      <c r="I288" s="31">
        <v>3520105896895</v>
      </c>
      <c r="J288" s="47" t="s">
        <v>665</v>
      </c>
      <c r="K288" s="29" t="s">
        <v>2015</v>
      </c>
      <c r="L288" s="29" t="s">
        <v>2016</v>
      </c>
      <c r="M288" s="29" t="s">
        <v>2017</v>
      </c>
      <c r="N288" s="29" t="s">
        <v>3476</v>
      </c>
      <c r="O288" s="29" t="s">
        <v>4013</v>
      </c>
      <c r="P288" s="29" t="s">
        <v>3154</v>
      </c>
      <c r="Q288" s="29" t="s">
        <v>3700</v>
      </c>
      <c r="R288" s="32">
        <v>44167</v>
      </c>
      <c r="S288" s="32">
        <v>46727</v>
      </c>
      <c r="T288" s="33">
        <v>5430000</v>
      </c>
      <c r="U288" s="29">
        <v>25</v>
      </c>
      <c r="V288" s="34">
        <f t="shared" si="12"/>
        <v>1357500</v>
      </c>
      <c r="W288" s="34">
        <f t="shared" si="13"/>
        <v>4072500</v>
      </c>
      <c r="X288" s="35">
        <v>1.5</v>
      </c>
      <c r="Y288" s="34">
        <f t="shared" si="14"/>
        <v>61087.5</v>
      </c>
      <c r="Z288" s="29"/>
      <c r="AA288" s="29" t="s">
        <v>4014</v>
      </c>
      <c r="AB288" s="29">
        <v>1141071867</v>
      </c>
      <c r="AC288" s="49">
        <v>45644</v>
      </c>
      <c r="AD288" s="48" t="s">
        <v>3160</v>
      </c>
      <c r="AE288" s="48">
        <v>4</v>
      </c>
      <c r="AG288" t="s">
        <v>2012</v>
      </c>
      <c r="AH288" s="54">
        <v>61088</v>
      </c>
      <c r="AI288" s="54">
        <v>0.5</v>
      </c>
      <c r="AJ288" s="54">
        <v>4072500</v>
      </c>
      <c r="AK288" s="54">
        <v>0</v>
      </c>
      <c r="AL288" t="s">
        <v>26</v>
      </c>
      <c r="AM288" t="s">
        <v>4249</v>
      </c>
    </row>
    <row r="289" spans="1:39" ht="11.25" customHeight="1" x14ac:dyDescent="0.2">
      <c r="A289" s="29" t="s">
        <v>2974</v>
      </c>
      <c r="B289" s="29" t="s">
        <v>3477</v>
      </c>
      <c r="C289" s="40">
        <v>45597</v>
      </c>
      <c r="D289" s="39" t="s">
        <v>3720</v>
      </c>
      <c r="E289" s="29" t="s">
        <v>2021</v>
      </c>
      <c r="F289" s="32">
        <v>45626</v>
      </c>
      <c r="G289" s="32">
        <v>45990</v>
      </c>
      <c r="H289" s="30" t="s">
        <v>4005</v>
      </c>
      <c r="I289" s="31">
        <v>3120342655745</v>
      </c>
      <c r="J289" s="47" t="s">
        <v>4223</v>
      </c>
      <c r="K289" s="29" t="s">
        <v>2024</v>
      </c>
      <c r="L289" s="29" t="s">
        <v>2025</v>
      </c>
      <c r="M289" s="29" t="s">
        <v>2026</v>
      </c>
      <c r="N289" s="29" t="s">
        <v>3477</v>
      </c>
      <c r="O289" s="29" t="s">
        <v>4013</v>
      </c>
      <c r="P289" s="29" t="s">
        <v>3154</v>
      </c>
      <c r="Q289" s="29" t="s">
        <v>3701</v>
      </c>
      <c r="R289" s="32">
        <v>44166</v>
      </c>
      <c r="S289" s="32">
        <v>46727</v>
      </c>
      <c r="T289" s="33">
        <v>1435000</v>
      </c>
      <c r="U289" s="29">
        <v>25</v>
      </c>
      <c r="V289" s="34">
        <f t="shared" si="12"/>
        <v>358750</v>
      </c>
      <c r="W289" s="34">
        <f t="shared" si="13"/>
        <v>1076250</v>
      </c>
      <c r="X289" s="35">
        <v>2.5</v>
      </c>
      <c r="Y289" s="34">
        <f t="shared" si="14"/>
        <v>26906.25</v>
      </c>
      <c r="Z289" s="29"/>
      <c r="AA289" s="29" t="s">
        <v>4014</v>
      </c>
      <c r="AB289" s="29">
        <v>1141071867</v>
      </c>
      <c r="AC289" s="49">
        <v>45644</v>
      </c>
      <c r="AD289" s="48" t="s">
        <v>3160</v>
      </c>
      <c r="AE289" s="48">
        <v>4</v>
      </c>
      <c r="AG289" t="s">
        <v>2021</v>
      </c>
      <c r="AH289" s="54">
        <v>26906</v>
      </c>
      <c r="AI289" s="54">
        <v>-0.25</v>
      </c>
      <c r="AJ289" s="54">
        <v>1076250</v>
      </c>
      <c r="AK289" s="54">
        <v>0</v>
      </c>
      <c r="AL289" t="s">
        <v>26</v>
      </c>
      <c r="AM289" t="s">
        <v>4249</v>
      </c>
    </row>
    <row r="290" spans="1:39" ht="11.25" customHeight="1" x14ac:dyDescent="0.2">
      <c r="A290" s="29" t="s">
        <v>2974</v>
      </c>
      <c r="B290" s="29" t="s">
        <v>3478</v>
      </c>
      <c r="C290" s="40">
        <v>45597</v>
      </c>
      <c r="D290" s="39" t="s">
        <v>3720</v>
      </c>
      <c r="E290" s="29" t="s">
        <v>2030</v>
      </c>
      <c r="F290" s="32">
        <v>45626</v>
      </c>
      <c r="G290" s="32">
        <v>45990</v>
      </c>
      <c r="H290" s="30" t="s">
        <v>4006</v>
      </c>
      <c r="I290" s="31">
        <v>3520246686773</v>
      </c>
      <c r="J290" s="47" t="s">
        <v>4224</v>
      </c>
      <c r="K290" s="29" t="s">
        <v>2032</v>
      </c>
      <c r="L290" s="29" t="s">
        <v>2033</v>
      </c>
      <c r="M290" s="29" t="s">
        <v>2034</v>
      </c>
      <c r="N290" s="29" t="s">
        <v>3478</v>
      </c>
      <c r="O290" s="29" t="s">
        <v>4013</v>
      </c>
      <c r="P290" s="29" t="s">
        <v>3154</v>
      </c>
      <c r="Q290" s="29" t="s">
        <v>3702</v>
      </c>
      <c r="R290" s="32">
        <v>44167</v>
      </c>
      <c r="S290" s="32">
        <v>45996</v>
      </c>
      <c r="T290" s="33">
        <v>1175000</v>
      </c>
      <c r="U290" s="29">
        <v>25</v>
      </c>
      <c r="V290" s="34">
        <f t="shared" si="12"/>
        <v>293750</v>
      </c>
      <c r="W290" s="34">
        <f t="shared" si="13"/>
        <v>881250</v>
      </c>
      <c r="X290" s="35">
        <v>2.5</v>
      </c>
      <c r="Y290" s="34">
        <f t="shared" si="14"/>
        <v>22031.25</v>
      </c>
      <c r="Z290" s="29"/>
      <c r="AA290" s="29" t="s">
        <v>4014</v>
      </c>
      <c r="AB290" s="29">
        <v>1141071867</v>
      </c>
      <c r="AC290" s="49">
        <v>45644</v>
      </c>
      <c r="AD290" s="48" t="s">
        <v>3160</v>
      </c>
      <c r="AE290" s="48">
        <v>4</v>
      </c>
      <c r="AG290" t="s">
        <v>2030</v>
      </c>
      <c r="AH290" s="54">
        <v>22031</v>
      </c>
      <c r="AI290" s="54">
        <v>-0.25</v>
      </c>
      <c r="AJ290" s="54">
        <v>881250</v>
      </c>
      <c r="AK290" s="54">
        <v>0</v>
      </c>
      <c r="AL290" t="s">
        <v>26</v>
      </c>
      <c r="AM290" t="s">
        <v>4249</v>
      </c>
    </row>
    <row r="291" spans="1:39" ht="11.25" customHeight="1" x14ac:dyDescent="0.2">
      <c r="A291" s="29" t="s">
        <v>2974</v>
      </c>
      <c r="B291" s="29" t="s">
        <v>3479</v>
      </c>
      <c r="C291" s="40">
        <v>45597</v>
      </c>
      <c r="D291" s="39" t="s">
        <v>3720</v>
      </c>
      <c r="E291" s="29" t="s">
        <v>2038</v>
      </c>
      <c r="F291" s="32">
        <v>45626</v>
      </c>
      <c r="G291" s="32">
        <v>45990</v>
      </c>
      <c r="H291" s="30" t="s">
        <v>4007</v>
      </c>
      <c r="I291" s="31">
        <v>3520107311885</v>
      </c>
      <c r="J291" s="47" t="s">
        <v>4195</v>
      </c>
      <c r="K291" s="29" t="s">
        <v>2040</v>
      </c>
      <c r="L291" s="29" t="s">
        <v>2041</v>
      </c>
      <c r="M291" s="29" t="s">
        <v>2042</v>
      </c>
      <c r="N291" s="29" t="s">
        <v>3479</v>
      </c>
      <c r="O291" s="29" t="s">
        <v>4013</v>
      </c>
      <c r="P291" s="29" t="s">
        <v>3154</v>
      </c>
      <c r="Q291" s="29" t="s">
        <v>3703</v>
      </c>
      <c r="R291" s="32">
        <v>44166</v>
      </c>
      <c r="S291" s="32">
        <v>45996</v>
      </c>
      <c r="T291" s="33">
        <v>2763000</v>
      </c>
      <c r="U291" s="29">
        <v>25</v>
      </c>
      <c r="V291" s="34">
        <f t="shared" si="12"/>
        <v>690750</v>
      </c>
      <c r="W291" s="34">
        <f t="shared" si="13"/>
        <v>2072250</v>
      </c>
      <c r="X291" s="35">
        <v>2.5</v>
      </c>
      <c r="Y291" s="34">
        <f t="shared" si="14"/>
        <v>51806.25</v>
      </c>
      <c r="Z291" s="29"/>
      <c r="AA291" s="29" t="s">
        <v>4014</v>
      </c>
      <c r="AB291" s="29">
        <v>1141071867</v>
      </c>
      <c r="AC291" s="49">
        <v>45644</v>
      </c>
      <c r="AD291" s="48" t="s">
        <v>3160</v>
      </c>
      <c r="AE291" s="48">
        <v>4</v>
      </c>
      <c r="AG291" t="s">
        <v>2038</v>
      </c>
      <c r="AH291" s="54">
        <v>51806</v>
      </c>
      <c r="AI291" s="54">
        <v>-0.25</v>
      </c>
      <c r="AJ291" s="54">
        <v>2072250</v>
      </c>
      <c r="AK291" s="54">
        <v>0</v>
      </c>
      <c r="AL291" t="s">
        <v>26</v>
      </c>
      <c r="AM291" t="s">
        <v>4249</v>
      </c>
    </row>
    <row r="292" spans="1:39" ht="11.25" customHeight="1" x14ac:dyDescent="0.2">
      <c r="A292" s="29" t="s">
        <v>2974</v>
      </c>
      <c r="B292" s="29" t="s">
        <v>3483</v>
      </c>
      <c r="C292" s="40">
        <v>45597</v>
      </c>
      <c r="D292" s="39" t="s">
        <v>3720</v>
      </c>
      <c r="E292" s="29" t="s">
        <v>2100</v>
      </c>
      <c r="F292" s="32">
        <v>45626</v>
      </c>
      <c r="G292" s="32">
        <v>45990</v>
      </c>
      <c r="H292" s="30" t="s">
        <v>3937</v>
      </c>
      <c r="I292" s="31">
        <v>3540170789463</v>
      </c>
      <c r="J292" s="47" t="s">
        <v>4185</v>
      </c>
      <c r="K292" s="29"/>
      <c r="L292" s="29" t="s">
        <v>2101</v>
      </c>
      <c r="M292" s="29" t="s">
        <v>2102</v>
      </c>
      <c r="N292" s="29" t="s">
        <v>3483</v>
      </c>
      <c r="O292" s="29" t="s">
        <v>4013</v>
      </c>
      <c r="P292" s="29" t="s">
        <v>3154</v>
      </c>
      <c r="Q292" s="29" t="s">
        <v>3712</v>
      </c>
      <c r="R292" s="32">
        <v>44531</v>
      </c>
      <c r="S292" s="32">
        <v>46361</v>
      </c>
      <c r="T292" s="33">
        <v>2805000</v>
      </c>
      <c r="U292" s="29">
        <v>20</v>
      </c>
      <c r="V292" s="34">
        <f t="shared" si="12"/>
        <v>561000</v>
      </c>
      <c r="W292" s="34">
        <f t="shared" si="13"/>
        <v>2244000</v>
      </c>
      <c r="X292" s="35">
        <v>1.75</v>
      </c>
      <c r="Y292" s="34">
        <f t="shared" si="14"/>
        <v>39270.000000000007</v>
      </c>
      <c r="Z292" s="29"/>
      <c r="AA292" s="29" t="s">
        <v>4014</v>
      </c>
      <c r="AB292" s="29">
        <v>1141071867</v>
      </c>
      <c r="AC292" s="49">
        <v>45644</v>
      </c>
      <c r="AD292" s="48" t="s">
        <v>3160</v>
      </c>
      <c r="AE292" s="48">
        <v>0</v>
      </c>
      <c r="AG292" t="s">
        <v>2100</v>
      </c>
      <c r="AH292" s="54">
        <v>39270</v>
      </c>
      <c r="AI292" s="54">
        <v>0</v>
      </c>
      <c r="AJ292" s="54">
        <v>2244000</v>
      </c>
      <c r="AK292" s="54">
        <v>0</v>
      </c>
      <c r="AL292" t="s">
        <v>26</v>
      </c>
      <c r="AM292" t="s">
        <v>4249</v>
      </c>
    </row>
    <row r="293" spans="1:39" ht="11.25" customHeight="1" x14ac:dyDescent="0.2">
      <c r="A293" s="29" t="s">
        <v>2974</v>
      </c>
      <c r="B293" s="29" t="s">
        <v>3481</v>
      </c>
      <c r="C293" s="40">
        <v>45597</v>
      </c>
      <c r="D293" s="39" t="s">
        <v>3720</v>
      </c>
      <c r="E293" s="29" t="s">
        <v>2053</v>
      </c>
      <c r="F293" s="32">
        <v>45627</v>
      </c>
      <c r="G293" s="32">
        <v>45991</v>
      </c>
      <c r="H293" s="30" t="s">
        <v>4008</v>
      </c>
      <c r="I293" s="31">
        <v>3520061158937</v>
      </c>
      <c r="J293" s="47" t="s">
        <v>4185</v>
      </c>
      <c r="K293" s="29" t="s">
        <v>2055</v>
      </c>
      <c r="L293" s="29" t="s">
        <v>2056</v>
      </c>
      <c r="M293" s="29" t="s">
        <v>2057</v>
      </c>
      <c r="N293" s="29" t="s">
        <v>3481</v>
      </c>
      <c r="O293" s="29" t="s">
        <v>4013</v>
      </c>
      <c r="P293" s="29" t="s">
        <v>3154</v>
      </c>
      <c r="Q293" s="29" t="s">
        <v>3706</v>
      </c>
      <c r="R293" s="32">
        <v>44168</v>
      </c>
      <c r="S293" s="32">
        <v>46361</v>
      </c>
      <c r="T293" s="33">
        <v>2645000</v>
      </c>
      <c r="U293" s="29">
        <v>25</v>
      </c>
      <c r="V293" s="34">
        <f t="shared" si="12"/>
        <v>661250</v>
      </c>
      <c r="W293" s="34">
        <f t="shared" si="13"/>
        <v>1983750</v>
      </c>
      <c r="X293" s="35">
        <v>2.5</v>
      </c>
      <c r="Y293" s="34">
        <f t="shared" si="14"/>
        <v>49593.75</v>
      </c>
      <c r="Z293" s="29"/>
      <c r="AA293" s="29" t="s">
        <v>4014</v>
      </c>
      <c r="AB293" s="29">
        <v>1141071867</v>
      </c>
      <c r="AC293" s="49">
        <v>45644</v>
      </c>
      <c r="AD293" s="48" t="s">
        <v>3160</v>
      </c>
      <c r="AE293" s="48">
        <v>0</v>
      </c>
      <c r="AG293" t="s">
        <v>2053</v>
      </c>
      <c r="AH293" s="54">
        <v>49594</v>
      </c>
      <c r="AI293" s="54">
        <v>0.25</v>
      </c>
      <c r="AJ293" s="54">
        <v>1983750</v>
      </c>
      <c r="AK293" s="54">
        <v>0</v>
      </c>
      <c r="AL293" t="s">
        <v>26</v>
      </c>
      <c r="AM293" t="s">
        <v>4249</v>
      </c>
    </row>
    <row r="294" spans="1:39" ht="11.25" customHeight="1" x14ac:dyDescent="0.2">
      <c r="A294" s="29" t="s">
        <v>2974</v>
      </c>
      <c r="B294" s="29" t="s">
        <v>3482</v>
      </c>
      <c r="C294" s="40">
        <v>45597</v>
      </c>
      <c r="D294" s="39" t="s">
        <v>3720</v>
      </c>
      <c r="E294" s="29" t="s">
        <v>2061</v>
      </c>
      <c r="F294" s="32">
        <v>45627</v>
      </c>
      <c r="G294" s="32">
        <v>45991</v>
      </c>
      <c r="H294" s="30" t="s">
        <v>4009</v>
      </c>
      <c r="I294" s="31">
        <v>3120170904149</v>
      </c>
      <c r="J294" s="47" t="s">
        <v>4225</v>
      </c>
      <c r="K294" s="29" t="s">
        <v>2063</v>
      </c>
      <c r="L294" s="29" t="s">
        <v>2064</v>
      </c>
      <c r="M294" s="29" t="s">
        <v>2065</v>
      </c>
      <c r="N294" s="29" t="s">
        <v>3482</v>
      </c>
      <c r="O294" s="29" t="s">
        <v>4013</v>
      </c>
      <c r="P294" s="29" t="s">
        <v>3176</v>
      </c>
      <c r="Q294" s="29" t="s">
        <v>3707</v>
      </c>
      <c r="R294" s="32">
        <v>44175</v>
      </c>
      <c r="S294" s="32">
        <v>45996</v>
      </c>
      <c r="T294" s="33">
        <v>4134500</v>
      </c>
      <c r="U294" s="29">
        <v>25</v>
      </c>
      <c r="V294" s="34">
        <f t="shared" si="12"/>
        <v>1033625</v>
      </c>
      <c r="W294" s="34">
        <f t="shared" si="13"/>
        <v>3100875</v>
      </c>
      <c r="X294" s="35">
        <v>1.5</v>
      </c>
      <c r="Y294" s="34">
        <f t="shared" si="14"/>
        <v>46513.125</v>
      </c>
      <c r="Z294" s="29"/>
      <c r="AA294" s="29" t="s">
        <v>4014</v>
      </c>
      <c r="AB294" s="29">
        <v>1141071867</v>
      </c>
      <c r="AC294" s="49">
        <v>45644</v>
      </c>
      <c r="AD294" s="48" t="s">
        <v>3160</v>
      </c>
      <c r="AE294" s="48">
        <v>4</v>
      </c>
      <c r="AG294" t="s">
        <v>2061</v>
      </c>
      <c r="AH294" s="54">
        <v>46513</v>
      </c>
      <c r="AI294" s="54">
        <v>-0.125</v>
      </c>
      <c r="AJ294" s="54">
        <v>3100875</v>
      </c>
      <c r="AK294" s="54">
        <v>0</v>
      </c>
      <c r="AL294" t="s">
        <v>26</v>
      </c>
      <c r="AM294" t="s">
        <v>4249</v>
      </c>
    </row>
    <row r="295" spans="1:39" ht="11.25" customHeight="1" x14ac:dyDescent="0.2">
      <c r="A295" s="29" t="s">
        <v>2974</v>
      </c>
      <c r="B295" s="38" t="s">
        <v>3286</v>
      </c>
      <c r="C295" s="40">
        <v>45597</v>
      </c>
      <c r="D295" s="39" t="s">
        <v>3720</v>
      </c>
      <c r="E295" s="29" t="s">
        <v>2069</v>
      </c>
      <c r="F295" s="32">
        <v>45627</v>
      </c>
      <c r="G295" s="32">
        <v>45991</v>
      </c>
      <c r="H295" s="30" t="s">
        <v>4010</v>
      </c>
      <c r="I295" s="31">
        <v>3520267881799</v>
      </c>
      <c r="J295" s="47" t="s">
        <v>4240</v>
      </c>
      <c r="K295" s="29" t="s">
        <v>2071</v>
      </c>
      <c r="L295" s="29" t="s">
        <v>2072</v>
      </c>
      <c r="M295" s="29" t="s">
        <v>2073</v>
      </c>
      <c r="N295" s="38" t="s">
        <v>3286</v>
      </c>
      <c r="O295" s="29" t="s">
        <v>4013</v>
      </c>
      <c r="P295" s="29" t="s">
        <v>3188</v>
      </c>
      <c r="Q295" s="29" t="s">
        <v>3708</v>
      </c>
      <c r="R295" s="32">
        <v>44536</v>
      </c>
      <c r="S295" s="32">
        <v>46361</v>
      </c>
      <c r="T295" s="33">
        <v>3200000</v>
      </c>
      <c r="U295" s="29">
        <v>20</v>
      </c>
      <c r="V295" s="34">
        <f t="shared" si="12"/>
        <v>640000</v>
      </c>
      <c r="W295" s="34">
        <f t="shared" si="13"/>
        <v>2560000</v>
      </c>
      <c r="X295" s="35">
        <v>1.75</v>
      </c>
      <c r="Y295" s="34">
        <f t="shared" si="14"/>
        <v>44800.000000000007</v>
      </c>
      <c r="Z295" s="29"/>
      <c r="AA295" s="29" t="s">
        <v>4014</v>
      </c>
      <c r="AB295" s="29">
        <v>1141071867</v>
      </c>
      <c r="AC295" s="49">
        <v>45644</v>
      </c>
      <c r="AD295" s="48" t="s">
        <v>3160</v>
      </c>
      <c r="AE295" s="48">
        <v>4</v>
      </c>
      <c r="AG295" t="s">
        <v>2069</v>
      </c>
      <c r="AH295" s="54">
        <v>44800</v>
      </c>
      <c r="AI295" s="54">
        <v>0</v>
      </c>
      <c r="AJ295" s="54">
        <v>2560000</v>
      </c>
      <c r="AK295" s="54">
        <v>0</v>
      </c>
      <c r="AL295" t="s">
        <v>26</v>
      </c>
      <c r="AM295" t="s">
        <v>4249</v>
      </c>
    </row>
    <row r="296" spans="1:39" ht="11.25" customHeight="1" x14ac:dyDescent="0.2">
      <c r="A296" s="29" t="s">
        <v>2974</v>
      </c>
      <c r="B296" s="38" t="s">
        <v>3287</v>
      </c>
      <c r="C296" s="40">
        <v>45597</v>
      </c>
      <c r="D296" s="39" t="s">
        <v>3720</v>
      </c>
      <c r="E296" s="29" t="s">
        <v>2077</v>
      </c>
      <c r="F296" s="32">
        <v>45627</v>
      </c>
      <c r="G296" s="32">
        <v>45991</v>
      </c>
      <c r="H296" s="30" t="s">
        <v>4011</v>
      </c>
      <c r="I296" s="31">
        <v>3310015343467</v>
      </c>
      <c r="J296" s="47" t="s">
        <v>4224</v>
      </c>
      <c r="K296" s="29"/>
      <c r="L296" s="29" t="s">
        <v>2079</v>
      </c>
      <c r="M296" s="29" t="s">
        <v>2080</v>
      </c>
      <c r="N296" s="38" t="s">
        <v>3287</v>
      </c>
      <c r="O296" s="29" t="s">
        <v>4013</v>
      </c>
      <c r="P296" s="29" t="s">
        <v>3172</v>
      </c>
      <c r="Q296" s="29" t="s">
        <v>3709</v>
      </c>
      <c r="R296" s="32">
        <v>44538</v>
      </c>
      <c r="S296" s="32">
        <v>46361</v>
      </c>
      <c r="T296" s="33">
        <v>1610000</v>
      </c>
      <c r="U296" s="29">
        <v>20</v>
      </c>
      <c r="V296" s="34">
        <f t="shared" si="12"/>
        <v>322000</v>
      </c>
      <c r="W296" s="34">
        <f t="shared" si="13"/>
        <v>1288000</v>
      </c>
      <c r="X296" s="35">
        <v>2.5</v>
      </c>
      <c r="Y296" s="34">
        <f t="shared" si="14"/>
        <v>32200</v>
      </c>
      <c r="Z296" s="29"/>
      <c r="AA296" s="29" t="s">
        <v>4014</v>
      </c>
      <c r="AB296" s="29">
        <v>1141071867</v>
      </c>
      <c r="AC296" s="49">
        <v>45644</v>
      </c>
      <c r="AD296" s="48" t="s">
        <v>3160</v>
      </c>
      <c r="AE296" s="48">
        <v>4</v>
      </c>
      <c r="AG296" t="s">
        <v>2077</v>
      </c>
      <c r="AH296" s="54">
        <v>32200</v>
      </c>
      <c r="AI296" s="54">
        <v>0</v>
      </c>
      <c r="AJ296" s="54">
        <v>1288000</v>
      </c>
      <c r="AK296" s="54">
        <v>0</v>
      </c>
      <c r="AL296" t="s">
        <v>26</v>
      </c>
      <c r="AM296" t="s">
        <v>4249</v>
      </c>
    </row>
    <row r="297" spans="1:39" ht="11.25" customHeight="1" x14ac:dyDescent="0.2">
      <c r="A297" s="29" t="s">
        <v>2974</v>
      </c>
      <c r="B297" s="38" t="s">
        <v>3289</v>
      </c>
      <c r="C297" s="40">
        <v>45597</v>
      </c>
      <c r="D297" s="39" t="s">
        <v>3720</v>
      </c>
      <c r="E297" s="29" t="s">
        <v>2092</v>
      </c>
      <c r="F297" s="32">
        <v>45627</v>
      </c>
      <c r="G297" s="32">
        <v>45991</v>
      </c>
      <c r="H297" s="30" t="s">
        <v>4012</v>
      </c>
      <c r="I297" s="31">
        <v>3310028219157</v>
      </c>
      <c r="J297" s="47" t="s">
        <v>4213</v>
      </c>
      <c r="K297" s="29" t="s">
        <v>2094</v>
      </c>
      <c r="L297" s="29" t="s">
        <v>2095</v>
      </c>
      <c r="M297" s="29" t="s">
        <v>2096</v>
      </c>
      <c r="N297" s="38" t="s">
        <v>3289</v>
      </c>
      <c r="O297" s="29" t="s">
        <v>4013</v>
      </c>
      <c r="P297" s="29" t="s">
        <v>3172</v>
      </c>
      <c r="Q297" s="29" t="s">
        <v>3711</v>
      </c>
      <c r="R297" s="32">
        <v>44904</v>
      </c>
      <c r="S297" s="32">
        <v>46727</v>
      </c>
      <c r="T297" s="33">
        <v>1425000</v>
      </c>
      <c r="U297" s="29">
        <v>15</v>
      </c>
      <c r="V297" s="34">
        <f t="shared" si="12"/>
        <v>213750</v>
      </c>
      <c r="W297" s="34">
        <f t="shared" si="13"/>
        <v>1211250</v>
      </c>
      <c r="X297" s="35">
        <v>2.5</v>
      </c>
      <c r="Y297" s="34">
        <f t="shared" si="14"/>
        <v>30281.25</v>
      </c>
      <c r="Z297" s="29"/>
      <c r="AA297" s="29" t="s">
        <v>4014</v>
      </c>
      <c r="AB297" s="29">
        <v>1141071867</v>
      </c>
      <c r="AC297" s="49">
        <v>45644</v>
      </c>
      <c r="AD297" s="48" t="s">
        <v>3160</v>
      </c>
      <c r="AE297" s="48">
        <v>4</v>
      </c>
      <c r="AG297" t="s">
        <v>2092</v>
      </c>
      <c r="AH297" s="54">
        <v>30281</v>
      </c>
      <c r="AI297" s="54">
        <v>-0.25</v>
      </c>
      <c r="AJ297" s="54">
        <v>1211250</v>
      </c>
      <c r="AK297" s="54">
        <v>0</v>
      </c>
      <c r="AL297" t="s">
        <v>26</v>
      </c>
      <c r="AM297" t="s">
        <v>4249</v>
      </c>
    </row>
    <row r="298" spans="1:39" ht="11.25" customHeight="1" x14ac:dyDescent="0.2">
      <c r="A298" s="29" t="s">
        <v>2974</v>
      </c>
      <c r="B298" s="29" t="s">
        <v>3007</v>
      </c>
      <c r="C298" s="40">
        <v>45566</v>
      </c>
      <c r="D298" s="39" t="s">
        <v>3720</v>
      </c>
      <c r="E298" s="29" t="s">
        <v>44</v>
      </c>
      <c r="F298" s="32">
        <v>45578</v>
      </c>
      <c r="G298" s="32">
        <v>45942</v>
      </c>
      <c r="H298" s="30" t="s">
        <v>3784</v>
      </c>
      <c r="I298" s="31">
        <v>3520106651813</v>
      </c>
      <c r="J298" s="47" t="s">
        <v>4213</v>
      </c>
      <c r="K298" s="29" t="s">
        <v>47</v>
      </c>
      <c r="L298" s="29" t="s">
        <v>48</v>
      </c>
      <c r="M298" s="29" t="s">
        <v>49</v>
      </c>
      <c r="N298" s="29" t="s">
        <v>3007</v>
      </c>
      <c r="O298" s="29" t="s">
        <v>4013</v>
      </c>
      <c r="P298" s="29" t="s">
        <v>3154</v>
      </c>
      <c r="Q298" s="29" t="s">
        <v>3159</v>
      </c>
      <c r="R298" s="32">
        <v>44888</v>
      </c>
      <c r="S298" s="32">
        <v>46727</v>
      </c>
      <c r="T298" s="33">
        <v>1304000</v>
      </c>
      <c r="U298" s="29">
        <v>15</v>
      </c>
      <c r="V298" s="34">
        <f t="shared" si="12"/>
        <v>195600</v>
      </c>
      <c r="W298" s="34">
        <f t="shared" si="13"/>
        <v>1108400</v>
      </c>
      <c r="X298" s="35">
        <v>2.5</v>
      </c>
      <c r="Y298" s="34">
        <f t="shared" si="14"/>
        <v>27710</v>
      </c>
      <c r="Z298" s="29"/>
      <c r="AA298" s="29" t="s">
        <v>4014</v>
      </c>
      <c r="AB298" s="29">
        <v>1141071867</v>
      </c>
      <c r="AC298" s="49">
        <v>45644</v>
      </c>
      <c r="AD298" s="48" t="s">
        <v>3160</v>
      </c>
      <c r="AE298" s="48">
        <v>0</v>
      </c>
      <c r="AG298" t="s">
        <v>44</v>
      </c>
      <c r="AH298" s="59">
        <v>27710</v>
      </c>
      <c r="AI298" s="54">
        <v>0</v>
      </c>
      <c r="AJ298" s="59">
        <v>1108400</v>
      </c>
      <c r="AK298" s="54">
        <v>0</v>
      </c>
      <c r="AL298" s="58" t="s">
        <v>26</v>
      </c>
      <c r="AM298" t="s">
        <v>4249</v>
      </c>
    </row>
    <row r="299" spans="1:39" ht="11.25" customHeight="1" x14ac:dyDescent="0.2">
      <c r="A299" s="29" t="s">
        <v>2974</v>
      </c>
      <c r="B299" s="29" t="s">
        <v>3010</v>
      </c>
      <c r="C299" s="40">
        <v>45566</v>
      </c>
      <c r="D299" s="39" t="s">
        <v>3720</v>
      </c>
      <c r="E299" s="29" t="s">
        <v>69</v>
      </c>
      <c r="F299" s="32">
        <v>45583</v>
      </c>
      <c r="G299" s="32">
        <v>45947</v>
      </c>
      <c r="H299" s="30" t="s">
        <v>3809</v>
      </c>
      <c r="I299" s="31">
        <v>5230103220055</v>
      </c>
      <c r="J299" s="47" t="s">
        <v>4189</v>
      </c>
      <c r="K299" s="29" t="s">
        <v>72</v>
      </c>
      <c r="L299" s="29" t="s">
        <v>73</v>
      </c>
      <c r="M299" s="29" t="s">
        <v>74</v>
      </c>
      <c r="N299" s="29" t="s">
        <v>3010</v>
      </c>
      <c r="O299" s="29" t="s">
        <v>3162</v>
      </c>
      <c r="P299" s="29" t="s">
        <v>3165</v>
      </c>
      <c r="Q299" s="29" t="s">
        <v>3166</v>
      </c>
      <c r="R299" s="32">
        <v>44881</v>
      </c>
      <c r="S299" s="32">
        <v>46727</v>
      </c>
      <c r="T299" s="33">
        <v>1886000</v>
      </c>
      <c r="U299" s="29">
        <v>15</v>
      </c>
      <c r="V299" s="34">
        <f t="shared" si="12"/>
        <v>282900</v>
      </c>
      <c r="W299" s="34">
        <f t="shared" si="13"/>
        <v>1603100</v>
      </c>
      <c r="X299" s="35">
        <v>2.5</v>
      </c>
      <c r="Y299" s="34">
        <f t="shared" si="14"/>
        <v>40077.5</v>
      </c>
      <c r="Z299" s="29"/>
      <c r="AA299" s="29" t="s">
        <v>4014</v>
      </c>
      <c r="AB299" s="29">
        <v>1141071867</v>
      </c>
      <c r="AC299" s="49">
        <v>45644</v>
      </c>
      <c r="AD299" s="48" t="s">
        <v>3160</v>
      </c>
      <c r="AE299" s="48">
        <v>4</v>
      </c>
      <c r="AG299" t="s">
        <v>69</v>
      </c>
      <c r="AH299" s="59">
        <v>40078</v>
      </c>
      <c r="AI299" s="54">
        <v>0.5</v>
      </c>
      <c r="AJ299" s="59">
        <v>1603100</v>
      </c>
      <c r="AK299" s="54">
        <v>0</v>
      </c>
      <c r="AL299" s="58" t="s">
        <v>26</v>
      </c>
      <c r="AM299" t="s">
        <v>4249</v>
      </c>
    </row>
    <row r="300" spans="1:39" ht="11.25" customHeight="1" x14ac:dyDescent="0.2">
      <c r="A300" s="29" t="s">
        <v>2974</v>
      </c>
      <c r="B300" s="29" t="s">
        <v>3087</v>
      </c>
      <c r="C300" s="40">
        <v>45536</v>
      </c>
      <c r="D300" s="39" t="s">
        <v>3720</v>
      </c>
      <c r="E300" s="29" t="s">
        <v>2899</v>
      </c>
      <c r="F300" s="32">
        <v>45563</v>
      </c>
      <c r="G300" s="32">
        <v>45927</v>
      </c>
      <c r="H300" s="30" t="s">
        <v>3800</v>
      </c>
      <c r="I300" s="31">
        <v>6110121057223</v>
      </c>
      <c r="J300" s="47" t="s">
        <v>4196</v>
      </c>
      <c r="K300" s="29"/>
      <c r="L300" s="29" t="s">
        <v>2306</v>
      </c>
      <c r="M300" s="29" t="s">
        <v>2307</v>
      </c>
      <c r="N300" s="29" t="s">
        <v>3087</v>
      </c>
      <c r="O300" s="29" t="s">
        <v>3167</v>
      </c>
      <c r="P300" s="29" t="s">
        <v>3168</v>
      </c>
      <c r="Q300" s="29" t="s">
        <v>3275</v>
      </c>
      <c r="R300" s="32">
        <v>45258</v>
      </c>
      <c r="S300" s="32">
        <v>46361</v>
      </c>
      <c r="T300" s="33">
        <v>4999000</v>
      </c>
      <c r="U300" s="29">
        <v>10</v>
      </c>
      <c r="V300" s="34">
        <f t="shared" si="12"/>
        <v>499900</v>
      </c>
      <c r="W300" s="34">
        <f t="shared" si="13"/>
        <v>4499100</v>
      </c>
      <c r="X300" s="35">
        <v>1.5</v>
      </c>
      <c r="Y300" s="45">
        <f t="shared" si="14"/>
        <v>67486.5</v>
      </c>
      <c r="Z300" s="29"/>
      <c r="AA300" s="29" t="s">
        <v>4014</v>
      </c>
      <c r="AB300" s="29">
        <v>1141071867</v>
      </c>
      <c r="AC300" s="49">
        <v>45644</v>
      </c>
      <c r="AD300" s="48" t="s">
        <v>3160</v>
      </c>
      <c r="AE300" s="48">
        <v>4</v>
      </c>
      <c r="AG300" t="s">
        <v>2899</v>
      </c>
      <c r="AH300" s="59">
        <v>67487</v>
      </c>
      <c r="AI300" s="54">
        <v>0.5</v>
      </c>
      <c r="AJ300" s="59">
        <v>4499100</v>
      </c>
      <c r="AK300" s="54">
        <v>0</v>
      </c>
      <c r="AL300" s="58" t="s">
        <v>26</v>
      </c>
      <c r="AM300" t="s">
        <v>4249</v>
      </c>
    </row>
    <row r="301" spans="1:39" ht="13.5" hidden="1" thickBot="1" x14ac:dyDescent="0.25">
      <c r="Y301" s="46">
        <f>SUM(Y107:Y300)</f>
        <v>8113816.5</v>
      </c>
    </row>
    <row r="302" spans="1:39" x14ac:dyDescent="0.2">
      <c r="AH302" s="57">
        <v>8113827</v>
      </c>
      <c r="AJ302" s="57">
        <v>434985465</v>
      </c>
    </row>
  </sheetData>
  <autoFilter ref="A1:AM301" xr:uid="{00000000-0001-0000-0500-000000000000}">
    <filterColumn colId="26">
      <customFilters>
        <customFilter operator="notEqual" val=" "/>
      </customFilters>
    </filterColumn>
  </autoFilter>
  <sortState xmlns:xlrd2="http://schemas.microsoft.com/office/spreadsheetml/2017/richdata2" ref="A2:AE106">
    <sortCondition ref="Z2:Z106"/>
  </sortState>
  <conditionalFormatting sqref="L90:M300">
    <cfRule type="duplicateValues" dxfId="8" priority="4"/>
  </conditionalFormatting>
  <conditionalFormatting sqref="M2:M89">
    <cfRule type="duplicateValues" dxfId="7" priority="6"/>
  </conditionalFormatting>
  <conditionalFormatting sqref="M90:M300">
    <cfRule type="duplicateValues" dxfId="6" priority="2"/>
  </conditionalFormatting>
  <conditionalFormatting sqref="N90:N300">
    <cfRule type="duplicateValues" dxfId="5" priority="1"/>
    <cfRule type="duplicateValues" dxfId="4" priority="3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A610-48BC-4526-9638-9086171FCC53}">
  <dimension ref="A1:H196"/>
  <sheetViews>
    <sheetView tabSelected="1" topLeftCell="A193" workbookViewId="0">
      <selection activeCell="H2" sqref="H2:H195"/>
    </sheetView>
  </sheetViews>
  <sheetFormatPr defaultRowHeight="12.75" x14ac:dyDescent="0.2"/>
  <cols>
    <col min="1" max="1" width="40.140625" bestFit="1" customWidth="1"/>
    <col min="2" max="2" width="13.5703125" bestFit="1" customWidth="1"/>
    <col min="3" max="4" width="10.28515625" bestFit="1" customWidth="1"/>
    <col min="5" max="5" width="12.28515625" bestFit="1" customWidth="1"/>
    <col min="6" max="6" width="102.85546875" customWidth="1"/>
    <col min="7" max="7" width="91.5703125" customWidth="1"/>
    <col min="8" max="8" width="85" customWidth="1"/>
  </cols>
  <sheetData>
    <row r="1" spans="1:8" ht="15" x14ac:dyDescent="0.25">
      <c r="A1" s="65" t="s">
        <v>4376</v>
      </c>
      <c r="B1" s="63" t="s">
        <v>4377</v>
      </c>
      <c r="C1" s="63"/>
      <c r="D1" s="66" t="s">
        <v>4378</v>
      </c>
      <c r="E1" s="71" t="s">
        <v>4380</v>
      </c>
      <c r="F1" s="63"/>
      <c r="G1" s="63"/>
      <c r="H1" s="63"/>
    </row>
    <row r="2" spans="1:8" ht="87.75" customHeight="1" x14ac:dyDescent="0.2">
      <c r="A2" t="s">
        <v>593</v>
      </c>
      <c r="B2" t="str">
        <f>VLOOKUP(A2,policy1!B:C,2,0)</f>
        <v>070000169947</v>
      </c>
      <c r="C2" s="54">
        <v>18000</v>
      </c>
      <c r="D2" s="67">
        <f>ROUND(C2,0)</f>
        <v>18000</v>
      </c>
      <c r="E2" s="71" t="s">
        <v>4380</v>
      </c>
      <c r="F2" s="6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69" t="str">
        <f>"('"&amp;E2&amp;"','"&amp;B2&amp;"','"&amp;D2&amp;"',(select max(to_number(i.premium_rcv_detail_code))+1
from ins_premium_det i),'"&amp;D2&amp;"','"&amp;D2&amp;"','02', '11000003','00','Request by Mr. Saqib Saleem 23-Dec-2024 renewal');"</f>
        <v>('23Dec240041','070000169947','18000',(select max(to_number(i.premium_rcv_detail_code))+1
from ins_premium_det i),'18000','18000','02', '11000003','00','Request by Mr. Saqib Saleem 23-Dec-2024 renewal');</v>
      </c>
      <c r="H2" s="70" t="str">
        <f>F2&amp;G2</f>
        <v>insert into ins_premium_det (premium_rcv_code,assorted_code, rec_amount,premium_rcv_detail_code,remaining_amt, payrec, mode_code,coinsurance_code,class_cd,it_remarks) values('23Dec240041','070000169947','18000',(select max(to_number(i.premium_rcv_detail_code))+1
from ins_premium_det i),'18000','18000','02', '11000003','00','Request by Mr. Saqib Saleem 23-Dec-2024 renewal');</v>
      </c>
    </row>
    <row r="3" spans="1:8" ht="89.25" x14ac:dyDescent="0.2">
      <c r="A3" t="s">
        <v>680</v>
      </c>
      <c r="B3" t="str">
        <f>VLOOKUP(A3,policy1!B:C,2,0)</f>
        <v>070000169948</v>
      </c>
      <c r="C3" s="54">
        <v>47250</v>
      </c>
      <c r="D3" s="67">
        <f t="shared" ref="D3:D66" si="1">ROUND(C3,0)</f>
        <v>47250</v>
      </c>
      <c r="E3" t="s">
        <v>4380</v>
      </c>
      <c r="F3" s="68" t="str">
        <f t="shared" si="0"/>
        <v>insert into ins_premium_det (premium_rcv_code,assorted_code, rec_amount,premium_rcv_detail_code,remaining_amt, payrec, mode_code,coinsurance_code,class_cd,it_remarks) values</v>
      </c>
      <c r="G3" s="69" t="str">
        <f t="shared" ref="G3:G66" si="2">"('"&amp;E3&amp;"','"&amp;B3&amp;"','"&amp;D3&amp;"',(select max(to_number(i.premium_rcv_detail_code))+1
from ins_premium_det i),'"&amp;D3&amp;"','"&amp;D3&amp;"','02', '11000003','00','Request by Mr. Saqib Saleem 23-Dec-2024 renewal');"</f>
        <v>('23Dec240041','070000169948','47250',(select max(to_number(i.premium_rcv_detail_code))+1
from ins_premium_det i),'47250','47250','02', '11000003','00','Request by Mr. Saqib Saleem 23-Dec-2024 renewal');</v>
      </c>
      <c r="H3" s="70" t="str">
        <f t="shared" ref="H3:H66" si="3">F3&amp;G3</f>
        <v>insert into ins_premium_det (premium_rcv_code,assorted_code, rec_amount,premium_rcv_detail_code,remaining_amt, payrec, mode_code,coinsurance_code,class_cd,it_remarks) values('23Dec240041','070000169948','47250',(select max(to_number(i.premium_rcv_detail_code))+1
from ins_premium_det i),'47250','47250','02', '11000003','00','Request by Mr. Saqib Saleem 23-Dec-2024 renewal');</v>
      </c>
    </row>
    <row r="4" spans="1:8" ht="89.25" x14ac:dyDescent="0.2">
      <c r="A4" t="s">
        <v>771</v>
      </c>
      <c r="B4" t="str">
        <f>VLOOKUP(A4,policy1!B:C,2,0)</f>
        <v>070000169949</v>
      </c>
      <c r="C4" s="54">
        <v>52200</v>
      </c>
      <c r="D4" s="67">
        <f t="shared" si="1"/>
        <v>52200</v>
      </c>
      <c r="E4" t="s">
        <v>4380</v>
      </c>
      <c r="F4" s="68" t="str">
        <f t="shared" si="0"/>
        <v>insert into ins_premium_det (premium_rcv_code,assorted_code, rec_amount,premium_rcv_detail_code,remaining_amt, payrec, mode_code,coinsurance_code,class_cd,it_remarks) values</v>
      </c>
      <c r="G4" s="69" t="str">
        <f t="shared" si="2"/>
        <v>('23Dec240041','070000169949','52200',(select max(to_number(i.premium_rcv_detail_code))+1
from ins_premium_det i),'52200','52200','02', '11000003','00','Request by Mr. Saqib Saleem 23-Dec-2024 renewal');</v>
      </c>
      <c r="H4" s="70" t="str">
        <f t="shared" si="3"/>
        <v>insert into ins_premium_det (premium_rcv_code,assorted_code, rec_amount,premium_rcv_detail_code,remaining_amt, payrec, mode_code,coinsurance_code,class_cd,it_remarks) values('23Dec240041','070000169949','52200',(select max(to_number(i.premium_rcv_detail_code))+1
from ins_premium_det i),'52200','52200','02', '11000003','00','Request by Mr. Saqib Saleem 23-Dec-2024 renewal');</v>
      </c>
    </row>
    <row r="5" spans="1:8" ht="89.25" x14ac:dyDescent="0.2">
      <c r="A5" t="s">
        <v>855</v>
      </c>
      <c r="B5" t="str">
        <f>VLOOKUP(A5,policy1!B:C,2,0)</f>
        <v>070000169952</v>
      </c>
      <c r="C5" s="54">
        <v>57600</v>
      </c>
      <c r="D5" s="67">
        <f t="shared" si="1"/>
        <v>57600</v>
      </c>
      <c r="E5" t="s">
        <v>4380</v>
      </c>
      <c r="F5" s="68" t="str">
        <f t="shared" si="0"/>
        <v>insert into ins_premium_det (premium_rcv_code,assorted_code, rec_amount,premium_rcv_detail_code,remaining_amt, payrec, mode_code,coinsurance_code,class_cd,it_remarks) values</v>
      </c>
      <c r="G5" s="69" t="str">
        <f t="shared" si="2"/>
        <v>('23Dec240041','070000169952','57600',(select max(to_number(i.premium_rcv_detail_code))+1
from ins_premium_det i),'57600','57600','02', '11000003','00','Request by Mr. Saqib Saleem 23-Dec-2024 renewal');</v>
      </c>
      <c r="H5" s="70" t="str">
        <f t="shared" si="3"/>
        <v>insert into ins_premium_det (premium_rcv_code,assorted_code, rec_amount,premium_rcv_detail_code,remaining_amt, payrec, mode_code,coinsurance_code,class_cd,it_remarks) values('23Dec240041','070000169952','57600',(select max(to_number(i.premium_rcv_detail_code))+1
from ins_premium_det i),'57600','57600','02', '11000003','00','Request by Mr. Saqib Saleem 23-Dec-2024 renewal');</v>
      </c>
    </row>
    <row r="6" spans="1:8" ht="89.25" x14ac:dyDescent="0.2">
      <c r="A6" t="s">
        <v>864</v>
      </c>
      <c r="B6" t="str">
        <f>VLOOKUP(A6,policy1!B:C,2,0)</f>
        <v>070000169953</v>
      </c>
      <c r="C6" s="54">
        <v>33354</v>
      </c>
      <c r="D6" s="67">
        <f t="shared" si="1"/>
        <v>33354</v>
      </c>
      <c r="E6" t="s">
        <v>4380</v>
      </c>
      <c r="F6" s="68" t="str">
        <f t="shared" si="0"/>
        <v>insert into ins_premium_det (premium_rcv_code,assorted_code, rec_amount,premium_rcv_detail_code,remaining_amt, payrec, mode_code,coinsurance_code,class_cd,it_remarks) values</v>
      </c>
      <c r="G6" s="69" t="str">
        <f t="shared" si="2"/>
        <v>('23Dec240041','070000169953','33354',(select max(to_number(i.premium_rcv_detail_code))+1
from ins_premium_det i),'33354','33354','02', '11000003','00','Request by Mr. Saqib Saleem 23-Dec-2024 renewal');</v>
      </c>
      <c r="H6" s="70" t="str">
        <f t="shared" si="3"/>
        <v>insert into ins_premium_det (premium_rcv_code,assorted_code, rec_amount,premium_rcv_detail_code,remaining_amt, payrec, mode_code,coinsurance_code,class_cd,it_remarks) values('23Dec240041','070000169953','33354',(select max(to_number(i.premium_rcv_detail_code))+1
from ins_premium_det i),'33354','33354','02', '11000003','00','Request by Mr. Saqib Saleem 23-Dec-2024 renewal');</v>
      </c>
    </row>
    <row r="7" spans="1:8" ht="89.25" x14ac:dyDescent="0.2">
      <c r="A7" t="s">
        <v>872</v>
      </c>
      <c r="B7" t="str">
        <f>VLOOKUP(A7,policy1!B:C,2,0)</f>
        <v>070000169954</v>
      </c>
      <c r="C7" s="54">
        <v>51300</v>
      </c>
      <c r="D7" s="67">
        <f t="shared" si="1"/>
        <v>51300</v>
      </c>
      <c r="E7" t="s">
        <v>4380</v>
      </c>
      <c r="F7" s="68" t="str">
        <f t="shared" si="0"/>
        <v>insert into ins_premium_det (premium_rcv_code,assorted_code, rec_amount,premium_rcv_detail_code,remaining_amt, payrec, mode_code,coinsurance_code,class_cd,it_remarks) values</v>
      </c>
      <c r="G7" s="69" t="str">
        <f t="shared" si="2"/>
        <v>('23Dec240041','070000169954','51300',(select max(to_number(i.premium_rcv_detail_code))+1
from ins_premium_det i),'51300','51300','02', '11000003','00','Request by Mr. Saqib Saleem 23-Dec-2024 renewal');</v>
      </c>
      <c r="H7" s="70" t="str">
        <f t="shared" si="3"/>
        <v>insert into ins_premium_det (premium_rcv_code,assorted_code, rec_amount,premium_rcv_detail_code,remaining_amt, payrec, mode_code,coinsurance_code,class_cd,it_remarks) values('23Dec240041','070000169954','51300',(select max(to_number(i.premium_rcv_detail_code))+1
from ins_premium_det i),'51300','51300','02', '11000003','00','Request by Mr. Saqib Saleem 23-Dec-2024 renewal');</v>
      </c>
    </row>
    <row r="8" spans="1:8" ht="89.25" x14ac:dyDescent="0.2">
      <c r="A8" t="s">
        <v>880</v>
      </c>
      <c r="B8" t="str">
        <f>VLOOKUP(A8,policy1!B:C,2,0)</f>
        <v>070000169955</v>
      </c>
      <c r="C8" s="54">
        <v>16200</v>
      </c>
      <c r="D8" s="67">
        <f t="shared" si="1"/>
        <v>16200</v>
      </c>
      <c r="E8" t="s">
        <v>4380</v>
      </c>
      <c r="F8" s="68" t="str">
        <f t="shared" si="0"/>
        <v>insert into ins_premium_det (premium_rcv_code,assorted_code, rec_amount,premium_rcv_detail_code,remaining_amt, payrec, mode_code,coinsurance_code,class_cd,it_remarks) values</v>
      </c>
      <c r="G8" s="69" t="str">
        <f t="shared" si="2"/>
        <v>('23Dec240041','070000169955','16200',(select max(to_number(i.premium_rcv_detail_code))+1
from ins_premium_det i),'16200','16200','02', '11000003','00','Request by Mr. Saqib Saleem 23-Dec-2024 renewal');</v>
      </c>
      <c r="H8" s="70" t="str">
        <f t="shared" si="3"/>
        <v>insert into ins_premium_det (premium_rcv_code,assorted_code, rec_amount,premium_rcv_detail_code,remaining_amt, payrec, mode_code,coinsurance_code,class_cd,it_remarks) values('23Dec240041','070000169955','16200',(select max(to_number(i.premium_rcv_detail_code))+1
from ins_premium_det i),'16200','16200','02', '11000003','00','Request by Mr. Saqib Saleem 23-Dec-2024 renewal');</v>
      </c>
    </row>
    <row r="9" spans="1:8" ht="89.25" x14ac:dyDescent="0.2">
      <c r="A9" t="s">
        <v>948</v>
      </c>
      <c r="B9" t="str">
        <f>VLOOKUP(A9,policy1!B:C,2,0)</f>
        <v>070000169999</v>
      </c>
      <c r="C9" s="54">
        <v>69190</v>
      </c>
      <c r="D9" s="67">
        <f t="shared" si="1"/>
        <v>69190</v>
      </c>
      <c r="E9" t="s">
        <v>4380</v>
      </c>
      <c r="F9" s="68" t="str">
        <f t="shared" si="0"/>
        <v>insert into ins_premium_det (premium_rcv_code,assorted_code, rec_amount,premium_rcv_detail_code,remaining_amt, payrec, mode_code,coinsurance_code,class_cd,it_remarks) values</v>
      </c>
      <c r="G9" s="69" t="str">
        <f t="shared" si="2"/>
        <v>('23Dec240041','070000169999','69190',(select max(to_number(i.premium_rcv_detail_code))+1
from ins_premium_det i),'69190','69190','02', '11000003','00','Request by Mr. Saqib Saleem 23-Dec-2024 renewal');</v>
      </c>
      <c r="H9" s="70" t="str">
        <f t="shared" si="3"/>
        <v>insert into ins_premium_det (premium_rcv_code,assorted_code, rec_amount,premium_rcv_detail_code,remaining_amt, payrec, mode_code,coinsurance_code,class_cd,it_remarks) values('23Dec240041','070000169999','69190',(select max(to_number(i.premium_rcv_detail_code))+1
from ins_premium_det i),'69190','69190','02', '11000003','00','Request by Mr. Saqib Saleem 23-Dec-2024 renewal');</v>
      </c>
    </row>
    <row r="10" spans="1:8" ht="89.25" x14ac:dyDescent="0.2">
      <c r="A10" t="s">
        <v>888</v>
      </c>
      <c r="B10" t="str">
        <f>VLOOKUP(A10,policy1!B:C,2,0)</f>
        <v>070000169956</v>
      </c>
      <c r="C10" s="54">
        <v>108000</v>
      </c>
      <c r="D10" s="67">
        <f t="shared" si="1"/>
        <v>108000</v>
      </c>
      <c r="E10" t="s">
        <v>4380</v>
      </c>
      <c r="F10" s="68" t="str">
        <f t="shared" si="0"/>
        <v>insert into ins_premium_det (premium_rcv_code,assorted_code, rec_amount,premium_rcv_detail_code,remaining_amt, payrec, mode_code,coinsurance_code,class_cd,it_remarks) values</v>
      </c>
      <c r="G10" s="69" t="str">
        <f t="shared" si="2"/>
        <v>('23Dec240041','070000169956','108000',(select max(to_number(i.premium_rcv_detail_code))+1
from ins_premium_det i),'108000','108000','02', '11000003','00','Request by Mr. Saqib Saleem 23-Dec-2024 renewal');</v>
      </c>
      <c r="H10" s="70" t="str">
        <f t="shared" si="3"/>
        <v>insert into ins_premium_det (premium_rcv_code,assorted_code, rec_amount,premium_rcv_detail_code,remaining_amt, payrec, mode_code,coinsurance_code,class_cd,it_remarks) values('23Dec240041','070000169956','108000',(select max(to_number(i.premium_rcv_detail_code))+1
from ins_premium_det i),'108000','108000','02', '11000003','00','Request by Mr. Saqib Saleem 23-Dec-2024 renewal');</v>
      </c>
    </row>
    <row r="11" spans="1:8" ht="89.25" x14ac:dyDescent="0.2">
      <c r="A11" t="s">
        <v>897</v>
      </c>
      <c r="B11" t="str">
        <f>VLOOKUP(A11,policy1!B:C,2,0)</f>
        <v>070000169914</v>
      </c>
      <c r="C11" s="54">
        <v>24208</v>
      </c>
      <c r="D11" s="67">
        <f t="shared" si="1"/>
        <v>24208</v>
      </c>
      <c r="E11" t="s">
        <v>4380</v>
      </c>
      <c r="F11" s="68" t="str">
        <f t="shared" si="0"/>
        <v>insert into ins_premium_det (premium_rcv_code,assorted_code, rec_amount,premium_rcv_detail_code,remaining_amt, payrec, mode_code,coinsurance_code,class_cd,it_remarks) values</v>
      </c>
      <c r="G11" s="69" t="str">
        <f t="shared" si="2"/>
        <v>('23Dec240041','070000169914','24208',(select max(to_number(i.premium_rcv_detail_code))+1
from ins_premium_det i),'24208','24208','02', '11000003','00','Request by Mr. Saqib Saleem 23-Dec-2024 renewal');</v>
      </c>
      <c r="H11" s="70" t="str">
        <f t="shared" si="3"/>
        <v>insert into ins_premium_det (premium_rcv_code,assorted_code, rec_amount,premium_rcv_detail_code,remaining_amt, payrec, mode_code,coinsurance_code,class_cd,it_remarks) values('23Dec240041','070000169914','24208',(select max(to_number(i.premium_rcv_detail_code))+1
from ins_premium_det i),'24208','24208','02', '11000003','00','Request by Mr. Saqib Saleem 23-Dec-2024 renewal');</v>
      </c>
    </row>
    <row r="12" spans="1:8" ht="89.25" x14ac:dyDescent="0.2">
      <c r="A12" t="s">
        <v>1034</v>
      </c>
      <c r="B12" t="str">
        <f>VLOOKUP(A12,policy1!B:C,2,0)</f>
        <v>070000170000</v>
      </c>
      <c r="C12" s="54">
        <v>35594</v>
      </c>
      <c r="D12" s="67">
        <f t="shared" si="1"/>
        <v>35594</v>
      </c>
      <c r="E12" t="s">
        <v>4380</v>
      </c>
      <c r="F12" s="68" t="str">
        <f t="shared" si="0"/>
        <v>insert into ins_premium_det (premium_rcv_code,assorted_code, rec_amount,premium_rcv_detail_code,remaining_amt, payrec, mode_code,coinsurance_code,class_cd,it_remarks) values</v>
      </c>
      <c r="G12" s="69" t="str">
        <f t="shared" si="2"/>
        <v>('23Dec240041','070000170000','35594',(select max(to_number(i.premium_rcv_detail_code))+1
from ins_premium_det i),'35594','35594','02', '11000003','00','Request by Mr. Saqib Saleem 23-Dec-2024 renewal');</v>
      </c>
      <c r="H12" s="70" t="str">
        <f t="shared" si="3"/>
        <v>insert into ins_premium_det (premium_rcv_code,assorted_code, rec_amount,premium_rcv_detail_code,remaining_amt, payrec, mode_code,coinsurance_code,class_cd,it_remarks) values('23Dec240041','070000170000','35594',(select max(to_number(i.premium_rcv_detail_code))+1
from ins_premium_det i),'35594','35594','02', '11000003','00','Request by Mr. Saqib Saleem 23-Dec-2024 renewal');</v>
      </c>
    </row>
    <row r="13" spans="1:8" ht="89.25" x14ac:dyDescent="0.2">
      <c r="A13" t="s">
        <v>500</v>
      </c>
      <c r="B13" t="str">
        <f>VLOOKUP(A13,policy1!B:C,2,0)</f>
        <v>070000169905</v>
      </c>
      <c r="C13" s="54">
        <v>26700</v>
      </c>
      <c r="D13" s="67">
        <f t="shared" si="1"/>
        <v>26700</v>
      </c>
      <c r="E13" t="s">
        <v>4380</v>
      </c>
      <c r="F13" s="68" t="str">
        <f t="shared" si="0"/>
        <v>insert into ins_premium_det (premium_rcv_code,assorted_code, rec_amount,premium_rcv_detail_code,remaining_amt, payrec, mode_code,coinsurance_code,class_cd,it_remarks) values</v>
      </c>
      <c r="G13" s="69" t="str">
        <f t="shared" si="2"/>
        <v>('23Dec240041','070000169905','26700',(select max(to_number(i.premium_rcv_detail_code))+1
from ins_premium_det i),'26700','26700','02', '11000003','00','Request by Mr. Saqib Saleem 23-Dec-2024 renewal');</v>
      </c>
      <c r="H13" s="70" t="str">
        <f t="shared" si="3"/>
        <v>insert into ins_premium_det (premium_rcv_code,assorted_code, rec_amount,premium_rcv_detail_code,remaining_amt, payrec, mode_code,coinsurance_code,class_cd,it_remarks) values('23Dec240041','070000169905','26700',(select max(to_number(i.premium_rcv_detail_code))+1
from ins_premium_det i),'26700','26700','02', '11000003','00','Request by Mr. Saqib Saleem 23-Dec-2024 renewal');</v>
      </c>
    </row>
    <row r="14" spans="1:8" ht="89.25" x14ac:dyDescent="0.2">
      <c r="A14" t="s">
        <v>1271</v>
      </c>
      <c r="B14" t="str">
        <f>VLOOKUP(A14,policy1!B:C,2,0)</f>
        <v>070000170053</v>
      </c>
      <c r="C14" s="54">
        <v>41062</v>
      </c>
      <c r="D14" s="67">
        <f t="shared" si="1"/>
        <v>41062</v>
      </c>
      <c r="E14" t="s">
        <v>4380</v>
      </c>
      <c r="F14" s="68" t="str">
        <f t="shared" si="0"/>
        <v>insert into ins_premium_det (premium_rcv_code,assorted_code, rec_amount,premium_rcv_detail_code,remaining_amt, payrec, mode_code,coinsurance_code,class_cd,it_remarks) values</v>
      </c>
      <c r="G14" s="69" t="str">
        <f t="shared" si="2"/>
        <v>('23Dec240041','070000170053','41062',(select max(to_number(i.premium_rcv_detail_code))+1
from ins_premium_det i),'41062','41062','02', '11000003','00','Request by Mr. Saqib Saleem 23-Dec-2024 renewal');</v>
      </c>
      <c r="H14" s="70" t="str">
        <f t="shared" si="3"/>
        <v>insert into ins_premium_det (premium_rcv_code,assorted_code, rec_amount,premium_rcv_detail_code,remaining_amt, payrec, mode_code,coinsurance_code,class_cd,it_remarks) values('23Dec240041','070000170053','41062',(select max(to_number(i.premium_rcv_detail_code))+1
from ins_premium_det i),'41062','41062','02', '11000003','00','Request by Mr. Saqib Saleem 23-Dec-2024 renewal');</v>
      </c>
    </row>
    <row r="15" spans="1:8" ht="89.25" x14ac:dyDescent="0.2">
      <c r="A15" t="s">
        <v>1354</v>
      </c>
      <c r="B15" t="str">
        <f>VLOOKUP(A15,policy1!B:C,2,0)</f>
        <v>070000170054</v>
      </c>
      <c r="C15" s="54">
        <v>30420</v>
      </c>
      <c r="D15" s="67">
        <f t="shared" si="1"/>
        <v>30420</v>
      </c>
      <c r="E15" t="s">
        <v>4380</v>
      </c>
      <c r="F15" s="68" t="str">
        <f t="shared" si="0"/>
        <v>insert into ins_premium_det (premium_rcv_code,assorted_code, rec_amount,premium_rcv_detail_code,remaining_amt, payrec, mode_code,coinsurance_code,class_cd,it_remarks) values</v>
      </c>
      <c r="G15" s="69" t="str">
        <f t="shared" si="2"/>
        <v>('23Dec240041','070000170054','30420',(select max(to_number(i.premium_rcv_detail_code))+1
from ins_premium_det i),'30420','30420','02', '11000003','00','Request by Mr. Saqib Saleem 23-Dec-2024 renewal');</v>
      </c>
      <c r="H15" s="70" t="str">
        <f t="shared" si="3"/>
        <v>insert into ins_premium_det (premium_rcv_code,assorted_code, rec_amount,premium_rcv_detail_code,remaining_amt, payrec, mode_code,coinsurance_code,class_cd,it_remarks) values('23Dec240041','070000170054','30420',(select max(to_number(i.premium_rcv_detail_code))+1
from ins_premium_det i),'30420','30420','02', '11000003','00','Request by Mr. Saqib Saleem 23-Dec-2024 renewal');</v>
      </c>
    </row>
    <row r="16" spans="1:8" ht="89.25" x14ac:dyDescent="0.2">
      <c r="A16" t="s">
        <v>1445</v>
      </c>
      <c r="B16" t="str">
        <f>VLOOKUP(A16,policy1!B:C,2,0)</f>
        <v>070000170057</v>
      </c>
      <c r="C16" s="54">
        <v>30800</v>
      </c>
      <c r="D16" s="67">
        <f t="shared" si="1"/>
        <v>30800</v>
      </c>
      <c r="E16" t="s">
        <v>4380</v>
      </c>
      <c r="F16" s="68" t="str">
        <f t="shared" si="0"/>
        <v>insert into ins_premium_det (premium_rcv_code,assorted_code, rec_amount,premium_rcv_detail_code,remaining_amt, payrec, mode_code,coinsurance_code,class_cd,it_remarks) values</v>
      </c>
      <c r="G16" s="69" t="str">
        <f t="shared" si="2"/>
        <v>('23Dec240041','070000170057','30800',(select max(to_number(i.premium_rcv_detail_code))+1
from ins_premium_det i),'30800','30800','02', '11000003','00','Request by Mr. Saqib Saleem 23-Dec-2024 renewal');</v>
      </c>
      <c r="H16" s="70" t="str">
        <f t="shared" si="3"/>
        <v>insert into ins_premium_det (premium_rcv_code,assorted_code, rec_amount,premium_rcv_detail_code,remaining_amt, payrec, mode_code,coinsurance_code,class_cd,it_remarks) values('23Dec240041','070000170057','30800',(select max(to_number(i.premium_rcv_detail_code))+1
from ins_premium_det i),'30800','30800','02', '11000003','00','Request by Mr. Saqib Saleem 23-Dec-2024 renewal');</v>
      </c>
    </row>
    <row r="17" spans="1:8" ht="89.25" x14ac:dyDescent="0.2">
      <c r="A17" t="s">
        <v>1534</v>
      </c>
      <c r="B17" t="str">
        <f>VLOOKUP(A17,policy1!B:C,2,0)</f>
        <v>070000170058</v>
      </c>
      <c r="C17" s="54">
        <v>26700</v>
      </c>
      <c r="D17" s="67">
        <f t="shared" si="1"/>
        <v>26700</v>
      </c>
      <c r="E17" t="s">
        <v>4380</v>
      </c>
      <c r="F17" s="68" t="str">
        <f t="shared" si="0"/>
        <v>insert into ins_premium_det (premium_rcv_code,assorted_code, rec_amount,premium_rcv_detail_code,remaining_amt, payrec, mode_code,coinsurance_code,class_cd,it_remarks) values</v>
      </c>
      <c r="G17" s="69" t="str">
        <f t="shared" si="2"/>
        <v>('23Dec240041','070000170058','26700',(select max(to_number(i.premium_rcv_detail_code))+1
from ins_premium_det i),'26700','26700','02', '11000003','00','Request by Mr. Saqib Saleem 23-Dec-2024 renewal');</v>
      </c>
      <c r="H17" s="70" t="str">
        <f t="shared" si="3"/>
        <v>insert into ins_premium_det (premium_rcv_code,assorted_code, rec_amount,premium_rcv_detail_code,remaining_amt, payrec, mode_code,coinsurance_code,class_cd,it_remarks) values('23Dec240041','070000170058','26700',(select max(to_number(i.premium_rcv_detail_code))+1
from ins_premium_det i),'26700','26700','02', '11000003','00','Request by Mr. Saqib Saleem 23-Dec-2024 renewal');</v>
      </c>
    </row>
    <row r="18" spans="1:8" ht="89.25" x14ac:dyDescent="0.2">
      <c r="A18" t="s">
        <v>1870</v>
      </c>
      <c r="B18" t="str">
        <f>VLOOKUP(A18,policy1!B:C,2,0)</f>
        <v>070000170136</v>
      </c>
      <c r="C18" s="54">
        <v>36587</v>
      </c>
      <c r="D18" s="67">
        <f t="shared" si="1"/>
        <v>36587</v>
      </c>
      <c r="E18" t="s">
        <v>4380</v>
      </c>
      <c r="F18" s="68" t="str">
        <f t="shared" si="0"/>
        <v>insert into ins_premium_det (premium_rcv_code,assorted_code, rec_amount,premium_rcv_detail_code,remaining_amt, payrec, mode_code,coinsurance_code,class_cd,it_remarks) values</v>
      </c>
      <c r="G18" s="69" t="str">
        <f t="shared" si="2"/>
        <v>('23Dec240041','070000170136','36587',(select max(to_number(i.premium_rcv_detail_code))+1
from ins_premium_det i),'36587','36587','02', '11000003','00','Request by Mr. Saqib Saleem 23-Dec-2024 renewal');</v>
      </c>
      <c r="H18" s="70" t="str">
        <f t="shared" si="3"/>
        <v>insert into ins_premium_det (premium_rcv_code,assorted_code, rec_amount,premium_rcv_detail_code,remaining_amt, payrec, mode_code,coinsurance_code,class_cd,it_remarks) values('23Dec240041','070000170136','36587',(select max(to_number(i.premium_rcv_detail_code))+1
from ins_premium_det i),'36587','36587','02', '11000003','00','Request by Mr. Saqib Saleem 23-Dec-2024 renewal');</v>
      </c>
    </row>
    <row r="19" spans="1:8" ht="89.25" x14ac:dyDescent="0.2">
      <c r="A19" t="s">
        <v>2046</v>
      </c>
      <c r="B19" t="str">
        <f>VLOOKUP(A19,policy1!B:C,2,0)</f>
        <v>070000170140</v>
      </c>
      <c r="C19" s="54">
        <v>34335</v>
      </c>
      <c r="D19" s="67">
        <f t="shared" si="1"/>
        <v>34335</v>
      </c>
      <c r="E19" t="s">
        <v>4380</v>
      </c>
      <c r="F19" s="68" t="str">
        <f t="shared" si="0"/>
        <v>insert into ins_premium_det (premium_rcv_code,assorted_code, rec_amount,premium_rcv_detail_code,remaining_amt, payrec, mode_code,coinsurance_code,class_cd,it_remarks) values</v>
      </c>
      <c r="G19" s="69" t="str">
        <f t="shared" si="2"/>
        <v>('23Dec240041','070000170140','34335',(select max(to_number(i.premium_rcv_detail_code))+1
from ins_premium_det i),'34335','34335','02', '11000003','00','Request by Mr. Saqib Saleem 23-Dec-2024 renewal');</v>
      </c>
      <c r="H19" s="70" t="str">
        <f t="shared" si="3"/>
        <v>insert into ins_premium_det (premium_rcv_code,assorted_code, rec_amount,premium_rcv_detail_code,remaining_amt, payrec, mode_code,coinsurance_code,class_cd,it_remarks) values('23Dec240041','070000170140','34335',(select max(to_number(i.premium_rcv_detail_code))+1
from ins_premium_det i),'34335','34335','02', '11000003','00','Request by Mr. Saqib Saleem 23-Dec-2024 renewal');</v>
      </c>
    </row>
    <row r="20" spans="1:8" ht="89.25" x14ac:dyDescent="0.2">
      <c r="A20" t="s">
        <v>508</v>
      </c>
      <c r="B20" t="str">
        <f>VLOOKUP(A20,policy1!B:C,2,0)</f>
        <v>070000169957</v>
      </c>
      <c r="C20" s="54">
        <v>52830</v>
      </c>
      <c r="D20" s="67">
        <f t="shared" si="1"/>
        <v>52830</v>
      </c>
      <c r="E20" t="s">
        <v>4380</v>
      </c>
      <c r="F20" s="68" t="str">
        <f t="shared" si="0"/>
        <v>insert into ins_premium_det (premium_rcv_code,assorted_code, rec_amount,premium_rcv_detail_code,remaining_amt, payrec, mode_code,coinsurance_code,class_cd,it_remarks) values</v>
      </c>
      <c r="G20" s="69" t="str">
        <f t="shared" si="2"/>
        <v>('23Dec240041','070000169957','52830',(select max(to_number(i.premium_rcv_detail_code))+1
from ins_premium_det i),'52830','52830','02', '11000003','00','Request by Mr. Saqib Saleem 23-Dec-2024 renewal');</v>
      </c>
      <c r="H20" s="70" t="str">
        <f t="shared" si="3"/>
        <v>insert into ins_premium_det (premium_rcv_code,assorted_code, rec_amount,premium_rcv_detail_code,remaining_amt, payrec, mode_code,coinsurance_code,class_cd,it_remarks) values('23Dec240041','070000169957','52830',(select max(to_number(i.premium_rcv_detail_code))+1
from ins_premium_det i),'52830','52830','02', '11000003','00','Request by Mr. Saqib Saleem 23-Dec-2024 renewal');</v>
      </c>
    </row>
    <row r="21" spans="1:8" ht="89.25" x14ac:dyDescent="0.2">
      <c r="A21" t="s">
        <v>543</v>
      </c>
      <c r="B21" t="str">
        <f>VLOOKUP(A21,policy1!B:C,2,0)</f>
        <v>070000169961</v>
      </c>
      <c r="C21" s="54">
        <v>60399</v>
      </c>
      <c r="D21" s="67">
        <f t="shared" si="1"/>
        <v>60399</v>
      </c>
      <c r="E21" t="s">
        <v>4380</v>
      </c>
      <c r="F21" s="68" t="str">
        <f t="shared" si="0"/>
        <v>insert into ins_premium_det (premium_rcv_code,assorted_code, rec_amount,premium_rcv_detail_code,remaining_amt, payrec, mode_code,coinsurance_code,class_cd,it_remarks) values</v>
      </c>
      <c r="G21" s="69" t="str">
        <f t="shared" si="2"/>
        <v>('23Dec240041','070000169961','60399',(select max(to_number(i.premium_rcv_detail_code))+1
from ins_premium_det i),'60399','60399','02', '11000003','00','Request by Mr. Saqib Saleem 23-Dec-2024 renewal');</v>
      </c>
      <c r="H21" s="70" t="str">
        <f t="shared" si="3"/>
        <v>insert into ins_premium_det (premium_rcv_code,assorted_code, rec_amount,premium_rcv_detail_code,remaining_amt, payrec, mode_code,coinsurance_code,class_cd,it_remarks) values('23Dec240041','070000169961','60399',(select max(to_number(i.premium_rcv_detail_code))+1
from ins_premium_det i),'60399','60399','02', '11000003','00','Request by Mr. Saqib Saleem 23-Dec-2024 renewal');</v>
      </c>
    </row>
    <row r="22" spans="1:8" ht="89.25" x14ac:dyDescent="0.2">
      <c r="A22" t="s">
        <v>1795</v>
      </c>
      <c r="B22" t="str">
        <f>VLOOKUP(A22,policy1!B:C,2,0)</f>
        <v>070000170167</v>
      </c>
      <c r="C22" s="54">
        <v>21263</v>
      </c>
      <c r="D22" s="67">
        <f t="shared" si="1"/>
        <v>21263</v>
      </c>
      <c r="E22" t="s">
        <v>4380</v>
      </c>
      <c r="F22" s="68" t="str">
        <f t="shared" si="0"/>
        <v>insert into ins_premium_det (premium_rcv_code,assorted_code, rec_amount,premium_rcv_detail_code,remaining_amt, payrec, mode_code,coinsurance_code,class_cd,it_remarks) values</v>
      </c>
      <c r="G22" s="69" t="str">
        <f t="shared" si="2"/>
        <v>('23Dec240041','070000170167','21263',(select max(to_number(i.premium_rcv_detail_code))+1
from ins_premium_det i),'21263','21263','02', '11000003','00','Request by Mr. Saqib Saleem 23-Dec-2024 renewal');</v>
      </c>
      <c r="H22" s="70" t="str">
        <f t="shared" si="3"/>
        <v>insert into ins_premium_det (premium_rcv_code,assorted_code, rec_amount,premium_rcv_detail_code,remaining_amt, payrec, mode_code,coinsurance_code,class_cd,it_remarks) values('23Dec240041','070000170167','21263',(select max(to_number(i.premium_rcv_detail_code))+1
from ins_premium_det i),'21263','21263','02', '11000003','00','Request by Mr. Saqib Saleem 23-Dec-2024 renewal');</v>
      </c>
    </row>
    <row r="23" spans="1:8" ht="89.25" x14ac:dyDescent="0.2">
      <c r="A23" t="s">
        <v>524</v>
      </c>
      <c r="B23" t="str">
        <f>VLOOKUP(A23,policy1!B:C,2,0)</f>
        <v>070000169959</v>
      </c>
      <c r="C23" s="54">
        <v>46800</v>
      </c>
      <c r="D23" s="67">
        <f t="shared" si="1"/>
        <v>46800</v>
      </c>
      <c r="E23" t="s">
        <v>4380</v>
      </c>
      <c r="F23" s="68" t="str">
        <f t="shared" si="0"/>
        <v>insert into ins_premium_det (premium_rcv_code,assorted_code, rec_amount,premium_rcv_detail_code,remaining_amt, payrec, mode_code,coinsurance_code,class_cd,it_remarks) values</v>
      </c>
      <c r="G23" s="69" t="str">
        <f t="shared" si="2"/>
        <v>('23Dec240041','070000169959','46800',(select max(to_number(i.premium_rcv_detail_code))+1
from ins_premium_det i),'46800','46800','02', '11000003','00','Request by Mr. Saqib Saleem 23-Dec-2024 renewal');</v>
      </c>
      <c r="H23" s="70" t="str">
        <f t="shared" si="3"/>
        <v>insert into ins_premium_det (premium_rcv_code,assorted_code, rec_amount,premium_rcv_detail_code,remaining_amt, payrec, mode_code,coinsurance_code,class_cd,it_remarks) values('23Dec240041','070000169959','46800',(select max(to_number(i.premium_rcv_detail_code))+1
from ins_premium_det i),'46800','46800','02', '11000003','00','Request by Mr. Saqib Saleem 23-Dec-2024 renewal');</v>
      </c>
    </row>
    <row r="24" spans="1:8" ht="89.25" x14ac:dyDescent="0.2">
      <c r="A24" t="s">
        <v>534</v>
      </c>
      <c r="B24" t="str">
        <f>VLOOKUP(A24,policy1!B:C,2,0)</f>
        <v>070000169960</v>
      </c>
      <c r="C24" s="54">
        <v>135000</v>
      </c>
      <c r="D24" s="67">
        <f t="shared" si="1"/>
        <v>135000</v>
      </c>
      <c r="E24" t="s">
        <v>4380</v>
      </c>
      <c r="F24" s="68" t="str">
        <f t="shared" si="0"/>
        <v>insert into ins_premium_det (premium_rcv_code,assorted_code, rec_amount,premium_rcv_detail_code,remaining_amt, payrec, mode_code,coinsurance_code,class_cd,it_remarks) values</v>
      </c>
      <c r="G24" s="69" t="str">
        <f t="shared" si="2"/>
        <v>('23Dec240041','070000169960','135000',(select max(to_number(i.premium_rcv_detail_code))+1
from ins_premium_det i),'135000','135000','02', '11000003','00','Request by Mr. Saqib Saleem 23-Dec-2024 renewal');</v>
      </c>
      <c r="H24" s="70" t="str">
        <f t="shared" si="3"/>
        <v>insert into ins_premium_det (premium_rcv_code,assorted_code, rec_amount,premium_rcv_detail_code,remaining_amt, payrec, mode_code,coinsurance_code,class_cd,it_remarks) values('23Dec240041','070000169960','135000',(select max(to_number(i.premium_rcv_detail_code))+1
from ins_premium_det i),'135000','135000','02', '11000003','00','Request by Mr. Saqib Saleem 23-Dec-2024 renewal');</v>
      </c>
    </row>
    <row r="25" spans="1:8" ht="89.25" x14ac:dyDescent="0.2">
      <c r="A25" t="s">
        <v>1122</v>
      </c>
      <c r="B25" t="str">
        <f>VLOOKUP(A25,policy1!B:C,2,0)</f>
        <v>070000170002</v>
      </c>
      <c r="C25" s="54">
        <v>83066</v>
      </c>
      <c r="D25" s="67">
        <f t="shared" si="1"/>
        <v>83066</v>
      </c>
      <c r="E25" t="s">
        <v>4380</v>
      </c>
      <c r="F25" s="68" t="str">
        <f t="shared" si="0"/>
        <v>insert into ins_premium_det (premium_rcv_code,assorted_code, rec_amount,premium_rcv_detail_code,remaining_amt, payrec, mode_code,coinsurance_code,class_cd,it_remarks) values</v>
      </c>
      <c r="G25" s="69" t="str">
        <f t="shared" si="2"/>
        <v>('23Dec240041','070000170002','83066',(select max(to_number(i.premium_rcv_detail_code))+1
from ins_premium_det i),'83066','83066','02', '11000003','00','Request by Mr. Saqib Saleem 23-Dec-2024 renewal');</v>
      </c>
      <c r="H25" s="70" t="str">
        <f t="shared" si="3"/>
        <v>insert into ins_premium_det (premium_rcv_code,assorted_code, rec_amount,premium_rcv_detail_code,remaining_amt, payrec, mode_code,coinsurance_code,class_cd,it_remarks) values('23Dec240041','070000170002','83066',(select max(to_number(i.premium_rcv_detail_code))+1
from ins_premium_det i),'83066','83066','02', '11000003','00','Request by Mr. Saqib Saleem 23-Dec-2024 renewal');</v>
      </c>
    </row>
    <row r="26" spans="1:8" ht="89.25" x14ac:dyDescent="0.2">
      <c r="A26" t="s">
        <v>923</v>
      </c>
      <c r="B26" t="str">
        <f>VLOOKUP(A26,policy1!B:C,2,0)</f>
        <v>070000169906</v>
      </c>
      <c r="C26" s="54">
        <v>20400</v>
      </c>
      <c r="D26" s="67">
        <f t="shared" si="1"/>
        <v>20400</v>
      </c>
      <c r="E26" t="s">
        <v>4380</v>
      </c>
      <c r="F26" s="68" t="str">
        <f t="shared" si="0"/>
        <v>insert into ins_premium_det (premium_rcv_code,assorted_code, rec_amount,premium_rcv_detail_code,remaining_amt, payrec, mode_code,coinsurance_code,class_cd,it_remarks) values</v>
      </c>
      <c r="G26" s="69" t="str">
        <f t="shared" si="2"/>
        <v>('23Dec240041','070000169906','20400',(select max(to_number(i.premium_rcv_detail_code))+1
from ins_premium_det i),'20400','20400','02', '11000003','00','Request by Mr. Saqib Saleem 23-Dec-2024 renewal');</v>
      </c>
      <c r="H26" s="70" t="str">
        <f t="shared" si="3"/>
        <v>insert into ins_premium_det (premium_rcv_code,assorted_code, rec_amount,premium_rcv_detail_code,remaining_amt, payrec, mode_code,coinsurance_code,class_cd,it_remarks) values('23Dec240041','070000169906','20400',(select max(to_number(i.premium_rcv_detail_code))+1
from ins_premium_det i),'20400','20400','02', '11000003','00','Request by Mr. Saqib Saleem 23-Dec-2024 renewal');</v>
      </c>
    </row>
    <row r="27" spans="1:8" ht="89.25" x14ac:dyDescent="0.2">
      <c r="A27" t="s">
        <v>1713</v>
      </c>
      <c r="B27" t="str">
        <f>VLOOKUP(A27,policy1!B:C,2,0)</f>
        <v>070000170061</v>
      </c>
      <c r="C27" s="54">
        <v>21112</v>
      </c>
      <c r="D27" s="67">
        <f t="shared" si="1"/>
        <v>21112</v>
      </c>
      <c r="E27" t="s">
        <v>4380</v>
      </c>
      <c r="F27" s="68" t="str">
        <f t="shared" si="0"/>
        <v>insert into ins_premium_det (premium_rcv_code,assorted_code, rec_amount,premium_rcv_detail_code,remaining_amt, payrec, mode_code,coinsurance_code,class_cd,it_remarks) values</v>
      </c>
      <c r="G27" s="69" t="str">
        <f t="shared" si="2"/>
        <v>('23Dec240041','070000170061','21112',(select max(to_number(i.premium_rcv_detail_code))+1
from ins_premium_det i),'21112','21112','02', '11000003','00','Request by Mr. Saqib Saleem 23-Dec-2024 renewal');</v>
      </c>
      <c r="H27" s="70" t="str">
        <f t="shared" si="3"/>
        <v>insert into ins_premium_det (premium_rcv_code,assorted_code, rec_amount,premium_rcv_detail_code,remaining_amt, payrec, mode_code,coinsurance_code,class_cd,it_remarks) values('23Dec240041','070000170061','21112',(select max(to_number(i.premium_rcv_detail_code))+1
from ins_premium_det i),'21112','21112','02', '11000003','00','Request by Mr. Saqib Saleem 23-Dec-2024 renewal');</v>
      </c>
    </row>
    <row r="28" spans="1:8" ht="89.25" x14ac:dyDescent="0.2">
      <c r="A28" t="s">
        <v>1208</v>
      </c>
      <c r="B28" t="str">
        <f>VLOOKUP(A28,policy1!B:C,2,0)</f>
        <v>070000170003</v>
      </c>
      <c r="C28" s="54">
        <v>63750</v>
      </c>
      <c r="D28" s="67">
        <f t="shared" si="1"/>
        <v>63750</v>
      </c>
      <c r="E28" t="s">
        <v>4380</v>
      </c>
      <c r="F28" s="68" t="str">
        <f t="shared" si="0"/>
        <v>insert into ins_premium_det (premium_rcv_code,assorted_code, rec_amount,premium_rcv_detail_code,remaining_amt, payrec, mode_code,coinsurance_code,class_cd,it_remarks) values</v>
      </c>
      <c r="G28" s="69" t="str">
        <f t="shared" si="2"/>
        <v>('23Dec240041','070000170003','63750',(select max(to_number(i.premium_rcv_detail_code))+1
from ins_premium_det i),'63750','63750','02', '11000003','00','Request by Mr. Saqib Saleem 23-Dec-2024 renewal');</v>
      </c>
      <c r="H28" s="70" t="str">
        <f t="shared" si="3"/>
        <v>insert into ins_premium_det (premium_rcv_code,assorted_code, rec_amount,premium_rcv_detail_code,remaining_amt, payrec, mode_code,coinsurance_code,class_cd,it_remarks) values('23Dec240041','070000170003','63750',(select max(to_number(i.premium_rcv_detail_code))+1
from ins_premium_det i),'63750','63750','02', '11000003','00','Request by Mr. Saqib Saleem 23-Dec-2024 renewal');</v>
      </c>
    </row>
    <row r="29" spans="1:8" ht="89.25" x14ac:dyDescent="0.2">
      <c r="A29" t="s">
        <v>1232</v>
      </c>
      <c r="B29" t="str">
        <f>VLOOKUP(A29,policy1!B:C,2,0)</f>
        <v>070000170004</v>
      </c>
      <c r="C29" s="54">
        <v>44625</v>
      </c>
      <c r="D29" s="67">
        <f t="shared" si="1"/>
        <v>44625</v>
      </c>
      <c r="E29" t="s">
        <v>4380</v>
      </c>
      <c r="F29" s="68" t="str">
        <f t="shared" si="0"/>
        <v>insert into ins_premium_det (premium_rcv_code,assorted_code, rec_amount,premium_rcv_detail_code,remaining_amt, payrec, mode_code,coinsurance_code,class_cd,it_remarks) values</v>
      </c>
      <c r="G29" s="69" t="str">
        <f t="shared" si="2"/>
        <v>('23Dec240041','070000170004','44625',(select max(to_number(i.premium_rcv_detail_code))+1
from ins_premium_det i),'44625','44625','02', '11000003','00','Request by Mr. Saqib Saleem 23-Dec-2024 renewal');</v>
      </c>
      <c r="H29" s="70" t="str">
        <f t="shared" si="3"/>
        <v>insert into ins_premium_det (premium_rcv_code,assorted_code, rec_amount,premium_rcv_detail_code,remaining_amt, payrec, mode_code,coinsurance_code,class_cd,it_remarks) values('23Dec240041','070000170004','44625',(select max(to_number(i.premium_rcv_detail_code))+1
from ins_premium_det i),'44625','44625','02', '11000003','00','Request by Mr. Saqib Saleem 23-Dec-2024 renewal');</v>
      </c>
    </row>
    <row r="30" spans="1:8" ht="89.25" x14ac:dyDescent="0.2">
      <c r="A30" t="s">
        <v>1753</v>
      </c>
      <c r="B30" t="str">
        <f>VLOOKUP(A30,policy1!B:C,2,0)</f>
        <v>070000170062</v>
      </c>
      <c r="C30" s="54">
        <v>47076</v>
      </c>
      <c r="D30" s="67">
        <f t="shared" si="1"/>
        <v>47076</v>
      </c>
      <c r="E30" t="s">
        <v>4380</v>
      </c>
      <c r="F30" s="68" t="str">
        <f t="shared" si="0"/>
        <v>insert into ins_premium_det (premium_rcv_code,assorted_code, rec_amount,premium_rcv_detail_code,remaining_amt, payrec, mode_code,coinsurance_code,class_cd,it_remarks) values</v>
      </c>
      <c r="G30" s="69" t="str">
        <f t="shared" si="2"/>
        <v>('23Dec240041','070000170062','47076',(select max(to_number(i.premium_rcv_detail_code))+1
from ins_premium_det i),'47076','47076','02', '11000003','00','Request by Mr. Saqib Saleem 23-Dec-2024 renewal');</v>
      </c>
      <c r="H30" s="70" t="str">
        <f t="shared" si="3"/>
        <v>insert into ins_premium_det (premium_rcv_code,assorted_code, rec_amount,premium_rcv_detail_code,remaining_amt, payrec, mode_code,coinsurance_code,class_cd,it_remarks) values('23Dec240041','070000170062','47076',(select max(to_number(i.premium_rcv_detail_code))+1
from ins_premium_det i),'47076','47076','02', '11000003','00','Request by Mr. Saqib Saleem 23-Dec-2024 renewal');</v>
      </c>
    </row>
    <row r="31" spans="1:8" ht="89.25" x14ac:dyDescent="0.2">
      <c r="A31" t="s">
        <v>1761</v>
      </c>
      <c r="B31" t="str">
        <f>VLOOKUP(A31,policy1!B:C,2,0)</f>
        <v>070000170063</v>
      </c>
      <c r="C31" s="54">
        <v>46836</v>
      </c>
      <c r="D31" s="67">
        <f t="shared" si="1"/>
        <v>46836</v>
      </c>
      <c r="E31" t="s">
        <v>4380</v>
      </c>
      <c r="F31" s="68" t="str">
        <f t="shared" si="0"/>
        <v>insert into ins_premium_det (premium_rcv_code,assorted_code, rec_amount,premium_rcv_detail_code,remaining_amt, payrec, mode_code,coinsurance_code,class_cd,it_remarks) values</v>
      </c>
      <c r="G31" s="69" t="str">
        <f t="shared" si="2"/>
        <v>('23Dec240041','070000170063','46836',(select max(to_number(i.premium_rcv_detail_code))+1
from ins_premium_det i),'46836','46836','02', '11000003','00','Request by Mr. Saqib Saleem 23-Dec-2024 renewal');</v>
      </c>
      <c r="H31" s="70" t="str">
        <f t="shared" si="3"/>
        <v>insert into ins_premium_det (premium_rcv_code,assorted_code, rec_amount,premium_rcv_detail_code,remaining_amt, payrec, mode_code,coinsurance_code,class_cd,it_remarks) values('23Dec240041','070000170063','46836',(select max(to_number(i.premium_rcv_detail_code))+1
from ins_premium_det i),'46836','46836','02', '11000003','00','Request by Mr. Saqib Saleem 23-Dec-2024 renewal');</v>
      </c>
    </row>
    <row r="32" spans="1:8" ht="89.25" x14ac:dyDescent="0.2">
      <c r="A32" t="s">
        <v>932</v>
      </c>
      <c r="B32" t="str">
        <f>VLOOKUP(A32,policy1!B:C,2,0)</f>
        <v>070000169908</v>
      </c>
      <c r="C32" s="54">
        <v>14280</v>
      </c>
      <c r="D32" s="67">
        <f t="shared" si="1"/>
        <v>14280</v>
      </c>
      <c r="E32" t="s">
        <v>4380</v>
      </c>
      <c r="F32" s="68" t="str">
        <f t="shared" si="0"/>
        <v>insert into ins_premium_det (premium_rcv_code,assorted_code, rec_amount,premium_rcv_detail_code,remaining_amt, payrec, mode_code,coinsurance_code,class_cd,it_remarks) values</v>
      </c>
      <c r="G32" s="69" t="str">
        <f t="shared" si="2"/>
        <v>('23Dec240041','070000169908','14280',(select max(to_number(i.premium_rcv_detail_code))+1
from ins_premium_det i),'14280','14280','02', '11000003','00','Request by Mr. Saqib Saleem 23-Dec-2024 renewal');</v>
      </c>
      <c r="H32" s="70" t="str">
        <f t="shared" si="3"/>
        <v>insert into ins_premium_det (premium_rcv_code,assorted_code, rec_amount,premium_rcv_detail_code,remaining_amt, payrec, mode_code,coinsurance_code,class_cd,it_remarks) values('23Dec240041','070000169908','14280',(select max(to_number(i.premium_rcv_detail_code))+1
from ins_premium_det i),'14280','14280','02', '11000003','00','Request by Mr. Saqib Saleem 23-Dec-2024 renewal');</v>
      </c>
    </row>
    <row r="33" spans="1:8" ht="89.25" x14ac:dyDescent="0.2">
      <c r="A33" t="s">
        <v>1248</v>
      </c>
      <c r="B33" t="str">
        <f>VLOOKUP(A33,policy1!B:C,2,0)</f>
        <v>070000170006</v>
      </c>
      <c r="C33" s="54">
        <v>61604</v>
      </c>
      <c r="D33" s="67">
        <f t="shared" si="1"/>
        <v>61604</v>
      </c>
      <c r="E33" t="s">
        <v>4380</v>
      </c>
      <c r="F33" s="68" t="str">
        <f t="shared" si="0"/>
        <v>insert into ins_premium_det (premium_rcv_code,assorted_code, rec_amount,premium_rcv_detail_code,remaining_amt, payrec, mode_code,coinsurance_code,class_cd,it_remarks) values</v>
      </c>
      <c r="G33" s="69" t="str">
        <f t="shared" si="2"/>
        <v>('23Dec240041','070000170006','61604',(select max(to_number(i.premium_rcv_detail_code))+1
from ins_premium_det i),'61604','61604','02', '11000003','00','Request by Mr. Saqib Saleem 23-Dec-2024 renewal');</v>
      </c>
      <c r="H33" s="70" t="str">
        <f t="shared" si="3"/>
        <v>insert into ins_premium_det (premium_rcv_code,assorted_code, rec_amount,premium_rcv_detail_code,remaining_amt, payrec, mode_code,coinsurance_code,class_cd,it_remarks) values('23Dec240041','070000170006','61604',(select max(to_number(i.premium_rcv_detail_code))+1
from ins_premium_det i),'61604','61604','02', '11000003','00','Request by Mr. Saqib Saleem 23-Dec-2024 renewal');</v>
      </c>
    </row>
    <row r="34" spans="1:8" ht="89.25" x14ac:dyDescent="0.2">
      <c r="A34" t="s">
        <v>1256</v>
      </c>
      <c r="B34" t="str">
        <f>VLOOKUP(A34,policy1!B:C,2,0)</f>
        <v>070000170007</v>
      </c>
      <c r="C34" s="54">
        <v>22997</v>
      </c>
      <c r="D34" s="67">
        <f t="shared" si="1"/>
        <v>22997</v>
      </c>
      <c r="E34" t="s">
        <v>4380</v>
      </c>
      <c r="F34" s="68" t="str">
        <f t="shared" si="0"/>
        <v>insert into ins_premium_det (premium_rcv_code,assorted_code, rec_amount,premium_rcv_detail_code,remaining_amt, payrec, mode_code,coinsurance_code,class_cd,it_remarks) values</v>
      </c>
      <c r="G34" s="69" t="str">
        <f t="shared" si="2"/>
        <v>('23Dec240041','070000170007','22997',(select max(to_number(i.premium_rcv_detail_code))+1
from ins_premium_det i),'22997','22997','02', '11000003','00','Request by Mr. Saqib Saleem 23-Dec-2024 renewal');</v>
      </c>
      <c r="H34" s="70" t="str">
        <f t="shared" si="3"/>
        <v>insert into ins_premium_det (premium_rcv_code,assorted_code, rec_amount,premium_rcv_detail_code,remaining_amt, payrec, mode_code,coinsurance_code,class_cd,it_remarks) values('23Dec240041','070000170007','22997',(select max(to_number(i.premium_rcv_detail_code))+1
from ins_premium_det i),'22997','22997','02', '11000003','00','Request by Mr. Saqib Saleem 23-Dec-2024 renewal');</v>
      </c>
    </row>
    <row r="35" spans="1:8" ht="89.25" x14ac:dyDescent="0.2">
      <c r="A35" t="s">
        <v>1278</v>
      </c>
      <c r="B35" t="str">
        <f>VLOOKUP(A35,policy1!B:C,2,0)</f>
        <v>070000170067</v>
      </c>
      <c r="C35" s="54">
        <v>37842</v>
      </c>
      <c r="D35" s="67">
        <f t="shared" si="1"/>
        <v>37842</v>
      </c>
      <c r="E35" t="s">
        <v>4380</v>
      </c>
      <c r="F35" s="68" t="str">
        <f t="shared" si="0"/>
        <v>insert into ins_premium_det (premium_rcv_code,assorted_code, rec_amount,premium_rcv_detail_code,remaining_amt, payrec, mode_code,coinsurance_code,class_cd,it_remarks) values</v>
      </c>
      <c r="G35" s="69" t="str">
        <f t="shared" si="2"/>
        <v>('23Dec240041','070000170067','37842',(select max(to_number(i.premium_rcv_detail_code))+1
from ins_premium_det i),'37842','37842','02', '11000003','00','Request by Mr. Saqib Saleem 23-Dec-2024 renewal');</v>
      </c>
      <c r="H35" s="70" t="str">
        <f t="shared" si="3"/>
        <v>insert into ins_premium_det (premium_rcv_code,assorted_code, rec_amount,premium_rcv_detail_code,remaining_amt, payrec, mode_code,coinsurance_code,class_cd,it_remarks) values('23Dec240041','070000170067','37842',(select max(to_number(i.premium_rcv_detail_code))+1
from ins_premium_det i),'37842','37842','02', '11000003','00','Request by Mr. Saqib Saleem 23-Dec-2024 renewal');</v>
      </c>
    </row>
    <row r="36" spans="1:8" ht="89.25" x14ac:dyDescent="0.2">
      <c r="A36" t="s">
        <v>1304</v>
      </c>
      <c r="B36" t="str">
        <f>VLOOKUP(A36,policy1!B:C,2,0)</f>
        <v>070000170070</v>
      </c>
      <c r="C36" s="54">
        <v>14000</v>
      </c>
      <c r="D36" s="67">
        <f t="shared" si="1"/>
        <v>14000</v>
      </c>
      <c r="E36" t="s">
        <v>4380</v>
      </c>
      <c r="F36" s="68" t="str">
        <f t="shared" si="0"/>
        <v>insert into ins_premium_det (premium_rcv_code,assorted_code, rec_amount,premium_rcv_detail_code,remaining_amt, payrec, mode_code,coinsurance_code,class_cd,it_remarks) values</v>
      </c>
      <c r="G36" s="69" t="str">
        <f t="shared" si="2"/>
        <v>('23Dec240041','070000170070','14000',(select max(to_number(i.premium_rcv_detail_code))+1
from ins_premium_det i),'14000','14000','02', '11000003','00','Request by Mr. Saqib Saleem 23-Dec-2024 renewal');</v>
      </c>
      <c r="H36" s="70" t="str">
        <f t="shared" si="3"/>
        <v>insert into ins_premium_det (premium_rcv_code,assorted_code, rec_amount,premium_rcv_detail_code,remaining_amt, payrec, mode_code,coinsurance_code,class_cd,it_remarks) values('23Dec240041','070000170070','14000',(select max(to_number(i.premium_rcv_detail_code))+1
from ins_premium_det i),'14000','14000','02', '11000003','00','Request by Mr. Saqib Saleem 23-Dec-2024 renewal');</v>
      </c>
    </row>
    <row r="37" spans="1:8" ht="89.25" x14ac:dyDescent="0.2">
      <c r="A37" t="s">
        <v>1769</v>
      </c>
      <c r="B37" t="str">
        <f>VLOOKUP(A37,policy1!B:C,2,0)</f>
        <v>070000170066</v>
      </c>
      <c r="C37" s="54">
        <v>32200</v>
      </c>
      <c r="D37" s="67">
        <f t="shared" si="1"/>
        <v>32200</v>
      </c>
      <c r="E37" t="s">
        <v>4380</v>
      </c>
      <c r="F37" s="68" t="str">
        <f t="shared" si="0"/>
        <v>insert into ins_premium_det (premium_rcv_code,assorted_code, rec_amount,premium_rcv_detail_code,remaining_amt, payrec, mode_code,coinsurance_code,class_cd,it_remarks) values</v>
      </c>
      <c r="G37" s="69" t="str">
        <f t="shared" si="2"/>
        <v>('23Dec240041','070000170066','32200',(select max(to_number(i.premium_rcv_detail_code))+1
from ins_premium_det i),'32200','32200','02', '11000003','00','Request by Mr. Saqib Saleem 23-Dec-2024 renewal');</v>
      </c>
      <c r="H37" s="70" t="str">
        <f t="shared" si="3"/>
        <v>insert into ins_premium_det (premium_rcv_code,assorted_code, rec_amount,premium_rcv_detail_code,remaining_amt, payrec, mode_code,coinsurance_code,class_cd,it_remarks) values('23Dec240041','070000170066','32200',(select max(to_number(i.premium_rcv_detail_code))+1
from ins_premium_det i),'32200','32200','02', '11000003','00','Request by Mr. Saqib Saleem 23-Dec-2024 renewal');</v>
      </c>
    </row>
    <row r="38" spans="1:8" ht="89.25" x14ac:dyDescent="0.2">
      <c r="A38" t="s">
        <v>1286</v>
      </c>
      <c r="B38" t="str">
        <f>VLOOKUP(A38,policy1!B:C,2,0)</f>
        <v>070000170068</v>
      </c>
      <c r="C38" s="54">
        <v>36400</v>
      </c>
      <c r="D38" s="67">
        <f t="shared" si="1"/>
        <v>36400</v>
      </c>
      <c r="E38" t="s">
        <v>4380</v>
      </c>
      <c r="F38" s="68" t="str">
        <f t="shared" si="0"/>
        <v>insert into ins_premium_det (premium_rcv_code,assorted_code, rec_amount,premium_rcv_detail_code,remaining_amt, payrec, mode_code,coinsurance_code,class_cd,it_remarks) values</v>
      </c>
      <c r="G38" s="69" t="str">
        <f t="shared" si="2"/>
        <v>('23Dec240041','070000170068','36400',(select max(to_number(i.premium_rcv_detail_code))+1
from ins_premium_det i),'36400','36400','02', '11000003','00','Request by Mr. Saqib Saleem 23-Dec-2024 renewal');</v>
      </c>
      <c r="H38" s="70" t="str">
        <f t="shared" si="3"/>
        <v>insert into ins_premium_det (premium_rcv_code,assorted_code, rec_amount,premium_rcv_detail_code,remaining_amt, payrec, mode_code,coinsurance_code,class_cd,it_remarks) values('23Dec240041','070000170068','36400',(select max(to_number(i.premium_rcv_detail_code))+1
from ins_premium_det i),'36400','36400','02', '11000003','00','Request by Mr. Saqib Saleem 23-Dec-2024 renewal');</v>
      </c>
    </row>
    <row r="39" spans="1:8" ht="89.25" x14ac:dyDescent="0.2">
      <c r="A39" t="s">
        <v>1311</v>
      </c>
      <c r="B39" t="str">
        <f>VLOOKUP(A39,policy1!B:C,2,0)</f>
        <v>070000170071</v>
      </c>
      <c r="C39" s="54">
        <v>22750</v>
      </c>
      <c r="D39" s="67">
        <f t="shared" si="1"/>
        <v>22750</v>
      </c>
      <c r="E39" t="s">
        <v>4380</v>
      </c>
      <c r="F39" s="68" t="str">
        <f t="shared" si="0"/>
        <v>insert into ins_premium_det (premium_rcv_code,assorted_code, rec_amount,premium_rcv_detail_code,remaining_amt, payrec, mode_code,coinsurance_code,class_cd,it_remarks) values</v>
      </c>
      <c r="G39" s="69" t="str">
        <f t="shared" si="2"/>
        <v>('23Dec240041','070000170071','22750',(select max(to_number(i.premium_rcv_detail_code))+1
from ins_premium_det i),'22750','22750','02', '11000003','00','Request by Mr. Saqib Saleem 23-Dec-2024 renewal');</v>
      </c>
      <c r="H39" s="70" t="str">
        <f t="shared" si="3"/>
        <v>insert into ins_premium_det (premium_rcv_code,assorted_code, rec_amount,premium_rcv_detail_code,remaining_amt, payrec, mode_code,coinsurance_code,class_cd,it_remarks) values('23Dec240041','070000170071','22750',(select max(to_number(i.premium_rcv_detail_code))+1
from ins_premium_det i),'22750','22750','02', '11000003','00','Request by Mr. Saqib Saleem 23-Dec-2024 renewal');</v>
      </c>
    </row>
    <row r="40" spans="1:8" ht="89.25" x14ac:dyDescent="0.2">
      <c r="A40" t="s">
        <v>1318</v>
      </c>
      <c r="B40" t="str">
        <f>VLOOKUP(A40,policy1!B:C,2,0)</f>
        <v>070000170072</v>
      </c>
      <c r="C40" s="54">
        <v>44520</v>
      </c>
      <c r="D40" s="67">
        <f t="shared" si="1"/>
        <v>44520</v>
      </c>
      <c r="E40" t="s">
        <v>4380</v>
      </c>
      <c r="F40" s="68" t="str">
        <f t="shared" si="0"/>
        <v>insert into ins_premium_det (premium_rcv_code,assorted_code, rec_amount,premium_rcv_detail_code,remaining_amt, payrec, mode_code,coinsurance_code,class_cd,it_remarks) values</v>
      </c>
      <c r="G40" s="69" t="str">
        <f t="shared" si="2"/>
        <v>('23Dec240041','070000170072','44520',(select max(to_number(i.premium_rcv_detail_code))+1
from ins_premium_det i),'44520','44520','02', '11000003','00','Request by Mr. Saqib Saleem 23-Dec-2024 renewal');</v>
      </c>
      <c r="H40" s="70" t="str">
        <f t="shared" si="3"/>
        <v>insert into ins_premium_det (premium_rcv_code,assorted_code, rec_amount,premium_rcv_detail_code,remaining_amt, payrec, mode_code,coinsurance_code,class_cd,it_remarks) values('23Dec240041','070000170072','44520',(select max(to_number(i.premium_rcv_detail_code))+1
from ins_premium_det i),'44520','44520','02', '11000003','00','Request by Mr. Saqib Saleem 23-Dec-2024 renewal');</v>
      </c>
    </row>
    <row r="41" spans="1:8" ht="89.25" x14ac:dyDescent="0.2">
      <c r="A41" t="s">
        <v>1787</v>
      </c>
      <c r="B41" t="str">
        <f>VLOOKUP(A41,policy1!B:C,2,0)</f>
        <v>070000170165</v>
      </c>
      <c r="C41" s="54">
        <v>45000</v>
      </c>
      <c r="D41" s="67">
        <f t="shared" si="1"/>
        <v>45000</v>
      </c>
      <c r="E41" t="s">
        <v>4380</v>
      </c>
      <c r="F41" s="68" t="str">
        <f t="shared" si="0"/>
        <v>insert into ins_premium_det (premium_rcv_code,assorted_code, rec_amount,premium_rcv_detail_code,remaining_amt, payrec, mode_code,coinsurance_code,class_cd,it_remarks) values</v>
      </c>
      <c r="G41" s="69" t="str">
        <f t="shared" si="2"/>
        <v>('23Dec240041','070000170165','45000',(select max(to_number(i.premium_rcv_detail_code))+1
from ins_premium_det i),'45000','45000','02', '11000003','00','Request by Mr. Saqib Saleem 23-Dec-2024 renewal');</v>
      </c>
      <c r="H41" s="70" t="str">
        <f t="shared" si="3"/>
        <v>insert into ins_premium_det (premium_rcv_code,assorted_code, rec_amount,premium_rcv_detail_code,remaining_amt, payrec, mode_code,coinsurance_code,class_cd,it_remarks) values('23Dec240041','070000170165','45000',(select max(to_number(i.premium_rcv_detail_code))+1
from ins_premium_det i),'45000','45000','02', '11000003','00','Request by Mr. Saqib Saleem 23-Dec-2024 renewal');</v>
      </c>
    </row>
    <row r="42" spans="1:8" ht="89.25" x14ac:dyDescent="0.2">
      <c r="A42" t="s">
        <v>1812</v>
      </c>
      <c r="B42" t="str">
        <f>VLOOKUP(A42,policy1!B:C,2,0)</f>
        <v>070000170169</v>
      </c>
      <c r="C42" s="54">
        <v>27000</v>
      </c>
      <c r="D42" s="67">
        <f t="shared" si="1"/>
        <v>27000</v>
      </c>
      <c r="E42" t="s">
        <v>4380</v>
      </c>
      <c r="F42" s="68" t="str">
        <f t="shared" si="0"/>
        <v>insert into ins_premium_det (premium_rcv_code,assorted_code, rec_amount,premium_rcv_detail_code,remaining_amt, payrec, mode_code,coinsurance_code,class_cd,it_remarks) values</v>
      </c>
      <c r="G42" s="69" t="str">
        <f t="shared" si="2"/>
        <v>('23Dec240041','070000170169','27000',(select max(to_number(i.premium_rcv_detail_code))+1
from ins_premium_det i),'27000','27000','02', '11000003','00','Request by Mr. Saqib Saleem 23-Dec-2024 renewal');</v>
      </c>
      <c r="H42" s="70" t="str">
        <f t="shared" si="3"/>
        <v>insert into ins_premium_det (premium_rcv_code,assorted_code, rec_amount,premium_rcv_detail_code,remaining_amt, payrec, mode_code,coinsurance_code,class_cd,it_remarks) values('23Dec240041','070000170169','27000',(select max(to_number(i.premium_rcv_detail_code))+1
from ins_premium_det i),'27000','27000','02', '11000003','00','Request by Mr. Saqib Saleem 23-Dec-2024 renewal');</v>
      </c>
    </row>
    <row r="43" spans="1:8" ht="89.25" x14ac:dyDescent="0.2">
      <c r="A43" t="s">
        <v>2138</v>
      </c>
      <c r="B43" t="str">
        <f>VLOOKUP(A43,policy1!B:C,2,0)</f>
        <v>070000170161</v>
      </c>
      <c r="C43" s="54">
        <v>53880</v>
      </c>
      <c r="D43" s="67">
        <f t="shared" si="1"/>
        <v>53880</v>
      </c>
      <c r="E43" t="s">
        <v>4380</v>
      </c>
      <c r="F43" s="68" t="str">
        <f t="shared" si="0"/>
        <v>insert into ins_premium_det (premium_rcv_code,assorted_code, rec_amount,premium_rcv_detail_code,remaining_amt, payrec, mode_code,coinsurance_code,class_cd,it_remarks) values</v>
      </c>
      <c r="G43" s="69" t="str">
        <f t="shared" si="2"/>
        <v>('23Dec240041','070000170161','53880',(select max(to_number(i.premium_rcv_detail_code))+1
from ins_premium_det i),'53880','53880','02', '11000003','00','Request by Mr. Saqib Saleem 23-Dec-2024 renewal');</v>
      </c>
      <c r="H43" s="70" t="str">
        <f t="shared" si="3"/>
        <v>insert into ins_premium_det (premium_rcv_code,assorted_code, rec_amount,premium_rcv_detail_code,remaining_amt, payrec, mode_code,coinsurance_code,class_cd,it_remarks) values('23Dec240041','070000170161','53880',(select max(to_number(i.premium_rcv_detail_code))+1
from ins_premium_det i),'53880','53880','02', '11000003','00','Request by Mr. Saqib Saleem 23-Dec-2024 renewal');</v>
      </c>
    </row>
    <row r="44" spans="1:8" ht="89.25" x14ac:dyDescent="0.2">
      <c r="A44" t="s">
        <v>515</v>
      </c>
      <c r="B44" t="str">
        <f>VLOOKUP(A44,policy1!B:C,2,0)</f>
        <v>070000169958</v>
      </c>
      <c r="C44" s="54">
        <v>119867</v>
      </c>
      <c r="D44" s="67">
        <f t="shared" si="1"/>
        <v>119867</v>
      </c>
      <c r="E44" t="s">
        <v>4380</v>
      </c>
      <c r="F44" s="68" t="str">
        <f t="shared" si="0"/>
        <v>insert into ins_premium_det (premium_rcv_code,assorted_code, rec_amount,premium_rcv_detail_code,remaining_amt, payrec, mode_code,coinsurance_code,class_cd,it_remarks) values</v>
      </c>
      <c r="G44" s="69" t="str">
        <f t="shared" si="2"/>
        <v>('23Dec240041','070000169958','119867',(select max(to_number(i.premium_rcv_detail_code))+1
from ins_premium_det i),'119867','119867','02', '11000003','00','Request by Mr. Saqib Saleem 23-Dec-2024 renewal');</v>
      </c>
      <c r="H44" s="70" t="str">
        <f t="shared" si="3"/>
        <v>insert into ins_premium_det (premium_rcv_code,assorted_code, rec_amount,premium_rcv_detail_code,remaining_amt, payrec, mode_code,coinsurance_code,class_cd,it_remarks) values('23Dec240041','070000169958','119867',(select max(to_number(i.premium_rcv_detail_code))+1
from ins_premium_det i),'119867','119867','02', '11000003','00','Request by Mr. Saqib Saleem 23-Dec-2024 renewal');</v>
      </c>
    </row>
    <row r="45" spans="1:8" ht="89.25" x14ac:dyDescent="0.2">
      <c r="A45" t="s">
        <v>551</v>
      </c>
      <c r="B45" t="str">
        <f>VLOOKUP(A45,policy1!B:C,2,0)</f>
        <v>070000169962</v>
      </c>
      <c r="C45" s="54">
        <v>54000</v>
      </c>
      <c r="D45" s="67">
        <f t="shared" si="1"/>
        <v>54000</v>
      </c>
      <c r="E45" t="s">
        <v>4380</v>
      </c>
      <c r="F45" s="68" t="str">
        <f t="shared" si="0"/>
        <v>insert into ins_premium_det (premium_rcv_code,assorted_code, rec_amount,premium_rcv_detail_code,remaining_amt, payrec, mode_code,coinsurance_code,class_cd,it_remarks) values</v>
      </c>
      <c r="G45" s="69" t="str">
        <f t="shared" si="2"/>
        <v>('23Dec240041','070000169962','54000',(select max(to_number(i.premium_rcv_detail_code))+1
from ins_premium_det i),'54000','54000','02', '11000003','00','Request by Mr. Saqib Saleem 23-Dec-2024 renewal');</v>
      </c>
      <c r="H45" s="70" t="str">
        <f t="shared" si="3"/>
        <v>insert into ins_premium_det (premium_rcv_code,assorted_code, rec_amount,premium_rcv_detail_code,remaining_amt, payrec, mode_code,coinsurance_code,class_cd,it_remarks) values('23Dec240041','070000169962','54000',(select max(to_number(i.premium_rcv_detail_code))+1
from ins_premium_det i),'54000','54000','02', '11000003','00','Request by Mr. Saqib Saleem 23-Dec-2024 renewal');</v>
      </c>
    </row>
    <row r="46" spans="1:8" ht="89.25" x14ac:dyDescent="0.2">
      <c r="A46" t="s">
        <v>1264</v>
      </c>
      <c r="B46" t="str">
        <f>VLOOKUP(A46,policy1!B:C,2,0)</f>
        <v>070000170008</v>
      </c>
      <c r="C46" s="54">
        <v>30281</v>
      </c>
      <c r="D46" s="67">
        <f t="shared" si="1"/>
        <v>30281</v>
      </c>
      <c r="E46" t="s">
        <v>4380</v>
      </c>
      <c r="F46" s="68" t="str">
        <f t="shared" si="0"/>
        <v>insert into ins_premium_det (premium_rcv_code,assorted_code, rec_amount,premium_rcv_detail_code,remaining_amt, payrec, mode_code,coinsurance_code,class_cd,it_remarks) values</v>
      </c>
      <c r="G46" s="69" t="str">
        <f t="shared" si="2"/>
        <v>('23Dec240041','070000170008','30281',(select max(to_number(i.premium_rcv_detail_code))+1
from ins_premium_det i),'30281','30281','02', '11000003','00','Request by Mr. Saqib Saleem 23-Dec-2024 renewal');</v>
      </c>
      <c r="H46" s="70" t="str">
        <f t="shared" si="3"/>
        <v>insert into ins_premium_det (premium_rcv_code,assorted_code, rec_amount,premium_rcv_detail_code,remaining_amt, payrec, mode_code,coinsurance_code,class_cd,it_remarks) values('23Dec240041','070000170008','30281',(select max(to_number(i.premium_rcv_detail_code))+1
from ins_premium_det i),'30281','30281','02', '11000003','00','Request by Mr. Saqib Saleem 23-Dec-2024 renewal');</v>
      </c>
    </row>
    <row r="47" spans="1:8" ht="89.25" x14ac:dyDescent="0.2">
      <c r="A47" t="s">
        <v>560</v>
      </c>
      <c r="B47" t="str">
        <f>VLOOKUP(A47,policy1!B:C,2,0)</f>
        <v>070000169963</v>
      </c>
      <c r="C47" s="54">
        <v>58050</v>
      </c>
      <c r="D47" s="67">
        <f t="shared" si="1"/>
        <v>58050</v>
      </c>
      <c r="E47" t="s">
        <v>4380</v>
      </c>
      <c r="F47" s="68" t="str">
        <f t="shared" si="0"/>
        <v>insert into ins_premium_det (premium_rcv_code,assorted_code, rec_amount,premium_rcv_detail_code,remaining_amt, payrec, mode_code,coinsurance_code,class_cd,it_remarks) values</v>
      </c>
      <c r="G47" s="69" t="str">
        <f t="shared" si="2"/>
        <v>('23Dec240041','070000169963','58050',(select max(to_number(i.premium_rcv_detail_code))+1
from ins_premium_det i),'58050','58050','02', '11000003','00','Request by Mr. Saqib Saleem 23-Dec-2024 renewal');</v>
      </c>
      <c r="H47" s="70" t="str">
        <f t="shared" si="3"/>
        <v>insert into ins_premium_det (premium_rcv_code,assorted_code, rec_amount,premium_rcv_detail_code,remaining_amt, payrec, mode_code,coinsurance_code,class_cd,it_remarks) values('23Dec240041','070000169963','58050',(select max(to_number(i.premium_rcv_detail_code))+1
from ins_premium_det i),'58050','58050','02', '11000003','00','Request by Mr. Saqib Saleem 23-Dec-2024 renewal');</v>
      </c>
    </row>
    <row r="48" spans="1:8" ht="89.25" x14ac:dyDescent="0.2">
      <c r="A48" t="s">
        <v>1331</v>
      </c>
      <c r="B48" t="str">
        <f>VLOOKUP(A48,policy1!B:C,2,0)</f>
        <v>070000170077</v>
      </c>
      <c r="C48" s="54">
        <v>21420</v>
      </c>
      <c r="D48" s="67">
        <f t="shared" si="1"/>
        <v>21420</v>
      </c>
      <c r="E48" t="s">
        <v>4380</v>
      </c>
      <c r="F48" s="68" t="str">
        <f t="shared" si="0"/>
        <v>insert into ins_premium_det (premium_rcv_code,assorted_code, rec_amount,premium_rcv_detail_code,remaining_amt, payrec, mode_code,coinsurance_code,class_cd,it_remarks) values</v>
      </c>
      <c r="G48" s="69" t="str">
        <f t="shared" si="2"/>
        <v>('23Dec240041','070000170077','21420',(select max(to_number(i.premium_rcv_detail_code))+1
from ins_premium_det i),'21420','21420','02', '11000003','00','Request by Mr. Saqib Saleem 23-Dec-2024 renewal');</v>
      </c>
      <c r="H48" s="70" t="str">
        <f t="shared" si="3"/>
        <v>insert into ins_premium_det (premium_rcv_code,assorted_code, rec_amount,premium_rcv_detail_code,remaining_amt, payrec, mode_code,coinsurance_code,class_cd,it_remarks) values('23Dec240041','070000170077','21420',(select max(to_number(i.premium_rcv_detail_code))+1
from ins_premium_det i),'21420','21420','02', '11000003','00','Request by Mr. Saqib Saleem 23-Dec-2024 renewal');</v>
      </c>
    </row>
    <row r="49" spans="1:8" ht="89.25" x14ac:dyDescent="0.2">
      <c r="A49" t="s">
        <v>1386</v>
      </c>
      <c r="B49" t="str">
        <f>VLOOKUP(A49,policy1!B:C,2,0)</f>
        <v>070000170083</v>
      </c>
      <c r="C49" s="54">
        <v>67600</v>
      </c>
      <c r="D49" s="67">
        <f t="shared" si="1"/>
        <v>67600</v>
      </c>
      <c r="E49" t="s">
        <v>4380</v>
      </c>
      <c r="F49" s="68" t="str">
        <f t="shared" si="0"/>
        <v>insert into ins_premium_det (premium_rcv_code,assorted_code, rec_amount,premium_rcv_detail_code,remaining_amt, payrec, mode_code,coinsurance_code,class_cd,it_remarks) values</v>
      </c>
      <c r="G49" s="69" t="str">
        <f t="shared" si="2"/>
        <v>('23Dec240041','070000170083','67600',(select max(to_number(i.premium_rcv_detail_code))+1
from ins_premium_det i),'67600','67600','02', '11000003','00','Request by Mr. Saqib Saleem 23-Dec-2024 renewal');</v>
      </c>
      <c r="H49" s="70" t="str">
        <f t="shared" si="3"/>
        <v>insert into ins_premium_det (premium_rcv_code,assorted_code, rec_amount,premium_rcv_detail_code,remaining_amt, payrec, mode_code,coinsurance_code,class_cd,it_remarks) values('23Dec240041','070000170083','67600',(select max(to_number(i.premium_rcv_detail_code))+1
from ins_premium_det i),'67600','67600','02', '11000003','00','Request by Mr. Saqib Saleem 23-Dec-2024 renewal');</v>
      </c>
    </row>
    <row r="50" spans="1:8" ht="89.25" x14ac:dyDescent="0.2">
      <c r="A50" t="s">
        <v>1845</v>
      </c>
      <c r="B50" t="str">
        <f>VLOOKUP(A50,policy1!B:C,2,0)</f>
        <v>070000170173</v>
      </c>
      <c r="C50" s="54">
        <v>35625</v>
      </c>
      <c r="D50" s="67">
        <f t="shared" si="1"/>
        <v>35625</v>
      </c>
      <c r="E50" t="s">
        <v>4380</v>
      </c>
      <c r="F50" s="68" t="str">
        <f t="shared" si="0"/>
        <v>insert into ins_premium_det (premium_rcv_code,assorted_code, rec_amount,premium_rcv_detail_code,remaining_amt, payrec, mode_code,coinsurance_code,class_cd,it_remarks) values</v>
      </c>
      <c r="G50" s="69" t="str">
        <f t="shared" si="2"/>
        <v>('23Dec240041','070000170173','35625',(select max(to_number(i.premium_rcv_detail_code))+1
from ins_premium_det i),'35625','35625','02', '11000003','00','Request by Mr. Saqib Saleem 23-Dec-2024 renewal');</v>
      </c>
      <c r="H50" s="70" t="str">
        <f t="shared" si="3"/>
        <v>insert into ins_premium_det (premium_rcv_code,assorted_code, rec_amount,premium_rcv_detail_code,remaining_amt, payrec, mode_code,coinsurance_code,class_cd,it_remarks) values('23Dec240041','070000170173','35625',(select max(to_number(i.premium_rcv_detail_code))+1
from ins_premium_det i),'35625','35625','02', '11000003','00','Request by Mr. Saqib Saleem 23-Dec-2024 renewal');</v>
      </c>
    </row>
    <row r="51" spans="1:8" ht="89.25" x14ac:dyDescent="0.2">
      <c r="A51" t="s">
        <v>569</v>
      </c>
      <c r="B51" t="str">
        <f>VLOOKUP(A51,policy1!B:C,2,0)</f>
        <v>070000169965</v>
      </c>
      <c r="C51" s="54">
        <v>25200</v>
      </c>
      <c r="D51" s="67">
        <f t="shared" si="1"/>
        <v>25200</v>
      </c>
      <c r="E51" t="s">
        <v>4380</v>
      </c>
      <c r="F51" s="68" t="str">
        <f t="shared" si="0"/>
        <v>insert into ins_premium_det (premium_rcv_code,assorted_code, rec_amount,premium_rcv_detail_code,remaining_amt, payrec, mode_code,coinsurance_code,class_cd,it_remarks) values</v>
      </c>
      <c r="G51" s="69" t="str">
        <f t="shared" si="2"/>
        <v>('23Dec240041','070000169965','25200',(select max(to_number(i.premium_rcv_detail_code))+1
from ins_premium_det i),'25200','25200','02', '11000003','00','Request by Mr. Saqib Saleem 23-Dec-2024 renewal');</v>
      </c>
      <c r="H51" s="70" t="str">
        <f t="shared" si="3"/>
        <v>insert into ins_premium_det (premium_rcv_code,assorted_code, rec_amount,premium_rcv_detail_code,remaining_amt, payrec, mode_code,coinsurance_code,class_cd,it_remarks) values('23Dec240041','070000169965','25200',(select max(to_number(i.premium_rcv_detail_code))+1
from ins_premium_det i),'25200','25200','02', '11000003','00','Request by Mr. Saqib Saleem 23-Dec-2024 renewal');</v>
      </c>
    </row>
    <row r="52" spans="1:8" ht="89.25" x14ac:dyDescent="0.2">
      <c r="A52" t="s">
        <v>838</v>
      </c>
      <c r="B52" t="str">
        <f>VLOOKUP(A52,policy1!B:C,2,0)</f>
        <v>070000171291</v>
      </c>
      <c r="C52" s="54">
        <v>61604</v>
      </c>
      <c r="D52" s="67">
        <f t="shared" si="1"/>
        <v>61604</v>
      </c>
      <c r="E52" t="s">
        <v>4380</v>
      </c>
      <c r="F52" s="68" t="str">
        <f t="shared" si="0"/>
        <v>insert into ins_premium_det (premium_rcv_code,assorted_code, rec_amount,premium_rcv_detail_code,remaining_amt, payrec, mode_code,coinsurance_code,class_cd,it_remarks) values</v>
      </c>
      <c r="G52" s="69" t="str">
        <f t="shared" si="2"/>
        <v>('23Dec240041','070000171291','61604',(select max(to_number(i.premium_rcv_detail_code))+1
from ins_premium_det i),'61604','61604','02', '11000003','00','Request by Mr. Saqib Saleem 23-Dec-2024 renewal');</v>
      </c>
      <c r="H52" s="70" t="str">
        <f t="shared" si="3"/>
        <v>insert into ins_premium_det (premium_rcv_code,assorted_code, rec_amount,premium_rcv_detail_code,remaining_amt, payrec, mode_code,coinsurance_code,class_cd,it_remarks) values('23Dec240041','070000171291','61604',(select max(to_number(i.premium_rcv_detail_code))+1
from ins_premium_det i),'61604','61604','02', '11000003','00','Request by Mr. Saqib Saleem 23-Dec-2024 renewal');</v>
      </c>
    </row>
    <row r="53" spans="1:8" ht="89.25" x14ac:dyDescent="0.2">
      <c r="A53" t="s">
        <v>964</v>
      </c>
      <c r="B53" t="str">
        <f>VLOOKUP(A53,policy1!B:C,2,0)</f>
        <v>070000170010</v>
      </c>
      <c r="C53" s="54">
        <v>61604</v>
      </c>
      <c r="D53" s="67">
        <f t="shared" si="1"/>
        <v>61604</v>
      </c>
      <c r="E53" t="s">
        <v>4380</v>
      </c>
      <c r="F53" s="68" t="str">
        <f t="shared" si="0"/>
        <v>insert into ins_premium_det (premium_rcv_code,assorted_code, rec_amount,premium_rcv_detail_code,remaining_amt, payrec, mode_code,coinsurance_code,class_cd,it_remarks) values</v>
      </c>
      <c r="G53" s="69" t="str">
        <f t="shared" si="2"/>
        <v>('23Dec240041','070000170010','61604',(select max(to_number(i.premium_rcv_detail_code))+1
from ins_premium_det i),'61604','61604','02', '11000003','00','Request by Mr. Saqib Saleem 23-Dec-2024 renewal');</v>
      </c>
      <c r="H53" s="70" t="str">
        <f t="shared" si="3"/>
        <v>insert into ins_premium_det (premium_rcv_code,assorted_code, rec_amount,premium_rcv_detail_code,remaining_amt, payrec, mode_code,coinsurance_code,class_cd,it_remarks) values('23Dec240041','070000170010','61604',(select max(to_number(i.premium_rcv_detail_code))+1
from ins_premium_det i),'61604','61604','02', '11000003','00','Request by Mr. Saqib Saleem 23-Dec-2024 renewal');</v>
      </c>
    </row>
    <row r="54" spans="1:8" ht="89.25" x14ac:dyDescent="0.2">
      <c r="A54" t="s">
        <v>972</v>
      </c>
      <c r="B54" t="str">
        <f>VLOOKUP(A54,policy1!B:C,2,0)</f>
        <v>070000170013</v>
      </c>
      <c r="C54" s="54">
        <v>25075</v>
      </c>
      <c r="D54" s="67">
        <f t="shared" si="1"/>
        <v>25075</v>
      </c>
      <c r="E54" t="s">
        <v>4380</v>
      </c>
      <c r="F54" s="68" t="str">
        <f t="shared" si="0"/>
        <v>insert into ins_premium_det (premium_rcv_code,assorted_code, rec_amount,premium_rcv_detail_code,remaining_amt, payrec, mode_code,coinsurance_code,class_cd,it_remarks) values</v>
      </c>
      <c r="G54" s="69" t="str">
        <f t="shared" si="2"/>
        <v>('23Dec240041','070000170013','25075',(select max(to_number(i.premium_rcv_detail_code))+1
from ins_premium_det i),'25075','25075','02', '11000003','00','Request by Mr. Saqib Saleem 23-Dec-2024 renewal');</v>
      </c>
      <c r="H54" s="70" t="str">
        <f t="shared" si="3"/>
        <v>insert into ins_premium_det (premium_rcv_code,assorted_code, rec_amount,premium_rcv_detail_code,remaining_amt, payrec, mode_code,coinsurance_code,class_cd,it_remarks) values('23Dec240041','070000170013','25075',(select max(to_number(i.premium_rcv_detail_code))+1
from ins_premium_det i),'25075','25075','02', '11000003','00','Request by Mr. Saqib Saleem 23-Dec-2024 renewal');</v>
      </c>
    </row>
    <row r="55" spans="1:8" ht="89.25" x14ac:dyDescent="0.2">
      <c r="A55" t="s">
        <v>980</v>
      </c>
      <c r="B55" t="str">
        <f>VLOOKUP(A55,policy1!B:C,2,0)</f>
        <v>070000170015</v>
      </c>
      <c r="C55" s="54">
        <v>19427</v>
      </c>
      <c r="D55" s="67">
        <f t="shared" si="1"/>
        <v>19427</v>
      </c>
      <c r="E55" t="s">
        <v>4380</v>
      </c>
      <c r="F55" s="68" t="str">
        <f t="shared" si="0"/>
        <v>insert into ins_premium_det (premium_rcv_code,assorted_code, rec_amount,premium_rcv_detail_code,remaining_amt, payrec, mode_code,coinsurance_code,class_cd,it_remarks) values</v>
      </c>
      <c r="G55" s="69" t="str">
        <f t="shared" si="2"/>
        <v>('23Dec240041','070000170015','19427',(select max(to_number(i.premium_rcv_detail_code))+1
from ins_premium_det i),'19427','19427','02', '11000003','00','Request by Mr. Saqib Saleem 23-Dec-2024 renewal');</v>
      </c>
      <c r="H55" s="70" t="str">
        <f t="shared" si="3"/>
        <v>insert into ins_premium_det (premium_rcv_code,assorted_code, rec_amount,premium_rcv_detail_code,remaining_amt, payrec, mode_code,coinsurance_code,class_cd,it_remarks) values('23Dec240041','070000170015','19427',(select max(to_number(i.premium_rcv_detail_code))+1
from ins_premium_det i),'19427','19427','02', '11000003','00','Request by Mr. Saqib Saleem 23-Dec-2024 renewal');</v>
      </c>
    </row>
    <row r="56" spans="1:8" ht="89.25" x14ac:dyDescent="0.2">
      <c r="A56" t="s">
        <v>1338</v>
      </c>
      <c r="B56" t="str">
        <f>VLOOKUP(A56,policy1!B:C,2,0)</f>
        <v>070000170078</v>
      </c>
      <c r="C56" s="54">
        <v>21112</v>
      </c>
      <c r="D56" s="67">
        <f t="shared" si="1"/>
        <v>21112</v>
      </c>
      <c r="E56" t="s">
        <v>4380</v>
      </c>
      <c r="F56" s="68" t="str">
        <f t="shared" si="0"/>
        <v>insert into ins_premium_det (premium_rcv_code,assorted_code, rec_amount,premium_rcv_detail_code,remaining_amt, payrec, mode_code,coinsurance_code,class_cd,it_remarks) values</v>
      </c>
      <c r="G56" s="69" t="str">
        <f t="shared" si="2"/>
        <v>('23Dec240041','070000170078','21112',(select max(to_number(i.premium_rcv_detail_code))+1
from ins_premium_det i),'21112','21112','02', '11000003','00','Request by Mr. Saqib Saleem 23-Dec-2024 renewal');</v>
      </c>
      <c r="H56" s="70" t="str">
        <f t="shared" si="3"/>
        <v>insert into ins_premium_det (premium_rcv_code,assorted_code, rec_amount,premium_rcv_detail_code,remaining_amt, payrec, mode_code,coinsurance_code,class_cd,it_remarks) values('23Dec240041','070000170078','21112',(select max(to_number(i.premium_rcv_detail_code))+1
from ins_premium_det i),'21112','21112','02', '11000003','00','Request by Mr. Saqib Saleem 23-Dec-2024 renewal');</v>
      </c>
    </row>
    <row r="57" spans="1:8" ht="89.25" x14ac:dyDescent="0.2">
      <c r="A57" t="s">
        <v>1346</v>
      </c>
      <c r="B57" t="str">
        <f>VLOOKUP(A57,policy1!B:C,2,0)</f>
        <v>070000170079</v>
      </c>
      <c r="C57" s="54">
        <v>48264</v>
      </c>
      <c r="D57" s="67">
        <f t="shared" si="1"/>
        <v>48264</v>
      </c>
      <c r="E57" t="s">
        <v>4380</v>
      </c>
      <c r="F57" s="68" t="str">
        <f t="shared" si="0"/>
        <v>insert into ins_premium_det (premium_rcv_code,assorted_code, rec_amount,premium_rcv_detail_code,remaining_amt, payrec, mode_code,coinsurance_code,class_cd,it_remarks) values</v>
      </c>
      <c r="G57" s="69" t="str">
        <f t="shared" si="2"/>
        <v>('23Dec240041','070000170079','48264',(select max(to_number(i.premium_rcv_detail_code))+1
from ins_premium_det i),'48264','48264','02', '11000003','00','Request by Mr. Saqib Saleem 23-Dec-2024 renewal');</v>
      </c>
      <c r="H57" s="70" t="str">
        <f t="shared" si="3"/>
        <v>insert into ins_premium_det (premium_rcv_code,assorted_code, rec_amount,premium_rcv_detail_code,remaining_amt, payrec, mode_code,coinsurance_code,class_cd,it_remarks) values('23Dec240041','070000170079','48264',(select max(to_number(i.premium_rcv_detail_code))+1
from ins_premium_det i),'48264','48264','02', '11000003','00','Request by Mr. Saqib Saleem 23-Dec-2024 renewal');</v>
      </c>
    </row>
    <row r="58" spans="1:8" ht="89.25" x14ac:dyDescent="0.2">
      <c r="A58" t="s">
        <v>1362</v>
      </c>
      <c r="B58" t="str">
        <f>VLOOKUP(A58,policy1!B:C,2,0)</f>
        <v>070000170080</v>
      </c>
      <c r="C58" s="54">
        <v>22540</v>
      </c>
      <c r="D58" s="67">
        <f t="shared" si="1"/>
        <v>22540</v>
      </c>
      <c r="E58" t="s">
        <v>4380</v>
      </c>
      <c r="F58" s="68" t="str">
        <f t="shared" si="0"/>
        <v>insert into ins_premium_det (premium_rcv_code,assorted_code, rec_amount,premium_rcv_detail_code,remaining_amt, payrec, mode_code,coinsurance_code,class_cd,it_remarks) values</v>
      </c>
      <c r="G58" s="69" t="str">
        <f t="shared" si="2"/>
        <v>('23Dec240041','070000170080','22540',(select max(to_number(i.premium_rcv_detail_code))+1
from ins_premium_det i),'22540','22540','02', '11000003','00','Request by Mr. Saqib Saleem 23-Dec-2024 renewal');</v>
      </c>
      <c r="H58" s="70" t="str">
        <f t="shared" si="3"/>
        <v>insert into ins_premium_det (premium_rcv_code,assorted_code, rec_amount,premium_rcv_detail_code,remaining_amt, payrec, mode_code,coinsurance_code,class_cd,it_remarks) values('23Dec240041','070000170080','22540',(select max(to_number(i.premium_rcv_detail_code))+1
from ins_premium_det i),'22540','22540','02', '11000003','00','Request by Mr. Saqib Saleem 23-Dec-2024 renewal');</v>
      </c>
    </row>
    <row r="59" spans="1:8" ht="89.25" x14ac:dyDescent="0.2">
      <c r="A59" t="s">
        <v>1370</v>
      </c>
      <c r="B59" t="str">
        <f>VLOOKUP(A59,policy1!B:C,2,0)</f>
        <v>070000170081</v>
      </c>
      <c r="C59" s="54">
        <v>25928</v>
      </c>
      <c r="D59" s="67">
        <f t="shared" si="1"/>
        <v>25928</v>
      </c>
      <c r="E59" t="s">
        <v>4380</v>
      </c>
      <c r="F59" s="68" t="str">
        <f t="shared" si="0"/>
        <v>insert into ins_premium_det (premium_rcv_code,assorted_code, rec_amount,premium_rcv_detail_code,remaining_amt, payrec, mode_code,coinsurance_code,class_cd,it_remarks) values</v>
      </c>
      <c r="G59" s="69" t="str">
        <f t="shared" si="2"/>
        <v>('23Dec240041','070000170081','25928',(select max(to_number(i.premium_rcv_detail_code))+1
from ins_premium_det i),'25928','25928','02', '11000003','00','Request by Mr. Saqib Saleem 23-Dec-2024 renewal');</v>
      </c>
      <c r="H59" s="70" t="str">
        <f t="shared" si="3"/>
        <v>insert into ins_premium_det (premium_rcv_code,assorted_code, rec_amount,premium_rcv_detail_code,remaining_amt, payrec, mode_code,coinsurance_code,class_cd,it_remarks) values('23Dec240041','070000170081','25928',(select max(to_number(i.premium_rcv_detail_code))+1
from ins_premium_det i),'25928','25928','02', '11000003','00','Request by Mr. Saqib Saleem 23-Dec-2024 renewal');</v>
      </c>
    </row>
    <row r="60" spans="1:8" ht="89.25" x14ac:dyDescent="0.2">
      <c r="A60" t="s">
        <v>1378</v>
      </c>
      <c r="B60" t="str">
        <f>VLOOKUP(A60,policy1!B:C,2,0)</f>
        <v>070000170082</v>
      </c>
      <c r="C60" s="54">
        <v>21112</v>
      </c>
      <c r="D60" s="67">
        <f t="shared" si="1"/>
        <v>21112</v>
      </c>
      <c r="E60" t="s">
        <v>4380</v>
      </c>
      <c r="F60" s="68" t="str">
        <f t="shared" si="0"/>
        <v>insert into ins_premium_det (premium_rcv_code,assorted_code, rec_amount,premium_rcv_detail_code,remaining_amt, payrec, mode_code,coinsurance_code,class_cd,it_remarks) values</v>
      </c>
      <c r="G60" s="69" t="str">
        <f t="shared" si="2"/>
        <v>('23Dec240041','070000170082','21112',(select max(to_number(i.premium_rcv_detail_code))+1
from ins_premium_det i),'21112','21112','02', '11000003','00','Request by Mr. Saqib Saleem 23-Dec-2024 renewal');</v>
      </c>
      <c r="H60" s="70" t="str">
        <f t="shared" si="3"/>
        <v>insert into ins_premium_det (premium_rcv_code,assorted_code, rec_amount,premium_rcv_detail_code,remaining_amt, payrec, mode_code,coinsurance_code,class_cd,it_remarks) values('23Dec240041','070000170082','21112',(select max(to_number(i.premium_rcv_detail_code))+1
from ins_premium_det i),'21112','21112','02', '11000003','00','Request by Mr. Saqib Saleem 23-Dec-2024 renewal');</v>
      </c>
    </row>
    <row r="61" spans="1:8" ht="89.25" x14ac:dyDescent="0.2">
      <c r="A61" t="s">
        <v>1395</v>
      </c>
      <c r="B61" t="str">
        <f>VLOOKUP(A61,policy1!B:C,2,0)</f>
        <v>070000170084</v>
      </c>
      <c r="C61" s="54">
        <v>51780</v>
      </c>
      <c r="D61" s="67">
        <f t="shared" si="1"/>
        <v>51780</v>
      </c>
      <c r="E61" t="s">
        <v>4380</v>
      </c>
      <c r="F61" s="68" t="str">
        <f t="shared" si="0"/>
        <v>insert into ins_premium_det (premium_rcv_code,assorted_code, rec_amount,premium_rcv_detail_code,remaining_amt, payrec, mode_code,coinsurance_code,class_cd,it_remarks) values</v>
      </c>
      <c r="G61" s="69" t="str">
        <f t="shared" si="2"/>
        <v>('23Dec240041','070000170084','51780',(select max(to_number(i.premium_rcv_detail_code))+1
from ins_premium_det i),'51780','51780','02', '11000003','00','Request by Mr. Saqib Saleem 23-Dec-2024 renewal');</v>
      </c>
      <c r="H61" s="70" t="str">
        <f t="shared" si="3"/>
        <v>insert into ins_premium_det (premium_rcv_code,assorted_code, rec_amount,premium_rcv_detail_code,remaining_amt, payrec, mode_code,coinsurance_code,class_cd,it_remarks) values('23Dec240041','070000170084','51780',(select max(to_number(i.premium_rcv_detail_code))+1
from ins_premium_det i),'51780','51780','02', '11000003','00','Request by Mr. Saqib Saleem 23-Dec-2024 renewal');</v>
      </c>
    </row>
    <row r="62" spans="1:8" ht="89.25" x14ac:dyDescent="0.2">
      <c r="A62" t="s">
        <v>1403</v>
      </c>
      <c r="B62" t="str">
        <f>VLOOKUP(A62,policy1!B:C,2,0)</f>
        <v>070000170086</v>
      </c>
      <c r="C62" s="54">
        <v>20980</v>
      </c>
      <c r="D62" s="67">
        <f t="shared" si="1"/>
        <v>20980</v>
      </c>
      <c r="E62" t="s">
        <v>4380</v>
      </c>
      <c r="F62" s="68" t="str">
        <f t="shared" si="0"/>
        <v>insert into ins_premium_det (premium_rcv_code,assorted_code, rec_amount,premium_rcv_detail_code,remaining_amt, payrec, mode_code,coinsurance_code,class_cd,it_remarks) values</v>
      </c>
      <c r="G62" s="69" t="str">
        <f t="shared" si="2"/>
        <v>('23Dec240041','070000170086','20980',(select max(to_number(i.premium_rcv_detail_code))+1
from ins_premium_det i),'20980','20980','02', '11000003','00','Request by Mr. Saqib Saleem 23-Dec-2024 renewal');</v>
      </c>
      <c r="H62" s="70" t="str">
        <f t="shared" si="3"/>
        <v>insert into ins_premium_det (premium_rcv_code,assorted_code, rec_amount,premium_rcv_detail_code,remaining_amt, payrec, mode_code,coinsurance_code,class_cd,it_remarks) values('23Dec240041','070000170086','20980',(select max(to_number(i.premium_rcv_detail_code))+1
from ins_premium_det i),'20980','20980','02', '11000003','00','Request by Mr. Saqib Saleem 23-Dec-2024 renewal');</v>
      </c>
    </row>
    <row r="63" spans="1:8" ht="89.25" x14ac:dyDescent="0.2">
      <c r="A63" t="s">
        <v>1828</v>
      </c>
      <c r="B63" t="str">
        <f>VLOOKUP(A63,policy1!B:C,2,0)</f>
        <v>070000170171</v>
      </c>
      <c r="C63" s="54">
        <v>43875</v>
      </c>
      <c r="D63" s="67">
        <f t="shared" si="1"/>
        <v>43875</v>
      </c>
      <c r="E63" t="s">
        <v>4380</v>
      </c>
      <c r="F63" s="68" t="str">
        <f t="shared" si="0"/>
        <v>insert into ins_premium_det (premium_rcv_code,assorted_code, rec_amount,premium_rcv_detail_code,remaining_amt, payrec, mode_code,coinsurance_code,class_cd,it_remarks) values</v>
      </c>
      <c r="G63" s="69" t="str">
        <f t="shared" si="2"/>
        <v>('23Dec240041','070000170171','43875',(select max(to_number(i.premium_rcv_detail_code))+1
from ins_premium_det i),'43875','43875','02', '11000003','00','Request by Mr. Saqib Saleem 23-Dec-2024 renewal');</v>
      </c>
      <c r="H63" s="70" t="str">
        <f t="shared" si="3"/>
        <v>insert into ins_premium_det (premium_rcv_code,assorted_code, rec_amount,premium_rcv_detail_code,remaining_amt, payrec, mode_code,coinsurance_code,class_cd,it_remarks) values('23Dec240041','070000170171','43875',(select max(to_number(i.premium_rcv_detail_code))+1
from ins_premium_det i),'43875','43875','02', '11000003','00','Request by Mr. Saqib Saleem 23-Dec-2024 renewal');</v>
      </c>
    </row>
    <row r="64" spans="1:8" ht="89.25" x14ac:dyDescent="0.2">
      <c r="A64" t="s">
        <v>1861</v>
      </c>
      <c r="B64" t="str">
        <f>VLOOKUP(A64,policy1!B:C,2,0)</f>
        <v>070000170175</v>
      </c>
      <c r="C64" s="54">
        <v>65541</v>
      </c>
      <c r="D64" s="67">
        <f t="shared" si="1"/>
        <v>65541</v>
      </c>
      <c r="E64" t="s">
        <v>4380</v>
      </c>
      <c r="F64" s="68" t="str">
        <f t="shared" si="0"/>
        <v>insert into ins_premium_det (premium_rcv_code,assorted_code, rec_amount,premium_rcv_detail_code,remaining_amt, payrec, mode_code,coinsurance_code,class_cd,it_remarks) values</v>
      </c>
      <c r="G64" s="69" t="str">
        <f t="shared" si="2"/>
        <v>('23Dec240041','070000170175','65541',(select max(to_number(i.premium_rcv_detail_code))+1
from ins_premium_det i),'65541','65541','02', '11000003','00','Request by Mr. Saqib Saleem 23-Dec-2024 renewal');</v>
      </c>
      <c r="H64" s="70" t="str">
        <f t="shared" si="3"/>
        <v>insert into ins_premium_det (premium_rcv_code,assorted_code, rec_amount,premium_rcv_detail_code,remaining_amt, payrec, mode_code,coinsurance_code,class_cd,it_remarks) values('23Dec240041','070000170175','65541',(select max(to_number(i.premium_rcv_detail_code))+1
from ins_premium_det i),'65541','65541','02', '11000003','00','Request by Mr. Saqib Saleem 23-Dec-2024 renewal');</v>
      </c>
    </row>
    <row r="65" spans="1:8" ht="89.25" x14ac:dyDescent="0.2">
      <c r="A65" t="s">
        <v>988</v>
      </c>
      <c r="B65" t="str">
        <f>VLOOKUP(A65,policy1!B:C,2,0)</f>
        <v>070000170016</v>
      </c>
      <c r="C65" s="54">
        <v>36826</v>
      </c>
      <c r="D65" s="67">
        <f t="shared" si="1"/>
        <v>36826</v>
      </c>
      <c r="E65" t="s">
        <v>4380</v>
      </c>
      <c r="F65" s="68" t="str">
        <f t="shared" si="0"/>
        <v>insert into ins_premium_det (premium_rcv_code,assorted_code, rec_amount,premium_rcv_detail_code,remaining_amt, payrec, mode_code,coinsurance_code,class_cd,it_remarks) values</v>
      </c>
      <c r="G65" s="69" t="str">
        <f t="shared" si="2"/>
        <v>('23Dec240041','070000170016','36826',(select max(to_number(i.premium_rcv_detail_code))+1
from ins_premium_det i),'36826','36826','02', '11000003','00','Request by Mr. Saqib Saleem 23-Dec-2024 renewal');</v>
      </c>
      <c r="H65" s="70" t="str">
        <f t="shared" si="3"/>
        <v>insert into ins_premium_det (premium_rcv_code,assorted_code, rec_amount,premium_rcv_detail_code,remaining_amt, payrec, mode_code,coinsurance_code,class_cd,it_remarks) values('23Dec240041','070000170016','36826',(select max(to_number(i.premium_rcv_detail_code))+1
from ins_premium_det i),'36826','36826','02', '11000003','00','Request by Mr. Saqib Saleem 23-Dec-2024 renewal');</v>
      </c>
    </row>
    <row r="66" spans="1:8" ht="89.25" x14ac:dyDescent="0.2">
      <c r="A66" t="s">
        <v>1411</v>
      </c>
      <c r="B66" t="str">
        <f>VLOOKUP(A66,policy1!B:C,2,0)</f>
        <v>070000170087</v>
      </c>
      <c r="C66" s="54">
        <v>53760</v>
      </c>
      <c r="D66" s="67">
        <f t="shared" si="1"/>
        <v>53760</v>
      </c>
      <c r="E66" t="s">
        <v>4380</v>
      </c>
      <c r="F66" s="68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69" t="str">
        <f t="shared" si="2"/>
        <v>('23Dec240041','070000170087','53760',(select max(to_number(i.premium_rcv_detail_code))+1
from ins_premium_det i),'53760','53760','02', '11000003','00','Request by Mr. Saqib Saleem 23-Dec-2024 renewal');</v>
      </c>
      <c r="H66" s="70" t="str">
        <f t="shared" si="3"/>
        <v>insert into ins_premium_det (premium_rcv_code,assorted_code, rec_amount,premium_rcv_detail_code,remaining_amt, payrec, mode_code,coinsurance_code,class_cd,it_remarks) values('23Dec240041','070000170087','53760',(select max(to_number(i.premium_rcv_detail_code))+1
from ins_premium_det i),'53760','53760','02', '11000003','00','Request by Mr. Saqib Saleem 23-Dec-2024 renewal');</v>
      </c>
    </row>
    <row r="67" spans="1:8" ht="89.25" x14ac:dyDescent="0.2">
      <c r="A67" t="s">
        <v>1420</v>
      </c>
      <c r="B67" t="str">
        <f>VLOOKUP(A67,policy1!B:C,2,0)</f>
        <v>070000170088</v>
      </c>
      <c r="C67" s="54">
        <v>24500</v>
      </c>
      <c r="D67" s="67">
        <f t="shared" ref="D67:D130" si="5">ROUND(C67,0)</f>
        <v>24500</v>
      </c>
      <c r="E67" t="s">
        <v>4380</v>
      </c>
      <c r="F67" s="68" t="str">
        <f t="shared" si="4"/>
        <v>insert into ins_premium_det (premium_rcv_code,assorted_code, rec_amount,premium_rcv_detail_code,remaining_amt, payrec, mode_code,coinsurance_code,class_cd,it_remarks) values</v>
      </c>
      <c r="G67" s="69" t="str">
        <f t="shared" ref="G67:G130" si="6">"('"&amp;E67&amp;"','"&amp;B67&amp;"','"&amp;D67&amp;"',(select max(to_number(i.premium_rcv_detail_code))+1
from ins_premium_det i),'"&amp;D67&amp;"','"&amp;D67&amp;"','02', '11000003','00','Request by Mr. Saqib Saleem 23-Dec-2024 renewal');"</f>
        <v>('23Dec240041','070000170088','24500',(select max(to_number(i.premium_rcv_detail_code))+1
from ins_premium_det i),'24500','24500','02', '11000003','00','Request by Mr. Saqib Saleem 23-Dec-2024 renewal');</v>
      </c>
      <c r="H67" s="70" t="str">
        <f t="shared" ref="H67:H130" si="7">F67&amp;G67</f>
        <v>insert into ins_premium_det (premium_rcv_code,assorted_code, rec_amount,premium_rcv_detail_code,remaining_amt, payrec, mode_code,coinsurance_code,class_cd,it_remarks) values('23Dec240041','070000170088','24500',(select max(to_number(i.premium_rcv_detail_code))+1
from ins_premium_det i),'24500','24500','02', '11000003','00','Request by Mr. Saqib Saleem 23-Dec-2024 renewal');</v>
      </c>
    </row>
    <row r="68" spans="1:8" ht="89.25" x14ac:dyDescent="0.2">
      <c r="A68" t="s">
        <v>1486</v>
      </c>
      <c r="B68" t="str">
        <f>VLOOKUP(A68,policy1!B:C,2,0)</f>
        <v>070000170097</v>
      </c>
      <c r="C68" s="54">
        <v>21112</v>
      </c>
      <c r="D68" s="67">
        <f t="shared" si="5"/>
        <v>21112</v>
      </c>
      <c r="E68" t="s">
        <v>4380</v>
      </c>
      <c r="F68" s="68" t="str">
        <f t="shared" si="4"/>
        <v>insert into ins_premium_det (premium_rcv_code,assorted_code, rec_amount,premium_rcv_detail_code,remaining_amt, payrec, mode_code,coinsurance_code,class_cd,it_remarks) values</v>
      </c>
      <c r="G68" s="69" t="str">
        <f t="shared" si="6"/>
        <v>('23Dec240041','070000170097','21112',(select max(to_number(i.premium_rcv_detail_code))+1
from ins_premium_det i),'21112','21112','02', '11000003','00','Request by Mr. Saqib Saleem 23-Dec-2024 renewal');</v>
      </c>
      <c r="H68" s="70" t="str">
        <f t="shared" si="7"/>
        <v>insert into ins_premium_det (premium_rcv_code,assorted_code, rec_amount,premium_rcv_detail_code,remaining_amt, payrec, mode_code,coinsurance_code,class_cd,it_remarks) values('23Dec240041','070000170097','21112',(select max(to_number(i.premium_rcv_detail_code))+1
from ins_premium_det i),'21112','21112','02', '11000003','00','Request by Mr. Saqib Saleem 23-Dec-2024 renewal');</v>
      </c>
    </row>
    <row r="69" spans="1:8" ht="89.25" x14ac:dyDescent="0.2">
      <c r="A69" t="s">
        <v>1804</v>
      </c>
      <c r="B69" t="str">
        <f>VLOOKUP(A69,policy1!B:C,2,0)</f>
        <v>070000170168</v>
      </c>
      <c r="C69" s="54">
        <v>30619</v>
      </c>
      <c r="D69" s="67">
        <f t="shared" si="5"/>
        <v>30619</v>
      </c>
      <c r="E69" t="s">
        <v>4380</v>
      </c>
      <c r="F69" s="68" t="str">
        <f t="shared" si="4"/>
        <v>insert into ins_premium_det (premium_rcv_code,assorted_code, rec_amount,premium_rcv_detail_code,remaining_amt, payrec, mode_code,coinsurance_code,class_cd,it_remarks) values</v>
      </c>
      <c r="G69" s="69" t="str">
        <f t="shared" si="6"/>
        <v>('23Dec240041','070000170168','30619',(select max(to_number(i.premium_rcv_detail_code))+1
from ins_premium_det i),'30619','30619','02', '11000003','00','Request by Mr. Saqib Saleem 23-Dec-2024 renewal');</v>
      </c>
      <c r="H69" s="70" t="str">
        <f t="shared" si="7"/>
        <v>insert into ins_premium_det (premium_rcv_code,assorted_code, rec_amount,premium_rcv_detail_code,remaining_amt, payrec, mode_code,coinsurance_code,class_cd,it_remarks) values('23Dec240041','070000170168','30619',(select max(to_number(i.premium_rcv_detail_code))+1
from ins_premium_det i),'30619','30619','02', '11000003','00','Request by Mr. Saqib Saleem 23-Dec-2024 renewal');</v>
      </c>
    </row>
    <row r="70" spans="1:8" ht="89.25" x14ac:dyDescent="0.2">
      <c r="A70" t="s">
        <v>1820</v>
      </c>
      <c r="B70" t="str">
        <f>VLOOKUP(A70,policy1!B:C,2,0)</f>
        <v>070000170170</v>
      </c>
      <c r="C70" s="54">
        <v>32438</v>
      </c>
      <c r="D70" s="67">
        <f t="shared" si="5"/>
        <v>32438</v>
      </c>
      <c r="E70" t="s">
        <v>4380</v>
      </c>
      <c r="F70" s="68" t="str">
        <f t="shared" si="4"/>
        <v>insert into ins_premium_det (premium_rcv_code,assorted_code, rec_amount,premium_rcv_detail_code,remaining_amt, payrec, mode_code,coinsurance_code,class_cd,it_remarks) values</v>
      </c>
      <c r="G70" s="69" t="str">
        <f t="shared" si="6"/>
        <v>('23Dec240041','070000170170','32438',(select max(to_number(i.premium_rcv_detail_code))+1
from ins_premium_det i),'32438','32438','02', '11000003','00','Request by Mr. Saqib Saleem 23-Dec-2024 renewal');</v>
      </c>
      <c r="H70" s="70" t="str">
        <f t="shared" si="7"/>
        <v>insert into ins_premium_det (premium_rcv_code,assorted_code, rec_amount,premium_rcv_detail_code,remaining_amt, payrec, mode_code,coinsurance_code,class_cd,it_remarks) values('23Dec240041','070000170170','32438',(select max(to_number(i.premium_rcv_detail_code))+1
from ins_premium_det i),'32438','32438','02', '11000003','00','Request by Mr. Saqib Saleem 23-Dec-2024 renewal');</v>
      </c>
    </row>
    <row r="71" spans="1:8" ht="89.25" x14ac:dyDescent="0.2">
      <c r="A71" t="s">
        <v>1295</v>
      </c>
      <c r="B71" t="str">
        <f>VLOOKUP(A71,policy1!B:C,2,0)</f>
        <v>070000170069</v>
      </c>
      <c r="C71" s="54">
        <v>63800</v>
      </c>
      <c r="D71" s="67">
        <f t="shared" si="5"/>
        <v>63800</v>
      </c>
      <c r="E71" t="s">
        <v>4380</v>
      </c>
      <c r="F71" s="68" t="str">
        <f t="shared" si="4"/>
        <v>insert into ins_premium_det (premium_rcv_code,assorted_code, rec_amount,premium_rcv_detail_code,remaining_amt, payrec, mode_code,coinsurance_code,class_cd,it_remarks) values</v>
      </c>
      <c r="G71" s="69" t="str">
        <f t="shared" si="6"/>
        <v>('23Dec240041','070000170069','63800',(select max(to_number(i.premium_rcv_detail_code))+1
from ins_premium_det i),'63800','63800','02', '11000003','00','Request by Mr. Saqib Saleem 23-Dec-2024 renewal');</v>
      </c>
      <c r="H71" s="70" t="str">
        <f t="shared" si="7"/>
        <v>insert into ins_premium_det (premium_rcv_code,assorted_code, rec_amount,premium_rcv_detail_code,remaining_amt, payrec, mode_code,coinsurance_code,class_cd,it_remarks) values('23Dec240041','070000170069','63800',(select max(to_number(i.premium_rcv_detail_code))+1
from ins_premium_det i),'63800','63800','02', '11000003','00','Request by Mr. Saqib Saleem 23-Dec-2024 renewal');</v>
      </c>
    </row>
    <row r="72" spans="1:8" ht="89.25" x14ac:dyDescent="0.2">
      <c r="A72" t="s">
        <v>1878</v>
      </c>
      <c r="B72" t="str">
        <f>VLOOKUP(A72,policy1!B:C,2,0)</f>
        <v>070000170176</v>
      </c>
      <c r="C72" s="54">
        <v>45420</v>
      </c>
      <c r="D72" s="67">
        <f t="shared" si="5"/>
        <v>45420</v>
      </c>
      <c r="E72" t="s">
        <v>4380</v>
      </c>
      <c r="F72" s="68" t="str">
        <f t="shared" si="4"/>
        <v>insert into ins_premium_det (premium_rcv_code,assorted_code, rec_amount,premium_rcv_detail_code,remaining_amt, payrec, mode_code,coinsurance_code,class_cd,it_remarks) values</v>
      </c>
      <c r="G72" s="69" t="str">
        <f t="shared" si="6"/>
        <v>('23Dec240041','070000170176','45420',(select max(to_number(i.premium_rcv_detail_code))+1
from ins_premium_det i),'45420','45420','02', '11000003','00','Request by Mr. Saqib Saleem 23-Dec-2024 renewal');</v>
      </c>
      <c r="H72" s="70" t="str">
        <f t="shared" si="7"/>
        <v>insert into ins_premium_det (premium_rcv_code,assorted_code, rec_amount,premium_rcv_detail_code,remaining_amt, payrec, mode_code,coinsurance_code,class_cd,it_remarks) values('23Dec240041','070000170176','45420',(select max(to_number(i.premium_rcv_detail_code))+1
from ins_premium_det i),'45420','45420','02', '11000003','00','Request by Mr. Saqib Saleem 23-Dec-2024 renewal');</v>
      </c>
    </row>
    <row r="73" spans="1:8" ht="89.25" x14ac:dyDescent="0.2">
      <c r="A73" t="s">
        <v>585</v>
      </c>
      <c r="B73" t="str">
        <f>VLOOKUP(A73,policy1!B:C,2,0)</f>
        <v>070000169967</v>
      </c>
      <c r="C73" s="54">
        <v>39600</v>
      </c>
      <c r="D73" s="67">
        <f t="shared" si="5"/>
        <v>39600</v>
      </c>
      <c r="E73" t="s">
        <v>4380</v>
      </c>
      <c r="F73" s="68" t="str">
        <f t="shared" si="4"/>
        <v>insert into ins_premium_det (premium_rcv_code,assorted_code, rec_amount,premium_rcv_detail_code,remaining_amt, payrec, mode_code,coinsurance_code,class_cd,it_remarks) values</v>
      </c>
      <c r="G73" s="69" t="str">
        <f t="shared" si="6"/>
        <v>('23Dec240041','070000169967','39600',(select max(to_number(i.premium_rcv_detail_code))+1
from ins_premium_det i),'39600','39600','02', '11000003','00','Request by Mr. Saqib Saleem 23-Dec-2024 renewal');</v>
      </c>
      <c r="H73" s="70" t="str">
        <f t="shared" si="7"/>
        <v>insert into ins_premium_det (premium_rcv_code,assorted_code, rec_amount,premium_rcv_detail_code,remaining_amt, payrec, mode_code,coinsurance_code,class_cd,it_remarks) values('23Dec240041','070000169967','39600',(select max(to_number(i.premium_rcv_detail_code))+1
from ins_premium_det i),'39600','39600','02', '11000003','00','Request by Mr. Saqib Saleem 23-Dec-2024 renewal');</v>
      </c>
    </row>
    <row r="74" spans="1:8" ht="89.25" x14ac:dyDescent="0.2">
      <c r="A74" t="s">
        <v>601</v>
      </c>
      <c r="B74" t="str">
        <f>VLOOKUP(A74,policy1!B:C,2,0)</f>
        <v>070000169968</v>
      </c>
      <c r="C74" s="54">
        <v>55134</v>
      </c>
      <c r="D74" s="67">
        <f t="shared" si="5"/>
        <v>55134</v>
      </c>
      <c r="E74" t="s">
        <v>4380</v>
      </c>
      <c r="F74" s="68" t="str">
        <f t="shared" si="4"/>
        <v>insert into ins_premium_det (premium_rcv_code,assorted_code, rec_amount,premium_rcv_detail_code,remaining_amt, payrec, mode_code,coinsurance_code,class_cd,it_remarks) values</v>
      </c>
      <c r="G74" s="69" t="str">
        <f t="shared" si="6"/>
        <v>('23Dec240041','070000169968','55134',(select max(to_number(i.premium_rcv_detail_code))+1
from ins_premium_det i),'55134','55134','02', '11000003','00','Request by Mr. Saqib Saleem 23-Dec-2024 renewal');</v>
      </c>
      <c r="H74" s="70" t="str">
        <f t="shared" si="7"/>
        <v>insert into ins_premium_det (premium_rcv_code,assorted_code, rec_amount,premium_rcv_detail_code,remaining_amt, payrec, mode_code,coinsurance_code,class_cd,it_remarks) values('23Dec240041','070000169968','55134',(select max(to_number(i.premium_rcv_detail_code))+1
from ins_premium_det i),'55134','55134','02', '11000003','00','Request by Mr. Saqib Saleem 23-Dec-2024 renewal');</v>
      </c>
    </row>
    <row r="75" spans="1:8" ht="89.25" x14ac:dyDescent="0.2">
      <c r="A75" t="s">
        <v>1836</v>
      </c>
      <c r="B75" t="str">
        <f>VLOOKUP(A75,policy1!B:C,2,0)</f>
        <v>070000170172</v>
      </c>
      <c r="C75" s="54">
        <v>39375</v>
      </c>
      <c r="D75" s="67">
        <f t="shared" si="5"/>
        <v>39375</v>
      </c>
      <c r="E75" t="s">
        <v>4380</v>
      </c>
      <c r="F75" s="68" t="str">
        <f t="shared" si="4"/>
        <v>insert into ins_premium_det (premium_rcv_code,assorted_code, rec_amount,premium_rcv_detail_code,remaining_amt, payrec, mode_code,coinsurance_code,class_cd,it_remarks) values</v>
      </c>
      <c r="G75" s="69" t="str">
        <f t="shared" si="6"/>
        <v>('23Dec240041','070000170172','39375',(select max(to_number(i.premium_rcv_detail_code))+1
from ins_premium_det i),'39375','39375','02', '11000003','00','Request by Mr. Saqib Saleem 23-Dec-2024 renewal');</v>
      </c>
      <c r="H75" s="70" t="str">
        <f t="shared" si="7"/>
        <v>insert into ins_premium_det (premium_rcv_code,assorted_code, rec_amount,premium_rcv_detail_code,remaining_amt, payrec, mode_code,coinsurance_code,class_cd,it_remarks) values('23Dec240041','070000170172','39375',(select max(to_number(i.premium_rcv_detail_code))+1
from ins_premium_det i),'39375','39375','02', '11000003','00','Request by Mr. Saqib Saleem 23-Dec-2024 renewal');</v>
      </c>
    </row>
    <row r="76" spans="1:8" ht="89.25" x14ac:dyDescent="0.2">
      <c r="A76" t="s">
        <v>1853</v>
      </c>
      <c r="B76" t="str">
        <f>VLOOKUP(A76,policy1!B:C,2,0)</f>
        <v>070000170174</v>
      </c>
      <c r="C76" s="54">
        <v>45591</v>
      </c>
      <c r="D76" s="67">
        <f t="shared" si="5"/>
        <v>45591</v>
      </c>
      <c r="E76" t="s">
        <v>4380</v>
      </c>
      <c r="F76" s="68" t="str">
        <f t="shared" si="4"/>
        <v>insert into ins_premium_det (premium_rcv_code,assorted_code, rec_amount,premium_rcv_detail_code,remaining_amt, payrec, mode_code,coinsurance_code,class_cd,it_remarks) values</v>
      </c>
      <c r="G76" s="69" t="str">
        <f t="shared" si="6"/>
        <v>('23Dec240041','070000170174','45591',(select max(to_number(i.premium_rcv_detail_code))+1
from ins_premium_det i),'45591','45591','02', '11000003','00','Request by Mr. Saqib Saleem 23-Dec-2024 renewal');</v>
      </c>
      <c r="H76" s="70" t="str">
        <f t="shared" si="7"/>
        <v>insert into ins_premium_det (premium_rcv_code,assorted_code, rec_amount,premium_rcv_detail_code,remaining_amt, payrec, mode_code,coinsurance_code,class_cd,it_remarks) values('23Dec240041','070000170174','45591',(select max(to_number(i.premium_rcv_detail_code))+1
from ins_premium_det i),'45591','45591','02', '11000003','00','Request by Mr. Saqib Saleem 23-Dec-2024 renewal');</v>
      </c>
    </row>
    <row r="77" spans="1:8" ht="89.25" x14ac:dyDescent="0.2">
      <c r="A77" t="s">
        <v>1886</v>
      </c>
      <c r="B77" t="str">
        <f>VLOOKUP(A77,policy1!B:C,2,0)</f>
        <v>070000170177</v>
      </c>
      <c r="C77" s="54">
        <v>54375</v>
      </c>
      <c r="D77" s="67">
        <f t="shared" si="5"/>
        <v>54375</v>
      </c>
      <c r="E77" t="s">
        <v>4380</v>
      </c>
      <c r="F77" s="68" t="str">
        <f t="shared" si="4"/>
        <v>insert into ins_premium_det (premium_rcv_code,assorted_code, rec_amount,premium_rcv_detail_code,remaining_amt, payrec, mode_code,coinsurance_code,class_cd,it_remarks) values</v>
      </c>
      <c r="G77" s="69" t="str">
        <f t="shared" si="6"/>
        <v>('23Dec240041','070000170177','54375',(select max(to_number(i.premium_rcv_detail_code))+1
from ins_premium_det i),'54375','54375','02', '11000003','00','Request by Mr. Saqib Saleem 23-Dec-2024 renewal');</v>
      </c>
      <c r="H77" s="70" t="str">
        <f t="shared" si="7"/>
        <v>insert into ins_premium_det (premium_rcv_code,assorted_code, rec_amount,premium_rcv_detail_code,remaining_amt, payrec, mode_code,coinsurance_code,class_cd,it_remarks) values('23Dec240041','070000170177','54375',(select max(to_number(i.premium_rcv_detail_code))+1
from ins_premium_det i),'54375','54375','02', '11000003','00','Request by Mr. Saqib Saleem 23-Dec-2024 renewal');</v>
      </c>
    </row>
    <row r="78" spans="1:8" ht="89.25" x14ac:dyDescent="0.2">
      <c r="A78" t="s">
        <v>1894</v>
      </c>
      <c r="B78" t="str">
        <f>VLOOKUP(A78,policy1!B:C,2,0)</f>
        <v>070000170178</v>
      </c>
      <c r="C78" s="54">
        <v>28125</v>
      </c>
      <c r="D78" s="67">
        <f t="shared" si="5"/>
        <v>28125</v>
      </c>
      <c r="E78" t="s">
        <v>4380</v>
      </c>
      <c r="F78" s="68" t="str">
        <f t="shared" si="4"/>
        <v>insert into ins_premium_det (premium_rcv_code,assorted_code, rec_amount,premium_rcv_detail_code,remaining_amt, payrec, mode_code,coinsurance_code,class_cd,it_remarks) values</v>
      </c>
      <c r="G78" s="69" t="str">
        <f t="shared" si="6"/>
        <v>('23Dec240041','070000170178','28125',(select max(to_number(i.premium_rcv_detail_code))+1
from ins_premium_det i),'28125','28125','02', '11000003','00','Request by Mr. Saqib Saleem 23-Dec-2024 renewal');</v>
      </c>
      <c r="H78" s="70" t="str">
        <f t="shared" si="7"/>
        <v>insert into ins_premium_det (premium_rcv_code,assorted_code, rec_amount,premium_rcv_detail_code,remaining_amt, payrec, mode_code,coinsurance_code,class_cd,it_remarks) values('23Dec240041','070000170178','28125',(select max(to_number(i.premium_rcv_detail_code))+1
from ins_premium_det i),'28125','28125','02', '11000003','00','Request by Mr. Saqib Saleem 23-Dec-2024 renewal');</v>
      </c>
    </row>
    <row r="79" spans="1:8" ht="89.25" x14ac:dyDescent="0.2">
      <c r="A79" t="s">
        <v>1912</v>
      </c>
      <c r="B79" t="str">
        <f>VLOOKUP(A79,policy1!B:C,2,0)</f>
        <v>070000170180</v>
      </c>
      <c r="C79" s="54">
        <v>46031</v>
      </c>
      <c r="D79" s="67">
        <f t="shared" si="5"/>
        <v>46031</v>
      </c>
      <c r="E79" t="s">
        <v>4380</v>
      </c>
      <c r="F79" s="68" t="str">
        <f t="shared" si="4"/>
        <v>insert into ins_premium_det (premium_rcv_code,assorted_code, rec_amount,premium_rcv_detail_code,remaining_amt, payrec, mode_code,coinsurance_code,class_cd,it_remarks) values</v>
      </c>
      <c r="G79" s="69" t="str">
        <f t="shared" si="6"/>
        <v>('23Dec240041','070000170180','46031',(select max(to_number(i.premium_rcv_detail_code))+1
from ins_premium_det i),'46031','46031','02', '11000003','00','Request by Mr. Saqib Saleem 23-Dec-2024 renewal');</v>
      </c>
      <c r="H79" s="70" t="str">
        <f t="shared" si="7"/>
        <v>insert into ins_premium_det (premium_rcv_code,assorted_code, rec_amount,premium_rcv_detail_code,remaining_amt, payrec, mode_code,coinsurance_code,class_cd,it_remarks) values('23Dec240041','070000170180','46031',(select max(to_number(i.premium_rcv_detail_code))+1
from ins_premium_det i),'46031','46031','02', '11000003','00','Request by Mr. Saqib Saleem 23-Dec-2024 renewal');</v>
      </c>
    </row>
    <row r="80" spans="1:8" ht="89.25" x14ac:dyDescent="0.2">
      <c r="A80" t="s">
        <v>1936</v>
      </c>
      <c r="B80" t="str">
        <f>VLOOKUP(A80,policy1!B:C,2,0)</f>
        <v>070000170184</v>
      </c>
      <c r="C80" s="54">
        <v>32438</v>
      </c>
      <c r="D80" s="67">
        <f t="shared" si="5"/>
        <v>32438</v>
      </c>
      <c r="E80" t="s">
        <v>4380</v>
      </c>
      <c r="F80" s="68" t="str">
        <f t="shared" si="4"/>
        <v>insert into ins_premium_det (premium_rcv_code,assorted_code, rec_amount,premium_rcv_detail_code,remaining_amt, payrec, mode_code,coinsurance_code,class_cd,it_remarks) values</v>
      </c>
      <c r="G80" s="69" t="str">
        <f t="shared" si="6"/>
        <v>('23Dec240041','070000170184','32438',(select max(to_number(i.premium_rcv_detail_code))+1
from ins_premium_det i),'32438','32438','02', '11000003','00','Request by Mr. Saqib Saleem 23-Dec-2024 renewal');</v>
      </c>
      <c r="H80" s="70" t="str">
        <f t="shared" si="7"/>
        <v>insert into ins_premium_det (premium_rcv_code,assorted_code, rec_amount,premium_rcv_detail_code,remaining_amt, payrec, mode_code,coinsurance_code,class_cd,it_remarks) values('23Dec240041','070000170184','32438',(select max(to_number(i.premium_rcv_detail_code))+1
from ins_premium_det i),'32438','32438','02', '11000003','00','Request by Mr. Saqib Saleem 23-Dec-2024 renewal');</v>
      </c>
    </row>
    <row r="81" spans="1:8" ht="89.25" x14ac:dyDescent="0.2">
      <c r="A81" t="s">
        <v>2084</v>
      </c>
      <c r="B81" t="str">
        <f>VLOOKUP(A81,policy1!B:C,2,0)</f>
        <v>070000170205</v>
      </c>
      <c r="C81" s="54">
        <v>25313</v>
      </c>
      <c r="D81" s="67">
        <f t="shared" si="5"/>
        <v>25313</v>
      </c>
      <c r="E81" t="s">
        <v>4380</v>
      </c>
      <c r="F81" s="68" t="str">
        <f t="shared" si="4"/>
        <v>insert into ins_premium_det (premium_rcv_code,assorted_code, rec_amount,premium_rcv_detail_code,remaining_amt, payrec, mode_code,coinsurance_code,class_cd,it_remarks) values</v>
      </c>
      <c r="G81" s="69" t="str">
        <f t="shared" si="6"/>
        <v>('23Dec240041','070000170205','25313',(select max(to_number(i.premium_rcv_detail_code))+1
from ins_premium_det i),'25313','25313','02', '11000003','00','Request by Mr. Saqib Saleem 23-Dec-2024 renewal');</v>
      </c>
      <c r="H81" s="70" t="str">
        <f t="shared" si="7"/>
        <v>insert into ins_premium_det (premium_rcv_code,assorted_code, rec_amount,premium_rcv_detail_code,remaining_amt, payrec, mode_code,coinsurance_code,class_cd,it_remarks) values('23Dec240041','070000170205','25313',(select max(to_number(i.premium_rcv_detail_code))+1
from ins_premium_det i),'25313','25313','02', '11000003','00','Request by Mr. Saqib Saleem 23-Dec-2024 renewal');</v>
      </c>
    </row>
    <row r="82" spans="1:8" ht="89.25" x14ac:dyDescent="0.2">
      <c r="A82" t="s">
        <v>2122</v>
      </c>
      <c r="B82" t="str">
        <f>VLOOKUP(A82,policy1!B:C,2,0)</f>
        <v>070000170158</v>
      </c>
      <c r="C82" s="54">
        <v>70144</v>
      </c>
      <c r="D82" s="67">
        <f t="shared" si="5"/>
        <v>70144</v>
      </c>
      <c r="E82" t="s">
        <v>4380</v>
      </c>
      <c r="F82" s="68" t="str">
        <f t="shared" si="4"/>
        <v>insert into ins_premium_det (premium_rcv_code,assorted_code, rec_amount,premium_rcv_detail_code,remaining_amt, payrec, mode_code,coinsurance_code,class_cd,it_remarks) values</v>
      </c>
      <c r="G82" s="69" t="str">
        <f t="shared" si="6"/>
        <v>('23Dec240041','070000170158','70144',(select max(to_number(i.premium_rcv_detail_code))+1
from ins_premium_det i),'70144','70144','02', '11000003','00','Request by Mr. Saqib Saleem 23-Dec-2024 renewal');</v>
      </c>
      <c r="H82" s="70" t="str">
        <f t="shared" si="7"/>
        <v>insert into ins_premium_det (premium_rcv_code,assorted_code, rec_amount,premium_rcv_detail_code,remaining_amt, payrec, mode_code,coinsurance_code,class_cd,it_remarks) values('23Dec240041','070000170158','70144',(select max(to_number(i.premium_rcv_detail_code))+1
from ins_premium_det i),'70144','70144','02', '11000003','00','Request by Mr. Saqib Saleem 23-Dec-2024 renewal');</v>
      </c>
    </row>
    <row r="83" spans="1:8" ht="89.25" x14ac:dyDescent="0.2">
      <c r="A83" t="s">
        <v>609</v>
      </c>
      <c r="B83" t="str">
        <f>VLOOKUP(A83,policy1!B:C,2,0)</f>
        <v>070000169969</v>
      </c>
      <c r="C83" s="54">
        <v>51300</v>
      </c>
      <c r="D83" s="67">
        <f t="shared" si="5"/>
        <v>51300</v>
      </c>
      <c r="E83" t="s">
        <v>4380</v>
      </c>
      <c r="F83" s="68" t="str">
        <f t="shared" si="4"/>
        <v>insert into ins_premium_det (premium_rcv_code,assorted_code, rec_amount,premium_rcv_detail_code,remaining_amt, payrec, mode_code,coinsurance_code,class_cd,it_remarks) values</v>
      </c>
      <c r="G83" s="69" t="str">
        <f t="shared" si="6"/>
        <v>('23Dec240041','070000169969','51300',(select max(to_number(i.premium_rcv_detail_code))+1
from ins_premium_det i),'51300','51300','02', '11000003','00','Request by Mr. Saqib Saleem 23-Dec-2024 renewal');</v>
      </c>
      <c r="H83" s="70" t="str">
        <f t="shared" si="7"/>
        <v>insert into ins_premium_det (premium_rcv_code,assorted_code, rec_amount,premium_rcv_detail_code,remaining_amt, payrec, mode_code,coinsurance_code,class_cd,it_remarks) values('23Dec240041','070000169969','51300',(select max(to_number(i.premium_rcv_detail_code))+1
from ins_premium_det i),'51300','51300','02', '11000003','00','Request by Mr. Saqib Saleem 23-Dec-2024 renewal');</v>
      </c>
    </row>
    <row r="84" spans="1:8" ht="89.25" x14ac:dyDescent="0.2">
      <c r="A84" t="s">
        <v>616</v>
      </c>
      <c r="B84" t="str">
        <f>VLOOKUP(A84,policy1!B:C,2,0)</f>
        <v>070000169970</v>
      </c>
      <c r="C84" s="54">
        <v>53100</v>
      </c>
      <c r="D84" s="67">
        <f t="shared" si="5"/>
        <v>53100</v>
      </c>
      <c r="E84" t="s">
        <v>4380</v>
      </c>
      <c r="F84" s="68" t="str">
        <f t="shared" si="4"/>
        <v>insert into ins_premium_det (premium_rcv_code,assorted_code, rec_amount,premium_rcv_detail_code,remaining_amt, payrec, mode_code,coinsurance_code,class_cd,it_remarks) values</v>
      </c>
      <c r="G84" s="69" t="str">
        <f t="shared" si="6"/>
        <v>('23Dec240041','070000169970','53100',(select max(to_number(i.premium_rcv_detail_code))+1
from ins_premium_det i),'53100','53100','02', '11000003','00','Request by Mr. Saqib Saleem 23-Dec-2024 renewal');</v>
      </c>
      <c r="H84" s="70" t="str">
        <f t="shared" si="7"/>
        <v>insert into ins_premium_det (premium_rcv_code,assorted_code, rec_amount,premium_rcv_detail_code,remaining_amt, payrec, mode_code,coinsurance_code,class_cd,it_remarks) values('23Dec240041','070000169970','53100',(select max(to_number(i.premium_rcv_detail_code))+1
from ins_premium_det i),'53100','53100','02', '11000003','00','Request by Mr. Saqib Saleem 23-Dec-2024 renewal');</v>
      </c>
    </row>
    <row r="85" spans="1:8" ht="89.25" x14ac:dyDescent="0.2">
      <c r="A85" t="s">
        <v>995</v>
      </c>
      <c r="B85" t="str">
        <f>VLOOKUP(A85,policy1!B:C,2,0)</f>
        <v>070000170017</v>
      </c>
      <c r="C85" s="54">
        <v>41459</v>
      </c>
      <c r="D85" s="67">
        <f t="shared" si="5"/>
        <v>41459</v>
      </c>
      <c r="E85" t="s">
        <v>4380</v>
      </c>
      <c r="F85" s="68" t="str">
        <f t="shared" si="4"/>
        <v>insert into ins_premium_det (premium_rcv_code,assorted_code, rec_amount,premium_rcv_detail_code,remaining_amt, payrec, mode_code,coinsurance_code,class_cd,it_remarks) values</v>
      </c>
      <c r="G85" s="69" t="str">
        <f t="shared" si="6"/>
        <v>('23Dec240041','070000170017','41459',(select max(to_number(i.premium_rcv_detail_code))+1
from ins_premium_det i),'41459','41459','02', '11000003','00','Request by Mr. Saqib Saleem 23-Dec-2024 renewal');</v>
      </c>
      <c r="H85" s="70" t="str">
        <f t="shared" si="7"/>
        <v>insert into ins_premium_det (premium_rcv_code,assorted_code, rec_amount,premium_rcv_detail_code,remaining_amt, payrec, mode_code,coinsurance_code,class_cd,it_remarks) values('23Dec240041','070000170017','41459',(select max(to_number(i.premium_rcv_detail_code))+1
from ins_premium_det i),'41459','41459','02', '11000003','00','Request by Mr. Saqib Saleem 23-Dec-2024 renewal');</v>
      </c>
    </row>
    <row r="86" spans="1:8" ht="89.25" x14ac:dyDescent="0.2">
      <c r="A86" t="s">
        <v>1003</v>
      </c>
      <c r="B86" t="str">
        <f>VLOOKUP(A86,policy1!B:C,2,0)</f>
        <v>070000170018</v>
      </c>
      <c r="C86" s="54">
        <v>36826</v>
      </c>
      <c r="D86" s="67">
        <f t="shared" si="5"/>
        <v>36826</v>
      </c>
      <c r="E86" t="s">
        <v>4380</v>
      </c>
      <c r="F86" s="68" t="str">
        <f t="shared" si="4"/>
        <v>insert into ins_premium_det (premium_rcv_code,assorted_code, rec_amount,premium_rcv_detail_code,remaining_amt, payrec, mode_code,coinsurance_code,class_cd,it_remarks) values</v>
      </c>
      <c r="G86" s="69" t="str">
        <f t="shared" si="6"/>
        <v>('23Dec240041','070000170018','36826',(select max(to_number(i.premium_rcv_detail_code))+1
from ins_premium_det i),'36826','36826','02', '11000003','00','Request by Mr. Saqib Saleem 23-Dec-2024 renewal');</v>
      </c>
      <c r="H86" s="70" t="str">
        <f t="shared" si="7"/>
        <v>insert into ins_premium_det (premium_rcv_code,assorted_code, rec_amount,premium_rcv_detail_code,remaining_amt, payrec, mode_code,coinsurance_code,class_cd,it_remarks) values('23Dec240041','070000170018','36826',(select max(to_number(i.premium_rcv_detail_code))+1
from ins_premium_det i),'36826','36826','02', '11000003','00','Request by Mr. Saqib Saleem 23-Dec-2024 renewal');</v>
      </c>
    </row>
    <row r="87" spans="1:8" ht="89.25" x14ac:dyDescent="0.2">
      <c r="A87" t="s">
        <v>1011</v>
      </c>
      <c r="B87" t="str">
        <f>VLOOKUP(A87,policy1!B:C,2,0)</f>
        <v>070000170019</v>
      </c>
      <c r="C87" s="54">
        <v>41459</v>
      </c>
      <c r="D87" s="67">
        <f t="shared" si="5"/>
        <v>41459</v>
      </c>
      <c r="E87" t="s">
        <v>4380</v>
      </c>
      <c r="F87" s="68" t="str">
        <f t="shared" si="4"/>
        <v>insert into ins_premium_det (premium_rcv_code,assorted_code, rec_amount,premium_rcv_detail_code,remaining_amt, payrec, mode_code,coinsurance_code,class_cd,it_remarks) values</v>
      </c>
      <c r="G87" s="69" t="str">
        <f t="shared" si="6"/>
        <v>('23Dec240041','070000170019','41459',(select max(to_number(i.premium_rcv_detail_code))+1
from ins_premium_det i),'41459','41459','02', '11000003','00','Request by Mr. Saqib Saleem 23-Dec-2024 renewal');</v>
      </c>
      <c r="H87" s="70" t="str">
        <f t="shared" si="7"/>
        <v>insert into ins_premium_det (premium_rcv_code,assorted_code, rec_amount,premium_rcv_detail_code,remaining_amt, payrec, mode_code,coinsurance_code,class_cd,it_remarks) values('23Dec240041','070000170019','41459',(select max(to_number(i.premium_rcv_detail_code))+1
from ins_premium_det i),'41459','41459','02', '11000003','00','Request by Mr. Saqib Saleem 23-Dec-2024 renewal');</v>
      </c>
    </row>
    <row r="88" spans="1:8" ht="89.25" x14ac:dyDescent="0.2">
      <c r="A88" t="s">
        <v>1018</v>
      </c>
      <c r="B88" t="str">
        <f>VLOOKUP(A88,policy1!B:C,2,0)</f>
        <v>070000170020</v>
      </c>
      <c r="C88" s="54">
        <v>22313</v>
      </c>
      <c r="D88" s="67">
        <f t="shared" si="5"/>
        <v>22313</v>
      </c>
      <c r="E88" t="s">
        <v>4380</v>
      </c>
      <c r="F88" s="68" t="str">
        <f t="shared" si="4"/>
        <v>insert into ins_premium_det (premium_rcv_code,assorted_code, rec_amount,premium_rcv_detail_code,remaining_amt, payrec, mode_code,coinsurance_code,class_cd,it_remarks) values</v>
      </c>
      <c r="G88" s="69" t="str">
        <f t="shared" si="6"/>
        <v>('23Dec240041','070000170020','22313',(select max(to_number(i.premium_rcv_detail_code))+1
from ins_premium_det i),'22313','22313','02', '11000003','00','Request by Mr. Saqib Saleem 23-Dec-2024 renewal');</v>
      </c>
      <c r="H88" s="70" t="str">
        <f t="shared" si="7"/>
        <v>insert into ins_premium_det (premium_rcv_code,assorted_code, rec_amount,premium_rcv_detail_code,remaining_amt, payrec, mode_code,coinsurance_code,class_cd,it_remarks) values('23Dec240041','070000170020','22313',(select max(to_number(i.premium_rcv_detail_code))+1
from ins_premium_det i),'22313','22313','02', '11000003','00','Request by Mr. Saqib Saleem 23-Dec-2024 renewal');</v>
      </c>
    </row>
    <row r="89" spans="1:8" ht="89.25" x14ac:dyDescent="0.2">
      <c r="A89" t="s">
        <v>1026</v>
      </c>
      <c r="B89" t="str">
        <f>VLOOKUP(A89,policy1!B:C,2,0)</f>
        <v>070000170021</v>
      </c>
      <c r="C89" s="54">
        <v>53444</v>
      </c>
      <c r="D89" s="67">
        <f t="shared" si="5"/>
        <v>53444</v>
      </c>
      <c r="E89" t="s">
        <v>4380</v>
      </c>
      <c r="F89" s="68" t="str">
        <f t="shared" si="4"/>
        <v>insert into ins_premium_det (premium_rcv_code,assorted_code, rec_amount,premium_rcv_detail_code,remaining_amt, payrec, mode_code,coinsurance_code,class_cd,it_remarks) values</v>
      </c>
      <c r="G89" s="69" t="str">
        <f t="shared" si="6"/>
        <v>('23Dec240041','070000170021','53444',(select max(to_number(i.premium_rcv_detail_code))+1
from ins_premium_det i),'53444','53444','02', '11000003','00','Request by Mr. Saqib Saleem 23-Dec-2024 renewal');</v>
      </c>
      <c r="H89" s="70" t="str">
        <f t="shared" si="7"/>
        <v>insert into ins_premium_det (premium_rcv_code,assorted_code, rec_amount,premium_rcv_detail_code,remaining_amt, payrec, mode_code,coinsurance_code,class_cd,it_remarks) values('23Dec240041','070000170021','53444',(select max(to_number(i.premium_rcv_detail_code))+1
from ins_premium_det i),'53444','53444','02', '11000003','00','Request by Mr. Saqib Saleem 23-Dec-2024 renewal');</v>
      </c>
    </row>
    <row r="90" spans="1:8" ht="89.25" x14ac:dyDescent="0.2">
      <c r="A90" t="s">
        <v>633</v>
      </c>
      <c r="B90" t="str">
        <f>VLOOKUP(A90,policy1!B:C,2,0)</f>
        <v>070000169973</v>
      </c>
      <c r="C90" s="54">
        <v>67500</v>
      </c>
      <c r="D90" s="67">
        <f t="shared" si="5"/>
        <v>67500</v>
      </c>
      <c r="E90" t="s">
        <v>4380</v>
      </c>
      <c r="F90" s="68" t="str">
        <f t="shared" si="4"/>
        <v>insert into ins_premium_det (premium_rcv_code,assorted_code, rec_amount,premium_rcv_detail_code,remaining_amt, payrec, mode_code,coinsurance_code,class_cd,it_remarks) values</v>
      </c>
      <c r="G90" s="69" t="str">
        <f t="shared" si="6"/>
        <v>('23Dec240041','070000169973','67500',(select max(to_number(i.premium_rcv_detail_code))+1
from ins_premium_det i),'67500','67500','02', '11000003','00','Request by Mr. Saqib Saleem 23-Dec-2024 renewal');</v>
      </c>
      <c r="H90" s="70" t="str">
        <f t="shared" si="7"/>
        <v>insert into ins_premium_det (premium_rcv_code,assorted_code, rec_amount,premium_rcv_detail_code,remaining_amt, payrec, mode_code,coinsurance_code,class_cd,it_remarks) values('23Dec240041','070000169973','67500',(select max(to_number(i.premium_rcv_detail_code))+1
from ins_premium_det i),'67500','67500','02', '11000003','00','Request by Mr. Saqib Saleem 23-Dec-2024 renewal');</v>
      </c>
    </row>
    <row r="91" spans="1:8" ht="89.25" x14ac:dyDescent="0.2">
      <c r="A91" t="s">
        <v>641</v>
      </c>
      <c r="B91" t="str">
        <f>VLOOKUP(A91,policy1!B:C,2,0)</f>
        <v>070000169974</v>
      </c>
      <c r="C91" s="54">
        <v>54000</v>
      </c>
      <c r="D91" s="67">
        <f t="shared" si="5"/>
        <v>54000</v>
      </c>
      <c r="E91" t="s">
        <v>4380</v>
      </c>
      <c r="F91" s="68" t="str">
        <f t="shared" si="4"/>
        <v>insert into ins_premium_det (premium_rcv_code,assorted_code, rec_amount,premium_rcv_detail_code,remaining_amt, payrec, mode_code,coinsurance_code,class_cd,it_remarks) values</v>
      </c>
      <c r="G91" s="69" t="str">
        <f t="shared" si="6"/>
        <v>('23Dec240041','070000169974','54000',(select max(to_number(i.premium_rcv_detail_code))+1
from ins_premium_det i),'54000','54000','02', '11000003','00','Request by Mr. Saqib Saleem 23-Dec-2024 renewal');</v>
      </c>
      <c r="H91" s="70" t="str">
        <f t="shared" si="7"/>
        <v>insert into ins_premium_det (premium_rcv_code,assorted_code, rec_amount,premium_rcv_detail_code,remaining_amt, payrec, mode_code,coinsurance_code,class_cd,it_remarks) values('23Dec240041','070000169974','54000',(select max(to_number(i.premium_rcv_detail_code))+1
from ins_premium_det i),'54000','54000','02', '11000003','00','Request by Mr. Saqib Saleem 23-Dec-2024 renewal');</v>
      </c>
    </row>
    <row r="92" spans="1:8" ht="89.25" x14ac:dyDescent="0.2">
      <c r="A92" t="s">
        <v>1438</v>
      </c>
      <c r="B92" t="str">
        <f>VLOOKUP(A92,policy1!B:C,2,0)</f>
        <v>070000170092</v>
      </c>
      <c r="C92" s="54">
        <v>54060</v>
      </c>
      <c r="D92" s="67">
        <f t="shared" si="5"/>
        <v>54060</v>
      </c>
      <c r="E92" t="s">
        <v>4380</v>
      </c>
      <c r="F92" s="68" t="str">
        <f t="shared" si="4"/>
        <v>insert into ins_premium_det (premium_rcv_code,assorted_code, rec_amount,premium_rcv_detail_code,remaining_amt, payrec, mode_code,coinsurance_code,class_cd,it_remarks) values</v>
      </c>
      <c r="G92" s="69" t="str">
        <f t="shared" si="6"/>
        <v>('23Dec240041','070000170092','54060',(select max(to_number(i.premium_rcv_detail_code))+1
from ins_premium_det i),'54060','54060','02', '11000003','00','Request by Mr. Saqib Saleem 23-Dec-2024 renewal');</v>
      </c>
      <c r="H92" s="70" t="str">
        <f t="shared" si="7"/>
        <v>insert into ins_premium_det (premium_rcv_code,assorted_code, rec_amount,premium_rcv_detail_code,remaining_amt, payrec, mode_code,coinsurance_code,class_cd,it_remarks) values('23Dec240041','070000170092','54060',(select max(to_number(i.premium_rcv_detail_code))+1
from ins_premium_det i),'54060','54060','02', '11000003','00','Request by Mr. Saqib Saleem 23-Dec-2024 renewal');</v>
      </c>
    </row>
    <row r="93" spans="1:8" ht="89.25" x14ac:dyDescent="0.2">
      <c r="A93" t="s">
        <v>1574</v>
      </c>
      <c r="B93" t="str">
        <f>VLOOKUP(A93,policy1!B:C,2,0)</f>
        <v>070000170108</v>
      </c>
      <c r="C93" s="54">
        <v>25928</v>
      </c>
      <c r="D93" s="67">
        <f t="shared" si="5"/>
        <v>25928</v>
      </c>
      <c r="E93" t="s">
        <v>4380</v>
      </c>
      <c r="F93" s="68" t="str">
        <f t="shared" si="4"/>
        <v>insert into ins_premium_det (premium_rcv_code,assorted_code, rec_amount,premium_rcv_detail_code,remaining_amt, payrec, mode_code,coinsurance_code,class_cd,it_remarks) values</v>
      </c>
      <c r="G93" s="69" t="str">
        <f t="shared" si="6"/>
        <v>('23Dec240041','070000170108','25928',(select max(to_number(i.premium_rcv_detail_code))+1
from ins_premium_det i),'25928','25928','02', '11000003','00','Request by Mr. Saqib Saleem 23-Dec-2024 renewal');</v>
      </c>
      <c r="H93" s="70" t="str">
        <f t="shared" si="7"/>
        <v>insert into ins_premium_det (premium_rcv_code,assorted_code, rec_amount,premium_rcv_detail_code,remaining_amt, payrec, mode_code,coinsurance_code,class_cd,it_remarks) values('23Dec240041','070000170108','25928',(select max(to_number(i.premium_rcv_detail_code))+1
from ins_premium_det i),'25928','25928','02', '11000003','00','Request by Mr. Saqib Saleem 23-Dec-2024 renewal');</v>
      </c>
    </row>
    <row r="94" spans="1:8" ht="89.25" x14ac:dyDescent="0.2">
      <c r="A94" t="s">
        <v>647</v>
      </c>
      <c r="B94" t="str">
        <f>VLOOKUP(A94,policy1!B:C,2,0)</f>
        <v>070000169975</v>
      </c>
      <c r="C94" s="54">
        <v>54675</v>
      </c>
      <c r="D94" s="67">
        <f t="shared" si="5"/>
        <v>54675</v>
      </c>
      <c r="E94" t="s">
        <v>4380</v>
      </c>
      <c r="F94" s="68" t="str">
        <f t="shared" si="4"/>
        <v>insert into ins_premium_det (premium_rcv_code,assorted_code, rec_amount,premium_rcv_detail_code,remaining_amt, payrec, mode_code,coinsurance_code,class_cd,it_remarks) values</v>
      </c>
      <c r="G94" s="69" t="str">
        <f t="shared" si="6"/>
        <v>('23Dec240041','070000169975','54675',(select max(to_number(i.premium_rcv_detail_code))+1
from ins_premium_det i),'54675','54675','02', '11000003','00','Request by Mr. Saqib Saleem 23-Dec-2024 renewal');</v>
      </c>
      <c r="H94" s="70" t="str">
        <f t="shared" si="7"/>
        <v>insert into ins_premium_det (premium_rcv_code,assorted_code, rec_amount,premium_rcv_detail_code,remaining_amt, payrec, mode_code,coinsurance_code,class_cd,it_remarks) values('23Dec240041','070000169975','54675',(select max(to_number(i.premium_rcv_detail_code))+1
from ins_premium_det i),'54675','54675','02', '11000003','00','Request by Mr. Saqib Saleem 23-Dec-2024 renewal');</v>
      </c>
    </row>
    <row r="95" spans="1:8" ht="89.25" x14ac:dyDescent="0.2">
      <c r="A95" t="s">
        <v>655</v>
      </c>
      <c r="B95" t="str">
        <f>VLOOKUP(A95,policy1!B:C,2,0)</f>
        <v>070000169976</v>
      </c>
      <c r="C95" s="54">
        <v>57848</v>
      </c>
      <c r="D95" s="67">
        <f t="shared" si="5"/>
        <v>57848</v>
      </c>
      <c r="E95" t="s">
        <v>4380</v>
      </c>
      <c r="F95" s="68" t="str">
        <f t="shared" si="4"/>
        <v>insert into ins_premium_det (premium_rcv_code,assorted_code, rec_amount,premium_rcv_detail_code,remaining_amt, payrec, mode_code,coinsurance_code,class_cd,it_remarks) values</v>
      </c>
      <c r="G95" s="69" t="str">
        <f t="shared" si="6"/>
        <v>('23Dec240041','070000169976','57848',(select max(to_number(i.premium_rcv_detail_code))+1
from ins_premium_det i),'57848','57848','02', '11000003','00','Request by Mr. Saqib Saleem 23-Dec-2024 renewal');</v>
      </c>
      <c r="H95" s="70" t="str">
        <f t="shared" si="7"/>
        <v>insert into ins_premium_det (premium_rcv_code,assorted_code, rec_amount,premium_rcv_detail_code,remaining_amt, payrec, mode_code,coinsurance_code,class_cd,it_remarks) values('23Dec240041','070000169976','57848',(select max(to_number(i.premium_rcv_detail_code))+1
from ins_premium_det i),'57848','57848','02', '11000003','00','Request by Mr. Saqib Saleem 23-Dec-2024 renewal');</v>
      </c>
    </row>
    <row r="96" spans="1:8" ht="89.25" x14ac:dyDescent="0.2">
      <c r="A96" t="s">
        <v>663</v>
      </c>
      <c r="B96" t="str">
        <f>VLOOKUP(A96,policy1!B:C,2,0)</f>
        <v>070000169977</v>
      </c>
      <c r="C96" s="54">
        <v>93150</v>
      </c>
      <c r="D96" s="67">
        <f t="shared" si="5"/>
        <v>93150</v>
      </c>
      <c r="E96" t="s">
        <v>4380</v>
      </c>
      <c r="F96" s="68" t="str">
        <f t="shared" si="4"/>
        <v>insert into ins_premium_det (premium_rcv_code,assorted_code, rec_amount,premium_rcv_detail_code,remaining_amt, payrec, mode_code,coinsurance_code,class_cd,it_remarks) values</v>
      </c>
      <c r="G96" s="69" t="str">
        <f t="shared" si="6"/>
        <v>('23Dec240041','070000169977','93150',(select max(to_number(i.premium_rcv_detail_code))+1
from ins_premium_det i),'93150','93150','02', '11000003','00','Request by Mr. Saqib Saleem 23-Dec-2024 renewal');</v>
      </c>
      <c r="H96" s="70" t="str">
        <f t="shared" si="7"/>
        <v>insert into ins_premium_det (premium_rcv_code,assorted_code, rec_amount,premium_rcv_detail_code,remaining_amt, payrec, mode_code,coinsurance_code,class_cd,it_remarks) values('23Dec240041','070000169977','93150',(select max(to_number(i.premium_rcv_detail_code))+1
from ins_premium_det i),'93150','93150','02', '11000003','00','Request by Mr. Saqib Saleem 23-Dec-2024 renewal');</v>
      </c>
    </row>
    <row r="97" spans="1:8" ht="89.25" x14ac:dyDescent="0.2">
      <c r="A97" t="s">
        <v>1453</v>
      </c>
      <c r="B97" t="str">
        <f>VLOOKUP(A97,policy1!B:C,2,0)</f>
        <v>070000170093</v>
      </c>
      <c r="C97" s="54">
        <v>34846</v>
      </c>
      <c r="D97" s="67">
        <f t="shared" si="5"/>
        <v>34846</v>
      </c>
      <c r="E97" t="s">
        <v>4380</v>
      </c>
      <c r="F97" s="68" t="str">
        <f t="shared" si="4"/>
        <v>insert into ins_premium_det (premium_rcv_code,assorted_code, rec_amount,premium_rcv_detail_code,remaining_amt, payrec, mode_code,coinsurance_code,class_cd,it_remarks) values</v>
      </c>
      <c r="G97" s="69" t="str">
        <f t="shared" si="6"/>
        <v>('23Dec240041','070000170093','34846',(select max(to_number(i.premium_rcv_detail_code))+1
from ins_premium_det i),'34846','34846','02', '11000003','00','Request by Mr. Saqib Saleem 23-Dec-2024 renewal');</v>
      </c>
      <c r="H97" s="70" t="str">
        <f t="shared" si="7"/>
        <v>insert into ins_premium_det (premium_rcv_code,assorted_code, rec_amount,premium_rcv_detail_code,remaining_amt, payrec, mode_code,coinsurance_code,class_cd,it_remarks) values('23Dec240041','070000170093','34846',(select max(to_number(i.premium_rcv_detail_code))+1
from ins_premium_det i),'34846','34846','02', '11000003','00','Request by Mr. Saqib Saleem 23-Dec-2024 renewal');</v>
      </c>
    </row>
    <row r="98" spans="1:8" ht="89.25" x14ac:dyDescent="0.2">
      <c r="A98" t="s">
        <v>1461</v>
      </c>
      <c r="B98" t="str">
        <f>VLOOKUP(A98,policy1!B:C,2,0)</f>
        <v>070000170094</v>
      </c>
      <c r="C98" s="54">
        <v>85188</v>
      </c>
      <c r="D98" s="67">
        <f t="shared" si="5"/>
        <v>85188</v>
      </c>
      <c r="E98" t="s">
        <v>4380</v>
      </c>
      <c r="F98" s="68" t="str">
        <f t="shared" si="4"/>
        <v>insert into ins_premium_det (premium_rcv_code,assorted_code, rec_amount,premium_rcv_detail_code,remaining_amt, payrec, mode_code,coinsurance_code,class_cd,it_remarks) values</v>
      </c>
      <c r="G98" s="69" t="str">
        <f t="shared" si="6"/>
        <v>('23Dec240041','070000170094','85188',(select max(to_number(i.premium_rcv_detail_code))+1
from ins_premium_det i),'85188','85188','02', '11000003','00','Request by Mr. Saqib Saleem 23-Dec-2024 renewal');</v>
      </c>
      <c r="H98" s="70" t="str">
        <f t="shared" si="7"/>
        <v>insert into ins_premium_det (premium_rcv_code,assorted_code, rec_amount,premium_rcv_detail_code,remaining_amt, payrec, mode_code,coinsurance_code,class_cd,it_remarks) values('23Dec240041','070000170094','85188',(select max(to_number(i.premium_rcv_detail_code))+1
from ins_premium_det i),'85188','85188','02', '11000003','00','Request by Mr. Saqib Saleem 23-Dec-2024 renewal');</v>
      </c>
    </row>
    <row r="99" spans="1:8" ht="89.25" x14ac:dyDescent="0.2">
      <c r="A99" t="s">
        <v>1468</v>
      </c>
      <c r="B99" t="str">
        <f>VLOOKUP(A99,policy1!B:C,2,0)</f>
        <v>070000170095</v>
      </c>
      <c r="C99" s="54">
        <v>21910</v>
      </c>
      <c r="D99" s="67">
        <f t="shared" si="5"/>
        <v>21910</v>
      </c>
      <c r="E99" t="s">
        <v>4380</v>
      </c>
      <c r="F99" s="68" t="str">
        <f t="shared" si="4"/>
        <v>insert into ins_premium_det (premium_rcv_code,assorted_code, rec_amount,premium_rcv_detail_code,remaining_amt, payrec, mode_code,coinsurance_code,class_cd,it_remarks) values</v>
      </c>
      <c r="G99" s="69" t="str">
        <f t="shared" si="6"/>
        <v>('23Dec240041','070000170095','21910',(select max(to_number(i.premium_rcv_detail_code))+1
from ins_premium_det i),'21910','21910','02', '11000003','00','Request by Mr. Saqib Saleem 23-Dec-2024 renewal');</v>
      </c>
      <c r="H99" s="70" t="str">
        <f t="shared" si="7"/>
        <v>insert into ins_premium_det (premium_rcv_code,assorted_code, rec_amount,premium_rcv_detail_code,remaining_amt, payrec, mode_code,coinsurance_code,class_cd,it_remarks) values('23Dec240041','070000170095','21910',(select max(to_number(i.premium_rcv_detail_code))+1
from ins_premium_det i),'21910','21910','02', '11000003','00','Request by Mr. Saqib Saleem 23-Dec-2024 renewal');</v>
      </c>
    </row>
    <row r="100" spans="1:8" ht="89.25" x14ac:dyDescent="0.2">
      <c r="A100" t="s">
        <v>1477</v>
      </c>
      <c r="B100" t="str">
        <f>VLOOKUP(A100,policy1!B:C,2,0)</f>
        <v>070000170096</v>
      </c>
      <c r="C100" s="54">
        <v>52884</v>
      </c>
      <c r="D100" s="67">
        <f t="shared" si="5"/>
        <v>52884</v>
      </c>
      <c r="E100" t="s">
        <v>4380</v>
      </c>
      <c r="F100" s="68" t="str">
        <f t="shared" si="4"/>
        <v>insert into ins_premium_det (premium_rcv_code,assorted_code, rec_amount,premium_rcv_detail_code,remaining_amt, payrec, mode_code,coinsurance_code,class_cd,it_remarks) values</v>
      </c>
      <c r="G100" s="69" t="str">
        <f t="shared" si="6"/>
        <v>('23Dec240041','070000170096','52884',(select max(to_number(i.premium_rcv_detail_code))+1
from ins_premium_det i),'52884','52884','02', '11000003','00','Request by Mr. Saqib Saleem 23-Dec-2024 renewal');</v>
      </c>
      <c r="H100" s="70" t="str">
        <f t="shared" si="7"/>
        <v>insert into ins_premium_det (premium_rcv_code,assorted_code, rec_amount,premium_rcv_detail_code,remaining_amt, payrec, mode_code,coinsurance_code,class_cd,it_remarks) values('23Dec240041','070000170096','52884',(select max(to_number(i.premium_rcv_detail_code))+1
from ins_premium_det i),'52884','52884','02', '11000003','00','Request by Mr. Saqib Saleem 23-Dec-2024 renewal');</v>
      </c>
    </row>
    <row r="101" spans="1:8" ht="89.25" x14ac:dyDescent="0.2">
      <c r="A101" t="s">
        <v>1494</v>
      </c>
      <c r="B101" t="str">
        <f>VLOOKUP(A101,policy1!B:C,2,0)</f>
        <v>070000170098</v>
      </c>
      <c r="C101" s="54">
        <v>28000</v>
      </c>
      <c r="D101" s="67">
        <f t="shared" si="5"/>
        <v>28000</v>
      </c>
      <c r="E101" t="s">
        <v>4380</v>
      </c>
      <c r="F101" s="68" t="str">
        <f t="shared" si="4"/>
        <v>insert into ins_premium_det (premium_rcv_code,assorted_code, rec_amount,premium_rcv_detail_code,remaining_amt, payrec, mode_code,coinsurance_code,class_cd,it_remarks) values</v>
      </c>
      <c r="G101" s="69" t="str">
        <f t="shared" si="6"/>
        <v>('23Dec240041','070000170098','28000',(select max(to_number(i.premium_rcv_detail_code))+1
from ins_premium_det i),'28000','28000','02', '11000003','00','Request by Mr. Saqib Saleem 23-Dec-2024 renewal');</v>
      </c>
      <c r="H101" s="70" t="str">
        <f t="shared" si="7"/>
        <v>insert into ins_premium_det (premium_rcv_code,assorted_code, rec_amount,premium_rcv_detail_code,remaining_amt, payrec, mode_code,coinsurance_code,class_cd,it_remarks) values('23Dec240041','070000170098','28000',(select max(to_number(i.premium_rcv_detail_code))+1
from ins_premium_det i),'28000','28000','02', '11000003','00','Request by Mr. Saqib Saleem 23-Dec-2024 renewal');</v>
      </c>
    </row>
    <row r="102" spans="1:8" ht="89.25" x14ac:dyDescent="0.2">
      <c r="A102" t="s">
        <v>1502</v>
      </c>
      <c r="B102" t="str">
        <f>VLOOKUP(A102,policy1!B:C,2,0)</f>
        <v>070000170099</v>
      </c>
      <c r="C102" s="54">
        <v>25620</v>
      </c>
      <c r="D102" s="67">
        <f t="shared" si="5"/>
        <v>25620</v>
      </c>
      <c r="E102" t="s">
        <v>4380</v>
      </c>
      <c r="F102" s="68" t="str">
        <f t="shared" si="4"/>
        <v>insert into ins_premium_det (premium_rcv_code,assorted_code, rec_amount,premium_rcv_detail_code,remaining_amt, payrec, mode_code,coinsurance_code,class_cd,it_remarks) values</v>
      </c>
      <c r="G102" s="69" t="str">
        <f t="shared" si="6"/>
        <v>('23Dec240041','070000170099','25620',(select max(to_number(i.premium_rcv_detail_code))+1
from ins_premium_det i),'25620','25620','02', '11000003','00','Request by Mr. Saqib Saleem 23-Dec-2024 renewal');</v>
      </c>
      <c r="H102" s="70" t="str">
        <f t="shared" si="7"/>
        <v>insert into ins_premium_det (premium_rcv_code,assorted_code, rec_amount,premium_rcv_detail_code,remaining_amt, payrec, mode_code,coinsurance_code,class_cd,it_remarks) values('23Dec240041','070000170099','25620',(select max(to_number(i.premium_rcv_detail_code))+1
from ins_premium_det i),'25620','25620','02', '11000003','00','Request by Mr. Saqib Saleem 23-Dec-2024 renewal');</v>
      </c>
    </row>
    <row r="103" spans="1:8" ht="89.25" x14ac:dyDescent="0.2">
      <c r="A103" t="s">
        <v>1510</v>
      </c>
      <c r="B103" t="str">
        <f>VLOOKUP(A103,policy1!B:C,2,0)</f>
        <v>070000170100</v>
      </c>
      <c r="C103" s="54">
        <v>41580</v>
      </c>
      <c r="D103" s="67">
        <f t="shared" si="5"/>
        <v>41580</v>
      </c>
      <c r="E103" t="s">
        <v>4380</v>
      </c>
      <c r="F103" s="68" t="str">
        <f t="shared" si="4"/>
        <v>insert into ins_premium_det (premium_rcv_code,assorted_code, rec_amount,premium_rcv_detail_code,remaining_amt, payrec, mode_code,coinsurance_code,class_cd,it_remarks) values</v>
      </c>
      <c r="G103" s="69" t="str">
        <f t="shared" si="6"/>
        <v>('23Dec240041','070000170100','41580',(select max(to_number(i.premium_rcv_detail_code))+1
from ins_premium_det i),'41580','41580','02', '11000003','00','Request by Mr. Saqib Saleem 23-Dec-2024 renewal');</v>
      </c>
      <c r="H103" s="70" t="str">
        <f t="shared" si="7"/>
        <v>insert into ins_premium_det (premium_rcv_code,assorted_code, rec_amount,premium_rcv_detail_code,remaining_amt, payrec, mode_code,coinsurance_code,class_cd,it_remarks) values('23Dec240041','070000170100','41580',(select max(to_number(i.premium_rcv_detail_code))+1
from ins_premium_det i),'41580','41580','02', '11000003','00','Request by Mr. Saqib Saleem 23-Dec-2024 renewal');</v>
      </c>
    </row>
    <row r="104" spans="1:8" ht="89.25" x14ac:dyDescent="0.2">
      <c r="A104" t="s">
        <v>1518</v>
      </c>
      <c r="B104" t="str">
        <f>VLOOKUP(A104,policy1!B:C,2,0)</f>
        <v>070000170101</v>
      </c>
      <c r="C104" s="54">
        <v>23800</v>
      </c>
      <c r="D104" s="67">
        <f t="shared" si="5"/>
        <v>23800</v>
      </c>
      <c r="E104" t="s">
        <v>4380</v>
      </c>
      <c r="F104" s="68" t="str">
        <f t="shared" si="4"/>
        <v>insert into ins_premium_det (premium_rcv_code,assorted_code, rec_amount,premium_rcv_detail_code,remaining_amt, payrec, mode_code,coinsurance_code,class_cd,it_remarks) values</v>
      </c>
      <c r="G104" s="69" t="str">
        <f t="shared" si="6"/>
        <v>('23Dec240041','070000170101','23800',(select max(to_number(i.premium_rcv_detail_code))+1
from ins_premium_det i),'23800','23800','02', '11000003','00','Request by Mr. Saqib Saleem 23-Dec-2024 renewal');</v>
      </c>
      <c r="H104" s="70" t="str">
        <f t="shared" si="7"/>
        <v>insert into ins_premium_det (premium_rcv_code,assorted_code, rec_amount,premium_rcv_detail_code,remaining_amt, payrec, mode_code,coinsurance_code,class_cd,it_remarks) values('23Dec240041','070000170101','23800',(select max(to_number(i.premium_rcv_detail_code))+1
from ins_premium_det i),'23800','23800','02', '11000003','00','Request by Mr. Saqib Saleem 23-Dec-2024 renewal');</v>
      </c>
    </row>
    <row r="105" spans="1:8" ht="89.25" x14ac:dyDescent="0.2">
      <c r="A105" t="s">
        <v>1526</v>
      </c>
      <c r="B105" t="str">
        <f>VLOOKUP(A105,policy1!B:C,2,0)</f>
        <v>070000170102</v>
      </c>
      <c r="C105" s="54">
        <v>21294</v>
      </c>
      <c r="D105" s="67">
        <f t="shared" si="5"/>
        <v>21294</v>
      </c>
      <c r="E105" t="s">
        <v>4380</v>
      </c>
      <c r="F105" s="68" t="str">
        <f t="shared" si="4"/>
        <v>insert into ins_premium_det (premium_rcv_code,assorted_code, rec_amount,premium_rcv_detail_code,remaining_amt, payrec, mode_code,coinsurance_code,class_cd,it_remarks) values</v>
      </c>
      <c r="G105" s="69" t="str">
        <f t="shared" si="6"/>
        <v>('23Dec240041','070000170102','21294',(select max(to_number(i.premium_rcv_detail_code))+1
from ins_premium_det i),'21294','21294','02', '11000003','00','Request by Mr. Saqib Saleem 23-Dec-2024 renewal');</v>
      </c>
      <c r="H105" s="70" t="str">
        <f t="shared" si="7"/>
        <v>insert into ins_premium_det (premium_rcv_code,assorted_code, rec_amount,premium_rcv_detail_code,remaining_amt, payrec, mode_code,coinsurance_code,class_cd,it_remarks) values('23Dec240041','070000170102','21294',(select max(to_number(i.premium_rcv_detail_code))+1
from ins_premium_det i),'21294','21294','02', '11000003','00','Request by Mr. Saqib Saleem 23-Dec-2024 renewal');</v>
      </c>
    </row>
    <row r="106" spans="1:8" ht="89.25" x14ac:dyDescent="0.2">
      <c r="A106" t="s">
        <v>1542</v>
      </c>
      <c r="B106" t="str">
        <f>VLOOKUP(A106,policy1!B:C,2,0)</f>
        <v>070000170103</v>
      </c>
      <c r="C106" s="54">
        <v>20650</v>
      </c>
      <c r="D106" s="67">
        <f t="shared" si="5"/>
        <v>20650</v>
      </c>
      <c r="E106" t="s">
        <v>4380</v>
      </c>
      <c r="F106" s="68" t="str">
        <f t="shared" si="4"/>
        <v>insert into ins_premium_det (premium_rcv_code,assorted_code, rec_amount,premium_rcv_detail_code,remaining_amt, payrec, mode_code,coinsurance_code,class_cd,it_remarks) values</v>
      </c>
      <c r="G106" s="69" t="str">
        <f t="shared" si="6"/>
        <v>('23Dec240041','070000170103','20650',(select max(to_number(i.premium_rcv_detail_code))+1
from ins_premium_det i),'20650','20650','02', '11000003','00','Request by Mr. Saqib Saleem 23-Dec-2024 renewal');</v>
      </c>
      <c r="H106" s="70" t="str">
        <f t="shared" si="7"/>
        <v>insert into ins_premium_det (premium_rcv_code,assorted_code, rec_amount,premium_rcv_detail_code,remaining_amt, payrec, mode_code,coinsurance_code,class_cd,it_remarks) values('23Dec240041','070000170103','20650',(select max(to_number(i.premium_rcv_detail_code))+1
from ins_premium_det i),'20650','20650','02', '11000003','00','Request by Mr. Saqib Saleem 23-Dec-2024 renewal');</v>
      </c>
    </row>
    <row r="107" spans="1:8" ht="89.25" x14ac:dyDescent="0.2">
      <c r="A107" t="s">
        <v>1951</v>
      </c>
      <c r="B107" t="str">
        <f>VLOOKUP(A107,policy1!B:C,2,0)</f>
        <v>070000170186</v>
      </c>
      <c r="C107" s="54">
        <v>44246</v>
      </c>
      <c r="D107" s="67">
        <f t="shared" si="5"/>
        <v>44246</v>
      </c>
      <c r="E107" t="s">
        <v>4380</v>
      </c>
      <c r="F107" s="68" t="str">
        <f t="shared" si="4"/>
        <v>insert into ins_premium_det (premium_rcv_code,assorted_code, rec_amount,premium_rcv_detail_code,remaining_amt, payrec, mode_code,coinsurance_code,class_cd,it_remarks) values</v>
      </c>
      <c r="G107" s="69" t="str">
        <f t="shared" si="6"/>
        <v>('23Dec240041','070000170186','44246',(select max(to_number(i.premium_rcv_detail_code))+1
from ins_premium_det i),'44246','44246','02', '11000003','00','Request by Mr. Saqib Saleem 23-Dec-2024 renewal');</v>
      </c>
      <c r="H107" s="70" t="str">
        <f t="shared" si="7"/>
        <v>insert into ins_premium_det (premium_rcv_code,assorted_code, rec_amount,premium_rcv_detail_code,remaining_amt, payrec, mode_code,coinsurance_code,class_cd,it_remarks) values('23Dec240041','070000170186','44246',(select max(to_number(i.premium_rcv_detail_code))+1
from ins_premium_det i),'44246','44246','02', '11000003','00','Request by Mr. Saqib Saleem 23-Dec-2024 renewal');</v>
      </c>
    </row>
    <row r="108" spans="1:8" ht="89.25" x14ac:dyDescent="0.2">
      <c r="A108" t="s">
        <v>2131</v>
      </c>
      <c r="B108" t="str">
        <f>VLOOKUP(A108,policy1!B:C,2,0)</f>
        <v>070000170160</v>
      </c>
      <c r="C108" s="54">
        <v>22463</v>
      </c>
      <c r="D108" s="67">
        <f t="shared" si="5"/>
        <v>22463</v>
      </c>
      <c r="E108" t="s">
        <v>4380</v>
      </c>
      <c r="F108" s="68" t="str">
        <f t="shared" si="4"/>
        <v>insert into ins_premium_det (premium_rcv_code,assorted_code, rec_amount,premium_rcv_detail_code,remaining_amt, payrec, mode_code,coinsurance_code,class_cd,it_remarks) values</v>
      </c>
      <c r="G108" s="69" t="str">
        <f t="shared" si="6"/>
        <v>('23Dec240041','070000170160','22463',(select max(to_number(i.premium_rcv_detail_code))+1
from ins_premium_det i),'22463','22463','02', '11000003','00','Request by Mr. Saqib Saleem 23-Dec-2024 renewal');</v>
      </c>
      <c r="H108" s="70" t="str">
        <f t="shared" si="7"/>
        <v>insert into ins_premium_det (premium_rcv_code,assorted_code, rec_amount,premium_rcv_detail_code,remaining_amt, payrec, mode_code,coinsurance_code,class_cd,it_remarks) values('23Dec240041','070000170160','22463',(select max(to_number(i.premium_rcv_detail_code))+1
from ins_premium_det i),'22463','22463','02', '11000003','00','Request by Mr. Saqib Saleem 23-Dec-2024 renewal');</v>
      </c>
    </row>
    <row r="109" spans="1:8" ht="89.25" x14ac:dyDescent="0.2">
      <c r="A109" t="s">
        <v>672</v>
      </c>
      <c r="B109" t="str">
        <f>VLOOKUP(A109,policy1!B:C,2,0)</f>
        <v>070000169978</v>
      </c>
      <c r="C109" s="54">
        <v>54000</v>
      </c>
      <c r="D109" s="67">
        <f t="shared" si="5"/>
        <v>54000</v>
      </c>
      <c r="E109" t="s">
        <v>4380</v>
      </c>
      <c r="F109" s="68" t="str">
        <f t="shared" si="4"/>
        <v>insert into ins_premium_det (premium_rcv_code,assorted_code, rec_amount,premium_rcv_detail_code,remaining_amt, payrec, mode_code,coinsurance_code,class_cd,it_remarks) values</v>
      </c>
      <c r="G109" s="69" t="str">
        <f t="shared" si="6"/>
        <v>('23Dec240041','070000169978','54000',(select max(to_number(i.premium_rcv_detail_code))+1
from ins_premium_det i),'54000','54000','02', '11000003','00','Request by Mr. Saqib Saleem 23-Dec-2024 renewal');</v>
      </c>
      <c r="H109" s="70" t="str">
        <f t="shared" si="7"/>
        <v>insert into ins_premium_det (premium_rcv_code,assorted_code, rec_amount,premium_rcv_detail_code,remaining_amt, payrec, mode_code,coinsurance_code,class_cd,it_remarks) values('23Dec240041','070000169978','54000',(select max(to_number(i.premium_rcv_detail_code))+1
from ins_premium_det i),'54000','54000','02', '11000003','00','Request by Mr. Saqib Saleem 23-Dec-2024 renewal');</v>
      </c>
    </row>
    <row r="110" spans="1:8" ht="89.25" x14ac:dyDescent="0.2">
      <c r="A110" t="s">
        <v>1041</v>
      </c>
      <c r="B110" t="str">
        <f>VLOOKUP(A110,policy1!B:C,2,0)</f>
        <v>070000170022</v>
      </c>
      <c r="C110" s="54">
        <v>33592</v>
      </c>
      <c r="D110" s="67">
        <f t="shared" si="5"/>
        <v>33592</v>
      </c>
      <c r="E110" t="s">
        <v>4380</v>
      </c>
      <c r="F110" s="68" t="str">
        <f t="shared" si="4"/>
        <v>insert into ins_premium_det (premium_rcv_code,assorted_code, rec_amount,premium_rcv_detail_code,remaining_amt, payrec, mode_code,coinsurance_code,class_cd,it_remarks) values</v>
      </c>
      <c r="G110" s="69" t="str">
        <f t="shared" si="6"/>
        <v>('23Dec240041','070000170022','33592',(select max(to_number(i.premium_rcv_detail_code))+1
from ins_premium_det i),'33592','33592','02', '11000003','00','Request by Mr. Saqib Saleem 23-Dec-2024 renewal');</v>
      </c>
      <c r="H110" s="70" t="str">
        <f t="shared" si="7"/>
        <v>insert into ins_premium_det (premium_rcv_code,assorted_code, rec_amount,premium_rcv_detail_code,remaining_amt, payrec, mode_code,coinsurance_code,class_cd,it_remarks) values('23Dec240041','070000170022','33592',(select max(to_number(i.premium_rcv_detail_code))+1
from ins_premium_det i),'33592','33592','02', '11000003','00','Request by Mr. Saqib Saleem 23-Dec-2024 renewal');</v>
      </c>
    </row>
    <row r="111" spans="1:8" ht="89.25" x14ac:dyDescent="0.2">
      <c r="A111" t="s">
        <v>1550</v>
      </c>
      <c r="B111" t="str">
        <f>VLOOKUP(A111,policy1!B:C,2,0)</f>
        <v>070000170105</v>
      </c>
      <c r="C111" s="54">
        <v>21112</v>
      </c>
      <c r="D111" s="67">
        <f t="shared" si="5"/>
        <v>21112</v>
      </c>
      <c r="E111" t="s">
        <v>4380</v>
      </c>
      <c r="F111" s="68" t="str">
        <f t="shared" si="4"/>
        <v>insert into ins_premium_det (premium_rcv_code,assorted_code, rec_amount,premium_rcv_detail_code,remaining_amt, payrec, mode_code,coinsurance_code,class_cd,it_remarks) values</v>
      </c>
      <c r="G111" s="69" t="str">
        <f t="shared" si="6"/>
        <v>('23Dec240041','070000170105','21112',(select max(to_number(i.premium_rcv_detail_code))+1
from ins_premium_det i),'21112','21112','02', '11000003','00','Request by Mr. Saqib Saleem 23-Dec-2024 renewal');</v>
      </c>
      <c r="H111" s="70" t="str">
        <f t="shared" si="7"/>
        <v>insert into ins_premium_det (premium_rcv_code,assorted_code, rec_amount,premium_rcv_detail_code,remaining_amt, payrec, mode_code,coinsurance_code,class_cd,it_remarks) values('23Dec240041','070000170105','21112',(select max(to_number(i.premium_rcv_detail_code))+1
from ins_premium_det i),'21112','21112','02', '11000003','00','Request by Mr. Saqib Saleem 23-Dec-2024 renewal');</v>
      </c>
    </row>
    <row r="112" spans="1:8" ht="89.25" x14ac:dyDescent="0.2">
      <c r="A112" t="s">
        <v>1557</v>
      </c>
      <c r="B112" t="str">
        <f>VLOOKUP(A112,policy1!B:C,2,0)</f>
        <v>070000170106</v>
      </c>
      <c r="C112" s="54">
        <v>27650</v>
      </c>
      <c r="D112" s="67">
        <f t="shared" si="5"/>
        <v>27650</v>
      </c>
      <c r="E112" t="s">
        <v>4380</v>
      </c>
      <c r="F112" s="68" t="str">
        <f t="shared" si="4"/>
        <v>insert into ins_premium_det (premium_rcv_code,assorted_code, rec_amount,premium_rcv_detail_code,remaining_amt, payrec, mode_code,coinsurance_code,class_cd,it_remarks) values</v>
      </c>
      <c r="G112" s="69" t="str">
        <f t="shared" si="6"/>
        <v>('23Dec240041','070000170106','27650',(select max(to_number(i.premium_rcv_detail_code))+1
from ins_premium_det i),'27650','27650','02', '11000003','00','Request by Mr. Saqib Saleem 23-Dec-2024 renewal');</v>
      </c>
      <c r="H112" s="70" t="str">
        <f t="shared" si="7"/>
        <v>insert into ins_premium_det (premium_rcv_code,assorted_code, rec_amount,premium_rcv_detail_code,remaining_amt, payrec, mode_code,coinsurance_code,class_cd,it_remarks) values('23Dec240041','070000170106','27650',(select max(to_number(i.premium_rcv_detail_code))+1
from ins_premium_det i),'27650','27650','02', '11000003','00','Request by Mr. Saqib Saleem 23-Dec-2024 renewal');</v>
      </c>
    </row>
    <row r="113" spans="1:8" ht="89.25" x14ac:dyDescent="0.2">
      <c r="A113" t="s">
        <v>1606</v>
      </c>
      <c r="B113" t="str">
        <f>VLOOKUP(A113,policy1!B:C,2,0)</f>
        <v>070000170114</v>
      </c>
      <c r="C113" s="54">
        <v>44520</v>
      </c>
      <c r="D113" s="67">
        <f t="shared" si="5"/>
        <v>44520</v>
      </c>
      <c r="E113" t="s">
        <v>4380</v>
      </c>
      <c r="F113" s="68" t="str">
        <f t="shared" si="4"/>
        <v>insert into ins_premium_det (premium_rcv_code,assorted_code, rec_amount,premium_rcv_detail_code,remaining_amt, payrec, mode_code,coinsurance_code,class_cd,it_remarks) values</v>
      </c>
      <c r="G113" s="69" t="str">
        <f t="shared" si="6"/>
        <v>('23Dec240041','070000170114','44520',(select max(to_number(i.premium_rcv_detail_code))+1
from ins_premium_det i),'44520','44520','02', '11000003','00','Request by Mr. Saqib Saleem 23-Dec-2024 renewal');</v>
      </c>
      <c r="H113" s="70" t="str">
        <f t="shared" si="7"/>
        <v>insert into ins_premium_det (premium_rcv_code,assorted_code, rec_amount,premium_rcv_detail_code,remaining_amt, payrec, mode_code,coinsurance_code,class_cd,it_remarks) values('23Dec240041','070000170114','44520',(select max(to_number(i.premium_rcv_detail_code))+1
from ins_premium_det i),'44520','44520','02', '11000003','00','Request by Mr. Saqib Saleem 23-Dec-2024 renewal');</v>
      </c>
    </row>
    <row r="114" spans="1:8" ht="89.25" x14ac:dyDescent="0.2">
      <c r="A114" t="s">
        <v>1615</v>
      </c>
      <c r="B114" t="str">
        <f>VLOOKUP(A114,policy1!B:C,2,0)</f>
        <v>070000170115</v>
      </c>
      <c r="C114" s="54">
        <v>51960</v>
      </c>
      <c r="D114" s="67">
        <f t="shared" si="5"/>
        <v>51960</v>
      </c>
      <c r="E114" t="s">
        <v>4380</v>
      </c>
      <c r="F114" s="68" t="str">
        <f t="shared" si="4"/>
        <v>insert into ins_premium_det (premium_rcv_code,assorted_code, rec_amount,premium_rcv_detail_code,remaining_amt, payrec, mode_code,coinsurance_code,class_cd,it_remarks) values</v>
      </c>
      <c r="G114" s="69" t="str">
        <f t="shared" si="6"/>
        <v>('23Dec240041','070000170115','51960',(select max(to_number(i.premium_rcv_detail_code))+1
from ins_premium_det i),'51960','51960','02', '11000003','00','Request by Mr. Saqib Saleem 23-Dec-2024 renewal');</v>
      </c>
      <c r="H114" s="70" t="str">
        <f t="shared" si="7"/>
        <v>insert into ins_premium_det (premium_rcv_code,assorted_code, rec_amount,premium_rcv_detail_code,remaining_amt, payrec, mode_code,coinsurance_code,class_cd,it_remarks) values('23Dec240041','070000170115','51960',(select max(to_number(i.premium_rcv_detail_code))+1
from ins_premium_det i),'51960','51960','02', '11000003','00','Request by Mr. Saqib Saleem 23-Dec-2024 renewal');</v>
      </c>
    </row>
    <row r="115" spans="1:8" ht="89.25" x14ac:dyDescent="0.2">
      <c r="A115" t="s">
        <v>1903</v>
      </c>
      <c r="B115" t="str">
        <f>VLOOKUP(A115,policy1!B:C,2,0)</f>
        <v>070000170179</v>
      </c>
      <c r="C115" s="54">
        <v>44063</v>
      </c>
      <c r="D115" s="67">
        <f t="shared" si="5"/>
        <v>44063</v>
      </c>
      <c r="E115" t="s">
        <v>4380</v>
      </c>
      <c r="F115" s="68" t="str">
        <f t="shared" si="4"/>
        <v>insert into ins_premium_det (premium_rcv_code,assorted_code, rec_amount,premium_rcv_detail_code,remaining_amt, payrec, mode_code,coinsurance_code,class_cd,it_remarks) values</v>
      </c>
      <c r="G115" s="69" t="str">
        <f t="shared" si="6"/>
        <v>('23Dec240041','070000170179','44063',(select max(to_number(i.premium_rcv_detail_code))+1
from ins_premium_det i),'44063','44063','02', '11000003','00','Request by Mr. Saqib Saleem 23-Dec-2024 renewal');</v>
      </c>
      <c r="H115" s="70" t="str">
        <f t="shared" si="7"/>
        <v>insert into ins_premium_det (premium_rcv_code,assorted_code, rec_amount,premium_rcv_detail_code,remaining_amt, payrec, mode_code,coinsurance_code,class_cd,it_remarks) values('23Dec240041','070000170179','44063',(select max(to_number(i.premium_rcv_detail_code))+1
from ins_premium_det i),'44063','44063','02', '11000003','00','Request by Mr. Saqib Saleem 23-Dec-2024 renewal');</v>
      </c>
    </row>
    <row r="116" spans="1:8" ht="89.25" x14ac:dyDescent="0.2">
      <c r="A116" t="s">
        <v>1929</v>
      </c>
      <c r="B116" t="str">
        <f>VLOOKUP(A116,policy1!B:C,2,0)</f>
        <v>070000170183</v>
      </c>
      <c r="C116" s="54">
        <v>26869</v>
      </c>
      <c r="D116" s="67">
        <f t="shared" si="5"/>
        <v>26869</v>
      </c>
      <c r="E116" t="s">
        <v>4380</v>
      </c>
      <c r="F116" s="68" t="str">
        <f t="shared" si="4"/>
        <v>insert into ins_premium_det (premium_rcv_code,assorted_code, rec_amount,premium_rcv_detail_code,remaining_amt, payrec, mode_code,coinsurance_code,class_cd,it_remarks) values</v>
      </c>
      <c r="G116" s="69" t="str">
        <f t="shared" si="6"/>
        <v>('23Dec240041','070000170183','26869',(select max(to_number(i.premium_rcv_detail_code))+1
from ins_premium_det i),'26869','26869','02', '11000003','00','Request by Mr. Saqib Saleem 23-Dec-2024 renewal');</v>
      </c>
      <c r="H116" s="70" t="str">
        <f t="shared" si="7"/>
        <v>insert into ins_premium_det (premium_rcv_code,assorted_code, rec_amount,premium_rcv_detail_code,remaining_amt, payrec, mode_code,coinsurance_code,class_cd,it_remarks) values('23Dec240041','070000170183','26869',(select max(to_number(i.premium_rcv_detail_code))+1
from ins_premium_det i),'26869','26869','02', '11000003','00','Request by Mr. Saqib Saleem 23-Dec-2024 renewal');</v>
      </c>
    </row>
    <row r="117" spans="1:8" ht="89.25" x14ac:dyDescent="0.2">
      <c r="A117" t="s">
        <v>906</v>
      </c>
      <c r="B117" t="str">
        <f>VLOOKUP(A117,policy1!B:C,2,0)</f>
        <v>070000169915</v>
      </c>
      <c r="C117" s="54">
        <v>24208</v>
      </c>
      <c r="D117" s="67">
        <f t="shared" si="5"/>
        <v>24208</v>
      </c>
      <c r="E117" t="s">
        <v>4380</v>
      </c>
      <c r="F117" s="68" t="str">
        <f t="shared" si="4"/>
        <v>insert into ins_premium_det (premium_rcv_code,assorted_code, rec_amount,premium_rcv_detail_code,remaining_amt, payrec, mode_code,coinsurance_code,class_cd,it_remarks) values</v>
      </c>
      <c r="G117" s="69" t="str">
        <f t="shared" si="6"/>
        <v>('23Dec240041','070000169915','24208',(select max(to_number(i.premium_rcv_detail_code))+1
from ins_premium_det i),'24208','24208','02', '11000003','00','Request by Mr. Saqib Saleem 23-Dec-2024 renewal');</v>
      </c>
      <c r="H117" s="70" t="str">
        <f t="shared" si="7"/>
        <v>insert into ins_premium_det (premium_rcv_code,assorted_code, rec_amount,premium_rcv_detail_code,remaining_amt, payrec, mode_code,coinsurance_code,class_cd,it_remarks) values('23Dec240041','070000169915','24208',(select max(to_number(i.premium_rcv_detail_code))+1
from ins_premium_det i),'24208','24208','02', '11000003','00','Request by Mr. Saqib Saleem 23-Dec-2024 renewal');</v>
      </c>
    </row>
    <row r="118" spans="1:8" ht="89.25" x14ac:dyDescent="0.2">
      <c r="A118" t="s">
        <v>940</v>
      </c>
      <c r="B118" t="str">
        <f>VLOOKUP(A118,policy1!B:C,2,0)</f>
        <v>070000169911</v>
      </c>
      <c r="C118" s="54">
        <v>14280</v>
      </c>
      <c r="D118" s="67">
        <f t="shared" si="5"/>
        <v>14280</v>
      </c>
      <c r="E118" t="s">
        <v>4380</v>
      </c>
      <c r="F118" s="68" t="str">
        <f t="shared" si="4"/>
        <v>insert into ins_premium_det (premium_rcv_code,assorted_code, rec_amount,premium_rcv_detail_code,remaining_amt, payrec, mode_code,coinsurance_code,class_cd,it_remarks) values</v>
      </c>
      <c r="G118" s="69" t="str">
        <f t="shared" si="6"/>
        <v>('23Dec240041','070000169911','14280',(select max(to_number(i.premium_rcv_detail_code))+1
from ins_premium_det i),'14280','14280','02', '11000003','00','Request by Mr. Saqib Saleem 23-Dec-2024 renewal');</v>
      </c>
      <c r="H118" s="70" t="str">
        <f t="shared" si="7"/>
        <v>insert into ins_premium_det (premium_rcv_code,assorted_code, rec_amount,premium_rcv_detail_code,remaining_amt, payrec, mode_code,coinsurance_code,class_cd,it_remarks) values('23Dec240041','070000169911','14280',(select max(to_number(i.premium_rcv_detail_code))+1
from ins_premium_det i),'14280','14280','02', '11000003','00','Request by Mr. Saqib Saleem 23-Dec-2024 renewal');</v>
      </c>
    </row>
    <row r="119" spans="1:8" ht="89.25" x14ac:dyDescent="0.2">
      <c r="A119" t="s">
        <v>1049</v>
      </c>
      <c r="B119" t="str">
        <f>VLOOKUP(A119,policy1!B:C,2,0)</f>
        <v>070000170024</v>
      </c>
      <c r="C119" s="54">
        <v>29750</v>
      </c>
      <c r="D119" s="67">
        <f t="shared" si="5"/>
        <v>29750</v>
      </c>
      <c r="E119" t="s">
        <v>4380</v>
      </c>
      <c r="F119" s="68" t="str">
        <f t="shared" si="4"/>
        <v>insert into ins_premium_det (premium_rcv_code,assorted_code, rec_amount,premium_rcv_detail_code,remaining_amt, payrec, mode_code,coinsurance_code,class_cd,it_remarks) values</v>
      </c>
      <c r="G119" s="69" t="str">
        <f t="shared" si="6"/>
        <v>('23Dec240041','070000170024','29750',(select max(to_number(i.premium_rcv_detail_code))+1
from ins_premium_det i),'29750','29750','02', '11000003','00','Request by Mr. Saqib Saleem 23-Dec-2024 renewal');</v>
      </c>
      <c r="H119" s="70" t="str">
        <f t="shared" si="7"/>
        <v>insert into ins_premium_det (premium_rcv_code,assorted_code, rec_amount,premium_rcv_detail_code,remaining_amt, payrec, mode_code,coinsurance_code,class_cd,it_remarks) values('23Dec240041','070000170024','29750',(select max(to_number(i.premium_rcv_detail_code))+1
from ins_premium_det i),'29750','29750','02', '11000003','00','Request by Mr. Saqib Saleem 23-Dec-2024 renewal');</v>
      </c>
    </row>
    <row r="120" spans="1:8" ht="89.25" x14ac:dyDescent="0.2">
      <c r="A120" t="s">
        <v>1057</v>
      </c>
      <c r="B120" t="str">
        <f>VLOOKUP(A120,policy1!B:C,2,0)</f>
        <v>070000170025</v>
      </c>
      <c r="C120" s="54">
        <v>43588</v>
      </c>
      <c r="D120" s="67">
        <f t="shared" si="5"/>
        <v>43588</v>
      </c>
      <c r="E120" t="s">
        <v>4380</v>
      </c>
      <c r="F120" s="68" t="str">
        <f t="shared" si="4"/>
        <v>insert into ins_premium_det (premium_rcv_code,assorted_code, rec_amount,premium_rcv_detail_code,remaining_amt, payrec, mode_code,coinsurance_code,class_cd,it_remarks) values</v>
      </c>
      <c r="G120" s="69" t="str">
        <f t="shared" si="6"/>
        <v>('23Dec240041','070000170025','43588',(select max(to_number(i.premium_rcv_detail_code))+1
from ins_premium_det i),'43588','43588','02', '11000003','00','Request by Mr. Saqib Saleem 23-Dec-2024 renewal');</v>
      </c>
      <c r="H120" s="70" t="str">
        <f t="shared" si="7"/>
        <v>insert into ins_premium_det (premium_rcv_code,assorted_code, rec_amount,premium_rcv_detail_code,remaining_amt, payrec, mode_code,coinsurance_code,class_cd,it_remarks) values('23Dec240041','070000170025','43588',(select max(to_number(i.premium_rcv_detail_code))+1
from ins_premium_det i),'43588','43588','02', '11000003','00','Request by Mr. Saqib Saleem 23-Dec-2024 renewal');</v>
      </c>
    </row>
    <row r="121" spans="1:8" ht="89.25" x14ac:dyDescent="0.2">
      <c r="A121" t="s">
        <v>1566</v>
      </c>
      <c r="B121" t="str">
        <f>VLOOKUP(A121,policy1!B:C,2,0)</f>
        <v>070000170107</v>
      </c>
      <c r="C121" s="54">
        <v>25928</v>
      </c>
      <c r="D121" s="67">
        <f t="shared" si="5"/>
        <v>25928</v>
      </c>
      <c r="E121" t="s">
        <v>4380</v>
      </c>
      <c r="F121" s="68" t="str">
        <f t="shared" si="4"/>
        <v>insert into ins_premium_det (premium_rcv_code,assorted_code, rec_amount,premium_rcv_detail_code,remaining_amt, payrec, mode_code,coinsurance_code,class_cd,it_remarks) values</v>
      </c>
      <c r="G121" s="69" t="str">
        <f t="shared" si="6"/>
        <v>('23Dec240041','070000170107','25928',(select max(to_number(i.premium_rcv_detail_code))+1
from ins_premium_det i),'25928','25928','02', '11000003','00','Request by Mr. Saqib Saleem 23-Dec-2024 renewal');</v>
      </c>
      <c r="H121" s="70" t="str">
        <f t="shared" si="7"/>
        <v>insert into ins_premium_det (premium_rcv_code,assorted_code, rec_amount,premium_rcv_detail_code,remaining_amt, payrec, mode_code,coinsurance_code,class_cd,it_remarks) values('23Dec240041','070000170107','25928',(select max(to_number(i.premium_rcv_detail_code))+1
from ins_premium_det i),'25928','25928','02', '11000003','00','Request by Mr. Saqib Saleem 23-Dec-2024 renewal');</v>
      </c>
    </row>
    <row r="122" spans="1:8" ht="89.25" x14ac:dyDescent="0.2">
      <c r="A122" t="s">
        <v>1582</v>
      </c>
      <c r="B122" t="str">
        <f>VLOOKUP(A122,policy1!B:C,2,0)</f>
        <v>070000170109</v>
      </c>
      <c r="C122" s="54">
        <v>28700</v>
      </c>
      <c r="D122" s="67">
        <f t="shared" si="5"/>
        <v>28700</v>
      </c>
      <c r="E122" t="s">
        <v>4380</v>
      </c>
      <c r="F122" s="68" t="str">
        <f t="shared" si="4"/>
        <v>insert into ins_premium_det (premium_rcv_code,assorted_code, rec_amount,premium_rcv_detail_code,remaining_amt, payrec, mode_code,coinsurance_code,class_cd,it_remarks) values</v>
      </c>
      <c r="G122" s="69" t="str">
        <f t="shared" si="6"/>
        <v>('23Dec240041','070000170109','28700',(select max(to_number(i.premium_rcv_detail_code))+1
from ins_premium_det i),'28700','28700','02', '11000003','00','Request by Mr. Saqib Saleem 23-Dec-2024 renewal');</v>
      </c>
      <c r="H122" s="70" t="str">
        <f t="shared" si="7"/>
        <v>insert into ins_premium_det (premium_rcv_code,assorted_code, rec_amount,premium_rcv_detail_code,remaining_amt, payrec, mode_code,coinsurance_code,class_cd,it_remarks) values('23Dec240041','070000170109','28700',(select max(to_number(i.premium_rcv_detail_code))+1
from ins_premium_det i),'28700','28700','02', '11000003','00','Request by Mr. Saqib Saleem 23-Dec-2024 renewal');</v>
      </c>
    </row>
    <row r="123" spans="1:8" ht="89.25" x14ac:dyDescent="0.2">
      <c r="A123" t="s">
        <v>1591</v>
      </c>
      <c r="B123" t="str">
        <f>VLOOKUP(A123,policy1!B:C,2,0)</f>
        <v>070000170110</v>
      </c>
      <c r="C123" s="54">
        <v>36470</v>
      </c>
      <c r="D123" s="67">
        <f t="shared" si="5"/>
        <v>36470</v>
      </c>
      <c r="E123" t="s">
        <v>4380</v>
      </c>
      <c r="F123" s="68" t="str">
        <f t="shared" si="4"/>
        <v>insert into ins_premium_det (premium_rcv_code,assorted_code, rec_amount,premium_rcv_detail_code,remaining_amt, payrec, mode_code,coinsurance_code,class_cd,it_remarks) values</v>
      </c>
      <c r="G123" s="69" t="str">
        <f t="shared" si="6"/>
        <v>('23Dec240041','070000170110','36470',(select max(to_number(i.premium_rcv_detail_code))+1
from ins_premium_det i),'36470','36470','02', '11000003','00','Request by Mr. Saqib Saleem 23-Dec-2024 renewal');</v>
      </c>
      <c r="H123" s="70" t="str">
        <f t="shared" si="7"/>
        <v>insert into ins_premium_det (premium_rcv_code,assorted_code, rec_amount,premium_rcv_detail_code,remaining_amt, payrec, mode_code,coinsurance_code,class_cd,it_remarks) values('23Dec240041','070000170110','36470',(select max(to_number(i.premium_rcv_detail_code))+1
from ins_premium_det i),'36470','36470','02', '11000003','00','Request by Mr. Saqib Saleem 23-Dec-2024 renewal');</v>
      </c>
    </row>
    <row r="124" spans="1:8" ht="89.25" x14ac:dyDescent="0.2">
      <c r="A124" t="s">
        <v>1598</v>
      </c>
      <c r="B124" t="str">
        <f>VLOOKUP(A124,policy1!B:C,2,0)</f>
        <v>070000170113</v>
      </c>
      <c r="C124" s="54">
        <v>52100</v>
      </c>
      <c r="D124" s="67">
        <f t="shared" si="5"/>
        <v>52100</v>
      </c>
      <c r="E124" t="s">
        <v>4380</v>
      </c>
      <c r="F124" s="68" t="str">
        <f t="shared" si="4"/>
        <v>insert into ins_premium_det (premium_rcv_code,assorted_code, rec_amount,premium_rcv_detail_code,remaining_amt, payrec, mode_code,coinsurance_code,class_cd,it_remarks) values</v>
      </c>
      <c r="G124" s="69" t="str">
        <f t="shared" si="6"/>
        <v>('23Dec240041','070000170113','52100',(select max(to_number(i.premium_rcv_detail_code))+1
from ins_premium_det i),'52100','52100','02', '11000003','00','Request by Mr. Saqib Saleem 23-Dec-2024 renewal');</v>
      </c>
      <c r="H124" s="70" t="str">
        <f t="shared" si="7"/>
        <v>insert into ins_premium_det (premium_rcv_code,assorted_code, rec_amount,premium_rcv_detail_code,remaining_amt, payrec, mode_code,coinsurance_code,class_cd,it_remarks) values('23Dec240041','070000170113','52100',(select max(to_number(i.premium_rcv_detail_code))+1
from ins_premium_det i),'52100','52100','02', '11000003','00','Request by Mr. Saqib Saleem 23-Dec-2024 renewal');</v>
      </c>
    </row>
    <row r="125" spans="1:8" ht="89.25" x14ac:dyDescent="0.2">
      <c r="A125" t="s">
        <v>1920</v>
      </c>
      <c r="B125" t="str">
        <f>VLOOKUP(A125,policy1!B:C,2,0)</f>
        <v>070000170182</v>
      </c>
      <c r="C125" s="54">
        <v>38063</v>
      </c>
      <c r="D125" s="67">
        <f t="shared" si="5"/>
        <v>38063</v>
      </c>
      <c r="E125" t="s">
        <v>4380</v>
      </c>
      <c r="F125" s="68" t="str">
        <f t="shared" si="4"/>
        <v>insert into ins_premium_det (premium_rcv_code,assorted_code, rec_amount,premium_rcv_detail_code,remaining_amt, payrec, mode_code,coinsurance_code,class_cd,it_remarks) values</v>
      </c>
      <c r="G125" s="69" t="str">
        <f t="shared" si="6"/>
        <v>('23Dec240041','070000170182','38063',(select max(to_number(i.premium_rcv_detail_code))+1
from ins_premium_det i),'38063','38063','02', '11000003','00','Request by Mr. Saqib Saleem 23-Dec-2024 renewal');</v>
      </c>
      <c r="H125" s="70" t="str">
        <f t="shared" si="7"/>
        <v>insert into ins_premium_det (premium_rcv_code,assorted_code, rec_amount,premium_rcv_detail_code,remaining_amt, payrec, mode_code,coinsurance_code,class_cd,it_remarks) values('23Dec240041','070000170182','38063',(select max(to_number(i.premium_rcv_detail_code))+1
from ins_premium_det i),'38063','38063','02', '11000003','00','Request by Mr. Saqib Saleem 23-Dec-2024 renewal');</v>
      </c>
    </row>
    <row r="126" spans="1:8" ht="89.25" x14ac:dyDescent="0.2">
      <c r="A126" t="s">
        <v>1944</v>
      </c>
      <c r="B126" t="str">
        <f>VLOOKUP(A126,policy1!B:C,2,0)</f>
        <v>070000170185</v>
      </c>
      <c r="C126" s="54">
        <v>32438</v>
      </c>
      <c r="D126" s="67">
        <f t="shared" si="5"/>
        <v>32438</v>
      </c>
      <c r="E126" t="s">
        <v>4380</v>
      </c>
      <c r="F126" s="68" t="str">
        <f t="shared" si="4"/>
        <v>insert into ins_premium_det (premium_rcv_code,assorted_code, rec_amount,premium_rcv_detail_code,remaining_amt, payrec, mode_code,coinsurance_code,class_cd,it_remarks) values</v>
      </c>
      <c r="G126" s="69" t="str">
        <f t="shared" si="6"/>
        <v>('23Dec240041','070000170185','32438',(select max(to_number(i.premium_rcv_detail_code))+1
from ins_premium_det i),'32438','32438','02', '11000003','00','Request by Mr. Saqib Saleem 23-Dec-2024 renewal');</v>
      </c>
      <c r="H126" s="70" t="str">
        <f t="shared" si="7"/>
        <v>insert into ins_premium_det (premium_rcv_code,assorted_code, rec_amount,premium_rcv_detail_code,remaining_amt, payrec, mode_code,coinsurance_code,class_cd,it_remarks) values('23Dec240041','070000170185','32438',(select max(to_number(i.premium_rcv_detail_code))+1
from ins_premium_det i),'32438','32438','02', '11000003','00','Request by Mr. Saqib Saleem 23-Dec-2024 renewal');</v>
      </c>
    </row>
    <row r="127" spans="1:8" ht="89.25" x14ac:dyDescent="0.2">
      <c r="A127" t="s">
        <v>578</v>
      </c>
      <c r="B127" t="str">
        <f>VLOOKUP(A127,policy1!B:C,2,0)</f>
        <v>070000169966</v>
      </c>
      <c r="C127" s="54">
        <v>57782</v>
      </c>
      <c r="D127" s="67">
        <f t="shared" si="5"/>
        <v>57782</v>
      </c>
      <c r="E127" t="s">
        <v>4380</v>
      </c>
      <c r="F127" s="68" t="str">
        <f t="shared" si="4"/>
        <v>insert into ins_premium_det (premium_rcv_code,assorted_code, rec_amount,premium_rcv_detail_code,remaining_amt, payrec, mode_code,coinsurance_code,class_cd,it_remarks) values</v>
      </c>
      <c r="G127" s="69" t="str">
        <f t="shared" si="6"/>
        <v>('23Dec240041','070000169966','57782',(select max(to_number(i.premium_rcv_detail_code))+1
from ins_premium_det i),'57782','57782','02', '11000003','00','Request by Mr. Saqib Saleem 23-Dec-2024 renewal');</v>
      </c>
      <c r="H127" s="70" t="str">
        <f t="shared" si="7"/>
        <v>insert into ins_premium_det (premium_rcv_code,assorted_code, rec_amount,premium_rcv_detail_code,remaining_amt, payrec, mode_code,coinsurance_code,class_cd,it_remarks) values('23Dec240041','070000169966','57782',(select max(to_number(i.premium_rcv_detail_code))+1
from ins_premium_det i),'57782','57782','02', '11000003','00','Request by Mr. Saqib Saleem 23-Dec-2024 renewal');</v>
      </c>
    </row>
    <row r="128" spans="1:8" ht="89.25" x14ac:dyDescent="0.2">
      <c r="A128" t="s">
        <v>689</v>
      </c>
      <c r="B128" t="str">
        <f>VLOOKUP(A128,policy1!B:C,2,0)</f>
        <v>070000169979</v>
      </c>
      <c r="C128" s="54">
        <v>37800</v>
      </c>
      <c r="D128" s="67">
        <f t="shared" si="5"/>
        <v>37800</v>
      </c>
      <c r="E128" t="s">
        <v>4380</v>
      </c>
      <c r="F128" s="68" t="str">
        <f t="shared" si="4"/>
        <v>insert into ins_premium_det (premium_rcv_code,assorted_code, rec_amount,premium_rcv_detail_code,remaining_amt, payrec, mode_code,coinsurance_code,class_cd,it_remarks) values</v>
      </c>
      <c r="G128" s="69" t="str">
        <f t="shared" si="6"/>
        <v>('23Dec240041','070000169979','37800',(select max(to_number(i.premium_rcv_detail_code))+1
from ins_premium_det i),'37800','37800','02', '11000003','00','Request by Mr. Saqib Saleem 23-Dec-2024 renewal');</v>
      </c>
      <c r="H128" s="70" t="str">
        <f t="shared" si="7"/>
        <v>insert into ins_premium_det (premium_rcv_code,assorted_code, rec_amount,premium_rcv_detail_code,remaining_amt, payrec, mode_code,coinsurance_code,class_cd,it_remarks) values('23Dec240041','070000169979','37800',(select max(to_number(i.premium_rcv_detail_code))+1
from ins_premium_det i),'37800','37800','02', '11000003','00','Request by Mr. Saqib Saleem 23-Dec-2024 renewal');</v>
      </c>
    </row>
    <row r="129" spans="1:8" ht="89.25" x14ac:dyDescent="0.2">
      <c r="A129" t="s">
        <v>1975</v>
      </c>
      <c r="B129" t="str">
        <f>VLOOKUP(A129,policy1!B:C,2,0)</f>
        <v>070000170189</v>
      </c>
      <c r="C129" s="54">
        <v>32438</v>
      </c>
      <c r="D129" s="67">
        <f t="shared" si="5"/>
        <v>32438</v>
      </c>
      <c r="E129" t="s">
        <v>4380</v>
      </c>
      <c r="F129" s="68" t="str">
        <f t="shared" si="4"/>
        <v>insert into ins_premium_det (premium_rcv_code,assorted_code, rec_amount,premium_rcv_detail_code,remaining_amt, payrec, mode_code,coinsurance_code,class_cd,it_remarks) values</v>
      </c>
      <c r="G129" s="69" t="str">
        <f t="shared" si="6"/>
        <v>('23Dec240041','070000170189','32438',(select max(to_number(i.premium_rcv_detail_code))+1
from ins_premium_det i),'32438','32438','02', '11000003','00','Request by Mr. Saqib Saleem 23-Dec-2024 renewal');</v>
      </c>
      <c r="H129" s="70" t="str">
        <f t="shared" si="7"/>
        <v>insert into ins_premium_det (premium_rcv_code,assorted_code, rec_amount,premium_rcv_detail_code,remaining_amt, payrec, mode_code,coinsurance_code,class_cd,it_remarks) values('23Dec240041','070000170189','32438',(select max(to_number(i.premium_rcv_detail_code))+1
from ins_premium_det i),'32438','32438','02', '11000003','00','Request by Mr. Saqib Saleem 23-Dec-2024 renewal');</v>
      </c>
    </row>
    <row r="130" spans="1:8" ht="89.25" x14ac:dyDescent="0.2">
      <c r="A130" t="s">
        <v>1983</v>
      </c>
      <c r="B130" t="str">
        <f>VLOOKUP(A130,policy1!B:C,2,0)</f>
        <v>070000170191</v>
      </c>
      <c r="C130" s="54">
        <v>46429</v>
      </c>
      <c r="D130" s="67">
        <f t="shared" si="5"/>
        <v>46429</v>
      </c>
      <c r="E130" t="s">
        <v>4380</v>
      </c>
      <c r="F130" s="68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69" t="str">
        <f t="shared" si="6"/>
        <v>('23Dec240041','070000170191','46429',(select max(to_number(i.premium_rcv_detail_code))+1
from ins_premium_det i),'46429','46429','02', '11000003','00','Request by Mr. Saqib Saleem 23-Dec-2024 renewal');</v>
      </c>
      <c r="H130" s="70" t="str">
        <f t="shared" si="7"/>
        <v>insert into ins_premium_det (premium_rcv_code,assorted_code, rec_amount,premium_rcv_detail_code,remaining_amt, payrec, mode_code,coinsurance_code,class_cd,it_remarks) values('23Dec240041','070000170191','46429',(select max(to_number(i.premium_rcv_detail_code))+1
from ins_premium_det i),'46429','46429','02', '11000003','00','Request by Mr. Saqib Saleem 23-Dec-2024 renewal');</v>
      </c>
    </row>
    <row r="131" spans="1:8" ht="89.25" x14ac:dyDescent="0.2">
      <c r="A131" t="s">
        <v>697</v>
      </c>
      <c r="B131" t="str">
        <f>VLOOKUP(A131,policy1!B:C,2,0)</f>
        <v>070000169981</v>
      </c>
      <c r="C131" s="54">
        <v>52830</v>
      </c>
      <c r="D131" s="67">
        <f t="shared" ref="D131:D194" si="9">ROUND(C131,0)</f>
        <v>52830</v>
      </c>
      <c r="E131" t="s">
        <v>4380</v>
      </c>
      <c r="F131" s="68" t="str">
        <f t="shared" si="8"/>
        <v>insert into ins_premium_det (premium_rcv_code,assorted_code, rec_amount,premium_rcv_detail_code,remaining_amt, payrec, mode_code,coinsurance_code,class_cd,it_remarks) values</v>
      </c>
      <c r="G131" s="69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23-Dec-2024 renewal');"</f>
        <v>('23Dec240041','070000169981','52830',(select max(to_number(i.premium_rcv_detail_code))+1
from ins_premium_det i),'52830','52830','02', '11000003','00','Request by Mr. Saqib Saleem 23-Dec-2024 renewal');</v>
      </c>
      <c r="H131" s="70" t="str">
        <f t="shared" ref="H131:H194" si="11">F131&amp;G131</f>
        <v>insert into ins_premium_det (premium_rcv_code,assorted_code, rec_amount,premium_rcv_detail_code,remaining_amt, payrec, mode_code,coinsurance_code,class_cd,it_remarks) values('23Dec240041','070000169981','52830',(select max(to_number(i.premium_rcv_detail_code))+1
from ins_premium_det i),'52830','52830','02', '11000003','00','Request by Mr. Saqib Saleem 23-Dec-2024 renewal');</v>
      </c>
    </row>
    <row r="132" spans="1:8" ht="89.25" x14ac:dyDescent="0.2">
      <c r="A132" t="s">
        <v>705</v>
      </c>
      <c r="B132" t="str">
        <f>VLOOKUP(A132,policy1!B:C,2,0)</f>
        <v>070000169982</v>
      </c>
      <c r="C132" s="54">
        <v>53982</v>
      </c>
      <c r="D132" s="67">
        <f t="shared" si="9"/>
        <v>53982</v>
      </c>
      <c r="E132" t="s">
        <v>4380</v>
      </c>
      <c r="F132" s="68" t="str">
        <f t="shared" si="8"/>
        <v>insert into ins_premium_det (premium_rcv_code,assorted_code, rec_amount,premium_rcv_detail_code,remaining_amt, payrec, mode_code,coinsurance_code,class_cd,it_remarks) values</v>
      </c>
      <c r="G132" s="69" t="str">
        <f t="shared" si="10"/>
        <v>('23Dec240041','070000169982','53982',(select max(to_number(i.premium_rcv_detail_code))+1
from ins_premium_det i),'53982','53982','02', '11000003','00','Request by Mr. Saqib Saleem 23-Dec-2024 renewal');</v>
      </c>
      <c r="H132" s="70" t="str">
        <f t="shared" si="11"/>
        <v>insert into ins_premium_det (premium_rcv_code,assorted_code, rec_amount,premium_rcv_detail_code,remaining_amt, payrec, mode_code,coinsurance_code,class_cd,it_remarks) values('23Dec240041','070000169982','53982',(select max(to_number(i.premium_rcv_detail_code))+1
from ins_premium_det i),'53982','53982','02', '11000003','00','Request by Mr. Saqib Saleem 23-Dec-2024 renewal');</v>
      </c>
    </row>
    <row r="133" spans="1:8" ht="89.25" x14ac:dyDescent="0.2">
      <c r="A133" t="s">
        <v>712</v>
      </c>
      <c r="B133" t="str">
        <f>VLOOKUP(A133,policy1!B:C,2,0)</f>
        <v>070000169983</v>
      </c>
      <c r="C133" s="54">
        <v>36000</v>
      </c>
      <c r="D133" s="67">
        <f t="shared" si="9"/>
        <v>36000</v>
      </c>
      <c r="E133" t="s">
        <v>4380</v>
      </c>
      <c r="F133" s="68" t="str">
        <f t="shared" si="8"/>
        <v>insert into ins_premium_det (premium_rcv_code,assorted_code, rec_amount,premium_rcv_detail_code,remaining_amt, payrec, mode_code,coinsurance_code,class_cd,it_remarks) values</v>
      </c>
      <c r="G133" s="69" t="str">
        <f t="shared" si="10"/>
        <v>('23Dec240041','070000169983','36000',(select max(to_number(i.premium_rcv_detail_code))+1
from ins_premium_det i),'36000','36000','02', '11000003','00','Request by Mr. Saqib Saleem 23-Dec-2024 renewal');</v>
      </c>
      <c r="H133" s="70" t="str">
        <f t="shared" si="11"/>
        <v>insert into ins_premium_det (premium_rcv_code,assorted_code, rec_amount,premium_rcv_detail_code,remaining_amt, payrec, mode_code,coinsurance_code,class_cd,it_remarks) values('23Dec240041','070000169983','36000',(select max(to_number(i.premium_rcv_detail_code))+1
from ins_premium_det i),'36000','36000','02', '11000003','00','Request by Mr. Saqib Saleem 23-Dec-2024 renewal');</v>
      </c>
    </row>
    <row r="134" spans="1:8" ht="89.25" x14ac:dyDescent="0.2">
      <c r="A134" t="s">
        <v>720</v>
      </c>
      <c r="B134" t="str">
        <f>VLOOKUP(A134,policy1!B:C,2,0)</f>
        <v>070000169984</v>
      </c>
      <c r="C134" s="54">
        <v>51300</v>
      </c>
      <c r="D134" s="67">
        <f t="shared" si="9"/>
        <v>51300</v>
      </c>
      <c r="E134" t="s">
        <v>4380</v>
      </c>
      <c r="F134" s="68" t="str">
        <f t="shared" si="8"/>
        <v>insert into ins_premium_det (premium_rcv_code,assorted_code, rec_amount,premium_rcv_detail_code,remaining_amt, payrec, mode_code,coinsurance_code,class_cd,it_remarks) values</v>
      </c>
      <c r="G134" s="69" t="str">
        <f t="shared" si="10"/>
        <v>('23Dec240041','070000169984','51300',(select max(to_number(i.premium_rcv_detail_code))+1
from ins_premium_det i),'51300','51300','02', '11000003','00','Request by Mr. Saqib Saleem 23-Dec-2024 renewal');</v>
      </c>
      <c r="H134" s="70" t="str">
        <f t="shared" si="11"/>
        <v>insert into ins_premium_det (premium_rcv_code,assorted_code, rec_amount,premium_rcv_detail_code,remaining_amt, payrec, mode_code,coinsurance_code,class_cd,it_remarks) values('23Dec240041','070000169984','51300',(select max(to_number(i.premium_rcv_detail_code))+1
from ins_premium_det i),'51300','51300','02', '11000003','00','Request by Mr. Saqib Saleem 23-Dec-2024 renewal');</v>
      </c>
    </row>
    <row r="135" spans="1:8" ht="89.25" x14ac:dyDescent="0.2">
      <c r="A135" t="s">
        <v>729</v>
      </c>
      <c r="B135" t="str">
        <f>VLOOKUP(A135,policy1!B:C,2,0)</f>
        <v>070000169985</v>
      </c>
      <c r="C135" s="54">
        <v>60750</v>
      </c>
      <c r="D135" s="67">
        <f t="shared" si="9"/>
        <v>60750</v>
      </c>
      <c r="E135" t="s">
        <v>4380</v>
      </c>
      <c r="F135" s="68" t="str">
        <f t="shared" si="8"/>
        <v>insert into ins_premium_det (premium_rcv_code,assorted_code, rec_amount,premium_rcv_detail_code,remaining_amt, payrec, mode_code,coinsurance_code,class_cd,it_remarks) values</v>
      </c>
      <c r="G135" s="69" t="str">
        <f t="shared" si="10"/>
        <v>('23Dec240041','070000169985','60750',(select max(to_number(i.premium_rcv_detail_code))+1
from ins_premium_det i),'60750','60750','02', '11000003','00','Request by Mr. Saqib Saleem 23-Dec-2024 renewal');</v>
      </c>
      <c r="H135" s="70" t="str">
        <f t="shared" si="11"/>
        <v>insert into ins_premium_det (premium_rcv_code,assorted_code, rec_amount,premium_rcv_detail_code,remaining_amt, payrec, mode_code,coinsurance_code,class_cd,it_remarks) values('23Dec240041','070000169985','60750',(select max(to_number(i.premium_rcv_detail_code))+1
from ins_premium_det i),'60750','60750','02', '11000003','00','Request by Mr. Saqib Saleem 23-Dec-2024 renewal');</v>
      </c>
    </row>
    <row r="136" spans="1:8" ht="89.25" x14ac:dyDescent="0.2">
      <c r="A136" t="s">
        <v>746</v>
      </c>
      <c r="B136" t="str">
        <f>VLOOKUP(A136,policy1!B:C,2,0)</f>
        <v>070000169988</v>
      </c>
      <c r="C136" s="54">
        <v>108000</v>
      </c>
      <c r="D136" s="67">
        <f t="shared" si="9"/>
        <v>108000</v>
      </c>
      <c r="E136" t="s">
        <v>4380</v>
      </c>
      <c r="F136" s="68" t="str">
        <f t="shared" si="8"/>
        <v>insert into ins_premium_det (premium_rcv_code,assorted_code, rec_amount,premium_rcv_detail_code,remaining_amt, payrec, mode_code,coinsurance_code,class_cd,it_remarks) values</v>
      </c>
      <c r="G136" s="69" t="str">
        <f t="shared" si="10"/>
        <v>('23Dec240041','070000169988','108000',(select max(to_number(i.premium_rcv_detail_code))+1
from ins_premium_det i),'108000','108000','02', '11000003','00','Request by Mr. Saqib Saleem 23-Dec-2024 renewal');</v>
      </c>
      <c r="H136" s="70" t="str">
        <f t="shared" si="11"/>
        <v>insert into ins_premium_det (premium_rcv_code,assorted_code, rec_amount,premium_rcv_detail_code,remaining_amt, payrec, mode_code,coinsurance_code,class_cd,it_remarks) values('23Dec240041','070000169988','108000',(select max(to_number(i.premium_rcv_detail_code))+1
from ins_premium_det i),'108000','108000','02', '11000003','00','Request by Mr. Saqib Saleem 23-Dec-2024 renewal');</v>
      </c>
    </row>
    <row r="137" spans="1:8" ht="89.25" x14ac:dyDescent="0.2">
      <c r="A137" t="s">
        <v>755</v>
      </c>
      <c r="B137" t="str">
        <f>VLOOKUP(A137,policy1!B:C,2,0)</f>
        <v>070000169989</v>
      </c>
      <c r="C137" s="54">
        <v>91125</v>
      </c>
      <c r="D137" s="67">
        <f t="shared" si="9"/>
        <v>91125</v>
      </c>
      <c r="E137" t="s">
        <v>4380</v>
      </c>
      <c r="F137" s="68" t="str">
        <f t="shared" si="8"/>
        <v>insert into ins_premium_det (premium_rcv_code,assorted_code, rec_amount,premium_rcv_detail_code,remaining_amt, payrec, mode_code,coinsurance_code,class_cd,it_remarks) values</v>
      </c>
      <c r="G137" s="69" t="str">
        <f t="shared" si="10"/>
        <v>('23Dec240041','070000169989','91125',(select max(to_number(i.premium_rcv_detail_code))+1
from ins_premium_det i),'91125','91125','02', '11000003','00','Request by Mr. Saqib Saleem 23-Dec-2024 renewal');</v>
      </c>
      <c r="H137" s="70" t="str">
        <f t="shared" si="11"/>
        <v>insert into ins_premium_det (premium_rcv_code,assorted_code, rec_amount,premium_rcv_detail_code,remaining_amt, payrec, mode_code,coinsurance_code,class_cd,it_remarks) values('23Dec240041','070000169989','91125',(select max(to_number(i.premium_rcv_detail_code))+1
from ins_premium_det i),'91125','91125','02', '11000003','00','Request by Mr. Saqib Saleem 23-Dec-2024 renewal');</v>
      </c>
    </row>
    <row r="138" spans="1:8" ht="89.25" x14ac:dyDescent="0.2">
      <c r="A138" t="s">
        <v>764</v>
      </c>
      <c r="B138" t="str">
        <f>VLOOKUP(A138,policy1!B:C,2,0)</f>
        <v>070000169990</v>
      </c>
      <c r="C138" s="54">
        <v>53982</v>
      </c>
      <c r="D138" s="67">
        <f t="shared" si="9"/>
        <v>53982</v>
      </c>
      <c r="E138" t="s">
        <v>4380</v>
      </c>
      <c r="F138" s="68" t="str">
        <f t="shared" si="8"/>
        <v>insert into ins_premium_det (premium_rcv_code,assorted_code, rec_amount,premium_rcv_detail_code,remaining_amt, payrec, mode_code,coinsurance_code,class_cd,it_remarks) values</v>
      </c>
      <c r="G138" s="69" t="str">
        <f t="shared" si="10"/>
        <v>('23Dec240041','070000169990','53982',(select max(to_number(i.premium_rcv_detail_code))+1
from ins_premium_det i),'53982','53982','02', '11000003','00','Request by Mr. Saqib Saleem 23-Dec-2024 renewal');</v>
      </c>
      <c r="H138" s="70" t="str">
        <f t="shared" si="11"/>
        <v>insert into ins_premium_det (premium_rcv_code,assorted_code, rec_amount,premium_rcv_detail_code,remaining_amt, payrec, mode_code,coinsurance_code,class_cd,it_remarks) values('23Dec240041','070000169990','53982',(select max(to_number(i.premium_rcv_detail_code))+1
from ins_premium_det i),'53982','53982','02', '11000003','00','Request by Mr. Saqib Saleem 23-Dec-2024 renewal');</v>
      </c>
    </row>
    <row r="139" spans="1:8" ht="89.25" x14ac:dyDescent="0.2">
      <c r="A139" t="s">
        <v>1082</v>
      </c>
      <c r="B139" t="str">
        <f>VLOOKUP(A139,policy1!B:C,2,0)</f>
        <v>070000170029</v>
      </c>
      <c r="C139" s="54">
        <v>36550</v>
      </c>
      <c r="D139" s="67">
        <f t="shared" si="9"/>
        <v>36550</v>
      </c>
      <c r="E139" t="s">
        <v>4380</v>
      </c>
      <c r="F139" s="68" t="str">
        <f t="shared" si="8"/>
        <v>insert into ins_premium_det (premium_rcv_code,assorted_code, rec_amount,premium_rcv_detail_code,remaining_amt, payrec, mode_code,coinsurance_code,class_cd,it_remarks) values</v>
      </c>
      <c r="G139" s="69" t="str">
        <f t="shared" si="10"/>
        <v>('23Dec240041','070000170029','36550',(select max(to_number(i.premium_rcv_detail_code))+1
from ins_premium_det i),'36550','36550','02', '11000003','00','Request by Mr. Saqib Saleem 23-Dec-2024 renewal');</v>
      </c>
      <c r="H139" s="70" t="str">
        <f t="shared" si="11"/>
        <v>insert into ins_premium_det (premium_rcv_code,assorted_code, rec_amount,premium_rcv_detail_code,remaining_amt, payrec, mode_code,coinsurance_code,class_cd,it_remarks) values('23Dec240041','070000170029','36550',(select max(to_number(i.premium_rcv_detail_code))+1
from ins_premium_det i),'36550','36550','02', '11000003','00','Request by Mr. Saqib Saleem 23-Dec-2024 renewal');</v>
      </c>
    </row>
    <row r="140" spans="1:8" ht="89.25" x14ac:dyDescent="0.2">
      <c r="A140" t="s">
        <v>1090</v>
      </c>
      <c r="B140" t="str">
        <f>VLOOKUP(A140,policy1!B:C,2,0)</f>
        <v>070000170031</v>
      </c>
      <c r="C140" s="54">
        <v>47600</v>
      </c>
      <c r="D140" s="67">
        <f t="shared" si="9"/>
        <v>47600</v>
      </c>
      <c r="E140" t="s">
        <v>4380</v>
      </c>
      <c r="F140" s="68" t="str">
        <f t="shared" si="8"/>
        <v>insert into ins_premium_det (premium_rcv_code,assorted_code, rec_amount,premium_rcv_detail_code,remaining_amt, payrec, mode_code,coinsurance_code,class_cd,it_remarks) values</v>
      </c>
      <c r="G140" s="69" t="str">
        <f t="shared" si="10"/>
        <v>('23Dec240041','070000170031','47600',(select max(to_number(i.premium_rcv_detail_code))+1
from ins_premium_det i),'47600','47600','02', '11000003','00','Request by Mr. Saqib Saleem 23-Dec-2024 renewal');</v>
      </c>
      <c r="H140" s="70" t="str">
        <f t="shared" si="11"/>
        <v>insert into ins_premium_det (premium_rcv_code,assorted_code, rec_amount,premium_rcv_detail_code,remaining_amt, payrec, mode_code,coinsurance_code,class_cd,it_remarks) values('23Dec240041','070000170031','47600',(select max(to_number(i.premium_rcv_detail_code))+1
from ins_premium_det i),'47600','47600','02', '11000003','00','Request by Mr. Saqib Saleem 23-Dec-2024 renewal');</v>
      </c>
    </row>
    <row r="141" spans="1:8" ht="89.25" x14ac:dyDescent="0.2">
      <c r="A141" t="s">
        <v>1098</v>
      </c>
      <c r="B141" t="str">
        <f>VLOOKUP(A141,policy1!B:C,2,0)</f>
        <v>070000170033</v>
      </c>
      <c r="C141" s="54">
        <v>51000</v>
      </c>
      <c r="D141" s="67">
        <f t="shared" si="9"/>
        <v>51000</v>
      </c>
      <c r="E141" t="s">
        <v>4380</v>
      </c>
      <c r="F141" s="68" t="str">
        <f t="shared" si="8"/>
        <v>insert into ins_premium_det (premium_rcv_code,assorted_code, rec_amount,premium_rcv_detail_code,remaining_amt, payrec, mode_code,coinsurance_code,class_cd,it_remarks) values</v>
      </c>
      <c r="G141" s="69" t="str">
        <f t="shared" si="10"/>
        <v>('23Dec240041','070000170033','51000',(select max(to_number(i.premium_rcv_detail_code))+1
from ins_premium_det i),'51000','51000','02', '11000003','00','Request by Mr. Saqib Saleem 23-Dec-2024 renewal');</v>
      </c>
      <c r="H141" s="70" t="str">
        <f t="shared" si="11"/>
        <v>insert into ins_premium_det (premium_rcv_code,assorted_code, rec_amount,premium_rcv_detail_code,remaining_amt, payrec, mode_code,coinsurance_code,class_cd,it_remarks) values('23Dec240041','070000170033','51000',(select max(to_number(i.premium_rcv_detail_code))+1
from ins_premium_det i),'51000','51000','02', '11000003','00','Request by Mr. Saqib Saleem 23-Dec-2024 renewal');</v>
      </c>
    </row>
    <row r="142" spans="1:8" ht="89.25" x14ac:dyDescent="0.2">
      <c r="A142" t="s">
        <v>1106</v>
      </c>
      <c r="B142" t="str">
        <f>VLOOKUP(A142,policy1!B:C,2,0)</f>
        <v>070000170034</v>
      </c>
      <c r="C142" s="54">
        <v>33592</v>
      </c>
      <c r="D142" s="67">
        <f t="shared" si="9"/>
        <v>33592</v>
      </c>
      <c r="E142" t="s">
        <v>4380</v>
      </c>
      <c r="F142" s="68" t="str">
        <f t="shared" si="8"/>
        <v>insert into ins_premium_det (premium_rcv_code,assorted_code, rec_amount,premium_rcv_detail_code,remaining_amt, payrec, mode_code,coinsurance_code,class_cd,it_remarks) values</v>
      </c>
      <c r="G142" s="69" t="str">
        <f t="shared" si="10"/>
        <v>('23Dec240041','070000170034','33592',(select max(to_number(i.premium_rcv_detail_code))+1
from ins_premium_det i),'33592','33592','02', '11000003','00','Request by Mr. Saqib Saleem 23-Dec-2024 renewal');</v>
      </c>
      <c r="H142" s="70" t="str">
        <f t="shared" si="11"/>
        <v>insert into ins_premium_det (premium_rcv_code,assorted_code, rec_amount,premium_rcv_detail_code,remaining_amt, payrec, mode_code,coinsurance_code,class_cd,it_remarks) values('23Dec240041','070000170034','33592',(select max(to_number(i.premium_rcv_detail_code))+1
from ins_premium_det i),'33592','33592','02', '11000003','00','Request by Mr. Saqib Saleem 23-Dec-2024 renewal');</v>
      </c>
    </row>
    <row r="143" spans="1:8" ht="89.25" x14ac:dyDescent="0.2">
      <c r="A143" t="s">
        <v>1114</v>
      </c>
      <c r="B143" t="str">
        <f>VLOOKUP(A143,policy1!B:C,2,0)</f>
        <v>070000170035</v>
      </c>
      <c r="C143" s="54">
        <v>52275</v>
      </c>
      <c r="D143" s="67">
        <f t="shared" si="9"/>
        <v>52275</v>
      </c>
      <c r="E143" t="s">
        <v>4380</v>
      </c>
      <c r="F143" s="68" t="str">
        <f t="shared" si="8"/>
        <v>insert into ins_premium_det (premium_rcv_code,assorted_code, rec_amount,premium_rcv_detail_code,remaining_amt, payrec, mode_code,coinsurance_code,class_cd,it_remarks) values</v>
      </c>
      <c r="G143" s="69" t="str">
        <f t="shared" si="10"/>
        <v>('23Dec240041','070000170035','52275',(select max(to_number(i.premium_rcv_detail_code))+1
from ins_premium_det i),'52275','52275','02', '11000003','00','Request by Mr. Saqib Saleem 23-Dec-2024 renewal');</v>
      </c>
      <c r="H143" s="70" t="str">
        <f t="shared" si="11"/>
        <v>insert into ins_premium_det (premium_rcv_code,assorted_code, rec_amount,premium_rcv_detail_code,remaining_amt, payrec, mode_code,coinsurance_code,class_cd,it_remarks) values('23Dec240041','070000170035','52275',(select max(to_number(i.premium_rcv_detail_code))+1
from ins_premium_det i),'52275','52275','02', '11000003','00','Request by Mr. Saqib Saleem 23-Dec-2024 renewal');</v>
      </c>
    </row>
    <row r="144" spans="1:8" ht="89.25" x14ac:dyDescent="0.2">
      <c r="A144" t="s">
        <v>1632</v>
      </c>
      <c r="B144" t="str">
        <f>VLOOKUP(A144,policy1!B:C,2,0)</f>
        <v>070000170116</v>
      </c>
      <c r="C144" s="54">
        <v>33100</v>
      </c>
      <c r="D144" s="67">
        <f t="shared" si="9"/>
        <v>33100</v>
      </c>
      <c r="E144" t="s">
        <v>4380</v>
      </c>
      <c r="F144" s="68" t="str">
        <f t="shared" si="8"/>
        <v>insert into ins_premium_det (premium_rcv_code,assorted_code, rec_amount,premium_rcv_detail_code,remaining_amt, payrec, mode_code,coinsurance_code,class_cd,it_remarks) values</v>
      </c>
      <c r="G144" s="69" t="str">
        <f t="shared" si="10"/>
        <v>('23Dec240041','070000170116','33100',(select max(to_number(i.premium_rcv_detail_code))+1
from ins_premium_det i),'33100','33100','02', '11000003','00','Request by Mr. Saqib Saleem 23-Dec-2024 renewal');</v>
      </c>
      <c r="H144" s="70" t="str">
        <f t="shared" si="11"/>
        <v>insert into ins_premium_det (premium_rcv_code,assorted_code, rec_amount,premium_rcv_detail_code,remaining_amt, payrec, mode_code,coinsurance_code,class_cd,it_remarks) values('23Dec240041','070000170116','33100',(select max(to_number(i.premium_rcv_detail_code))+1
from ins_premium_det i),'33100','33100','02', '11000003','00','Request by Mr. Saqib Saleem 23-Dec-2024 renewal');</v>
      </c>
    </row>
    <row r="145" spans="1:8" ht="89.25" x14ac:dyDescent="0.2">
      <c r="A145" t="s">
        <v>1640</v>
      </c>
      <c r="B145" t="str">
        <f>VLOOKUP(A145,policy1!B:C,2,0)</f>
        <v>070000170117</v>
      </c>
      <c r="C145" s="54">
        <v>35000</v>
      </c>
      <c r="D145" s="67">
        <f t="shared" si="9"/>
        <v>35000</v>
      </c>
      <c r="E145" t="s">
        <v>4380</v>
      </c>
      <c r="F145" s="68" t="str">
        <f t="shared" si="8"/>
        <v>insert into ins_premium_det (premium_rcv_code,assorted_code, rec_amount,premium_rcv_detail_code,remaining_amt, payrec, mode_code,coinsurance_code,class_cd,it_remarks) values</v>
      </c>
      <c r="G145" s="69" t="str">
        <f t="shared" si="10"/>
        <v>('23Dec240041','070000170117','35000',(select max(to_number(i.premium_rcv_detail_code))+1
from ins_premium_det i),'35000','35000','02', '11000003','00','Request by Mr. Saqib Saleem 23-Dec-2024 renewal');</v>
      </c>
      <c r="H145" s="70" t="str">
        <f t="shared" si="11"/>
        <v>insert into ins_premium_det (premium_rcv_code,assorted_code, rec_amount,premium_rcv_detail_code,remaining_amt, payrec, mode_code,coinsurance_code,class_cd,it_remarks) values('23Dec240041','070000170117','35000',(select max(to_number(i.premium_rcv_detail_code))+1
from ins_premium_det i),'35000','35000','02', '11000003','00','Request by Mr. Saqib Saleem 23-Dec-2024 renewal');</v>
      </c>
    </row>
    <row r="146" spans="1:8" ht="89.25" x14ac:dyDescent="0.2">
      <c r="A146" t="s">
        <v>1778</v>
      </c>
      <c r="B146" t="str">
        <f>VLOOKUP(A146,policy1!B:C,2,0)</f>
        <v>070000170135</v>
      </c>
      <c r="C146" s="54">
        <v>40240</v>
      </c>
      <c r="D146" s="67">
        <f t="shared" si="9"/>
        <v>40240</v>
      </c>
      <c r="E146" t="s">
        <v>4380</v>
      </c>
      <c r="F146" s="68" t="str">
        <f t="shared" si="8"/>
        <v>insert into ins_premium_det (premium_rcv_code,assorted_code, rec_amount,premium_rcv_detail_code,remaining_amt, payrec, mode_code,coinsurance_code,class_cd,it_remarks) values</v>
      </c>
      <c r="G146" s="69" t="str">
        <f t="shared" si="10"/>
        <v>('23Dec240041','070000170135','40240',(select max(to_number(i.premium_rcv_detail_code))+1
from ins_premium_det i),'40240','40240','02', '11000003','00','Request by Mr. Saqib Saleem 23-Dec-2024 renewal');</v>
      </c>
      <c r="H146" s="70" t="str">
        <f t="shared" si="11"/>
        <v>insert into ins_premium_det (premium_rcv_code,assorted_code, rec_amount,premium_rcv_detail_code,remaining_amt, payrec, mode_code,coinsurance_code,class_cd,it_remarks) values('23Dec240041','070000170135','40240',(select max(to_number(i.premium_rcv_detail_code))+1
from ins_premium_det i),'40240','40240','02', '11000003','00','Request by Mr. Saqib Saleem 23-Dec-2024 renewal');</v>
      </c>
    </row>
    <row r="147" spans="1:8" ht="89.25" x14ac:dyDescent="0.2">
      <c r="A147" t="s">
        <v>2114</v>
      </c>
      <c r="B147" t="str">
        <f>VLOOKUP(A147,policy1!B:C,2,0)</f>
        <v>070000170151</v>
      </c>
      <c r="C147" s="54">
        <v>34535</v>
      </c>
      <c r="D147" s="67">
        <f t="shared" si="9"/>
        <v>34535</v>
      </c>
      <c r="E147" t="s">
        <v>4380</v>
      </c>
      <c r="F147" s="68" t="str">
        <f t="shared" si="8"/>
        <v>insert into ins_premium_det (premium_rcv_code,assorted_code, rec_amount,premium_rcv_detail_code,remaining_amt, payrec, mode_code,coinsurance_code,class_cd,it_remarks) values</v>
      </c>
      <c r="G147" s="69" t="str">
        <f t="shared" si="10"/>
        <v>('23Dec240041','070000170151','34535',(select max(to_number(i.premium_rcv_detail_code))+1
from ins_premium_det i),'34535','34535','02', '11000003','00','Request by Mr. Saqib Saleem 23-Dec-2024 renewal');</v>
      </c>
      <c r="H147" s="70" t="str">
        <f t="shared" si="11"/>
        <v>insert into ins_premium_det (premium_rcv_code,assorted_code, rec_amount,premium_rcv_detail_code,remaining_amt, payrec, mode_code,coinsurance_code,class_cd,it_remarks) values('23Dec240041','070000170151','34535',(select max(to_number(i.premium_rcv_detail_code))+1
from ins_premium_det i),'34535','34535','02', '11000003','00','Request by Mr. Saqib Saleem 23-Dec-2024 renewal');</v>
      </c>
    </row>
    <row r="148" spans="1:8" ht="89.25" x14ac:dyDescent="0.2">
      <c r="A148" t="s">
        <v>779</v>
      </c>
      <c r="B148" t="str">
        <f>VLOOKUP(A148,policy1!B:C,2,0)</f>
        <v>070000169991</v>
      </c>
      <c r="C148" s="54">
        <v>46800</v>
      </c>
      <c r="D148" s="67">
        <f t="shared" si="9"/>
        <v>46800</v>
      </c>
      <c r="E148" t="s">
        <v>4380</v>
      </c>
      <c r="F148" s="68" t="str">
        <f t="shared" si="8"/>
        <v>insert into ins_premium_det (premium_rcv_code,assorted_code, rec_amount,premium_rcv_detail_code,remaining_amt, payrec, mode_code,coinsurance_code,class_cd,it_remarks) values</v>
      </c>
      <c r="G148" s="69" t="str">
        <f t="shared" si="10"/>
        <v>('23Dec240041','070000169991','46800',(select max(to_number(i.premium_rcv_detail_code))+1
from ins_premium_det i),'46800','46800','02', '11000003','00','Request by Mr. Saqib Saleem 23-Dec-2024 renewal');</v>
      </c>
      <c r="H148" s="70" t="str">
        <f t="shared" si="11"/>
        <v>insert into ins_premium_det (premium_rcv_code,assorted_code, rec_amount,premium_rcv_detail_code,remaining_amt, payrec, mode_code,coinsurance_code,class_cd,it_remarks) values('23Dec240041','070000169991','46800',(select max(to_number(i.premium_rcv_detail_code))+1
from ins_premium_det i),'46800','46800','02', '11000003','00','Request by Mr. Saqib Saleem 23-Dec-2024 renewal');</v>
      </c>
    </row>
    <row r="149" spans="1:8" ht="89.25" x14ac:dyDescent="0.2">
      <c r="A149" t="s">
        <v>787</v>
      </c>
      <c r="B149" t="str">
        <f>VLOOKUP(A149,policy1!B:C,2,0)</f>
        <v>070000169992</v>
      </c>
      <c r="C149" s="54">
        <v>37800</v>
      </c>
      <c r="D149" s="67">
        <f t="shared" si="9"/>
        <v>37800</v>
      </c>
      <c r="E149" t="s">
        <v>4380</v>
      </c>
      <c r="F149" s="68" t="str">
        <f t="shared" si="8"/>
        <v>insert into ins_premium_det (premium_rcv_code,assorted_code, rec_amount,premium_rcv_detail_code,remaining_amt, payrec, mode_code,coinsurance_code,class_cd,it_remarks) values</v>
      </c>
      <c r="G149" s="69" t="str">
        <f t="shared" si="10"/>
        <v>('23Dec240041','070000169992','37800',(select max(to_number(i.premium_rcv_detail_code))+1
from ins_premium_det i),'37800','37800','02', '11000003','00','Request by Mr. Saqib Saleem 23-Dec-2024 renewal');</v>
      </c>
      <c r="H149" s="70" t="str">
        <f t="shared" si="11"/>
        <v>insert into ins_premium_det (premium_rcv_code,assorted_code, rec_amount,premium_rcv_detail_code,remaining_amt, payrec, mode_code,coinsurance_code,class_cd,it_remarks) values('23Dec240041','070000169992','37800',(select max(to_number(i.premium_rcv_detail_code))+1
from ins_premium_det i),'37800','37800','02', '11000003','00','Request by Mr. Saqib Saleem 23-Dec-2024 renewal');</v>
      </c>
    </row>
    <row r="150" spans="1:8" ht="89.25" x14ac:dyDescent="0.2">
      <c r="A150" t="s">
        <v>795</v>
      </c>
      <c r="B150" t="str">
        <f>VLOOKUP(A150,policy1!B:C,2,0)</f>
        <v>070000169993</v>
      </c>
      <c r="C150" s="54">
        <v>27000</v>
      </c>
      <c r="D150" s="67">
        <f t="shared" si="9"/>
        <v>27000</v>
      </c>
      <c r="E150" t="s">
        <v>4380</v>
      </c>
      <c r="F150" s="68" t="str">
        <f t="shared" si="8"/>
        <v>insert into ins_premium_det (premium_rcv_code,assorted_code, rec_amount,premium_rcv_detail_code,remaining_amt, payrec, mode_code,coinsurance_code,class_cd,it_remarks) values</v>
      </c>
      <c r="G150" s="69" t="str">
        <f t="shared" si="10"/>
        <v>('23Dec240041','070000169993','27000',(select max(to_number(i.premium_rcv_detail_code))+1
from ins_premium_det i),'27000','27000','02', '11000003','00','Request by Mr. Saqib Saleem 23-Dec-2024 renewal');</v>
      </c>
      <c r="H150" s="70" t="str">
        <f t="shared" si="11"/>
        <v>insert into ins_premium_det (premium_rcv_code,assorted_code, rec_amount,premium_rcv_detail_code,remaining_amt, payrec, mode_code,coinsurance_code,class_cd,it_remarks) values('23Dec240041','070000169993','27000',(select max(to_number(i.premium_rcv_detail_code))+1
from ins_premium_det i),'27000','27000','02', '11000003','00','Request by Mr. Saqib Saleem 23-Dec-2024 renewal');</v>
      </c>
    </row>
    <row r="151" spans="1:8" ht="89.25" x14ac:dyDescent="0.2">
      <c r="A151" t="s">
        <v>803</v>
      </c>
      <c r="B151" t="str">
        <f>VLOOKUP(A151,policy1!B:C,2,0)</f>
        <v>070000169994</v>
      </c>
      <c r="C151" s="54">
        <v>23850</v>
      </c>
      <c r="D151" s="67">
        <f t="shared" si="9"/>
        <v>23850</v>
      </c>
      <c r="E151" t="s">
        <v>4380</v>
      </c>
      <c r="F151" s="68" t="str">
        <f t="shared" si="8"/>
        <v>insert into ins_premium_det (premium_rcv_code,assorted_code, rec_amount,premium_rcv_detail_code,remaining_amt, payrec, mode_code,coinsurance_code,class_cd,it_remarks) values</v>
      </c>
      <c r="G151" s="69" t="str">
        <f t="shared" si="10"/>
        <v>('23Dec240041','070000169994','23850',(select max(to_number(i.premium_rcv_detail_code))+1
from ins_premium_det i),'23850','23850','02', '11000003','00','Request by Mr. Saqib Saleem 23-Dec-2024 renewal');</v>
      </c>
      <c r="H151" s="70" t="str">
        <f t="shared" si="11"/>
        <v>insert into ins_premium_det (premium_rcv_code,assorted_code, rec_amount,premium_rcv_detail_code,remaining_amt, payrec, mode_code,coinsurance_code,class_cd,it_remarks) values('23Dec240041','070000169994','23850',(select max(to_number(i.premium_rcv_detail_code))+1
from ins_premium_det i),'23850','23850','02', '11000003','00','Request by Mr. Saqib Saleem 23-Dec-2024 renewal');</v>
      </c>
    </row>
    <row r="152" spans="1:8" ht="89.25" x14ac:dyDescent="0.2">
      <c r="A152" t="s">
        <v>812</v>
      </c>
      <c r="B152" t="str">
        <f>VLOOKUP(A152,policy1!B:C,2,0)</f>
        <v>070000169995</v>
      </c>
      <c r="C152" s="54">
        <v>51300</v>
      </c>
      <c r="D152" s="67">
        <f t="shared" si="9"/>
        <v>51300</v>
      </c>
      <c r="E152" t="s">
        <v>4380</v>
      </c>
      <c r="F152" s="68" t="str">
        <f t="shared" si="8"/>
        <v>insert into ins_premium_det (premium_rcv_code,assorted_code, rec_amount,premium_rcv_detail_code,remaining_amt, payrec, mode_code,coinsurance_code,class_cd,it_remarks) values</v>
      </c>
      <c r="G152" s="69" t="str">
        <f t="shared" si="10"/>
        <v>('23Dec240041','070000169995','51300',(select max(to_number(i.premium_rcv_detail_code))+1
from ins_premium_det i),'51300','51300','02', '11000003','00','Request by Mr. Saqib Saleem 23-Dec-2024 renewal');</v>
      </c>
      <c r="H152" s="70" t="str">
        <f t="shared" si="11"/>
        <v>insert into ins_premium_det (premium_rcv_code,assorted_code, rec_amount,premium_rcv_detail_code,remaining_amt, payrec, mode_code,coinsurance_code,class_cd,it_remarks) values('23Dec240041','070000169995','51300',(select max(to_number(i.premium_rcv_detail_code))+1
from ins_premium_det i),'51300','51300','02', '11000003','00','Request by Mr. Saqib Saleem 23-Dec-2024 renewal');</v>
      </c>
    </row>
    <row r="153" spans="1:8" ht="89.25" x14ac:dyDescent="0.2">
      <c r="A153" t="s">
        <v>821</v>
      </c>
      <c r="B153" t="str">
        <f>VLOOKUP(A153,policy1!B:C,2,0)</f>
        <v>070000169996</v>
      </c>
      <c r="C153" s="54">
        <v>45000</v>
      </c>
      <c r="D153" s="67">
        <f t="shared" si="9"/>
        <v>45000</v>
      </c>
      <c r="E153" t="s">
        <v>4380</v>
      </c>
      <c r="F153" s="68" t="str">
        <f t="shared" si="8"/>
        <v>insert into ins_premium_det (premium_rcv_code,assorted_code, rec_amount,premium_rcv_detail_code,remaining_amt, payrec, mode_code,coinsurance_code,class_cd,it_remarks) values</v>
      </c>
      <c r="G153" s="69" t="str">
        <f t="shared" si="10"/>
        <v>('23Dec240041','070000169996','45000',(select max(to_number(i.premium_rcv_detail_code))+1
from ins_premium_det i),'45000','45000','02', '11000003','00','Request by Mr. Saqib Saleem 23-Dec-2024 renewal');</v>
      </c>
      <c r="H153" s="70" t="str">
        <f t="shared" si="11"/>
        <v>insert into ins_premium_det (premium_rcv_code,assorted_code, rec_amount,premium_rcv_detail_code,remaining_amt, payrec, mode_code,coinsurance_code,class_cd,it_remarks) values('23Dec240041','070000169996','45000',(select max(to_number(i.premium_rcv_detail_code))+1
from ins_premium_det i),'45000','45000','02', '11000003','00','Request by Mr. Saqib Saleem 23-Dec-2024 renewal');</v>
      </c>
    </row>
    <row r="154" spans="1:8" ht="89.25" x14ac:dyDescent="0.2">
      <c r="A154" t="s">
        <v>830</v>
      </c>
      <c r="B154" t="str">
        <f>VLOOKUP(A154,policy1!B:C,2,0)</f>
        <v>070000169997</v>
      </c>
      <c r="C154" s="54">
        <v>36000</v>
      </c>
      <c r="D154" s="67">
        <f t="shared" si="9"/>
        <v>36000</v>
      </c>
      <c r="E154" t="s">
        <v>4380</v>
      </c>
      <c r="F154" s="68" t="str">
        <f t="shared" si="8"/>
        <v>insert into ins_premium_det (premium_rcv_code,assorted_code, rec_amount,premium_rcv_detail_code,remaining_amt, payrec, mode_code,coinsurance_code,class_cd,it_remarks) values</v>
      </c>
      <c r="G154" s="69" t="str">
        <f t="shared" si="10"/>
        <v>('23Dec240041','070000169997','36000',(select max(to_number(i.premium_rcv_detail_code))+1
from ins_premium_det i),'36000','36000','02', '11000003','00','Request by Mr. Saqib Saleem 23-Dec-2024 renewal');</v>
      </c>
      <c r="H154" s="70" t="str">
        <f t="shared" si="11"/>
        <v>insert into ins_premium_det (premium_rcv_code,assorted_code, rec_amount,premium_rcv_detail_code,remaining_amt, payrec, mode_code,coinsurance_code,class_cd,it_remarks) values('23Dec240041','070000169997','36000',(select max(to_number(i.premium_rcv_detail_code))+1
from ins_premium_det i),'36000','36000','02', '11000003','00','Request by Mr. Saqib Saleem 23-Dec-2024 renewal');</v>
      </c>
    </row>
    <row r="155" spans="1:8" ht="89.25" x14ac:dyDescent="0.2">
      <c r="A155" t="s">
        <v>1129</v>
      </c>
      <c r="B155" t="str">
        <f>VLOOKUP(A155,policy1!B:C,2,0)</f>
        <v>070000170036</v>
      </c>
      <c r="C155" s="54">
        <v>48450</v>
      </c>
      <c r="D155" s="67">
        <f t="shared" si="9"/>
        <v>48450</v>
      </c>
      <c r="E155" t="s">
        <v>4380</v>
      </c>
      <c r="F155" s="68" t="str">
        <f t="shared" si="8"/>
        <v>insert into ins_premium_det (premium_rcv_code,assorted_code, rec_amount,premium_rcv_detail_code,remaining_amt, payrec, mode_code,coinsurance_code,class_cd,it_remarks) values</v>
      </c>
      <c r="G155" s="69" t="str">
        <f t="shared" si="10"/>
        <v>('23Dec240041','070000170036','48450',(select max(to_number(i.premium_rcv_detail_code))+1
from ins_premium_det i),'48450','48450','02', '11000003','00','Request by Mr. Saqib Saleem 23-Dec-2024 renewal');</v>
      </c>
      <c r="H155" s="70" t="str">
        <f t="shared" si="11"/>
        <v>insert into ins_premium_det (premium_rcv_code,assorted_code, rec_amount,premium_rcv_detail_code,remaining_amt, payrec, mode_code,coinsurance_code,class_cd,it_remarks) values('23Dec240041','070000170036','48450',(select max(to_number(i.premium_rcv_detail_code))+1
from ins_premium_det i),'48450','48450','02', '11000003','00','Request by Mr. Saqib Saleem 23-Dec-2024 renewal');</v>
      </c>
    </row>
    <row r="156" spans="1:8" ht="89.25" x14ac:dyDescent="0.2">
      <c r="A156" t="s">
        <v>1137</v>
      </c>
      <c r="B156" t="str">
        <f>VLOOKUP(A156,policy1!B:C,2,0)</f>
        <v>070000170037</v>
      </c>
      <c r="C156" s="54">
        <v>28900</v>
      </c>
      <c r="D156" s="67">
        <f t="shared" si="9"/>
        <v>28900</v>
      </c>
      <c r="E156" t="s">
        <v>4380</v>
      </c>
      <c r="F156" s="68" t="str">
        <f t="shared" si="8"/>
        <v>insert into ins_premium_det (premium_rcv_code,assorted_code, rec_amount,premium_rcv_detail_code,remaining_amt, payrec, mode_code,coinsurance_code,class_cd,it_remarks) values</v>
      </c>
      <c r="G156" s="69" t="str">
        <f t="shared" si="10"/>
        <v>('23Dec240041','070000170037','28900',(select max(to_number(i.premium_rcv_detail_code))+1
from ins_premium_det i),'28900','28900','02', '11000003','00','Request by Mr. Saqib Saleem 23-Dec-2024 renewal');</v>
      </c>
      <c r="H156" s="70" t="str">
        <f t="shared" si="11"/>
        <v>insert into ins_premium_det (premium_rcv_code,assorted_code, rec_amount,premium_rcv_detail_code,remaining_amt, payrec, mode_code,coinsurance_code,class_cd,it_remarks) values('23Dec240041','070000170037','28900',(select max(to_number(i.premium_rcv_detail_code))+1
from ins_premium_det i),'28900','28900','02', '11000003','00','Request by Mr. Saqib Saleem 23-Dec-2024 renewal');</v>
      </c>
    </row>
    <row r="157" spans="1:8" ht="89.25" x14ac:dyDescent="0.2">
      <c r="A157" t="s">
        <v>1145</v>
      </c>
      <c r="B157" t="str">
        <f>VLOOKUP(A157,policy1!B:C,2,0)</f>
        <v>070000170038</v>
      </c>
      <c r="C157" s="54">
        <v>43588</v>
      </c>
      <c r="D157" s="67">
        <f t="shared" si="9"/>
        <v>43588</v>
      </c>
      <c r="E157" t="s">
        <v>4380</v>
      </c>
      <c r="F157" s="68" t="str">
        <f t="shared" si="8"/>
        <v>insert into ins_premium_det (premium_rcv_code,assorted_code, rec_amount,premium_rcv_detail_code,remaining_amt, payrec, mode_code,coinsurance_code,class_cd,it_remarks) values</v>
      </c>
      <c r="G157" s="69" t="str">
        <f t="shared" si="10"/>
        <v>('23Dec240041','070000170038','43588',(select max(to_number(i.premium_rcv_detail_code))+1
from ins_premium_det i),'43588','43588','02', '11000003','00','Request by Mr. Saqib Saleem 23-Dec-2024 renewal');</v>
      </c>
      <c r="H157" s="70" t="str">
        <f t="shared" si="11"/>
        <v>insert into ins_premium_det (premium_rcv_code,assorted_code, rec_amount,premium_rcv_detail_code,remaining_amt, payrec, mode_code,coinsurance_code,class_cd,it_remarks) values('23Dec240041','070000170038','43588',(select max(to_number(i.premium_rcv_detail_code))+1
from ins_premium_det i),'43588','43588','02', '11000003','00','Request by Mr. Saqib Saleem 23-Dec-2024 renewal');</v>
      </c>
    </row>
    <row r="158" spans="1:8" ht="89.25" x14ac:dyDescent="0.2">
      <c r="A158" t="s">
        <v>1153</v>
      </c>
      <c r="B158" t="str">
        <f>VLOOKUP(A158,policy1!B:C,2,0)</f>
        <v>070000170039</v>
      </c>
      <c r="C158" s="54">
        <v>42840</v>
      </c>
      <c r="D158" s="67">
        <f t="shared" si="9"/>
        <v>42840</v>
      </c>
      <c r="E158" t="s">
        <v>4380</v>
      </c>
      <c r="F158" s="68" t="str">
        <f t="shared" si="8"/>
        <v>insert into ins_premium_det (premium_rcv_code,assorted_code, rec_amount,premium_rcv_detail_code,remaining_amt, payrec, mode_code,coinsurance_code,class_cd,it_remarks) values</v>
      </c>
      <c r="G158" s="69" t="str">
        <f t="shared" si="10"/>
        <v>('23Dec240041','070000170039','42840',(select max(to_number(i.premium_rcv_detail_code))+1
from ins_premium_det i),'42840','42840','02', '11000003','00','Request by Mr. Saqib Saleem 23-Dec-2024 renewal');</v>
      </c>
      <c r="H158" s="70" t="str">
        <f t="shared" si="11"/>
        <v>insert into ins_premium_det (premium_rcv_code,assorted_code, rec_amount,premium_rcv_detail_code,remaining_amt, payrec, mode_code,coinsurance_code,class_cd,it_remarks) values('23Dec240041','070000170039','42840',(select max(to_number(i.premium_rcv_detail_code))+1
from ins_premium_det i),'42840','42840','02', '11000003','00','Request by Mr. Saqib Saleem 23-Dec-2024 renewal');</v>
      </c>
    </row>
    <row r="159" spans="1:8" ht="89.25" x14ac:dyDescent="0.2">
      <c r="A159" t="s">
        <v>1160</v>
      </c>
      <c r="B159" t="str">
        <f>VLOOKUP(A159,policy1!B:C,2,0)</f>
        <v>070000170041</v>
      </c>
      <c r="C159" s="54">
        <v>45900</v>
      </c>
      <c r="D159" s="67">
        <f t="shared" si="9"/>
        <v>45900</v>
      </c>
      <c r="E159" t="s">
        <v>4380</v>
      </c>
      <c r="F159" s="68" t="str">
        <f t="shared" si="8"/>
        <v>insert into ins_premium_det (premium_rcv_code,assorted_code, rec_amount,premium_rcv_detail_code,remaining_amt, payrec, mode_code,coinsurance_code,class_cd,it_remarks) values</v>
      </c>
      <c r="G159" s="69" t="str">
        <f t="shared" si="10"/>
        <v>('23Dec240041','070000170041','45900',(select max(to_number(i.premium_rcv_detail_code))+1
from ins_premium_det i),'45900','45900','02', '11000003','00','Request by Mr. Saqib Saleem 23-Dec-2024 renewal');</v>
      </c>
      <c r="H159" s="70" t="str">
        <f t="shared" si="11"/>
        <v>insert into ins_premium_det (premium_rcv_code,assorted_code, rec_amount,premium_rcv_detail_code,remaining_amt, payrec, mode_code,coinsurance_code,class_cd,it_remarks) values('23Dec240041','070000170041','45900',(select max(to_number(i.premium_rcv_detail_code))+1
from ins_premium_det i),'45900','45900','02', '11000003','00','Request by Mr. Saqib Saleem 23-Dec-2024 renewal');</v>
      </c>
    </row>
    <row r="160" spans="1:8" ht="89.25" x14ac:dyDescent="0.2">
      <c r="A160" t="s">
        <v>1168</v>
      </c>
      <c r="B160" t="str">
        <f>VLOOKUP(A160,policy1!B:C,2,0)</f>
        <v>070000170042</v>
      </c>
      <c r="C160" s="54">
        <v>54400</v>
      </c>
      <c r="D160" s="67">
        <f t="shared" si="9"/>
        <v>54400</v>
      </c>
      <c r="E160" t="s">
        <v>4380</v>
      </c>
      <c r="F160" s="68" t="str">
        <f t="shared" si="8"/>
        <v>insert into ins_premium_det (premium_rcv_code,assorted_code, rec_amount,premium_rcv_detail_code,remaining_amt, payrec, mode_code,coinsurance_code,class_cd,it_remarks) values</v>
      </c>
      <c r="G160" s="69" t="str">
        <f t="shared" si="10"/>
        <v>('23Dec240041','070000170042','54400',(select max(to_number(i.premium_rcv_detail_code))+1
from ins_premium_det i),'54400','54400','02', '11000003','00','Request by Mr. Saqib Saleem 23-Dec-2024 renewal');</v>
      </c>
      <c r="H160" s="70" t="str">
        <f t="shared" si="11"/>
        <v>insert into ins_premium_det (premium_rcv_code,assorted_code, rec_amount,premium_rcv_detail_code,remaining_amt, payrec, mode_code,coinsurance_code,class_cd,it_remarks) values('23Dec240041','070000170042','54400',(select max(to_number(i.premium_rcv_detail_code))+1
from ins_premium_det i),'54400','54400','02', '11000003','00','Request by Mr. Saqib Saleem 23-Dec-2024 renewal');</v>
      </c>
    </row>
    <row r="161" spans="1:8" ht="89.25" x14ac:dyDescent="0.2">
      <c r="A161" t="s">
        <v>1176</v>
      </c>
      <c r="B161" t="str">
        <f>VLOOKUP(A161,policy1!B:C,2,0)</f>
        <v>070000170043</v>
      </c>
      <c r="C161" s="54">
        <v>37400</v>
      </c>
      <c r="D161" s="67">
        <f t="shared" si="9"/>
        <v>37400</v>
      </c>
      <c r="E161" t="s">
        <v>4380</v>
      </c>
      <c r="F161" s="68" t="str">
        <f t="shared" si="8"/>
        <v>insert into ins_premium_det (premium_rcv_code,assorted_code, rec_amount,premium_rcv_detail_code,remaining_amt, payrec, mode_code,coinsurance_code,class_cd,it_remarks) values</v>
      </c>
      <c r="G161" s="69" t="str">
        <f t="shared" si="10"/>
        <v>('23Dec240041','070000170043','37400',(select max(to_number(i.premium_rcv_detail_code))+1
from ins_premium_det i),'37400','37400','02', '11000003','00','Request by Mr. Saqib Saleem 23-Dec-2024 renewal');</v>
      </c>
      <c r="H161" s="70" t="str">
        <f t="shared" si="11"/>
        <v>insert into ins_premium_det (premium_rcv_code,assorted_code, rec_amount,premium_rcv_detail_code,remaining_amt, payrec, mode_code,coinsurance_code,class_cd,it_remarks) values('23Dec240041','070000170043','37400',(select max(to_number(i.premium_rcv_detail_code))+1
from ins_premium_det i),'37400','37400','02', '11000003','00','Request by Mr. Saqib Saleem 23-Dec-2024 renewal');</v>
      </c>
    </row>
    <row r="162" spans="1:8" ht="89.25" x14ac:dyDescent="0.2">
      <c r="A162" t="s">
        <v>1184</v>
      </c>
      <c r="B162" t="str">
        <f>VLOOKUP(A162,policy1!B:C,2,0)</f>
        <v>070000170044</v>
      </c>
      <c r="C162" s="54">
        <v>49725</v>
      </c>
      <c r="D162" s="67">
        <f t="shared" si="9"/>
        <v>49725</v>
      </c>
      <c r="E162" t="s">
        <v>4380</v>
      </c>
      <c r="F162" s="68" t="str">
        <f t="shared" si="8"/>
        <v>insert into ins_premium_det (premium_rcv_code,assorted_code, rec_amount,premium_rcv_detail_code,remaining_amt, payrec, mode_code,coinsurance_code,class_cd,it_remarks) values</v>
      </c>
      <c r="G162" s="69" t="str">
        <f t="shared" si="10"/>
        <v>('23Dec240041','070000170044','49725',(select max(to_number(i.premium_rcv_detail_code))+1
from ins_premium_det i),'49725','49725','02', '11000003','00','Request by Mr. Saqib Saleem 23-Dec-2024 renewal');</v>
      </c>
      <c r="H162" s="70" t="str">
        <f t="shared" si="11"/>
        <v>insert into ins_premium_det (premium_rcv_code,assorted_code, rec_amount,premium_rcv_detail_code,remaining_amt, payrec, mode_code,coinsurance_code,class_cd,it_remarks) values('23Dec240041','070000170044','49725',(select max(to_number(i.premium_rcv_detail_code))+1
from ins_premium_det i),'49725','49725','02', '11000003','00','Request by Mr. Saqib Saleem 23-Dec-2024 renewal');</v>
      </c>
    </row>
    <row r="163" spans="1:8" ht="89.25" x14ac:dyDescent="0.2">
      <c r="A163" t="s">
        <v>1191</v>
      </c>
      <c r="B163" t="str">
        <f>VLOOKUP(A163,policy1!B:C,2,0)</f>
        <v>070000170045</v>
      </c>
      <c r="C163" s="54">
        <v>56100</v>
      </c>
      <c r="D163" s="67">
        <f t="shared" si="9"/>
        <v>56100</v>
      </c>
      <c r="E163" t="s">
        <v>4380</v>
      </c>
      <c r="F163" s="68" t="str">
        <f t="shared" si="8"/>
        <v>insert into ins_premium_det (premium_rcv_code,assorted_code, rec_amount,premium_rcv_detail_code,remaining_amt, payrec, mode_code,coinsurance_code,class_cd,it_remarks) values</v>
      </c>
      <c r="G163" s="69" t="str">
        <f t="shared" si="10"/>
        <v>('23Dec240041','070000170045','56100',(select max(to_number(i.premium_rcv_detail_code))+1
from ins_premium_det i),'56100','56100','02', '11000003','00','Request by Mr. Saqib Saleem 23-Dec-2024 renewal');</v>
      </c>
      <c r="H163" s="70" t="str">
        <f t="shared" si="11"/>
        <v>insert into ins_premium_det (premium_rcv_code,assorted_code, rec_amount,premium_rcv_detail_code,remaining_amt, payrec, mode_code,coinsurance_code,class_cd,it_remarks) values('23Dec240041','070000170045','56100',(select max(to_number(i.premium_rcv_detail_code))+1
from ins_premium_det i),'56100','56100','02', '11000003','00','Request by Mr. Saqib Saleem 23-Dec-2024 renewal');</v>
      </c>
    </row>
    <row r="164" spans="1:8" ht="89.25" x14ac:dyDescent="0.2">
      <c r="A164" t="s">
        <v>1200</v>
      </c>
      <c r="B164" t="str">
        <f>VLOOKUP(A164,policy1!B:C,2,0)</f>
        <v>070000170046</v>
      </c>
      <c r="C164" s="54">
        <v>51000</v>
      </c>
      <c r="D164" s="67">
        <f t="shared" si="9"/>
        <v>51000</v>
      </c>
      <c r="E164" t="s">
        <v>4380</v>
      </c>
      <c r="F164" s="68" t="str">
        <f t="shared" si="8"/>
        <v>insert into ins_premium_det (premium_rcv_code,assorted_code, rec_amount,premium_rcv_detail_code,remaining_amt, payrec, mode_code,coinsurance_code,class_cd,it_remarks) values</v>
      </c>
      <c r="G164" s="69" t="str">
        <f t="shared" si="10"/>
        <v>('23Dec240041','070000170046','51000',(select max(to_number(i.premium_rcv_detail_code))+1
from ins_premium_det i),'51000','51000','02', '11000003','00','Request by Mr. Saqib Saleem 23-Dec-2024 renewal');</v>
      </c>
      <c r="H164" s="70" t="str">
        <f t="shared" si="11"/>
        <v>insert into ins_premium_det (premium_rcv_code,assorted_code, rec_amount,premium_rcv_detail_code,remaining_amt, payrec, mode_code,coinsurance_code,class_cd,it_remarks) values('23Dec240041','070000170046','51000',(select max(to_number(i.premium_rcv_detail_code))+1
from ins_premium_det i),'51000','51000','02', '11000003','00','Request by Mr. Saqib Saleem 23-Dec-2024 renewal');</v>
      </c>
    </row>
    <row r="165" spans="1:8" ht="89.25" x14ac:dyDescent="0.2">
      <c r="A165" t="s">
        <v>1216</v>
      </c>
      <c r="B165" t="str">
        <f>VLOOKUP(A165,policy1!B:C,2,0)</f>
        <v>070000170048</v>
      </c>
      <c r="C165" s="54">
        <v>26350</v>
      </c>
      <c r="D165" s="67">
        <f t="shared" si="9"/>
        <v>26350</v>
      </c>
      <c r="E165" t="s">
        <v>4380</v>
      </c>
      <c r="F165" s="68" t="str">
        <f t="shared" si="8"/>
        <v>insert into ins_premium_det (premium_rcv_code,assorted_code, rec_amount,premium_rcv_detail_code,remaining_amt, payrec, mode_code,coinsurance_code,class_cd,it_remarks) values</v>
      </c>
      <c r="G165" s="69" t="str">
        <f t="shared" si="10"/>
        <v>('23Dec240041','070000170048','26350',(select max(to_number(i.premium_rcv_detail_code))+1
from ins_premium_det i),'26350','26350','02', '11000003','00','Request by Mr. Saqib Saleem 23-Dec-2024 renewal');</v>
      </c>
      <c r="H165" s="70" t="str">
        <f t="shared" si="11"/>
        <v>insert into ins_premium_det (premium_rcv_code,assorted_code, rec_amount,premium_rcv_detail_code,remaining_amt, payrec, mode_code,coinsurance_code,class_cd,it_remarks) values('23Dec240041','070000170048','26350',(select max(to_number(i.premium_rcv_detail_code))+1
from ins_premium_det i),'26350','26350','02', '11000003','00','Request by Mr. Saqib Saleem 23-Dec-2024 renewal');</v>
      </c>
    </row>
    <row r="166" spans="1:8" ht="89.25" x14ac:dyDescent="0.2">
      <c r="A166" t="s">
        <v>1224</v>
      </c>
      <c r="B166" t="str">
        <f>VLOOKUP(A166,policy1!B:C,2,0)</f>
        <v>070000170049</v>
      </c>
      <c r="C166" s="54">
        <v>47940</v>
      </c>
      <c r="D166" s="67">
        <f t="shared" si="9"/>
        <v>47940</v>
      </c>
      <c r="E166" t="s">
        <v>4380</v>
      </c>
      <c r="F166" s="68" t="str">
        <f t="shared" si="8"/>
        <v>insert into ins_premium_det (premium_rcv_code,assorted_code, rec_amount,premium_rcv_detail_code,remaining_amt, payrec, mode_code,coinsurance_code,class_cd,it_remarks) values</v>
      </c>
      <c r="G166" s="69" t="str">
        <f t="shared" si="10"/>
        <v>('23Dec240041','070000170049','47940',(select max(to_number(i.premium_rcv_detail_code))+1
from ins_premium_det i),'47940','47940','02', '11000003','00','Request by Mr. Saqib Saleem 23-Dec-2024 renewal');</v>
      </c>
      <c r="H166" s="70" t="str">
        <f t="shared" si="11"/>
        <v>insert into ins_premium_det (premium_rcv_code,assorted_code, rec_amount,premium_rcv_detail_code,remaining_amt, payrec, mode_code,coinsurance_code,class_cd,it_remarks) values('23Dec240041','070000170049','47940',(select max(to_number(i.premium_rcv_detail_code))+1
from ins_premium_det i),'47940','47940','02', '11000003','00','Request by Mr. Saqib Saleem 23-Dec-2024 renewal');</v>
      </c>
    </row>
    <row r="167" spans="1:8" ht="89.25" x14ac:dyDescent="0.2">
      <c r="A167" t="s">
        <v>1648</v>
      </c>
      <c r="B167" t="str">
        <f>VLOOKUP(A167,policy1!B:C,2,0)</f>
        <v>070000170120</v>
      </c>
      <c r="C167" s="54">
        <v>18900</v>
      </c>
      <c r="D167" s="67">
        <f t="shared" si="9"/>
        <v>18900</v>
      </c>
      <c r="E167" t="s">
        <v>4380</v>
      </c>
      <c r="F167" s="68" t="str">
        <f t="shared" si="8"/>
        <v>insert into ins_premium_det (premium_rcv_code,assorted_code, rec_amount,premium_rcv_detail_code,remaining_amt, payrec, mode_code,coinsurance_code,class_cd,it_remarks) values</v>
      </c>
      <c r="G167" s="69" t="str">
        <f t="shared" si="10"/>
        <v>('23Dec240041','070000170120','18900',(select max(to_number(i.premium_rcv_detail_code))+1
from ins_premium_det i),'18900','18900','02', '11000003','00','Request by Mr. Saqib Saleem 23-Dec-2024 renewal');</v>
      </c>
      <c r="H167" s="70" t="str">
        <f t="shared" si="11"/>
        <v>insert into ins_premium_det (premium_rcv_code,assorted_code, rec_amount,premium_rcv_detail_code,remaining_amt, payrec, mode_code,coinsurance_code,class_cd,it_remarks) values('23Dec240041','070000170120','18900',(select max(to_number(i.premium_rcv_detail_code))+1
from ins_premium_det i),'18900','18900','02', '11000003','00','Request by Mr. Saqib Saleem 23-Dec-2024 renewal');</v>
      </c>
    </row>
    <row r="168" spans="1:8" ht="89.25" x14ac:dyDescent="0.2">
      <c r="A168" t="s">
        <v>1656</v>
      </c>
      <c r="B168" t="str">
        <f>VLOOKUP(A168,policy1!B:C,2,0)</f>
        <v>070000170121</v>
      </c>
      <c r="C168" s="54">
        <v>36246</v>
      </c>
      <c r="D168" s="67">
        <f t="shared" si="9"/>
        <v>36246</v>
      </c>
      <c r="E168" t="s">
        <v>4380</v>
      </c>
      <c r="F168" s="68" t="str">
        <f t="shared" si="8"/>
        <v>insert into ins_premium_det (premium_rcv_code,assorted_code, rec_amount,premium_rcv_detail_code,remaining_amt, payrec, mode_code,coinsurance_code,class_cd,it_remarks) values</v>
      </c>
      <c r="G168" s="69" t="str">
        <f t="shared" si="10"/>
        <v>('23Dec240041','070000170121','36246',(select max(to_number(i.premium_rcv_detail_code))+1
from ins_premium_det i),'36246','36246','02', '11000003','00','Request by Mr. Saqib Saleem 23-Dec-2024 renewal');</v>
      </c>
      <c r="H168" s="70" t="str">
        <f t="shared" si="11"/>
        <v>insert into ins_premium_det (premium_rcv_code,assorted_code, rec_amount,premium_rcv_detail_code,remaining_amt, payrec, mode_code,coinsurance_code,class_cd,it_remarks) values('23Dec240041','070000170121','36246',(select max(to_number(i.premium_rcv_detail_code))+1
from ins_premium_det i),'36246','36246','02', '11000003','00','Request by Mr. Saqib Saleem 23-Dec-2024 renewal');</v>
      </c>
    </row>
    <row r="169" spans="1:8" ht="89.25" x14ac:dyDescent="0.2">
      <c r="A169" t="s">
        <v>1663</v>
      </c>
      <c r="B169" t="str">
        <f>VLOOKUP(A169,policy1!B:C,2,0)</f>
        <v>070000170122</v>
      </c>
      <c r="C169" s="54">
        <v>25928</v>
      </c>
      <c r="D169" s="67">
        <f t="shared" si="9"/>
        <v>25928</v>
      </c>
      <c r="E169" t="s">
        <v>4380</v>
      </c>
      <c r="F169" s="68" t="str">
        <f t="shared" si="8"/>
        <v>insert into ins_premium_det (premium_rcv_code,assorted_code, rec_amount,premium_rcv_detail_code,remaining_amt, payrec, mode_code,coinsurance_code,class_cd,it_remarks) values</v>
      </c>
      <c r="G169" s="69" t="str">
        <f t="shared" si="10"/>
        <v>('23Dec240041','070000170122','25928',(select max(to_number(i.premium_rcv_detail_code))+1
from ins_premium_det i),'25928','25928','02', '11000003','00','Request by Mr. Saqib Saleem 23-Dec-2024 renewal');</v>
      </c>
      <c r="H169" s="70" t="str">
        <f t="shared" si="11"/>
        <v>insert into ins_premium_det (premium_rcv_code,assorted_code, rec_amount,premium_rcv_detail_code,remaining_amt, payrec, mode_code,coinsurance_code,class_cd,it_remarks) values('23Dec240041','070000170122','25928',(select max(to_number(i.premium_rcv_detail_code))+1
from ins_premium_det i),'25928','25928','02', '11000003','00','Request by Mr. Saqib Saleem 23-Dec-2024 renewal');</v>
      </c>
    </row>
    <row r="170" spans="1:8" ht="89.25" x14ac:dyDescent="0.2">
      <c r="A170" t="s">
        <v>1671</v>
      </c>
      <c r="B170" t="str">
        <f>VLOOKUP(A170,policy1!B:C,2,0)</f>
        <v>070000170123</v>
      </c>
      <c r="C170" s="54">
        <v>25928</v>
      </c>
      <c r="D170" s="67">
        <f t="shared" si="9"/>
        <v>25928</v>
      </c>
      <c r="E170" t="s">
        <v>4380</v>
      </c>
      <c r="F170" s="68" t="str">
        <f t="shared" si="8"/>
        <v>insert into ins_premium_det (premium_rcv_code,assorted_code, rec_amount,premium_rcv_detail_code,remaining_amt, payrec, mode_code,coinsurance_code,class_cd,it_remarks) values</v>
      </c>
      <c r="G170" s="69" t="str">
        <f t="shared" si="10"/>
        <v>('23Dec240041','070000170123','25928',(select max(to_number(i.premium_rcv_detail_code))+1
from ins_premium_det i),'25928','25928','02', '11000003','00','Request by Mr. Saqib Saleem 23-Dec-2024 renewal');</v>
      </c>
      <c r="H170" s="70" t="str">
        <f t="shared" si="11"/>
        <v>insert into ins_premium_det (premium_rcv_code,assorted_code, rec_amount,premium_rcv_detail_code,remaining_amt, payrec, mode_code,coinsurance_code,class_cd,it_remarks) values('23Dec240041','070000170123','25928',(select max(to_number(i.premium_rcv_detail_code))+1
from ins_premium_det i),'25928','25928','02', '11000003','00','Request by Mr. Saqib Saleem 23-Dec-2024 renewal');</v>
      </c>
    </row>
    <row r="171" spans="1:8" ht="89.25" x14ac:dyDescent="0.2">
      <c r="A171" t="s">
        <v>1679</v>
      </c>
      <c r="B171" t="str">
        <f>VLOOKUP(A171,policy1!B:C,2,0)</f>
        <v>070000170124</v>
      </c>
      <c r="C171" s="54">
        <v>21350</v>
      </c>
      <c r="D171" s="67">
        <f t="shared" si="9"/>
        <v>21350</v>
      </c>
      <c r="E171" t="s">
        <v>4380</v>
      </c>
      <c r="F171" s="68" t="str">
        <f t="shared" si="8"/>
        <v>insert into ins_premium_det (premium_rcv_code,assorted_code, rec_amount,premium_rcv_detail_code,remaining_amt, payrec, mode_code,coinsurance_code,class_cd,it_remarks) values</v>
      </c>
      <c r="G171" s="69" t="str">
        <f t="shared" si="10"/>
        <v>('23Dec240041','070000170124','21350',(select max(to_number(i.premium_rcv_detail_code))+1
from ins_premium_det i),'21350','21350','02', '11000003','00','Request by Mr. Saqib Saleem 23-Dec-2024 renewal');</v>
      </c>
      <c r="H171" s="70" t="str">
        <f t="shared" si="11"/>
        <v>insert into ins_premium_det (premium_rcv_code,assorted_code, rec_amount,premium_rcv_detail_code,remaining_amt, payrec, mode_code,coinsurance_code,class_cd,it_remarks) values('23Dec240041','070000170124','21350',(select max(to_number(i.premium_rcv_detail_code))+1
from ins_premium_det i),'21350','21350','02', '11000003','00','Request by Mr. Saqib Saleem 23-Dec-2024 renewal');</v>
      </c>
    </row>
    <row r="172" spans="1:8" ht="89.25" x14ac:dyDescent="0.2">
      <c r="A172" t="s">
        <v>1687</v>
      </c>
      <c r="B172" t="str">
        <f>VLOOKUP(A172,policy1!B:C,2,0)</f>
        <v>070000170126</v>
      </c>
      <c r="C172" s="54">
        <v>45600</v>
      </c>
      <c r="D172" s="67">
        <f t="shared" si="9"/>
        <v>45600</v>
      </c>
      <c r="E172" t="s">
        <v>4380</v>
      </c>
      <c r="F172" s="68" t="str">
        <f t="shared" si="8"/>
        <v>insert into ins_premium_det (premium_rcv_code,assorted_code, rec_amount,premium_rcv_detail_code,remaining_amt, payrec, mode_code,coinsurance_code,class_cd,it_remarks) values</v>
      </c>
      <c r="G172" s="69" t="str">
        <f t="shared" si="10"/>
        <v>('23Dec240041','070000170126','45600',(select max(to_number(i.premium_rcv_detail_code))+1
from ins_premium_det i),'45600','45600','02', '11000003','00','Request by Mr. Saqib Saleem 23-Dec-2024 renewal');</v>
      </c>
      <c r="H172" s="70" t="str">
        <f t="shared" si="11"/>
        <v>insert into ins_premium_det (premium_rcv_code,assorted_code, rec_amount,premium_rcv_detail_code,remaining_amt, payrec, mode_code,coinsurance_code,class_cd,it_remarks) values('23Dec240041','070000170126','45600',(select max(to_number(i.premium_rcv_detail_code))+1
from ins_premium_det i),'45600','45600','02', '11000003','00','Request by Mr. Saqib Saleem 23-Dec-2024 renewal');</v>
      </c>
    </row>
    <row r="173" spans="1:8" ht="89.25" x14ac:dyDescent="0.2">
      <c r="A173" t="s">
        <v>1696</v>
      </c>
      <c r="B173" t="str">
        <f>VLOOKUP(A173,policy1!B:C,2,0)</f>
        <v>070000170127</v>
      </c>
      <c r="C173" s="54">
        <v>42600</v>
      </c>
      <c r="D173" s="67">
        <f t="shared" si="9"/>
        <v>42600</v>
      </c>
      <c r="E173" t="s">
        <v>4380</v>
      </c>
      <c r="F173" s="68" t="str">
        <f t="shared" si="8"/>
        <v>insert into ins_premium_det (premium_rcv_code,assorted_code, rec_amount,premium_rcv_detail_code,remaining_amt, payrec, mode_code,coinsurance_code,class_cd,it_remarks) values</v>
      </c>
      <c r="G173" s="69" t="str">
        <f t="shared" si="10"/>
        <v>('23Dec240041','070000170127','42600',(select max(to_number(i.premium_rcv_detail_code))+1
from ins_premium_det i),'42600','42600','02', '11000003','00','Request by Mr. Saqib Saleem 23-Dec-2024 renewal');</v>
      </c>
      <c r="H173" s="70" t="str">
        <f t="shared" si="11"/>
        <v>insert into ins_premium_det (premium_rcv_code,assorted_code, rec_amount,premium_rcv_detail_code,remaining_amt, payrec, mode_code,coinsurance_code,class_cd,it_remarks) values('23Dec240041','070000170127','42600',(select max(to_number(i.premium_rcv_detail_code))+1
from ins_premium_det i),'42600','42600','02', '11000003','00','Request by Mr. Saqib Saleem 23-Dec-2024 renewal');</v>
      </c>
    </row>
    <row r="174" spans="1:8" ht="89.25" x14ac:dyDescent="0.2">
      <c r="A174" t="s">
        <v>1705</v>
      </c>
      <c r="B174" t="str">
        <f>VLOOKUP(A174,policy1!B:C,2,0)</f>
        <v>070000170129</v>
      </c>
      <c r="C174" s="54">
        <v>45962</v>
      </c>
      <c r="D174" s="67">
        <f t="shared" si="9"/>
        <v>45962</v>
      </c>
      <c r="E174" t="s">
        <v>4380</v>
      </c>
      <c r="F174" s="68" t="str">
        <f t="shared" si="8"/>
        <v>insert into ins_premium_det (premium_rcv_code,assorted_code, rec_amount,premium_rcv_detail_code,remaining_amt, payrec, mode_code,coinsurance_code,class_cd,it_remarks) values</v>
      </c>
      <c r="G174" s="69" t="str">
        <f t="shared" si="10"/>
        <v>('23Dec240041','070000170129','45962',(select max(to_number(i.premium_rcv_detail_code))+1
from ins_premium_det i),'45962','45962','02', '11000003','00','Request by Mr. Saqib Saleem 23-Dec-2024 renewal');</v>
      </c>
      <c r="H174" s="70" t="str">
        <f t="shared" si="11"/>
        <v>insert into ins_premium_det (premium_rcv_code,assorted_code, rec_amount,premium_rcv_detail_code,remaining_amt, payrec, mode_code,coinsurance_code,class_cd,it_remarks) values('23Dec240041','070000170129','45962',(select max(to_number(i.premium_rcv_detail_code))+1
from ins_premium_det i),'45962','45962','02', '11000003','00','Request by Mr. Saqib Saleem 23-Dec-2024 renewal');</v>
      </c>
    </row>
    <row r="175" spans="1:8" ht="89.25" x14ac:dyDescent="0.2">
      <c r="A175" t="s">
        <v>1721</v>
      </c>
      <c r="B175" t="str">
        <f>VLOOKUP(A175,policy1!B:C,2,0)</f>
        <v>070000170130</v>
      </c>
      <c r="C175" s="54">
        <v>21546</v>
      </c>
      <c r="D175" s="67">
        <f t="shared" si="9"/>
        <v>21546</v>
      </c>
      <c r="E175" t="s">
        <v>4380</v>
      </c>
      <c r="F175" s="68" t="str">
        <f t="shared" si="8"/>
        <v>insert into ins_premium_det (premium_rcv_code,assorted_code, rec_amount,premium_rcv_detail_code,remaining_amt, payrec, mode_code,coinsurance_code,class_cd,it_remarks) values</v>
      </c>
      <c r="G175" s="69" t="str">
        <f t="shared" si="10"/>
        <v>('23Dec240041','070000170130','21546',(select max(to_number(i.premium_rcv_detail_code))+1
from ins_premium_det i),'21546','21546','02', '11000003','00','Request by Mr. Saqib Saleem 23-Dec-2024 renewal');</v>
      </c>
      <c r="H175" s="70" t="str">
        <f t="shared" si="11"/>
        <v>insert into ins_premium_det (premium_rcv_code,assorted_code, rec_amount,premium_rcv_detail_code,remaining_amt, payrec, mode_code,coinsurance_code,class_cd,it_remarks) values('23Dec240041','070000170130','21546',(select max(to_number(i.premium_rcv_detail_code))+1
from ins_premium_det i),'21546','21546','02', '11000003','00','Request by Mr. Saqib Saleem 23-Dec-2024 renewal');</v>
      </c>
    </row>
    <row r="176" spans="1:8" ht="89.25" x14ac:dyDescent="0.2">
      <c r="A176" t="s">
        <v>1729</v>
      </c>
      <c r="B176" t="str">
        <f>VLOOKUP(A176,policy1!B:C,2,0)</f>
        <v>070000170131</v>
      </c>
      <c r="C176" s="54">
        <v>25928</v>
      </c>
      <c r="D176" s="67">
        <f t="shared" si="9"/>
        <v>25928</v>
      </c>
      <c r="E176" t="s">
        <v>4380</v>
      </c>
      <c r="F176" s="68" t="str">
        <f t="shared" si="8"/>
        <v>insert into ins_premium_det (premium_rcv_code,assorted_code, rec_amount,premium_rcv_detail_code,remaining_amt, payrec, mode_code,coinsurance_code,class_cd,it_remarks) values</v>
      </c>
      <c r="G176" s="69" t="str">
        <f t="shared" si="10"/>
        <v>('23Dec240041','070000170131','25928',(select max(to_number(i.premium_rcv_detail_code))+1
from ins_premium_det i),'25928','25928','02', '11000003','00','Request by Mr. Saqib Saleem 23-Dec-2024 renewal');</v>
      </c>
      <c r="H176" s="70" t="str">
        <f t="shared" si="11"/>
        <v>insert into ins_premium_det (premium_rcv_code,assorted_code, rec_amount,premium_rcv_detail_code,remaining_amt, payrec, mode_code,coinsurance_code,class_cd,it_remarks) values('23Dec240041','070000170131','25928',(select max(to_number(i.premium_rcv_detail_code))+1
from ins_premium_det i),'25928','25928','02', '11000003','00','Request by Mr. Saqib Saleem 23-Dec-2024 renewal');</v>
      </c>
    </row>
    <row r="177" spans="1:8" ht="89.25" x14ac:dyDescent="0.2">
      <c r="A177" t="s">
        <v>1737</v>
      </c>
      <c r="B177" t="str">
        <f>VLOOKUP(A177,policy1!B:C,2,0)</f>
        <v>070000170132</v>
      </c>
      <c r="C177" s="54">
        <v>45962</v>
      </c>
      <c r="D177" s="67">
        <f t="shared" si="9"/>
        <v>45962</v>
      </c>
      <c r="E177" t="s">
        <v>4380</v>
      </c>
      <c r="F177" s="68" t="str">
        <f t="shared" si="8"/>
        <v>insert into ins_premium_det (premium_rcv_code,assorted_code, rec_amount,premium_rcv_detail_code,remaining_amt, payrec, mode_code,coinsurance_code,class_cd,it_remarks) values</v>
      </c>
      <c r="G177" s="69" t="str">
        <f t="shared" si="10"/>
        <v>('23Dec240041','070000170132','45962',(select max(to_number(i.premium_rcv_detail_code))+1
from ins_premium_det i),'45962','45962','02', '11000003','00','Request by Mr. Saqib Saleem 23-Dec-2024 renewal');</v>
      </c>
      <c r="H177" s="70" t="str">
        <f t="shared" si="11"/>
        <v>insert into ins_premium_det (premium_rcv_code,assorted_code, rec_amount,premium_rcv_detail_code,remaining_amt, payrec, mode_code,coinsurance_code,class_cd,it_remarks) values('23Dec240041','070000170132','45962',(select max(to_number(i.premium_rcv_detail_code))+1
from ins_premium_det i),'45962','45962','02', '11000003','00','Request by Mr. Saqib Saleem 23-Dec-2024 renewal');</v>
      </c>
    </row>
    <row r="178" spans="1:8" ht="89.25" x14ac:dyDescent="0.2">
      <c r="A178" t="s">
        <v>1745</v>
      </c>
      <c r="B178" t="str">
        <f>VLOOKUP(A178,policy1!B:C,2,0)</f>
        <v>070000170133</v>
      </c>
      <c r="C178" s="54">
        <v>25928</v>
      </c>
      <c r="D178" s="67">
        <f t="shared" si="9"/>
        <v>25928</v>
      </c>
      <c r="E178" t="s">
        <v>4380</v>
      </c>
      <c r="F178" s="68" t="str">
        <f t="shared" si="8"/>
        <v>insert into ins_premium_det (premium_rcv_code,assorted_code, rec_amount,premium_rcv_detail_code,remaining_amt, payrec, mode_code,coinsurance_code,class_cd,it_remarks) values</v>
      </c>
      <c r="G178" s="69" t="str">
        <f t="shared" si="10"/>
        <v>('23Dec240041','070000170133','25928',(select max(to_number(i.premium_rcv_detail_code))+1
from ins_premium_det i),'25928','25928','02', '11000003','00','Request by Mr. Saqib Saleem 23-Dec-2024 renewal');</v>
      </c>
      <c r="H178" s="70" t="str">
        <f t="shared" si="11"/>
        <v>insert into ins_premium_det (premium_rcv_code,assorted_code, rec_amount,premium_rcv_detail_code,remaining_amt, payrec, mode_code,coinsurance_code,class_cd,it_remarks) values('23Dec240041','070000170133','25928',(select max(to_number(i.premium_rcv_detail_code))+1
from ins_premium_det i),'25928','25928','02', '11000003','00','Request by Mr. Saqib Saleem 23-Dec-2024 renewal');</v>
      </c>
    </row>
    <row r="179" spans="1:8" ht="89.25" x14ac:dyDescent="0.2">
      <c r="A179" t="s">
        <v>1967</v>
      </c>
      <c r="B179" t="str">
        <f>VLOOKUP(A179,policy1!B:C,2,0)</f>
        <v>070000170188</v>
      </c>
      <c r="C179" s="54">
        <v>41250</v>
      </c>
      <c r="D179" s="67">
        <f t="shared" si="9"/>
        <v>41250</v>
      </c>
      <c r="E179" t="s">
        <v>4380</v>
      </c>
      <c r="F179" s="68" t="str">
        <f t="shared" si="8"/>
        <v>insert into ins_premium_det (premium_rcv_code,assorted_code, rec_amount,premium_rcv_detail_code,remaining_amt, payrec, mode_code,coinsurance_code,class_cd,it_remarks) values</v>
      </c>
      <c r="G179" s="69" t="str">
        <f t="shared" si="10"/>
        <v>('23Dec240041','070000170188','41250',(select max(to_number(i.premium_rcv_detail_code))+1
from ins_premium_det i),'41250','41250','02', '11000003','00','Request by Mr. Saqib Saleem 23-Dec-2024 renewal');</v>
      </c>
      <c r="H179" s="70" t="str">
        <f t="shared" si="11"/>
        <v>insert into ins_premium_det (premium_rcv_code,assorted_code, rec_amount,premium_rcv_detail_code,remaining_amt, payrec, mode_code,coinsurance_code,class_cd,it_remarks) values('23Dec240041','070000170188','41250',(select max(to_number(i.premium_rcv_detail_code))+1
from ins_premium_det i),'41250','41250','02', '11000003','00','Request by Mr. Saqib Saleem 23-Dec-2024 renewal');</v>
      </c>
    </row>
    <row r="180" spans="1:8" ht="89.25" x14ac:dyDescent="0.2">
      <c r="A180" t="s">
        <v>1991</v>
      </c>
      <c r="B180" t="str">
        <f>VLOOKUP(A180,policy1!B:C,2,0)</f>
        <v>070000170192</v>
      </c>
      <c r="C180" s="54">
        <v>30619</v>
      </c>
      <c r="D180" s="67">
        <f t="shared" si="9"/>
        <v>30619</v>
      </c>
      <c r="E180" t="s">
        <v>4380</v>
      </c>
      <c r="F180" s="68" t="str">
        <f t="shared" si="8"/>
        <v>insert into ins_premium_det (premium_rcv_code,assorted_code, rec_amount,premium_rcv_detail_code,remaining_amt, payrec, mode_code,coinsurance_code,class_cd,it_remarks) values</v>
      </c>
      <c r="G180" s="69" t="str">
        <f t="shared" si="10"/>
        <v>('23Dec240041','070000170192','30619',(select max(to_number(i.premium_rcv_detail_code))+1
from ins_premium_det i),'30619','30619','02', '11000003','00','Request by Mr. Saqib Saleem 23-Dec-2024 renewal');</v>
      </c>
      <c r="H180" s="70" t="str">
        <f t="shared" si="11"/>
        <v>insert into ins_premium_det (premium_rcv_code,assorted_code, rec_amount,premium_rcv_detail_code,remaining_amt, payrec, mode_code,coinsurance_code,class_cd,it_remarks) values('23Dec240041','070000170192','30619',(select max(to_number(i.premium_rcv_detail_code))+1
from ins_premium_det i),'30619','30619','02', '11000003','00','Request by Mr. Saqib Saleem 23-Dec-2024 renewal');</v>
      </c>
    </row>
    <row r="181" spans="1:8" ht="89.25" x14ac:dyDescent="0.2">
      <c r="A181" t="s">
        <v>1998</v>
      </c>
      <c r="B181" t="str">
        <f>VLOOKUP(A181,policy1!B:C,2,0)</f>
        <v>070000170193</v>
      </c>
      <c r="C181" s="54">
        <v>47344</v>
      </c>
      <c r="D181" s="67">
        <f t="shared" si="9"/>
        <v>47344</v>
      </c>
      <c r="E181" t="s">
        <v>4380</v>
      </c>
      <c r="F181" s="68" t="str">
        <f t="shared" si="8"/>
        <v>insert into ins_premium_det (premium_rcv_code,assorted_code, rec_amount,premium_rcv_detail_code,remaining_amt, payrec, mode_code,coinsurance_code,class_cd,it_remarks) values</v>
      </c>
      <c r="G181" s="69" t="str">
        <f t="shared" si="10"/>
        <v>('23Dec240041','070000170193','47344',(select max(to_number(i.premium_rcv_detail_code))+1
from ins_premium_det i),'47344','47344','02', '11000003','00','Request by Mr. Saqib Saleem 23-Dec-2024 renewal');</v>
      </c>
      <c r="H181" s="70" t="str">
        <f t="shared" si="11"/>
        <v>insert into ins_premium_det (premium_rcv_code,assorted_code, rec_amount,premium_rcv_detail_code,remaining_amt, payrec, mode_code,coinsurance_code,class_cd,it_remarks) values('23Dec240041','070000170193','47344',(select max(to_number(i.premium_rcv_detail_code))+1
from ins_premium_det i),'47344','47344','02', '11000003','00','Request by Mr. Saqib Saleem 23-Dec-2024 renewal');</v>
      </c>
    </row>
    <row r="182" spans="1:8" ht="89.25" x14ac:dyDescent="0.2">
      <c r="A182" t="s">
        <v>2005</v>
      </c>
      <c r="B182" t="str">
        <f>VLOOKUP(A182,policy1!B:C,2,0)</f>
        <v>070000170194</v>
      </c>
      <c r="C182" s="54">
        <v>26869</v>
      </c>
      <c r="D182" s="67">
        <f t="shared" si="9"/>
        <v>26869</v>
      </c>
      <c r="E182" t="s">
        <v>4380</v>
      </c>
      <c r="F182" s="68" t="str">
        <f t="shared" si="8"/>
        <v>insert into ins_premium_det (premium_rcv_code,assorted_code, rec_amount,premium_rcv_detail_code,remaining_amt, payrec, mode_code,coinsurance_code,class_cd,it_remarks) values</v>
      </c>
      <c r="G182" s="69" t="str">
        <f t="shared" si="10"/>
        <v>('23Dec240041','070000170194','26869',(select max(to_number(i.premium_rcv_detail_code))+1
from ins_premium_det i),'26869','26869','02', '11000003','00','Request by Mr. Saqib Saleem 23-Dec-2024 renewal');</v>
      </c>
      <c r="H182" s="70" t="str">
        <f t="shared" si="11"/>
        <v>insert into ins_premium_det (premium_rcv_code,assorted_code, rec_amount,premium_rcv_detail_code,remaining_amt, payrec, mode_code,coinsurance_code,class_cd,it_remarks) values('23Dec240041','070000170194','26869',(select max(to_number(i.premium_rcv_detail_code))+1
from ins_premium_det i),'26869','26869','02', '11000003','00','Request by Mr. Saqib Saleem 23-Dec-2024 renewal');</v>
      </c>
    </row>
    <row r="183" spans="1:8" ht="89.25" x14ac:dyDescent="0.2">
      <c r="A183" t="s">
        <v>2012</v>
      </c>
      <c r="B183" t="str">
        <f>VLOOKUP(A183,policy1!B:C,2,0)</f>
        <v>070000170195</v>
      </c>
      <c r="C183" s="54">
        <v>61088</v>
      </c>
      <c r="D183" s="67">
        <f t="shared" si="9"/>
        <v>61088</v>
      </c>
      <c r="E183" t="s">
        <v>4380</v>
      </c>
      <c r="F183" s="68" t="str">
        <f t="shared" si="8"/>
        <v>insert into ins_premium_det (premium_rcv_code,assorted_code, rec_amount,premium_rcv_detail_code,remaining_amt, payrec, mode_code,coinsurance_code,class_cd,it_remarks) values</v>
      </c>
      <c r="G183" s="69" t="str">
        <f t="shared" si="10"/>
        <v>('23Dec240041','070000170195','61088',(select max(to_number(i.premium_rcv_detail_code))+1
from ins_premium_det i),'61088','61088','02', '11000003','00','Request by Mr. Saqib Saleem 23-Dec-2024 renewal');</v>
      </c>
      <c r="H183" s="70" t="str">
        <f t="shared" si="11"/>
        <v>insert into ins_premium_det (premium_rcv_code,assorted_code, rec_amount,premium_rcv_detail_code,remaining_amt, payrec, mode_code,coinsurance_code,class_cd,it_remarks) values('23Dec240041','070000170195','61088',(select max(to_number(i.premium_rcv_detail_code))+1
from ins_premium_det i),'61088','61088','02', '11000003','00','Request by Mr. Saqib Saleem 23-Dec-2024 renewal');</v>
      </c>
    </row>
    <row r="184" spans="1:8" ht="89.25" x14ac:dyDescent="0.2">
      <c r="A184" t="s">
        <v>2021</v>
      </c>
      <c r="B184" t="str">
        <f>VLOOKUP(A184,policy1!B:C,2,0)</f>
        <v>070000170196</v>
      </c>
      <c r="C184" s="54">
        <v>26906</v>
      </c>
      <c r="D184" s="67">
        <f t="shared" si="9"/>
        <v>26906</v>
      </c>
      <c r="E184" t="s">
        <v>4380</v>
      </c>
      <c r="F184" s="68" t="str">
        <f t="shared" si="8"/>
        <v>insert into ins_premium_det (premium_rcv_code,assorted_code, rec_amount,premium_rcv_detail_code,remaining_amt, payrec, mode_code,coinsurance_code,class_cd,it_remarks) values</v>
      </c>
      <c r="G184" s="69" t="str">
        <f t="shared" si="10"/>
        <v>('23Dec240041','070000170196','26906',(select max(to_number(i.premium_rcv_detail_code))+1
from ins_premium_det i),'26906','26906','02', '11000003','00','Request by Mr. Saqib Saleem 23-Dec-2024 renewal');</v>
      </c>
      <c r="H184" s="70" t="str">
        <f t="shared" si="11"/>
        <v>insert into ins_premium_det (premium_rcv_code,assorted_code, rec_amount,premium_rcv_detail_code,remaining_amt, payrec, mode_code,coinsurance_code,class_cd,it_remarks) values('23Dec240041','070000170196','26906',(select max(to_number(i.premium_rcv_detail_code))+1
from ins_premium_det i),'26906','26906','02', '11000003','00','Request by Mr. Saqib Saleem 23-Dec-2024 renewal');</v>
      </c>
    </row>
    <row r="185" spans="1:8" ht="89.25" x14ac:dyDescent="0.2">
      <c r="A185" t="s">
        <v>2030</v>
      </c>
      <c r="B185" t="str">
        <f>VLOOKUP(A185,policy1!B:C,2,0)</f>
        <v>070000170197</v>
      </c>
      <c r="C185" s="54">
        <v>22031</v>
      </c>
      <c r="D185" s="67">
        <f t="shared" si="9"/>
        <v>22031</v>
      </c>
      <c r="E185" t="s">
        <v>4380</v>
      </c>
      <c r="F185" s="68" t="str">
        <f t="shared" si="8"/>
        <v>insert into ins_premium_det (premium_rcv_code,assorted_code, rec_amount,premium_rcv_detail_code,remaining_amt, payrec, mode_code,coinsurance_code,class_cd,it_remarks) values</v>
      </c>
      <c r="G185" s="69" t="str">
        <f t="shared" si="10"/>
        <v>('23Dec240041','070000170197','22031',(select max(to_number(i.premium_rcv_detail_code))+1
from ins_premium_det i),'22031','22031','02', '11000003','00','Request by Mr. Saqib Saleem 23-Dec-2024 renewal');</v>
      </c>
      <c r="H185" s="70" t="str">
        <f t="shared" si="11"/>
        <v>insert into ins_premium_det (premium_rcv_code,assorted_code, rec_amount,premium_rcv_detail_code,remaining_amt, payrec, mode_code,coinsurance_code,class_cd,it_remarks) values('23Dec240041','070000170197','22031',(select max(to_number(i.premium_rcv_detail_code))+1
from ins_premium_det i),'22031','22031','02', '11000003','00','Request by Mr. Saqib Saleem 23-Dec-2024 renewal');</v>
      </c>
    </row>
    <row r="186" spans="1:8" ht="89.25" x14ac:dyDescent="0.2">
      <c r="A186" t="s">
        <v>2038</v>
      </c>
      <c r="B186" t="str">
        <f>VLOOKUP(A186,policy1!B:C,2,0)</f>
        <v>070000170199</v>
      </c>
      <c r="C186" s="54">
        <v>51806</v>
      </c>
      <c r="D186" s="67">
        <f t="shared" si="9"/>
        <v>51806</v>
      </c>
      <c r="E186" t="s">
        <v>4380</v>
      </c>
      <c r="F186" s="68" t="str">
        <f t="shared" si="8"/>
        <v>insert into ins_premium_det (premium_rcv_code,assorted_code, rec_amount,premium_rcv_detail_code,remaining_amt, payrec, mode_code,coinsurance_code,class_cd,it_remarks) values</v>
      </c>
      <c r="G186" s="69" t="str">
        <f t="shared" si="10"/>
        <v>('23Dec240041','070000170199','51806',(select max(to_number(i.premium_rcv_detail_code))+1
from ins_premium_det i),'51806','51806','02', '11000003','00','Request by Mr. Saqib Saleem 23-Dec-2024 renewal');</v>
      </c>
      <c r="H186" s="70" t="str">
        <f t="shared" si="11"/>
        <v>insert into ins_premium_det (premium_rcv_code,assorted_code, rec_amount,premium_rcv_detail_code,remaining_amt, payrec, mode_code,coinsurance_code,class_cd,it_remarks) values('23Dec240041','070000170199','51806',(select max(to_number(i.premium_rcv_detail_code))+1
from ins_premium_det i),'51806','51806','02', '11000003','00','Request by Mr. Saqib Saleem 23-Dec-2024 renewal');</v>
      </c>
    </row>
    <row r="187" spans="1:8" ht="89.25" x14ac:dyDescent="0.2">
      <c r="A187" t="s">
        <v>2100</v>
      </c>
      <c r="B187" t="str">
        <f>VLOOKUP(A187,policy1!B:C,2,0)</f>
        <v>070000170207</v>
      </c>
      <c r="C187" s="54">
        <v>39270</v>
      </c>
      <c r="D187" s="67">
        <f t="shared" si="9"/>
        <v>39270</v>
      </c>
      <c r="E187" t="s">
        <v>4380</v>
      </c>
      <c r="F187" s="68" t="str">
        <f t="shared" si="8"/>
        <v>insert into ins_premium_det (premium_rcv_code,assorted_code, rec_amount,premium_rcv_detail_code,remaining_amt, payrec, mode_code,coinsurance_code,class_cd,it_remarks) values</v>
      </c>
      <c r="G187" s="69" t="str">
        <f t="shared" si="10"/>
        <v>('23Dec240041','070000170207','39270',(select max(to_number(i.premium_rcv_detail_code))+1
from ins_premium_det i),'39270','39270','02', '11000003','00','Request by Mr. Saqib Saleem 23-Dec-2024 renewal');</v>
      </c>
      <c r="H187" s="70" t="str">
        <f t="shared" si="11"/>
        <v>insert into ins_premium_det (premium_rcv_code,assorted_code, rec_amount,premium_rcv_detail_code,remaining_amt, payrec, mode_code,coinsurance_code,class_cd,it_remarks) values('23Dec240041','070000170207','39270',(select max(to_number(i.premium_rcv_detail_code))+1
from ins_premium_det i),'39270','39270','02', '11000003','00','Request by Mr. Saqib Saleem 23-Dec-2024 renewal');</v>
      </c>
    </row>
    <row r="188" spans="1:8" ht="89.25" x14ac:dyDescent="0.2">
      <c r="A188" t="s">
        <v>2053</v>
      </c>
      <c r="B188" t="str">
        <f>VLOOKUP(A188,policy1!B:C,2,0)</f>
        <v>070000170200</v>
      </c>
      <c r="C188" s="54">
        <v>49594</v>
      </c>
      <c r="D188" s="67">
        <f t="shared" si="9"/>
        <v>49594</v>
      </c>
      <c r="E188" t="s">
        <v>4380</v>
      </c>
      <c r="F188" s="68" t="str">
        <f t="shared" si="8"/>
        <v>insert into ins_premium_det (premium_rcv_code,assorted_code, rec_amount,premium_rcv_detail_code,remaining_amt, payrec, mode_code,coinsurance_code,class_cd,it_remarks) values</v>
      </c>
      <c r="G188" s="69" t="str">
        <f t="shared" si="10"/>
        <v>('23Dec240041','070000170200','49594',(select max(to_number(i.premium_rcv_detail_code))+1
from ins_premium_det i),'49594','49594','02', '11000003','00','Request by Mr. Saqib Saleem 23-Dec-2024 renewal');</v>
      </c>
      <c r="H188" s="70" t="str">
        <f t="shared" si="11"/>
        <v>insert into ins_premium_det (premium_rcv_code,assorted_code, rec_amount,premium_rcv_detail_code,remaining_amt, payrec, mode_code,coinsurance_code,class_cd,it_remarks) values('23Dec240041','070000170200','49594',(select max(to_number(i.premium_rcv_detail_code))+1
from ins_premium_det i),'49594','49594','02', '11000003','00','Request by Mr. Saqib Saleem 23-Dec-2024 renewal');</v>
      </c>
    </row>
    <row r="189" spans="1:8" ht="89.25" x14ac:dyDescent="0.2">
      <c r="A189" t="s">
        <v>2061</v>
      </c>
      <c r="B189" t="str">
        <f>VLOOKUP(A189,policy1!B:C,2,0)</f>
        <v>070000170201</v>
      </c>
      <c r="C189" s="54">
        <v>46513</v>
      </c>
      <c r="D189" s="67">
        <f t="shared" si="9"/>
        <v>46513</v>
      </c>
      <c r="E189" t="s">
        <v>4380</v>
      </c>
      <c r="F189" s="68" t="str">
        <f t="shared" si="8"/>
        <v>insert into ins_premium_det (premium_rcv_code,assorted_code, rec_amount,premium_rcv_detail_code,remaining_amt, payrec, mode_code,coinsurance_code,class_cd,it_remarks) values</v>
      </c>
      <c r="G189" s="69" t="str">
        <f t="shared" si="10"/>
        <v>('23Dec240041','070000170201','46513',(select max(to_number(i.premium_rcv_detail_code))+1
from ins_premium_det i),'46513','46513','02', '11000003','00','Request by Mr. Saqib Saleem 23-Dec-2024 renewal');</v>
      </c>
      <c r="H189" s="70" t="str">
        <f t="shared" si="11"/>
        <v>insert into ins_premium_det (premium_rcv_code,assorted_code, rec_amount,premium_rcv_detail_code,remaining_amt, payrec, mode_code,coinsurance_code,class_cd,it_remarks) values('23Dec240041','070000170201','46513',(select max(to_number(i.premium_rcv_detail_code))+1
from ins_premium_det i),'46513','46513','02', '11000003','00','Request by Mr. Saqib Saleem 23-Dec-2024 renewal');</v>
      </c>
    </row>
    <row r="190" spans="1:8" ht="89.25" x14ac:dyDescent="0.2">
      <c r="A190" t="s">
        <v>2069</v>
      </c>
      <c r="B190" t="str">
        <f>VLOOKUP(A190,policy1!B:C,2,0)</f>
        <v>070000170203</v>
      </c>
      <c r="C190" s="54">
        <v>44800</v>
      </c>
      <c r="D190" s="67">
        <f t="shared" si="9"/>
        <v>44800</v>
      </c>
      <c r="E190" t="s">
        <v>4380</v>
      </c>
      <c r="F190" s="68" t="str">
        <f t="shared" si="8"/>
        <v>insert into ins_premium_det (premium_rcv_code,assorted_code, rec_amount,premium_rcv_detail_code,remaining_amt, payrec, mode_code,coinsurance_code,class_cd,it_remarks) values</v>
      </c>
      <c r="G190" s="69" t="str">
        <f t="shared" si="10"/>
        <v>('23Dec240041','070000170203','44800',(select max(to_number(i.premium_rcv_detail_code))+1
from ins_premium_det i),'44800','44800','02', '11000003','00','Request by Mr. Saqib Saleem 23-Dec-2024 renewal');</v>
      </c>
      <c r="H190" s="70" t="str">
        <f t="shared" si="11"/>
        <v>insert into ins_premium_det (premium_rcv_code,assorted_code, rec_amount,premium_rcv_detail_code,remaining_amt, payrec, mode_code,coinsurance_code,class_cd,it_remarks) values('23Dec240041','070000170203','44800',(select max(to_number(i.premium_rcv_detail_code))+1
from ins_premium_det i),'44800','44800','02', '11000003','00','Request by Mr. Saqib Saleem 23-Dec-2024 renewal');</v>
      </c>
    </row>
    <row r="191" spans="1:8" ht="89.25" x14ac:dyDescent="0.2">
      <c r="A191" t="s">
        <v>2077</v>
      </c>
      <c r="B191" t="str">
        <f>VLOOKUP(A191,policy1!B:C,2,0)</f>
        <v>070000170204</v>
      </c>
      <c r="C191" s="54">
        <v>32200</v>
      </c>
      <c r="D191" s="67">
        <f t="shared" si="9"/>
        <v>32200</v>
      </c>
      <c r="E191" t="s">
        <v>4380</v>
      </c>
      <c r="F191" s="68" t="str">
        <f t="shared" si="8"/>
        <v>insert into ins_premium_det (premium_rcv_code,assorted_code, rec_amount,premium_rcv_detail_code,remaining_amt, payrec, mode_code,coinsurance_code,class_cd,it_remarks) values</v>
      </c>
      <c r="G191" s="69" t="str">
        <f t="shared" si="10"/>
        <v>('23Dec240041','070000170204','32200',(select max(to_number(i.premium_rcv_detail_code))+1
from ins_premium_det i),'32200','32200','02', '11000003','00','Request by Mr. Saqib Saleem 23-Dec-2024 renewal');</v>
      </c>
      <c r="H191" s="70" t="str">
        <f t="shared" si="11"/>
        <v>insert into ins_premium_det (premium_rcv_code,assorted_code, rec_amount,premium_rcv_detail_code,remaining_amt, payrec, mode_code,coinsurance_code,class_cd,it_remarks) values('23Dec240041','070000170204','32200',(select max(to_number(i.premium_rcv_detail_code))+1
from ins_premium_det i),'32200','32200','02', '11000003','00','Request by Mr. Saqib Saleem 23-Dec-2024 renewal');</v>
      </c>
    </row>
    <row r="192" spans="1:8" ht="89.25" x14ac:dyDescent="0.2">
      <c r="A192" t="s">
        <v>2092</v>
      </c>
      <c r="B192" t="str">
        <f>VLOOKUP(A192,policy1!B:C,2,0)</f>
        <v>070000170206</v>
      </c>
      <c r="C192" s="54">
        <v>30281</v>
      </c>
      <c r="D192" s="67">
        <f t="shared" si="9"/>
        <v>30281</v>
      </c>
      <c r="E192" t="s">
        <v>4380</v>
      </c>
      <c r="F192" s="68" t="str">
        <f t="shared" si="8"/>
        <v>insert into ins_premium_det (premium_rcv_code,assorted_code, rec_amount,premium_rcv_detail_code,remaining_amt, payrec, mode_code,coinsurance_code,class_cd,it_remarks) values</v>
      </c>
      <c r="G192" s="69" t="str">
        <f t="shared" si="10"/>
        <v>('23Dec240041','070000170206','30281',(select max(to_number(i.premium_rcv_detail_code))+1
from ins_premium_det i),'30281','30281','02', '11000003','00','Request by Mr. Saqib Saleem 23-Dec-2024 renewal');</v>
      </c>
      <c r="H192" s="70" t="str">
        <f t="shared" si="11"/>
        <v>insert into ins_premium_det (premium_rcv_code,assorted_code, rec_amount,premium_rcv_detail_code,remaining_amt, payrec, mode_code,coinsurance_code,class_cd,it_remarks) values('23Dec240041','070000170206','30281',(select max(to_number(i.premium_rcv_detail_code))+1
from ins_premium_det i),'30281','30281','02', '11000003','00','Request by Mr. Saqib Saleem 23-Dec-2024 renewal');</v>
      </c>
    </row>
    <row r="193" spans="1:8" ht="89.25" x14ac:dyDescent="0.2">
      <c r="A193" t="s">
        <v>44</v>
      </c>
      <c r="B193" t="str">
        <f>VLOOKUP(A193,policy1!B:C,2,0)</f>
        <v>070000169113</v>
      </c>
      <c r="C193" s="59">
        <v>27710</v>
      </c>
      <c r="D193" s="67">
        <f t="shared" si="9"/>
        <v>27710</v>
      </c>
      <c r="E193" t="s">
        <v>4380</v>
      </c>
      <c r="F193" s="68" t="str">
        <f t="shared" si="8"/>
        <v>insert into ins_premium_det (premium_rcv_code,assorted_code, rec_amount,premium_rcv_detail_code,remaining_amt, payrec, mode_code,coinsurance_code,class_cd,it_remarks) values</v>
      </c>
      <c r="G193" s="69" t="str">
        <f t="shared" si="10"/>
        <v>('23Dec240041','070000169113','27710',(select max(to_number(i.premium_rcv_detail_code))+1
from ins_premium_det i),'27710','27710','02', '11000003','00','Request by Mr. Saqib Saleem 23-Dec-2024 renewal');</v>
      </c>
      <c r="H193" s="70" t="str">
        <f t="shared" si="11"/>
        <v>insert into ins_premium_det (premium_rcv_code,assorted_code, rec_amount,premium_rcv_detail_code,remaining_amt, payrec, mode_code,coinsurance_code,class_cd,it_remarks) values('23Dec240041','070000169113','27710',(select max(to_number(i.premium_rcv_detail_code))+1
from ins_premium_det i),'27710','27710','02', '11000003','00','Request by Mr. Saqib Saleem 23-Dec-2024 renewal');</v>
      </c>
    </row>
    <row r="194" spans="1:8" ht="89.25" x14ac:dyDescent="0.2">
      <c r="A194" t="s">
        <v>69</v>
      </c>
      <c r="B194" t="str">
        <f>VLOOKUP(A194,policy1!B:C,2,0)</f>
        <v>070000169115</v>
      </c>
      <c r="C194" s="59">
        <v>40078</v>
      </c>
      <c r="D194" s="67">
        <f t="shared" si="9"/>
        <v>40078</v>
      </c>
      <c r="E194" t="s">
        <v>4380</v>
      </c>
      <c r="F194" s="68" t="str">
        <f t="shared" ref="F194:F195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69" t="str">
        <f t="shared" si="10"/>
        <v>('23Dec240041','070000169115','40078',(select max(to_number(i.premium_rcv_detail_code))+1
from ins_premium_det i),'40078','40078','02', '11000003','00','Request by Mr. Saqib Saleem 23-Dec-2024 renewal');</v>
      </c>
      <c r="H194" s="70" t="str">
        <f t="shared" si="11"/>
        <v>insert into ins_premium_det (premium_rcv_code,assorted_code, rec_amount,premium_rcv_detail_code,remaining_amt, payrec, mode_code,coinsurance_code,class_cd,it_remarks) values('23Dec240041','070000169115','40078',(select max(to_number(i.premium_rcv_detail_code))+1
from ins_premium_det i),'40078','40078','02', '11000003','00','Request by Mr. Saqib Saleem 23-Dec-2024 renewal');</v>
      </c>
    </row>
    <row r="195" spans="1:8" ht="89.25" x14ac:dyDescent="0.2">
      <c r="A195" t="s">
        <v>2899</v>
      </c>
      <c r="B195" t="str">
        <f>VLOOKUP(A195,policy1!B:C,2,0)</f>
        <v>070000165051</v>
      </c>
      <c r="C195" s="59">
        <v>67487</v>
      </c>
      <c r="D195" s="67">
        <f t="shared" ref="D195" si="13">ROUND(C195,0)</f>
        <v>67487</v>
      </c>
      <c r="E195" t="s">
        <v>4380</v>
      </c>
      <c r="F195" s="68" t="str">
        <f t="shared" si="12"/>
        <v>insert into ins_premium_det (premium_rcv_code,assorted_code, rec_amount,premium_rcv_detail_code,remaining_amt, payrec, mode_code,coinsurance_code,class_cd,it_remarks) values</v>
      </c>
      <c r="G195" s="69" t="str">
        <f t="shared" ref="G195" si="14">"('"&amp;E195&amp;"','"&amp;B195&amp;"','"&amp;D195&amp;"',(select max(to_number(i.premium_rcv_detail_code))+1
from ins_premium_det i),'"&amp;D195&amp;"','"&amp;D195&amp;"','02', '11000003','00','Request by Mr. Saqib Saleem 23-Dec-2024 renewal');"</f>
        <v>('23Dec240041','070000165051','67487',(select max(to_number(i.premium_rcv_detail_code))+1
from ins_premium_det i),'67487','67487','02', '11000003','00','Request by Mr. Saqib Saleem 23-Dec-2024 renewal');</v>
      </c>
      <c r="H195" s="70" t="str">
        <f t="shared" ref="H195" si="15">F195&amp;G195</f>
        <v>insert into ins_premium_det (premium_rcv_code,assorted_code, rec_amount,premium_rcv_detail_code,remaining_amt, payrec, mode_code,coinsurance_code,class_cd,it_remarks) values('23Dec240041','070000165051','67487',(select max(to_number(i.premium_rcv_detail_code))+1
from ins_premium_det i),'67487','67487','02', '11000003','00','Request by Mr. Saqib Saleem 23-Dec-2024 renewal');</v>
      </c>
    </row>
    <row r="196" spans="1:8" x14ac:dyDescent="0.2">
      <c r="C196" s="51">
        <f>SUM(C2:C195)</f>
        <v>8113827</v>
      </c>
      <c r="D196" s="51">
        <f>SUM(D2:D195)</f>
        <v>8113827</v>
      </c>
    </row>
  </sheetData>
  <conditionalFormatting sqref="A1">
    <cfRule type="duplicateValues" dxfId="3" priority="1"/>
  </conditionalFormatting>
  <conditionalFormatting sqref="B2:B195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B455-364C-415A-ABF6-202932433DAD}">
  <dimension ref="A2:J195"/>
  <sheetViews>
    <sheetView topLeftCell="A181" workbookViewId="0">
      <selection activeCell="J2" sqref="J2:J195"/>
    </sheetView>
  </sheetViews>
  <sheetFormatPr defaultRowHeight="12.75" x14ac:dyDescent="0.2"/>
  <cols>
    <col min="1" max="1" width="41.140625" bestFit="1" customWidth="1"/>
  </cols>
  <sheetData>
    <row r="2" spans="1:10" x14ac:dyDescent="0.2">
      <c r="A2" t="s">
        <v>593</v>
      </c>
      <c r="B2" t="s">
        <v>4327</v>
      </c>
      <c r="H2">
        <v>102088</v>
      </c>
      <c r="I2" t="s">
        <v>4296</v>
      </c>
      <c r="J2" s="63" t="str">
        <f>"ia.assorted_string like '%"&amp;H2&amp;"-"&amp;I2&amp;B2&amp;"%' or"</f>
        <v>ia.assorted_string like '%102088-00002-11-2024%' or</v>
      </c>
    </row>
    <row r="3" spans="1:10" x14ac:dyDescent="0.2">
      <c r="A3" t="s">
        <v>680</v>
      </c>
      <c r="B3" t="s">
        <v>4327</v>
      </c>
      <c r="H3">
        <v>102088</v>
      </c>
      <c r="I3" t="s">
        <v>4285</v>
      </c>
      <c r="J3" s="63" t="str">
        <f t="shared" ref="J3:J66" si="0">"ia.assorted_string like '%"&amp;H3&amp;"-"&amp;I3&amp;B3&amp;"%' or"</f>
        <v>ia.assorted_string like '%102088-00003-11-2024%' or</v>
      </c>
    </row>
    <row r="4" spans="1:10" x14ac:dyDescent="0.2">
      <c r="A4" t="s">
        <v>771</v>
      </c>
      <c r="B4" t="s">
        <v>4327</v>
      </c>
      <c r="H4">
        <v>102088</v>
      </c>
      <c r="I4" t="s">
        <v>4316</v>
      </c>
      <c r="J4" s="63" t="str">
        <f t="shared" si="0"/>
        <v>ia.assorted_string like '%102088-00004-11-2024%' or</v>
      </c>
    </row>
    <row r="5" spans="1:10" x14ac:dyDescent="0.2">
      <c r="A5" t="s">
        <v>855</v>
      </c>
      <c r="B5" t="s">
        <v>4327</v>
      </c>
      <c r="H5">
        <v>102088</v>
      </c>
      <c r="I5" t="s">
        <v>4283</v>
      </c>
      <c r="J5" s="63" t="str">
        <f t="shared" si="0"/>
        <v>ia.assorted_string like '%102088-00005-11-2024%' or</v>
      </c>
    </row>
    <row r="6" spans="1:10" x14ac:dyDescent="0.2">
      <c r="A6" t="s">
        <v>864</v>
      </c>
      <c r="B6" t="s">
        <v>4327</v>
      </c>
      <c r="H6">
        <v>102088</v>
      </c>
      <c r="I6" t="s">
        <v>4322</v>
      </c>
      <c r="J6" s="63" t="str">
        <f t="shared" si="0"/>
        <v>ia.assorted_string like '%102088-00006-11-2024%' or</v>
      </c>
    </row>
    <row r="7" spans="1:10" x14ac:dyDescent="0.2">
      <c r="A7" t="s">
        <v>872</v>
      </c>
      <c r="B7" t="s">
        <v>4327</v>
      </c>
      <c r="H7">
        <v>102088</v>
      </c>
      <c r="I7" t="s">
        <v>4323</v>
      </c>
      <c r="J7" s="63" t="str">
        <f t="shared" si="0"/>
        <v>ia.assorted_string like '%102088-00007-11-2024%' or</v>
      </c>
    </row>
    <row r="8" spans="1:10" x14ac:dyDescent="0.2">
      <c r="A8" t="s">
        <v>880</v>
      </c>
      <c r="B8" t="s">
        <v>4327</v>
      </c>
      <c r="H8">
        <v>102088</v>
      </c>
      <c r="I8" t="s">
        <v>4324</v>
      </c>
      <c r="J8" s="63" t="str">
        <f t="shared" si="0"/>
        <v>ia.assorted_string like '%102088-00008-11-2024%' or</v>
      </c>
    </row>
    <row r="9" spans="1:10" x14ac:dyDescent="0.2">
      <c r="A9" t="s">
        <v>948</v>
      </c>
      <c r="B9" t="s">
        <v>4327</v>
      </c>
      <c r="H9">
        <v>102191</v>
      </c>
      <c r="I9" t="s">
        <v>4286</v>
      </c>
      <c r="J9" s="63" t="str">
        <f t="shared" si="0"/>
        <v>ia.assorted_string like '%102191-00001-11-2024%' or</v>
      </c>
    </row>
    <row r="10" spans="1:10" x14ac:dyDescent="0.2">
      <c r="A10" t="s">
        <v>888</v>
      </c>
      <c r="B10" t="s">
        <v>4327</v>
      </c>
      <c r="H10">
        <v>102088</v>
      </c>
      <c r="I10" t="s">
        <v>4325</v>
      </c>
      <c r="J10" s="63" t="str">
        <f t="shared" si="0"/>
        <v>ia.assorted_string like '%102088-00009-11-2024%' or</v>
      </c>
    </row>
    <row r="11" spans="1:10" x14ac:dyDescent="0.2">
      <c r="A11" t="s">
        <v>897</v>
      </c>
      <c r="B11" t="s">
        <v>4327</v>
      </c>
      <c r="H11">
        <v>102121</v>
      </c>
      <c r="I11" t="s">
        <v>4286</v>
      </c>
      <c r="J11" s="63" t="str">
        <f t="shared" si="0"/>
        <v>ia.assorted_string like '%102121-00001-11-2024%' or</v>
      </c>
    </row>
    <row r="12" spans="1:10" x14ac:dyDescent="0.2">
      <c r="A12" t="s">
        <v>1034</v>
      </c>
      <c r="B12" t="s">
        <v>4327</v>
      </c>
      <c r="H12">
        <v>102191</v>
      </c>
      <c r="I12" t="s">
        <v>4296</v>
      </c>
      <c r="J12" s="63" t="str">
        <f t="shared" si="0"/>
        <v>ia.assorted_string like '%102191-00002-11-2024%' or</v>
      </c>
    </row>
    <row r="13" spans="1:10" x14ac:dyDescent="0.2">
      <c r="A13" t="s">
        <v>500</v>
      </c>
      <c r="B13" t="s">
        <v>4327</v>
      </c>
      <c r="H13">
        <v>102088</v>
      </c>
      <c r="I13" t="s">
        <v>4286</v>
      </c>
      <c r="J13" s="63" t="str">
        <f t="shared" si="0"/>
        <v>ia.assorted_string like '%102088-00001-11-2024%' or</v>
      </c>
    </row>
    <row r="14" spans="1:10" x14ac:dyDescent="0.2">
      <c r="A14" t="s">
        <v>1271</v>
      </c>
      <c r="B14" t="s">
        <v>4327</v>
      </c>
      <c r="H14">
        <v>102208</v>
      </c>
      <c r="I14" t="s">
        <v>4286</v>
      </c>
      <c r="J14" s="63" t="str">
        <f t="shared" si="0"/>
        <v>ia.assorted_string like '%102208-00001-11-2024%' or</v>
      </c>
    </row>
    <row r="15" spans="1:10" x14ac:dyDescent="0.2">
      <c r="A15" t="s">
        <v>1354</v>
      </c>
      <c r="B15" t="s">
        <v>4327</v>
      </c>
      <c r="H15">
        <v>102208</v>
      </c>
      <c r="I15" t="s">
        <v>4296</v>
      </c>
      <c r="J15" s="63" t="str">
        <f t="shared" si="0"/>
        <v>ia.assorted_string like '%102208-00002-11-2024%' or</v>
      </c>
    </row>
    <row r="16" spans="1:10" x14ac:dyDescent="0.2">
      <c r="A16" t="s">
        <v>1445</v>
      </c>
      <c r="B16" t="s">
        <v>4327</v>
      </c>
      <c r="H16">
        <v>102208</v>
      </c>
      <c r="I16" t="s">
        <v>4285</v>
      </c>
      <c r="J16" s="63" t="str">
        <f t="shared" si="0"/>
        <v>ia.assorted_string like '%102208-00003-11-2024%' or</v>
      </c>
    </row>
    <row r="17" spans="1:10" x14ac:dyDescent="0.2">
      <c r="A17" t="s">
        <v>1534</v>
      </c>
      <c r="B17" t="s">
        <v>4327</v>
      </c>
      <c r="H17">
        <v>102208</v>
      </c>
      <c r="I17" t="s">
        <v>4316</v>
      </c>
      <c r="J17" s="63" t="str">
        <f t="shared" si="0"/>
        <v>ia.assorted_string like '%102208-00004-11-2024%' or</v>
      </c>
    </row>
    <row r="18" spans="1:10" x14ac:dyDescent="0.2">
      <c r="A18" t="s">
        <v>1870</v>
      </c>
      <c r="B18" t="s">
        <v>4327</v>
      </c>
      <c r="H18">
        <v>102212</v>
      </c>
      <c r="I18" t="s">
        <v>4296</v>
      </c>
      <c r="J18" s="63" t="str">
        <f t="shared" si="0"/>
        <v>ia.assorted_string like '%102212-00002-11-2024%' or</v>
      </c>
    </row>
    <row r="19" spans="1:10" x14ac:dyDescent="0.2">
      <c r="A19" t="s">
        <v>2046</v>
      </c>
      <c r="B19" t="s">
        <v>4327</v>
      </c>
      <c r="H19">
        <v>102212</v>
      </c>
      <c r="I19" t="s">
        <v>4316</v>
      </c>
      <c r="J19" s="63" t="str">
        <f t="shared" si="0"/>
        <v>ia.assorted_string like '%102212-00004-11-2024%' or</v>
      </c>
    </row>
    <row r="20" spans="1:10" x14ac:dyDescent="0.2">
      <c r="A20" t="s">
        <v>508</v>
      </c>
      <c r="B20" t="s">
        <v>4327</v>
      </c>
      <c r="H20">
        <v>102088</v>
      </c>
      <c r="I20" t="s">
        <v>4287</v>
      </c>
      <c r="J20" s="63" t="str">
        <f t="shared" si="0"/>
        <v>ia.assorted_string like '%102088-00010-11-2024%' or</v>
      </c>
    </row>
    <row r="21" spans="1:10" x14ac:dyDescent="0.2">
      <c r="A21" t="s">
        <v>543</v>
      </c>
      <c r="B21" t="s">
        <v>4327</v>
      </c>
      <c r="H21">
        <v>102088</v>
      </c>
      <c r="I21" t="s">
        <v>4290</v>
      </c>
      <c r="J21" s="63" t="str">
        <f t="shared" si="0"/>
        <v>ia.assorted_string like '%102088-00014-11-2024%' or</v>
      </c>
    </row>
    <row r="22" spans="1:10" x14ac:dyDescent="0.2">
      <c r="A22" t="s">
        <v>1795</v>
      </c>
      <c r="B22" t="s">
        <v>4327</v>
      </c>
      <c r="H22">
        <v>102212</v>
      </c>
      <c r="I22" t="s">
        <v>4284</v>
      </c>
      <c r="J22" s="63" t="str">
        <f t="shared" si="0"/>
        <v>ia.assorted_string like '%102212-00011-11-2024%' or</v>
      </c>
    </row>
    <row r="23" spans="1:10" x14ac:dyDescent="0.2">
      <c r="A23" t="s">
        <v>524</v>
      </c>
      <c r="B23" t="s">
        <v>4327</v>
      </c>
      <c r="H23">
        <v>102088</v>
      </c>
      <c r="I23" t="s">
        <v>4288</v>
      </c>
      <c r="J23" s="63" t="str">
        <f t="shared" si="0"/>
        <v>ia.assorted_string like '%102088-00012-11-2024%' or</v>
      </c>
    </row>
    <row r="24" spans="1:10" x14ac:dyDescent="0.2">
      <c r="A24" t="s">
        <v>534</v>
      </c>
      <c r="B24" t="s">
        <v>4327</v>
      </c>
      <c r="H24">
        <v>102088</v>
      </c>
      <c r="I24" t="s">
        <v>4289</v>
      </c>
      <c r="J24" s="63" t="str">
        <f t="shared" si="0"/>
        <v>ia.assorted_string like '%102088-00013-11-2024%' or</v>
      </c>
    </row>
    <row r="25" spans="1:10" x14ac:dyDescent="0.2">
      <c r="A25" t="s">
        <v>1122</v>
      </c>
      <c r="B25" t="s">
        <v>4327</v>
      </c>
      <c r="H25">
        <v>102191</v>
      </c>
      <c r="I25" t="s">
        <v>4285</v>
      </c>
      <c r="J25" s="63" t="str">
        <f t="shared" si="0"/>
        <v>ia.assorted_string like '%102191-00003-11-2024%' or</v>
      </c>
    </row>
    <row r="26" spans="1:10" x14ac:dyDescent="0.2">
      <c r="A26" t="s">
        <v>923</v>
      </c>
      <c r="B26" t="s">
        <v>4327</v>
      </c>
      <c r="H26">
        <v>102122</v>
      </c>
      <c r="I26" t="s">
        <v>4286</v>
      </c>
      <c r="J26" s="63" t="str">
        <f t="shared" si="0"/>
        <v>ia.assorted_string like '%102122-00001-11-2024%' or</v>
      </c>
    </row>
    <row r="27" spans="1:10" x14ac:dyDescent="0.2">
      <c r="A27" t="s">
        <v>1713</v>
      </c>
      <c r="B27" t="s">
        <v>4327</v>
      </c>
      <c r="H27">
        <v>102208</v>
      </c>
      <c r="I27" t="s">
        <v>4322</v>
      </c>
      <c r="J27" s="63" t="str">
        <f t="shared" si="0"/>
        <v>ia.assorted_string like '%102208-00006-11-2024%' or</v>
      </c>
    </row>
    <row r="28" spans="1:10" x14ac:dyDescent="0.2">
      <c r="A28" t="s">
        <v>1208</v>
      </c>
      <c r="B28" t="s">
        <v>4327</v>
      </c>
      <c r="H28">
        <v>102191</v>
      </c>
      <c r="I28" t="s">
        <v>4316</v>
      </c>
      <c r="J28" s="63" t="str">
        <f t="shared" si="0"/>
        <v>ia.assorted_string like '%102191-00004-11-2024%' or</v>
      </c>
    </row>
    <row r="29" spans="1:10" x14ac:dyDescent="0.2">
      <c r="A29" t="s">
        <v>1232</v>
      </c>
      <c r="B29" t="s">
        <v>4327</v>
      </c>
      <c r="H29">
        <v>102191</v>
      </c>
      <c r="I29" t="s">
        <v>4283</v>
      </c>
      <c r="J29" s="63" t="str">
        <f t="shared" si="0"/>
        <v>ia.assorted_string like '%102191-00005-11-2024%' or</v>
      </c>
    </row>
    <row r="30" spans="1:10" x14ac:dyDescent="0.2">
      <c r="A30" t="s">
        <v>1753</v>
      </c>
      <c r="B30" t="s">
        <v>4327</v>
      </c>
      <c r="H30">
        <v>102208</v>
      </c>
      <c r="I30" t="s">
        <v>4323</v>
      </c>
      <c r="J30" s="63" t="str">
        <f t="shared" si="0"/>
        <v>ia.assorted_string like '%102208-00007-11-2024%' or</v>
      </c>
    </row>
    <row r="31" spans="1:10" x14ac:dyDescent="0.2">
      <c r="A31" t="s">
        <v>1761</v>
      </c>
      <c r="B31" t="s">
        <v>4327</v>
      </c>
      <c r="H31">
        <v>102208</v>
      </c>
      <c r="I31" t="s">
        <v>4324</v>
      </c>
      <c r="J31" s="63" t="str">
        <f t="shared" si="0"/>
        <v>ia.assorted_string like '%102208-00008-11-2024%' or</v>
      </c>
    </row>
    <row r="32" spans="1:10" x14ac:dyDescent="0.2">
      <c r="A32" t="s">
        <v>932</v>
      </c>
      <c r="B32" t="s">
        <v>4327</v>
      </c>
      <c r="H32">
        <v>102122</v>
      </c>
      <c r="I32" t="s">
        <v>4296</v>
      </c>
      <c r="J32" s="63" t="str">
        <f t="shared" si="0"/>
        <v>ia.assorted_string like '%102122-00002-11-2024%' or</v>
      </c>
    </row>
    <row r="33" spans="1:10" x14ac:dyDescent="0.2">
      <c r="A33" t="s">
        <v>1248</v>
      </c>
      <c r="B33" t="s">
        <v>4327</v>
      </c>
      <c r="H33">
        <v>102191</v>
      </c>
      <c r="I33" t="s">
        <v>4323</v>
      </c>
      <c r="J33" s="63" t="str">
        <f t="shared" si="0"/>
        <v>ia.assorted_string like '%102191-00007-11-2024%' or</v>
      </c>
    </row>
    <row r="34" spans="1:10" x14ac:dyDescent="0.2">
      <c r="A34" t="s">
        <v>1256</v>
      </c>
      <c r="B34" t="s">
        <v>4327</v>
      </c>
      <c r="H34">
        <v>102191</v>
      </c>
      <c r="I34" t="s">
        <v>4324</v>
      </c>
      <c r="J34" s="63" t="str">
        <f t="shared" si="0"/>
        <v>ia.assorted_string like '%102191-00008-11-2024%' or</v>
      </c>
    </row>
    <row r="35" spans="1:10" x14ac:dyDescent="0.2">
      <c r="A35" t="s">
        <v>1278</v>
      </c>
      <c r="B35" t="s">
        <v>4327</v>
      </c>
      <c r="H35">
        <v>102208</v>
      </c>
      <c r="I35" t="s">
        <v>4287</v>
      </c>
      <c r="J35" s="63" t="str">
        <f t="shared" si="0"/>
        <v>ia.assorted_string like '%102208-00010-11-2024%' or</v>
      </c>
    </row>
    <row r="36" spans="1:10" x14ac:dyDescent="0.2">
      <c r="A36" t="s">
        <v>1304</v>
      </c>
      <c r="B36" t="s">
        <v>4327</v>
      </c>
      <c r="H36">
        <v>102208</v>
      </c>
      <c r="I36" t="s">
        <v>4289</v>
      </c>
      <c r="J36" s="63" t="str">
        <f t="shared" si="0"/>
        <v>ia.assorted_string like '%102208-00013-11-2024%' or</v>
      </c>
    </row>
    <row r="37" spans="1:10" x14ac:dyDescent="0.2">
      <c r="A37" t="s">
        <v>1769</v>
      </c>
      <c r="B37" t="s">
        <v>4327</v>
      </c>
      <c r="H37">
        <v>102208</v>
      </c>
      <c r="I37" t="s">
        <v>4325</v>
      </c>
      <c r="J37" s="63" t="str">
        <f t="shared" si="0"/>
        <v>ia.assorted_string like '%102208-00009-11-2024%' or</v>
      </c>
    </row>
    <row r="38" spans="1:10" x14ac:dyDescent="0.2">
      <c r="A38" t="s">
        <v>1286</v>
      </c>
      <c r="B38" t="s">
        <v>4327</v>
      </c>
      <c r="H38">
        <v>102208</v>
      </c>
      <c r="I38" t="s">
        <v>4284</v>
      </c>
      <c r="J38" s="63" t="str">
        <f t="shared" si="0"/>
        <v>ia.assorted_string like '%102208-00011-11-2024%' or</v>
      </c>
    </row>
    <row r="39" spans="1:10" x14ac:dyDescent="0.2">
      <c r="A39" t="s">
        <v>1311</v>
      </c>
      <c r="B39" t="s">
        <v>4327</v>
      </c>
      <c r="H39">
        <v>102208</v>
      </c>
      <c r="I39" t="s">
        <v>4290</v>
      </c>
      <c r="J39" s="63" t="str">
        <f t="shared" si="0"/>
        <v>ia.assorted_string like '%102208-00014-11-2024%' or</v>
      </c>
    </row>
    <row r="40" spans="1:10" x14ac:dyDescent="0.2">
      <c r="A40" t="s">
        <v>1318</v>
      </c>
      <c r="B40" t="s">
        <v>4327</v>
      </c>
      <c r="H40">
        <v>102208</v>
      </c>
      <c r="I40" t="s">
        <v>4291</v>
      </c>
      <c r="J40" s="63" t="str">
        <f t="shared" si="0"/>
        <v>ia.assorted_string like '%102208-00015-11-2024%' or</v>
      </c>
    </row>
    <row r="41" spans="1:10" x14ac:dyDescent="0.2">
      <c r="A41" t="s">
        <v>1787</v>
      </c>
      <c r="B41" t="s">
        <v>4327</v>
      </c>
      <c r="H41">
        <v>102212</v>
      </c>
      <c r="I41" t="s">
        <v>4287</v>
      </c>
      <c r="J41" s="63" t="str">
        <f t="shared" si="0"/>
        <v>ia.assorted_string like '%102212-00010-11-2024%' or</v>
      </c>
    </row>
    <row r="42" spans="1:10" x14ac:dyDescent="0.2">
      <c r="A42" t="s">
        <v>1812</v>
      </c>
      <c r="B42" t="s">
        <v>4327</v>
      </c>
      <c r="H42">
        <v>102212</v>
      </c>
      <c r="I42" t="s">
        <v>4289</v>
      </c>
      <c r="J42" s="63" t="str">
        <f t="shared" si="0"/>
        <v>ia.assorted_string like '%102212-00013-11-2024%' or</v>
      </c>
    </row>
    <row r="43" spans="1:10" x14ac:dyDescent="0.2">
      <c r="A43" t="s">
        <v>2138</v>
      </c>
      <c r="B43" t="s">
        <v>4327</v>
      </c>
      <c r="H43">
        <v>102212</v>
      </c>
      <c r="I43" t="s">
        <v>4325</v>
      </c>
      <c r="J43" s="63" t="str">
        <f t="shared" si="0"/>
        <v>ia.assorted_string like '%102212-00009-11-2024%' or</v>
      </c>
    </row>
    <row r="44" spans="1:10" x14ac:dyDescent="0.2">
      <c r="A44" t="s">
        <v>515</v>
      </c>
      <c r="B44" t="s">
        <v>4327</v>
      </c>
      <c r="H44">
        <v>102088</v>
      </c>
      <c r="I44" t="s">
        <v>4284</v>
      </c>
      <c r="J44" s="63" t="str">
        <f t="shared" si="0"/>
        <v>ia.assorted_string like '%102088-00011-11-2024%' or</v>
      </c>
    </row>
    <row r="45" spans="1:10" x14ac:dyDescent="0.2">
      <c r="A45" t="s">
        <v>551</v>
      </c>
      <c r="B45" t="s">
        <v>4327</v>
      </c>
      <c r="H45">
        <v>102088</v>
      </c>
      <c r="I45" t="s">
        <v>4291</v>
      </c>
      <c r="J45" s="63" t="str">
        <f t="shared" si="0"/>
        <v>ia.assorted_string like '%102088-00015-11-2024%' or</v>
      </c>
    </row>
    <row r="46" spans="1:10" x14ac:dyDescent="0.2">
      <c r="A46" t="s">
        <v>1264</v>
      </c>
      <c r="B46" t="s">
        <v>4327</v>
      </c>
      <c r="H46">
        <v>102191</v>
      </c>
      <c r="I46" t="s">
        <v>4325</v>
      </c>
      <c r="J46" s="63" t="str">
        <f t="shared" si="0"/>
        <v>ia.assorted_string like '%102191-00009-11-2024%' or</v>
      </c>
    </row>
    <row r="47" spans="1:10" x14ac:dyDescent="0.2">
      <c r="A47" t="s">
        <v>560</v>
      </c>
      <c r="B47" t="s">
        <v>4327</v>
      </c>
      <c r="H47">
        <v>102088</v>
      </c>
      <c r="I47" t="s">
        <v>4292</v>
      </c>
      <c r="J47" s="63" t="str">
        <f t="shared" si="0"/>
        <v>ia.assorted_string like '%102088-00016-11-2024%' or</v>
      </c>
    </row>
    <row r="48" spans="1:10" x14ac:dyDescent="0.2">
      <c r="A48" t="s">
        <v>1331</v>
      </c>
      <c r="B48" t="s">
        <v>4327</v>
      </c>
      <c r="H48">
        <v>102208</v>
      </c>
      <c r="I48" t="s">
        <v>4293</v>
      </c>
      <c r="J48" s="63" t="str">
        <f t="shared" si="0"/>
        <v>ia.assorted_string like '%102208-00017-11-2024%' or</v>
      </c>
    </row>
    <row r="49" spans="1:10" x14ac:dyDescent="0.2">
      <c r="A49" t="s">
        <v>1386</v>
      </c>
      <c r="B49" t="s">
        <v>4327</v>
      </c>
      <c r="H49">
        <v>102208</v>
      </c>
      <c r="I49" t="s">
        <v>4299</v>
      </c>
      <c r="J49" s="63" t="str">
        <f t="shared" si="0"/>
        <v>ia.assorted_string like '%102208-00023-11-2024%' or</v>
      </c>
    </row>
    <row r="50" spans="1:10" x14ac:dyDescent="0.2">
      <c r="A50" t="s">
        <v>1845</v>
      </c>
      <c r="B50" t="s">
        <v>4327</v>
      </c>
      <c r="H50">
        <v>102212</v>
      </c>
      <c r="I50" t="s">
        <v>4293</v>
      </c>
      <c r="J50" s="63" t="str">
        <f t="shared" si="0"/>
        <v>ia.assorted_string like '%102212-00017-11-2024%' or</v>
      </c>
    </row>
    <row r="51" spans="1:10" x14ac:dyDescent="0.2">
      <c r="A51" t="s">
        <v>569</v>
      </c>
      <c r="B51" t="s">
        <v>4327</v>
      </c>
      <c r="H51">
        <v>102088</v>
      </c>
      <c r="I51" t="s">
        <v>4293</v>
      </c>
      <c r="J51" s="63" t="str">
        <f t="shared" si="0"/>
        <v>ia.assorted_string like '%102088-00017-11-2024%' or</v>
      </c>
    </row>
    <row r="52" spans="1:10" x14ac:dyDescent="0.2">
      <c r="A52" t="s">
        <v>838</v>
      </c>
      <c r="B52" t="s">
        <v>4327</v>
      </c>
      <c r="H52">
        <v>102088</v>
      </c>
      <c r="I52" t="s">
        <v>4383</v>
      </c>
      <c r="J52" s="63" t="str">
        <f t="shared" si="0"/>
        <v>ia.assorted_string like '%102088-00047-11-2024%' or</v>
      </c>
    </row>
    <row r="53" spans="1:10" x14ac:dyDescent="0.2">
      <c r="A53" t="s">
        <v>964</v>
      </c>
      <c r="B53" t="s">
        <v>4327</v>
      </c>
      <c r="H53">
        <v>102191</v>
      </c>
      <c r="I53" t="s">
        <v>4284</v>
      </c>
      <c r="J53" s="63" t="str">
        <f t="shared" si="0"/>
        <v>ia.assorted_string like '%102191-00011-11-2024%' or</v>
      </c>
    </row>
    <row r="54" spans="1:10" x14ac:dyDescent="0.2">
      <c r="A54" t="s">
        <v>972</v>
      </c>
      <c r="B54" t="s">
        <v>4327</v>
      </c>
      <c r="H54">
        <v>102191</v>
      </c>
      <c r="I54" t="s">
        <v>4288</v>
      </c>
      <c r="J54" s="63" t="str">
        <f t="shared" si="0"/>
        <v>ia.assorted_string like '%102191-00012-11-2024%' or</v>
      </c>
    </row>
    <row r="55" spans="1:10" x14ac:dyDescent="0.2">
      <c r="A55" t="s">
        <v>980</v>
      </c>
      <c r="B55" t="s">
        <v>4327</v>
      </c>
      <c r="H55">
        <v>102191</v>
      </c>
      <c r="I55" t="s">
        <v>4289</v>
      </c>
      <c r="J55" s="63" t="str">
        <f t="shared" si="0"/>
        <v>ia.assorted_string like '%102191-00013-11-2024%' or</v>
      </c>
    </row>
    <row r="56" spans="1:10" x14ac:dyDescent="0.2">
      <c r="A56" t="s">
        <v>1338</v>
      </c>
      <c r="B56" t="s">
        <v>4327</v>
      </c>
      <c r="H56">
        <v>102208</v>
      </c>
      <c r="I56" t="s">
        <v>4294</v>
      </c>
      <c r="J56" s="63" t="str">
        <f t="shared" si="0"/>
        <v>ia.assorted_string like '%102208-00018-11-2024%' or</v>
      </c>
    </row>
    <row r="57" spans="1:10" x14ac:dyDescent="0.2">
      <c r="A57" t="s">
        <v>1346</v>
      </c>
      <c r="B57" t="s">
        <v>4327</v>
      </c>
      <c r="H57">
        <v>102208</v>
      </c>
      <c r="I57" t="s">
        <v>4295</v>
      </c>
      <c r="J57" s="63" t="str">
        <f t="shared" si="0"/>
        <v>ia.assorted_string like '%102208-00019-11-2024%' or</v>
      </c>
    </row>
    <row r="58" spans="1:10" x14ac:dyDescent="0.2">
      <c r="A58" t="s">
        <v>1362</v>
      </c>
      <c r="B58" t="s">
        <v>4327</v>
      </c>
      <c r="H58">
        <v>102208</v>
      </c>
      <c r="I58" t="s">
        <v>4297</v>
      </c>
      <c r="J58" s="63" t="str">
        <f t="shared" si="0"/>
        <v>ia.assorted_string like '%102208-00020-11-2024%' or</v>
      </c>
    </row>
    <row r="59" spans="1:10" x14ac:dyDescent="0.2">
      <c r="A59" t="s">
        <v>1370</v>
      </c>
      <c r="B59" t="s">
        <v>4327</v>
      </c>
      <c r="H59">
        <v>102208</v>
      </c>
      <c r="I59" t="s">
        <v>4298</v>
      </c>
      <c r="J59" s="63" t="str">
        <f t="shared" si="0"/>
        <v>ia.assorted_string like '%102208-00021-11-2024%' or</v>
      </c>
    </row>
    <row r="60" spans="1:10" x14ac:dyDescent="0.2">
      <c r="A60" t="s">
        <v>1378</v>
      </c>
      <c r="B60" t="s">
        <v>4327</v>
      </c>
      <c r="H60">
        <v>102208</v>
      </c>
      <c r="I60" t="s">
        <v>4282</v>
      </c>
      <c r="J60" s="63" t="str">
        <f t="shared" si="0"/>
        <v>ia.assorted_string like '%102208-00022-11-2024%' or</v>
      </c>
    </row>
    <row r="61" spans="1:10" x14ac:dyDescent="0.2">
      <c r="A61" t="s">
        <v>1395</v>
      </c>
      <c r="B61" t="s">
        <v>4327</v>
      </c>
      <c r="H61">
        <v>102208</v>
      </c>
      <c r="I61" t="s">
        <v>4300</v>
      </c>
      <c r="J61" s="63" t="str">
        <f t="shared" si="0"/>
        <v>ia.assorted_string like '%102208-00024-11-2024%' or</v>
      </c>
    </row>
    <row r="62" spans="1:10" x14ac:dyDescent="0.2">
      <c r="A62" t="s">
        <v>1403</v>
      </c>
      <c r="B62" t="s">
        <v>4327</v>
      </c>
      <c r="H62">
        <v>102208</v>
      </c>
      <c r="I62" t="s">
        <v>4301</v>
      </c>
      <c r="J62" s="63" t="str">
        <f t="shared" si="0"/>
        <v>ia.assorted_string like '%102208-00025-11-2024%' or</v>
      </c>
    </row>
    <row r="63" spans="1:10" x14ac:dyDescent="0.2">
      <c r="A63" t="s">
        <v>1828</v>
      </c>
      <c r="B63" t="s">
        <v>4327</v>
      </c>
      <c r="H63">
        <v>102212</v>
      </c>
      <c r="I63" t="s">
        <v>4291</v>
      </c>
      <c r="J63" s="63" t="str">
        <f t="shared" si="0"/>
        <v>ia.assorted_string like '%102212-00015-11-2024%' or</v>
      </c>
    </row>
    <row r="64" spans="1:10" x14ac:dyDescent="0.2">
      <c r="A64" t="s">
        <v>1861</v>
      </c>
      <c r="B64" t="s">
        <v>4327</v>
      </c>
      <c r="H64">
        <v>102212</v>
      </c>
      <c r="I64" t="s">
        <v>4295</v>
      </c>
      <c r="J64" s="63" t="str">
        <f t="shared" si="0"/>
        <v>ia.assorted_string like '%102212-00019-11-2024%' or</v>
      </c>
    </row>
    <row r="65" spans="1:10" x14ac:dyDescent="0.2">
      <c r="A65" t="s">
        <v>988</v>
      </c>
      <c r="B65" t="s">
        <v>4327</v>
      </c>
      <c r="H65">
        <v>102191</v>
      </c>
      <c r="I65" t="s">
        <v>4290</v>
      </c>
      <c r="J65" s="63" t="str">
        <f t="shared" si="0"/>
        <v>ia.assorted_string like '%102191-00014-11-2024%' or</v>
      </c>
    </row>
    <row r="66" spans="1:10" x14ac:dyDescent="0.2">
      <c r="A66" t="s">
        <v>1411</v>
      </c>
      <c r="B66" t="s">
        <v>4327</v>
      </c>
      <c r="H66">
        <v>102208</v>
      </c>
      <c r="I66" t="s">
        <v>4302</v>
      </c>
      <c r="J66" s="63" t="str">
        <f t="shared" si="0"/>
        <v>ia.assorted_string like '%102208-00026-11-2024%' or</v>
      </c>
    </row>
    <row r="67" spans="1:10" x14ac:dyDescent="0.2">
      <c r="A67" t="s">
        <v>1420</v>
      </c>
      <c r="B67" t="s">
        <v>4327</v>
      </c>
      <c r="H67">
        <v>102208</v>
      </c>
      <c r="I67" t="s">
        <v>4303</v>
      </c>
      <c r="J67" s="63" t="str">
        <f t="shared" ref="J67:J130" si="1">"ia.assorted_string like '%"&amp;H67&amp;"-"&amp;I67&amp;B67&amp;"%' or"</f>
        <v>ia.assorted_string like '%102208-00027-11-2024%' or</v>
      </c>
    </row>
    <row r="68" spans="1:10" x14ac:dyDescent="0.2">
      <c r="A68" t="s">
        <v>1486</v>
      </c>
      <c r="B68" t="s">
        <v>4327</v>
      </c>
      <c r="H68">
        <v>102208</v>
      </c>
      <c r="I68" t="s">
        <v>4310</v>
      </c>
      <c r="J68" s="63" t="str">
        <f t="shared" si="1"/>
        <v>ia.assorted_string like '%102208-00034-11-2024%' or</v>
      </c>
    </row>
    <row r="69" spans="1:10" x14ac:dyDescent="0.2">
      <c r="A69" t="s">
        <v>1804</v>
      </c>
      <c r="B69" t="s">
        <v>4327</v>
      </c>
      <c r="H69">
        <v>102212</v>
      </c>
      <c r="I69" t="s">
        <v>4288</v>
      </c>
      <c r="J69" s="63" t="str">
        <f t="shared" si="1"/>
        <v>ia.assorted_string like '%102212-00012-11-2024%' or</v>
      </c>
    </row>
    <row r="70" spans="1:10" x14ac:dyDescent="0.2">
      <c r="A70" t="s">
        <v>1820</v>
      </c>
      <c r="B70" t="s">
        <v>4327</v>
      </c>
      <c r="H70">
        <v>102212</v>
      </c>
      <c r="I70" t="s">
        <v>4290</v>
      </c>
      <c r="J70" s="63" t="str">
        <f t="shared" si="1"/>
        <v>ia.assorted_string like '%102212-00014-11-2024%' or</v>
      </c>
    </row>
    <row r="71" spans="1:10" x14ac:dyDescent="0.2">
      <c r="A71" t="s">
        <v>1295</v>
      </c>
      <c r="B71" t="s">
        <v>4327</v>
      </c>
      <c r="H71">
        <v>102208</v>
      </c>
      <c r="I71" t="s">
        <v>4288</v>
      </c>
      <c r="J71" s="63" t="str">
        <f t="shared" si="1"/>
        <v>ia.assorted_string like '%102208-00012-11-2024%' or</v>
      </c>
    </row>
    <row r="72" spans="1:10" x14ac:dyDescent="0.2">
      <c r="A72" t="s">
        <v>1878</v>
      </c>
      <c r="B72" t="s">
        <v>4327</v>
      </c>
      <c r="H72">
        <v>102212</v>
      </c>
      <c r="I72" t="s">
        <v>4297</v>
      </c>
      <c r="J72" s="63" t="str">
        <f t="shared" si="1"/>
        <v>ia.assorted_string like '%102212-00020-11-2024%' or</v>
      </c>
    </row>
    <row r="73" spans="1:10" x14ac:dyDescent="0.2">
      <c r="A73" t="s">
        <v>585</v>
      </c>
      <c r="B73" t="s">
        <v>4327</v>
      </c>
      <c r="H73">
        <v>102088</v>
      </c>
      <c r="I73" t="s">
        <v>4295</v>
      </c>
      <c r="J73" s="63" t="str">
        <f t="shared" si="1"/>
        <v>ia.assorted_string like '%102088-00019-11-2024%' or</v>
      </c>
    </row>
    <row r="74" spans="1:10" x14ac:dyDescent="0.2">
      <c r="A74" t="s">
        <v>601</v>
      </c>
      <c r="B74" t="s">
        <v>4327</v>
      </c>
      <c r="H74">
        <v>102088</v>
      </c>
      <c r="I74" t="s">
        <v>4297</v>
      </c>
      <c r="J74" s="63" t="str">
        <f t="shared" si="1"/>
        <v>ia.assorted_string like '%102088-00020-11-2024%' or</v>
      </c>
    </row>
    <row r="75" spans="1:10" x14ac:dyDescent="0.2">
      <c r="A75" t="s">
        <v>1836</v>
      </c>
      <c r="B75" t="s">
        <v>4327</v>
      </c>
      <c r="H75">
        <v>102212</v>
      </c>
      <c r="I75" t="s">
        <v>4292</v>
      </c>
      <c r="J75" s="63" t="str">
        <f t="shared" si="1"/>
        <v>ia.assorted_string like '%102212-00016-11-2024%' or</v>
      </c>
    </row>
    <row r="76" spans="1:10" x14ac:dyDescent="0.2">
      <c r="A76" t="s">
        <v>1853</v>
      </c>
      <c r="B76" t="s">
        <v>4327</v>
      </c>
      <c r="H76">
        <v>102212</v>
      </c>
      <c r="I76" t="s">
        <v>4294</v>
      </c>
      <c r="J76" s="63" t="str">
        <f t="shared" si="1"/>
        <v>ia.assorted_string like '%102212-00018-11-2024%' or</v>
      </c>
    </row>
    <row r="77" spans="1:10" x14ac:dyDescent="0.2">
      <c r="A77" t="s">
        <v>1886</v>
      </c>
      <c r="B77" t="s">
        <v>4327</v>
      </c>
      <c r="H77">
        <v>102212</v>
      </c>
      <c r="I77" t="s">
        <v>4298</v>
      </c>
      <c r="J77" s="63" t="str">
        <f t="shared" si="1"/>
        <v>ia.assorted_string like '%102212-00021-11-2024%' or</v>
      </c>
    </row>
    <row r="78" spans="1:10" x14ac:dyDescent="0.2">
      <c r="A78" t="s">
        <v>1894</v>
      </c>
      <c r="B78" t="s">
        <v>4327</v>
      </c>
      <c r="H78">
        <v>102212</v>
      </c>
      <c r="I78" t="s">
        <v>4282</v>
      </c>
      <c r="J78" s="63" t="str">
        <f t="shared" si="1"/>
        <v>ia.assorted_string like '%102212-00022-11-2024%' or</v>
      </c>
    </row>
    <row r="79" spans="1:10" x14ac:dyDescent="0.2">
      <c r="A79" t="s">
        <v>1912</v>
      </c>
      <c r="B79" t="s">
        <v>4327</v>
      </c>
      <c r="H79">
        <v>102212</v>
      </c>
      <c r="I79" t="s">
        <v>4300</v>
      </c>
      <c r="J79" s="63" t="str">
        <f t="shared" si="1"/>
        <v>ia.assorted_string like '%102212-00024-11-2024%' or</v>
      </c>
    </row>
    <row r="80" spans="1:10" x14ac:dyDescent="0.2">
      <c r="A80" t="s">
        <v>1936</v>
      </c>
      <c r="B80" t="s">
        <v>4327</v>
      </c>
      <c r="H80">
        <v>102212</v>
      </c>
      <c r="I80" t="s">
        <v>4303</v>
      </c>
      <c r="J80" s="63" t="str">
        <f t="shared" si="1"/>
        <v>ia.assorted_string like '%102212-00027-11-2024%' or</v>
      </c>
    </row>
    <row r="81" spans="1:10" x14ac:dyDescent="0.2">
      <c r="A81" t="s">
        <v>2084</v>
      </c>
      <c r="B81" t="s">
        <v>4327</v>
      </c>
      <c r="H81">
        <v>102212</v>
      </c>
      <c r="I81" t="s">
        <v>4384</v>
      </c>
      <c r="J81" s="63" t="str">
        <f t="shared" si="1"/>
        <v>ia.assorted_string like '%102212-00044-11-2024%' or</v>
      </c>
    </row>
    <row r="82" spans="1:10" x14ac:dyDescent="0.2">
      <c r="A82" t="s">
        <v>2122</v>
      </c>
      <c r="B82" t="s">
        <v>4327</v>
      </c>
      <c r="H82">
        <v>102212</v>
      </c>
      <c r="I82" t="s">
        <v>4323</v>
      </c>
      <c r="J82" s="63" t="str">
        <f t="shared" si="1"/>
        <v>ia.assorted_string like '%102212-00007-11-2024%' or</v>
      </c>
    </row>
    <row r="83" spans="1:10" x14ac:dyDescent="0.2">
      <c r="A83" t="s">
        <v>609</v>
      </c>
      <c r="B83" t="s">
        <v>4327</v>
      </c>
      <c r="H83">
        <v>102088</v>
      </c>
      <c r="I83" t="s">
        <v>4298</v>
      </c>
      <c r="J83" s="63" t="str">
        <f t="shared" si="1"/>
        <v>ia.assorted_string like '%102088-00021-11-2024%' or</v>
      </c>
    </row>
    <row r="84" spans="1:10" x14ac:dyDescent="0.2">
      <c r="A84" t="s">
        <v>616</v>
      </c>
      <c r="B84" t="s">
        <v>4327</v>
      </c>
      <c r="H84">
        <v>102088</v>
      </c>
      <c r="I84" t="s">
        <v>4282</v>
      </c>
      <c r="J84" s="63" t="str">
        <f t="shared" si="1"/>
        <v>ia.assorted_string like '%102088-00022-11-2024%' or</v>
      </c>
    </row>
    <row r="85" spans="1:10" x14ac:dyDescent="0.2">
      <c r="A85" t="s">
        <v>995</v>
      </c>
      <c r="B85" t="s">
        <v>4327</v>
      </c>
      <c r="H85">
        <v>102191</v>
      </c>
      <c r="I85" t="s">
        <v>4291</v>
      </c>
      <c r="J85" s="63" t="str">
        <f t="shared" si="1"/>
        <v>ia.assorted_string like '%102191-00015-11-2024%' or</v>
      </c>
    </row>
    <row r="86" spans="1:10" x14ac:dyDescent="0.2">
      <c r="A86" t="s">
        <v>1003</v>
      </c>
      <c r="B86" t="s">
        <v>4327</v>
      </c>
      <c r="H86">
        <v>102191</v>
      </c>
      <c r="I86" t="s">
        <v>4292</v>
      </c>
      <c r="J86" s="63" t="str">
        <f t="shared" si="1"/>
        <v>ia.assorted_string like '%102191-00016-11-2024%' or</v>
      </c>
    </row>
    <row r="87" spans="1:10" x14ac:dyDescent="0.2">
      <c r="A87" t="s">
        <v>1011</v>
      </c>
      <c r="B87" t="s">
        <v>4327</v>
      </c>
      <c r="H87">
        <v>102191</v>
      </c>
      <c r="I87" t="s">
        <v>4293</v>
      </c>
      <c r="J87" s="63" t="str">
        <f t="shared" si="1"/>
        <v>ia.assorted_string like '%102191-00017-11-2024%' or</v>
      </c>
    </row>
    <row r="88" spans="1:10" x14ac:dyDescent="0.2">
      <c r="A88" t="s">
        <v>1018</v>
      </c>
      <c r="B88" t="s">
        <v>4327</v>
      </c>
      <c r="H88">
        <v>102191</v>
      </c>
      <c r="I88" t="s">
        <v>4294</v>
      </c>
      <c r="J88" s="63" t="str">
        <f t="shared" si="1"/>
        <v>ia.assorted_string like '%102191-00018-11-2024%' or</v>
      </c>
    </row>
    <row r="89" spans="1:10" x14ac:dyDescent="0.2">
      <c r="A89" t="s">
        <v>1026</v>
      </c>
      <c r="B89" t="s">
        <v>4327</v>
      </c>
      <c r="H89">
        <v>102191</v>
      </c>
      <c r="I89" t="s">
        <v>4295</v>
      </c>
      <c r="J89" s="63" t="str">
        <f t="shared" si="1"/>
        <v>ia.assorted_string like '%102191-00019-11-2024%' or</v>
      </c>
    </row>
    <row r="90" spans="1:10" x14ac:dyDescent="0.2">
      <c r="A90" t="s">
        <v>633</v>
      </c>
      <c r="B90" t="s">
        <v>4327</v>
      </c>
      <c r="H90">
        <v>102088</v>
      </c>
      <c r="I90" t="s">
        <v>4300</v>
      </c>
      <c r="J90" s="63" t="str">
        <f t="shared" si="1"/>
        <v>ia.assorted_string like '%102088-00024-11-2024%' or</v>
      </c>
    </row>
    <row r="91" spans="1:10" x14ac:dyDescent="0.2">
      <c r="A91" t="s">
        <v>641</v>
      </c>
      <c r="B91" t="s">
        <v>4327</v>
      </c>
      <c r="H91">
        <v>102088</v>
      </c>
      <c r="I91" t="s">
        <v>4301</v>
      </c>
      <c r="J91" s="63" t="str">
        <f t="shared" si="1"/>
        <v>ia.assorted_string like '%102088-00025-11-2024%' or</v>
      </c>
    </row>
    <row r="92" spans="1:10" x14ac:dyDescent="0.2">
      <c r="A92" t="s">
        <v>1438</v>
      </c>
      <c r="B92" t="s">
        <v>4327</v>
      </c>
      <c r="H92">
        <v>102208</v>
      </c>
      <c r="I92" t="s">
        <v>4305</v>
      </c>
      <c r="J92" s="63" t="str">
        <f t="shared" si="1"/>
        <v>ia.assorted_string like '%102208-00029-11-2024%' or</v>
      </c>
    </row>
    <row r="93" spans="1:10" x14ac:dyDescent="0.2">
      <c r="A93" t="s">
        <v>1574</v>
      </c>
      <c r="B93" t="s">
        <v>4327</v>
      </c>
      <c r="H93">
        <v>102208</v>
      </c>
      <c r="I93" t="s">
        <v>4384</v>
      </c>
      <c r="J93" s="63" t="str">
        <f t="shared" si="1"/>
        <v>ia.assorted_string like '%102208-00044-11-2024%' or</v>
      </c>
    </row>
    <row r="94" spans="1:10" x14ac:dyDescent="0.2">
      <c r="A94" t="s">
        <v>647</v>
      </c>
      <c r="B94" t="s">
        <v>4327</v>
      </c>
      <c r="H94">
        <v>102088</v>
      </c>
      <c r="I94" t="s">
        <v>4302</v>
      </c>
      <c r="J94" s="63" t="str">
        <f t="shared" si="1"/>
        <v>ia.assorted_string like '%102088-00026-11-2024%' or</v>
      </c>
    </row>
    <row r="95" spans="1:10" x14ac:dyDescent="0.2">
      <c r="A95" t="s">
        <v>655</v>
      </c>
      <c r="B95" t="s">
        <v>4327</v>
      </c>
      <c r="H95">
        <v>102088</v>
      </c>
      <c r="I95" t="s">
        <v>4303</v>
      </c>
      <c r="J95" s="63" t="str">
        <f t="shared" si="1"/>
        <v>ia.assorted_string like '%102088-00027-11-2024%' or</v>
      </c>
    </row>
    <row r="96" spans="1:10" x14ac:dyDescent="0.2">
      <c r="A96" t="s">
        <v>663</v>
      </c>
      <c r="B96" t="s">
        <v>4327</v>
      </c>
      <c r="H96">
        <v>102088</v>
      </c>
      <c r="I96" t="s">
        <v>4304</v>
      </c>
      <c r="J96" s="63" t="str">
        <f t="shared" si="1"/>
        <v>ia.assorted_string like '%102088-00028-11-2024%' or</v>
      </c>
    </row>
    <row r="97" spans="1:10" x14ac:dyDescent="0.2">
      <c r="A97" t="s">
        <v>1453</v>
      </c>
      <c r="B97" t="s">
        <v>4327</v>
      </c>
      <c r="H97">
        <v>102208</v>
      </c>
      <c r="I97" t="s">
        <v>4306</v>
      </c>
      <c r="J97" s="63" t="str">
        <f t="shared" si="1"/>
        <v>ia.assorted_string like '%102208-00030-11-2024%' or</v>
      </c>
    </row>
    <row r="98" spans="1:10" x14ac:dyDescent="0.2">
      <c r="A98" t="s">
        <v>1461</v>
      </c>
      <c r="B98" t="s">
        <v>4327</v>
      </c>
      <c r="H98">
        <v>102208</v>
      </c>
      <c r="I98" t="s">
        <v>4307</v>
      </c>
      <c r="J98" s="63" t="str">
        <f t="shared" si="1"/>
        <v>ia.assorted_string like '%102208-00031-11-2024%' or</v>
      </c>
    </row>
    <row r="99" spans="1:10" x14ac:dyDescent="0.2">
      <c r="A99" t="s">
        <v>1468</v>
      </c>
      <c r="B99" t="s">
        <v>4327</v>
      </c>
      <c r="H99">
        <v>102208</v>
      </c>
      <c r="I99" t="s">
        <v>4308</v>
      </c>
      <c r="J99" s="63" t="str">
        <f t="shared" si="1"/>
        <v>ia.assorted_string like '%102208-00032-11-2024%' or</v>
      </c>
    </row>
    <row r="100" spans="1:10" x14ac:dyDescent="0.2">
      <c r="A100" t="s">
        <v>1477</v>
      </c>
      <c r="B100" t="s">
        <v>4327</v>
      </c>
      <c r="H100">
        <v>102208</v>
      </c>
      <c r="I100" t="s">
        <v>4309</v>
      </c>
      <c r="J100" s="63" t="str">
        <f t="shared" si="1"/>
        <v>ia.assorted_string like '%102208-00033-11-2024%' or</v>
      </c>
    </row>
    <row r="101" spans="1:10" x14ac:dyDescent="0.2">
      <c r="A101" t="s">
        <v>1494</v>
      </c>
      <c r="B101" t="s">
        <v>4327</v>
      </c>
      <c r="H101">
        <v>102208</v>
      </c>
      <c r="I101" t="s">
        <v>4311</v>
      </c>
      <c r="J101" s="63" t="str">
        <f t="shared" si="1"/>
        <v>ia.assorted_string like '%102208-00035-11-2024%' or</v>
      </c>
    </row>
    <row r="102" spans="1:10" x14ac:dyDescent="0.2">
      <c r="A102" t="s">
        <v>1502</v>
      </c>
      <c r="B102" t="s">
        <v>4327</v>
      </c>
      <c r="H102">
        <v>102208</v>
      </c>
      <c r="I102" t="s">
        <v>4312</v>
      </c>
      <c r="J102" s="63" t="str">
        <f t="shared" si="1"/>
        <v>ia.assorted_string like '%102208-00036-11-2024%' or</v>
      </c>
    </row>
    <row r="103" spans="1:10" x14ac:dyDescent="0.2">
      <c r="A103" t="s">
        <v>1510</v>
      </c>
      <c r="B103" t="s">
        <v>4327</v>
      </c>
      <c r="H103">
        <v>102208</v>
      </c>
      <c r="I103" t="s">
        <v>4313</v>
      </c>
      <c r="J103" s="63" t="str">
        <f t="shared" si="1"/>
        <v>ia.assorted_string like '%102208-00037-11-2024%' or</v>
      </c>
    </row>
    <row r="104" spans="1:10" x14ac:dyDescent="0.2">
      <c r="A104" t="s">
        <v>1518</v>
      </c>
      <c r="B104" t="s">
        <v>4327</v>
      </c>
      <c r="H104">
        <v>102208</v>
      </c>
      <c r="I104" t="s">
        <v>4314</v>
      </c>
      <c r="J104" s="63" t="str">
        <f t="shared" si="1"/>
        <v>ia.assorted_string like '%102208-00038-11-2024%' or</v>
      </c>
    </row>
    <row r="105" spans="1:10" x14ac:dyDescent="0.2">
      <c r="A105" t="s">
        <v>1526</v>
      </c>
      <c r="B105" t="s">
        <v>4327</v>
      </c>
      <c r="H105">
        <v>102208</v>
      </c>
      <c r="I105" t="s">
        <v>4315</v>
      </c>
      <c r="J105" s="63" t="str">
        <f t="shared" si="1"/>
        <v>ia.assorted_string like '%102208-00039-11-2024%' or</v>
      </c>
    </row>
    <row r="106" spans="1:10" x14ac:dyDescent="0.2">
      <c r="A106" t="s">
        <v>1542</v>
      </c>
      <c r="B106" t="s">
        <v>4327</v>
      </c>
      <c r="H106">
        <v>102208</v>
      </c>
      <c r="I106" t="s">
        <v>4317</v>
      </c>
      <c r="J106" s="63" t="str">
        <f t="shared" si="1"/>
        <v>ia.assorted_string like '%102208-00040-11-2024%' or</v>
      </c>
    </row>
    <row r="107" spans="1:10" x14ac:dyDescent="0.2">
      <c r="A107" t="s">
        <v>1951</v>
      </c>
      <c r="B107" t="s">
        <v>4327</v>
      </c>
      <c r="H107">
        <v>102212</v>
      </c>
      <c r="I107" t="s">
        <v>4305</v>
      </c>
      <c r="J107" s="63" t="str">
        <f t="shared" si="1"/>
        <v>ia.assorted_string like '%102212-00029-11-2024%' or</v>
      </c>
    </row>
    <row r="108" spans="1:10" x14ac:dyDescent="0.2">
      <c r="A108" t="s">
        <v>2131</v>
      </c>
      <c r="B108" t="s">
        <v>4327</v>
      </c>
      <c r="H108">
        <v>102212</v>
      </c>
      <c r="I108" t="s">
        <v>4324</v>
      </c>
      <c r="J108" s="63" t="str">
        <f t="shared" si="1"/>
        <v>ia.assorted_string like '%102212-00008-11-2024%' or</v>
      </c>
    </row>
    <row r="109" spans="1:10" x14ac:dyDescent="0.2">
      <c r="A109" t="s">
        <v>672</v>
      </c>
      <c r="B109" t="s">
        <v>4327</v>
      </c>
      <c r="H109">
        <v>102088</v>
      </c>
      <c r="I109" t="s">
        <v>4305</v>
      </c>
      <c r="J109" s="63" t="str">
        <f t="shared" si="1"/>
        <v>ia.assorted_string like '%102088-00029-11-2024%' or</v>
      </c>
    </row>
    <row r="110" spans="1:10" x14ac:dyDescent="0.2">
      <c r="A110" t="s">
        <v>1041</v>
      </c>
      <c r="B110" t="s">
        <v>4327</v>
      </c>
      <c r="H110">
        <v>102191</v>
      </c>
      <c r="I110" t="s">
        <v>4297</v>
      </c>
      <c r="J110" s="63" t="str">
        <f t="shared" si="1"/>
        <v>ia.assorted_string like '%102191-00020-11-2024%' or</v>
      </c>
    </row>
    <row r="111" spans="1:10" x14ac:dyDescent="0.2">
      <c r="A111" t="s">
        <v>1550</v>
      </c>
      <c r="B111" t="s">
        <v>4327</v>
      </c>
      <c r="H111">
        <v>102208</v>
      </c>
      <c r="I111" t="s">
        <v>4318</v>
      </c>
      <c r="J111" s="63" t="str">
        <f t="shared" si="1"/>
        <v>ia.assorted_string like '%102208-00041-11-2024%' or</v>
      </c>
    </row>
    <row r="112" spans="1:10" x14ac:dyDescent="0.2">
      <c r="A112" t="s">
        <v>1557</v>
      </c>
      <c r="B112" t="s">
        <v>4327</v>
      </c>
      <c r="H112">
        <v>102208</v>
      </c>
      <c r="I112" t="s">
        <v>4319</v>
      </c>
      <c r="J112" s="63" t="str">
        <f t="shared" si="1"/>
        <v>ia.assorted_string like '%102208-00042-11-2024%' or</v>
      </c>
    </row>
    <row r="113" spans="1:10" x14ac:dyDescent="0.2">
      <c r="A113" t="s">
        <v>1606</v>
      </c>
      <c r="B113" t="s">
        <v>4327</v>
      </c>
      <c r="H113">
        <v>102208</v>
      </c>
      <c r="I113" t="s">
        <v>4385</v>
      </c>
      <c r="J113" s="63" t="str">
        <f t="shared" si="1"/>
        <v>ia.assorted_string like '%102208-00048-11-2024%' or</v>
      </c>
    </row>
    <row r="114" spans="1:10" x14ac:dyDescent="0.2">
      <c r="A114" t="s">
        <v>1615</v>
      </c>
      <c r="B114" t="s">
        <v>4327</v>
      </c>
      <c r="H114">
        <v>102208</v>
      </c>
      <c r="I114" t="s">
        <v>4386</v>
      </c>
      <c r="J114" s="63" t="str">
        <f t="shared" si="1"/>
        <v>ia.assorted_string like '%102208-00049-11-2024%' or</v>
      </c>
    </row>
    <row r="115" spans="1:10" x14ac:dyDescent="0.2">
      <c r="A115" t="s">
        <v>1903</v>
      </c>
      <c r="B115" t="s">
        <v>4327</v>
      </c>
      <c r="H115">
        <v>102212</v>
      </c>
      <c r="I115" t="s">
        <v>4299</v>
      </c>
      <c r="J115" s="63" t="str">
        <f t="shared" si="1"/>
        <v>ia.assorted_string like '%102212-00023-11-2024%' or</v>
      </c>
    </row>
    <row r="116" spans="1:10" x14ac:dyDescent="0.2">
      <c r="A116" t="s">
        <v>1929</v>
      </c>
      <c r="B116" t="s">
        <v>4327</v>
      </c>
      <c r="H116">
        <v>102212</v>
      </c>
      <c r="I116" t="s">
        <v>4302</v>
      </c>
      <c r="J116" s="63" t="str">
        <f t="shared" si="1"/>
        <v>ia.assorted_string like '%102212-00026-11-2024%' or</v>
      </c>
    </row>
    <row r="117" spans="1:10" x14ac:dyDescent="0.2">
      <c r="A117" t="s">
        <v>906</v>
      </c>
      <c r="B117" t="s">
        <v>4327</v>
      </c>
      <c r="H117">
        <v>102121</v>
      </c>
      <c r="I117" t="s">
        <v>4296</v>
      </c>
      <c r="J117" s="63" t="str">
        <f t="shared" si="1"/>
        <v>ia.assorted_string like '%102121-00002-11-2024%' or</v>
      </c>
    </row>
    <row r="118" spans="1:10" x14ac:dyDescent="0.2">
      <c r="A118" t="s">
        <v>940</v>
      </c>
      <c r="B118" t="s">
        <v>4327</v>
      </c>
      <c r="H118">
        <v>102122</v>
      </c>
      <c r="I118" t="s">
        <v>4285</v>
      </c>
      <c r="J118" s="63" t="str">
        <f t="shared" si="1"/>
        <v>ia.assorted_string like '%102122-00003-11-2024%' or</v>
      </c>
    </row>
    <row r="119" spans="1:10" x14ac:dyDescent="0.2">
      <c r="A119" t="s">
        <v>1049</v>
      </c>
      <c r="B119" t="s">
        <v>4327</v>
      </c>
      <c r="H119">
        <v>102191</v>
      </c>
      <c r="I119" t="s">
        <v>4298</v>
      </c>
      <c r="J119" s="63" t="str">
        <f t="shared" si="1"/>
        <v>ia.assorted_string like '%102191-00021-11-2024%' or</v>
      </c>
    </row>
    <row r="120" spans="1:10" x14ac:dyDescent="0.2">
      <c r="A120" t="s">
        <v>1057</v>
      </c>
      <c r="B120" t="s">
        <v>4327</v>
      </c>
      <c r="H120">
        <v>102191</v>
      </c>
      <c r="I120" t="s">
        <v>4282</v>
      </c>
      <c r="J120" s="63" t="str">
        <f t="shared" si="1"/>
        <v>ia.assorted_string like '%102191-00022-11-2024%' or</v>
      </c>
    </row>
    <row r="121" spans="1:10" x14ac:dyDescent="0.2">
      <c r="A121" t="s">
        <v>1566</v>
      </c>
      <c r="B121" t="s">
        <v>4327</v>
      </c>
      <c r="H121">
        <v>102208</v>
      </c>
      <c r="I121" t="s">
        <v>4320</v>
      </c>
      <c r="J121" s="63" t="str">
        <f t="shared" si="1"/>
        <v>ia.assorted_string like '%102208-00043-11-2024%' or</v>
      </c>
    </row>
    <row r="122" spans="1:10" x14ac:dyDescent="0.2">
      <c r="A122" t="s">
        <v>1582</v>
      </c>
      <c r="B122" t="s">
        <v>4327</v>
      </c>
      <c r="H122">
        <v>102208</v>
      </c>
      <c r="I122" t="s">
        <v>4321</v>
      </c>
      <c r="J122" s="63" t="str">
        <f t="shared" si="1"/>
        <v>ia.assorted_string like '%102208-00045-11-2024%' or</v>
      </c>
    </row>
    <row r="123" spans="1:10" x14ac:dyDescent="0.2">
      <c r="A123" t="s">
        <v>1591</v>
      </c>
      <c r="B123" t="s">
        <v>4327</v>
      </c>
      <c r="H123">
        <v>102208</v>
      </c>
      <c r="I123" t="s">
        <v>4387</v>
      </c>
      <c r="J123" s="63" t="str">
        <f t="shared" si="1"/>
        <v>ia.assorted_string like '%102208-00046-11-2024%' or</v>
      </c>
    </row>
    <row r="124" spans="1:10" x14ac:dyDescent="0.2">
      <c r="A124" t="s">
        <v>1598</v>
      </c>
      <c r="B124" t="s">
        <v>4327</v>
      </c>
      <c r="H124">
        <v>102208</v>
      </c>
      <c r="I124" t="s">
        <v>4383</v>
      </c>
      <c r="J124" s="63" t="str">
        <f t="shared" si="1"/>
        <v>ia.assorted_string like '%102208-00047-11-2024%' or</v>
      </c>
    </row>
    <row r="125" spans="1:10" x14ac:dyDescent="0.2">
      <c r="A125" t="s">
        <v>1920</v>
      </c>
      <c r="B125" t="s">
        <v>4327</v>
      </c>
      <c r="H125">
        <v>102212</v>
      </c>
      <c r="I125" t="s">
        <v>4301</v>
      </c>
      <c r="J125" s="63" t="str">
        <f t="shared" si="1"/>
        <v>ia.assorted_string like '%102212-00025-11-2024%' or</v>
      </c>
    </row>
    <row r="126" spans="1:10" x14ac:dyDescent="0.2">
      <c r="A126" t="s">
        <v>1944</v>
      </c>
      <c r="B126" t="s">
        <v>4327</v>
      </c>
      <c r="H126">
        <v>102212</v>
      </c>
      <c r="I126" t="s">
        <v>4304</v>
      </c>
      <c r="J126" s="63" t="str">
        <f t="shared" si="1"/>
        <v>ia.assorted_string like '%102212-00028-11-2024%' or</v>
      </c>
    </row>
    <row r="127" spans="1:10" x14ac:dyDescent="0.2">
      <c r="A127" t="s">
        <v>578</v>
      </c>
      <c r="B127" t="s">
        <v>4327</v>
      </c>
      <c r="H127">
        <v>102088</v>
      </c>
      <c r="I127" t="s">
        <v>4294</v>
      </c>
      <c r="J127" s="63" t="str">
        <f t="shared" si="1"/>
        <v>ia.assorted_string like '%102088-00018-11-2024%' or</v>
      </c>
    </row>
    <row r="128" spans="1:10" x14ac:dyDescent="0.2">
      <c r="A128" t="s">
        <v>689</v>
      </c>
      <c r="B128" t="s">
        <v>4327</v>
      </c>
      <c r="H128">
        <v>102088</v>
      </c>
      <c r="I128" t="s">
        <v>4306</v>
      </c>
      <c r="J128" s="63" t="str">
        <f t="shared" si="1"/>
        <v>ia.assorted_string like '%102088-00030-11-2024%' or</v>
      </c>
    </row>
    <row r="129" spans="1:10" x14ac:dyDescent="0.2">
      <c r="A129" t="s">
        <v>1975</v>
      </c>
      <c r="B129" t="s">
        <v>4327</v>
      </c>
      <c r="H129">
        <v>102212</v>
      </c>
      <c r="I129" t="s">
        <v>4307</v>
      </c>
      <c r="J129" s="63" t="str">
        <f t="shared" si="1"/>
        <v>ia.assorted_string like '%102212-00031-11-2024%' or</v>
      </c>
    </row>
    <row r="130" spans="1:10" x14ac:dyDescent="0.2">
      <c r="A130" t="s">
        <v>1983</v>
      </c>
      <c r="B130" t="s">
        <v>4327</v>
      </c>
      <c r="H130">
        <v>102212</v>
      </c>
      <c r="I130" t="s">
        <v>4308</v>
      </c>
      <c r="J130" s="63" t="str">
        <f t="shared" si="1"/>
        <v>ia.assorted_string like '%102212-00032-11-2024%' or</v>
      </c>
    </row>
    <row r="131" spans="1:10" x14ac:dyDescent="0.2">
      <c r="A131" t="s">
        <v>697</v>
      </c>
      <c r="B131" t="s">
        <v>4327</v>
      </c>
      <c r="H131">
        <v>102088</v>
      </c>
      <c r="I131" t="s">
        <v>4307</v>
      </c>
      <c r="J131" s="63" t="str">
        <f t="shared" ref="J131:J194" si="2">"ia.assorted_string like '%"&amp;H131&amp;"-"&amp;I131&amp;B131&amp;"%' or"</f>
        <v>ia.assorted_string like '%102088-00031-11-2024%' or</v>
      </c>
    </row>
    <row r="132" spans="1:10" x14ac:dyDescent="0.2">
      <c r="A132" t="s">
        <v>705</v>
      </c>
      <c r="B132" t="s">
        <v>4327</v>
      </c>
      <c r="H132">
        <v>102088</v>
      </c>
      <c r="I132" t="s">
        <v>4308</v>
      </c>
      <c r="J132" s="63" t="str">
        <f t="shared" si="2"/>
        <v>ia.assorted_string like '%102088-00032-11-2024%' or</v>
      </c>
    </row>
    <row r="133" spans="1:10" x14ac:dyDescent="0.2">
      <c r="A133" t="s">
        <v>712</v>
      </c>
      <c r="B133" t="s">
        <v>4327</v>
      </c>
      <c r="H133">
        <v>102088</v>
      </c>
      <c r="I133" t="s">
        <v>4309</v>
      </c>
      <c r="J133" s="63" t="str">
        <f t="shared" si="2"/>
        <v>ia.assorted_string like '%102088-00033-11-2024%' or</v>
      </c>
    </row>
    <row r="134" spans="1:10" x14ac:dyDescent="0.2">
      <c r="A134" t="s">
        <v>720</v>
      </c>
      <c r="B134" t="s">
        <v>4327</v>
      </c>
      <c r="H134">
        <v>102088</v>
      </c>
      <c r="I134" t="s">
        <v>4310</v>
      </c>
      <c r="J134" s="63" t="str">
        <f t="shared" si="2"/>
        <v>ia.assorted_string like '%102088-00034-11-2024%' or</v>
      </c>
    </row>
    <row r="135" spans="1:10" x14ac:dyDescent="0.2">
      <c r="A135" t="s">
        <v>729</v>
      </c>
      <c r="B135" t="s">
        <v>4327</v>
      </c>
      <c r="H135">
        <v>102088</v>
      </c>
      <c r="I135" t="s">
        <v>4311</v>
      </c>
      <c r="J135" s="63" t="str">
        <f t="shared" si="2"/>
        <v>ia.assorted_string like '%102088-00035-11-2024%' or</v>
      </c>
    </row>
    <row r="136" spans="1:10" x14ac:dyDescent="0.2">
      <c r="A136" t="s">
        <v>746</v>
      </c>
      <c r="B136" t="s">
        <v>4327</v>
      </c>
      <c r="H136">
        <v>102088</v>
      </c>
      <c r="I136" t="s">
        <v>4313</v>
      </c>
      <c r="J136" s="63" t="str">
        <f t="shared" si="2"/>
        <v>ia.assorted_string like '%102088-00037-11-2024%' or</v>
      </c>
    </row>
    <row r="137" spans="1:10" x14ac:dyDescent="0.2">
      <c r="A137" t="s">
        <v>755</v>
      </c>
      <c r="B137" t="s">
        <v>4327</v>
      </c>
      <c r="H137">
        <v>102088</v>
      </c>
      <c r="I137" t="s">
        <v>4314</v>
      </c>
      <c r="J137" s="63" t="str">
        <f t="shared" si="2"/>
        <v>ia.assorted_string like '%102088-00038-11-2024%' or</v>
      </c>
    </row>
    <row r="138" spans="1:10" x14ac:dyDescent="0.2">
      <c r="A138" t="s">
        <v>764</v>
      </c>
      <c r="B138" t="s">
        <v>4327</v>
      </c>
      <c r="H138">
        <v>102088</v>
      </c>
      <c r="I138" t="s">
        <v>4315</v>
      </c>
      <c r="J138" s="63" t="str">
        <f t="shared" si="2"/>
        <v>ia.assorted_string like '%102088-00039-11-2024%' or</v>
      </c>
    </row>
    <row r="139" spans="1:10" x14ac:dyDescent="0.2">
      <c r="A139" t="s">
        <v>1082</v>
      </c>
      <c r="B139" t="s">
        <v>4327</v>
      </c>
      <c r="H139">
        <v>102191</v>
      </c>
      <c r="I139" t="s">
        <v>4301</v>
      </c>
      <c r="J139" s="63" t="str">
        <f t="shared" si="2"/>
        <v>ia.assorted_string like '%102191-00025-11-2024%' or</v>
      </c>
    </row>
    <row r="140" spans="1:10" x14ac:dyDescent="0.2">
      <c r="A140" t="s">
        <v>1090</v>
      </c>
      <c r="B140" t="s">
        <v>4327</v>
      </c>
      <c r="H140">
        <v>102191</v>
      </c>
      <c r="I140" t="s">
        <v>4302</v>
      </c>
      <c r="J140" s="63" t="str">
        <f t="shared" si="2"/>
        <v>ia.assorted_string like '%102191-00026-11-2024%' or</v>
      </c>
    </row>
    <row r="141" spans="1:10" x14ac:dyDescent="0.2">
      <c r="A141" t="s">
        <v>1098</v>
      </c>
      <c r="B141" t="s">
        <v>4327</v>
      </c>
      <c r="H141">
        <v>102191</v>
      </c>
      <c r="I141" t="s">
        <v>4303</v>
      </c>
      <c r="J141" s="63" t="str">
        <f t="shared" si="2"/>
        <v>ia.assorted_string like '%102191-00027-11-2024%' or</v>
      </c>
    </row>
    <row r="142" spans="1:10" x14ac:dyDescent="0.2">
      <c r="A142" t="s">
        <v>1106</v>
      </c>
      <c r="B142" t="s">
        <v>4327</v>
      </c>
      <c r="H142">
        <v>102191</v>
      </c>
      <c r="I142" t="s">
        <v>4304</v>
      </c>
      <c r="J142" s="63" t="str">
        <f t="shared" si="2"/>
        <v>ia.assorted_string like '%102191-00028-11-2024%' or</v>
      </c>
    </row>
    <row r="143" spans="1:10" x14ac:dyDescent="0.2">
      <c r="A143" t="s">
        <v>1114</v>
      </c>
      <c r="B143" t="s">
        <v>4327</v>
      </c>
      <c r="H143">
        <v>102191</v>
      </c>
      <c r="I143" t="s">
        <v>4305</v>
      </c>
      <c r="J143" s="63" t="str">
        <f t="shared" si="2"/>
        <v>ia.assorted_string like '%102191-00029-11-2024%' or</v>
      </c>
    </row>
    <row r="144" spans="1:10" x14ac:dyDescent="0.2">
      <c r="A144" t="s">
        <v>1632</v>
      </c>
      <c r="B144" t="s">
        <v>4327</v>
      </c>
      <c r="H144">
        <v>102208</v>
      </c>
      <c r="I144" t="s">
        <v>4388</v>
      </c>
      <c r="J144" s="63" t="str">
        <f t="shared" si="2"/>
        <v>ia.assorted_string like '%102208-00050-11-2024%' or</v>
      </c>
    </row>
    <row r="145" spans="1:10" x14ac:dyDescent="0.2">
      <c r="A145" t="s">
        <v>1640</v>
      </c>
      <c r="B145" t="s">
        <v>4327</v>
      </c>
      <c r="H145">
        <v>102208</v>
      </c>
      <c r="I145" t="s">
        <v>4389</v>
      </c>
      <c r="J145" s="63" t="str">
        <f t="shared" si="2"/>
        <v>ia.assorted_string like '%102208-00051-11-2024%' or</v>
      </c>
    </row>
    <row r="146" spans="1:10" x14ac:dyDescent="0.2">
      <c r="A146" t="s">
        <v>1778</v>
      </c>
      <c r="B146" t="s">
        <v>4327</v>
      </c>
      <c r="H146">
        <v>102212</v>
      </c>
      <c r="I146" t="s">
        <v>4286</v>
      </c>
      <c r="J146" s="63" t="str">
        <f t="shared" si="2"/>
        <v>ia.assorted_string like '%102212-00001-11-2024%' or</v>
      </c>
    </row>
    <row r="147" spans="1:10" x14ac:dyDescent="0.2">
      <c r="A147" t="s">
        <v>2114</v>
      </c>
      <c r="B147" t="s">
        <v>4327</v>
      </c>
      <c r="H147">
        <v>102212</v>
      </c>
      <c r="I147" t="s">
        <v>4322</v>
      </c>
      <c r="J147" s="63" t="str">
        <f t="shared" si="2"/>
        <v>ia.assorted_string like '%102212-00006-11-2024%' or</v>
      </c>
    </row>
    <row r="148" spans="1:10" x14ac:dyDescent="0.2">
      <c r="A148" t="s">
        <v>779</v>
      </c>
      <c r="B148" t="s">
        <v>4327</v>
      </c>
      <c r="H148">
        <v>102088</v>
      </c>
      <c r="I148" t="s">
        <v>4317</v>
      </c>
      <c r="J148" s="63" t="str">
        <f t="shared" si="2"/>
        <v>ia.assorted_string like '%102088-00040-11-2024%' or</v>
      </c>
    </row>
    <row r="149" spans="1:10" x14ac:dyDescent="0.2">
      <c r="A149" t="s">
        <v>787</v>
      </c>
      <c r="B149" t="s">
        <v>4327</v>
      </c>
      <c r="H149">
        <v>102088</v>
      </c>
      <c r="I149" t="s">
        <v>4318</v>
      </c>
      <c r="J149" s="63" t="str">
        <f t="shared" si="2"/>
        <v>ia.assorted_string like '%102088-00041-11-2024%' or</v>
      </c>
    </row>
    <row r="150" spans="1:10" x14ac:dyDescent="0.2">
      <c r="A150" t="s">
        <v>795</v>
      </c>
      <c r="B150" t="s">
        <v>4327</v>
      </c>
      <c r="H150">
        <v>102088</v>
      </c>
      <c r="I150" t="s">
        <v>4319</v>
      </c>
      <c r="J150" s="63" t="str">
        <f t="shared" si="2"/>
        <v>ia.assorted_string like '%102088-00042-11-2024%' or</v>
      </c>
    </row>
    <row r="151" spans="1:10" x14ac:dyDescent="0.2">
      <c r="A151" t="s">
        <v>803</v>
      </c>
      <c r="B151" t="s">
        <v>4327</v>
      </c>
      <c r="H151">
        <v>102088</v>
      </c>
      <c r="I151" t="s">
        <v>4320</v>
      </c>
      <c r="J151" s="63" t="str">
        <f t="shared" si="2"/>
        <v>ia.assorted_string like '%102088-00043-11-2024%' or</v>
      </c>
    </row>
    <row r="152" spans="1:10" x14ac:dyDescent="0.2">
      <c r="A152" t="s">
        <v>812</v>
      </c>
      <c r="B152" t="s">
        <v>4327</v>
      </c>
      <c r="H152">
        <v>102088</v>
      </c>
      <c r="I152" t="s">
        <v>4384</v>
      </c>
      <c r="J152" s="63" t="str">
        <f t="shared" si="2"/>
        <v>ia.assorted_string like '%102088-00044-11-2024%' or</v>
      </c>
    </row>
    <row r="153" spans="1:10" x14ac:dyDescent="0.2">
      <c r="A153" t="s">
        <v>821</v>
      </c>
      <c r="B153" t="s">
        <v>4327</v>
      </c>
      <c r="H153">
        <v>102088</v>
      </c>
      <c r="I153" t="s">
        <v>4321</v>
      </c>
      <c r="J153" s="63" t="str">
        <f t="shared" si="2"/>
        <v>ia.assorted_string like '%102088-00045-11-2024%' or</v>
      </c>
    </row>
    <row r="154" spans="1:10" x14ac:dyDescent="0.2">
      <c r="A154" t="s">
        <v>830</v>
      </c>
      <c r="B154" t="s">
        <v>4327</v>
      </c>
      <c r="H154">
        <v>102088</v>
      </c>
      <c r="I154" t="s">
        <v>4387</v>
      </c>
      <c r="J154" s="63" t="str">
        <f t="shared" si="2"/>
        <v>ia.assorted_string like '%102088-00046-11-2024%' or</v>
      </c>
    </row>
    <row r="155" spans="1:10" x14ac:dyDescent="0.2">
      <c r="A155" t="s">
        <v>1129</v>
      </c>
      <c r="B155" t="s">
        <v>4327</v>
      </c>
      <c r="H155">
        <v>102191</v>
      </c>
      <c r="I155" t="s">
        <v>4306</v>
      </c>
      <c r="J155" s="63" t="str">
        <f t="shared" si="2"/>
        <v>ia.assorted_string like '%102191-00030-11-2024%' or</v>
      </c>
    </row>
    <row r="156" spans="1:10" x14ac:dyDescent="0.2">
      <c r="A156" t="s">
        <v>1137</v>
      </c>
      <c r="B156" t="s">
        <v>4327</v>
      </c>
      <c r="H156">
        <v>102191</v>
      </c>
      <c r="I156" t="s">
        <v>4307</v>
      </c>
      <c r="J156" s="63" t="str">
        <f t="shared" si="2"/>
        <v>ia.assorted_string like '%102191-00031-11-2024%' or</v>
      </c>
    </row>
    <row r="157" spans="1:10" x14ac:dyDescent="0.2">
      <c r="A157" t="s">
        <v>1145</v>
      </c>
      <c r="B157" t="s">
        <v>4327</v>
      </c>
      <c r="H157">
        <v>102191</v>
      </c>
      <c r="I157" t="s">
        <v>4308</v>
      </c>
      <c r="J157" s="63" t="str">
        <f t="shared" si="2"/>
        <v>ia.assorted_string like '%102191-00032-11-2024%' or</v>
      </c>
    </row>
    <row r="158" spans="1:10" x14ac:dyDescent="0.2">
      <c r="A158" t="s">
        <v>1153</v>
      </c>
      <c r="B158" t="s">
        <v>4327</v>
      </c>
      <c r="H158">
        <v>102191</v>
      </c>
      <c r="I158" t="s">
        <v>4309</v>
      </c>
      <c r="J158" s="63" t="str">
        <f t="shared" si="2"/>
        <v>ia.assorted_string like '%102191-00033-11-2024%' or</v>
      </c>
    </row>
    <row r="159" spans="1:10" x14ac:dyDescent="0.2">
      <c r="A159" t="s">
        <v>1160</v>
      </c>
      <c r="B159" t="s">
        <v>4327</v>
      </c>
      <c r="H159">
        <v>102191</v>
      </c>
      <c r="I159" t="s">
        <v>4310</v>
      </c>
      <c r="J159" s="63" t="str">
        <f t="shared" si="2"/>
        <v>ia.assorted_string like '%102191-00034-11-2024%' or</v>
      </c>
    </row>
    <row r="160" spans="1:10" x14ac:dyDescent="0.2">
      <c r="A160" t="s">
        <v>1168</v>
      </c>
      <c r="B160" t="s">
        <v>4327</v>
      </c>
      <c r="H160">
        <v>102191</v>
      </c>
      <c r="I160" t="s">
        <v>4311</v>
      </c>
      <c r="J160" s="63" t="str">
        <f t="shared" si="2"/>
        <v>ia.assorted_string like '%102191-00035-11-2024%' or</v>
      </c>
    </row>
    <row r="161" spans="1:10" x14ac:dyDescent="0.2">
      <c r="A161" t="s">
        <v>1176</v>
      </c>
      <c r="B161" t="s">
        <v>4327</v>
      </c>
      <c r="H161">
        <v>102191</v>
      </c>
      <c r="I161" t="s">
        <v>4312</v>
      </c>
      <c r="J161" s="63" t="str">
        <f t="shared" si="2"/>
        <v>ia.assorted_string like '%102191-00036-11-2024%' or</v>
      </c>
    </row>
    <row r="162" spans="1:10" x14ac:dyDescent="0.2">
      <c r="A162" t="s">
        <v>1184</v>
      </c>
      <c r="B162" t="s">
        <v>4327</v>
      </c>
      <c r="H162">
        <v>102191</v>
      </c>
      <c r="I162" t="s">
        <v>4313</v>
      </c>
      <c r="J162" s="63" t="str">
        <f t="shared" si="2"/>
        <v>ia.assorted_string like '%102191-00037-11-2024%' or</v>
      </c>
    </row>
    <row r="163" spans="1:10" x14ac:dyDescent="0.2">
      <c r="A163" t="s">
        <v>1191</v>
      </c>
      <c r="B163" t="s">
        <v>4327</v>
      </c>
      <c r="H163">
        <v>102191</v>
      </c>
      <c r="I163" t="s">
        <v>4314</v>
      </c>
      <c r="J163" s="63" t="str">
        <f t="shared" si="2"/>
        <v>ia.assorted_string like '%102191-00038-11-2024%' or</v>
      </c>
    </row>
    <row r="164" spans="1:10" x14ac:dyDescent="0.2">
      <c r="A164" t="s">
        <v>1200</v>
      </c>
      <c r="B164" t="s">
        <v>4327</v>
      </c>
      <c r="H164">
        <v>102191</v>
      </c>
      <c r="I164" t="s">
        <v>4315</v>
      </c>
      <c r="J164" s="63" t="str">
        <f t="shared" si="2"/>
        <v>ia.assorted_string like '%102191-00039-11-2024%' or</v>
      </c>
    </row>
    <row r="165" spans="1:10" x14ac:dyDescent="0.2">
      <c r="A165" t="s">
        <v>1216</v>
      </c>
      <c r="B165" t="s">
        <v>4327</v>
      </c>
      <c r="H165">
        <v>102191</v>
      </c>
      <c r="I165" t="s">
        <v>4317</v>
      </c>
      <c r="J165" s="63" t="str">
        <f t="shared" si="2"/>
        <v>ia.assorted_string like '%102191-00040-11-2024%' or</v>
      </c>
    </row>
    <row r="166" spans="1:10" x14ac:dyDescent="0.2">
      <c r="A166" t="s">
        <v>1224</v>
      </c>
      <c r="B166" t="s">
        <v>4327</v>
      </c>
      <c r="H166">
        <v>102191</v>
      </c>
      <c r="I166" t="s">
        <v>4318</v>
      </c>
      <c r="J166" s="63" t="str">
        <f t="shared" si="2"/>
        <v>ia.assorted_string like '%102191-00041-11-2024%' or</v>
      </c>
    </row>
    <row r="167" spans="1:10" x14ac:dyDescent="0.2">
      <c r="A167" t="s">
        <v>1648</v>
      </c>
      <c r="B167" t="s">
        <v>4327</v>
      </c>
      <c r="H167">
        <v>102208</v>
      </c>
      <c r="I167" t="s">
        <v>4390</v>
      </c>
      <c r="J167" s="63" t="str">
        <f t="shared" si="2"/>
        <v>ia.assorted_string like '%102208-00052-11-2024%' or</v>
      </c>
    </row>
    <row r="168" spans="1:10" x14ac:dyDescent="0.2">
      <c r="A168" t="s">
        <v>1656</v>
      </c>
      <c r="B168" t="s">
        <v>4327</v>
      </c>
      <c r="H168">
        <v>102208</v>
      </c>
      <c r="I168" t="s">
        <v>4391</v>
      </c>
      <c r="J168" s="63" t="str">
        <f t="shared" si="2"/>
        <v>ia.assorted_string like '%102208-00053-11-2024%' or</v>
      </c>
    </row>
    <row r="169" spans="1:10" x14ac:dyDescent="0.2">
      <c r="A169" t="s">
        <v>1663</v>
      </c>
      <c r="B169" t="s">
        <v>4327</v>
      </c>
      <c r="H169">
        <v>102208</v>
      </c>
      <c r="I169" t="s">
        <v>4392</v>
      </c>
      <c r="J169" s="63" t="str">
        <f t="shared" si="2"/>
        <v>ia.assorted_string like '%102208-00054-11-2024%' or</v>
      </c>
    </row>
    <row r="170" spans="1:10" x14ac:dyDescent="0.2">
      <c r="A170" t="s">
        <v>1671</v>
      </c>
      <c r="B170" t="s">
        <v>4327</v>
      </c>
      <c r="H170">
        <v>102208</v>
      </c>
      <c r="I170" t="s">
        <v>4393</v>
      </c>
      <c r="J170" s="63" t="str">
        <f t="shared" si="2"/>
        <v>ia.assorted_string like '%102208-00055-11-2024%' or</v>
      </c>
    </row>
    <row r="171" spans="1:10" x14ac:dyDescent="0.2">
      <c r="A171" t="s">
        <v>1679</v>
      </c>
      <c r="B171" t="s">
        <v>4327</v>
      </c>
      <c r="H171">
        <v>102208</v>
      </c>
      <c r="I171" t="s">
        <v>4394</v>
      </c>
      <c r="J171" s="63" t="str">
        <f t="shared" si="2"/>
        <v>ia.assorted_string like '%102208-00056-11-2024%' or</v>
      </c>
    </row>
    <row r="172" spans="1:10" x14ac:dyDescent="0.2">
      <c r="A172" t="s">
        <v>1687</v>
      </c>
      <c r="B172" t="s">
        <v>4327</v>
      </c>
      <c r="H172">
        <v>102208</v>
      </c>
      <c r="I172" t="s">
        <v>4395</v>
      </c>
      <c r="J172" s="63" t="str">
        <f t="shared" si="2"/>
        <v>ia.assorted_string like '%102208-00057-11-2024%' or</v>
      </c>
    </row>
    <row r="173" spans="1:10" x14ac:dyDescent="0.2">
      <c r="A173" t="s">
        <v>1696</v>
      </c>
      <c r="B173" t="s">
        <v>4327</v>
      </c>
      <c r="H173">
        <v>102208</v>
      </c>
      <c r="I173" t="s">
        <v>4396</v>
      </c>
      <c r="J173" s="63" t="str">
        <f t="shared" si="2"/>
        <v>ia.assorted_string like '%102208-00058-11-2024%' or</v>
      </c>
    </row>
    <row r="174" spans="1:10" x14ac:dyDescent="0.2">
      <c r="A174" t="s">
        <v>1705</v>
      </c>
      <c r="B174" t="s">
        <v>4327</v>
      </c>
      <c r="H174">
        <v>102208</v>
      </c>
      <c r="I174" t="s">
        <v>4397</v>
      </c>
      <c r="J174" s="63" t="str">
        <f t="shared" si="2"/>
        <v>ia.assorted_string like '%102208-00059-11-2024%' or</v>
      </c>
    </row>
    <row r="175" spans="1:10" x14ac:dyDescent="0.2">
      <c r="A175" t="s">
        <v>1721</v>
      </c>
      <c r="B175" t="s">
        <v>4327</v>
      </c>
      <c r="H175">
        <v>102208</v>
      </c>
      <c r="I175" t="s">
        <v>4398</v>
      </c>
      <c r="J175" s="63" t="str">
        <f t="shared" si="2"/>
        <v>ia.assorted_string like '%102208-00060-11-2024%' or</v>
      </c>
    </row>
    <row r="176" spans="1:10" x14ac:dyDescent="0.2">
      <c r="A176" t="s">
        <v>1729</v>
      </c>
      <c r="B176" t="s">
        <v>4327</v>
      </c>
      <c r="H176">
        <v>102208</v>
      </c>
      <c r="I176" t="s">
        <v>4399</v>
      </c>
      <c r="J176" s="63" t="str">
        <f t="shared" si="2"/>
        <v>ia.assorted_string like '%102208-00061-11-2024%' or</v>
      </c>
    </row>
    <row r="177" spans="1:10" x14ac:dyDescent="0.2">
      <c r="A177" t="s">
        <v>1737</v>
      </c>
      <c r="B177" t="s">
        <v>4327</v>
      </c>
      <c r="H177">
        <v>102208</v>
      </c>
      <c r="I177" t="s">
        <v>4400</v>
      </c>
      <c r="J177" s="63" t="str">
        <f t="shared" si="2"/>
        <v>ia.assorted_string like '%102208-00062-11-2024%' or</v>
      </c>
    </row>
    <row r="178" spans="1:10" x14ac:dyDescent="0.2">
      <c r="A178" t="s">
        <v>1745</v>
      </c>
      <c r="B178" t="s">
        <v>4327</v>
      </c>
      <c r="H178">
        <v>102208</v>
      </c>
      <c r="I178" t="s">
        <v>4401</v>
      </c>
      <c r="J178" s="63" t="str">
        <f t="shared" si="2"/>
        <v>ia.assorted_string like '%102208-00063-11-2024%' or</v>
      </c>
    </row>
    <row r="179" spans="1:10" x14ac:dyDescent="0.2">
      <c r="A179" t="s">
        <v>1967</v>
      </c>
      <c r="B179" t="s">
        <v>4327</v>
      </c>
      <c r="H179">
        <v>102212</v>
      </c>
      <c r="I179" t="s">
        <v>4306</v>
      </c>
      <c r="J179" s="63" t="str">
        <f t="shared" si="2"/>
        <v>ia.assorted_string like '%102212-00030-11-2024%' or</v>
      </c>
    </row>
    <row r="180" spans="1:10" x14ac:dyDescent="0.2">
      <c r="A180" t="s">
        <v>1991</v>
      </c>
      <c r="B180" t="s">
        <v>4327</v>
      </c>
      <c r="H180">
        <v>102212</v>
      </c>
      <c r="I180" t="s">
        <v>4309</v>
      </c>
      <c r="J180" s="63" t="str">
        <f t="shared" si="2"/>
        <v>ia.assorted_string like '%102212-00033-11-2024%' or</v>
      </c>
    </row>
    <row r="181" spans="1:10" x14ac:dyDescent="0.2">
      <c r="A181" t="s">
        <v>1998</v>
      </c>
      <c r="B181" t="s">
        <v>4327</v>
      </c>
      <c r="H181">
        <v>102212</v>
      </c>
      <c r="I181" t="s">
        <v>4310</v>
      </c>
      <c r="J181" s="63" t="str">
        <f t="shared" si="2"/>
        <v>ia.assorted_string like '%102212-00034-11-2024%' or</v>
      </c>
    </row>
    <row r="182" spans="1:10" x14ac:dyDescent="0.2">
      <c r="A182" t="s">
        <v>2005</v>
      </c>
      <c r="B182" t="s">
        <v>4327</v>
      </c>
      <c r="H182">
        <v>102212</v>
      </c>
      <c r="I182" t="s">
        <v>4311</v>
      </c>
      <c r="J182" s="63" t="str">
        <f t="shared" si="2"/>
        <v>ia.assorted_string like '%102212-00035-11-2024%' or</v>
      </c>
    </row>
    <row r="183" spans="1:10" x14ac:dyDescent="0.2">
      <c r="A183" t="s">
        <v>2012</v>
      </c>
      <c r="B183" t="s">
        <v>4327</v>
      </c>
      <c r="H183">
        <v>102212</v>
      </c>
      <c r="I183" t="s">
        <v>4312</v>
      </c>
      <c r="J183" s="63" t="str">
        <f t="shared" si="2"/>
        <v>ia.assorted_string like '%102212-00036-11-2024%' or</v>
      </c>
    </row>
    <row r="184" spans="1:10" x14ac:dyDescent="0.2">
      <c r="A184" t="s">
        <v>2021</v>
      </c>
      <c r="B184" t="s">
        <v>4327</v>
      </c>
      <c r="H184">
        <v>102212</v>
      </c>
      <c r="I184" t="s">
        <v>4313</v>
      </c>
      <c r="J184" s="63" t="str">
        <f t="shared" si="2"/>
        <v>ia.assorted_string like '%102212-00037-11-2024%' or</v>
      </c>
    </row>
    <row r="185" spans="1:10" x14ac:dyDescent="0.2">
      <c r="A185" t="s">
        <v>2030</v>
      </c>
      <c r="B185" t="s">
        <v>4327</v>
      </c>
      <c r="H185">
        <v>102212</v>
      </c>
      <c r="I185" t="s">
        <v>4314</v>
      </c>
      <c r="J185" s="63" t="str">
        <f t="shared" si="2"/>
        <v>ia.assorted_string like '%102212-00038-11-2024%' or</v>
      </c>
    </row>
    <row r="186" spans="1:10" x14ac:dyDescent="0.2">
      <c r="A186" t="s">
        <v>2038</v>
      </c>
      <c r="B186" t="s">
        <v>4327</v>
      </c>
      <c r="H186">
        <v>102212</v>
      </c>
      <c r="I186" t="s">
        <v>4315</v>
      </c>
      <c r="J186" s="63" t="str">
        <f t="shared" si="2"/>
        <v>ia.assorted_string like '%102212-00039-11-2024%' or</v>
      </c>
    </row>
    <row r="187" spans="1:10" x14ac:dyDescent="0.2">
      <c r="A187" t="s">
        <v>2100</v>
      </c>
      <c r="B187" t="s">
        <v>4327</v>
      </c>
      <c r="H187">
        <v>102212</v>
      </c>
      <c r="I187" t="s">
        <v>4387</v>
      </c>
      <c r="J187" s="63" t="str">
        <f t="shared" si="2"/>
        <v>ia.assorted_string like '%102212-00046-11-2024%' or</v>
      </c>
    </row>
    <row r="188" spans="1:10" x14ac:dyDescent="0.2">
      <c r="A188" t="s">
        <v>2053</v>
      </c>
      <c r="B188" t="s">
        <v>4327</v>
      </c>
      <c r="H188">
        <v>102212</v>
      </c>
      <c r="I188" t="s">
        <v>4317</v>
      </c>
      <c r="J188" s="63" t="str">
        <f t="shared" si="2"/>
        <v>ia.assorted_string like '%102212-00040-11-2024%' or</v>
      </c>
    </row>
    <row r="189" spans="1:10" x14ac:dyDescent="0.2">
      <c r="A189" t="s">
        <v>2061</v>
      </c>
      <c r="B189" t="s">
        <v>4327</v>
      </c>
      <c r="H189">
        <v>102212</v>
      </c>
      <c r="I189" t="s">
        <v>4318</v>
      </c>
      <c r="J189" s="63" t="str">
        <f t="shared" si="2"/>
        <v>ia.assorted_string like '%102212-00041-11-2024%' or</v>
      </c>
    </row>
    <row r="190" spans="1:10" x14ac:dyDescent="0.2">
      <c r="A190" t="s">
        <v>2069</v>
      </c>
      <c r="B190" t="s">
        <v>4327</v>
      </c>
      <c r="H190">
        <v>102212</v>
      </c>
      <c r="I190" t="s">
        <v>4319</v>
      </c>
      <c r="J190" s="63" t="str">
        <f t="shared" si="2"/>
        <v>ia.assorted_string like '%102212-00042-11-2024%' or</v>
      </c>
    </row>
    <row r="191" spans="1:10" x14ac:dyDescent="0.2">
      <c r="A191" t="s">
        <v>2077</v>
      </c>
      <c r="B191" t="s">
        <v>4327</v>
      </c>
      <c r="H191">
        <v>102212</v>
      </c>
      <c r="I191" t="s">
        <v>4320</v>
      </c>
      <c r="J191" s="63" t="str">
        <f t="shared" si="2"/>
        <v>ia.assorted_string like '%102212-00043-11-2024%' or</v>
      </c>
    </row>
    <row r="192" spans="1:10" x14ac:dyDescent="0.2">
      <c r="A192" t="s">
        <v>2092</v>
      </c>
      <c r="B192" t="s">
        <v>4327</v>
      </c>
      <c r="H192">
        <v>102212</v>
      </c>
      <c r="I192" t="s">
        <v>4321</v>
      </c>
      <c r="J192" s="63" t="str">
        <f t="shared" si="2"/>
        <v>ia.assorted_string like '%102212-00045-11-2024%' or</v>
      </c>
    </row>
    <row r="193" spans="1:10" x14ac:dyDescent="0.2">
      <c r="A193" t="s">
        <v>44</v>
      </c>
      <c r="B193" t="s">
        <v>4381</v>
      </c>
      <c r="H193">
        <v>100245</v>
      </c>
      <c r="I193" t="s">
        <v>4291</v>
      </c>
      <c r="J193" s="63" t="str">
        <f t="shared" si="2"/>
        <v>ia.assorted_string like '%100245-00015-10-2024%' or</v>
      </c>
    </row>
    <row r="194" spans="1:10" x14ac:dyDescent="0.2">
      <c r="A194" t="s">
        <v>69</v>
      </c>
      <c r="B194" t="s">
        <v>4381</v>
      </c>
      <c r="H194">
        <v>100245</v>
      </c>
      <c r="I194" t="s">
        <v>4293</v>
      </c>
      <c r="J194" s="63" t="str">
        <f t="shared" si="2"/>
        <v>ia.assorted_string like '%100245-00017-10-2024%' or</v>
      </c>
    </row>
    <row r="195" spans="1:10" x14ac:dyDescent="0.2">
      <c r="A195" t="s">
        <v>2899</v>
      </c>
      <c r="B195" t="s">
        <v>4382</v>
      </c>
      <c r="H195">
        <v>96715</v>
      </c>
      <c r="I195" t="s">
        <v>4295</v>
      </c>
      <c r="J195" s="63" t="str">
        <f t="shared" ref="J195" si="3">"ia.assorted_string like '%"&amp;H195&amp;"-"&amp;I195&amp;B195&amp;"%' or"</f>
        <v>ia.assorted_string like '%96715-00019-09-2024%' or</v>
      </c>
    </row>
  </sheetData>
  <autoFilter ref="H1:H195" xr:uid="{1498B455-364C-415A-ABF6-202932433DA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5ADD-B9EC-4BD9-A187-6A391597FE8A}">
  <dimension ref="A1:C195"/>
  <sheetViews>
    <sheetView workbookViewId="0">
      <selection activeCell="B9" sqref="B9"/>
    </sheetView>
  </sheetViews>
  <sheetFormatPr defaultRowHeight="12.75" x14ac:dyDescent="0.2"/>
  <cols>
    <col min="1" max="1" width="4" style="63" bestFit="1" customWidth="1"/>
    <col min="2" max="2" width="41.140625" style="63" bestFit="1" customWidth="1"/>
    <col min="3" max="3" width="15" style="63" bestFit="1" customWidth="1"/>
  </cols>
  <sheetData>
    <row r="1" spans="1:3" x14ac:dyDescent="0.2">
      <c r="A1" s="64" t="s">
        <v>4328</v>
      </c>
      <c r="B1" s="64" t="s">
        <v>4329</v>
      </c>
      <c r="C1" s="64" t="s">
        <v>4330</v>
      </c>
    </row>
    <row r="2" spans="1:3" x14ac:dyDescent="0.2">
      <c r="A2" s="63">
        <v>1</v>
      </c>
      <c r="B2" s="63" t="s">
        <v>2899</v>
      </c>
      <c r="C2" s="63" t="s">
        <v>4402</v>
      </c>
    </row>
    <row r="3" spans="1:3" x14ac:dyDescent="0.2">
      <c r="A3" s="63">
        <v>2</v>
      </c>
      <c r="B3" s="63" t="s">
        <v>44</v>
      </c>
      <c r="C3" s="63" t="s">
        <v>4403</v>
      </c>
    </row>
    <row r="4" spans="1:3" x14ac:dyDescent="0.2">
      <c r="A4" s="63">
        <v>3</v>
      </c>
      <c r="B4" s="63" t="s">
        <v>69</v>
      </c>
      <c r="C4" s="63" t="s">
        <v>4404</v>
      </c>
    </row>
    <row r="5" spans="1:3" x14ac:dyDescent="0.2">
      <c r="A5" s="63">
        <v>4</v>
      </c>
      <c r="B5" s="63" t="s">
        <v>923</v>
      </c>
      <c r="C5" s="63" t="s">
        <v>4405</v>
      </c>
    </row>
    <row r="6" spans="1:3" x14ac:dyDescent="0.2">
      <c r="A6" s="63">
        <v>5</v>
      </c>
      <c r="B6" s="63" t="s">
        <v>932</v>
      </c>
      <c r="C6" s="63" t="s">
        <v>4406</v>
      </c>
    </row>
    <row r="7" spans="1:3" x14ac:dyDescent="0.2">
      <c r="A7" s="63">
        <v>6</v>
      </c>
      <c r="B7" s="63" t="s">
        <v>940</v>
      </c>
      <c r="C7" s="63" t="s">
        <v>4407</v>
      </c>
    </row>
    <row r="8" spans="1:3" x14ac:dyDescent="0.2">
      <c r="A8" s="63">
        <v>7</v>
      </c>
      <c r="B8" s="63" t="s">
        <v>1967</v>
      </c>
      <c r="C8" s="63" t="s">
        <v>4408</v>
      </c>
    </row>
    <row r="9" spans="1:3" x14ac:dyDescent="0.2">
      <c r="A9" s="63">
        <v>8</v>
      </c>
      <c r="B9" s="63" t="s">
        <v>1998</v>
      </c>
      <c r="C9" s="63" t="s">
        <v>4409</v>
      </c>
    </row>
    <row r="10" spans="1:3" x14ac:dyDescent="0.2">
      <c r="A10" s="63">
        <v>9</v>
      </c>
      <c r="B10" s="63" t="s">
        <v>2030</v>
      </c>
      <c r="C10" s="63" t="s">
        <v>4410</v>
      </c>
    </row>
    <row r="11" spans="1:3" x14ac:dyDescent="0.2">
      <c r="A11" s="63">
        <v>10</v>
      </c>
      <c r="B11" s="63" t="s">
        <v>2092</v>
      </c>
      <c r="C11" s="63" t="s">
        <v>4411</v>
      </c>
    </row>
    <row r="12" spans="1:3" x14ac:dyDescent="0.2">
      <c r="A12" s="63">
        <v>11</v>
      </c>
      <c r="B12" s="63" t="s">
        <v>1778</v>
      </c>
      <c r="C12" s="63" t="s">
        <v>4412</v>
      </c>
    </row>
    <row r="13" spans="1:3" x14ac:dyDescent="0.2">
      <c r="A13" s="63">
        <v>12</v>
      </c>
      <c r="B13" s="63" t="s">
        <v>1870</v>
      </c>
      <c r="C13" s="63" t="s">
        <v>4413</v>
      </c>
    </row>
    <row r="14" spans="1:3" x14ac:dyDescent="0.2">
      <c r="A14" s="63">
        <v>13</v>
      </c>
      <c r="B14" s="63" t="s">
        <v>2046</v>
      </c>
      <c r="C14" s="63" t="s">
        <v>4414</v>
      </c>
    </row>
    <row r="15" spans="1:3" x14ac:dyDescent="0.2">
      <c r="A15" s="63">
        <v>14</v>
      </c>
      <c r="B15" s="63" t="s">
        <v>2114</v>
      </c>
      <c r="C15" s="63" t="s">
        <v>4415</v>
      </c>
    </row>
    <row r="16" spans="1:3" x14ac:dyDescent="0.2">
      <c r="A16" s="63">
        <v>15</v>
      </c>
      <c r="B16" s="63" t="s">
        <v>2122</v>
      </c>
      <c r="C16" s="63" t="s">
        <v>4416</v>
      </c>
    </row>
    <row r="17" spans="1:3" x14ac:dyDescent="0.2">
      <c r="A17" s="63">
        <v>16</v>
      </c>
      <c r="B17" s="63" t="s">
        <v>2131</v>
      </c>
      <c r="C17" s="63" t="s">
        <v>4417</v>
      </c>
    </row>
    <row r="18" spans="1:3" x14ac:dyDescent="0.2">
      <c r="A18" s="63">
        <v>17</v>
      </c>
      <c r="B18" s="63" t="s">
        <v>2138</v>
      </c>
      <c r="C18" s="63" t="s">
        <v>4418</v>
      </c>
    </row>
    <row r="19" spans="1:3" x14ac:dyDescent="0.2">
      <c r="A19" s="63">
        <v>18</v>
      </c>
      <c r="B19" s="63" t="s">
        <v>1787</v>
      </c>
      <c r="C19" s="63" t="s">
        <v>4419</v>
      </c>
    </row>
    <row r="20" spans="1:3" x14ac:dyDescent="0.2">
      <c r="A20" s="63">
        <v>19</v>
      </c>
      <c r="B20" s="63" t="s">
        <v>1795</v>
      </c>
      <c r="C20" s="63" t="s">
        <v>4420</v>
      </c>
    </row>
    <row r="21" spans="1:3" x14ac:dyDescent="0.2">
      <c r="A21" s="63">
        <v>20</v>
      </c>
      <c r="B21" s="63" t="s">
        <v>1804</v>
      </c>
      <c r="C21" s="63" t="s">
        <v>4421</v>
      </c>
    </row>
    <row r="22" spans="1:3" x14ac:dyDescent="0.2">
      <c r="A22" s="63">
        <v>21</v>
      </c>
      <c r="B22" s="63" t="s">
        <v>1812</v>
      </c>
      <c r="C22" s="63" t="s">
        <v>4422</v>
      </c>
    </row>
    <row r="23" spans="1:3" x14ac:dyDescent="0.2">
      <c r="A23" s="63">
        <v>22</v>
      </c>
      <c r="B23" s="63" t="s">
        <v>1820</v>
      </c>
      <c r="C23" s="63" t="s">
        <v>4423</v>
      </c>
    </row>
    <row r="24" spans="1:3" x14ac:dyDescent="0.2">
      <c r="A24" s="63">
        <v>23</v>
      </c>
      <c r="B24" s="63" t="s">
        <v>1828</v>
      </c>
      <c r="C24" s="63" t="s">
        <v>4424</v>
      </c>
    </row>
    <row r="25" spans="1:3" x14ac:dyDescent="0.2">
      <c r="A25" s="63">
        <v>24</v>
      </c>
      <c r="B25" s="63" t="s">
        <v>1836</v>
      </c>
      <c r="C25" s="63" t="s">
        <v>4425</v>
      </c>
    </row>
    <row r="26" spans="1:3" x14ac:dyDescent="0.2">
      <c r="A26" s="63">
        <v>25</v>
      </c>
      <c r="B26" s="63" t="s">
        <v>1845</v>
      </c>
      <c r="C26" s="63" t="s">
        <v>4426</v>
      </c>
    </row>
    <row r="27" spans="1:3" x14ac:dyDescent="0.2">
      <c r="A27" s="63">
        <v>26</v>
      </c>
      <c r="B27" s="63" t="s">
        <v>1853</v>
      </c>
      <c r="C27" s="63" t="s">
        <v>4427</v>
      </c>
    </row>
    <row r="28" spans="1:3" x14ac:dyDescent="0.2">
      <c r="A28" s="63">
        <v>27</v>
      </c>
      <c r="B28" s="63" t="s">
        <v>1861</v>
      </c>
      <c r="C28" s="63" t="s">
        <v>4428</v>
      </c>
    </row>
    <row r="29" spans="1:3" x14ac:dyDescent="0.2">
      <c r="A29" s="63">
        <v>28</v>
      </c>
      <c r="B29" s="63" t="s">
        <v>1878</v>
      </c>
      <c r="C29" s="63" t="s">
        <v>4429</v>
      </c>
    </row>
    <row r="30" spans="1:3" x14ac:dyDescent="0.2">
      <c r="A30" s="63">
        <v>29</v>
      </c>
      <c r="B30" s="63" t="s">
        <v>1886</v>
      </c>
      <c r="C30" s="63" t="s">
        <v>4430</v>
      </c>
    </row>
    <row r="31" spans="1:3" x14ac:dyDescent="0.2">
      <c r="A31" s="63">
        <v>30</v>
      </c>
      <c r="B31" s="63" t="s">
        <v>1894</v>
      </c>
      <c r="C31" s="63" t="s">
        <v>4431</v>
      </c>
    </row>
    <row r="32" spans="1:3" x14ac:dyDescent="0.2">
      <c r="A32" s="63">
        <v>31</v>
      </c>
      <c r="B32" s="63" t="s">
        <v>1903</v>
      </c>
      <c r="C32" s="63" t="s">
        <v>4432</v>
      </c>
    </row>
    <row r="33" spans="1:3" x14ac:dyDescent="0.2">
      <c r="A33" s="63">
        <v>32</v>
      </c>
      <c r="B33" s="63" t="s">
        <v>1912</v>
      </c>
      <c r="C33" s="63" t="s">
        <v>4433</v>
      </c>
    </row>
    <row r="34" spans="1:3" x14ac:dyDescent="0.2">
      <c r="A34" s="63">
        <v>33</v>
      </c>
      <c r="B34" s="63" t="s">
        <v>1920</v>
      </c>
      <c r="C34" s="63" t="s">
        <v>4434</v>
      </c>
    </row>
    <row r="35" spans="1:3" x14ac:dyDescent="0.2">
      <c r="A35" s="63">
        <v>34</v>
      </c>
      <c r="B35" s="63" t="s">
        <v>1929</v>
      </c>
      <c r="C35" s="63" t="s">
        <v>4435</v>
      </c>
    </row>
    <row r="36" spans="1:3" x14ac:dyDescent="0.2">
      <c r="A36" s="63">
        <v>35</v>
      </c>
      <c r="B36" s="63" t="s">
        <v>1936</v>
      </c>
      <c r="C36" s="63" t="s">
        <v>4436</v>
      </c>
    </row>
    <row r="37" spans="1:3" x14ac:dyDescent="0.2">
      <c r="A37" s="63">
        <v>36</v>
      </c>
      <c r="B37" s="63" t="s">
        <v>1944</v>
      </c>
      <c r="C37" s="63" t="s">
        <v>4437</v>
      </c>
    </row>
    <row r="38" spans="1:3" x14ac:dyDescent="0.2">
      <c r="A38" s="63">
        <v>37</v>
      </c>
      <c r="B38" s="63" t="s">
        <v>1951</v>
      </c>
      <c r="C38" s="63" t="s">
        <v>4438</v>
      </c>
    </row>
    <row r="39" spans="1:3" x14ac:dyDescent="0.2">
      <c r="A39" s="63">
        <v>38</v>
      </c>
      <c r="B39" s="63" t="s">
        <v>1975</v>
      </c>
      <c r="C39" s="63" t="s">
        <v>4439</v>
      </c>
    </row>
    <row r="40" spans="1:3" x14ac:dyDescent="0.2">
      <c r="A40" s="63">
        <v>39</v>
      </c>
      <c r="B40" s="63" t="s">
        <v>1983</v>
      </c>
      <c r="C40" s="63" t="s">
        <v>4440</v>
      </c>
    </row>
    <row r="41" spans="1:3" x14ac:dyDescent="0.2">
      <c r="A41" s="63">
        <v>40</v>
      </c>
      <c r="B41" s="63" t="s">
        <v>1991</v>
      </c>
      <c r="C41" s="63" t="s">
        <v>4441</v>
      </c>
    </row>
    <row r="42" spans="1:3" x14ac:dyDescent="0.2">
      <c r="A42" s="63">
        <v>41</v>
      </c>
      <c r="B42" s="63" t="s">
        <v>2005</v>
      </c>
      <c r="C42" s="63" t="s">
        <v>4442</v>
      </c>
    </row>
    <row r="43" spans="1:3" x14ac:dyDescent="0.2">
      <c r="A43" s="63">
        <v>42</v>
      </c>
      <c r="B43" s="63" t="s">
        <v>2012</v>
      </c>
      <c r="C43" s="63" t="s">
        <v>4443</v>
      </c>
    </row>
    <row r="44" spans="1:3" x14ac:dyDescent="0.2">
      <c r="A44" s="63">
        <v>43</v>
      </c>
      <c r="B44" s="63" t="s">
        <v>2021</v>
      </c>
      <c r="C44" s="63" t="s">
        <v>4444</v>
      </c>
    </row>
    <row r="45" spans="1:3" x14ac:dyDescent="0.2">
      <c r="A45" s="63">
        <v>44</v>
      </c>
      <c r="B45" s="63" t="s">
        <v>2038</v>
      </c>
      <c r="C45" s="63" t="s">
        <v>4445</v>
      </c>
    </row>
    <row r="46" spans="1:3" x14ac:dyDescent="0.2">
      <c r="A46" s="63">
        <v>45</v>
      </c>
      <c r="B46" s="63" t="s">
        <v>2053</v>
      </c>
      <c r="C46" s="63" t="s">
        <v>4446</v>
      </c>
    </row>
    <row r="47" spans="1:3" x14ac:dyDescent="0.2">
      <c r="A47" s="63">
        <v>46</v>
      </c>
      <c r="B47" s="63" t="s">
        <v>2061</v>
      </c>
      <c r="C47" s="63" t="s">
        <v>4447</v>
      </c>
    </row>
    <row r="48" spans="1:3" x14ac:dyDescent="0.2">
      <c r="A48" s="63">
        <v>47</v>
      </c>
      <c r="B48" s="63" t="s">
        <v>2069</v>
      </c>
      <c r="C48" s="63" t="s">
        <v>4448</v>
      </c>
    </row>
    <row r="49" spans="1:3" x14ac:dyDescent="0.2">
      <c r="A49" s="63">
        <v>48</v>
      </c>
      <c r="B49" s="63" t="s">
        <v>2077</v>
      </c>
      <c r="C49" s="63" t="s">
        <v>4449</v>
      </c>
    </row>
    <row r="50" spans="1:3" x14ac:dyDescent="0.2">
      <c r="A50" s="63">
        <v>49</v>
      </c>
      <c r="B50" s="63" t="s">
        <v>2084</v>
      </c>
      <c r="C50" s="63" t="s">
        <v>4450</v>
      </c>
    </row>
    <row r="51" spans="1:3" x14ac:dyDescent="0.2">
      <c r="A51" s="63">
        <v>50</v>
      </c>
      <c r="B51" s="63" t="s">
        <v>2100</v>
      </c>
      <c r="C51" s="63" t="s">
        <v>4451</v>
      </c>
    </row>
    <row r="52" spans="1:3" x14ac:dyDescent="0.2">
      <c r="A52" s="63">
        <v>51</v>
      </c>
      <c r="B52" s="63" t="s">
        <v>948</v>
      </c>
      <c r="C52" s="63" t="s">
        <v>4452</v>
      </c>
    </row>
    <row r="53" spans="1:3" x14ac:dyDescent="0.2">
      <c r="A53" s="63">
        <v>52</v>
      </c>
      <c r="B53" s="63" t="s">
        <v>1034</v>
      </c>
      <c r="C53" s="63" t="s">
        <v>4453</v>
      </c>
    </row>
    <row r="54" spans="1:3" x14ac:dyDescent="0.2">
      <c r="A54" s="63">
        <v>53</v>
      </c>
      <c r="B54" s="63" t="s">
        <v>1122</v>
      </c>
      <c r="C54" s="63" t="s">
        <v>4454</v>
      </c>
    </row>
    <row r="55" spans="1:3" x14ac:dyDescent="0.2">
      <c r="A55" s="63">
        <v>54</v>
      </c>
      <c r="B55" s="63" t="s">
        <v>1208</v>
      </c>
      <c r="C55" s="63" t="s">
        <v>4455</v>
      </c>
    </row>
    <row r="56" spans="1:3" x14ac:dyDescent="0.2">
      <c r="A56" s="63">
        <v>55</v>
      </c>
      <c r="B56" s="63" t="s">
        <v>1232</v>
      </c>
      <c r="C56" s="63" t="s">
        <v>4456</v>
      </c>
    </row>
    <row r="57" spans="1:3" x14ac:dyDescent="0.2">
      <c r="A57" s="63">
        <v>56</v>
      </c>
      <c r="B57" s="63" t="s">
        <v>1248</v>
      </c>
      <c r="C57" s="63" t="s">
        <v>4457</v>
      </c>
    </row>
    <row r="58" spans="1:3" x14ac:dyDescent="0.2">
      <c r="A58" s="63">
        <v>57</v>
      </c>
      <c r="B58" s="63" t="s">
        <v>1256</v>
      </c>
      <c r="C58" s="63" t="s">
        <v>4458</v>
      </c>
    </row>
    <row r="59" spans="1:3" x14ac:dyDescent="0.2">
      <c r="A59" s="63">
        <v>58</v>
      </c>
      <c r="B59" s="63" t="s">
        <v>1264</v>
      </c>
      <c r="C59" s="63" t="s">
        <v>4459</v>
      </c>
    </row>
    <row r="60" spans="1:3" x14ac:dyDescent="0.2">
      <c r="A60" s="63">
        <v>59</v>
      </c>
      <c r="B60" s="63" t="s">
        <v>964</v>
      </c>
      <c r="C60" s="63" t="s">
        <v>4460</v>
      </c>
    </row>
    <row r="61" spans="1:3" x14ac:dyDescent="0.2">
      <c r="A61" s="63">
        <v>60</v>
      </c>
      <c r="B61" s="63" t="s">
        <v>980</v>
      </c>
      <c r="C61" s="63" t="s">
        <v>4461</v>
      </c>
    </row>
    <row r="62" spans="1:3" x14ac:dyDescent="0.2">
      <c r="A62" s="63">
        <v>61</v>
      </c>
      <c r="B62" s="63" t="s">
        <v>988</v>
      </c>
      <c r="C62" s="63" t="s">
        <v>4462</v>
      </c>
    </row>
    <row r="63" spans="1:3" x14ac:dyDescent="0.2">
      <c r="A63" s="63">
        <v>62</v>
      </c>
      <c r="B63" s="63" t="s">
        <v>995</v>
      </c>
      <c r="C63" s="63" t="s">
        <v>4463</v>
      </c>
    </row>
    <row r="64" spans="1:3" x14ac:dyDescent="0.2">
      <c r="A64" s="63">
        <v>63</v>
      </c>
      <c r="B64" s="63" t="s">
        <v>1003</v>
      </c>
      <c r="C64" s="63" t="s">
        <v>4464</v>
      </c>
    </row>
    <row r="65" spans="1:3" x14ac:dyDescent="0.2">
      <c r="A65" s="63">
        <v>64</v>
      </c>
      <c r="B65" s="63" t="s">
        <v>1011</v>
      </c>
      <c r="C65" s="63" t="s">
        <v>4465</v>
      </c>
    </row>
    <row r="66" spans="1:3" x14ac:dyDescent="0.2">
      <c r="A66" s="63">
        <v>65</v>
      </c>
      <c r="B66" s="63" t="s">
        <v>1018</v>
      </c>
      <c r="C66" s="63" t="s">
        <v>4466</v>
      </c>
    </row>
    <row r="67" spans="1:3" x14ac:dyDescent="0.2">
      <c r="A67" s="63">
        <v>66</v>
      </c>
      <c r="B67" s="63" t="s">
        <v>1026</v>
      </c>
      <c r="C67" s="63" t="s">
        <v>4467</v>
      </c>
    </row>
    <row r="68" spans="1:3" x14ac:dyDescent="0.2">
      <c r="A68" s="63">
        <v>67</v>
      </c>
      <c r="B68" s="63" t="s">
        <v>1041</v>
      </c>
      <c r="C68" s="63" t="s">
        <v>4468</v>
      </c>
    </row>
    <row r="69" spans="1:3" x14ac:dyDescent="0.2">
      <c r="A69" s="63">
        <v>68</v>
      </c>
      <c r="B69" s="63" t="s">
        <v>1049</v>
      </c>
      <c r="C69" s="63" t="s">
        <v>4469</v>
      </c>
    </row>
    <row r="70" spans="1:3" x14ac:dyDescent="0.2">
      <c r="A70" s="63">
        <v>69</v>
      </c>
      <c r="B70" s="63" t="s">
        <v>1057</v>
      </c>
      <c r="C70" s="63" t="s">
        <v>4470</v>
      </c>
    </row>
    <row r="71" spans="1:3" x14ac:dyDescent="0.2">
      <c r="A71" s="63">
        <v>70</v>
      </c>
      <c r="B71" s="63" t="s">
        <v>1082</v>
      </c>
      <c r="C71" s="63" t="s">
        <v>4471</v>
      </c>
    </row>
    <row r="72" spans="1:3" x14ac:dyDescent="0.2">
      <c r="A72" s="63">
        <v>71</v>
      </c>
      <c r="B72" s="63" t="s">
        <v>1090</v>
      </c>
      <c r="C72" s="63" t="s">
        <v>4472</v>
      </c>
    </row>
    <row r="73" spans="1:3" x14ac:dyDescent="0.2">
      <c r="A73" s="63">
        <v>72</v>
      </c>
      <c r="B73" s="63" t="s">
        <v>1106</v>
      </c>
      <c r="C73" s="63" t="s">
        <v>4473</v>
      </c>
    </row>
    <row r="74" spans="1:3" x14ac:dyDescent="0.2">
      <c r="A74" s="63">
        <v>73</v>
      </c>
      <c r="B74" s="63" t="s">
        <v>1114</v>
      </c>
      <c r="C74" s="63" t="s">
        <v>4474</v>
      </c>
    </row>
    <row r="75" spans="1:3" x14ac:dyDescent="0.2">
      <c r="A75" s="63">
        <v>74</v>
      </c>
      <c r="B75" s="63" t="s">
        <v>1129</v>
      </c>
      <c r="C75" s="63" t="s">
        <v>4475</v>
      </c>
    </row>
    <row r="76" spans="1:3" x14ac:dyDescent="0.2">
      <c r="A76" s="63">
        <v>75</v>
      </c>
      <c r="B76" s="63" t="s">
        <v>1145</v>
      </c>
      <c r="C76" s="63" t="s">
        <v>4476</v>
      </c>
    </row>
    <row r="77" spans="1:3" x14ac:dyDescent="0.2">
      <c r="A77" s="63">
        <v>76</v>
      </c>
      <c r="B77" s="63" t="s">
        <v>1153</v>
      </c>
      <c r="C77" s="63" t="s">
        <v>4477</v>
      </c>
    </row>
    <row r="78" spans="1:3" x14ac:dyDescent="0.2">
      <c r="A78" s="63">
        <v>77</v>
      </c>
      <c r="B78" s="63" t="s">
        <v>1160</v>
      </c>
      <c r="C78" s="63" t="s">
        <v>4478</v>
      </c>
    </row>
    <row r="79" spans="1:3" x14ac:dyDescent="0.2">
      <c r="A79" s="63">
        <v>78</v>
      </c>
      <c r="B79" s="63" t="s">
        <v>1168</v>
      </c>
      <c r="C79" s="63" t="s">
        <v>4479</v>
      </c>
    </row>
    <row r="80" spans="1:3" x14ac:dyDescent="0.2">
      <c r="A80" s="63">
        <v>79</v>
      </c>
      <c r="B80" s="63" t="s">
        <v>1176</v>
      </c>
      <c r="C80" s="63" t="s">
        <v>4480</v>
      </c>
    </row>
    <row r="81" spans="1:3" x14ac:dyDescent="0.2">
      <c r="A81" s="63">
        <v>80</v>
      </c>
      <c r="B81" s="63" t="s">
        <v>1184</v>
      </c>
      <c r="C81" s="63" t="s">
        <v>4481</v>
      </c>
    </row>
    <row r="82" spans="1:3" x14ac:dyDescent="0.2">
      <c r="A82" s="63">
        <v>81</v>
      </c>
      <c r="B82" s="63" t="s">
        <v>1191</v>
      </c>
      <c r="C82" s="63" t="s">
        <v>4482</v>
      </c>
    </row>
    <row r="83" spans="1:3" x14ac:dyDescent="0.2">
      <c r="A83" s="63">
        <v>82</v>
      </c>
      <c r="B83" s="63" t="s">
        <v>1200</v>
      </c>
      <c r="C83" s="63" t="s">
        <v>4483</v>
      </c>
    </row>
    <row r="84" spans="1:3" x14ac:dyDescent="0.2">
      <c r="A84" s="63">
        <v>83</v>
      </c>
      <c r="B84" s="63" t="s">
        <v>1216</v>
      </c>
      <c r="C84" s="63" t="s">
        <v>4484</v>
      </c>
    </row>
    <row r="85" spans="1:3" x14ac:dyDescent="0.2">
      <c r="A85" s="63">
        <v>84</v>
      </c>
      <c r="B85" s="63" t="s">
        <v>972</v>
      </c>
      <c r="C85" s="63" t="s">
        <v>4485</v>
      </c>
    </row>
    <row r="86" spans="1:3" x14ac:dyDescent="0.2">
      <c r="A86" s="63">
        <v>85</v>
      </c>
      <c r="B86" s="63" t="s">
        <v>1098</v>
      </c>
      <c r="C86" s="63" t="s">
        <v>4486</v>
      </c>
    </row>
    <row r="87" spans="1:3" x14ac:dyDescent="0.2">
      <c r="A87" s="63">
        <v>86</v>
      </c>
      <c r="B87" s="63" t="s">
        <v>1137</v>
      </c>
      <c r="C87" s="63" t="s">
        <v>4487</v>
      </c>
    </row>
    <row r="88" spans="1:3" x14ac:dyDescent="0.2">
      <c r="A88" s="63">
        <v>87</v>
      </c>
      <c r="B88" s="63" t="s">
        <v>1224</v>
      </c>
      <c r="C88" s="63" t="s">
        <v>4488</v>
      </c>
    </row>
    <row r="89" spans="1:3" x14ac:dyDescent="0.2">
      <c r="A89" s="63">
        <v>88</v>
      </c>
      <c r="B89" s="63" t="s">
        <v>672</v>
      </c>
      <c r="C89" s="63" t="s">
        <v>4489</v>
      </c>
    </row>
    <row r="90" spans="1:3" x14ac:dyDescent="0.2">
      <c r="A90" s="63">
        <v>89</v>
      </c>
      <c r="B90" s="63" t="s">
        <v>712</v>
      </c>
      <c r="C90" s="63" t="s">
        <v>4490</v>
      </c>
    </row>
    <row r="91" spans="1:3" x14ac:dyDescent="0.2">
      <c r="A91" s="63">
        <v>90</v>
      </c>
      <c r="B91" s="63" t="s">
        <v>593</v>
      </c>
      <c r="C91" s="63" t="s">
        <v>4491</v>
      </c>
    </row>
    <row r="92" spans="1:3" x14ac:dyDescent="0.2">
      <c r="A92" s="63">
        <v>91</v>
      </c>
      <c r="B92" s="63" t="s">
        <v>680</v>
      </c>
      <c r="C92" s="63" t="s">
        <v>4492</v>
      </c>
    </row>
    <row r="93" spans="1:3" x14ac:dyDescent="0.2">
      <c r="A93" s="63">
        <v>92</v>
      </c>
      <c r="B93" s="63" t="s">
        <v>771</v>
      </c>
      <c r="C93" s="63" t="s">
        <v>4493</v>
      </c>
    </row>
    <row r="94" spans="1:3" x14ac:dyDescent="0.2">
      <c r="A94" s="63">
        <v>93</v>
      </c>
      <c r="B94" s="63" t="s">
        <v>855</v>
      </c>
      <c r="C94" s="63" t="s">
        <v>4494</v>
      </c>
    </row>
    <row r="95" spans="1:3" x14ac:dyDescent="0.2">
      <c r="A95" s="63">
        <v>94</v>
      </c>
      <c r="B95" s="63" t="s">
        <v>864</v>
      </c>
      <c r="C95" s="63" t="s">
        <v>4495</v>
      </c>
    </row>
    <row r="96" spans="1:3" x14ac:dyDescent="0.2">
      <c r="A96" s="63">
        <v>95</v>
      </c>
      <c r="B96" s="63" t="s">
        <v>872</v>
      </c>
      <c r="C96" s="63" t="s">
        <v>4496</v>
      </c>
    </row>
    <row r="97" spans="1:3" x14ac:dyDescent="0.2">
      <c r="A97" s="63">
        <v>96</v>
      </c>
      <c r="B97" s="63" t="s">
        <v>880</v>
      </c>
      <c r="C97" s="63" t="s">
        <v>4497</v>
      </c>
    </row>
    <row r="98" spans="1:3" x14ac:dyDescent="0.2">
      <c r="A98" s="63">
        <v>97</v>
      </c>
      <c r="B98" s="63" t="s">
        <v>888</v>
      </c>
      <c r="C98" s="63" t="s">
        <v>4498</v>
      </c>
    </row>
    <row r="99" spans="1:3" x14ac:dyDescent="0.2">
      <c r="A99" s="63">
        <v>98</v>
      </c>
      <c r="B99" s="63" t="s">
        <v>508</v>
      </c>
      <c r="C99" s="63" t="s">
        <v>4499</v>
      </c>
    </row>
    <row r="100" spans="1:3" x14ac:dyDescent="0.2">
      <c r="A100" s="63">
        <v>99</v>
      </c>
      <c r="B100" s="63" t="s">
        <v>515</v>
      </c>
      <c r="C100" s="63" t="s">
        <v>4500</v>
      </c>
    </row>
    <row r="101" spans="1:3" x14ac:dyDescent="0.2">
      <c r="A101" s="63">
        <v>100</v>
      </c>
      <c r="B101" s="63" t="s">
        <v>524</v>
      </c>
      <c r="C101" s="63" t="s">
        <v>4501</v>
      </c>
    </row>
    <row r="102" spans="1:3" x14ac:dyDescent="0.2">
      <c r="A102" s="63">
        <v>101</v>
      </c>
      <c r="B102" s="63" t="s">
        <v>534</v>
      </c>
      <c r="C102" s="63" t="s">
        <v>4502</v>
      </c>
    </row>
    <row r="103" spans="1:3" x14ac:dyDescent="0.2">
      <c r="A103" s="63">
        <v>102</v>
      </c>
      <c r="B103" s="63" t="s">
        <v>543</v>
      </c>
      <c r="C103" s="63" t="s">
        <v>4503</v>
      </c>
    </row>
    <row r="104" spans="1:3" x14ac:dyDescent="0.2">
      <c r="A104" s="63">
        <v>103</v>
      </c>
      <c r="B104" s="63" t="s">
        <v>551</v>
      </c>
      <c r="C104" s="63" t="s">
        <v>4504</v>
      </c>
    </row>
    <row r="105" spans="1:3" x14ac:dyDescent="0.2">
      <c r="A105" s="63">
        <v>104</v>
      </c>
      <c r="B105" s="63" t="s">
        <v>560</v>
      </c>
      <c r="C105" s="63" t="s">
        <v>4505</v>
      </c>
    </row>
    <row r="106" spans="1:3" x14ac:dyDescent="0.2">
      <c r="A106" s="63">
        <v>105</v>
      </c>
      <c r="B106" s="63" t="s">
        <v>569</v>
      </c>
      <c r="C106" s="63" t="s">
        <v>4506</v>
      </c>
    </row>
    <row r="107" spans="1:3" x14ac:dyDescent="0.2">
      <c r="A107" s="63">
        <v>106</v>
      </c>
      <c r="B107" s="63" t="s">
        <v>578</v>
      </c>
      <c r="C107" s="63" t="s">
        <v>4507</v>
      </c>
    </row>
    <row r="108" spans="1:3" x14ac:dyDescent="0.2">
      <c r="A108" s="63">
        <v>107</v>
      </c>
      <c r="B108" s="63" t="s">
        <v>585</v>
      </c>
      <c r="C108" s="63" t="s">
        <v>4508</v>
      </c>
    </row>
    <row r="109" spans="1:3" x14ac:dyDescent="0.2">
      <c r="A109" s="63">
        <v>108</v>
      </c>
      <c r="B109" s="63" t="s">
        <v>601</v>
      </c>
      <c r="C109" s="63" t="s">
        <v>4509</v>
      </c>
    </row>
    <row r="110" spans="1:3" x14ac:dyDescent="0.2">
      <c r="A110" s="63">
        <v>109</v>
      </c>
      <c r="B110" s="63" t="s">
        <v>609</v>
      </c>
      <c r="C110" s="63" t="s">
        <v>4510</v>
      </c>
    </row>
    <row r="111" spans="1:3" x14ac:dyDescent="0.2">
      <c r="A111" s="63">
        <v>110</v>
      </c>
      <c r="B111" s="63" t="s">
        <v>616</v>
      </c>
      <c r="C111" s="63" t="s">
        <v>4511</v>
      </c>
    </row>
    <row r="112" spans="1:3" x14ac:dyDescent="0.2">
      <c r="A112" s="63">
        <v>111</v>
      </c>
      <c r="B112" s="63" t="s">
        <v>633</v>
      </c>
      <c r="C112" s="63" t="s">
        <v>4512</v>
      </c>
    </row>
    <row r="113" spans="1:3" x14ac:dyDescent="0.2">
      <c r="A113" s="63">
        <v>112</v>
      </c>
      <c r="B113" s="63" t="s">
        <v>641</v>
      </c>
      <c r="C113" s="63" t="s">
        <v>4513</v>
      </c>
    </row>
    <row r="114" spans="1:3" x14ac:dyDescent="0.2">
      <c r="A114" s="63">
        <v>113</v>
      </c>
      <c r="B114" s="63" t="s">
        <v>647</v>
      </c>
      <c r="C114" s="63" t="s">
        <v>4514</v>
      </c>
    </row>
    <row r="115" spans="1:3" x14ac:dyDescent="0.2">
      <c r="A115" s="63">
        <v>114</v>
      </c>
      <c r="B115" s="63" t="s">
        <v>655</v>
      </c>
      <c r="C115" s="63" t="s">
        <v>4515</v>
      </c>
    </row>
    <row r="116" spans="1:3" x14ac:dyDescent="0.2">
      <c r="A116" s="63">
        <v>115</v>
      </c>
      <c r="B116" s="63" t="s">
        <v>663</v>
      </c>
      <c r="C116" s="63" t="s">
        <v>4516</v>
      </c>
    </row>
    <row r="117" spans="1:3" x14ac:dyDescent="0.2">
      <c r="A117" s="63">
        <v>116</v>
      </c>
      <c r="B117" s="63" t="s">
        <v>689</v>
      </c>
      <c r="C117" s="63" t="s">
        <v>4517</v>
      </c>
    </row>
    <row r="118" spans="1:3" x14ac:dyDescent="0.2">
      <c r="A118" s="63">
        <v>117</v>
      </c>
      <c r="B118" s="63" t="s">
        <v>697</v>
      </c>
      <c r="C118" s="63" t="s">
        <v>4518</v>
      </c>
    </row>
    <row r="119" spans="1:3" x14ac:dyDescent="0.2">
      <c r="A119" s="63">
        <v>118</v>
      </c>
      <c r="B119" s="63" t="s">
        <v>705</v>
      </c>
      <c r="C119" s="63" t="s">
        <v>4519</v>
      </c>
    </row>
    <row r="120" spans="1:3" x14ac:dyDescent="0.2">
      <c r="A120" s="63">
        <v>119</v>
      </c>
      <c r="B120" s="63" t="s">
        <v>720</v>
      </c>
      <c r="C120" s="63" t="s">
        <v>4520</v>
      </c>
    </row>
    <row r="121" spans="1:3" x14ac:dyDescent="0.2">
      <c r="A121" s="63">
        <v>120</v>
      </c>
      <c r="B121" s="63" t="s">
        <v>729</v>
      </c>
      <c r="C121" s="63" t="s">
        <v>4521</v>
      </c>
    </row>
    <row r="122" spans="1:3" x14ac:dyDescent="0.2">
      <c r="A122" s="63">
        <v>121</v>
      </c>
      <c r="B122" s="63" t="s">
        <v>746</v>
      </c>
      <c r="C122" s="63" t="s">
        <v>4522</v>
      </c>
    </row>
    <row r="123" spans="1:3" x14ac:dyDescent="0.2">
      <c r="A123" s="63">
        <v>122</v>
      </c>
      <c r="B123" s="63" t="s">
        <v>755</v>
      </c>
      <c r="C123" s="63" t="s">
        <v>4523</v>
      </c>
    </row>
    <row r="124" spans="1:3" x14ac:dyDescent="0.2">
      <c r="A124" s="63">
        <v>123</v>
      </c>
      <c r="B124" s="63" t="s">
        <v>764</v>
      </c>
      <c r="C124" s="63" t="s">
        <v>4524</v>
      </c>
    </row>
    <row r="125" spans="1:3" x14ac:dyDescent="0.2">
      <c r="A125" s="63">
        <v>124</v>
      </c>
      <c r="B125" s="63" t="s">
        <v>779</v>
      </c>
      <c r="C125" s="63" t="s">
        <v>4525</v>
      </c>
    </row>
    <row r="126" spans="1:3" x14ac:dyDescent="0.2">
      <c r="A126" s="63">
        <v>125</v>
      </c>
      <c r="B126" s="63" t="s">
        <v>787</v>
      </c>
      <c r="C126" s="63" t="s">
        <v>4526</v>
      </c>
    </row>
    <row r="127" spans="1:3" x14ac:dyDescent="0.2">
      <c r="A127" s="63">
        <v>126</v>
      </c>
      <c r="B127" s="63" t="s">
        <v>795</v>
      </c>
      <c r="C127" s="63" t="s">
        <v>4527</v>
      </c>
    </row>
    <row r="128" spans="1:3" x14ac:dyDescent="0.2">
      <c r="A128" s="63">
        <v>127</v>
      </c>
      <c r="B128" s="63" t="s">
        <v>803</v>
      </c>
      <c r="C128" s="63" t="s">
        <v>4528</v>
      </c>
    </row>
    <row r="129" spans="1:3" x14ac:dyDescent="0.2">
      <c r="A129" s="63">
        <v>128</v>
      </c>
      <c r="B129" s="63" t="s">
        <v>812</v>
      </c>
      <c r="C129" s="63" t="s">
        <v>4529</v>
      </c>
    </row>
    <row r="130" spans="1:3" x14ac:dyDescent="0.2">
      <c r="A130" s="63">
        <v>129</v>
      </c>
      <c r="B130" s="63" t="s">
        <v>821</v>
      </c>
      <c r="C130" s="63" t="s">
        <v>4530</v>
      </c>
    </row>
    <row r="131" spans="1:3" x14ac:dyDescent="0.2">
      <c r="A131" s="63">
        <v>130</v>
      </c>
      <c r="B131" s="63" t="s">
        <v>830</v>
      </c>
      <c r="C131" s="63" t="s">
        <v>4531</v>
      </c>
    </row>
    <row r="132" spans="1:3" x14ac:dyDescent="0.2">
      <c r="A132" s="63">
        <v>131</v>
      </c>
      <c r="B132" s="63" t="s">
        <v>1346</v>
      </c>
      <c r="C132" s="63" t="s">
        <v>4532</v>
      </c>
    </row>
    <row r="133" spans="1:3" x14ac:dyDescent="0.2">
      <c r="A133" s="63">
        <v>132</v>
      </c>
      <c r="B133" s="63" t="s">
        <v>1386</v>
      </c>
      <c r="C133" s="63" t="s">
        <v>4533</v>
      </c>
    </row>
    <row r="134" spans="1:3" x14ac:dyDescent="0.2">
      <c r="A134" s="63">
        <v>133</v>
      </c>
      <c r="B134" s="63" t="s">
        <v>1510</v>
      </c>
      <c r="C134" s="63" t="s">
        <v>4534</v>
      </c>
    </row>
    <row r="135" spans="1:3" x14ac:dyDescent="0.2">
      <c r="A135" s="63">
        <v>134</v>
      </c>
      <c r="B135" s="63" t="s">
        <v>1550</v>
      </c>
      <c r="C135" s="63" t="s">
        <v>4535</v>
      </c>
    </row>
    <row r="136" spans="1:3" x14ac:dyDescent="0.2">
      <c r="A136" s="63">
        <v>135</v>
      </c>
      <c r="B136" s="63" t="s">
        <v>1582</v>
      </c>
      <c r="C136" s="63" t="s">
        <v>4536</v>
      </c>
    </row>
    <row r="137" spans="1:3" x14ac:dyDescent="0.2">
      <c r="A137" s="63">
        <v>136</v>
      </c>
      <c r="B137" s="63" t="s">
        <v>1729</v>
      </c>
      <c r="C137" s="63" t="s">
        <v>4537</v>
      </c>
    </row>
    <row r="138" spans="1:3" x14ac:dyDescent="0.2">
      <c r="A138" s="63">
        <v>137</v>
      </c>
      <c r="B138" s="63" t="s">
        <v>1271</v>
      </c>
      <c r="C138" s="63" t="s">
        <v>4538</v>
      </c>
    </row>
    <row r="139" spans="1:3" x14ac:dyDescent="0.2">
      <c r="A139" s="63">
        <v>138</v>
      </c>
      <c r="B139" s="63" t="s">
        <v>1354</v>
      </c>
      <c r="C139" s="63" t="s">
        <v>4539</v>
      </c>
    </row>
    <row r="140" spans="1:3" x14ac:dyDescent="0.2">
      <c r="A140" s="63">
        <v>139</v>
      </c>
      <c r="B140" s="63" t="s">
        <v>1445</v>
      </c>
      <c r="C140" s="63" t="s">
        <v>4540</v>
      </c>
    </row>
    <row r="141" spans="1:3" x14ac:dyDescent="0.2">
      <c r="A141" s="63">
        <v>140</v>
      </c>
      <c r="B141" s="63" t="s">
        <v>1534</v>
      </c>
      <c r="C141" s="63" t="s">
        <v>4541</v>
      </c>
    </row>
    <row r="142" spans="1:3" x14ac:dyDescent="0.2">
      <c r="A142" s="63">
        <v>141</v>
      </c>
      <c r="B142" s="63" t="s">
        <v>1713</v>
      </c>
      <c r="C142" s="63" t="s">
        <v>4542</v>
      </c>
    </row>
    <row r="143" spans="1:3" x14ac:dyDescent="0.2">
      <c r="A143" s="63">
        <v>142</v>
      </c>
      <c r="B143" s="63" t="s">
        <v>1753</v>
      </c>
      <c r="C143" s="63" t="s">
        <v>4543</v>
      </c>
    </row>
    <row r="144" spans="1:3" x14ac:dyDescent="0.2">
      <c r="A144" s="63">
        <v>143</v>
      </c>
      <c r="B144" s="63" t="s">
        <v>1761</v>
      </c>
      <c r="C144" s="63" t="s">
        <v>4544</v>
      </c>
    </row>
    <row r="145" spans="1:3" x14ac:dyDescent="0.2">
      <c r="A145" s="63">
        <v>144</v>
      </c>
      <c r="B145" s="63" t="s">
        <v>1769</v>
      </c>
      <c r="C145" s="63" t="s">
        <v>4545</v>
      </c>
    </row>
    <row r="146" spans="1:3" x14ac:dyDescent="0.2">
      <c r="A146" s="63">
        <v>145</v>
      </c>
      <c r="B146" s="63" t="s">
        <v>1278</v>
      </c>
      <c r="C146" s="63" t="s">
        <v>4546</v>
      </c>
    </row>
    <row r="147" spans="1:3" x14ac:dyDescent="0.2">
      <c r="A147" s="63">
        <v>146</v>
      </c>
      <c r="B147" s="63" t="s">
        <v>1286</v>
      </c>
      <c r="C147" s="63" t="s">
        <v>4547</v>
      </c>
    </row>
    <row r="148" spans="1:3" x14ac:dyDescent="0.2">
      <c r="A148" s="63">
        <v>147</v>
      </c>
      <c r="B148" s="63" t="s">
        <v>1295</v>
      </c>
      <c r="C148" s="63" t="s">
        <v>4548</v>
      </c>
    </row>
    <row r="149" spans="1:3" x14ac:dyDescent="0.2">
      <c r="A149" s="63">
        <v>148</v>
      </c>
      <c r="B149" s="63" t="s">
        <v>1304</v>
      </c>
      <c r="C149" s="63" t="s">
        <v>4549</v>
      </c>
    </row>
    <row r="150" spans="1:3" x14ac:dyDescent="0.2">
      <c r="A150" s="63">
        <v>149</v>
      </c>
      <c r="B150" s="63" t="s">
        <v>1311</v>
      </c>
      <c r="C150" s="63" t="s">
        <v>4550</v>
      </c>
    </row>
    <row r="151" spans="1:3" x14ac:dyDescent="0.2">
      <c r="A151" s="63">
        <v>150</v>
      </c>
      <c r="B151" s="63" t="s">
        <v>1318</v>
      </c>
      <c r="C151" s="63" t="s">
        <v>4551</v>
      </c>
    </row>
    <row r="152" spans="1:3" x14ac:dyDescent="0.2">
      <c r="A152" s="63">
        <v>151</v>
      </c>
      <c r="B152" s="63" t="s">
        <v>1331</v>
      </c>
      <c r="C152" s="63" t="s">
        <v>4552</v>
      </c>
    </row>
    <row r="153" spans="1:3" x14ac:dyDescent="0.2">
      <c r="A153" s="63">
        <v>152</v>
      </c>
      <c r="B153" s="63" t="s">
        <v>1338</v>
      </c>
      <c r="C153" s="63" t="s">
        <v>4553</v>
      </c>
    </row>
    <row r="154" spans="1:3" x14ac:dyDescent="0.2">
      <c r="A154" s="63">
        <v>153</v>
      </c>
      <c r="B154" s="63" t="s">
        <v>1362</v>
      </c>
      <c r="C154" s="63" t="s">
        <v>4554</v>
      </c>
    </row>
    <row r="155" spans="1:3" x14ac:dyDescent="0.2">
      <c r="A155" s="63">
        <v>154</v>
      </c>
      <c r="B155" s="63" t="s">
        <v>1370</v>
      </c>
      <c r="C155" s="63" t="s">
        <v>4555</v>
      </c>
    </row>
    <row r="156" spans="1:3" x14ac:dyDescent="0.2">
      <c r="A156" s="63">
        <v>155</v>
      </c>
      <c r="B156" s="63" t="s">
        <v>1378</v>
      </c>
      <c r="C156" s="63" t="s">
        <v>4556</v>
      </c>
    </row>
    <row r="157" spans="1:3" x14ac:dyDescent="0.2">
      <c r="A157" s="63">
        <v>156</v>
      </c>
      <c r="B157" s="63" t="s">
        <v>1395</v>
      </c>
      <c r="C157" s="63" t="s">
        <v>4557</v>
      </c>
    </row>
    <row r="158" spans="1:3" x14ac:dyDescent="0.2">
      <c r="A158" s="63">
        <v>157</v>
      </c>
      <c r="B158" s="63" t="s">
        <v>1403</v>
      </c>
      <c r="C158" s="63" t="s">
        <v>4558</v>
      </c>
    </row>
    <row r="159" spans="1:3" x14ac:dyDescent="0.2">
      <c r="A159" s="63">
        <v>158</v>
      </c>
      <c r="B159" s="63" t="s">
        <v>1411</v>
      </c>
      <c r="C159" s="63" t="s">
        <v>4559</v>
      </c>
    </row>
    <row r="160" spans="1:3" x14ac:dyDescent="0.2">
      <c r="A160" s="63">
        <v>159</v>
      </c>
      <c r="B160" s="63" t="s">
        <v>1420</v>
      </c>
      <c r="C160" s="63" t="s">
        <v>4560</v>
      </c>
    </row>
    <row r="161" spans="1:3" x14ac:dyDescent="0.2">
      <c r="A161" s="63">
        <v>160</v>
      </c>
      <c r="B161" s="63" t="s">
        <v>1438</v>
      </c>
      <c r="C161" s="63" t="s">
        <v>4561</v>
      </c>
    </row>
    <row r="162" spans="1:3" x14ac:dyDescent="0.2">
      <c r="A162" s="63">
        <v>161</v>
      </c>
      <c r="B162" s="63" t="s">
        <v>1453</v>
      </c>
      <c r="C162" s="63" t="s">
        <v>4562</v>
      </c>
    </row>
    <row r="163" spans="1:3" x14ac:dyDescent="0.2">
      <c r="A163" s="63">
        <v>162</v>
      </c>
      <c r="B163" s="63" t="s">
        <v>1461</v>
      </c>
      <c r="C163" s="63" t="s">
        <v>4563</v>
      </c>
    </row>
    <row r="164" spans="1:3" x14ac:dyDescent="0.2">
      <c r="A164" s="63">
        <v>163</v>
      </c>
      <c r="B164" s="63" t="s">
        <v>1468</v>
      </c>
      <c r="C164" s="63" t="s">
        <v>4564</v>
      </c>
    </row>
    <row r="165" spans="1:3" x14ac:dyDescent="0.2">
      <c r="A165" s="63">
        <v>164</v>
      </c>
      <c r="B165" s="63" t="s">
        <v>1477</v>
      </c>
      <c r="C165" s="63" t="s">
        <v>4565</v>
      </c>
    </row>
    <row r="166" spans="1:3" x14ac:dyDescent="0.2">
      <c r="A166" s="63">
        <v>165</v>
      </c>
      <c r="B166" s="63" t="s">
        <v>1486</v>
      </c>
      <c r="C166" s="63" t="s">
        <v>4566</v>
      </c>
    </row>
    <row r="167" spans="1:3" x14ac:dyDescent="0.2">
      <c r="A167" s="63">
        <v>166</v>
      </c>
      <c r="B167" s="63" t="s">
        <v>1494</v>
      </c>
      <c r="C167" s="63" t="s">
        <v>4567</v>
      </c>
    </row>
    <row r="168" spans="1:3" x14ac:dyDescent="0.2">
      <c r="A168" s="63">
        <v>167</v>
      </c>
      <c r="B168" s="63" t="s">
        <v>1502</v>
      </c>
      <c r="C168" s="63" t="s">
        <v>4568</v>
      </c>
    </row>
    <row r="169" spans="1:3" x14ac:dyDescent="0.2">
      <c r="A169" s="63">
        <v>168</v>
      </c>
      <c r="B169" s="63" t="s">
        <v>1518</v>
      </c>
      <c r="C169" s="63" t="s">
        <v>4569</v>
      </c>
    </row>
    <row r="170" spans="1:3" x14ac:dyDescent="0.2">
      <c r="A170" s="63">
        <v>169</v>
      </c>
      <c r="B170" s="63" t="s">
        <v>1526</v>
      </c>
      <c r="C170" s="63" t="s">
        <v>4570</v>
      </c>
    </row>
    <row r="171" spans="1:3" x14ac:dyDescent="0.2">
      <c r="A171" s="63">
        <v>170</v>
      </c>
      <c r="B171" s="63" t="s">
        <v>1542</v>
      </c>
      <c r="C171" s="63" t="s">
        <v>4571</v>
      </c>
    </row>
    <row r="172" spans="1:3" x14ac:dyDescent="0.2">
      <c r="A172" s="63">
        <v>171</v>
      </c>
      <c r="B172" s="63" t="s">
        <v>1557</v>
      </c>
      <c r="C172" s="63" t="s">
        <v>4572</v>
      </c>
    </row>
    <row r="173" spans="1:3" x14ac:dyDescent="0.2">
      <c r="A173" s="63">
        <v>172</v>
      </c>
      <c r="B173" s="63" t="s">
        <v>1566</v>
      </c>
      <c r="C173" s="63" t="s">
        <v>4573</v>
      </c>
    </row>
    <row r="174" spans="1:3" x14ac:dyDescent="0.2">
      <c r="A174" s="63">
        <v>173</v>
      </c>
      <c r="B174" s="63" t="s">
        <v>1574</v>
      </c>
      <c r="C174" s="63" t="s">
        <v>4574</v>
      </c>
    </row>
    <row r="175" spans="1:3" x14ac:dyDescent="0.2">
      <c r="A175" s="63">
        <v>174</v>
      </c>
      <c r="B175" s="63" t="s">
        <v>1591</v>
      </c>
      <c r="C175" s="63" t="s">
        <v>4575</v>
      </c>
    </row>
    <row r="176" spans="1:3" x14ac:dyDescent="0.2">
      <c r="A176" s="63">
        <v>175</v>
      </c>
      <c r="B176" s="63" t="s">
        <v>1598</v>
      </c>
      <c r="C176" s="63" t="s">
        <v>4576</v>
      </c>
    </row>
    <row r="177" spans="1:3" x14ac:dyDescent="0.2">
      <c r="A177" s="63">
        <v>176</v>
      </c>
      <c r="B177" s="63" t="s">
        <v>1606</v>
      </c>
      <c r="C177" s="63" t="s">
        <v>4577</v>
      </c>
    </row>
    <row r="178" spans="1:3" x14ac:dyDescent="0.2">
      <c r="A178" s="63">
        <v>177</v>
      </c>
      <c r="B178" s="63" t="s">
        <v>1615</v>
      </c>
      <c r="C178" s="63" t="s">
        <v>4578</v>
      </c>
    </row>
    <row r="179" spans="1:3" x14ac:dyDescent="0.2">
      <c r="A179" s="63">
        <v>178</v>
      </c>
      <c r="B179" s="63" t="s">
        <v>1632</v>
      </c>
      <c r="C179" s="63" t="s">
        <v>4579</v>
      </c>
    </row>
    <row r="180" spans="1:3" x14ac:dyDescent="0.2">
      <c r="A180" s="63">
        <v>179</v>
      </c>
      <c r="B180" s="63" t="s">
        <v>1640</v>
      </c>
      <c r="C180" s="63" t="s">
        <v>4580</v>
      </c>
    </row>
    <row r="181" spans="1:3" x14ac:dyDescent="0.2">
      <c r="A181" s="63">
        <v>180</v>
      </c>
      <c r="B181" s="63" t="s">
        <v>1648</v>
      </c>
      <c r="C181" s="63" t="s">
        <v>4581</v>
      </c>
    </row>
    <row r="182" spans="1:3" x14ac:dyDescent="0.2">
      <c r="A182" s="63">
        <v>181</v>
      </c>
      <c r="B182" s="63" t="s">
        <v>1656</v>
      </c>
      <c r="C182" s="63" t="s">
        <v>4582</v>
      </c>
    </row>
    <row r="183" spans="1:3" x14ac:dyDescent="0.2">
      <c r="A183" s="63">
        <v>182</v>
      </c>
      <c r="B183" s="63" t="s">
        <v>1663</v>
      </c>
      <c r="C183" s="63" t="s">
        <v>4583</v>
      </c>
    </row>
    <row r="184" spans="1:3" x14ac:dyDescent="0.2">
      <c r="A184" s="63">
        <v>183</v>
      </c>
      <c r="B184" s="63" t="s">
        <v>1671</v>
      </c>
      <c r="C184" s="63" t="s">
        <v>4584</v>
      </c>
    </row>
    <row r="185" spans="1:3" x14ac:dyDescent="0.2">
      <c r="A185" s="63">
        <v>184</v>
      </c>
      <c r="B185" s="63" t="s">
        <v>1679</v>
      </c>
      <c r="C185" s="63" t="s">
        <v>4585</v>
      </c>
    </row>
    <row r="186" spans="1:3" x14ac:dyDescent="0.2">
      <c r="A186" s="63">
        <v>185</v>
      </c>
      <c r="B186" s="63" t="s">
        <v>1687</v>
      </c>
      <c r="C186" s="63" t="s">
        <v>4586</v>
      </c>
    </row>
    <row r="187" spans="1:3" x14ac:dyDescent="0.2">
      <c r="A187" s="63">
        <v>186</v>
      </c>
      <c r="B187" s="63" t="s">
        <v>1696</v>
      </c>
      <c r="C187" s="63" t="s">
        <v>4587</v>
      </c>
    </row>
    <row r="188" spans="1:3" x14ac:dyDescent="0.2">
      <c r="A188" s="63">
        <v>187</v>
      </c>
      <c r="B188" s="63" t="s">
        <v>1705</v>
      </c>
      <c r="C188" s="63" t="s">
        <v>4588</v>
      </c>
    </row>
    <row r="189" spans="1:3" x14ac:dyDescent="0.2">
      <c r="A189" s="63">
        <v>188</v>
      </c>
      <c r="B189" s="63" t="s">
        <v>1721</v>
      </c>
      <c r="C189" s="63" t="s">
        <v>4589</v>
      </c>
    </row>
    <row r="190" spans="1:3" x14ac:dyDescent="0.2">
      <c r="A190" s="63">
        <v>189</v>
      </c>
      <c r="B190" s="63" t="s">
        <v>1737</v>
      </c>
      <c r="C190" s="63" t="s">
        <v>4590</v>
      </c>
    </row>
    <row r="191" spans="1:3" x14ac:dyDescent="0.2">
      <c r="A191" s="63">
        <v>190</v>
      </c>
      <c r="B191" s="63" t="s">
        <v>1745</v>
      </c>
      <c r="C191" s="63" t="s">
        <v>4591</v>
      </c>
    </row>
    <row r="192" spans="1:3" x14ac:dyDescent="0.2">
      <c r="A192" s="63">
        <v>191</v>
      </c>
      <c r="B192" s="63" t="s">
        <v>897</v>
      </c>
      <c r="C192" s="63" t="s">
        <v>4592</v>
      </c>
    </row>
    <row r="193" spans="1:3" x14ac:dyDescent="0.2">
      <c r="A193" s="63">
        <v>192</v>
      </c>
      <c r="B193" s="63" t="s">
        <v>906</v>
      </c>
      <c r="C193" s="63" t="s">
        <v>4593</v>
      </c>
    </row>
    <row r="194" spans="1:3" x14ac:dyDescent="0.2">
      <c r="A194" s="63">
        <v>193</v>
      </c>
      <c r="B194" s="63" t="s">
        <v>500</v>
      </c>
      <c r="C194" s="63" t="s">
        <v>4594</v>
      </c>
    </row>
    <row r="195" spans="1:3" x14ac:dyDescent="0.2">
      <c r="A195" s="63">
        <v>194</v>
      </c>
      <c r="B195" s="63" t="s">
        <v>838</v>
      </c>
      <c r="C195" s="63" t="s">
        <v>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Fresh</vt:lpstr>
      <vt:lpstr>Renewal</vt:lpstr>
      <vt:lpstr>Previous</vt:lpstr>
      <vt:lpstr>Summary</vt:lpstr>
      <vt:lpstr>Fresh Billing</vt:lpstr>
      <vt:lpstr>working</vt:lpstr>
      <vt:lpstr>Sheet2</vt:lpstr>
      <vt:lpstr>policy</vt:lpstr>
      <vt:lpstr>Renewal Billing</vt:lpstr>
      <vt:lpstr>working1</vt:lpstr>
      <vt:lpstr>Sheet5</vt:lpstr>
      <vt:lpstr>policy1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2024-12-03T04:15:38Z</dcterms:created>
  <dcterms:modified xsi:type="dcterms:W3CDTF">2024-12-23T10:25:21Z</dcterms:modified>
</cp:coreProperties>
</file>