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12-March-2025\"/>
    </mc:Choice>
  </mc:AlternateContent>
  <xr:revisionPtr revIDLastSave="0" documentId="8_{AB072FEA-F1F7-4A26-9F6B-C3A3BFF3DD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2" i="1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F2" i="2"/>
  <c r="D2" i="2"/>
  <c r="E1" i="3"/>
  <c r="H2" i="2" l="1"/>
</calcChain>
</file>

<file path=xl/sharedStrings.xml><?xml version="1.0" encoding="utf-8"?>
<sst xmlns="http://schemas.openxmlformats.org/spreadsheetml/2006/main" count="6778" uniqueCount="1582">
  <si>
    <t>S.N</t>
  </si>
  <si>
    <t>Policy</t>
  </si>
  <si>
    <t>Endorsement</t>
  </si>
  <si>
    <t>Issue Date</t>
  </si>
  <si>
    <t>Period
From</t>
  </si>
  <si>
    <t>Period
To</t>
  </si>
  <si>
    <t>Client
Code</t>
  </si>
  <si>
    <t>Insured Name</t>
  </si>
  <si>
    <t>Client Name</t>
  </si>
  <si>
    <t>Type</t>
  </si>
  <si>
    <t>Agency Code</t>
  </si>
  <si>
    <t>Co.
%</t>
  </si>
  <si>
    <t>Co. Company</t>
  </si>
  <si>
    <t>Sum Covered</t>
  </si>
  <si>
    <t>Gross Contribution</t>
  </si>
  <si>
    <t>FIF</t>
  </si>
  <si>
    <t>FED/
Sales Tax</t>
  </si>
  <si>
    <t>Stamp Duty</t>
  </si>
  <si>
    <t>Direct
Cost</t>
  </si>
  <si>
    <t>Net Contribution</t>
  </si>
  <si>
    <t>Deferred Commission</t>
  </si>
  <si>
    <t>Other Company</t>
  </si>
  <si>
    <t>Other</t>
  </si>
  <si>
    <t>Other Tax
Amount</t>
  </si>
  <si>
    <t>Other
Total</t>
  </si>
  <si>
    <t>ENDORSEMENT_TYPE</t>
  </si>
  <si>
    <t>KHI/HO/D/MI/CRP/C/3095/03/2025</t>
  </si>
  <si>
    <t>08822087</t>
  </si>
  <si>
    <t>Ihsan ur Rehman</t>
  </si>
  <si>
    <t>Karakoram Area Development Organization (KADO)</t>
  </si>
  <si>
    <t>D</t>
  </si>
  <si>
    <t>09000221/Muhammad Irfan</t>
  </si>
  <si>
    <t>11000003(STL)</t>
  </si>
  <si>
    <t>KHI/HO/D/MI/CRP/C/3096/03/2025</t>
  </si>
  <si>
    <t>Zaihoor</t>
  </si>
  <si>
    <t>KHI/HO/D/MI/CRP/C/3097/03/2025</t>
  </si>
  <si>
    <t>Parveen Bibi</t>
  </si>
  <si>
    <t>KHI/HO/D/MI/CRP/C/3098/03/2025</t>
  </si>
  <si>
    <t>Aniyat Bibi</t>
  </si>
  <si>
    <t>KHI/HO/D/MI/CRP/C/3099/03/2025</t>
  </si>
  <si>
    <t>Waqar Saeed</t>
  </si>
  <si>
    <t>KHI/HO/D/MI/CRP/C/3100/03/2025</t>
  </si>
  <si>
    <t>Hasham Bibi</t>
  </si>
  <si>
    <t>KHI/HO/D/MI/CRP/C/3101/03/2025</t>
  </si>
  <si>
    <t>Bibi Asia</t>
  </si>
  <si>
    <t>KHI/HO/D/MI/CRP/C/3102/03/2025</t>
  </si>
  <si>
    <t>Tehmina Bibi</t>
  </si>
  <si>
    <t>KHI/HO/D/MI/CRP/C/3103/03/2025</t>
  </si>
  <si>
    <t>Qurban Begum</t>
  </si>
  <si>
    <t>KHI/HO/D/MI/CRP/C/3104/03/2025</t>
  </si>
  <si>
    <t>Bibi Shahida Gul</t>
  </si>
  <si>
    <t>KHI/HO/D/MI/CRP/C/3105/03/2025</t>
  </si>
  <si>
    <t>Bibi</t>
  </si>
  <si>
    <t>KHI/HO/D/MI/CRP/C/3106/03/2025</t>
  </si>
  <si>
    <t>Tariq Hussain</t>
  </si>
  <si>
    <t>KHI/HO/D/MI/CRP/C/3107/03/2025</t>
  </si>
  <si>
    <t>Sana Ullah</t>
  </si>
  <si>
    <t>KHI/HO/D/MI/CRP/C/3108/03/2025</t>
  </si>
  <si>
    <t>Muhammad Noor Khan</t>
  </si>
  <si>
    <t>KHI/HO/D/MI/CRP/C/3109/03/2025</t>
  </si>
  <si>
    <t>Zakira Bibi</t>
  </si>
  <si>
    <t>KHI/HO/D/MI/CRP/C/3110/03/2025</t>
  </si>
  <si>
    <t>Mirza Jahan</t>
  </si>
  <si>
    <t>KHI/HO/D/MI/CRP/C/3111/03/2025</t>
  </si>
  <si>
    <t>Meraj Bibi</t>
  </si>
  <si>
    <t>KHI/HO/D/MI/CRP/C/3112/03/2025</t>
  </si>
  <si>
    <t>Noor Jahan</t>
  </si>
  <si>
    <t>KHI/HO/D/MI/CRP/C/3113/03/2025</t>
  </si>
  <si>
    <t>Sher Baber</t>
  </si>
  <si>
    <t>KHI/HO/D/MI/CRP/C/3114/03/2025</t>
  </si>
  <si>
    <t>Faiz Rehmat</t>
  </si>
  <si>
    <t>KHI/HO/D/MI/CRP/C/3115/03/2025</t>
  </si>
  <si>
    <t>Rehmat Ali</t>
  </si>
  <si>
    <t>KHI/HO/D/MI/CRP/C/3116/03/2025</t>
  </si>
  <si>
    <t>Bibi Hashima</t>
  </si>
  <si>
    <t>KHI/HO/D/MI/CRP/C/3117/03/2025</t>
  </si>
  <si>
    <t>Khonza Zareen</t>
  </si>
  <si>
    <t>KHI/HO/D/MI/CRP/C/3118/03/2025</t>
  </si>
  <si>
    <t>Sultana Bibi</t>
  </si>
  <si>
    <t>KHI/HO/D/MI/CRP/C/3119/03/2025</t>
  </si>
  <si>
    <t>Sher Nawab</t>
  </si>
  <si>
    <t>KHI/HO/D/MI/CRP/C/3120/03/2025</t>
  </si>
  <si>
    <t>Mehrab Bibi</t>
  </si>
  <si>
    <t>KHI/HO/D/MI/CRP/C/3121/03/2025</t>
  </si>
  <si>
    <t>Fazel Uddin</t>
  </si>
  <si>
    <t>KHI/HO/D/MI/CRP/C/3122/03/2025</t>
  </si>
  <si>
    <t>Khyer Ul Amin</t>
  </si>
  <si>
    <t>KHI/HO/D/MI/CRP/C/3123/03/2025</t>
  </si>
  <si>
    <t>Syed Tariq Hussain Shah</t>
  </si>
  <si>
    <t>KHI/HO/D/MI/CRP/C/3124/03/2025</t>
  </si>
  <si>
    <t>Zabia Bibi</t>
  </si>
  <si>
    <t>KHI/HO/D/MI/CRP/C/3125/03/2025</t>
  </si>
  <si>
    <t>Taighun Bibi</t>
  </si>
  <si>
    <t>KHI/HO/D/MI/CRP/C/3126/03/2025</t>
  </si>
  <si>
    <t>Usman Bibi</t>
  </si>
  <si>
    <t>KHI/HO/D/MI/CRP/C/3127/03/2025</t>
  </si>
  <si>
    <t>Suhrab Aleem</t>
  </si>
  <si>
    <t>KHI/HO/D/MI/CRP/C/3128/03/2025</t>
  </si>
  <si>
    <t>Shahzaad Ali Shah</t>
  </si>
  <si>
    <t>KHI/HO/D/MI/CRP/C/3129/03/2025</t>
  </si>
  <si>
    <t>Hussain Ali Shah</t>
  </si>
  <si>
    <t>KHI/HO/D/MI/CRP/C/3130/03/2025</t>
  </si>
  <si>
    <t>Ghulam Muhammad</t>
  </si>
  <si>
    <t>KHI/HO/D/MI/CRP/C/3131/03/2025</t>
  </si>
  <si>
    <t>Gulab Wali Shah</t>
  </si>
  <si>
    <t>KHI/HO/D/MI/CRP/C/3132/03/2025</t>
  </si>
  <si>
    <t>Khatoon Nisa</t>
  </si>
  <si>
    <t>KHI/HO/D/MI/CRP/C/3133/03/2025</t>
  </si>
  <si>
    <t>Mehrun Nisa</t>
  </si>
  <si>
    <t>KHI/HO/D/MI/CRP/C/3134/03/2025</t>
  </si>
  <si>
    <t>Muhammad Azim</t>
  </si>
  <si>
    <t>KHI/HO/D/MI/CRP/C/3135/03/2025</t>
  </si>
  <si>
    <t>Mahmuri Shah</t>
  </si>
  <si>
    <t>KHI/HO/D/MI/CRP/C/3136/03/2025</t>
  </si>
  <si>
    <t>Aziz Ali Shah</t>
  </si>
  <si>
    <t>KHI/HO/D/MI/CRP/C/3137/03/2025</t>
  </si>
  <si>
    <t>Muhammad Wali Shah</t>
  </si>
  <si>
    <t>KHI/HO/D/MI/CRP/C/3138/03/2025</t>
  </si>
  <si>
    <t>Bibi Zuhra</t>
  </si>
  <si>
    <t>KHI/HO/D/MI/CRP/C/3139/03/2025</t>
  </si>
  <si>
    <t>Jannat Bibi</t>
  </si>
  <si>
    <t>KHI/HO/D/MI/CRP/C/3140/03/2025</t>
  </si>
  <si>
    <t>Rehan</t>
  </si>
  <si>
    <t>KHI/HO/D/MI/CRP/C/3141/03/2025</t>
  </si>
  <si>
    <t>Bibi Saima</t>
  </si>
  <si>
    <t>KHI/HO/D/MI/CRP/C/3142/03/2025</t>
  </si>
  <si>
    <t>Noor Nawaz Khan</t>
  </si>
  <si>
    <t>KHI/HO/D/MI/CRP/C/3143/03/2025</t>
  </si>
  <si>
    <t>Jafar Aleem</t>
  </si>
  <si>
    <t>KHI/HO/D/MI/CRP/C/3144/03/2025</t>
  </si>
  <si>
    <t>Rehmat Aleem</t>
  </si>
  <si>
    <t>KHI/HO/D/MI/CRP/C/3145/03/2025</t>
  </si>
  <si>
    <t>Gul Yousuf</t>
  </si>
  <si>
    <t>KHI/HO/D/MI/CRP/C/3146/03/2025</t>
  </si>
  <si>
    <t>Azmat Shaheen</t>
  </si>
  <si>
    <t>KHI/HO/D/MI/CRP/C/3147/03/2025</t>
  </si>
  <si>
    <t>Sharafat</t>
  </si>
  <si>
    <t>KHI/HO/D/MI/CRP/C/3148/03/2025</t>
  </si>
  <si>
    <t>Hasna Bibi</t>
  </si>
  <si>
    <t>KHI/HO/D/MI/CRP/C/3149/03/2025</t>
  </si>
  <si>
    <t>Shaheen Bibi</t>
  </si>
  <si>
    <t>KHI/HO/D/MI/CRP/C/3150/03/2025</t>
  </si>
  <si>
    <t>Shakira Bibi</t>
  </si>
  <si>
    <t>KHI/HO/D/MI/CRP/C/3151/03/2025</t>
  </si>
  <si>
    <t>Shahzada Tariq Nawaz</t>
  </si>
  <si>
    <t>KHI/HO/D/MI/CRP/C/3152/03/2025</t>
  </si>
  <si>
    <t>Laila</t>
  </si>
  <si>
    <t>KHI/HO/D/MI/CRP/C/3153/03/2025</t>
  </si>
  <si>
    <t>Athar</t>
  </si>
  <si>
    <t>KHI/HO/D/MI/CRP/C/3154/03/2025</t>
  </si>
  <si>
    <t>Muhammad Hussain</t>
  </si>
  <si>
    <t>KHI/HO/D/MI/CRP/C/3155/03/2025</t>
  </si>
  <si>
    <t>Amir Nawaz</t>
  </si>
  <si>
    <t>KHI/HO/D/MI/CRP/C/3156/03/2025</t>
  </si>
  <si>
    <t>Aziz Muhammad Khan</t>
  </si>
  <si>
    <t>KHI/HO/D/MI/CRP/C/3157/03/2025</t>
  </si>
  <si>
    <t>Mir Jalal</t>
  </si>
  <si>
    <t>KHI/HO/D/MI/CRP/C/3158/03/2025</t>
  </si>
  <si>
    <t>Hamid Ali Khan</t>
  </si>
  <si>
    <t>KHI/HO/D/MI/CRP/C/3159/03/2025</t>
  </si>
  <si>
    <t>Baber Khan</t>
  </si>
  <si>
    <t>KHI/HO/D/MI/CRP/C/3160/03/2025</t>
  </si>
  <si>
    <t>Muhammad Alamgir Khan</t>
  </si>
  <si>
    <t>KHI/HO/D/MI/CRP/C/3161/03/2025</t>
  </si>
  <si>
    <t>Noor Baig</t>
  </si>
  <si>
    <t>KHI/HO/D/MI/CRP/C/3162/03/2025</t>
  </si>
  <si>
    <t>Jalal Ahmad</t>
  </si>
  <si>
    <t>KHI/HO/D/MI/CRP/C/3163/03/2025</t>
  </si>
  <si>
    <t>Sher Ali Khan</t>
  </si>
  <si>
    <t>KHI/HO/D/MI/CRP/C/3164/03/2025</t>
  </si>
  <si>
    <t>Shabana Ayub</t>
  </si>
  <si>
    <t>KHI/HO/D/MI/CRP/C/3165/03/2025</t>
  </si>
  <si>
    <t>Mir Nawaz</t>
  </si>
  <si>
    <t>KHI/HO/D/MI/CRP/C/3166/03/2025</t>
  </si>
  <si>
    <t>Bahader Shah</t>
  </si>
  <si>
    <t>KHI/HO/D/MI/CRP/C/3167/03/2025</t>
  </si>
  <si>
    <t>Niayat Ullah</t>
  </si>
  <si>
    <t>KHI/HO/D/MI/CRP/C/3168/03/2025</t>
  </si>
  <si>
    <t>jahan Afrooz</t>
  </si>
  <si>
    <t>KHI/HO/D/MI/CRP/C/3169/03/2025</t>
  </si>
  <si>
    <t>Mir Nawaz Khan</t>
  </si>
  <si>
    <t>KHI/HO/D/MI/CRP/C/3170/03/2025</t>
  </si>
  <si>
    <t>Muhammad Afzal</t>
  </si>
  <si>
    <t>KHI/HO/D/MI/CRP/C/3171/03/2025</t>
  </si>
  <si>
    <t>Sabir Ullah khan</t>
  </si>
  <si>
    <t>KHI/HO/D/MI/CRP/C/3172/03/2025</t>
  </si>
  <si>
    <t>Syed Karim Dad Shah</t>
  </si>
  <si>
    <t>KHI/HO/D/MI/CRP/C/3173/03/2025</t>
  </si>
  <si>
    <t>Bibi Hajima</t>
  </si>
  <si>
    <t>KHI/HO/D/MI/CRP/C/3174/03/2025</t>
  </si>
  <si>
    <t>Ashfaq Ali</t>
  </si>
  <si>
    <t>KHI/HO/D/MI/CRP/C/3175/03/2025</t>
  </si>
  <si>
    <t>Jamil Ahmad</t>
  </si>
  <si>
    <t>KHI/HO/D/MI/CRP/C/3176/03/2025</t>
  </si>
  <si>
    <t>Amir Gul</t>
  </si>
  <si>
    <t>KHI/HO/D/MI/CRP/C/3177/03/2025</t>
  </si>
  <si>
    <t>Hussain</t>
  </si>
  <si>
    <t>KHI/HO/D/MI/CRP/C/3178/03/2025</t>
  </si>
  <si>
    <t>Ibrahim Khan</t>
  </si>
  <si>
    <t>KHI/HO/D/MI/CRP/C/3179/03/2025</t>
  </si>
  <si>
    <t>Qurban Bibi</t>
  </si>
  <si>
    <t>KHI/HO/D/MI/CRP/C/3180/03/2025</t>
  </si>
  <si>
    <t>Qayum Khan</t>
  </si>
  <si>
    <t>KHI/HO/D/MI/CRP/C/3181/03/2025</t>
  </si>
  <si>
    <t>Abdul Ghafoor</t>
  </si>
  <si>
    <t>KHI/HO/D/MI/CRP/C/3182/03/2025</t>
  </si>
  <si>
    <t>Muhammad Zahir Shah</t>
  </si>
  <si>
    <t>KHI/HO/D/MI/CRP/C/3183/03/2025</t>
  </si>
  <si>
    <t>Muslim Shah</t>
  </si>
  <si>
    <t>KHI/HO/D/MI/CRP/C/3184/03/2025</t>
  </si>
  <si>
    <t>Muhammad Saleem</t>
  </si>
  <si>
    <t>KHI/HO/D/MI/CRP/C/3185/03/2025</t>
  </si>
  <si>
    <t>Sharif Uddin</t>
  </si>
  <si>
    <t>KHI/HO/D/MI/CRP/C/3186/03/2025</t>
  </si>
  <si>
    <t>Muhammad Qasim</t>
  </si>
  <si>
    <t>KHI/HO/D/MI/CRP/C/3187/03/2025</t>
  </si>
  <si>
    <t>Benazir</t>
  </si>
  <si>
    <t>KHI/HO/D/MI/CRP/C/3188/03/2025</t>
  </si>
  <si>
    <t>Khair Baig</t>
  </si>
  <si>
    <t>KHI/HO/D/MI/CRP/C/3189/03/2025</t>
  </si>
  <si>
    <t>Shahri Baig</t>
  </si>
  <si>
    <t>KHI/HO/D/MI/CRP/C/3190/03/2025</t>
  </si>
  <si>
    <t>Mumtaz Hussain</t>
  </si>
  <si>
    <t>KHI/HO/D/MI/CRP/C/3191/03/2025</t>
  </si>
  <si>
    <t>Zaar Bibi</t>
  </si>
  <si>
    <t>KHI/HO/D/MI/CRP/C/3192/03/2025</t>
  </si>
  <si>
    <t>Wazir Ali</t>
  </si>
  <si>
    <t>KHI/HO/D/MI/CRP/C/3193/03/2025</t>
  </si>
  <si>
    <t>Ali Sher Khan</t>
  </si>
  <si>
    <t>KHI/HO/D/MI/CRP/C/3194/03/2025</t>
  </si>
  <si>
    <t>Akbar Khan</t>
  </si>
  <si>
    <t>KHI/HO/D/MI/CRP/C/3195/03/2025</t>
  </si>
  <si>
    <t>Noor Islam Khan</t>
  </si>
  <si>
    <t>KHI/HO/D/MI/CRP/C/3196/03/2025</t>
  </si>
  <si>
    <t>Muhammad Tufail Shah</t>
  </si>
  <si>
    <t>KHI/HO/D/MI/CRP/C/3197/03/2025</t>
  </si>
  <si>
    <t>Muzaffar Khan</t>
  </si>
  <si>
    <t>KHI/HO/D/MI/CRP/C/3198/03/2025</t>
  </si>
  <si>
    <t>Mir Sahib Khan</t>
  </si>
  <si>
    <t>KHI/HO/D/MI/CRP/C/3199/03/2025</t>
  </si>
  <si>
    <t>Taqdir Ali</t>
  </si>
  <si>
    <t>KHI/HO/D/MI/CRP/C/3200/03/2025</t>
  </si>
  <si>
    <t>Kashif Ahmad</t>
  </si>
  <si>
    <t>KHI/HO/D/MI/CRP/C/3201/03/2025</t>
  </si>
  <si>
    <t>Hayat Uddin</t>
  </si>
  <si>
    <t>KHI/HO/D/MI/CRP/C/3202/03/2025</t>
  </si>
  <si>
    <t>Sher Faraz Khan</t>
  </si>
  <si>
    <t>KHI/HO/D/MI/CRP/C/3203/03/2025</t>
  </si>
  <si>
    <t>Zubaida Bibi</t>
  </si>
  <si>
    <t>KHI/HO/D/MI/CRP/C/3204/03/2025</t>
  </si>
  <si>
    <t>Sajida Bibi</t>
  </si>
  <si>
    <t>KHI/HO/D/MI/CRP/C/3205/03/2025</t>
  </si>
  <si>
    <t>Shamim</t>
  </si>
  <si>
    <t>KHI/HO/D/MI/CRP/C/3206/03/2025</t>
  </si>
  <si>
    <t>Mir Sahib Khan 2</t>
  </si>
  <si>
    <t>KHI/HO/D/MI/CRP/C/3207/03/2025</t>
  </si>
  <si>
    <t>Iqrar Uddin</t>
  </si>
  <si>
    <t>KHI/HO/D/MI/CRP/C/3208/03/2025</t>
  </si>
  <si>
    <t>Amir Khan</t>
  </si>
  <si>
    <t>KHI/HO/D/MI/CRP/C/3209/03/2025</t>
  </si>
  <si>
    <t>Abdul Qadir</t>
  </si>
  <si>
    <t>KHI/HO/D/MI/CRP/C/3210/03/2025</t>
  </si>
  <si>
    <t>Wazir Ali Shah</t>
  </si>
  <si>
    <t>KHI/HO/D/MI/CRP/C/3211/03/2025</t>
  </si>
  <si>
    <t>Nizam Uddin</t>
  </si>
  <si>
    <t>KHI/HO/D/MI/CRP/C/3212/03/2025</t>
  </si>
  <si>
    <t>Riaz Uddin</t>
  </si>
  <si>
    <t>KHI/HO/D/MI/CRP/C/3213/03/2025</t>
  </si>
  <si>
    <t>Mirza Rasool</t>
  </si>
  <si>
    <t>KHI/HO/D/MI/CRP/C/3214/03/2025</t>
  </si>
  <si>
    <t>Abulais</t>
  </si>
  <si>
    <t>KHI/HO/D/MI/CRP/C/3215/03/2025</t>
  </si>
  <si>
    <t>Mirza Begum</t>
  </si>
  <si>
    <t>KHI/HO/D/MI/CRP/C/3216/03/2025</t>
  </si>
  <si>
    <t>Raihana Bibi</t>
  </si>
  <si>
    <t>KHI/HO/D/MI/CRP/C/3217/03/2025</t>
  </si>
  <si>
    <t>Mehrab Khan</t>
  </si>
  <si>
    <t>KHI/HO/D/MI/CRP/C/3218/03/2025</t>
  </si>
  <si>
    <t>Sadiq Ali</t>
  </si>
  <si>
    <t>KHI/HO/D/MI/CRP/C/3219/03/2025</t>
  </si>
  <si>
    <t>Saif Ali</t>
  </si>
  <si>
    <t>KHI/HO/D/MI/CRP/C/3220/03/2025</t>
  </si>
  <si>
    <t>Mustanzir Ali</t>
  </si>
  <si>
    <t>KHI/HO/D/MI/CRP/C/3221/03/2025</t>
  </si>
  <si>
    <t>Amir Farhad Khan</t>
  </si>
  <si>
    <t>KHI/HO/D/MI/CRP/C/3222/03/2025</t>
  </si>
  <si>
    <t>Ikramullah</t>
  </si>
  <si>
    <t>KHI/HO/D/MI/CRP/C/3223/03/2025</t>
  </si>
  <si>
    <t>Masrifa Bibi</t>
  </si>
  <si>
    <t>KHI/HO/D/MI/CRP/C/3224/03/2025</t>
  </si>
  <si>
    <t>Rehmat Karim</t>
  </si>
  <si>
    <t>KHI/HO/D/MI/CRP/C/3225/03/2025</t>
  </si>
  <si>
    <t>Ali Murad</t>
  </si>
  <si>
    <t>KHI/HO/D/MI/CRP/C/3226/03/2025</t>
  </si>
  <si>
    <t>Azim Bibi</t>
  </si>
  <si>
    <t>KHI/HO/D/MI/CRP/C/3227/03/2025</t>
  </si>
  <si>
    <t>Farzana Bibi</t>
  </si>
  <si>
    <t>KHI/HO/D/MI/CRP/C/3228/03/2025</t>
  </si>
  <si>
    <t>Sajjad Ali Khan</t>
  </si>
  <si>
    <t>KHI/HO/D/MI/CRP/C/3229/03/2025</t>
  </si>
  <si>
    <t>Gul Dastan</t>
  </si>
  <si>
    <t>KHI/HO/D/MI/CRP/C/3230/03/2025</t>
  </si>
  <si>
    <t>Iqbal Hussain</t>
  </si>
  <si>
    <t>KHI/HO/D/MI/CRP/C/3231/03/2025</t>
  </si>
  <si>
    <t>Shams ul Hussain</t>
  </si>
  <si>
    <t>KHI/HO/D/MI/CRP/C/3232/03/2025</t>
  </si>
  <si>
    <t>Amir Murad Khan</t>
  </si>
  <si>
    <t>KHI/HO/D/MI/CRP/C/3233/03/2025</t>
  </si>
  <si>
    <t>Sultan Wazir</t>
  </si>
  <si>
    <t>KHI/HO/D/MI/CRP/C/3234/03/2025</t>
  </si>
  <si>
    <t>Amir Wazir</t>
  </si>
  <si>
    <t>KHI/HO/D/MI/CRP/C/3235/03/2025</t>
  </si>
  <si>
    <t>Zaifoon Bibi</t>
  </si>
  <si>
    <t>KHI/HO/D/MI/CRP/C/3236/03/2025</t>
  </si>
  <si>
    <t>Shifa Bibi</t>
  </si>
  <si>
    <t>KHI/HO/D/MI/CRP/C/3237/03/2025</t>
  </si>
  <si>
    <t>Shahnaz Bibi</t>
  </si>
  <si>
    <t>KHI/HO/D/MI/CRP/C/3238/03/2025</t>
  </si>
  <si>
    <t>Hasil Murad</t>
  </si>
  <si>
    <t>KHI/HO/D/MI/CRP/C/3239/03/2025</t>
  </si>
  <si>
    <t>Muhammad Nawaz Khan</t>
  </si>
  <si>
    <t>KHI/HO/D/MI/CRP/C/3240/03/2025</t>
  </si>
  <si>
    <t>Sara Malik</t>
  </si>
  <si>
    <t>KHI/HO/D/MI/CRP/C/3241/03/2025</t>
  </si>
  <si>
    <t>Mumtaz Ali</t>
  </si>
  <si>
    <t>KHI/HO/D/MI/CRP/C/3242/03/2025</t>
  </si>
  <si>
    <t>Sher Ajab Khan</t>
  </si>
  <si>
    <t>KHI/HO/D/MI/CRP/C/3243/03/2025</t>
  </si>
  <si>
    <t>Ali Ahmad Khan</t>
  </si>
  <si>
    <t>KHI/HO/D/MI/CRP/C/3244/03/2025</t>
  </si>
  <si>
    <t>Bahadur Ali</t>
  </si>
  <si>
    <t>KHI/HO/D/MI/CRP/C/3245/03/2025</t>
  </si>
  <si>
    <t>Juma Khan</t>
  </si>
  <si>
    <t>KHI/HO/D/MI/CRP/C/3246/03/2025</t>
  </si>
  <si>
    <t>Shahid Ullah</t>
  </si>
  <si>
    <t>KHI/HO/D/MI/CRP/C/3247/03/2025</t>
  </si>
  <si>
    <t>Jahangir Khan</t>
  </si>
  <si>
    <t>KHI/HO/D/MI/CRP/C/3248/03/2025</t>
  </si>
  <si>
    <t>Muhammad Ameen</t>
  </si>
  <si>
    <t>KHI/HO/D/MI/CRP/C/3249/03/2025</t>
  </si>
  <si>
    <t>Sher Dil Aman</t>
  </si>
  <si>
    <t>KHI/HO/D/MI/CRP/C/3250/03/2025</t>
  </si>
  <si>
    <t>Bibi Zulhaja</t>
  </si>
  <si>
    <t>KHI/HO/D/MI/CRP/C/3251/03/2025</t>
  </si>
  <si>
    <t>Bibi Zaar Gul</t>
  </si>
  <si>
    <t>KHI/HO/D/MI/CRP/C/3252/03/2025</t>
  </si>
  <si>
    <t>Zubaida</t>
  </si>
  <si>
    <t>KHI/HO/D/MI/CRP/C/3253/03/2025</t>
  </si>
  <si>
    <t>Nasim Bibi</t>
  </si>
  <si>
    <t>KHI/HO/D/MI/CRP/C/3254/03/2025</t>
  </si>
  <si>
    <t>Imran Khan</t>
  </si>
  <si>
    <t>KHI/HO/D/MI/CRP/C/3255/03/2025</t>
  </si>
  <si>
    <t>Azghar Hussain</t>
  </si>
  <si>
    <t>KHI/HO/D/MI/CRP/C/3256/03/2025</t>
  </si>
  <si>
    <t>Akbar Hussain</t>
  </si>
  <si>
    <t>KHI/HO/D/MI/CRP/C/3257/03/2025</t>
  </si>
  <si>
    <t>Bibi Noor</t>
  </si>
  <si>
    <t>KHI/HO/D/MI/CRP/C/3258/03/2025</t>
  </si>
  <si>
    <t>Sultana Tabassum</t>
  </si>
  <si>
    <t>KHI/HO/D/MI/CRP/C/3259/03/2025</t>
  </si>
  <si>
    <t>Rukhsana Bibi</t>
  </si>
  <si>
    <t>KHI/HO/D/MI/CRP/C/3260/03/2025</t>
  </si>
  <si>
    <t>Gulnar Bibi</t>
  </si>
  <si>
    <t>KHI/HO/D/MI/CRP/C/3261/03/2025</t>
  </si>
  <si>
    <t>Kaka Jan</t>
  </si>
  <si>
    <t>KHI/HO/D/MI/CRP/C/3262/03/2025</t>
  </si>
  <si>
    <t>Mir Ghazi Jan</t>
  </si>
  <si>
    <t>KHI/HO/D/MI/CRP/C/3263/03/2025</t>
  </si>
  <si>
    <t>Abdul Murad Khan</t>
  </si>
  <si>
    <t>KHI/HO/D/MI/CRP/C/3264/03/2025</t>
  </si>
  <si>
    <t>Chand Bibi</t>
  </si>
  <si>
    <t>KHI/HO/D/MI/CRP/C/3265/03/2025</t>
  </si>
  <si>
    <t>Zaheer Ud Din Baber</t>
  </si>
  <si>
    <t>KHI/HO/D/MI/CRP/C/3266/03/2025</t>
  </si>
  <si>
    <t>Muhammad Ayub</t>
  </si>
  <si>
    <t>KHI/HO/D/MI/CRP/C/3267/03/2025</t>
  </si>
  <si>
    <t>Shahzada Akbar Jan</t>
  </si>
  <si>
    <t>KHI/HO/D/MI/CRP/C/3268/03/2025</t>
  </si>
  <si>
    <t>Tariq Aziz</t>
  </si>
  <si>
    <t>KHI/HO/D/MI/CRP/C/3269/03/2025</t>
  </si>
  <si>
    <t>KHI/HO/D/MI/CRP/C/3270/03/2025</t>
  </si>
  <si>
    <t>Amir Muhammad</t>
  </si>
  <si>
    <t>KHI/HO/D/MI/CRP/C/3271/03/2025</t>
  </si>
  <si>
    <t>Muhammad Anwar Khan</t>
  </si>
  <si>
    <t>KHI/HO/D/MI/CRP/C/3272/03/2025</t>
  </si>
  <si>
    <t>Bibi Safora</t>
  </si>
  <si>
    <t>KHI/HO/D/MI/CRP/C/3273/03/2025</t>
  </si>
  <si>
    <t>Irfana Gul</t>
  </si>
  <si>
    <t>KHI/HO/D/MI/CRP/C/3274/03/2025</t>
  </si>
  <si>
    <t>Muhammad Ilyas</t>
  </si>
  <si>
    <t>KHI/HO/D/MI/CRP/C/3275/03/2025</t>
  </si>
  <si>
    <t>Mehtab Jabeen</t>
  </si>
  <si>
    <t>KHI/HO/D/MI/CRP/C/3276/03/2025</t>
  </si>
  <si>
    <t>Zaitoon</t>
  </si>
  <si>
    <t>KHI/HO/D/MI/CRP/C/3277/03/2025</t>
  </si>
  <si>
    <t>Inam Ullah</t>
  </si>
  <si>
    <t>KHI/HO/D/MI/CRP/C/3278/03/2025</t>
  </si>
  <si>
    <t>Almas Rani</t>
  </si>
  <si>
    <t>KHI/HO/D/MI/CRP/C/3279/03/2025</t>
  </si>
  <si>
    <t>Muhammad Wali Kazim</t>
  </si>
  <si>
    <t>KHI/HO/D/MI/CRP/C/3280/03/2025</t>
  </si>
  <si>
    <t>Bibi Khavla</t>
  </si>
  <si>
    <t>KHI/HO/D/MI/CRP/C/3281/03/2025</t>
  </si>
  <si>
    <t>Shahzad Khan</t>
  </si>
  <si>
    <t>KHI/HO/D/MI/CRP/C/3282/03/2025</t>
  </si>
  <si>
    <t>Aftab Muhammad Khan</t>
  </si>
  <si>
    <t>KHI/HO/D/MI/CRP/C/3283/03/2025</t>
  </si>
  <si>
    <t>Irshad Bibi</t>
  </si>
  <si>
    <t>KHI/HO/D/MI/CRP/C/3284/03/2025</t>
  </si>
  <si>
    <t>Khadija Bibi</t>
  </si>
  <si>
    <t>KHI/HO/D/MI/CRP/C/3285/03/2025</t>
  </si>
  <si>
    <t>Shahi Bibi</t>
  </si>
  <si>
    <t>KHI/HO/D/MI/CRP/C/3286/03/2025</t>
  </si>
  <si>
    <t>Khonza Jamal</t>
  </si>
  <si>
    <t>KHI/HO/D/MI/CRP/C/3287/03/2025</t>
  </si>
  <si>
    <t>Nasreen Jamal</t>
  </si>
  <si>
    <t>KHI/HO/D/MI/CRP/C/3288/03/2025</t>
  </si>
  <si>
    <t>Suraya Bibi</t>
  </si>
  <si>
    <t>KHI/HO/D/MI/CRP/C/3289/03/2025</t>
  </si>
  <si>
    <t>Sher Hakeem Khan</t>
  </si>
  <si>
    <t>KHI/HO/D/MI/CRP/C/3290/03/2025</t>
  </si>
  <si>
    <t>Raihana Atta</t>
  </si>
  <si>
    <t>KHI/HO/D/MI/CRP/C/3291/03/2025</t>
  </si>
  <si>
    <t>Mehboob Hussain</t>
  </si>
  <si>
    <t>KHI/HO/D/MI/CRP/C/3292/03/2025</t>
  </si>
  <si>
    <t>Rashida Khanam</t>
  </si>
  <si>
    <t>KHI/HO/D/MI/CRP/C/3293/03/2025</t>
  </si>
  <si>
    <t>Shahida Bibi</t>
  </si>
  <si>
    <t>KHI/HO/D/MI/CRP/C/3294/03/2025</t>
  </si>
  <si>
    <t>Liaqat Ali Khan</t>
  </si>
  <si>
    <t>KHI/HO/D/MI/CRP/C/3295/03/2025</t>
  </si>
  <si>
    <t>Aziz Ur Rehman</t>
  </si>
  <si>
    <t>KHI/HO/D/MI/CRP/C/3296/03/2025</t>
  </si>
  <si>
    <t>Afiat Khan</t>
  </si>
  <si>
    <t>KHI/HO/D/MI/CRP/C/3297/03/2025</t>
  </si>
  <si>
    <t>Adina Khan</t>
  </si>
  <si>
    <t>KHI/HO/D/MI/CRP/C/3298/03/2025</t>
  </si>
  <si>
    <t>Shah Bahadur</t>
  </si>
  <si>
    <t>KHI/HO/D/MI/CRP/C/3299/03/2025</t>
  </si>
  <si>
    <t>Salah Ud Din</t>
  </si>
  <si>
    <t>KHI/HO/D/MI/CRP/C/3300/03/2025</t>
  </si>
  <si>
    <t>Muhammad Haider</t>
  </si>
  <si>
    <t>KHI/HO/D/MI/CRP/C/3301/03/2025</t>
  </si>
  <si>
    <t>Hassan Ali</t>
  </si>
  <si>
    <t>KHI/HO/D/MI/CRP/C/3302/03/2025</t>
  </si>
  <si>
    <t>Zar Muhammad Khan</t>
  </si>
  <si>
    <t>KHI/HO/D/MI/CRP/C/3303/03/2025</t>
  </si>
  <si>
    <t>Abdul Karim</t>
  </si>
  <si>
    <t>KHI/HO/D/MI/CRP/C/3304/03/2025</t>
  </si>
  <si>
    <t>Muhammad Ayub Khan</t>
  </si>
  <si>
    <t>KHI/HO/D/MI/CRP/C/3305/03/2025</t>
  </si>
  <si>
    <t>Rahmat Ali</t>
  </si>
  <si>
    <t>KHI/HO/D/MI/CRP/C/3306/03/2025</t>
  </si>
  <si>
    <t>Akhter Hussain</t>
  </si>
  <si>
    <t>KHI/HO/D/MI/CRP/C/3307/03/2025</t>
  </si>
  <si>
    <t>Noor Wali Khan</t>
  </si>
  <si>
    <t>KHI/HO/D/MI/CRP/C/3308/03/2025</t>
  </si>
  <si>
    <t>Fiaz ur Rehman</t>
  </si>
  <si>
    <t>KHI/HO/D/MI/CRP/C/3309/03/2025</t>
  </si>
  <si>
    <t>Shakil Ahmad</t>
  </si>
  <si>
    <t>KHI/HO/D/MI/CRP/C/3310/03/2025</t>
  </si>
  <si>
    <t>Muhammad Sardar Khan</t>
  </si>
  <si>
    <t>KHI/HO/D/MI/CRP/C/3311/03/2025</t>
  </si>
  <si>
    <t>Abdul Dayan</t>
  </si>
  <si>
    <t>KHI/HO/D/MI/CRP/C/3312/03/2025</t>
  </si>
  <si>
    <t>KHI/HO/D/MI/CRP/C/3313/03/2025</t>
  </si>
  <si>
    <t>KHI/HO/D/MI/CRP/C/3314/03/2025</t>
  </si>
  <si>
    <t>Ghulam Haider</t>
  </si>
  <si>
    <t>KHI/HO/D/MI/CRP/C/3315/03/2025</t>
  </si>
  <si>
    <t>Faiz ur Rehman</t>
  </si>
  <si>
    <t>KHI/HO/D/MI/CRP/C/3316/03/2025</t>
  </si>
  <si>
    <t>Syed Hisam Uddin</t>
  </si>
  <si>
    <t>KHI/HO/D/MI/CRP/C/3317/03/2025</t>
  </si>
  <si>
    <t>Shakoor Bibi</t>
  </si>
  <si>
    <t>KHI/HO/D/MI/CRP/C/3318/03/2025</t>
  </si>
  <si>
    <t>Bibi Khadija</t>
  </si>
  <si>
    <t>KHI/HO/D/MI/CRP/C/3319/03/2025</t>
  </si>
  <si>
    <t>Sultana</t>
  </si>
  <si>
    <t>KHI/HO/D/MI/CRP/C/3320/03/2025</t>
  </si>
  <si>
    <t>Sadia</t>
  </si>
  <si>
    <t>KHI/HO/D/MI/CRP/C/3321/03/2025</t>
  </si>
  <si>
    <t>Hayat Muhammad</t>
  </si>
  <si>
    <t>KHI/HO/D/MI/CRP/C/3322/03/2025</t>
  </si>
  <si>
    <t>Abdul Niyaz</t>
  </si>
  <si>
    <t>KHI/HO/D/MI/CRP/C/3323/03/2025</t>
  </si>
  <si>
    <t>Aziz Ullah</t>
  </si>
  <si>
    <t>KHI/HO/D/MI/CRP/C/3324/03/2025</t>
  </si>
  <si>
    <t>Aziz Khan</t>
  </si>
  <si>
    <t>KHI/HO/D/MI/CRP/C/3325/03/2025</t>
  </si>
  <si>
    <t>Zia Ullah</t>
  </si>
  <si>
    <t>KHI/HO/D/MI/CRP/C/3326/03/2025</t>
  </si>
  <si>
    <t>Ghafora Bibi</t>
  </si>
  <si>
    <t>KHI/HO/D/MI/CRP/C/3327/03/2025</t>
  </si>
  <si>
    <t>Shahana Gul</t>
  </si>
  <si>
    <t>KHI/HO/D/MI/CRP/C/3328/03/2025</t>
  </si>
  <si>
    <t>Yosleem Bibi</t>
  </si>
  <si>
    <t>KHI/HO/D/MI/CRP/C/3329/03/2025</t>
  </si>
  <si>
    <t>Fida Hussain Khan</t>
  </si>
  <si>
    <t>KHI/HO/D/MI/CRP/C/3330/03/2025</t>
  </si>
  <si>
    <t>Gul Azra</t>
  </si>
  <si>
    <t>KHI/HO/D/MI/CRP/C/3331/03/2025</t>
  </si>
  <si>
    <t>Mashrafa Bibi</t>
  </si>
  <si>
    <t>KHI/HO/D/MI/CRP/C/3332/03/2025</t>
  </si>
  <si>
    <t>Bibi Shakila</t>
  </si>
  <si>
    <t>KHI/HO/D/MI/CRP/C/3333/03/2025</t>
  </si>
  <si>
    <t>Faiz Ullah</t>
  </si>
  <si>
    <t>KHI/HO/D/MI/CRP/C/3334/03/2025</t>
  </si>
  <si>
    <t>Bibi Husna</t>
  </si>
  <si>
    <t>KHI/HO/D/MI/CRP/C/3335/03/2025</t>
  </si>
  <si>
    <t>Shams ur Rehmat</t>
  </si>
  <si>
    <t>KHI/HO/D/MI/CRP/C/3336/03/2025</t>
  </si>
  <si>
    <t>Sadyar</t>
  </si>
  <si>
    <t>KHI/HO/D/MI/CRP/C/3337/03/2025</t>
  </si>
  <si>
    <t>Niat Bibi</t>
  </si>
  <si>
    <t>KHI/HO/D/MI/CRP/C/3338/03/2025</t>
  </si>
  <si>
    <t>Sonia Nazhat</t>
  </si>
  <si>
    <t>KHI/HO/D/MI/CRP/C/3339/03/2025</t>
  </si>
  <si>
    <t>Ruqiya Bibi</t>
  </si>
  <si>
    <t>KHI/HO/D/MI/CRP/C/3340/03/2025</t>
  </si>
  <si>
    <t>Fida Muhammad</t>
  </si>
  <si>
    <t>KHI/HO/D/MI/CRP/C/3341/03/2025</t>
  </si>
  <si>
    <t>Sher Afzal</t>
  </si>
  <si>
    <t>KHI/HO/D/MI/CRP/C/3342/03/2025</t>
  </si>
  <si>
    <t>Muhammad Sharif</t>
  </si>
  <si>
    <t>KHI/HO/D/MI/CRP/C/3343/03/2025</t>
  </si>
  <si>
    <t>Aman Ullah</t>
  </si>
  <si>
    <t>KHI/HO/D/MI/CRP/C/3344/03/2025</t>
  </si>
  <si>
    <t>Rehmat Zar</t>
  </si>
  <si>
    <t>KHI/HO/D/MI/CRP/C/3345/03/2025</t>
  </si>
  <si>
    <t>Riaz Ahmad</t>
  </si>
  <si>
    <t>KHI/HO/D/MI/CRP/C/3346/03/2025</t>
  </si>
  <si>
    <t>Ashraf Nisa</t>
  </si>
  <si>
    <t>KHI/HO/D/MI/CRP/C/3347/03/2025</t>
  </si>
  <si>
    <t>Zahida Bibi</t>
  </si>
  <si>
    <t>KHI/HO/D/MI/CRP/C/3348/03/2025</t>
  </si>
  <si>
    <t>Sajjad Ahmad</t>
  </si>
  <si>
    <t>KHI/HO/D/MI/CRP/C/3349/03/2025</t>
  </si>
  <si>
    <t>Khyer Ullah</t>
  </si>
  <si>
    <t>KHI/HO/D/MI/CRP/C/3350/03/2025</t>
  </si>
  <si>
    <t>Ikram Ud Din</t>
  </si>
  <si>
    <t>KHI/HO/D/MI/CRP/C/3351/03/2025</t>
  </si>
  <si>
    <t>KHI/HO/D/MI/CRP/C/3352/03/2025</t>
  </si>
  <si>
    <t>Saif Ur Rehman</t>
  </si>
  <si>
    <t>KHI/HO/D/MI/CRP/C/3353/03/2025</t>
  </si>
  <si>
    <t>Bibi Nisa</t>
  </si>
  <si>
    <t>KHI/HO/D/MI/CRP/C/3354/03/2025</t>
  </si>
  <si>
    <t>Huran Bibi</t>
  </si>
  <si>
    <t>KHI/HO/D/MI/CRP/C/3355/03/2025</t>
  </si>
  <si>
    <t>Rauf Ur Rehman</t>
  </si>
  <si>
    <t>KHI/HO/D/MI/CRP/C/3356/03/2025</t>
  </si>
  <si>
    <t>Munira Shaukat</t>
  </si>
  <si>
    <t>KHI/HO/D/MI/CRP/C/3357/03/2025</t>
  </si>
  <si>
    <t>Sher Afzal Khan</t>
  </si>
  <si>
    <t>KHI/HO/D/MI/CRP/C/3358/03/2025</t>
  </si>
  <si>
    <t>Mehtab Ahmad</t>
  </si>
  <si>
    <t>KHI/HO/D/MI/CRP/C/3359/03/2025</t>
  </si>
  <si>
    <t>Haider Bibi</t>
  </si>
  <si>
    <t>KHI/HO/D/MI/CRP/C/3360/03/2025</t>
  </si>
  <si>
    <t>Bibi Hafiza</t>
  </si>
  <si>
    <t>KHI/HO/D/MI/CRP/C/3361/03/2025</t>
  </si>
  <si>
    <t>Abdul Kafi</t>
  </si>
  <si>
    <t>KHI/HO/D/MI/CRP/C/3362/03/2025</t>
  </si>
  <si>
    <t>KHI/HO/D/MI/CRP/C/3363/03/2025</t>
  </si>
  <si>
    <t>Muzaffar Iqbal</t>
  </si>
  <si>
    <t>KHI/HO/D/MI/CRP/C/3364/03/2025</t>
  </si>
  <si>
    <t>Muhammad Ali</t>
  </si>
  <si>
    <t>KHI/HO/D/MI/CRP/C/3365/03/2025</t>
  </si>
  <si>
    <t>Bibi Nista</t>
  </si>
  <si>
    <t>KHI/HO/D/MI/CRP/C/3366/03/2025</t>
  </si>
  <si>
    <t>KHI/HO/D/MI/CRP/C/3367/03/2025</t>
  </si>
  <si>
    <t>Tahira Gul</t>
  </si>
  <si>
    <t>KHI/HO/D/MI/CRP/C/3368/03/2025</t>
  </si>
  <si>
    <t>Jaffar Ali</t>
  </si>
  <si>
    <t>KHI/HO/D/MI/CRP/C/3369/03/2025</t>
  </si>
  <si>
    <t>Irshad Ahmad</t>
  </si>
  <si>
    <t>KHI/HO/D/MI/CRP/C/3370/03/2025</t>
  </si>
  <si>
    <t>Noor Afzal</t>
  </si>
  <si>
    <t>KHI/HO/D/MI/CRP/C/3371/03/2025</t>
  </si>
  <si>
    <t>Khatoon</t>
  </si>
  <si>
    <t>KHI/HO/D/MI/CRP/C/3372/03/2025</t>
  </si>
  <si>
    <t>KHI/HO/D/MI/CRP/C/3373/03/2025</t>
  </si>
  <si>
    <t>Bibi Jamila</t>
  </si>
  <si>
    <t>KHI/HO/D/MI/CRP/C/3374/03/2025</t>
  </si>
  <si>
    <t>Dinar Khan</t>
  </si>
  <si>
    <t>KHI/HO/D/MI/CRP/C/3375/03/2025</t>
  </si>
  <si>
    <t>Muhammad Yousuf Khan</t>
  </si>
  <si>
    <t>KHI/HO/D/MI/CRP/C/3376/03/2025</t>
  </si>
  <si>
    <t>Qurban Ali</t>
  </si>
  <si>
    <t>KHI/HO/D/MI/CRP/C/3377/03/2025</t>
  </si>
  <si>
    <t>Zafar Ali Shah</t>
  </si>
  <si>
    <t>KHI/HO/D/MI/CRP/C/3378/03/2025</t>
  </si>
  <si>
    <t>Atta ur Rehman</t>
  </si>
  <si>
    <t>KHI/HO/D/MI/CRP/C/3379/03/2025</t>
  </si>
  <si>
    <t>Sulaiman Shah</t>
  </si>
  <si>
    <t>KHI/HO/D/MI/CRP/C/3380/03/2025</t>
  </si>
  <si>
    <t>Sahib Nawaz Khan</t>
  </si>
  <si>
    <t>KHI/HO/D/MI/CRP/C/3381/03/2025</t>
  </si>
  <si>
    <t>Akhter Ali</t>
  </si>
  <si>
    <t>KHI/HO/D/MI/CRP/C/3382/03/2025</t>
  </si>
  <si>
    <t>Didar Wali Khan</t>
  </si>
  <si>
    <t>KHI/HO/D/MI/CRP/C/3383/03/2025</t>
  </si>
  <si>
    <t>Zakir Ahmad Khan</t>
  </si>
  <si>
    <t>KHI/HO/D/MI/CRP/C/3384/03/2025</t>
  </si>
  <si>
    <t>Abid Ali</t>
  </si>
  <si>
    <t>KHI/HO/D/MI/CRP/C/3385/03/2025</t>
  </si>
  <si>
    <t>KHI/HO/D/MI/CRP/C/3386/03/2025</t>
  </si>
  <si>
    <t>KHI/HO/D/MI/CRP/C/3387/03/2025</t>
  </si>
  <si>
    <t>KHI/HO/D/MI/CRP/C/3388/03/2025</t>
  </si>
  <si>
    <t>KHI/HO/D/MI/CRP/C/3389/03/2025</t>
  </si>
  <si>
    <t>KHI/HO/D/MI/CRP/C/3390/03/2025</t>
  </si>
  <si>
    <t>KHI/HO/D/MI/CRP/C/3391/03/2025</t>
  </si>
  <si>
    <t>KHI/HO/D/MI/CRP/C/3392/03/2025</t>
  </si>
  <si>
    <t>KHI/HO/D/MI/CRP/C/3393/03/2025</t>
  </si>
  <si>
    <t>KHI/HO/D/MI/CRP/C/3394/03/2025</t>
  </si>
  <si>
    <t>KHI/HO/D/MI/CRP/C/3395/03/2025</t>
  </si>
  <si>
    <t>KHI/HO/D/MI/CRP/C/3396/03/2025</t>
  </si>
  <si>
    <t>KHI/HO/D/MI/CRP/C/3397/03/2025</t>
  </si>
  <si>
    <t>KHI/HO/D/MI/CRP/C/3398/03/2025</t>
  </si>
  <si>
    <t>KHI/HO/D/MI/CRP/C/3399/03/2025</t>
  </si>
  <si>
    <t>KHI/HO/D/MI/CRP/C/3400/03/2025</t>
  </si>
  <si>
    <t>KHI/HO/D/MI/CRP/C/3401/03/2025</t>
  </si>
  <si>
    <t>KHI/HO/D/MI/CRP/C/3402/03/2025</t>
  </si>
  <si>
    <t>KHI/HO/D/MI/CRP/C/3403/03/2025</t>
  </si>
  <si>
    <t>KHI/HO/D/MI/CRP/C/3404/03/2025</t>
  </si>
  <si>
    <t>KHI/HO/D/MI/CRP/C/3405/03/2025</t>
  </si>
  <si>
    <t>KHI/HO/D/MI/CRP/C/3406/03/2025</t>
  </si>
  <si>
    <t>KHI/HO/D/MI/CRP/C/3407/03/2025</t>
  </si>
  <si>
    <t>KHI/HO/D/MI/CRP/C/3408/03/2025</t>
  </si>
  <si>
    <t>KHI/HO/D/MI/CRP/C/3409/03/2025</t>
  </si>
  <si>
    <t>KHI/HO/D/MI/CRP/C/3410/03/2025</t>
  </si>
  <si>
    <t>KHI/HO/D/MI/CRP/C/3411/03/2025</t>
  </si>
  <si>
    <t>KHI/HO/D/MI/CRP/C/3412/03/2025</t>
  </si>
  <si>
    <t>KHI/HO/D/MI/CRP/C/3413/03/2025</t>
  </si>
  <si>
    <t>KHI/HO/D/MI/CRP/C/3414/03/2025</t>
  </si>
  <si>
    <t>KHI/HO/D/MI/CRP/C/3415/03/2025</t>
  </si>
  <si>
    <t>KHI/HO/D/MI/CRP/C/3416/03/2025</t>
  </si>
  <si>
    <t>KHI/HO/D/MI/CRP/C/3417/03/2025</t>
  </si>
  <si>
    <t>KHI/HO/D/MI/CRP/C/3418/03/2025</t>
  </si>
  <si>
    <t>KHI/HO/D/MI/CRP/C/3419/03/2025</t>
  </si>
  <si>
    <t>KHI/HO/D/MI/CRP/C/3420/03/2025</t>
  </si>
  <si>
    <t>KHI/HO/D/MI/CRP/C/3421/03/2025</t>
  </si>
  <si>
    <t>KHI/HO/D/MI/CRP/C/3422/03/2025</t>
  </si>
  <si>
    <t>KHI/HO/D/MI/CRP/C/3423/03/2025</t>
  </si>
  <si>
    <t>KHI/HO/D/MI/CRP/C/3424/03/2025</t>
  </si>
  <si>
    <t>KHI/HO/D/MI/CRP/C/3425/03/2025</t>
  </si>
  <si>
    <t>KHI/HO/D/MI/CRP/C/3426/03/2025</t>
  </si>
  <si>
    <t>KHI/HO/D/MI/CRP/C/3427/03/2025</t>
  </si>
  <si>
    <t>KHI/HO/D/MI/CRP/C/3428/03/2025</t>
  </si>
  <si>
    <t>KHI/HO/D/MI/CRP/C/3429/03/2025</t>
  </si>
  <si>
    <t>KHI/HO/D/MI/CRP/C/3430/03/2025</t>
  </si>
  <si>
    <t>KHI/HO/D/MI/CRP/C/3431/03/2025</t>
  </si>
  <si>
    <t>KHI/HO/D/MI/CRP/C/3432/03/2025</t>
  </si>
  <si>
    <t>KHI/HO/D/MI/CRP/C/3433/03/2025</t>
  </si>
  <si>
    <t>KHI/HO/D/MI/CRP/C/3434/03/2025</t>
  </si>
  <si>
    <t>KHI/HO/D/MI/CRP/C/3435/03/2025</t>
  </si>
  <si>
    <t>KHI/HO/D/MI/CRP/C/3436/03/2025</t>
  </si>
  <si>
    <t>KHI/HO/D/MI/CRP/C/3437/03/2025</t>
  </si>
  <si>
    <t>KHI/HO/D/MI/CRP/C/3438/03/2025</t>
  </si>
  <si>
    <t>KHI/HO/D/MI/CRP/C/3439/03/2025</t>
  </si>
  <si>
    <t>KHI/HO/D/MI/CRP/C/3440/03/2025</t>
  </si>
  <si>
    <t>KHI/HO/D/MI/CRP/C/3441/03/2025</t>
  </si>
  <si>
    <t>KHI/HO/D/MI/CRP/C/3442/03/2025</t>
  </si>
  <si>
    <t>KHI/HO/D/MI/CRP/C/3443/03/2025</t>
  </si>
  <si>
    <t>KHI/HO/D/MI/CRP/C/3444/03/2025</t>
  </si>
  <si>
    <t>KHI/HO/D/MI/CRP/C/3445/03/2025</t>
  </si>
  <si>
    <t>KHI/HO/D/MI/CRP/C/3446/03/2025</t>
  </si>
  <si>
    <t>KHI/HO/D/MI/CRP/C/3447/03/2025</t>
  </si>
  <si>
    <t>KHI/HO/D/MI/CRP/C/3448/03/2025</t>
  </si>
  <si>
    <t>KHI/HO/D/MI/CRP/C/3449/03/2025</t>
  </si>
  <si>
    <t>KHI/HO/D/MI/CRP/C/3450/03/2025</t>
  </si>
  <si>
    <t>KHI/HO/D/MI/CRP/C/3451/03/2025</t>
  </si>
  <si>
    <t>KHI/HO/D/MI/CRP/C/3452/03/2025</t>
  </si>
  <si>
    <t>KHI/HO/D/MI/CRP/C/3453/03/2025</t>
  </si>
  <si>
    <t>KHI/HO/D/MI/CRP/C/3454/03/2025</t>
  </si>
  <si>
    <t>KHI/HO/D/MI/CRP/C/3455/03/2025</t>
  </si>
  <si>
    <t>KHI/HO/D/MI/CRP/C/3456/03/2025</t>
  </si>
  <si>
    <t>KHI/HO/D/MI/CRP/C/3457/03/2025</t>
  </si>
  <si>
    <t>KHI/HO/D/MI/CRP/C/3458/03/2025</t>
  </si>
  <si>
    <t>KHI/HO/D/MI/CRP/C/3459/03/2025</t>
  </si>
  <si>
    <t>KHI/HO/D/MI/CRP/C/3460/03/2025</t>
  </si>
  <si>
    <t>KHI/HO/D/MI/CRP/C/3461/03/2025</t>
  </si>
  <si>
    <t>KHI/HO/D/MI/CRP/C/3462/03/2025</t>
  </si>
  <si>
    <t>KHI/HO/D/MI/CRP/C/3463/03/2025</t>
  </si>
  <si>
    <t>KHI/HO/D/MI/CRP/C/3464/03/2025</t>
  </si>
  <si>
    <t>KHI/HO/D/MI/CRP/C/3465/03/2025</t>
  </si>
  <si>
    <t>KHI/HO/D/MI/CRP/C/3466/03/2025</t>
  </si>
  <si>
    <t>KHI/HO/D/MI/CRP/C/3467/03/2025</t>
  </si>
  <si>
    <t>KHI/HO/D/MI/CRP/C/3468/03/2025</t>
  </si>
  <si>
    <t>KHI/HO/D/MI/CRP/C/3469/03/2025</t>
  </si>
  <si>
    <t>KHI/HO/D/MI/CRP/C/3470/03/2025</t>
  </si>
  <si>
    <t>KHI/HO/D/MI/CRP/C/3471/03/2025</t>
  </si>
  <si>
    <t>KHI/HO/D/MI/CRP/C/3472/03/2025</t>
  </si>
  <si>
    <t>KHI/HO/D/MI/CRP/C/3473/03/2025</t>
  </si>
  <si>
    <t>KHI/HO/D/MI/CRP/C/3474/03/2025</t>
  </si>
  <si>
    <t>KHI/HO/D/MI/CRP/C/3475/03/2025</t>
  </si>
  <si>
    <t>KHI/HO/D/MI/CRP/C/3476/03/2025</t>
  </si>
  <si>
    <t>KHI/HO/D/MI/CRP/C/3477/03/2025</t>
  </si>
  <si>
    <t>KHI/HO/D/MI/CRP/C/3478/03/2025</t>
  </si>
  <si>
    <t>KHI/HO/D/MI/CRP/C/3479/03/2025</t>
  </si>
  <si>
    <t>KHI/HO/D/MI/CRP/C/3480/03/2025</t>
  </si>
  <si>
    <t>KHI/HO/D/MI/CRP/C/3481/03/2025</t>
  </si>
  <si>
    <t>KHI/HO/D/MI/CRP/C/3482/03/2025</t>
  </si>
  <si>
    <t>KHI/HO/D/MI/CRP/C/3483/03/2025</t>
  </si>
  <si>
    <t>KHI/HO/D/MI/CRP/C/3484/03/2025</t>
  </si>
  <si>
    <t>KHI/HO/D/MI/CRP/C/3485/03/2025</t>
  </si>
  <si>
    <t>KHI/HO/D/MI/CRP/C/3486/03/2025</t>
  </si>
  <si>
    <t>KHI/HO/D/MI/CRP/C/3487/03/2025</t>
  </si>
  <si>
    <t>KHI/HO/D/MI/CRP/C/3488/03/2025</t>
  </si>
  <si>
    <t>KHI/HO/D/MI/CRP/C/3489/03/2025</t>
  </si>
  <si>
    <t>KHI/HO/D/MI/CRP/C/3490/03/2025</t>
  </si>
  <si>
    <t>KHI/HO/D/MI/CRP/C/3491/03/2025</t>
  </si>
  <si>
    <t>KHI/HO/D/MI/CRP/C/3492/03/2025</t>
  </si>
  <si>
    <t>KHI/HO/D/MI/CRP/C/3493/03/2025</t>
  </si>
  <si>
    <t>KHI/HO/D/MI/CRP/C/3494/03/2025</t>
  </si>
  <si>
    <t>KHI/HO/D/MI/CRP/C/3495/03/2025</t>
  </si>
  <si>
    <t>KHI/HO/D/MI/CRP/C/3496/03/2025</t>
  </si>
  <si>
    <t>KHI/HO/D/MI/CRP/C/3497/03/2025</t>
  </si>
  <si>
    <t>KHI/HO/D/MI/CRP/C/3498/03/2025</t>
  </si>
  <si>
    <t>KHI/HO/D/MI/CRP/C/3499/03/2025</t>
  </si>
  <si>
    <t>KHI/HO/D/MI/CRP/C/3500/03/2025</t>
  </si>
  <si>
    <t>KHI/HO/D/MI/CRP/C/3501/03/2025</t>
  </si>
  <si>
    <t>KHI/HO/D/MI/CRP/C/3502/03/2025</t>
  </si>
  <si>
    <t>KHI/HO/D/MI/CRP/C/3503/03/2025</t>
  </si>
  <si>
    <t>KHI/HO/D/MI/CRP/C/3504/03/2025</t>
  </si>
  <si>
    <t>KHI/HO/D/MI/CRP/C/3505/03/2025</t>
  </si>
  <si>
    <t>KHI/HO/D/MI/CRP/C/3506/03/2025</t>
  </si>
  <si>
    <t>KHI/HO/D/MI/CRP/C/3507/03/2025</t>
  </si>
  <si>
    <t>KHI/HO/D/MI/CRP/C/3508/03/2025</t>
  </si>
  <si>
    <t>KHI/HO/D/MI/CRP/C/3509/03/2025</t>
  </si>
  <si>
    <t>KHI/HO/D/MI/CRP/C/3510/03/2025</t>
  </si>
  <si>
    <t>KHI/HO/D/MI/CRP/C/3511/03/2025</t>
  </si>
  <si>
    <t>KHI/HO/D/MI/CRP/C/3512/03/2025</t>
  </si>
  <si>
    <t>KHI/HO/D/MI/CRP/C/3513/03/2025</t>
  </si>
  <si>
    <t>KHI/HO/D/MI/CRP/C/3514/03/2025</t>
  </si>
  <si>
    <t>KHI/HO/D/MI/CRP/C/3515/03/2025</t>
  </si>
  <si>
    <t>KHI/HO/D/MI/CRP/C/3516/03/2025</t>
  </si>
  <si>
    <t>KHI/HO/D/MI/CRP/C/3517/03/2025</t>
  </si>
  <si>
    <t>KHI/HO/D/MI/CRP/C/3518/03/2025</t>
  </si>
  <si>
    <t>KHI/HO/D/MI/CRP/C/3519/03/2025</t>
  </si>
  <si>
    <t>Noor Ullah</t>
  </si>
  <si>
    <t>KHI/HO/D/MI/CRP/C/3520/03/2025</t>
  </si>
  <si>
    <t>KHI/HO/D/MI/CRP/C/3521/03/2025</t>
  </si>
  <si>
    <t>KHI/HO/D/MI/CRP/C/3522/03/2025</t>
  </si>
  <si>
    <t>KHI/HO/D/MI/CRP/C/3523/03/2025</t>
  </si>
  <si>
    <t>KHI/HO/D/MI/CRP/C/3524/03/2025</t>
  </si>
  <si>
    <t>KHI/HO/D/MI/CRP/C/3525/03/2025</t>
  </si>
  <si>
    <t>KHI/HO/D/MI/CRP/C/3526/03/2025</t>
  </si>
  <si>
    <t>KHI/HO/D/MI/CRP/C/3527/03/2025</t>
  </si>
  <si>
    <t>KHI/HO/D/MI/CRP/C/3528/03/2025</t>
  </si>
  <si>
    <t>KHI/HO/D/MI/CRP/C/3529/03/2025</t>
  </si>
  <si>
    <t>KHI/HO/D/MI/CRP/C/3530/03/2025</t>
  </si>
  <si>
    <t>KHI/HO/D/MI/CRP/C/3531/03/2025</t>
  </si>
  <si>
    <t>KHI/HO/D/MI/CRP/C/3532/03/2025</t>
  </si>
  <si>
    <t>KHI/HO/D/MI/CRP/C/3533/03/2025</t>
  </si>
  <si>
    <t>KHI/HO/D/MI/CRP/C/3534/03/2025</t>
  </si>
  <si>
    <t>KHI/HO/D/MI/CRP/C/3535/03/2025</t>
  </si>
  <si>
    <t>KHI/HO/D/MI/CRP/C/3536/03/2025</t>
  </si>
  <si>
    <t>KHI/HO/D/MI/CRP/C/3537/03/2025</t>
  </si>
  <si>
    <t>KHI/HO/D/MI/CRP/C/3538/03/2025</t>
  </si>
  <si>
    <t>KHI/HO/D/MI/CRP/C/3539/03/2025</t>
  </si>
  <si>
    <t>KHI/HO/D/MI/CRP/C/3540/03/2025</t>
  </si>
  <si>
    <t>Kousar Parveen</t>
  </si>
  <si>
    <t>KHI/HO/D/MI/CRP/C/3541/03/2025</t>
  </si>
  <si>
    <t>KHI/HO/D/MI/CRP/C/3542/03/2025</t>
  </si>
  <si>
    <t>KHI/HO/D/MI/CRP/C/3543/03/2025</t>
  </si>
  <si>
    <t>KHI/HO/D/MI/CRP/C/3544/03/2025</t>
  </si>
  <si>
    <t>KHI/HO/D/MI/CRP/C/3545/03/2025</t>
  </si>
  <si>
    <t>KHI/HO/D/MI/CRP/C/3546/03/2025</t>
  </si>
  <si>
    <t>KHI/HO/D/MI/CRP/C/3547/03/2025</t>
  </si>
  <si>
    <t>KHI/HO/D/MI/CRP/C/3548/03/2025</t>
  </si>
  <si>
    <t>KHI/HO/D/MI/CRP/C/3549/03/2025</t>
  </si>
  <si>
    <t>KHI/HO/D/MI/CRP/C/3550/03/2025</t>
  </si>
  <si>
    <t>KHI/HO/D/MI/CRP/C/3551/03/2025</t>
  </si>
  <si>
    <t>KHI/HO/D/MI/CRP/C/3552/03/2025</t>
  </si>
  <si>
    <t>KHI/HO/D/MI/CRP/C/3553/03/2025</t>
  </si>
  <si>
    <t>KHI/HO/D/MI/CRP/C/3554/03/2025</t>
  </si>
  <si>
    <t>KHI/HO/D/MI/CRP/C/3555/03/2025</t>
  </si>
  <si>
    <t>KHI/HO/D/MI/CRP/C/3556/03/2025</t>
  </si>
  <si>
    <t>KHI/HO/D/MI/CRP/C/3557/03/2025</t>
  </si>
  <si>
    <t>KHI/HO/D/MI/CRP/C/3558/03/2025</t>
  </si>
  <si>
    <t>KHI/HO/D/MI/CRP/C/3559/03/2025</t>
  </si>
  <si>
    <t>KHI/HO/D/MI/CRP/C/3560/03/2025</t>
  </si>
  <si>
    <t>KHI/HO/D/MI/CRP/C/3561/03/2025</t>
  </si>
  <si>
    <t>KHI/HO/D/MI/CRP/C/3562/03/2025</t>
  </si>
  <si>
    <t>KHI/HO/D/MI/CRP/C/3563/03/2025</t>
  </si>
  <si>
    <t>KHI/HO/D/MI/CRP/C/3564/03/2025</t>
  </si>
  <si>
    <t>KHI/HO/D/MI/CRP/C/3565/03/2025</t>
  </si>
  <si>
    <t>KHI/HO/D/MI/CRP/C/3566/03/2025</t>
  </si>
  <si>
    <t>KHI/HO/D/MI/CRP/C/3567/03/2025</t>
  </si>
  <si>
    <t>KHI/HO/D/MI/CRP/C/3568/03/2025</t>
  </si>
  <si>
    <t>KHI/HO/D/MI/CRP/C/3569/03/2025</t>
  </si>
  <si>
    <t>KHI/HO/D/MI/CRP/C/3570/03/2025</t>
  </si>
  <si>
    <t>KHI/HO/D/MI/CRP/C/3571/03/2025</t>
  </si>
  <si>
    <t>KHI/HO/D/MI/CRP/C/3572/03/2025</t>
  </si>
  <si>
    <t>KHI/HO/D/MI/CRP/C/3573/03/2025</t>
  </si>
  <si>
    <t>KHI/HO/D/MI/CRP/C/3574/03/2025</t>
  </si>
  <si>
    <t>KHI/HO/D/MI/CRP/C/3575/03/2025</t>
  </si>
  <si>
    <t>KHI/HO/D/MI/CRP/C/3576/03/2025</t>
  </si>
  <si>
    <t>KHI/HO/D/MI/CRP/C/3577/03/2025</t>
  </si>
  <si>
    <t>KHI/HO/D/MI/CRP/C/3578/03/2025</t>
  </si>
  <si>
    <t>KHI/HO/D/MI/CRP/C/3579/03/2025</t>
  </si>
  <si>
    <t>KHI/HO/D/MI/CRP/C/3580/03/2025</t>
  </si>
  <si>
    <t>KHI/HO/D/MI/CRP/C/3581/03/2025</t>
  </si>
  <si>
    <t>KHI/HO/D/MI/CRP/C/3582/03/2025</t>
  </si>
  <si>
    <t>KHI/HO/D/MI/CRP/C/3583/03/2025</t>
  </si>
  <si>
    <t>KHI/HO/D/MI/CRP/C/3584/03/2025</t>
  </si>
  <si>
    <t>KHI/HO/D/MI/CRP/C/3585/03/2025</t>
  </si>
  <si>
    <t>KHI/HO/D/MI/CRP/C/3586/03/2025</t>
  </si>
  <si>
    <t>KHI/HO/D/MI/CRP/C/3587/03/2025</t>
  </si>
  <si>
    <t>KHI/HO/D/MI/CRP/C/3588/03/2025</t>
  </si>
  <si>
    <t>Haider Ali Khan</t>
  </si>
  <si>
    <t>KHI/HO/D/MI/CRP/C/3589/03/2025</t>
  </si>
  <si>
    <t>KHI/HO/D/MI/CRP/C/3590/03/2025</t>
  </si>
  <si>
    <t>KHI/HO/D/MI/CRP/C/3591/03/2025</t>
  </si>
  <si>
    <t>KHI/HO/D/MI/CRP/C/3592/03/2025</t>
  </si>
  <si>
    <t>Zarifa Bibi</t>
  </si>
  <si>
    <t>KHI/HO/D/MI/CRP/C/3593/03/2025</t>
  </si>
  <si>
    <t>-03-2025</t>
  </si>
  <si>
    <t>POLICY NO.</t>
  </si>
  <si>
    <t>Assorted_code</t>
  </si>
  <si>
    <t>Premium</t>
  </si>
  <si>
    <t>12Mar250017</t>
  </si>
  <si>
    <t xml:space="preserve">   </t>
  </si>
  <si>
    <t>FUNC_ASSORTED_STRING(IA.ASSORTED_CODE)</t>
  </si>
  <si>
    <t>ASSORTED_CODE</t>
  </si>
  <si>
    <t>070000177920</t>
  </si>
  <si>
    <t>070000177928</t>
  </si>
  <si>
    <t>070000177935</t>
  </si>
  <si>
    <t>070000177936</t>
  </si>
  <si>
    <t>070000177945</t>
  </si>
  <si>
    <t>070000177952</t>
  </si>
  <si>
    <t>070000177960</t>
  </si>
  <si>
    <t>070000177974</t>
  </si>
  <si>
    <t>070000177981</t>
  </si>
  <si>
    <t>070000177988</t>
  </si>
  <si>
    <t>070000177995</t>
  </si>
  <si>
    <t>070000178015</t>
  </si>
  <si>
    <t>070000178024</t>
  </si>
  <si>
    <t>070000178031</t>
  </si>
  <si>
    <t>070000178045</t>
  </si>
  <si>
    <t>070000178052</t>
  </si>
  <si>
    <t>070000178059</t>
  </si>
  <si>
    <t>070000178066</t>
  </si>
  <si>
    <t>070000178080</t>
  </si>
  <si>
    <t>070000178087</t>
  </si>
  <si>
    <t>070000178094</t>
  </si>
  <si>
    <t>070000178108</t>
  </si>
  <si>
    <t>070000178115</t>
  </si>
  <si>
    <t>070000178122</t>
  </si>
  <si>
    <t>070000178129</t>
  </si>
  <si>
    <t>070000178136</t>
  </si>
  <si>
    <t>070000178143</t>
  </si>
  <si>
    <t>070000178150</t>
  </si>
  <si>
    <t>070000178157</t>
  </si>
  <si>
    <t>070000178164</t>
  </si>
  <si>
    <t>070000178171</t>
  </si>
  <si>
    <t>070000178178</t>
  </si>
  <si>
    <t>070000178180</t>
  </si>
  <si>
    <t>070000178181</t>
  </si>
  <si>
    <t>070000178182</t>
  </si>
  <si>
    <t>070000178184</t>
  </si>
  <si>
    <t>070000178185</t>
  </si>
  <si>
    <t>070000178186</t>
  </si>
  <si>
    <t>070000178187</t>
  </si>
  <si>
    <t>070000178189</t>
  </si>
  <si>
    <t>070000178190</t>
  </si>
  <si>
    <t>070000178191</t>
  </si>
  <si>
    <t>070000178193</t>
  </si>
  <si>
    <t>070000178194</t>
  </si>
  <si>
    <t>070000178195</t>
  </si>
  <si>
    <t>070000178196</t>
  </si>
  <si>
    <t>070000178197</t>
  </si>
  <si>
    <t>070000178198</t>
  </si>
  <si>
    <t>070000178199</t>
  </si>
  <si>
    <t>070000178200</t>
  </si>
  <si>
    <t>070000178201</t>
  </si>
  <si>
    <t>070000178202</t>
  </si>
  <si>
    <t>070000178203</t>
  </si>
  <si>
    <t>070000178205</t>
  </si>
  <si>
    <t>070000178206</t>
  </si>
  <si>
    <t>070000178207</t>
  </si>
  <si>
    <t>070000178209</t>
  </si>
  <si>
    <t>070000178210</t>
  </si>
  <si>
    <t>070000178211</t>
  </si>
  <si>
    <t>070000178212</t>
  </si>
  <si>
    <t>070000178214</t>
  </si>
  <si>
    <t>070000178215</t>
  </si>
  <si>
    <t>070000178216</t>
  </si>
  <si>
    <t>070000178218</t>
  </si>
  <si>
    <t>070000178219</t>
  </si>
  <si>
    <t>070000178220</t>
  </si>
  <si>
    <t>070000178221</t>
  </si>
  <si>
    <t>070000178222</t>
  </si>
  <si>
    <t>070000178223</t>
  </si>
  <si>
    <t>070000178224</t>
  </si>
  <si>
    <t>070000178225</t>
  </si>
  <si>
    <t>070000178226</t>
  </si>
  <si>
    <t>070000178227</t>
  </si>
  <si>
    <t>070000178228</t>
  </si>
  <si>
    <t>070000178230</t>
  </si>
  <si>
    <t>070000178231</t>
  </si>
  <si>
    <t>070000178232</t>
  </si>
  <si>
    <t>070000178234</t>
  </si>
  <si>
    <t>070000178235</t>
  </si>
  <si>
    <t>070000178236</t>
  </si>
  <si>
    <t>070000178237</t>
  </si>
  <si>
    <t>070000178239</t>
  </si>
  <si>
    <t>070000178240</t>
  </si>
  <si>
    <t>070000178241</t>
  </si>
  <si>
    <t>070000178243</t>
  </si>
  <si>
    <t>070000178244</t>
  </si>
  <si>
    <t>070000178245</t>
  </si>
  <si>
    <t>070000178246</t>
  </si>
  <si>
    <t>070000178247</t>
  </si>
  <si>
    <t>070000178248</t>
  </si>
  <si>
    <t>070000178249</t>
  </si>
  <si>
    <t>070000178250</t>
  </si>
  <si>
    <t>070000178252</t>
  </si>
  <si>
    <t>070000178253</t>
  </si>
  <si>
    <t>070000178254</t>
  </si>
  <si>
    <t>070000178255</t>
  </si>
  <si>
    <t>070000178257</t>
  </si>
  <si>
    <t>070000178258</t>
  </si>
  <si>
    <t>070000178259</t>
  </si>
  <si>
    <t>070000178261</t>
  </si>
  <si>
    <t>070000178262</t>
  </si>
  <si>
    <t>070000178263</t>
  </si>
  <si>
    <t>070000178264</t>
  </si>
  <si>
    <t>KHI/HO/D/FR/ND/P/23302/03/2025</t>
  </si>
  <si>
    <t>040000196683</t>
  </si>
  <si>
    <t>070000178265</t>
  </si>
  <si>
    <t>070000178266</t>
  </si>
  <si>
    <t>070000178267</t>
  </si>
  <si>
    <t>070000178268</t>
  </si>
  <si>
    <t>070000178269</t>
  </si>
  <si>
    <t>070000178270</t>
  </si>
  <si>
    <t>070000178271</t>
  </si>
  <si>
    <t>070000178272</t>
  </si>
  <si>
    <t>070000177967</t>
  </si>
  <si>
    <t>070000178008</t>
  </si>
  <si>
    <t>070000178038</t>
  </si>
  <si>
    <t>070000178073</t>
  </si>
  <si>
    <t>070000178101</t>
  </si>
  <si>
    <t>070000178179</t>
  </si>
  <si>
    <t>070000178183</t>
  </si>
  <si>
    <t>070000178188</t>
  </si>
  <si>
    <t>070000178192</t>
  </si>
  <si>
    <t>070000178204</t>
  </si>
  <si>
    <t>070000178208</t>
  </si>
  <si>
    <t>070000178213</t>
  </si>
  <si>
    <t>070000178217</t>
  </si>
  <si>
    <t>070000178229</t>
  </si>
  <si>
    <t>070000178233</t>
  </si>
  <si>
    <t>070000178238</t>
  </si>
  <si>
    <t>070000178242</t>
  </si>
  <si>
    <t>070000178251</t>
  </si>
  <si>
    <t>070000178256</t>
  </si>
  <si>
    <t>070000178260</t>
  </si>
  <si>
    <t>KHI/HO/D/MO/PC COMP/E/53153/03/2025</t>
  </si>
  <si>
    <t>050000863654</t>
  </si>
  <si>
    <t>KHI/HO/D/MO/MC COMP/E/53174/03/2025</t>
  </si>
  <si>
    <t>050000863716</t>
  </si>
  <si>
    <t>KHI/HO/D/MO/MC COMP/E/53175/03/2025</t>
  </si>
  <si>
    <t>050000863727</t>
  </si>
  <si>
    <t>KHI/HO/D/MO/PC COMP/E/53177/03/2025</t>
  </si>
  <si>
    <t>050000863737</t>
  </si>
  <si>
    <t>KHI/HO/D/HLGRP HEALTH/P/3402/03/2025</t>
  </si>
  <si>
    <t>040000196871</t>
  </si>
  <si>
    <t>KHI/HO/D/MO/PD COMP/E/53121/03/2025</t>
  </si>
  <si>
    <t>050000863442</t>
  </si>
  <si>
    <t>KHI/HO/D/MO/PD COMP/E/53122/03/2025</t>
  </si>
  <si>
    <t>050000863443</t>
  </si>
  <si>
    <t>KHI/HO/D/MO/PD COMP/E/53123/03/2025</t>
  </si>
  <si>
    <t>050000863444</t>
  </si>
  <si>
    <t>KHI/HO/D/MO/PD COMP/E/53124/03/2025</t>
  </si>
  <si>
    <t>050000863445</t>
  </si>
  <si>
    <t>KHI/HO/D/MO/PD COMP/E/53125/03/2025</t>
  </si>
  <si>
    <t>050000863446</t>
  </si>
  <si>
    <t>KHI/HO/D/MO/PD COMP/E/53126/03/2025</t>
  </si>
  <si>
    <t>050000863447</t>
  </si>
  <si>
    <t>KHI/HO/D/MO/PD COMP/E/53127/03/2025</t>
  </si>
  <si>
    <t>050000863448</t>
  </si>
  <si>
    <t>KHI/HO/D/MO/PD COMP/E/53128/03/2025</t>
  </si>
  <si>
    <t>050000863449</t>
  </si>
  <si>
    <t>KHI/HO/D/MO/PD COMP/E/53129/03/2025</t>
  </si>
  <si>
    <t>050000863450</t>
  </si>
  <si>
    <t>KHI/HO/D/MO/PD COMP/E/53130/03/2025</t>
  </si>
  <si>
    <t>050000863451</t>
  </si>
  <si>
    <t>KHI/HO/D/MO/PD COMP/E/53131/03/2025</t>
  </si>
  <si>
    <t>050000863452</t>
  </si>
  <si>
    <t>KHI/HO/D/MO/PD COMP/E/53132/03/2025</t>
  </si>
  <si>
    <t>050000863453</t>
  </si>
  <si>
    <t>LHR/LHR/D/HLGRP HEALTH/P/3400/03/2025</t>
  </si>
  <si>
    <t>040000196792</t>
  </si>
  <si>
    <t>KHI/HO/D/MO/PD COMP/E/53133/03/2025</t>
  </si>
  <si>
    <t>050000863454</t>
  </si>
  <si>
    <t>KHI/HO/D/MO/PD COMP/E/53134/03/2025</t>
  </si>
  <si>
    <t>050000863455</t>
  </si>
  <si>
    <t>KHI/HO/D/MO/PD COMP/E/53135/03/2025</t>
  </si>
  <si>
    <t>050000863456</t>
  </si>
  <si>
    <t>KHI/HO/D/MO/PD COMP/E/53136/03/2025</t>
  </si>
  <si>
    <t>050000863457</t>
  </si>
  <si>
    <t>KHI/HO/D/MO/PD COMP/E/53137/03/2025</t>
  </si>
  <si>
    <t>050000863458</t>
  </si>
  <si>
    <t>KHI/HO/D/MO/PD COMP/E/53138/03/2025</t>
  </si>
  <si>
    <t>050000863459</t>
  </si>
  <si>
    <t>KHI/HO/D/MO/PC COMP/E/53139/03/2025</t>
  </si>
  <si>
    <t>050000863461</t>
  </si>
  <si>
    <t>KHI/HO/D/MO/PD COMP/E/53140/03/2025</t>
  </si>
  <si>
    <t>050000863462</t>
  </si>
  <si>
    <t>KHI/HO/D/MO/PC COMP/E/53142/03/2025</t>
  </si>
  <si>
    <t>050000863464</t>
  </si>
  <si>
    <t>070000177899</t>
  </si>
  <si>
    <t>070000177906</t>
  </si>
  <si>
    <t>070000177913</t>
  </si>
  <si>
    <t>KHI/HO/D/MO/PC COMP/E/53109/03/2025</t>
  </si>
  <si>
    <t>050000863216</t>
  </si>
  <si>
    <t>KHI/HO/D/MO/PC COMP/E/53110/03/2025</t>
  </si>
  <si>
    <t>050000863217</t>
  </si>
  <si>
    <t>KHI/HO/D/FR/ND/P/23318/03/2025</t>
  </si>
  <si>
    <t>040000196854</t>
  </si>
  <si>
    <t>KHI/HO/D/MO/PC COMP/E/53102/03/2025</t>
  </si>
  <si>
    <t>050000862939</t>
  </si>
  <si>
    <t>SKT/SKT/D/FR/ND/P/23316/03/2025</t>
  </si>
  <si>
    <t>040000196851</t>
  </si>
  <si>
    <t>KHI/HO/D/MO/PC COMP/E/53112/03/2025</t>
  </si>
  <si>
    <t>050000863219</t>
  </si>
  <si>
    <t>KHI/HO/D/MO/PC COMP/E/53113/03/2025</t>
  </si>
  <si>
    <t>050000863220</t>
  </si>
  <si>
    <t>KHI/HO/D/FR/ND/P/23305/03/2025</t>
  </si>
  <si>
    <t>040000196713</t>
  </si>
  <si>
    <t>KHI/HO/D/FR/ND/P/23307/03/2025</t>
  </si>
  <si>
    <t>040000196731</t>
  </si>
  <si>
    <t>KHI/HO/D/MO/PC COMP/E/53114/03/2025</t>
  </si>
  <si>
    <t>050000863221</t>
  </si>
  <si>
    <t>KHI/AR/AR/D/MO/MC TTT/E/53103/03/2025</t>
  </si>
  <si>
    <t>050000862940</t>
  </si>
  <si>
    <t>SKT/SKT/D/FR/ND/P/23308/03/2025</t>
  </si>
  <si>
    <t>040000196748</t>
  </si>
  <si>
    <t>KHI/HO/D/MO/MC COMP/E/53115/03/2025</t>
  </si>
  <si>
    <t>050000863222</t>
  </si>
  <si>
    <t>KHI/HO/D/HLGRP HEALTH/P/3397/03/2025</t>
  </si>
  <si>
    <t>040000196767</t>
  </si>
  <si>
    <t>KHI/HO/D/MO/PC COMP/E/53116/03/2025</t>
  </si>
  <si>
    <t>050000863223</t>
  </si>
  <si>
    <t>KHI/HO/D/FR/ND/P/23310/03/2025</t>
  </si>
  <si>
    <t>040000196798</t>
  </si>
  <si>
    <t>KHI/HO/D/MO/PC COMP/E/53104/03/2025</t>
  </si>
  <si>
    <t>050000862941</t>
  </si>
  <si>
    <t>KHI/HO/D/MO/PC COMP/E/53106/03/2025</t>
  </si>
  <si>
    <t>050000863213</t>
  </si>
  <si>
    <t>KHI/HO/D/MO/PC COMP/E/53107/03/2025</t>
  </si>
  <si>
    <t>050000863214</t>
  </si>
  <si>
    <t>KHI/HO/D/FR/ND/R/23264/03/2025</t>
  </si>
  <si>
    <t>080000179089</t>
  </si>
  <si>
    <t>KHI/HO/D/FR/ND/R/23265/03/2025</t>
  </si>
  <si>
    <t>080000179090</t>
  </si>
  <si>
    <t>LHR/LHR/D/MO/PC COMP/E/53108/03/2025</t>
  </si>
  <si>
    <t>050000863215</t>
  </si>
  <si>
    <t>KHI/HO/D/FR/ND/P/23311/03/2025</t>
  </si>
  <si>
    <t>040000196837</t>
  </si>
  <si>
    <t>KHI/HO/D/FR/ND/P/23313/03/2025</t>
  </si>
  <si>
    <t>040000196839</t>
  </si>
  <si>
    <t>KHI/HO/D/MO/PC COMP/E/53100/03/2025</t>
  </si>
  <si>
    <t>050000862937</t>
  </si>
  <si>
    <t>KHI/HO/D/FR/ND/P/23322/03/2025</t>
  </si>
  <si>
    <t>040000196901</t>
  </si>
  <si>
    <t>KHI/HO/D/FR/ND/P/23320/03/2025</t>
  </si>
  <si>
    <t>040000196859</t>
  </si>
  <si>
    <t>LHR/LHR/D/MO/PC TPP/E/53156/03/2025</t>
  </si>
  <si>
    <t>050000863690</t>
  </si>
  <si>
    <t>KHI/HO/D/FR/ND/P/23303/03/2025</t>
  </si>
  <si>
    <t>040000196697</t>
  </si>
  <si>
    <t>KHI/HO/D/FR/ND/P/23309/03/2025</t>
  </si>
  <si>
    <t>040000196790</t>
  </si>
  <si>
    <t>KHI/HO/D/FR/ND/P/23321/03/2025</t>
  </si>
  <si>
    <t>040000196877</t>
  </si>
  <si>
    <t>KHI/HO/D/MO/PD COMP/E/53176/03/2025</t>
  </si>
  <si>
    <t>050000863736</t>
  </si>
  <si>
    <t>KHI/HO/D/MI/MP/E/3234/03/2025</t>
  </si>
  <si>
    <t>050000862261</t>
  </si>
  <si>
    <t>KHI/HO/D/MO/PD COMP/E/53095/03/2025</t>
  </si>
  <si>
    <t>050000862918</t>
  </si>
  <si>
    <t>KHI/HO/D/MO/PD COMP/E/53096/03/2025</t>
  </si>
  <si>
    <t>050000862919</t>
  </si>
  <si>
    <t>KHI/HO/D/MO/PD COMP/E/53097/03/2025</t>
  </si>
  <si>
    <t>050000862920</t>
  </si>
  <si>
    <t>KHI/HO/D/MO/PD COMP/E/53098/03/2025</t>
  </si>
  <si>
    <t>050000862921</t>
  </si>
  <si>
    <t>070000177905</t>
  </si>
  <si>
    <t>070000177912</t>
  </si>
  <si>
    <t>070000177919</t>
  </si>
  <si>
    <t>070000177927</t>
  </si>
  <si>
    <t>070000177934</t>
  </si>
  <si>
    <t>070000177943</t>
  </si>
  <si>
    <t>070000177950</t>
  </si>
  <si>
    <t>070000177958</t>
  </si>
  <si>
    <t>070000177965</t>
  </si>
  <si>
    <t>070000177972</t>
  </si>
  <si>
    <t>070000177979</t>
  </si>
  <si>
    <t>070000177986</t>
  </si>
  <si>
    <t>070000177993</t>
  </si>
  <si>
    <t>070000178000</t>
  </si>
  <si>
    <t>070000178007</t>
  </si>
  <si>
    <t>070000178014</t>
  </si>
  <si>
    <t>070000178023</t>
  </si>
  <si>
    <t>070000178037</t>
  </si>
  <si>
    <t>070000178044</t>
  </si>
  <si>
    <t>070000178051</t>
  </si>
  <si>
    <t>070000178058</t>
  </si>
  <si>
    <t>070000178072</t>
  </si>
  <si>
    <t>070000178079</t>
  </si>
  <si>
    <t>070000178086</t>
  </si>
  <si>
    <t>070000178093</t>
  </si>
  <si>
    <t>070000178107</t>
  </si>
  <si>
    <t>070000178114</t>
  </si>
  <si>
    <t>070000178121</t>
  </si>
  <si>
    <t>070000178135</t>
  </si>
  <si>
    <t>070000178142</t>
  </si>
  <si>
    <t>070000178149</t>
  </si>
  <si>
    <t>070000178156</t>
  </si>
  <si>
    <t>070000178163</t>
  </si>
  <si>
    <t>070000178170</t>
  </si>
  <si>
    <t>070000178177</t>
  </si>
  <si>
    <t>KHI/HO/D/MO/PC COMP/E/53148/03/2025</t>
  </si>
  <si>
    <t>050000863474</t>
  </si>
  <si>
    <t>070000178030</t>
  </si>
  <si>
    <t>070000178065</t>
  </si>
  <si>
    <t>070000178100</t>
  </si>
  <si>
    <t>070000178128</t>
  </si>
  <si>
    <t>KHI/HO/D/FR/ND/P/23306/03/2025</t>
  </si>
  <si>
    <t>040000196725</t>
  </si>
  <si>
    <t>KHI/HO/D/HLGRP HEALTH/P/3398/03/2025</t>
  </si>
  <si>
    <t>040000196768</t>
  </si>
  <si>
    <t>KHI/HO/D/FR/ND/P/23312/03/2025</t>
  </si>
  <si>
    <t>040000196838</t>
  </si>
  <si>
    <t>KHI/HO/D/FR/ND/P/23315/03/2025</t>
  </si>
  <si>
    <t>040000196841</t>
  </si>
  <si>
    <t>KHI/HO/D/MO/PC COMP/E/53105/03/2025</t>
  </si>
  <si>
    <t>050000862942</t>
  </si>
  <si>
    <t>KHI/HO/D/FR/ND/P/23317/03/2025</t>
  </si>
  <si>
    <t>040000196853</t>
  </si>
  <si>
    <t>KHI/HO/D/MO/PC COMP/E/53181/03/2025</t>
  </si>
  <si>
    <t>050000864011</t>
  </si>
  <si>
    <t>LHR/LHR/D/MO/PC COMP/E/53183/03/2025</t>
  </si>
  <si>
    <t>050000864013</t>
  </si>
  <si>
    <t>KHI/HO/D/MO/PC COMP/E/53184/03/2025</t>
  </si>
  <si>
    <t>050000864014</t>
  </si>
  <si>
    <t>KHI/HO/D/MO/PD COMP/E/53185/03/2025</t>
  </si>
  <si>
    <t>050000864015</t>
  </si>
  <si>
    <t>KHI/HO/D/MO/PD COMP/E/53186/03/2025</t>
  </si>
  <si>
    <t>050000864016</t>
  </si>
  <si>
    <t>KHI/HO/D/MO/PD COMP/E/53187/03/2025</t>
  </si>
  <si>
    <t>050000864017</t>
  </si>
  <si>
    <t>KHI/HO/D/MO/PD COMP/E/53188/03/2025</t>
  </si>
  <si>
    <t>050000864018</t>
  </si>
  <si>
    <t>KHI/HO/D/MO/PC COMP/E/53146/03/2025</t>
  </si>
  <si>
    <t>050000863471</t>
  </si>
  <si>
    <t>KHI/HO/D/FR/ND/P/23323/03/2025</t>
  </si>
  <si>
    <t>040000196923</t>
  </si>
  <si>
    <t>KHI/HO/D/MO/PC TTT/E/53179/03/2025</t>
  </si>
  <si>
    <t>050000864008</t>
  </si>
  <si>
    <t>KHI/HO/D/MO/PD COMP/E/53099/03/2025</t>
  </si>
  <si>
    <t>050000862936</t>
  </si>
  <si>
    <t>KHI/HO/D/MO/PD COMP/E/53141/03/2025</t>
  </si>
  <si>
    <t>050000863463</t>
  </si>
  <si>
    <t>KHI/HO/D/MO/PC COMP/E/53155/03/2025</t>
  </si>
  <si>
    <t>050000863671</t>
  </si>
  <si>
    <t>KHI/HO/D/MO/PD COMP/E/53157/03/2025</t>
  </si>
  <si>
    <t>050000863697</t>
  </si>
  <si>
    <t>KHI/HO/D/MO/PD COMP/E/53158/03/2025</t>
  </si>
  <si>
    <t>050000863698</t>
  </si>
  <si>
    <t>KHI/HO/D/MO/PD COMP/E/53159/03/2025</t>
  </si>
  <si>
    <t>050000863699</t>
  </si>
  <si>
    <t>KHI/HO/D/MO/PD COMP/E/53160/03/2025</t>
  </si>
  <si>
    <t>050000863700</t>
  </si>
  <si>
    <t>KHI/HO/D/MO/PD COMP/E/53162/03/2025</t>
  </si>
  <si>
    <t>050000863702</t>
  </si>
  <si>
    <t>KHI/HO/D/MO/PD COMP/E/53163/03/2025</t>
  </si>
  <si>
    <t>050000863703</t>
  </si>
  <si>
    <t>KHI/HO/D/MO/PD COMP/E/53164/03/2025</t>
  </si>
  <si>
    <t>050000863704</t>
  </si>
  <si>
    <t>KHI/HO/D/MO/PD COMP/E/53165/03/2025</t>
  </si>
  <si>
    <t>050000863705</t>
  </si>
  <si>
    <t>KHI/HO/D/MO/PD COMP/E/53166/03/2025</t>
  </si>
  <si>
    <t>050000863706</t>
  </si>
  <si>
    <t>KHI/HO/D/MO/PD COMP/E/53167/03/2025</t>
  </si>
  <si>
    <t>050000863707</t>
  </si>
  <si>
    <t>KHI/HO/D/MO/PD COMP/E/53168/03/2025</t>
  </si>
  <si>
    <t>050000863708</t>
  </si>
  <si>
    <t>KHI/HO/D/MO/PD COMP/E/53169/03/2025</t>
  </si>
  <si>
    <t>050000863709</t>
  </si>
  <si>
    <t>KHI/HO/D/MO/PD COMP/E/53170/03/2025</t>
  </si>
  <si>
    <t>050000863710</t>
  </si>
  <si>
    <t>KHI/HO/D/MO/PD COMP/E/53171/03/2025</t>
  </si>
  <si>
    <t>050000863711</t>
  </si>
  <si>
    <t>KHI/HO/D/MO/PD COMP/E/53172/03/2025</t>
  </si>
  <si>
    <t>050000863712</t>
  </si>
  <si>
    <t>KHI/HO/D/MO/PC COMP/R/83424/03/2025</t>
  </si>
  <si>
    <t>080000180429</t>
  </si>
  <si>
    <t>KHI/HO/D/MO/PC COMP/E/53182/03/2025</t>
  </si>
  <si>
    <t>050000864012</t>
  </si>
  <si>
    <t>KHI/HO/D/MO/PC COMP/E/53149/03/2025</t>
  </si>
  <si>
    <t>050000863481</t>
  </si>
  <si>
    <t>KHI/HO/D/MO/MC COMP/E/53150/03/2025</t>
  </si>
  <si>
    <t>050000863485</t>
  </si>
  <si>
    <t>KHI/HO/D/MO/MC COMP/E/53151/03/2025</t>
  </si>
  <si>
    <t>050000863489</t>
  </si>
  <si>
    <t>KHI/HO/D/MO/PC COMP/E/53178/03/2025</t>
  </si>
  <si>
    <t>050000863741</t>
  </si>
  <si>
    <t>LHR/LHR/D/FR/ND/P/23301/03/2025</t>
  </si>
  <si>
    <t>040000196675</t>
  </si>
  <si>
    <t>KHI/HO/D/MO/PD COMP/E/53101/03/2025</t>
  </si>
  <si>
    <t>050000862938</t>
  </si>
  <si>
    <t>KHI/HO/D/MO/PC COMP/E/53111/03/2025</t>
  </si>
  <si>
    <t>050000863218</t>
  </si>
  <si>
    <t>KHI/HO/D/FR/ND/P/23319/03/2025</t>
  </si>
  <si>
    <t>040000196857</t>
  </si>
  <si>
    <t>KHI/HO/D/MO/PC COMP/E/53118/03/2025</t>
  </si>
  <si>
    <t>050000863427</t>
  </si>
  <si>
    <t>KHI/HO/D/HLGRP HEALTH/P/3399/03/2025</t>
  </si>
  <si>
    <t>040000196769</t>
  </si>
  <si>
    <t>LHR/LHR/D/MO/PC COMP/E/53145/03/2025</t>
  </si>
  <si>
    <t>050000863468</t>
  </si>
  <si>
    <t>KHI/HO/D/HLGRP HEALTH/P/3403/03/2025</t>
  </si>
  <si>
    <t>040000196913</t>
  </si>
  <si>
    <t>KHI/HO/D/MI/MP/E/3233/03/2025</t>
  </si>
  <si>
    <t>050000862232</t>
  </si>
  <si>
    <t>FSD/FSD/D/MO/PC COMP/E/53144/03/2025</t>
  </si>
  <si>
    <t>050000863467</t>
  </si>
  <si>
    <t>070000177951</t>
  </si>
  <si>
    <t>070000177987</t>
  </si>
  <si>
    <t>070000178003</t>
  </si>
  <si>
    <t>070000178034</t>
  </si>
  <si>
    <t>KHI/HO/D/MO/PC COMP/E/53120/03/2025</t>
  </si>
  <si>
    <t>050000863429</t>
  </si>
  <si>
    <t>070000177895</t>
  </si>
  <si>
    <t>070000177904</t>
  </si>
  <si>
    <t>070000177911</t>
  </si>
  <si>
    <t>070000177918</t>
  </si>
  <si>
    <t>070000177926</t>
  </si>
  <si>
    <t>070000177933</t>
  </si>
  <si>
    <t>070000177944</t>
  </si>
  <si>
    <t>070000177959</t>
  </si>
  <si>
    <t>070000177966</t>
  </si>
  <si>
    <t>070000177973</t>
  </si>
  <si>
    <t>070000177980</t>
  </si>
  <si>
    <t>070000177994</t>
  </si>
  <si>
    <t>070000178001</t>
  </si>
  <si>
    <t>070000178002</t>
  </si>
  <si>
    <t>070000178010</t>
  </si>
  <si>
    <t>070000178018</t>
  </si>
  <si>
    <t>070000178020</t>
  </si>
  <si>
    <t>070000178027</t>
  </si>
  <si>
    <t>070000178041</t>
  </si>
  <si>
    <t>070000178048</t>
  </si>
  <si>
    <t>070000178055</t>
  </si>
  <si>
    <t>070000178069</t>
  </si>
  <si>
    <t>070000178076</t>
  </si>
  <si>
    <t>070000178083</t>
  </si>
  <si>
    <t>070000178090</t>
  </si>
  <si>
    <t>070000178097</t>
  </si>
  <si>
    <t>070000178104</t>
  </si>
  <si>
    <t>070000178111</t>
  </si>
  <si>
    <t>070000178118</t>
  </si>
  <si>
    <t>070000178125</t>
  </si>
  <si>
    <t>070000178132</t>
  </si>
  <si>
    <t>070000178139</t>
  </si>
  <si>
    <t>070000178146</t>
  </si>
  <si>
    <t>070000178153</t>
  </si>
  <si>
    <t>070000178160</t>
  </si>
  <si>
    <t>070000178167</t>
  </si>
  <si>
    <t>070000178174</t>
  </si>
  <si>
    <t>070000178062</t>
  </si>
  <si>
    <t>KHI/HO/D/MO/PC COMP/E/53154/03/2025</t>
  </si>
  <si>
    <t>050000863655</t>
  </si>
  <si>
    <t>KHI/HO/D/MO/PC COMP/E/53117/03/2025</t>
  </si>
  <si>
    <t>050000863224</t>
  </si>
  <si>
    <t>KHI/HO/D/MO/PC COMP/E/53152/03/2025</t>
  </si>
  <si>
    <t>050000863495</t>
  </si>
  <si>
    <t>KHI/HO/D/FR/ND/P/23304/03/2025</t>
  </si>
  <si>
    <t>040000196699</t>
  </si>
  <si>
    <t>KHI/HO/D/HLGRP HEALTH/P/3396/03/2025</t>
  </si>
  <si>
    <t>040000196753</t>
  </si>
  <si>
    <t>KHI/HO/D/MI/CT/E/3235/03/2025</t>
  </si>
  <si>
    <t>050000862264</t>
  </si>
  <si>
    <t>070000177982</t>
  </si>
  <si>
    <t>070000178016</t>
  </si>
  <si>
    <t>070000178046</t>
  </si>
  <si>
    <t>070000178074</t>
  </si>
  <si>
    <t>070000177902</t>
  </si>
  <si>
    <t>070000177909</t>
  </si>
  <si>
    <t>070000177916</t>
  </si>
  <si>
    <t>070000177924</t>
  </si>
  <si>
    <t>070000177931</t>
  </si>
  <si>
    <t>070000177939</t>
  </si>
  <si>
    <t>070000177946</t>
  </si>
  <si>
    <t>070000177953</t>
  </si>
  <si>
    <t>070000177961</t>
  </si>
  <si>
    <t>070000177968</t>
  </si>
  <si>
    <t>070000177975</t>
  </si>
  <si>
    <t>070000177989</t>
  </si>
  <si>
    <t>070000177996</t>
  </si>
  <si>
    <t>070000178009</t>
  </si>
  <si>
    <t>070000178017</t>
  </si>
  <si>
    <t>070000178025</t>
  </si>
  <si>
    <t>070000178032</t>
  </si>
  <si>
    <t>070000178039</t>
  </si>
  <si>
    <t>070000178053</t>
  </si>
  <si>
    <t>070000178060</t>
  </si>
  <si>
    <t>070000178067</t>
  </si>
  <si>
    <t>070000178081</t>
  </si>
  <si>
    <t>070000178088</t>
  </si>
  <si>
    <t>070000178095</t>
  </si>
  <si>
    <t>070000178102</t>
  </si>
  <si>
    <t>070000178109</t>
  </si>
  <si>
    <t>070000178116</t>
  </si>
  <si>
    <t>070000178123</t>
  </si>
  <si>
    <t>070000178130</t>
  </si>
  <si>
    <t>070000178137</t>
  </si>
  <si>
    <t>070000178144</t>
  </si>
  <si>
    <t>070000178151</t>
  </si>
  <si>
    <t>070000178158</t>
  </si>
  <si>
    <t>070000178165</t>
  </si>
  <si>
    <t>070000178172</t>
  </si>
  <si>
    <t>070000178057</t>
  </si>
  <si>
    <t>070000178064</t>
  </si>
  <si>
    <t>070000178071</t>
  </si>
  <si>
    <t>070000178078</t>
  </si>
  <si>
    <t>070000178085</t>
  </si>
  <si>
    <t>070000178092</t>
  </si>
  <si>
    <t>070000178099</t>
  </si>
  <si>
    <t>070000178106</t>
  </si>
  <si>
    <t>070000178113</t>
  </si>
  <si>
    <t>070000178120</t>
  </si>
  <si>
    <t>070000178127</t>
  </si>
  <si>
    <t>070000178134</t>
  </si>
  <si>
    <t>070000178141</t>
  </si>
  <si>
    <t>070000178148</t>
  </si>
  <si>
    <t>070000178155</t>
  </si>
  <si>
    <t>070000178162</t>
  </si>
  <si>
    <t>070000178169</t>
  </si>
  <si>
    <t>070000178176</t>
  </si>
  <si>
    <t>070000177930</t>
  </si>
  <si>
    <t>070000177956</t>
  </si>
  <si>
    <t>070000177957</t>
  </si>
  <si>
    <t>070000177984</t>
  </si>
  <si>
    <t>070000177992</t>
  </si>
  <si>
    <t>KHI/HO/D/MO/PC COMP/E/53147/03/2025</t>
  </si>
  <si>
    <t>050000863473</t>
  </si>
  <si>
    <t>KHI/HO/D/HLGRP HEALTH/P/3401/03/2025</t>
  </si>
  <si>
    <t>040000196819</t>
  </si>
  <si>
    <t>070000178019</t>
  </si>
  <si>
    <t>070000178022</t>
  </si>
  <si>
    <t>070000178050</t>
  </si>
  <si>
    <t>070000178054</t>
  </si>
  <si>
    <t>070000178082</t>
  </si>
  <si>
    <t>KHI/HO/D/FR/ND/P/23314/03/2025</t>
  </si>
  <si>
    <t>040000196840</t>
  </si>
  <si>
    <t>070000177903</t>
  </si>
  <si>
    <t>070000177910</t>
  </si>
  <si>
    <t>070000177917</t>
  </si>
  <si>
    <t>070000177925</t>
  </si>
  <si>
    <t>070000177932</t>
  </si>
  <si>
    <t>070000177942</t>
  </si>
  <si>
    <t>070000177949</t>
  </si>
  <si>
    <t>070000177964</t>
  </si>
  <si>
    <t>070000177971</t>
  </si>
  <si>
    <t>070000177978</t>
  </si>
  <si>
    <t>070000177985</t>
  </si>
  <si>
    <t>070000177999</t>
  </si>
  <si>
    <t>070000178006</t>
  </si>
  <si>
    <t>070000178013</t>
  </si>
  <si>
    <t>070000178026</t>
  </si>
  <si>
    <t>070000178033</t>
  </si>
  <si>
    <t>070000178040</t>
  </si>
  <si>
    <t>070000178047</t>
  </si>
  <si>
    <t>070000178061</t>
  </si>
  <si>
    <t>070000178068</t>
  </si>
  <si>
    <t>070000178075</t>
  </si>
  <si>
    <t>070000177896</t>
  </si>
  <si>
    <t>070000177897</t>
  </si>
  <si>
    <t>070000177900</t>
  </si>
  <si>
    <t>070000177907</t>
  </si>
  <si>
    <t>070000177914</t>
  </si>
  <si>
    <t>070000177921</t>
  </si>
  <si>
    <t>070000177923</t>
  </si>
  <si>
    <t>070000177938</t>
  </si>
  <si>
    <t>070000177941</t>
  </si>
  <si>
    <t>070000177948</t>
  </si>
  <si>
    <t>070000177955</t>
  </si>
  <si>
    <t>070000177963</t>
  </si>
  <si>
    <t>070000177970</t>
  </si>
  <si>
    <t>070000177977</t>
  </si>
  <si>
    <t>070000177991</t>
  </si>
  <si>
    <t>070000177998</t>
  </si>
  <si>
    <t>070000178005</t>
  </si>
  <si>
    <t>070000178012</t>
  </si>
  <si>
    <t>070000178029</t>
  </si>
  <si>
    <t>070000178036</t>
  </si>
  <si>
    <t>070000178043</t>
  </si>
  <si>
    <t>070000178089</t>
  </si>
  <si>
    <t>070000178096</t>
  </si>
  <si>
    <t>070000178103</t>
  </si>
  <si>
    <t>070000178110</t>
  </si>
  <si>
    <t>070000178117</t>
  </si>
  <si>
    <t>070000178124</t>
  </si>
  <si>
    <t>070000178131</t>
  </si>
  <si>
    <t>070000178138</t>
  </si>
  <si>
    <t>070000178145</t>
  </si>
  <si>
    <t>070000178152</t>
  </si>
  <si>
    <t>070000178159</t>
  </si>
  <si>
    <t>070000178166</t>
  </si>
  <si>
    <t>070000178173</t>
  </si>
  <si>
    <t>070000178383</t>
  </si>
  <si>
    <t>070000178384</t>
  </si>
  <si>
    <t>070000178385</t>
  </si>
  <si>
    <t>070000178386</t>
  </si>
  <si>
    <t>070000178387</t>
  </si>
  <si>
    <t>070000178388</t>
  </si>
  <si>
    <t>070000178389</t>
  </si>
  <si>
    <t>070000178390</t>
  </si>
  <si>
    <t>070000178391</t>
  </si>
  <si>
    <t>070000178392</t>
  </si>
  <si>
    <t>070000178393</t>
  </si>
  <si>
    <t>070000177969</t>
  </si>
  <si>
    <t>070000177997</t>
  </si>
  <si>
    <t>070000178175</t>
  </si>
  <si>
    <t>070000178277</t>
  </si>
  <si>
    <t>070000178281</t>
  </si>
  <si>
    <t>070000178293</t>
  </si>
  <si>
    <t>070000178297</t>
  </si>
  <si>
    <t>070000178302</t>
  </si>
  <si>
    <t>070000178306</t>
  </si>
  <si>
    <t>070000178318</t>
  </si>
  <si>
    <t>070000178351</t>
  </si>
  <si>
    <t>070000178356</t>
  </si>
  <si>
    <t>070000178364</t>
  </si>
  <si>
    <t>070000178369</t>
  </si>
  <si>
    <t>070000178373</t>
  </si>
  <si>
    <t>070000178378</t>
  </si>
  <si>
    <t>070000178382</t>
  </si>
  <si>
    <t>070000178035</t>
  </si>
  <si>
    <t>070000178147</t>
  </si>
  <si>
    <t>070000178063</t>
  </si>
  <si>
    <t>070000178322</t>
  </si>
  <si>
    <t>070000178327</t>
  </si>
  <si>
    <t>070000178331</t>
  </si>
  <si>
    <t>070000178342</t>
  </si>
  <si>
    <t>070000178347</t>
  </si>
  <si>
    <t>KHI/HO/D/MO/PC TPP/E/53180/03/2025</t>
  </si>
  <si>
    <t>050000864009</t>
  </si>
  <si>
    <t>070000177898</t>
  </si>
  <si>
    <t>070000177901</t>
  </si>
  <si>
    <t>070000177908</t>
  </si>
  <si>
    <t>070000177915</t>
  </si>
  <si>
    <t>070000177922</t>
  </si>
  <si>
    <t>070000177929</t>
  </si>
  <si>
    <t>070000177937</t>
  </si>
  <si>
    <t>070000177940</t>
  </si>
  <si>
    <t>070000177947</t>
  </si>
  <si>
    <t>070000177954</t>
  </si>
  <si>
    <t>070000177962</t>
  </si>
  <si>
    <t>070000177976</t>
  </si>
  <si>
    <t>070000177983</t>
  </si>
  <si>
    <t>070000177990</t>
  </si>
  <si>
    <t>070000178004</t>
  </si>
  <si>
    <t>070000178011</t>
  </si>
  <si>
    <t>070000178021</t>
  </si>
  <si>
    <t>070000178028</t>
  </si>
  <si>
    <t>070000178042</t>
  </si>
  <si>
    <t>070000178049</t>
  </si>
  <si>
    <t>070000178056</t>
  </si>
  <si>
    <t>070000178070</t>
  </si>
  <si>
    <t>070000178077</t>
  </si>
  <si>
    <t>070000178084</t>
  </si>
  <si>
    <t>070000178091</t>
  </si>
  <si>
    <t>070000178098</t>
  </si>
  <si>
    <t>070000178105</t>
  </si>
  <si>
    <t>070000178112</t>
  </si>
  <si>
    <t>070000178119</t>
  </si>
  <si>
    <t>070000178126</t>
  </si>
  <si>
    <t>070000178133</t>
  </si>
  <si>
    <t>070000178140</t>
  </si>
  <si>
    <t>070000178154</t>
  </si>
  <si>
    <t>070000178161</t>
  </si>
  <si>
    <t>070000178168</t>
  </si>
  <si>
    <t>070000178273</t>
  </si>
  <si>
    <t>070000178274</t>
  </si>
  <si>
    <t>070000178275</t>
  </si>
  <si>
    <t>070000178276</t>
  </si>
  <si>
    <t>070000178278</t>
  </si>
  <si>
    <t>070000178279</t>
  </si>
  <si>
    <t>070000178280</t>
  </si>
  <si>
    <t>070000178282</t>
  </si>
  <si>
    <t>070000178283</t>
  </si>
  <si>
    <t>070000178284</t>
  </si>
  <si>
    <t>070000178285</t>
  </si>
  <si>
    <t>070000178286</t>
  </si>
  <si>
    <t>070000178287</t>
  </si>
  <si>
    <t>070000178288</t>
  </si>
  <si>
    <t>070000178289</t>
  </si>
  <si>
    <t>070000178290</t>
  </si>
  <si>
    <t>070000178291</t>
  </si>
  <si>
    <t>070000178292</t>
  </si>
  <si>
    <t>070000178294</t>
  </si>
  <si>
    <t>070000178295</t>
  </si>
  <si>
    <t>070000178296</t>
  </si>
  <si>
    <t>070000178298</t>
  </si>
  <si>
    <t>070000178299</t>
  </si>
  <si>
    <t>070000178300</t>
  </si>
  <si>
    <t>070000178301</t>
  </si>
  <si>
    <t>070000178303</t>
  </si>
  <si>
    <t>070000178304</t>
  </si>
  <si>
    <t>070000178305</t>
  </si>
  <si>
    <t>070000178307</t>
  </si>
  <si>
    <t>070000178308</t>
  </si>
  <si>
    <t>070000178309</t>
  </si>
  <si>
    <t>070000178310</t>
  </si>
  <si>
    <t>070000178311</t>
  </si>
  <si>
    <t>070000178312</t>
  </si>
  <si>
    <t>070000178313</t>
  </si>
  <si>
    <t>070000178314</t>
  </si>
  <si>
    <t>070000178315</t>
  </si>
  <si>
    <t>070000178316</t>
  </si>
  <si>
    <t>070000178317</t>
  </si>
  <si>
    <t>070000178319</t>
  </si>
  <si>
    <t>070000178320</t>
  </si>
  <si>
    <t>070000178321</t>
  </si>
  <si>
    <t>070000178323</t>
  </si>
  <si>
    <t>070000178324</t>
  </si>
  <si>
    <t>070000178325</t>
  </si>
  <si>
    <t>070000178326</t>
  </si>
  <si>
    <t>070000178328</t>
  </si>
  <si>
    <t>070000178329</t>
  </si>
  <si>
    <t>070000178330</t>
  </si>
  <si>
    <t>070000178332</t>
  </si>
  <si>
    <t>070000178333</t>
  </si>
  <si>
    <t>070000178334</t>
  </si>
  <si>
    <t>070000178335</t>
  </si>
  <si>
    <t>070000178336</t>
  </si>
  <si>
    <t>070000178337</t>
  </si>
  <si>
    <t>070000178338</t>
  </si>
  <si>
    <t>070000178339</t>
  </si>
  <si>
    <t>070000178340</t>
  </si>
  <si>
    <t>070000178341</t>
  </si>
  <si>
    <t>070000178343</t>
  </si>
  <si>
    <t>070000178344</t>
  </si>
  <si>
    <t>070000178345</t>
  </si>
  <si>
    <t>070000178346</t>
  </si>
  <si>
    <t>070000178348</t>
  </si>
  <si>
    <t>070000178349</t>
  </si>
  <si>
    <t>070000178350</t>
  </si>
  <si>
    <t>070000178352</t>
  </si>
  <si>
    <t>070000178353</t>
  </si>
  <si>
    <t>070000178354</t>
  </si>
  <si>
    <t>070000178355</t>
  </si>
  <si>
    <t>070000178357</t>
  </si>
  <si>
    <t>070000178358</t>
  </si>
  <si>
    <t>070000178359</t>
  </si>
  <si>
    <t>070000178360</t>
  </si>
  <si>
    <t>070000178361</t>
  </si>
  <si>
    <t>070000178362</t>
  </si>
  <si>
    <t>070000178363</t>
  </si>
  <si>
    <t>070000178365</t>
  </si>
  <si>
    <t>070000178366</t>
  </si>
  <si>
    <t>070000178367</t>
  </si>
  <si>
    <t>070000178368</t>
  </si>
  <si>
    <t>070000178370</t>
  </si>
  <si>
    <t>070000178371</t>
  </si>
  <si>
    <t>070000178372</t>
  </si>
  <si>
    <t>070000178374</t>
  </si>
  <si>
    <t>070000178375</t>
  </si>
  <si>
    <t>070000178376</t>
  </si>
  <si>
    <t>070000178377</t>
  </si>
  <si>
    <t>070000178379</t>
  </si>
  <si>
    <t>070000178380</t>
  </si>
  <si>
    <t>070000178381</t>
  </si>
  <si>
    <t>KHI/HO/D/MO/PC COMP/E/53119/03/2025</t>
  </si>
  <si>
    <t>050000863428</t>
  </si>
  <si>
    <t>KHI/HO/D/MO/PD COMP/E/53173/03/2025</t>
  </si>
  <si>
    <t>050000863714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</si>
</sst>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\ dd\-mm\-yyyy"/>
    <numFmt numFmtId="165" formatCode="#,##0_);\(#,##0\)"/>
    <numFmt numFmtId="166" formatCode="#,##0.00_);\(#,##0.00\)"/>
    <numFmt numFmtId="167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7" fontId="3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4" fillId="0" borderId="0" xfId="0" applyFont="1"/>
    <xf numFmtId="0" fontId="5" fillId="0" borderId="0" xfId="0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2"/>
  <sheetViews>
    <sheetView tabSelected="1" topLeftCell="A489" workbookViewId="0">
      <selection activeCell="AB498" sqref="AB498"/>
    </sheetView>
  </sheetViews>
  <sheetFormatPr defaultRowHeight="15" x14ac:dyDescent="0.25"/>
  <cols>
    <col min="1" max="1" width="4" bestFit="1" customWidth="1"/>
    <col min="2" max="2" width="31.140625" bestFit="1" customWidth="1"/>
    <col min="3" max="3" width="11.7109375" bestFit="1" customWidth="1"/>
    <col min="4" max="4" width="10.7109375" hidden="1" customWidth="1"/>
    <col min="5" max="5" width="11.28515625" hidden="1" customWidth="1"/>
    <col min="6" max="6" width="10.7109375" hidden="1" customWidth="1"/>
    <col min="7" max="7" width="10.85546875" hidden="1" customWidth="1"/>
    <col min="8" max="8" width="21.7109375" hidden="1" customWidth="1"/>
    <col min="9" max="9" width="42.140625" hidden="1" customWidth="1"/>
    <col min="10" max="10" width="4.7109375" hidden="1" customWidth="1"/>
    <col min="11" max="11" width="23.5703125" hidden="1" customWidth="1"/>
    <col min="12" max="12" width="6.140625" hidden="1" customWidth="1"/>
    <col min="13" max="13" width="12.85546875" hidden="1" customWidth="1"/>
    <col min="14" max="14" width="11.5703125" hidden="1" customWidth="1"/>
    <col min="15" max="15" width="16.140625" hidden="1" customWidth="1"/>
    <col min="16" max="16" width="4.5703125" hidden="1" customWidth="1"/>
    <col min="17" max="17" width="13.140625" hidden="1" customWidth="1"/>
    <col min="18" max="18" width="10" hidden="1" customWidth="1"/>
    <col min="19" max="19" width="10.42578125" hidden="1" customWidth="1"/>
    <col min="20" max="20" width="14.140625" bestFit="1" customWidth="1"/>
    <col min="21" max="21" width="18.7109375" hidden="1" customWidth="1"/>
    <col min="22" max="22" width="13.5703125" hidden="1" customWidth="1"/>
    <col min="23" max="23" width="5.5703125" hidden="1" customWidth="1"/>
    <col min="24" max="24" width="15.85546875" hidden="1" customWidth="1"/>
    <col min="25" max="25" width="10.28515625" hidden="1" customWidth="1"/>
    <col min="26" max="26" width="18.7109375" hidden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2">
        <v>1</v>
      </c>
      <c r="B2" s="1" t="s">
        <v>26</v>
      </c>
      <c r="C2" s="1"/>
      <c r="D2" s="3">
        <v>45727</v>
      </c>
      <c r="E2" s="3">
        <v>45689</v>
      </c>
      <c r="F2" s="3">
        <v>45930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4">
        <v>100</v>
      </c>
      <c r="M2" s="1" t="s">
        <v>32</v>
      </c>
      <c r="N2" s="1"/>
      <c r="O2" s="4">
        <v>8690</v>
      </c>
      <c r="P2" s="4">
        <v>87</v>
      </c>
      <c r="Q2" s="4">
        <v>1304</v>
      </c>
      <c r="R2" s="4">
        <v>0</v>
      </c>
      <c r="S2" s="4">
        <v>0</v>
      </c>
      <c r="T2" s="4">
        <v>10081</v>
      </c>
      <c r="U2" s="4">
        <v>0</v>
      </c>
      <c r="V2" s="1"/>
      <c r="W2" s="5">
        <v>0</v>
      </c>
      <c r="X2" s="5">
        <v>0</v>
      </c>
      <c r="Y2" s="5">
        <v>0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>
        <v>2</v>
      </c>
      <c r="B3" s="1" t="s">
        <v>33</v>
      </c>
      <c r="C3" s="1"/>
      <c r="D3" s="3">
        <v>45727</v>
      </c>
      <c r="E3" s="3">
        <v>45689</v>
      </c>
      <c r="F3" s="3">
        <v>45930</v>
      </c>
      <c r="G3" s="1" t="s">
        <v>27</v>
      </c>
      <c r="H3" s="1" t="s">
        <v>34</v>
      </c>
      <c r="I3" s="1" t="s">
        <v>29</v>
      </c>
      <c r="J3" s="1" t="s">
        <v>30</v>
      </c>
      <c r="K3" s="1" t="s">
        <v>31</v>
      </c>
      <c r="L3" s="4">
        <v>100</v>
      </c>
      <c r="M3" s="1" t="s">
        <v>32</v>
      </c>
      <c r="N3" s="1"/>
      <c r="O3" s="4">
        <v>12000</v>
      </c>
      <c r="P3" s="4">
        <v>120</v>
      </c>
      <c r="Q3" s="4">
        <v>1800</v>
      </c>
      <c r="R3" s="4">
        <v>0</v>
      </c>
      <c r="S3" s="4">
        <v>0</v>
      </c>
      <c r="T3" s="4">
        <v>13920</v>
      </c>
      <c r="U3" s="4">
        <v>0</v>
      </c>
      <c r="V3" s="1"/>
      <c r="W3" s="5">
        <v>0</v>
      </c>
      <c r="X3" s="5">
        <v>0</v>
      </c>
      <c r="Y3" s="5">
        <v>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2">
        <v>3</v>
      </c>
      <c r="B4" s="1" t="s">
        <v>35</v>
      </c>
      <c r="C4" s="1"/>
      <c r="D4" s="3">
        <v>45727</v>
      </c>
      <c r="E4" s="3">
        <v>45689</v>
      </c>
      <c r="F4" s="3">
        <v>45930</v>
      </c>
      <c r="G4" s="1" t="s">
        <v>27</v>
      </c>
      <c r="H4" s="1" t="s">
        <v>36</v>
      </c>
      <c r="I4" s="1" t="s">
        <v>29</v>
      </c>
      <c r="J4" s="1" t="s">
        <v>30</v>
      </c>
      <c r="K4" s="1" t="s">
        <v>31</v>
      </c>
      <c r="L4" s="4">
        <v>100</v>
      </c>
      <c r="M4" s="1" t="s">
        <v>32</v>
      </c>
      <c r="N4" s="1"/>
      <c r="O4" s="4">
        <v>1966</v>
      </c>
      <c r="P4" s="4">
        <v>20</v>
      </c>
      <c r="Q4" s="4">
        <v>295</v>
      </c>
      <c r="R4" s="4">
        <v>0</v>
      </c>
      <c r="S4" s="4">
        <v>0</v>
      </c>
      <c r="T4" s="4">
        <v>2281</v>
      </c>
      <c r="U4" s="4">
        <v>0</v>
      </c>
      <c r="V4" s="1"/>
      <c r="W4" s="5">
        <v>0</v>
      </c>
      <c r="X4" s="5">
        <v>0</v>
      </c>
      <c r="Y4" s="5">
        <v>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25">
      <c r="A5" s="2">
        <v>4</v>
      </c>
      <c r="B5" s="1" t="s">
        <v>37</v>
      </c>
      <c r="C5" s="1"/>
      <c r="D5" s="3">
        <v>45727</v>
      </c>
      <c r="E5" s="3">
        <v>45689</v>
      </c>
      <c r="F5" s="3">
        <v>45930</v>
      </c>
      <c r="G5" s="1" t="s">
        <v>27</v>
      </c>
      <c r="H5" s="1" t="s">
        <v>38</v>
      </c>
      <c r="I5" s="1" t="s">
        <v>29</v>
      </c>
      <c r="J5" s="1" t="s">
        <v>30</v>
      </c>
      <c r="K5" s="1" t="s">
        <v>31</v>
      </c>
      <c r="L5" s="4">
        <v>100</v>
      </c>
      <c r="M5" s="1" t="s">
        <v>32</v>
      </c>
      <c r="N5" s="1"/>
      <c r="O5" s="4">
        <v>1345</v>
      </c>
      <c r="P5" s="4">
        <v>13</v>
      </c>
      <c r="Q5" s="4">
        <v>202</v>
      </c>
      <c r="R5" s="4">
        <v>0</v>
      </c>
      <c r="S5" s="4">
        <v>0</v>
      </c>
      <c r="T5" s="4">
        <v>1560</v>
      </c>
      <c r="U5" s="4">
        <v>0</v>
      </c>
      <c r="V5" s="1"/>
      <c r="W5" s="5">
        <v>0</v>
      </c>
      <c r="X5" s="5">
        <v>0</v>
      </c>
      <c r="Y5" s="5">
        <v>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2">
        <v>5</v>
      </c>
      <c r="B6" s="1" t="s">
        <v>39</v>
      </c>
      <c r="C6" s="1"/>
      <c r="D6" s="3">
        <v>45727</v>
      </c>
      <c r="E6" s="3">
        <v>45689</v>
      </c>
      <c r="F6" s="3">
        <v>45930</v>
      </c>
      <c r="G6" s="1" t="s">
        <v>27</v>
      </c>
      <c r="H6" s="1" t="s">
        <v>40</v>
      </c>
      <c r="I6" s="1" t="s">
        <v>29</v>
      </c>
      <c r="J6" s="1" t="s">
        <v>30</v>
      </c>
      <c r="K6" s="1" t="s">
        <v>31</v>
      </c>
      <c r="L6" s="4">
        <v>100</v>
      </c>
      <c r="M6" s="1" t="s">
        <v>32</v>
      </c>
      <c r="N6" s="1"/>
      <c r="O6" s="4">
        <v>10448</v>
      </c>
      <c r="P6" s="4">
        <v>104</v>
      </c>
      <c r="Q6" s="4">
        <v>1567</v>
      </c>
      <c r="R6" s="4">
        <v>0</v>
      </c>
      <c r="S6" s="4">
        <v>0</v>
      </c>
      <c r="T6" s="4">
        <v>12119</v>
      </c>
      <c r="U6" s="4">
        <v>0</v>
      </c>
      <c r="V6" s="1"/>
      <c r="W6" s="5">
        <v>0</v>
      </c>
      <c r="X6" s="5">
        <v>0</v>
      </c>
      <c r="Y6" s="5"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2">
        <v>6</v>
      </c>
      <c r="B7" s="1" t="s">
        <v>41</v>
      </c>
      <c r="C7" s="1"/>
      <c r="D7" s="3">
        <v>45727</v>
      </c>
      <c r="E7" s="3">
        <v>45689</v>
      </c>
      <c r="F7" s="3">
        <v>45930</v>
      </c>
      <c r="G7" s="1" t="s">
        <v>27</v>
      </c>
      <c r="H7" s="1" t="s">
        <v>42</v>
      </c>
      <c r="I7" s="1" t="s">
        <v>29</v>
      </c>
      <c r="J7" s="1" t="s">
        <v>30</v>
      </c>
      <c r="K7" s="1" t="s">
        <v>31</v>
      </c>
      <c r="L7" s="4">
        <v>100</v>
      </c>
      <c r="M7" s="1" t="s">
        <v>32</v>
      </c>
      <c r="N7" s="1"/>
      <c r="O7" s="4">
        <v>2276</v>
      </c>
      <c r="P7" s="4">
        <v>23</v>
      </c>
      <c r="Q7" s="4">
        <v>341</v>
      </c>
      <c r="R7" s="4">
        <v>0</v>
      </c>
      <c r="S7" s="4">
        <v>0</v>
      </c>
      <c r="T7" s="4">
        <v>2640</v>
      </c>
      <c r="U7" s="4">
        <v>0</v>
      </c>
      <c r="V7" s="1"/>
      <c r="W7" s="5">
        <v>0</v>
      </c>
      <c r="X7" s="5">
        <v>0</v>
      </c>
      <c r="Y7" s="5"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2">
        <v>7</v>
      </c>
      <c r="B8" s="1" t="s">
        <v>43</v>
      </c>
      <c r="C8" s="1"/>
      <c r="D8" s="3">
        <v>45727</v>
      </c>
      <c r="E8" s="3">
        <v>45689</v>
      </c>
      <c r="F8" s="3">
        <v>45930</v>
      </c>
      <c r="G8" s="1" t="s">
        <v>27</v>
      </c>
      <c r="H8" s="1" t="s">
        <v>44</v>
      </c>
      <c r="I8" s="1" t="s">
        <v>29</v>
      </c>
      <c r="J8" s="1" t="s">
        <v>30</v>
      </c>
      <c r="K8" s="1" t="s">
        <v>31</v>
      </c>
      <c r="L8" s="4">
        <v>100</v>
      </c>
      <c r="M8" s="1" t="s">
        <v>32</v>
      </c>
      <c r="N8" s="1"/>
      <c r="O8" s="4">
        <v>2379</v>
      </c>
      <c r="P8" s="4">
        <v>24</v>
      </c>
      <c r="Q8" s="4">
        <v>357</v>
      </c>
      <c r="R8" s="4">
        <v>0</v>
      </c>
      <c r="S8" s="4">
        <v>0</v>
      </c>
      <c r="T8" s="4">
        <v>2760</v>
      </c>
      <c r="U8" s="4">
        <v>0</v>
      </c>
      <c r="V8" s="1"/>
      <c r="W8" s="5">
        <v>0</v>
      </c>
      <c r="X8" s="5">
        <v>0</v>
      </c>
      <c r="Y8" s="5"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2">
        <v>8</v>
      </c>
      <c r="B9" s="1" t="s">
        <v>45</v>
      </c>
      <c r="C9" s="1"/>
      <c r="D9" s="3">
        <v>45727</v>
      </c>
      <c r="E9" s="3">
        <v>45689</v>
      </c>
      <c r="F9" s="3">
        <v>45930</v>
      </c>
      <c r="G9" s="1" t="s">
        <v>27</v>
      </c>
      <c r="H9" s="1" t="s">
        <v>46</v>
      </c>
      <c r="I9" s="1" t="s">
        <v>29</v>
      </c>
      <c r="J9" s="1" t="s">
        <v>30</v>
      </c>
      <c r="K9" s="1" t="s">
        <v>31</v>
      </c>
      <c r="L9" s="4">
        <v>100</v>
      </c>
      <c r="M9" s="1" t="s">
        <v>32</v>
      </c>
      <c r="N9" s="1"/>
      <c r="O9" s="4">
        <v>2069</v>
      </c>
      <c r="P9" s="4">
        <v>21</v>
      </c>
      <c r="Q9" s="4">
        <v>310</v>
      </c>
      <c r="R9" s="4">
        <v>0</v>
      </c>
      <c r="S9" s="4">
        <v>0</v>
      </c>
      <c r="T9" s="4">
        <v>2400</v>
      </c>
      <c r="U9" s="4">
        <v>0</v>
      </c>
      <c r="V9" s="1"/>
      <c r="W9" s="5">
        <v>0</v>
      </c>
      <c r="X9" s="5">
        <v>0</v>
      </c>
      <c r="Y9" s="5"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25">
      <c r="A10" s="2">
        <v>9</v>
      </c>
      <c r="B10" s="1" t="s">
        <v>47</v>
      </c>
      <c r="C10" s="1"/>
      <c r="D10" s="3">
        <v>45727</v>
      </c>
      <c r="E10" s="3">
        <v>45689</v>
      </c>
      <c r="F10" s="3">
        <v>45930</v>
      </c>
      <c r="G10" s="1" t="s">
        <v>27</v>
      </c>
      <c r="H10" s="1" t="s">
        <v>48</v>
      </c>
      <c r="I10" s="1" t="s">
        <v>29</v>
      </c>
      <c r="J10" s="1" t="s">
        <v>30</v>
      </c>
      <c r="K10" s="1" t="s">
        <v>31</v>
      </c>
      <c r="L10" s="4">
        <v>100</v>
      </c>
      <c r="M10" s="1" t="s">
        <v>32</v>
      </c>
      <c r="N10" s="1"/>
      <c r="O10" s="4">
        <v>8793</v>
      </c>
      <c r="P10" s="4">
        <v>88</v>
      </c>
      <c r="Q10" s="4">
        <v>1319</v>
      </c>
      <c r="R10" s="4">
        <v>0</v>
      </c>
      <c r="S10" s="4">
        <v>0</v>
      </c>
      <c r="T10" s="4">
        <v>10200</v>
      </c>
      <c r="U10" s="4">
        <v>0</v>
      </c>
      <c r="V10" s="1"/>
      <c r="W10" s="5">
        <v>0</v>
      </c>
      <c r="X10" s="5">
        <v>0</v>
      </c>
      <c r="Y10" s="5"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A11" s="2">
        <v>10</v>
      </c>
      <c r="B11" s="1" t="s">
        <v>49</v>
      </c>
      <c r="C11" s="1"/>
      <c r="D11" s="3">
        <v>45727</v>
      </c>
      <c r="E11" s="3">
        <v>45689</v>
      </c>
      <c r="F11" s="3">
        <v>45930</v>
      </c>
      <c r="G11" s="1" t="s">
        <v>27</v>
      </c>
      <c r="H11" s="1" t="s">
        <v>50</v>
      </c>
      <c r="I11" s="1" t="s">
        <v>29</v>
      </c>
      <c r="J11" s="1" t="s">
        <v>30</v>
      </c>
      <c r="K11" s="1" t="s">
        <v>31</v>
      </c>
      <c r="L11" s="4">
        <v>100</v>
      </c>
      <c r="M11" s="1" t="s">
        <v>32</v>
      </c>
      <c r="N11" s="1"/>
      <c r="O11" s="4">
        <v>3931</v>
      </c>
      <c r="P11" s="4">
        <v>39</v>
      </c>
      <c r="Q11" s="4">
        <v>590</v>
      </c>
      <c r="R11" s="4">
        <v>0</v>
      </c>
      <c r="S11" s="4">
        <v>0</v>
      </c>
      <c r="T11" s="4">
        <v>4560</v>
      </c>
      <c r="U11" s="4">
        <v>0</v>
      </c>
      <c r="V11" s="1"/>
      <c r="W11" s="5">
        <v>0</v>
      </c>
      <c r="X11" s="5">
        <v>0</v>
      </c>
      <c r="Y11" s="5"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5">
      <c r="A12" s="2">
        <v>11</v>
      </c>
      <c r="B12" s="1" t="s">
        <v>51</v>
      </c>
      <c r="C12" s="1"/>
      <c r="D12" s="3">
        <v>45727</v>
      </c>
      <c r="E12" s="3">
        <v>45689</v>
      </c>
      <c r="F12" s="3">
        <v>45930</v>
      </c>
      <c r="G12" s="1" t="s">
        <v>27</v>
      </c>
      <c r="H12" s="1" t="s">
        <v>52</v>
      </c>
      <c r="I12" s="1" t="s">
        <v>29</v>
      </c>
      <c r="J12" s="1" t="s">
        <v>30</v>
      </c>
      <c r="K12" s="1" t="s">
        <v>31</v>
      </c>
      <c r="L12" s="4">
        <v>100</v>
      </c>
      <c r="M12" s="1" t="s">
        <v>32</v>
      </c>
      <c r="N12" s="1"/>
      <c r="O12" s="4">
        <v>7345</v>
      </c>
      <c r="P12" s="4">
        <v>73</v>
      </c>
      <c r="Q12" s="4">
        <v>1102</v>
      </c>
      <c r="R12" s="4">
        <v>0</v>
      </c>
      <c r="S12" s="4">
        <v>0</v>
      </c>
      <c r="T12" s="4">
        <v>8520</v>
      </c>
      <c r="U12" s="4">
        <v>0</v>
      </c>
      <c r="V12" s="1"/>
      <c r="W12" s="5">
        <v>0</v>
      </c>
      <c r="X12" s="5">
        <v>0</v>
      </c>
      <c r="Y12" s="5"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A13" s="2">
        <v>12</v>
      </c>
      <c r="B13" s="1" t="s">
        <v>53</v>
      </c>
      <c r="C13" s="1"/>
      <c r="D13" s="3">
        <v>45727</v>
      </c>
      <c r="E13" s="3">
        <v>45689</v>
      </c>
      <c r="F13" s="3">
        <v>45930</v>
      </c>
      <c r="G13" s="1" t="s">
        <v>27</v>
      </c>
      <c r="H13" s="1" t="s">
        <v>54</v>
      </c>
      <c r="I13" s="1" t="s">
        <v>29</v>
      </c>
      <c r="J13" s="1" t="s">
        <v>30</v>
      </c>
      <c r="K13" s="1" t="s">
        <v>31</v>
      </c>
      <c r="L13" s="4">
        <v>100</v>
      </c>
      <c r="M13" s="1" t="s">
        <v>32</v>
      </c>
      <c r="N13" s="1"/>
      <c r="O13" s="4">
        <v>7448</v>
      </c>
      <c r="P13" s="4">
        <v>74</v>
      </c>
      <c r="Q13" s="4">
        <v>1117</v>
      </c>
      <c r="R13" s="4">
        <v>0</v>
      </c>
      <c r="S13" s="4">
        <v>0</v>
      </c>
      <c r="T13" s="4">
        <v>8639</v>
      </c>
      <c r="U13" s="4">
        <v>0</v>
      </c>
      <c r="V13" s="1"/>
      <c r="W13" s="5">
        <v>0</v>
      </c>
      <c r="X13" s="5">
        <v>0</v>
      </c>
      <c r="Y13" s="5"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A14" s="2">
        <v>13</v>
      </c>
      <c r="B14" s="1" t="s">
        <v>55</v>
      </c>
      <c r="C14" s="1"/>
      <c r="D14" s="3">
        <v>45727</v>
      </c>
      <c r="E14" s="3">
        <v>45689</v>
      </c>
      <c r="F14" s="3">
        <v>45930</v>
      </c>
      <c r="G14" s="1" t="s">
        <v>27</v>
      </c>
      <c r="H14" s="1" t="s">
        <v>56</v>
      </c>
      <c r="I14" s="1" t="s">
        <v>29</v>
      </c>
      <c r="J14" s="1" t="s">
        <v>30</v>
      </c>
      <c r="K14" s="1" t="s">
        <v>31</v>
      </c>
      <c r="L14" s="4">
        <v>100</v>
      </c>
      <c r="M14" s="1" t="s">
        <v>32</v>
      </c>
      <c r="N14" s="1"/>
      <c r="O14" s="4">
        <v>3724</v>
      </c>
      <c r="P14" s="4">
        <v>37</v>
      </c>
      <c r="Q14" s="4">
        <v>559</v>
      </c>
      <c r="R14" s="4">
        <v>0</v>
      </c>
      <c r="S14" s="4">
        <v>0</v>
      </c>
      <c r="T14" s="4">
        <v>4320</v>
      </c>
      <c r="U14" s="4">
        <v>0</v>
      </c>
      <c r="V14" s="1"/>
      <c r="W14" s="5">
        <v>0</v>
      </c>
      <c r="X14" s="5">
        <v>0</v>
      </c>
      <c r="Y14" s="5"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5">
      <c r="A15" s="2">
        <v>14</v>
      </c>
      <c r="B15" s="1" t="s">
        <v>57</v>
      </c>
      <c r="C15" s="1"/>
      <c r="D15" s="3">
        <v>45727</v>
      </c>
      <c r="E15" s="3">
        <v>45689</v>
      </c>
      <c r="F15" s="3">
        <v>45930</v>
      </c>
      <c r="G15" s="1" t="s">
        <v>27</v>
      </c>
      <c r="H15" s="1" t="s">
        <v>58</v>
      </c>
      <c r="I15" s="1" t="s">
        <v>29</v>
      </c>
      <c r="J15" s="1" t="s">
        <v>30</v>
      </c>
      <c r="K15" s="1" t="s">
        <v>31</v>
      </c>
      <c r="L15" s="4">
        <v>100</v>
      </c>
      <c r="M15" s="1" t="s">
        <v>32</v>
      </c>
      <c r="N15" s="1"/>
      <c r="O15" s="4">
        <v>8586</v>
      </c>
      <c r="P15" s="4">
        <v>86</v>
      </c>
      <c r="Q15" s="4">
        <v>1288</v>
      </c>
      <c r="R15" s="4">
        <v>0</v>
      </c>
      <c r="S15" s="4">
        <v>0</v>
      </c>
      <c r="T15" s="4">
        <v>9960</v>
      </c>
      <c r="U15" s="4">
        <v>0</v>
      </c>
      <c r="V15" s="1"/>
      <c r="W15" s="5">
        <v>0</v>
      </c>
      <c r="X15" s="5">
        <v>0</v>
      </c>
      <c r="Y15" s="5"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2">
        <v>15</v>
      </c>
      <c r="B16" s="1" t="s">
        <v>59</v>
      </c>
      <c r="C16" s="1"/>
      <c r="D16" s="3">
        <v>45727</v>
      </c>
      <c r="E16" s="3">
        <v>45689</v>
      </c>
      <c r="F16" s="3">
        <v>45930</v>
      </c>
      <c r="G16" s="1" t="s">
        <v>27</v>
      </c>
      <c r="H16" s="1" t="s">
        <v>60</v>
      </c>
      <c r="I16" s="1" t="s">
        <v>29</v>
      </c>
      <c r="J16" s="1" t="s">
        <v>30</v>
      </c>
      <c r="K16" s="1" t="s">
        <v>31</v>
      </c>
      <c r="L16" s="4">
        <v>100</v>
      </c>
      <c r="M16" s="1" t="s">
        <v>32</v>
      </c>
      <c r="N16" s="1"/>
      <c r="O16" s="4">
        <v>7759</v>
      </c>
      <c r="P16" s="4">
        <v>78</v>
      </c>
      <c r="Q16" s="4">
        <v>1164</v>
      </c>
      <c r="R16" s="4">
        <v>0</v>
      </c>
      <c r="S16" s="4">
        <v>0</v>
      </c>
      <c r="T16" s="4">
        <v>9001</v>
      </c>
      <c r="U16" s="4">
        <v>0</v>
      </c>
      <c r="V16" s="1"/>
      <c r="W16" s="5">
        <v>0</v>
      </c>
      <c r="X16" s="5">
        <v>0</v>
      </c>
      <c r="Y16" s="5"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s="2">
        <v>16</v>
      </c>
      <c r="B17" s="1" t="s">
        <v>61</v>
      </c>
      <c r="C17" s="1"/>
      <c r="D17" s="3">
        <v>45727</v>
      </c>
      <c r="E17" s="3">
        <v>45689</v>
      </c>
      <c r="F17" s="3">
        <v>45930</v>
      </c>
      <c r="G17" s="1" t="s">
        <v>27</v>
      </c>
      <c r="H17" s="1" t="s">
        <v>62</v>
      </c>
      <c r="I17" s="1" t="s">
        <v>29</v>
      </c>
      <c r="J17" s="1" t="s">
        <v>30</v>
      </c>
      <c r="K17" s="1" t="s">
        <v>31</v>
      </c>
      <c r="L17" s="4">
        <v>100</v>
      </c>
      <c r="M17" s="1" t="s">
        <v>32</v>
      </c>
      <c r="N17" s="1"/>
      <c r="O17" s="4">
        <v>5172</v>
      </c>
      <c r="P17" s="4">
        <v>52</v>
      </c>
      <c r="Q17" s="4">
        <v>776</v>
      </c>
      <c r="R17" s="4">
        <v>0</v>
      </c>
      <c r="S17" s="4">
        <v>0</v>
      </c>
      <c r="T17" s="4">
        <v>6000</v>
      </c>
      <c r="U17" s="4">
        <v>0</v>
      </c>
      <c r="V17" s="1"/>
      <c r="W17" s="5">
        <v>0</v>
      </c>
      <c r="X17" s="5">
        <v>0</v>
      </c>
      <c r="Y17" s="5"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A18" s="2">
        <v>17</v>
      </c>
      <c r="B18" s="1" t="s">
        <v>63</v>
      </c>
      <c r="C18" s="1"/>
      <c r="D18" s="3">
        <v>45727</v>
      </c>
      <c r="E18" s="3">
        <v>45689</v>
      </c>
      <c r="F18" s="3">
        <v>45930</v>
      </c>
      <c r="G18" s="1" t="s">
        <v>27</v>
      </c>
      <c r="H18" s="1" t="s">
        <v>64</v>
      </c>
      <c r="I18" s="1" t="s">
        <v>29</v>
      </c>
      <c r="J18" s="1" t="s">
        <v>30</v>
      </c>
      <c r="K18" s="1" t="s">
        <v>31</v>
      </c>
      <c r="L18" s="4">
        <v>100</v>
      </c>
      <c r="M18" s="1" t="s">
        <v>32</v>
      </c>
      <c r="N18" s="1"/>
      <c r="O18" s="4">
        <v>5172</v>
      </c>
      <c r="P18" s="4">
        <v>52</v>
      </c>
      <c r="Q18" s="4">
        <v>776</v>
      </c>
      <c r="R18" s="4">
        <v>0</v>
      </c>
      <c r="S18" s="4">
        <v>0</v>
      </c>
      <c r="T18" s="4">
        <v>6000</v>
      </c>
      <c r="U18" s="4">
        <v>0</v>
      </c>
      <c r="V18" s="1"/>
      <c r="W18" s="5">
        <v>0</v>
      </c>
      <c r="X18" s="5">
        <v>0</v>
      </c>
      <c r="Y18" s="5"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2">
        <v>18</v>
      </c>
      <c r="B19" s="1" t="s">
        <v>65</v>
      </c>
      <c r="C19" s="1"/>
      <c r="D19" s="3">
        <v>45727</v>
      </c>
      <c r="E19" s="3">
        <v>45689</v>
      </c>
      <c r="F19" s="3">
        <v>45930</v>
      </c>
      <c r="G19" s="1" t="s">
        <v>27</v>
      </c>
      <c r="H19" s="1" t="s">
        <v>66</v>
      </c>
      <c r="I19" s="1" t="s">
        <v>29</v>
      </c>
      <c r="J19" s="1" t="s">
        <v>30</v>
      </c>
      <c r="K19" s="1" t="s">
        <v>31</v>
      </c>
      <c r="L19" s="4">
        <v>100</v>
      </c>
      <c r="M19" s="1" t="s">
        <v>32</v>
      </c>
      <c r="N19" s="1"/>
      <c r="O19" s="4">
        <v>12310</v>
      </c>
      <c r="P19" s="4">
        <v>123</v>
      </c>
      <c r="Q19" s="4">
        <v>1847</v>
      </c>
      <c r="R19" s="4">
        <v>0</v>
      </c>
      <c r="S19" s="4">
        <v>0</v>
      </c>
      <c r="T19" s="4">
        <v>14280</v>
      </c>
      <c r="U19" s="4">
        <v>0</v>
      </c>
      <c r="V19" s="1"/>
      <c r="W19" s="5">
        <v>0</v>
      </c>
      <c r="X19" s="5">
        <v>0</v>
      </c>
      <c r="Y19" s="5"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25">
      <c r="A20" s="2">
        <v>19</v>
      </c>
      <c r="B20" s="1" t="s">
        <v>67</v>
      </c>
      <c r="C20" s="1"/>
      <c r="D20" s="3">
        <v>45727</v>
      </c>
      <c r="E20" s="3">
        <v>45689</v>
      </c>
      <c r="F20" s="3">
        <v>45930</v>
      </c>
      <c r="G20" s="1" t="s">
        <v>27</v>
      </c>
      <c r="H20" s="1" t="s">
        <v>68</v>
      </c>
      <c r="I20" s="1" t="s">
        <v>29</v>
      </c>
      <c r="J20" s="1" t="s">
        <v>30</v>
      </c>
      <c r="K20" s="1" t="s">
        <v>31</v>
      </c>
      <c r="L20" s="4">
        <v>100</v>
      </c>
      <c r="M20" s="1" t="s">
        <v>32</v>
      </c>
      <c r="N20" s="1"/>
      <c r="O20" s="4">
        <v>8379</v>
      </c>
      <c r="P20" s="4">
        <v>84</v>
      </c>
      <c r="Q20" s="4">
        <v>1257</v>
      </c>
      <c r="R20" s="4">
        <v>0</v>
      </c>
      <c r="S20" s="4">
        <v>0</v>
      </c>
      <c r="T20" s="4">
        <v>9720</v>
      </c>
      <c r="U20" s="4">
        <v>0</v>
      </c>
      <c r="V20" s="1"/>
      <c r="W20" s="5">
        <v>0</v>
      </c>
      <c r="X20" s="5">
        <v>0</v>
      </c>
      <c r="Y20" s="5"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2">
        <v>20</v>
      </c>
      <c r="B21" s="1" t="s">
        <v>69</v>
      </c>
      <c r="C21" s="1"/>
      <c r="D21" s="3">
        <v>45727</v>
      </c>
      <c r="E21" s="3">
        <v>45689</v>
      </c>
      <c r="F21" s="3">
        <v>45930</v>
      </c>
      <c r="G21" s="1" t="s">
        <v>27</v>
      </c>
      <c r="H21" s="1" t="s">
        <v>70</v>
      </c>
      <c r="I21" s="1" t="s">
        <v>29</v>
      </c>
      <c r="J21" s="1" t="s">
        <v>30</v>
      </c>
      <c r="K21" s="1" t="s">
        <v>31</v>
      </c>
      <c r="L21" s="4">
        <v>100</v>
      </c>
      <c r="M21" s="1" t="s">
        <v>32</v>
      </c>
      <c r="N21" s="1"/>
      <c r="O21" s="4">
        <v>5276</v>
      </c>
      <c r="P21" s="4">
        <v>53</v>
      </c>
      <c r="Q21" s="4">
        <v>791</v>
      </c>
      <c r="R21" s="4">
        <v>0</v>
      </c>
      <c r="S21" s="4">
        <v>0</v>
      </c>
      <c r="T21" s="4">
        <v>6120</v>
      </c>
      <c r="U21" s="4">
        <v>0</v>
      </c>
      <c r="V21" s="1"/>
      <c r="W21" s="5">
        <v>0</v>
      </c>
      <c r="X21" s="5">
        <v>0</v>
      </c>
      <c r="Y21" s="5"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2">
        <v>21</v>
      </c>
      <c r="B22" s="1" t="s">
        <v>71</v>
      </c>
      <c r="C22" s="1"/>
      <c r="D22" s="3">
        <v>45727</v>
      </c>
      <c r="E22" s="3">
        <v>45689</v>
      </c>
      <c r="F22" s="3">
        <v>45930</v>
      </c>
      <c r="G22" s="1" t="s">
        <v>27</v>
      </c>
      <c r="H22" s="1" t="s">
        <v>72</v>
      </c>
      <c r="I22" s="1" t="s">
        <v>29</v>
      </c>
      <c r="J22" s="1" t="s">
        <v>30</v>
      </c>
      <c r="K22" s="1" t="s">
        <v>31</v>
      </c>
      <c r="L22" s="4">
        <v>100</v>
      </c>
      <c r="M22" s="1" t="s">
        <v>32</v>
      </c>
      <c r="N22" s="1"/>
      <c r="O22" s="4">
        <v>8276</v>
      </c>
      <c r="P22" s="4">
        <v>83</v>
      </c>
      <c r="Q22" s="4">
        <v>1241</v>
      </c>
      <c r="R22" s="4">
        <v>0</v>
      </c>
      <c r="S22" s="4">
        <v>0</v>
      </c>
      <c r="T22" s="4">
        <v>9600</v>
      </c>
      <c r="U22" s="4">
        <v>0</v>
      </c>
      <c r="V22" s="1"/>
      <c r="W22" s="5">
        <v>0</v>
      </c>
      <c r="X22" s="5">
        <v>0</v>
      </c>
      <c r="Y22" s="5"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5">
      <c r="A23" s="2">
        <v>22</v>
      </c>
      <c r="B23" s="1" t="s">
        <v>73</v>
      </c>
      <c r="C23" s="1"/>
      <c r="D23" s="3">
        <v>45727</v>
      </c>
      <c r="E23" s="3">
        <v>45689</v>
      </c>
      <c r="F23" s="3">
        <v>45930</v>
      </c>
      <c r="G23" s="1" t="s">
        <v>27</v>
      </c>
      <c r="H23" s="1" t="s">
        <v>74</v>
      </c>
      <c r="I23" s="1" t="s">
        <v>29</v>
      </c>
      <c r="J23" s="1" t="s">
        <v>30</v>
      </c>
      <c r="K23" s="1" t="s">
        <v>31</v>
      </c>
      <c r="L23" s="4">
        <v>100</v>
      </c>
      <c r="M23" s="1" t="s">
        <v>32</v>
      </c>
      <c r="N23" s="1"/>
      <c r="O23" s="4">
        <v>7759</v>
      </c>
      <c r="P23" s="4">
        <v>78</v>
      </c>
      <c r="Q23" s="4">
        <v>1164</v>
      </c>
      <c r="R23" s="4">
        <v>0</v>
      </c>
      <c r="S23" s="4">
        <v>0</v>
      </c>
      <c r="T23" s="4">
        <v>9001</v>
      </c>
      <c r="U23" s="4">
        <v>0</v>
      </c>
      <c r="V23" s="1"/>
      <c r="W23" s="5">
        <v>0</v>
      </c>
      <c r="X23" s="5">
        <v>0</v>
      </c>
      <c r="Y23" s="5"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25">
      <c r="A24" s="2">
        <v>23</v>
      </c>
      <c r="B24" s="1" t="s">
        <v>75</v>
      </c>
      <c r="C24" s="1"/>
      <c r="D24" s="3">
        <v>45727</v>
      </c>
      <c r="E24" s="3">
        <v>45689</v>
      </c>
      <c r="F24" s="3">
        <v>45930</v>
      </c>
      <c r="G24" s="1" t="s">
        <v>27</v>
      </c>
      <c r="H24" s="1" t="s">
        <v>76</v>
      </c>
      <c r="I24" s="1" t="s">
        <v>29</v>
      </c>
      <c r="J24" s="1" t="s">
        <v>30</v>
      </c>
      <c r="K24" s="1" t="s">
        <v>31</v>
      </c>
      <c r="L24" s="4">
        <v>100</v>
      </c>
      <c r="M24" s="1" t="s">
        <v>32</v>
      </c>
      <c r="N24" s="1"/>
      <c r="O24" s="4">
        <v>2586</v>
      </c>
      <c r="P24" s="4">
        <v>26</v>
      </c>
      <c r="Q24" s="4">
        <v>388</v>
      </c>
      <c r="R24" s="4">
        <v>0</v>
      </c>
      <c r="S24" s="4">
        <v>0</v>
      </c>
      <c r="T24" s="4">
        <v>3000</v>
      </c>
      <c r="U24" s="4">
        <v>0</v>
      </c>
      <c r="V24" s="1"/>
      <c r="W24" s="5">
        <v>0</v>
      </c>
      <c r="X24" s="5">
        <v>0</v>
      </c>
      <c r="Y24" s="5"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2">
        <v>24</v>
      </c>
      <c r="B25" s="1" t="s">
        <v>77</v>
      </c>
      <c r="C25" s="1"/>
      <c r="D25" s="3">
        <v>45727</v>
      </c>
      <c r="E25" s="3">
        <v>45689</v>
      </c>
      <c r="F25" s="3">
        <v>45930</v>
      </c>
      <c r="G25" s="1" t="s">
        <v>27</v>
      </c>
      <c r="H25" s="1" t="s">
        <v>78</v>
      </c>
      <c r="I25" s="1" t="s">
        <v>29</v>
      </c>
      <c r="J25" s="1" t="s">
        <v>30</v>
      </c>
      <c r="K25" s="1" t="s">
        <v>31</v>
      </c>
      <c r="L25" s="4">
        <v>100</v>
      </c>
      <c r="M25" s="1" t="s">
        <v>32</v>
      </c>
      <c r="N25" s="1"/>
      <c r="O25" s="4">
        <v>26483</v>
      </c>
      <c r="P25" s="4">
        <v>265</v>
      </c>
      <c r="Q25" s="4">
        <v>3972</v>
      </c>
      <c r="R25" s="4">
        <v>0</v>
      </c>
      <c r="S25" s="4">
        <v>0</v>
      </c>
      <c r="T25" s="4">
        <v>30720</v>
      </c>
      <c r="U25" s="4">
        <v>0</v>
      </c>
      <c r="V25" s="1"/>
      <c r="W25" s="5">
        <v>0</v>
      </c>
      <c r="X25" s="5">
        <v>0</v>
      </c>
      <c r="Y25" s="5"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A26" s="2">
        <v>25</v>
      </c>
      <c r="B26" s="1" t="s">
        <v>79</v>
      </c>
      <c r="C26" s="1"/>
      <c r="D26" s="3">
        <v>45727</v>
      </c>
      <c r="E26" s="3">
        <v>45689</v>
      </c>
      <c r="F26" s="3">
        <v>45930</v>
      </c>
      <c r="G26" s="1" t="s">
        <v>27</v>
      </c>
      <c r="H26" s="1" t="s">
        <v>80</v>
      </c>
      <c r="I26" s="1" t="s">
        <v>29</v>
      </c>
      <c r="J26" s="1" t="s">
        <v>30</v>
      </c>
      <c r="K26" s="1" t="s">
        <v>31</v>
      </c>
      <c r="L26" s="4">
        <v>100</v>
      </c>
      <c r="M26" s="1" t="s">
        <v>32</v>
      </c>
      <c r="N26" s="1"/>
      <c r="O26" s="4">
        <v>13034</v>
      </c>
      <c r="P26" s="4">
        <v>130</v>
      </c>
      <c r="Q26" s="4">
        <v>1955</v>
      </c>
      <c r="R26" s="4">
        <v>0</v>
      </c>
      <c r="S26" s="4">
        <v>0</v>
      </c>
      <c r="T26" s="4">
        <v>15119</v>
      </c>
      <c r="U26" s="4">
        <v>0</v>
      </c>
      <c r="V26" s="1"/>
      <c r="W26" s="5">
        <v>0</v>
      </c>
      <c r="X26" s="5">
        <v>0</v>
      </c>
      <c r="Y26" s="5"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5">
      <c r="A27" s="2">
        <v>26</v>
      </c>
      <c r="B27" s="1" t="s">
        <v>81</v>
      </c>
      <c r="C27" s="1"/>
      <c r="D27" s="3">
        <v>45727</v>
      </c>
      <c r="E27" s="3">
        <v>45689</v>
      </c>
      <c r="F27" s="3">
        <v>45930</v>
      </c>
      <c r="G27" s="1" t="s">
        <v>27</v>
      </c>
      <c r="H27" s="1" t="s">
        <v>82</v>
      </c>
      <c r="I27" s="1" t="s">
        <v>29</v>
      </c>
      <c r="J27" s="1" t="s">
        <v>30</v>
      </c>
      <c r="K27" s="1" t="s">
        <v>31</v>
      </c>
      <c r="L27" s="4">
        <v>100</v>
      </c>
      <c r="M27" s="1" t="s">
        <v>32</v>
      </c>
      <c r="N27" s="1"/>
      <c r="O27" s="4">
        <v>6103</v>
      </c>
      <c r="P27" s="4">
        <v>61</v>
      </c>
      <c r="Q27" s="4">
        <v>915</v>
      </c>
      <c r="R27" s="4">
        <v>0</v>
      </c>
      <c r="S27" s="4">
        <v>0</v>
      </c>
      <c r="T27" s="4">
        <v>7079</v>
      </c>
      <c r="U27" s="4">
        <v>0</v>
      </c>
      <c r="V27" s="1"/>
      <c r="W27" s="5">
        <v>0</v>
      </c>
      <c r="X27" s="5">
        <v>0</v>
      </c>
      <c r="Y27" s="5"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 s="2">
        <v>27</v>
      </c>
      <c r="B28" s="1" t="s">
        <v>83</v>
      </c>
      <c r="C28" s="1"/>
      <c r="D28" s="3">
        <v>45727</v>
      </c>
      <c r="E28" s="3">
        <v>45689</v>
      </c>
      <c r="F28" s="3">
        <v>45930</v>
      </c>
      <c r="G28" s="1" t="s">
        <v>27</v>
      </c>
      <c r="H28" s="1" t="s">
        <v>84</v>
      </c>
      <c r="I28" s="1" t="s">
        <v>29</v>
      </c>
      <c r="J28" s="1" t="s">
        <v>30</v>
      </c>
      <c r="K28" s="1" t="s">
        <v>31</v>
      </c>
      <c r="L28" s="4">
        <v>100</v>
      </c>
      <c r="M28" s="1" t="s">
        <v>32</v>
      </c>
      <c r="N28" s="1"/>
      <c r="O28" s="4">
        <v>3103</v>
      </c>
      <c r="P28" s="4">
        <v>31</v>
      </c>
      <c r="Q28" s="4">
        <v>465</v>
      </c>
      <c r="R28" s="4">
        <v>0</v>
      </c>
      <c r="S28" s="4">
        <v>0</v>
      </c>
      <c r="T28" s="4">
        <v>3599</v>
      </c>
      <c r="U28" s="4">
        <v>0</v>
      </c>
      <c r="V28" s="1"/>
      <c r="W28" s="5">
        <v>0</v>
      </c>
      <c r="X28" s="5">
        <v>0</v>
      </c>
      <c r="Y28" s="5"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 s="2">
        <v>28</v>
      </c>
      <c r="B29" s="1" t="s">
        <v>85</v>
      </c>
      <c r="C29" s="1"/>
      <c r="D29" s="3">
        <v>45727</v>
      </c>
      <c r="E29" s="3">
        <v>45689</v>
      </c>
      <c r="F29" s="3">
        <v>45930</v>
      </c>
      <c r="G29" s="1" t="s">
        <v>27</v>
      </c>
      <c r="H29" s="1" t="s">
        <v>86</v>
      </c>
      <c r="I29" s="1" t="s">
        <v>29</v>
      </c>
      <c r="J29" s="1" t="s">
        <v>30</v>
      </c>
      <c r="K29" s="1" t="s">
        <v>31</v>
      </c>
      <c r="L29" s="4">
        <v>100</v>
      </c>
      <c r="M29" s="1" t="s">
        <v>32</v>
      </c>
      <c r="N29" s="1"/>
      <c r="O29" s="4">
        <v>5379</v>
      </c>
      <c r="P29" s="4">
        <v>54</v>
      </c>
      <c r="Q29" s="4">
        <v>807</v>
      </c>
      <c r="R29" s="4">
        <v>0</v>
      </c>
      <c r="S29" s="4">
        <v>0</v>
      </c>
      <c r="T29" s="4">
        <v>6240</v>
      </c>
      <c r="U29" s="4">
        <v>0</v>
      </c>
      <c r="V29" s="1"/>
      <c r="W29" s="5">
        <v>0</v>
      </c>
      <c r="X29" s="5">
        <v>0</v>
      </c>
      <c r="Y29" s="5"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 s="2">
        <v>29</v>
      </c>
      <c r="B30" s="1" t="s">
        <v>87</v>
      </c>
      <c r="C30" s="1"/>
      <c r="D30" s="3">
        <v>45727</v>
      </c>
      <c r="E30" s="3">
        <v>45689</v>
      </c>
      <c r="F30" s="3">
        <v>45930</v>
      </c>
      <c r="G30" s="1" t="s">
        <v>27</v>
      </c>
      <c r="H30" s="1" t="s">
        <v>88</v>
      </c>
      <c r="I30" s="1" t="s">
        <v>29</v>
      </c>
      <c r="J30" s="1" t="s">
        <v>30</v>
      </c>
      <c r="K30" s="1" t="s">
        <v>31</v>
      </c>
      <c r="L30" s="4">
        <v>100</v>
      </c>
      <c r="M30" s="1" t="s">
        <v>32</v>
      </c>
      <c r="N30" s="1"/>
      <c r="O30" s="4">
        <v>3621</v>
      </c>
      <c r="P30" s="4">
        <v>36</v>
      </c>
      <c r="Q30" s="4">
        <v>543</v>
      </c>
      <c r="R30" s="4">
        <v>0</v>
      </c>
      <c r="S30" s="4">
        <v>0</v>
      </c>
      <c r="T30" s="4">
        <v>4200</v>
      </c>
      <c r="U30" s="4">
        <v>0</v>
      </c>
      <c r="V30" s="1"/>
      <c r="W30" s="5">
        <v>0</v>
      </c>
      <c r="X30" s="5">
        <v>0</v>
      </c>
      <c r="Y30" s="5"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 s="2">
        <v>30</v>
      </c>
      <c r="B31" s="1" t="s">
        <v>89</v>
      </c>
      <c r="C31" s="1"/>
      <c r="D31" s="3">
        <v>45727</v>
      </c>
      <c r="E31" s="3">
        <v>45689</v>
      </c>
      <c r="F31" s="3">
        <v>45930</v>
      </c>
      <c r="G31" s="1" t="s">
        <v>27</v>
      </c>
      <c r="H31" s="1" t="s">
        <v>90</v>
      </c>
      <c r="I31" s="1" t="s">
        <v>29</v>
      </c>
      <c r="J31" s="1" t="s">
        <v>30</v>
      </c>
      <c r="K31" s="1" t="s">
        <v>31</v>
      </c>
      <c r="L31" s="4">
        <v>100</v>
      </c>
      <c r="M31" s="1" t="s">
        <v>32</v>
      </c>
      <c r="N31" s="1"/>
      <c r="O31" s="4">
        <v>2069</v>
      </c>
      <c r="P31" s="4">
        <v>21</v>
      </c>
      <c r="Q31" s="4">
        <v>310</v>
      </c>
      <c r="R31" s="4">
        <v>0</v>
      </c>
      <c r="S31" s="4">
        <v>0</v>
      </c>
      <c r="T31" s="4">
        <v>2400</v>
      </c>
      <c r="U31" s="4">
        <v>0</v>
      </c>
      <c r="V31" s="1"/>
      <c r="W31" s="5">
        <v>0</v>
      </c>
      <c r="X31" s="5">
        <v>0</v>
      </c>
      <c r="Y31" s="5"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5">
      <c r="A32" s="2">
        <v>31</v>
      </c>
      <c r="B32" s="1" t="s">
        <v>91</v>
      </c>
      <c r="C32" s="1"/>
      <c r="D32" s="3">
        <v>45727</v>
      </c>
      <c r="E32" s="3">
        <v>45689</v>
      </c>
      <c r="F32" s="3">
        <v>45930</v>
      </c>
      <c r="G32" s="1" t="s">
        <v>27</v>
      </c>
      <c r="H32" s="1" t="s">
        <v>92</v>
      </c>
      <c r="I32" s="1" t="s">
        <v>29</v>
      </c>
      <c r="J32" s="1" t="s">
        <v>30</v>
      </c>
      <c r="K32" s="1" t="s">
        <v>31</v>
      </c>
      <c r="L32" s="4">
        <v>100</v>
      </c>
      <c r="M32" s="1" t="s">
        <v>32</v>
      </c>
      <c r="N32" s="1"/>
      <c r="O32" s="4">
        <v>5793</v>
      </c>
      <c r="P32" s="4">
        <v>58</v>
      </c>
      <c r="Q32" s="4">
        <v>869</v>
      </c>
      <c r="R32" s="4">
        <v>0</v>
      </c>
      <c r="S32" s="4">
        <v>0</v>
      </c>
      <c r="T32" s="4">
        <v>6720</v>
      </c>
      <c r="U32" s="4">
        <v>0</v>
      </c>
      <c r="V32" s="1"/>
      <c r="W32" s="5">
        <v>0</v>
      </c>
      <c r="X32" s="5">
        <v>0</v>
      </c>
      <c r="Y32" s="5"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2">
        <v>32</v>
      </c>
      <c r="B33" s="1" t="s">
        <v>93</v>
      </c>
      <c r="C33" s="1"/>
      <c r="D33" s="3">
        <v>45727</v>
      </c>
      <c r="E33" s="3">
        <v>45689</v>
      </c>
      <c r="F33" s="3">
        <v>45930</v>
      </c>
      <c r="G33" s="1" t="s">
        <v>27</v>
      </c>
      <c r="H33" s="1" t="s">
        <v>94</v>
      </c>
      <c r="I33" s="1" t="s">
        <v>29</v>
      </c>
      <c r="J33" s="1" t="s">
        <v>30</v>
      </c>
      <c r="K33" s="1" t="s">
        <v>31</v>
      </c>
      <c r="L33" s="4">
        <v>100</v>
      </c>
      <c r="M33" s="1" t="s">
        <v>32</v>
      </c>
      <c r="N33" s="1"/>
      <c r="O33" s="4">
        <v>3310</v>
      </c>
      <c r="P33" s="4">
        <v>33</v>
      </c>
      <c r="Q33" s="4">
        <v>497</v>
      </c>
      <c r="R33" s="4">
        <v>0</v>
      </c>
      <c r="S33" s="4">
        <v>0</v>
      </c>
      <c r="T33" s="4">
        <v>3840</v>
      </c>
      <c r="U33" s="4">
        <v>0</v>
      </c>
      <c r="V33" s="1"/>
      <c r="W33" s="5">
        <v>0</v>
      </c>
      <c r="X33" s="5">
        <v>0</v>
      </c>
      <c r="Y33" s="5"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2">
        <v>33</v>
      </c>
      <c r="B34" s="1" t="s">
        <v>95</v>
      </c>
      <c r="C34" s="1"/>
      <c r="D34" s="3">
        <v>45727</v>
      </c>
      <c r="E34" s="3">
        <v>45689</v>
      </c>
      <c r="F34" s="3">
        <v>45930</v>
      </c>
      <c r="G34" s="1" t="s">
        <v>27</v>
      </c>
      <c r="H34" s="1" t="s">
        <v>96</v>
      </c>
      <c r="I34" s="1" t="s">
        <v>29</v>
      </c>
      <c r="J34" s="1" t="s">
        <v>30</v>
      </c>
      <c r="K34" s="1" t="s">
        <v>31</v>
      </c>
      <c r="L34" s="4">
        <v>100</v>
      </c>
      <c r="M34" s="1" t="s">
        <v>32</v>
      </c>
      <c r="N34" s="1"/>
      <c r="O34" s="4">
        <v>6414</v>
      </c>
      <c r="P34" s="4">
        <v>64</v>
      </c>
      <c r="Q34" s="4">
        <v>962</v>
      </c>
      <c r="R34" s="4">
        <v>0</v>
      </c>
      <c r="S34" s="4">
        <v>0</v>
      </c>
      <c r="T34" s="4">
        <v>7440</v>
      </c>
      <c r="U34" s="4">
        <v>0</v>
      </c>
      <c r="V34" s="1"/>
      <c r="W34" s="5">
        <v>0</v>
      </c>
      <c r="X34" s="5">
        <v>0</v>
      </c>
      <c r="Y34" s="5"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2">
        <v>34</v>
      </c>
      <c r="B35" s="1" t="s">
        <v>97</v>
      </c>
      <c r="C35" s="1"/>
      <c r="D35" s="3">
        <v>45727</v>
      </c>
      <c r="E35" s="3">
        <v>45689</v>
      </c>
      <c r="F35" s="3">
        <v>45930</v>
      </c>
      <c r="G35" s="1" t="s">
        <v>27</v>
      </c>
      <c r="H35" s="1" t="s">
        <v>98</v>
      </c>
      <c r="I35" s="1" t="s">
        <v>29</v>
      </c>
      <c r="J35" s="1" t="s">
        <v>30</v>
      </c>
      <c r="K35" s="1" t="s">
        <v>31</v>
      </c>
      <c r="L35" s="4">
        <v>100</v>
      </c>
      <c r="M35" s="1" t="s">
        <v>32</v>
      </c>
      <c r="N35" s="1"/>
      <c r="O35" s="4">
        <v>4448</v>
      </c>
      <c r="P35" s="4">
        <v>44</v>
      </c>
      <c r="Q35" s="4">
        <v>667</v>
      </c>
      <c r="R35" s="4">
        <v>0</v>
      </c>
      <c r="S35" s="4">
        <v>0</v>
      </c>
      <c r="T35" s="4">
        <v>5159</v>
      </c>
      <c r="U35" s="4">
        <v>0</v>
      </c>
      <c r="V35" s="1"/>
      <c r="W35" s="5">
        <v>0</v>
      </c>
      <c r="X35" s="5">
        <v>0</v>
      </c>
      <c r="Y35" s="5"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2">
        <v>35</v>
      </c>
      <c r="B36" s="1" t="s">
        <v>99</v>
      </c>
      <c r="C36" s="1"/>
      <c r="D36" s="3">
        <v>45727</v>
      </c>
      <c r="E36" s="3">
        <v>45689</v>
      </c>
      <c r="F36" s="3">
        <v>45930</v>
      </c>
      <c r="G36" s="1" t="s">
        <v>27</v>
      </c>
      <c r="H36" s="1" t="s">
        <v>100</v>
      </c>
      <c r="I36" s="1" t="s">
        <v>29</v>
      </c>
      <c r="J36" s="1" t="s">
        <v>30</v>
      </c>
      <c r="K36" s="1" t="s">
        <v>31</v>
      </c>
      <c r="L36" s="4">
        <v>100</v>
      </c>
      <c r="M36" s="1" t="s">
        <v>32</v>
      </c>
      <c r="N36" s="1"/>
      <c r="O36" s="4">
        <v>2069</v>
      </c>
      <c r="P36" s="4">
        <v>21</v>
      </c>
      <c r="Q36" s="4">
        <v>310</v>
      </c>
      <c r="R36" s="4">
        <v>0</v>
      </c>
      <c r="S36" s="4">
        <v>0</v>
      </c>
      <c r="T36" s="4">
        <v>2400</v>
      </c>
      <c r="U36" s="4">
        <v>0</v>
      </c>
      <c r="V36" s="1"/>
      <c r="W36" s="5">
        <v>0</v>
      </c>
      <c r="X36" s="5">
        <v>0</v>
      </c>
      <c r="Y36" s="5"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2">
        <v>36</v>
      </c>
      <c r="B37" s="1" t="s">
        <v>101</v>
      </c>
      <c r="C37" s="1"/>
      <c r="D37" s="3">
        <v>45727</v>
      </c>
      <c r="E37" s="3">
        <v>45689</v>
      </c>
      <c r="F37" s="3">
        <v>45930</v>
      </c>
      <c r="G37" s="1" t="s">
        <v>27</v>
      </c>
      <c r="H37" s="1" t="s">
        <v>102</v>
      </c>
      <c r="I37" s="1" t="s">
        <v>29</v>
      </c>
      <c r="J37" s="1" t="s">
        <v>30</v>
      </c>
      <c r="K37" s="1" t="s">
        <v>31</v>
      </c>
      <c r="L37" s="4">
        <v>100</v>
      </c>
      <c r="M37" s="1" t="s">
        <v>32</v>
      </c>
      <c r="N37" s="1"/>
      <c r="O37" s="4">
        <v>2586</v>
      </c>
      <c r="P37" s="4">
        <v>26</v>
      </c>
      <c r="Q37" s="4">
        <v>388</v>
      </c>
      <c r="R37" s="4">
        <v>0</v>
      </c>
      <c r="S37" s="4">
        <v>0</v>
      </c>
      <c r="T37" s="4">
        <v>3000</v>
      </c>
      <c r="U37" s="4">
        <v>0</v>
      </c>
      <c r="V37" s="1"/>
      <c r="W37" s="5">
        <v>0</v>
      </c>
      <c r="X37" s="5">
        <v>0</v>
      </c>
      <c r="Y37" s="5"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2">
        <v>37</v>
      </c>
      <c r="B38" s="1" t="s">
        <v>103</v>
      </c>
      <c r="C38" s="1"/>
      <c r="D38" s="3">
        <v>45727</v>
      </c>
      <c r="E38" s="3">
        <v>45689</v>
      </c>
      <c r="F38" s="3">
        <v>45930</v>
      </c>
      <c r="G38" s="1" t="s">
        <v>27</v>
      </c>
      <c r="H38" s="1" t="s">
        <v>104</v>
      </c>
      <c r="I38" s="1" t="s">
        <v>29</v>
      </c>
      <c r="J38" s="1" t="s">
        <v>30</v>
      </c>
      <c r="K38" s="1" t="s">
        <v>31</v>
      </c>
      <c r="L38" s="4">
        <v>100</v>
      </c>
      <c r="M38" s="1" t="s">
        <v>32</v>
      </c>
      <c r="N38" s="1"/>
      <c r="O38" s="4">
        <v>2069</v>
      </c>
      <c r="P38" s="4">
        <v>21</v>
      </c>
      <c r="Q38" s="4">
        <v>310</v>
      </c>
      <c r="R38" s="4">
        <v>0</v>
      </c>
      <c r="S38" s="4">
        <v>0</v>
      </c>
      <c r="T38" s="4">
        <v>2400</v>
      </c>
      <c r="U38" s="4">
        <v>0</v>
      </c>
      <c r="V38" s="1"/>
      <c r="W38" s="5">
        <v>0</v>
      </c>
      <c r="X38" s="5">
        <v>0</v>
      </c>
      <c r="Y38" s="5"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2">
        <v>38</v>
      </c>
      <c r="B39" s="1" t="s">
        <v>105</v>
      </c>
      <c r="C39" s="1"/>
      <c r="D39" s="3">
        <v>45727</v>
      </c>
      <c r="E39" s="3">
        <v>45689</v>
      </c>
      <c r="F39" s="3">
        <v>45930</v>
      </c>
      <c r="G39" s="1" t="s">
        <v>27</v>
      </c>
      <c r="H39" s="1" t="s">
        <v>106</v>
      </c>
      <c r="I39" s="1" t="s">
        <v>29</v>
      </c>
      <c r="J39" s="1" t="s">
        <v>30</v>
      </c>
      <c r="K39" s="1" t="s">
        <v>31</v>
      </c>
      <c r="L39" s="4">
        <v>100</v>
      </c>
      <c r="M39" s="1" t="s">
        <v>32</v>
      </c>
      <c r="N39" s="1"/>
      <c r="O39" s="4">
        <v>7552</v>
      </c>
      <c r="P39" s="4">
        <v>76</v>
      </c>
      <c r="Q39" s="4">
        <v>1133</v>
      </c>
      <c r="R39" s="4">
        <v>0</v>
      </c>
      <c r="S39" s="4">
        <v>0</v>
      </c>
      <c r="T39" s="4">
        <v>8761</v>
      </c>
      <c r="U39" s="4">
        <v>0</v>
      </c>
      <c r="V39" s="1"/>
      <c r="W39" s="5">
        <v>0</v>
      </c>
      <c r="X39" s="5">
        <v>0</v>
      </c>
      <c r="Y39" s="5"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2">
        <v>39</v>
      </c>
      <c r="B40" s="1" t="s">
        <v>107</v>
      </c>
      <c r="C40" s="1"/>
      <c r="D40" s="3">
        <v>45727</v>
      </c>
      <c r="E40" s="3">
        <v>45689</v>
      </c>
      <c r="F40" s="3">
        <v>45930</v>
      </c>
      <c r="G40" s="1" t="s">
        <v>27</v>
      </c>
      <c r="H40" s="1" t="s">
        <v>108</v>
      </c>
      <c r="I40" s="1" t="s">
        <v>29</v>
      </c>
      <c r="J40" s="1" t="s">
        <v>30</v>
      </c>
      <c r="K40" s="1" t="s">
        <v>31</v>
      </c>
      <c r="L40" s="4">
        <v>100</v>
      </c>
      <c r="M40" s="1" t="s">
        <v>32</v>
      </c>
      <c r="N40" s="1"/>
      <c r="O40" s="4">
        <v>3207</v>
      </c>
      <c r="P40" s="4">
        <v>32</v>
      </c>
      <c r="Q40" s="4">
        <v>481</v>
      </c>
      <c r="R40" s="4">
        <v>0</v>
      </c>
      <c r="S40" s="4">
        <v>0</v>
      </c>
      <c r="T40" s="4">
        <v>3720</v>
      </c>
      <c r="U40" s="4">
        <v>0</v>
      </c>
      <c r="V40" s="1"/>
      <c r="W40" s="5">
        <v>0</v>
      </c>
      <c r="X40" s="5">
        <v>0</v>
      </c>
      <c r="Y40" s="5"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2">
        <v>40</v>
      </c>
      <c r="B41" s="1" t="s">
        <v>109</v>
      </c>
      <c r="C41" s="1"/>
      <c r="D41" s="3">
        <v>45727</v>
      </c>
      <c r="E41" s="3">
        <v>45689</v>
      </c>
      <c r="F41" s="3">
        <v>45930</v>
      </c>
      <c r="G41" s="1" t="s">
        <v>27</v>
      </c>
      <c r="H41" s="1" t="s">
        <v>110</v>
      </c>
      <c r="I41" s="1" t="s">
        <v>29</v>
      </c>
      <c r="J41" s="1" t="s">
        <v>30</v>
      </c>
      <c r="K41" s="1" t="s">
        <v>31</v>
      </c>
      <c r="L41" s="4">
        <v>100</v>
      </c>
      <c r="M41" s="1" t="s">
        <v>32</v>
      </c>
      <c r="N41" s="1"/>
      <c r="O41" s="4">
        <v>2069</v>
      </c>
      <c r="P41" s="4">
        <v>21</v>
      </c>
      <c r="Q41" s="4">
        <v>310</v>
      </c>
      <c r="R41" s="4">
        <v>0</v>
      </c>
      <c r="S41" s="4">
        <v>0</v>
      </c>
      <c r="T41" s="4">
        <v>2400</v>
      </c>
      <c r="U41" s="4">
        <v>0</v>
      </c>
      <c r="V41" s="1"/>
      <c r="W41" s="5">
        <v>0</v>
      </c>
      <c r="X41" s="5">
        <v>0</v>
      </c>
      <c r="Y41" s="5"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 s="2">
        <v>41</v>
      </c>
      <c r="B42" s="1" t="s">
        <v>111</v>
      </c>
      <c r="C42" s="1"/>
      <c r="D42" s="3">
        <v>45727</v>
      </c>
      <c r="E42" s="3">
        <v>45689</v>
      </c>
      <c r="F42" s="3">
        <v>45930</v>
      </c>
      <c r="G42" s="1" t="s">
        <v>27</v>
      </c>
      <c r="H42" s="1" t="s">
        <v>112</v>
      </c>
      <c r="I42" s="1" t="s">
        <v>29</v>
      </c>
      <c r="J42" s="1" t="s">
        <v>30</v>
      </c>
      <c r="K42" s="1" t="s">
        <v>31</v>
      </c>
      <c r="L42" s="4">
        <v>100</v>
      </c>
      <c r="M42" s="1" t="s">
        <v>32</v>
      </c>
      <c r="N42" s="1"/>
      <c r="O42" s="4">
        <v>2897</v>
      </c>
      <c r="P42" s="4">
        <v>29</v>
      </c>
      <c r="Q42" s="4">
        <v>435</v>
      </c>
      <c r="R42" s="4">
        <v>0</v>
      </c>
      <c r="S42" s="4">
        <v>0</v>
      </c>
      <c r="T42" s="4">
        <v>3361</v>
      </c>
      <c r="U42" s="4">
        <v>0</v>
      </c>
      <c r="V42" s="1"/>
      <c r="W42" s="5">
        <v>0</v>
      </c>
      <c r="X42" s="5">
        <v>0</v>
      </c>
      <c r="Y42" s="5"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 s="2">
        <v>42</v>
      </c>
      <c r="B43" s="1" t="s">
        <v>113</v>
      </c>
      <c r="C43" s="1"/>
      <c r="D43" s="3">
        <v>45727</v>
      </c>
      <c r="E43" s="3">
        <v>45689</v>
      </c>
      <c r="F43" s="3">
        <v>45930</v>
      </c>
      <c r="G43" s="1" t="s">
        <v>27</v>
      </c>
      <c r="H43" s="1" t="s">
        <v>114</v>
      </c>
      <c r="I43" s="1" t="s">
        <v>29</v>
      </c>
      <c r="J43" s="1" t="s">
        <v>30</v>
      </c>
      <c r="K43" s="1" t="s">
        <v>31</v>
      </c>
      <c r="L43" s="4">
        <v>100</v>
      </c>
      <c r="M43" s="1" t="s">
        <v>32</v>
      </c>
      <c r="N43" s="1"/>
      <c r="O43" s="4">
        <v>5379</v>
      </c>
      <c r="P43" s="4">
        <v>54</v>
      </c>
      <c r="Q43" s="4">
        <v>807</v>
      </c>
      <c r="R43" s="4">
        <v>0</v>
      </c>
      <c r="S43" s="4">
        <v>0</v>
      </c>
      <c r="T43" s="4">
        <v>6240</v>
      </c>
      <c r="U43" s="4">
        <v>0</v>
      </c>
      <c r="V43" s="1"/>
      <c r="W43" s="5">
        <v>0</v>
      </c>
      <c r="X43" s="5">
        <v>0</v>
      </c>
      <c r="Y43" s="5"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2">
        <v>43</v>
      </c>
      <c r="B44" s="1" t="s">
        <v>115</v>
      </c>
      <c r="C44" s="1"/>
      <c r="D44" s="3">
        <v>45727</v>
      </c>
      <c r="E44" s="3">
        <v>45689</v>
      </c>
      <c r="F44" s="3">
        <v>45930</v>
      </c>
      <c r="G44" s="1" t="s">
        <v>27</v>
      </c>
      <c r="H44" s="1" t="s">
        <v>116</v>
      </c>
      <c r="I44" s="1" t="s">
        <v>29</v>
      </c>
      <c r="J44" s="1" t="s">
        <v>30</v>
      </c>
      <c r="K44" s="1" t="s">
        <v>31</v>
      </c>
      <c r="L44" s="4">
        <v>100</v>
      </c>
      <c r="M44" s="1" t="s">
        <v>32</v>
      </c>
      <c r="N44" s="1"/>
      <c r="O44" s="4">
        <v>3310</v>
      </c>
      <c r="P44" s="4">
        <v>33</v>
      </c>
      <c r="Q44" s="4">
        <v>497</v>
      </c>
      <c r="R44" s="4">
        <v>0</v>
      </c>
      <c r="S44" s="4">
        <v>0</v>
      </c>
      <c r="T44" s="4">
        <v>3840</v>
      </c>
      <c r="U44" s="4">
        <v>0</v>
      </c>
      <c r="V44" s="1"/>
      <c r="W44" s="5">
        <v>0</v>
      </c>
      <c r="X44" s="5">
        <v>0</v>
      </c>
      <c r="Y44" s="5"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 s="2">
        <v>44</v>
      </c>
      <c r="B45" s="1" t="s">
        <v>117</v>
      </c>
      <c r="C45" s="1"/>
      <c r="D45" s="3">
        <v>45727</v>
      </c>
      <c r="E45" s="3">
        <v>45689</v>
      </c>
      <c r="F45" s="3">
        <v>45930</v>
      </c>
      <c r="G45" s="1" t="s">
        <v>27</v>
      </c>
      <c r="H45" s="1" t="s">
        <v>118</v>
      </c>
      <c r="I45" s="1" t="s">
        <v>29</v>
      </c>
      <c r="J45" s="1" t="s">
        <v>30</v>
      </c>
      <c r="K45" s="1" t="s">
        <v>31</v>
      </c>
      <c r="L45" s="4">
        <v>100</v>
      </c>
      <c r="M45" s="1" t="s">
        <v>32</v>
      </c>
      <c r="N45" s="1"/>
      <c r="O45" s="4">
        <v>2897</v>
      </c>
      <c r="P45" s="4">
        <v>29</v>
      </c>
      <c r="Q45" s="4">
        <v>435</v>
      </c>
      <c r="R45" s="4">
        <v>0</v>
      </c>
      <c r="S45" s="4">
        <v>0</v>
      </c>
      <c r="T45" s="4">
        <v>3361</v>
      </c>
      <c r="U45" s="4">
        <v>0</v>
      </c>
      <c r="V45" s="1"/>
      <c r="W45" s="5">
        <v>0</v>
      </c>
      <c r="X45" s="5">
        <v>0</v>
      </c>
      <c r="Y45" s="5"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 s="2">
        <v>45</v>
      </c>
      <c r="B46" s="1" t="s">
        <v>119</v>
      </c>
      <c r="C46" s="1"/>
      <c r="D46" s="3">
        <v>45727</v>
      </c>
      <c r="E46" s="3">
        <v>45689</v>
      </c>
      <c r="F46" s="3">
        <v>45930</v>
      </c>
      <c r="G46" s="1" t="s">
        <v>27</v>
      </c>
      <c r="H46" s="1" t="s">
        <v>120</v>
      </c>
      <c r="I46" s="1" t="s">
        <v>29</v>
      </c>
      <c r="J46" s="1" t="s">
        <v>30</v>
      </c>
      <c r="K46" s="1" t="s">
        <v>31</v>
      </c>
      <c r="L46" s="4">
        <v>100</v>
      </c>
      <c r="M46" s="1" t="s">
        <v>32</v>
      </c>
      <c r="N46" s="1"/>
      <c r="O46" s="4">
        <v>2069</v>
      </c>
      <c r="P46" s="4">
        <v>21</v>
      </c>
      <c r="Q46" s="4">
        <v>310</v>
      </c>
      <c r="R46" s="4">
        <v>0</v>
      </c>
      <c r="S46" s="4">
        <v>0</v>
      </c>
      <c r="T46" s="4">
        <v>2400</v>
      </c>
      <c r="U46" s="4">
        <v>0</v>
      </c>
      <c r="V46" s="1"/>
      <c r="W46" s="5">
        <v>0</v>
      </c>
      <c r="X46" s="5">
        <v>0</v>
      </c>
      <c r="Y46" s="5">
        <v>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 s="2">
        <v>46</v>
      </c>
      <c r="B47" s="1" t="s">
        <v>121</v>
      </c>
      <c r="C47" s="1"/>
      <c r="D47" s="3">
        <v>45727</v>
      </c>
      <c r="E47" s="3">
        <v>45689</v>
      </c>
      <c r="F47" s="3">
        <v>45930</v>
      </c>
      <c r="G47" s="1" t="s">
        <v>27</v>
      </c>
      <c r="H47" s="1" t="s">
        <v>122</v>
      </c>
      <c r="I47" s="1" t="s">
        <v>29</v>
      </c>
      <c r="J47" s="1" t="s">
        <v>30</v>
      </c>
      <c r="K47" s="1" t="s">
        <v>31</v>
      </c>
      <c r="L47" s="4">
        <v>100</v>
      </c>
      <c r="M47" s="1" t="s">
        <v>32</v>
      </c>
      <c r="N47" s="1"/>
      <c r="O47" s="4">
        <v>5276</v>
      </c>
      <c r="P47" s="4">
        <v>53</v>
      </c>
      <c r="Q47" s="4">
        <v>791</v>
      </c>
      <c r="R47" s="4">
        <v>0</v>
      </c>
      <c r="S47" s="4">
        <v>0</v>
      </c>
      <c r="T47" s="4">
        <v>6120</v>
      </c>
      <c r="U47" s="4">
        <v>0</v>
      </c>
      <c r="V47" s="1"/>
      <c r="W47" s="5">
        <v>0</v>
      </c>
      <c r="X47" s="5">
        <v>0</v>
      </c>
      <c r="Y47" s="5"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 s="2">
        <v>47</v>
      </c>
      <c r="B48" s="1" t="s">
        <v>123</v>
      </c>
      <c r="C48" s="1"/>
      <c r="D48" s="3">
        <v>45727</v>
      </c>
      <c r="E48" s="3">
        <v>45689</v>
      </c>
      <c r="F48" s="3">
        <v>45930</v>
      </c>
      <c r="G48" s="1" t="s">
        <v>27</v>
      </c>
      <c r="H48" s="1" t="s">
        <v>124</v>
      </c>
      <c r="I48" s="1" t="s">
        <v>29</v>
      </c>
      <c r="J48" s="1" t="s">
        <v>30</v>
      </c>
      <c r="K48" s="1" t="s">
        <v>31</v>
      </c>
      <c r="L48" s="4">
        <v>100</v>
      </c>
      <c r="M48" s="1" t="s">
        <v>32</v>
      </c>
      <c r="N48" s="1"/>
      <c r="O48" s="4">
        <v>3621</v>
      </c>
      <c r="P48" s="4">
        <v>36</v>
      </c>
      <c r="Q48" s="4">
        <v>543</v>
      </c>
      <c r="R48" s="4">
        <v>0</v>
      </c>
      <c r="S48" s="4">
        <v>0</v>
      </c>
      <c r="T48" s="4">
        <v>4200</v>
      </c>
      <c r="U48" s="4">
        <v>0</v>
      </c>
      <c r="V48" s="1"/>
      <c r="W48" s="5">
        <v>0</v>
      </c>
      <c r="X48" s="5">
        <v>0</v>
      </c>
      <c r="Y48" s="5"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 s="2">
        <v>48</v>
      </c>
      <c r="B49" s="1" t="s">
        <v>125</v>
      </c>
      <c r="C49" s="1"/>
      <c r="D49" s="3">
        <v>45727</v>
      </c>
      <c r="E49" s="3">
        <v>45689</v>
      </c>
      <c r="F49" s="3">
        <v>45930</v>
      </c>
      <c r="G49" s="1" t="s">
        <v>27</v>
      </c>
      <c r="H49" s="1" t="s">
        <v>126</v>
      </c>
      <c r="I49" s="1" t="s">
        <v>29</v>
      </c>
      <c r="J49" s="1" t="s">
        <v>30</v>
      </c>
      <c r="K49" s="1" t="s">
        <v>31</v>
      </c>
      <c r="L49" s="4">
        <v>100</v>
      </c>
      <c r="M49" s="1" t="s">
        <v>32</v>
      </c>
      <c r="N49" s="1"/>
      <c r="O49" s="4">
        <v>3103</v>
      </c>
      <c r="P49" s="4">
        <v>31</v>
      </c>
      <c r="Q49" s="4">
        <v>465</v>
      </c>
      <c r="R49" s="4">
        <v>0</v>
      </c>
      <c r="S49" s="4">
        <v>0</v>
      </c>
      <c r="T49" s="4">
        <v>3599</v>
      </c>
      <c r="U49" s="4">
        <v>0</v>
      </c>
      <c r="V49" s="1"/>
      <c r="W49" s="5">
        <v>0</v>
      </c>
      <c r="X49" s="5">
        <v>0</v>
      </c>
      <c r="Y49" s="5"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 s="2">
        <v>49</v>
      </c>
      <c r="B50" s="1" t="s">
        <v>127</v>
      </c>
      <c r="C50" s="1"/>
      <c r="D50" s="3">
        <v>45727</v>
      </c>
      <c r="E50" s="3">
        <v>45689</v>
      </c>
      <c r="F50" s="3">
        <v>45930</v>
      </c>
      <c r="G50" s="1" t="s">
        <v>27</v>
      </c>
      <c r="H50" s="1" t="s">
        <v>128</v>
      </c>
      <c r="I50" s="1" t="s">
        <v>29</v>
      </c>
      <c r="J50" s="1" t="s">
        <v>30</v>
      </c>
      <c r="K50" s="1" t="s">
        <v>31</v>
      </c>
      <c r="L50" s="4">
        <v>100</v>
      </c>
      <c r="M50" s="1" t="s">
        <v>32</v>
      </c>
      <c r="N50" s="1"/>
      <c r="O50" s="4">
        <v>2897</v>
      </c>
      <c r="P50" s="4">
        <v>29</v>
      </c>
      <c r="Q50" s="4">
        <v>435</v>
      </c>
      <c r="R50" s="4">
        <v>0</v>
      </c>
      <c r="S50" s="4">
        <v>0</v>
      </c>
      <c r="T50" s="4">
        <v>3361</v>
      </c>
      <c r="U50" s="4">
        <v>0</v>
      </c>
      <c r="V50" s="1"/>
      <c r="W50" s="5">
        <v>0</v>
      </c>
      <c r="X50" s="5">
        <v>0</v>
      </c>
      <c r="Y50" s="5"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5">
      <c r="A51" s="2">
        <v>50</v>
      </c>
      <c r="B51" s="1" t="s">
        <v>129</v>
      </c>
      <c r="C51" s="1"/>
      <c r="D51" s="3">
        <v>45727</v>
      </c>
      <c r="E51" s="3">
        <v>45689</v>
      </c>
      <c r="F51" s="3">
        <v>45930</v>
      </c>
      <c r="G51" s="1" t="s">
        <v>27</v>
      </c>
      <c r="H51" s="1" t="s">
        <v>130</v>
      </c>
      <c r="I51" s="1" t="s">
        <v>29</v>
      </c>
      <c r="J51" s="1" t="s">
        <v>30</v>
      </c>
      <c r="K51" s="1" t="s">
        <v>31</v>
      </c>
      <c r="L51" s="4">
        <v>100</v>
      </c>
      <c r="M51" s="1" t="s">
        <v>32</v>
      </c>
      <c r="N51" s="1"/>
      <c r="O51" s="4">
        <v>10034</v>
      </c>
      <c r="P51" s="4">
        <v>100</v>
      </c>
      <c r="Q51" s="4">
        <v>1505</v>
      </c>
      <c r="R51" s="4">
        <v>0</v>
      </c>
      <c r="S51" s="4">
        <v>0</v>
      </c>
      <c r="T51" s="4">
        <v>11639</v>
      </c>
      <c r="U51" s="4">
        <v>0</v>
      </c>
      <c r="V51" s="1"/>
      <c r="W51" s="5">
        <v>0</v>
      </c>
      <c r="X51" s="5">
        <v>0</v>
      </c>
      <c r="Y51" s="5"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2">
        <v>51</v>
      </c>
      <c r="B52" s="1" t="s">
        <v>131</v>
      </c>
      <c r="C52" s="1"/>
      <c r="D52" s="3">
        <v>45727</v>
      </c>
      <c r="E52" s="3">
        <v>45689</v>
      </c>
      <c r="F52" s="3">
        <v>45930</v>
      </c>
      <c r="G52" s="1" t="s">
        <v>27</v>
      </c>
      <c r="H52" s="1" t="s">
        <v>132</v>
      </c>
      <c r="I52" s="1" t="s">
        <v>29</v>
      </c>
      <c r="J52" s="1" t="s">
        <v>30</v>
      </c>
      <c r="K52" s="1" t="s">
        <v>31</v>
      </c>
      <c r="L52" s="4">
        <v>100</v>
      </c>
      <c r="M52" s="1" t="s">
        <v>32</v>
      </c>
      <c r="N52" s="1"/>
      <c r="O52" s="4">
        <v>6724</v>
      </c>
      <c r="P52" s="4">
        <v>67</v>
      </c>
      <c r="Q52" s="4">
        <v>1009</v>
      </c>
      <c r="R52" s="4">
        <v>0</v>
      </c>
      <c r="S52" s="4">
        <v>0</v>
      </c>
      <c r="T52" s="4">
        <v>7800</v>
      </c>
      <c r="U52" s="4">
        <v>0</v>
      </c>
      <c r="V52" s="1"/>
      <c r="W52" s="5">
        <v>0</v>
      </c>
      <c r="X52" s="5">
        <v>0</v>
      </c>
      <c r="Y52" s="5"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5">
      <c r="A53" s="2">
        <v>52</v>
      </c>
      <c r="B53" s="1" t="s">
        <v>133</v>
      </c>
      <c r="C53" s="1"/>
      <c r="D53" s="3">
        <v>45727</v>
      </c>
      <c r="E53" s="3">
        <v>45689</v>
      </c>
      <c r="F53" s="3">
        <v>45930</v>
      </c>
      <c r="G53" s="1" t="s">
        <v>27</v>
      </c>
      <c r="H53" s="1" t="s">
        <v>134</v>
      </c>
      <c r="I53" s="1" t="s">
        <v>29</v>
      </c>
      <c r="J53" s="1" t="s">
        <v>30</v>
      </c>
      <c r="K53" s="1" t="s">
        <v>31</v>
      </c>
      <c r="L53" s="4">
        <v>100</v>
      </c>
      <c r="M53" s="1" t="s">
        <v>32</v>
      </c>
      <c r="N53" s="1"/>
      <c r="O53" s="4">
        <v>3310</v>
      </c>
      <c r="P53" s="4">
        <v>33</v>
      </c>
      <c r="Q53" s="4">
        <v>497</v>
      </c>
      <c r="R53" s="4">
        <v>0</v>
      </c>
      <c r="S53" s="4">
        <v>0</v>
      </c>
      <c r="T53" s="4">
        <v>3840</v>
      </c>
      <c r="U53" s="4">
        <v>0</v>
      </c>
      <c r="V53" s="1"/>
      <c r="W53" s="5">
        <v>0</v>
      </c>
      <c r="X53" s="5">
        <v>0</v>
      </c>
      <c r="Y53" s="5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5">
      <c r="A54" s="2">
        <v>53</v>
      </c>
      <c r="B54" s="1" t="s">
        <v>135</v>
      </c>
      <c r="C54" s="1"/>
      <c r="D54" s="3">
        <v>45727</v>
      </c>
      <c r="E54" s="3">
        <v>45689</v>
      </c>
      <c r="F54" s="3">
        <v>45930</v>
      </c>
      <c r="G54" s="1" t="s">
        <v>27</v>
      </c>
      <c r="H54" s="1" t="s">
        <v>136</v>
      </c>
      <c r="I54" s="1" t="s">
        <v>29</v>
      </c>
      <c r="J54" s="1" t="s">
        <v>30</v>
      </c>
      <c r="K54" s="1" t="s">
        <v>31</v>
      </c>
      <c r="L54" s="4">
        <v>100</v>
      </c>
      <c r="M54" s="1" t="s">
        <v>32</v>
      </c>
      <c r="N54" s="1"/>
      <c r="O54" s="4">
        <v>2897</v>
      </c>
      <c r="P54" s="4">
        <v>29</v>
      </c>
      <c r="Q54" s="4">
        <v>435</v>
      </c>
      <c r="R54" s="4">
        <v>0</v>
      </c>
      <c r="S54" s="4">
        <v>0</v>
      </c>
      <c r="T54" s="4">
        <v>3361</v>
      </c>
      <c r="U54" s="4">
        <v>0</v>
      </c>
      <c r="V54" s="1"/>
      <c r="W54" s="5">
        <v>0</v>
      </c>
      <c r="X54" s="5">
        <v>0</v>
      </c>
      <c r="Y54" s="5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5">
      <c r="A55" s="2">
        <v>54</v>
      </c>
      <c r="B55" s="1" t="s">
        <v>137</v>
      </c>
      <c r="C55" s="1"/>
      <c r="D55" s="3">
        <v>45727</v>
      </c>
      <c r="E55" s="3">
        <v>45689</v>
      </c>
      <c r="F55" s="3">
        <v>45930</v>
      </c>
      <c r="G55" s="1" t="s">
        <v>27</v>
      </c>
      <c r="H55" s="1" t="s">
        <v>138</v>
      </c>
      <c r="I55" s="1" t="s">
        <v>29</v>
      </c>
      <c r="J55" s="1" t="s">
        <v>30</v>
      </c>
      <c r="K55" s="1" t="s">
        <v>31</v>
      </c>
      <c r="L55" s="4">
        <v>100</v>
      </c>
      <c r="M55" s="1" t="s">
        <v>32</v>
      </c>
      <c r="N55" s="1"/>
      <c r="O55" s="4">
        <v>3724</v>
      </c>
      <c r="P55" s="4">
        <v>37</v>
      </c>
      <c r="Q55" s="4">
        <v>559</v>
      </c>
      <c r="R55" s="4">
        <v>0</v>
      </c>
      <c r="S55" s="4">
        <v>0</v>
      </c>
      <c r="T55" s="4">
        <v>4320</v>
      </c>
      <c r="U55" s="4">
        <v>0</v>
      </c>
      <c r="V55" s="1"/>
      <c r="W55" s="5">
        <v>0</v>
      </c>
      <c r="X55" s="5">
        <v>0</v>
      </c>
      <c r="Y55" s="5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 s="2">
        <v>55</v>
      </c>
      <c r="B56" s="1" t="s">
        <v>139</v>
      </c>
      <c r="C56" s="1"/>
      <c r="D56" s="3">
        <v>45727</v>
      </c>
      <c r="E56" s="3">
        <v>45689</v>
      </c>
      <c r="F56" s="3">
        <v>45930</v>
      </c>
      <c r="G56" s="1" t="s">
        <v>27</v>
      </c>
      <c r="H56" s="1" t="s">
        <v>140</v>
      </c>
      <c r="I56" s="1" t="s">
        <v>29</v>
      </c>
      <c r="J56" s="1" t="s">
        <v>30</v>
      </c>
      <c r="K56" s="1" t="s">
        <v>31</v>
      </c>
      <c r="L56" s="4">
        <v>100</v>
      </c>
      <c r="M56" s="1" t="s">
        <v>32</v>
      </c>
      <c r="N56" s="1"/>
      <c r="O56" s="4">
        <v>4759</v>
      </c>
      <c r="P56" s="4">
        <v>48</v>
      </c>
      <c r="Q56" s="4">
        <v>714</v>
      </c>
      <c r="R56" s="4">
        <v>0</v>
      </c>
      <c r="S56" s="4">
        <v>0</v>
      </c>
      <c r="T56" s="4">
        <v>5521</v>
      </c>
      <c r="U56" s="4">
        <v>0</v>
      </c>
      <c r="V56" s="1"/>
      <c r="W56" s="5">
        <v>0</v>
      </c>
      <c r="X56" s="5">
        <v>0</v>
      </c>
      <c r="Y56" s="5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5">
      <c r="A57" s="2">
        <v>56</v>
      </c>
      <c r="B57" s="1" t="s">
        <v>141</v>
      </c>
      <c r="C57" s="1"/>
      <c r="D57" s="3">
        <v>45727</v>
      </c>
      <c r="E57" s="3">
        <v>45689</v>
      </c>
      <c r="F57" s="3">
        <v>45930</v>
      </c>
      <c r="G57" s="1" t="s">
        <v>27</v>
      </c>
      <c r="H57" s="1" t="s">
        <v>142</v>
      </c>
      <c r="I57" s="1" t="s">
        <v>29</v>
      </c>
      <c r="J57" s="1" t="s">
        <v>30</v>
      </c>
      <c r="K57" s="1" t="s">
        <v>31</v>
      </c>
      <c r="L57" s="4">
        <v>100</v>
      </c>
      <c r="M57" s="1" t="s">
        <v>32</v>
      </c>
      <c r="N57" s="1"/>
      <c r="O57" s="4">
        <v>4655</v>
      </c>
      <c r="P57" s="4">
        <v>47</v>
      </c>
      <c r="Q57" s="4">
        <v>698</v>
      </c>
      <c r="R57" s="4">
        <v>0</v>
      </c>
      <c r="S57" s="4">
        <v>0</v>
      </c>
      <c r="T57" s="4">
        <v>5400</v>
      </c>
      <c r="U57" s="4">
        <v>0</v>
      </c>
      <c r="V57" s="1"/>
      <c r="W57" s="5">
        <v>0</v>
      </c>
      <c r="X57" s="5">
        <v>0</v>
      </c>
      <c r="Y57" s="5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2">
        <v>57</v>
      </c>
      <c r="B58" s="1" t="s">
        <v>143</v>
      </c>
      <c r="C58" s="1"/>
      <c r="D58" s="3">
        <v>45727</v>
      </c>
      <c r="E58" s="3">
        <v>45689</v>
      </c>
      <c r="F58" s="3">
        <v>45930</v>
      </c>
      <c r="G58" s="1" t="s">
        <v>27</v>
      </c>
      <c r="H58" s="1" t="s">
        <v>144</v>
      </c>
      <c r="I58" s="1" t="s">
        <v>29</v>
      </c>
      <c r="J58" s="1" t="s">
        <v>30</v>
      </c>
      <c r="K58" s="1" t="s">
        <v>31</v>
      </c>
      <c r="L58" s="4">
        <v>100</v>
      </c>
      <c r="M58" s="1" t="s">
        <v>32</v>
      </c>
      <c r="N58" s="1"/>
      <c r="O58" s="4">
        <v>9828</v>
      </c>
      <c r="P58" s="4">
        <v>98</v>
      </c>
      <c r="Q58" s="4">
        <v>1474</v>
      </c>
      <c r="R58" s="4">
        <v>0</v>
      </c>
      <c r="S58" s="4">
        <v>0</v>
      </c>
      <c r="T58" s="4">
        <v>11400</v>
      </c>
      <c r="U58" s="4">
        <v>0</v>
      </c>
      <c r="V58" s="1"/>
      <c r="W58" s="5">
        <v>0</v>
      </c>
      <c r="X58" s="5">
        <v>0</v>
      </c>
      <c r="Y58" s="5"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5">
      <c r="A59" s="2">
        <v>58</v>
      </c>
      <c r="B59" s="1" t="s">
        <v>145</v>
      </c>
      <c r="C59" s="1"/>
      <c r="D59" s="3">
        <v>45727</v>
      </c>
      <c r="E59" s="3">
        <v>45689</v>
      </c>
      <c r="F59" s="3">
        <v>45930</v>
      </c>
      <c r="G59" s="1" t="s">
        <v>27</v>
      </c>
      <c r="H59" s="1" t="s">
        <v>146</v>
      </c>
      <c r="I59" s="1" t="s">
        <v>29</v>
      </c>
      <c r="J59" s="1" t="s">
        <v>30</v>
      </c>
      <c r="K59" s="1" t="s">
        <v>31</v>
      </c>
      <c r="L59" s="4">
        <v>100</v>
      </c>
      <c r="M59" s="1" t="s">
        <v>32</v>
      </c>
      <c r="N59" s="1"/>
      <c r="O59" s="4">
        <v>2172</v>
      </c>
      <c r="P59" s="4">
        <v>22</v>
      </c>
      <c r="Q59" s="4">
        <v>326</v>
      </c>
      <c r="R59" s="4">
        <v>0</v>
      </c>
      <c r="S59" s="4">
        <v>0</v>
      </c>
      <c r="T59" s="4">
        <v>2520</v>
      </c>
      <c r="U59" s="4">
        <v>0</v>
      </c>
      <c r="V59" s="1"/>
      <c r="W59" s="5">
        <v>0</v>
      </c>
      <c r="X59" s="5">
        <v>0</v>
      </c>
      <c r="Y59" s="5"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5">
      <c r="A60" s="2">
        <v>59</v>
      </c>
      <c r="B60" s="1" t="s">
        <v>147</v>
      </c>
      <c r="C60" s="1"/>
      <c r="D60" s="3">
        <v>45727</v>
      </c>
      <c r="E60" s="3">
        <v>45689</v>
      </c>
      <c r="F60" s="3">
        <v>45930</v>
      </c>
      <c r="G60" s="1" t="s">
        <v>27</v>
      </c>
      <c r="H60" s="1" t="s">
        <v>148</v>
      </c>
      <c r="I60" s="1" t="s">
        <v>29</v>
      </c>
      <c r="J60" s="1" t="s">
        <v>30</v>
      </c>
      <c r="K60" s="1" t="s">
        <v>31</v>
      </c>
      <c r="L60" s="4">
        <v>100</v>
      </c>
      <c r="M60" s="1" t="s">
        <v>32</v>
      </c>
      <c r="N60" s="1"/>
      <c r="O60" s="4">
        <v>8690</v>
      </c>
      <c r="P60" s="4">
        <v>87</v>
      </c>
      <c r="Q60" s="4">
        <v>1304</v>
      </c>
      <c r="R60" s="4">
        <v>0</v>
      </c>
      <c r="S60" s="4">
        <v>0</v>
      </c>
      <c r="T60" s="4">
        <v>10081</v>
      </c>
      <c r="U60" s="4">
        <v>0</v>
      </c>
      <c r="V60" s="1"/>
      <c r="W60" s="5">
        <v>0</v>
      </c>
      <c r="X60" s="5">
        <v>0</v>
      </c>
      <c r="Y60" s="5"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2">
        <v>60</v>
      </c>
      <c r="B61" s="1" t="s">
        <v>149</v>
      </c>
      <c r="C61" s="1"/>
      <c r="D61" s="3">
        <v>45727</v>
      </c>
      <c r="E61" s="3">
        <v>45689</v>
      </c>
      <c r="F61" s="3">
        <v>45930</v>
      </c>
      <c r="G61" s="1" t="s">
        <v>27</v>
      </c>
      <c r="H61" s="1" t="s">
        <v>150</v>
      </c>
      <c r="I61" s="1" t="s">
        <v>29</v>
      </c>
      <c r="J61" s="1" t="s">
        <v>30</v>
      </c>
      <c r="K61" s="1" t="s">
        <v>31</v>
      </c>
      <c r="L61" s="4">
        <v>100</v>
      </c>
      <c r="M61" s="1" t="s">
        <v>32</v>
      </c>
      <c r="N61" s="1"/>
      <c r="O61" s="4">
        <v>7552</v>
      </c>
      <c r="P61" s="4">
        <v>76</v>
      </c>
      <c r="Q61" s="4">
        <v>1133</v>
      </c>
      <c r="R61" s="4">
        <v>0</v>
      </c>
      <c r="S61" s="4">
        <v>0</v>
      </c>
      <c r="T61" s="4">
        <v>8761</v>
      </c>
      <c r="U61" s="4">
        <v>0</v>
      </c>
      <c r="V61" s="1"/>
      <c r="W61" s="5">
        <v>0</v>
      </c>
      <c r="X61" s="5">
        <v>0</v>
      </c>
      <c r="Y61" s="5"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5">
      <c r="A62" s="2">
        <v>61</v>
      </c>
      <c r="B62" s="1" t="s">
        <v>151</v>
      </c>
      <c r="C62" s="1"/>
      <c r="D62" s="3">
        <v>45727</v>
      </c>
      <c r="E62" s="3">
        <v>45689</v>
      </c>
      <c r="F62" s="3">
        <v>45930</v>
      </c>
      <c r="G62" s="1" t="s">
        <v>27</v>
      </c>
      <c r="H62" s="1" t="s">
        <v>152</v>
      </c>
      <c r="I62" s="1" t="s">
        <v>29</v>
      </c>
      <c r="J62" s="1" t="s">
        <v>30</v>
      </c>
      <c r="K62" s="1" t="s">
        <v>31</v>
      </c>
      <c r="L62" s="4">
        <v>100</v>
      </c>
      <c r="M62" s="1" t="s">
        <v>32</v>
      </c>
      <c r="N62" s="1"/>
      <c r="O62" s="4">
        <v>5483</v>
      </c>
      <c r="P62" s="4">
        <v>55</v>
      </c>
      <c r="Q62" s="4">
        <v>822</v>
      </c>
      <c r="R62" s="4">
        <v>0</v>
      </c>
      <c r="S62" s="4">
        <v>0</v>
      </c>
      <c r="T62" s="4">
        <v>6360</v>
      </c>
      <c r="U62" s="4">
        <v>0</v>
      </c>
      <c r="V62" s="1"/>
      <c r="W62" s="5">
        <v>0</v>
      </c>
      <c r="X62" s="5">
        <v>0</v>
      </c>
      <c r="Y62" s="5"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2">
        <v>62</v>
      </c>
      <c r="B63" s="1" t="s">
        <v>153</v>
      </c>
      <c r="C63" s="1"/>
      <c r="D63" s="3">
        <v>45727</v>
      </c>
      <c r="E63" s="3">
        <v>45689</v>
      </c>
      <c r="F63" s="3">
        <v>45930</v>
      </c>
      <c r="G63" s="1" t="s">
        <v>27</v>
      </c>
      <c r="H63" s="1" t="s">
        <v>154</v>
      </c>
      <c r="I63" s="1" t="s">
        <v>29</v>
      </c>
      <c r="J63" s="1" t="s">
        <v>30</v>
      </c>
      <c r="K63" s="1" t="s">
        <v>31</v>
      </c>
      <c r="L63" s="4">
        <v>100</v>
      </c>
      <c r="M63" s="1" t="s">
        <v>32</v>
      </c>
      <c r="N63" s="1"/>
      <c r="O63" s="4">
        <v>1655</v>
      </c>
      <c r="P63" s="4">
        <v>17</v>
      </c>
      <c r="Q63" s="4">
        <v>248</v>
      </c>
      <c r="R63" s="4">
        <v>0</v>
      </c>
      <c r="S63" s="4">
        <v>0</v>
      </c>
      <c r="T63" s="4">
        <v>1920</v>
      </c>
      <c r="U63" s="4">
        <v>0</v>
      </c>
      <c r="V63" s="1"/>
      <c r="W63" s="5">
        <v>0</v>
      </c>
      <c r="X63" s="5">
        <v>0</v>
      </c>
      <c r="Y63" s="5"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5">
      <c r="A64" s="2">
        <v>63</v>
      </c>
      <c r="B64" s="1" t="s">
        <v>155</v>
      </c>
      <c r="C64" s="1"/>
      <c r="D64" s="3">
        <v>45727</v>
      </c>
      <c r="E64" s="3">
        <v>45689</v>
      </c>
      <c r="F64" s="3">
        <v>45930</v>
      </c>
      <c r="G64" s="1" t="s">
        <v>27</v>
      </c>
      <c r="H64" s="1" t="s">
        <v>156</v>
      </c>
      <c r="I64" s="1" t="s">
        <v>29</v>
      </c>
      <c r="J64" s="1" t="s">
        <v>30</v>
      </c>
      <c r="K64" s="1" t="s">
        <v>31</v>
      </c>
      <c r="L64" s="4">
        <v>100</v>
      </c>
      <c r="M64" s="1" t="s">
        <v>32</v>
      </c>
      <c r="N64" s="1"/>
      <c r="O64" s="4">
        <v>2069</v>
      </c>
      <c r="P64" s="4">
        <v>21</v>
      </c>
      <c r="Q64" s="4">
        <v>310</v>
      </c>
      <c r="R64" s="4">
        <v>0</v>
      </c>
      <c r="S64" s="4">
        <v>0</v>
      </c>
      <c r="T64" s="4">
        <v>2400</v>
      </c>
      <c r="U64" s="4">
        <v>0</v>
      </c>
      <c r="V64" s="1"/>
      <c r="W64" s="5">
        <v>0</v>
      </c>
      <c r="X64" s="5">
        <v>0</v>
      </c>
      <c r="Y64" s="5"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5">
      <c r="A65" s="2">
        <v>64</v>
      </c>
      <c r="B65" s="1" t="s">
        <v>157</v>
      </c>
      <c r="C65" s="1"/>
      <c r="D65" s="3">
        <v>45727</v>
      </c>
      <c r="E65" s="3">
        <v>45689</v>
      </c>
      <c r="F65" s="3">
        <v>45930</v>
      </c>
      <c r="G65" s="1" t="s">
        <v>27</v>
      </c>
      <c r="H65" s="1" t="s">
        <v>158</v>
      </c>
      <c r="I65" s="1" t="s">
        <v>29</v>
      </c>
      <c r="J65" s="1" t="s">
        <v>30</v>
      </c>
      <c r="K65" s="1" t="s">
        <v>31</v>
      </c>
      <c r="L65" s="4">
        <v>100</v>
      </c>
      <c r="M65" s="1" t="s">
        <v>32</v>
      </c>
      <c r="N65" s="1"/>
      <c r="O65" s="4">
        <v>3828</v>
      </c>
      <c r="P65" s="4">
        <v>38</v>
      </c>
      <c r="Q65" s="4">
        <v>574</v>
      </c>
      <c r="R65" s="4">
        <v>0</v>
      </c>
      <c r="S65" s="4">
        <v>0</v>
      </c>
      <c r="T65" s="4">
        <v>4440</v>
      </c>
      <c r="U65" s="4">
        <v>0</v>
      </c>
      <c r="V65" s="1"/>
      <c r="W65" s="5">
        <v>0</v>
      </c>
      <c r="X65" s="5">
        <v>0</v>
      </c>
      <c r="Y65" s="5"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5">
      <c r="A66" s="2">
        <v>65</v>
      </c>
      <c r="B66" s="1" t="s">
        <v>159</v>
      </c>
      <c r="C66" s="1"/>
      <c r="D66" s="3">
        <v>45727</v>
      </c>
      <c r="E66" s="3">
        <v>45689</v>
      </c>
      <c r="F66" s="3">
        <v>45930</v>
      </c>
      <c r="G66" s="1" t="s">
        <v>27</v>
      </c>
      <c r="H66" s="1" t="s">
        <v>160</v>
      </c>
      <c r="I66" s="1" t="s">
        <v>29</v>
      </c>
      <c r="J66" s="1" t="s">
        <v>30</v>
      </c>
      <c r="K66" s="1" t="s">
        <v>31</v>
      </c>
      <c r="L66" s="4">
        <v>100</v>
      </c>
      <c r="M66" s="1" t="s">
        <v>32</v>
      </c>
      <c r="N66" s="1"/>
      <c r="O66" s="4">
        <v>5276</v>
      </c>
      <c r="P66" s="4">
        <v>53</v>
      </c>
      <c r="Q66" s="4">
        <v>791</v>
      </c>
      <c r="R66" s="4">
        <v>0</v>
      </c>
      <c r="S66" s="4">
        <v>0</v>
      </c>
      <c r="T66" s="4">
        <v>6120</v>
      </c>
      <c r="U66" s="4">
        <v>0</v>
      </c>
      <c r="V66" s="1"/>
      <c r="W66" s="5">
        <v>0</v>
      </c>
      <c r="X66" s="5">
        <v>0</v>
      </c>
      <c r="Y66" s="5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 s="2">
        <v>66</v>
      </c>
      <c r="B67" s="1" t="s">
        <v>161</v>
      </c>
      <c r="C67" s="1"/>
      <c r="D67" s="3">
        <v>45727</v>
      </c>
      <c r="E67" s="3">
        <v>45689</v>
      </c>
      <c r="F67" s="3">
        <v>45930</v>
      </c>
      <c r="G67" s="1" t="s">
        <v>27</v>
      </c>
      <c r="H67" s="1" t="s">
        <v>162</v>
      </c>
      <c r="I67" s="1" t="s">
        <v>29</v>
      </c>
      <c r="J67" s="1" t="s">
        <v>30</v>
      </c>
      <c r="K67" s="1" t="s">
        <v>31</v>
      </c>
      <c r="L67" s="4">
        <v>100</v>
      </c>
      <c r="M67" s="1" t="s">
        <v>32</v>
      </c>
      <c r="N67" s="1"/>
      <c r="O67" s="4">
        <v>10552</v>
      </c>
      <c r="P67" s="4">
        <v>106</v>
      </c>
      <c r="Q67" s="4">
        <v>1583</v>
      </c>
      <c r="R67" s="4">
        <v>0</v>
      </c>
      <c r="S67" s="4">
        <v>0</v>
      </c>
      <c r="T67" s="4">
        <v>12241</v>
      </c>
      <c r="U67" s="4">
        <v>0</v>
      </c>
      <c r="V67" s="1"/>
      <c r="W67" s="5">
        <v>0</v>
      </c>
      <c r="X67" s="5">
        <v>0</v>
      </c>
      <c r="Y67" s="5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25">
      <c r="A68" s="2">
        <v>67</v>
      </c>
      <c r="B68" s="1" t="s">
        <v>163</v>
      </c>
      <c r="C68" s="1"/>
      <c r="D68" s="3">
        <v>45727</v>
      </c>
      <c r="E68" s="3">
        <v>45689</v>
      </c>
      <c r="F68" s="3">
        <v>45930</v>
      </c>
      <c r="G68" s="1" t="s">
        <v>27</v>
      </c>
      <c r="H68" s="1" t="s">
        <v>164</v>
      </c>
      <c r="I68" s="1" t="s">
        <v>29</v>
      </c>
      <c r="J68" s="1" t="s">
        <v>30</v>
      </c>
      <c r="K68" s="1" t="s">
        <v>31</v>
      </c>
      <c r="L68" s="4">
        <v>100</v>
      </c>
      <c r="M68" s="1" t="s">
        <v>32</v>
      </c>
      <c r="N68" s="1"/>
      <c r="O68" s="4">
        <v>1862</v>
      </c>
      <c r="P68" s="4">
        <v>19</v>
      </c>
      <c r="Q68" s="4">
        <v>279</v>
      </c>
      <c r="R68" s="4">
        <v>0</v>
      </c>
      <c r="S68" s="4">
        <v>0</v>
      </c>
      <c r="T68" s="4">
        <v>2160</v>
      </c>
      <c r="U68" s="4">
        <v>0</v>
      </c>
      <c r="V68" s="1"/>
      <c r="W68" s="5">
        <v>0</v>
      </c>
      <c r="X68" s="5">
        <v>0</v>
      </c>
      <c r="Y68" s="5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25">
      <c r="A69" s="2">
        <v>68</v>
      </c>
      <c r="B69" s="1" t="s">
        <v>165</v>
      </c>
      <c r="C69" s="1"/>
      <c r="D69" s="3">
        <v>45727</v>
      </c>
      <c r="E69" s="3">
        <v>45689</v>
      </c>
      <c r="F69" s="3">
        <v>45930</v>
      </c>
      <c r="G69" s="1" t="s">
        <v>27</v>
      </c>
      <c r="H69" s="1" t="s">
        <v>166</v>
      </c>
      <c r="I69" s="1" t="s">
        <v>29</v>
      </c>
      <c r="J69" s="1" t="s">
        <v>30</v>
      </c>
      <c r="K69" s="1" t="s">
        <v>31</v>
      </c>
      <c r="L69" s="4">
        <v>100</v>
      </c>
      <c r="M69" s="1" t="s">
        <v>32</v>
      </c>
      <c r="N69" s="1"/>
      <c r="O69" s="4">
        <v>1034</v>
      </c>
      <c r="P69" s="4">
        <v>10</v>
      </c>
      <c r="Q69" s="4">
        <v>155</v>
      </c>
      <c r="R69" s="4">
        <v>0</v>
      </c>
      <c r="S69" s="4">
        <v>0</v>
      </c>
      <c r="T69" s="4">
        <v>1199</v>
      </c>
      <c r="U69" s="4">
        <v>0</v>
      </c>
      <c r="V69" s="1"/>
      <c r="W69" s="5">
        <v>0</v>
      </c>
      <c r="X69" s="5">
        <v>0</v>
      </c>
      <c r="Y69" s="5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2">
        <v>69</v>
      </c>
      <c r="B70" s="1" t="s">
        <v>167</v>
      </c>
      <c r="C70" s="1"/>
      <c r="D70" s="3">
        <v>45727</v>
      </c>
      <c r="E70" s="3">
        <v>45689</v>
      </c>
      <c r="F70" s="3">
        <v>45930</v>
      </c>
      <c r="G70" s="1" t="s">
        <v>27</v>
      </c>
      <c r="H70" s="1" t="s">
        <v>168</v>
      </c>
      <c r="I70" s="1" t="s">
        <v>29</v>
      </c>
      <c r="J70" s="1" t="s">
        <v>30</v>
      </c>
      <c r="K70" s="1" t="s">
        <v>31</v>
      </c>
      <c r="L70" s="4">
        <v>100</v>
      </c>
      <c r="M70" s="1" t="s">
        <v>32</v>
      </c>
      <c r="N70" s="1"/>
      <c r="O70" s="4">
        <v>1862</v>
      </c>
      <c r="P70" s="4">
        <v>19</v>
      </c>
      <c r="Q70" s="4">
        <v>279</v>
      </c>
      <c r="R70" s="4">
        <v>0</v>
      </c>
      <c r="S70" s="4">
        <v>0</v>
      </c>
      <c r="T70" s="4">
        <v>2160</v>
      </c>
      <c r="U70" s="4">
        <v>0</v>
      </c>
      <c r="V70" s="1"/>
      <c r="W70" s="5">
        <v>0</v>
      </c>
      <c r="X70" s="5">
        <v>0</v>
      </c>
      <c r="Y70" s="5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25">
      <c r="A71" s="2">
        <v>70</v>
      </c>
      <c r="B71" s="1" t="s">
        <v>169</v>
      </c>
      <c r="C71" s="1"/>
      <c r="D71" s="3">
        <v>45727</v>
      </c>
      <c r="E71" s="3">
        <v>45689</v>
      </c>
      <c r="F71" s="3">
        <v>45930</v>
      </c>
      <c r="G71" s="1" t="s">
        <v>27</v>
      </c>
      <c r="H71" s="1" t="s">
        <v>170</v>
      </c>
      <c r="I71" s="1" t="s">
        <v>29</v>
      </c>
      <c r="J71" s="1" t="s">
        <v>30</v>
      </c>
      <c r="K71" s="1" t="s">
        <v>31</v>
      </c>
      <c r="L71" s="4">
        <v>100</v>
      </c>
      <c r="M71" s="1" t="s">
        <v>32</v>
      </c>
      <c r="N71" s="1"/>
      <c r="O71" s="4">
        <v>1552</v>
      </c>
      <c r="P71" s="4">
        <v>16</v>
      </c>
      <c r="Q71" s="4">
        <v>233</v>
      </c>
      <c r="R71" s="4">
        <v>0</v>
      </c>
      <c r="S71" s="4">
        <v>0</v>
      </c>
      <c r="T71" s="4">
        <v>1801</v>
      </c>
      <c r="U71" s="4">
        <v>0</v>
      </c>
      <c r="V71" s="1"/>
      <c r="W71" s="5">
        <v>0</v>
      </c>
      <c r="X71" s="5">
        <v>0</v>
      </c>
      <c r="Y71" s="5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5">
      <c r="A72" s="2">
        <v>71</v>
      </c>
      <c r="B72" s="1" t="s">
        <v>171</v>
      </c>
      <c r="C72" s="1"/>
      <c r="D72" s="3">
        <v>45727</v>
      </c>
      <c r="E72" s="3">
        <v>45689</v>
      </c>
      <c r="F72" s="3">
        <v>45930</v>
      </c>
      <c r="G72" s="1" t="s">
        <v>27</v>
      </c>
      <c r="H72" s="1" t="s">
        <v>172</v>
      </c>
      <c r="I72" s="1" t="s">
        <v>29</v>
      </c>
      <c r="J72" s="1" t="s">
        <v>30</v>
      </c>
      <c r="K72" s="1" t="s">
        <v>31</v>
      </c>
      <c r="L72" s="4">
        <v>100</v>
      </c>
      <c r="M72" s="1" t="s">
        <v>32</v>
      </c>
      <c r="N72" s="1"/>
      <c r="O72" s="4">
        <v>3621</v>
      </c>
      <c r="P72" s="4">
        <v>36</v>
      </c>
      <c r="Q72" s="4">
        <v>543</v>
      </c>
      <c r="R72" s="4">
        <v>0</v>
      </c>
      <c r="S72" s="4">
        <v>0</v>
      </c>
      <c r="T72" s="4">
        <v>4200</v>
      </c>
      <c r="U72" s="4">
        <v>0</v>
      </c>
      <c r="V72" s="1"/>
      <c r="W72" s="5">
        <v>0</v>
      </c>
      <c r="X72" s="5">
        <v>0</v>
      </c>
      <c r="Y72" s="5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25">
      <c r="A73" s="2">
        <v>72</v>
      </c>
      <c r="B73" s="1" t="s">
        <v>173</v>
      </c>
      <c r="C73" s="1"/>
      <c r="D73" s="3">
        <v>45727</v>
      </c>
      <c r="E73" s="3">
        <v>45689</v>
      </c>
      <c r="F73" s="3">
        <v>45930</v>
      </c>
      <c r="G73" s="1" t="s">
        <v>27</v>
      </c>
      <c r="H73" s="1" t="s">
        <v>174</v>
      </c>
      <c r="I73" s="1" t="s">
        <v>29</v>
      </c>
      <c r="J73" s="1" t="s">
        <v>30</v>
      </c>
      <c r="K73" s="1" t="s">
        <v>31</v>
      </c>
      <c r="L73" s="4">
        <v>100</v>
      </c>
      <c r="M73" s="1" t="s">
        <v>32</v>
      </c>
      <c r="N73" s="1"/>
      <c r="O73" s="4">
        <v>5172</v>
      </c>
      <c r="P73" s="4">
        <v>52</v>
      </c>
      <c r="Q73" s="4">
        <v>776</v>
      </c>
      <c r="R73" s="4">
        <v>0</v>
      </c>
      <c r="S73" s="4">
        <v>0</v>
      </c>
      <c r="T73" s="4">
        <v>6000</v>
      </c>
      <c r="U73" s="4">
        <v>0</v>
      </c>
      <c r="V73" s="1"/>
      <c r="W73" s="5">
        <v>0</v>
      </c>
      <c r="X73" s="5">
        <v>0</v>
      </c>
      <c r="Y73" s="5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25">
      <c r="A74" s="2">
        <v>73</v>
      </c>
      <c r="B74" s="1" t="s">
        <v>175</v>
      </c>
      <c r="C74" s="1"/>
      <c r="D74" s="3">
        <v>45727</v>
      </c>
      <c r="E74" s="3">
        <v>45689</v>
      </c>
      <c r="F74" s="3">
        <v>45930</v>
      </c>
      <c r="G74" s="1" t="s">
        <v>27</v>
      </c>
      <c r="H74" s="1" t="s">
        <v>176</v>
      </c>
      <c r="I74" s="1" t="s">
        <v>29</v>
      </c>
      <c r="J74" s="1" t="s">
        <v>30</v>
      </c>
      <c r="K74" s="1" t="s">
        <v>31</v>
      </c>
      <c r="L74" s="4">
        <v>100</v>
      </c>
      <c r="M74" s="1" t="s">
        <v>32</v>
      </c>
      <c r="N74" s="1"/>
      <c r="O74" s="4">
        <v>2690</v>
      </c>
      <c r="P74" s="4">
        <v>27</v>
      </c>
      <c r="Q74" s="4">
        <v>404</v>
      </c>
      <c r="R74" s="4">
        <v>0</v>
      </c>
      <c r="S74" s="4">
        <v>0</v>
      </c>
      <c r="T74" s="4">
        <v>3121</v>
      </c>
      <c r="U74" s="4">
        <v>0</v>
      </c>
      <c r="V74" s="1"/>
      <c r="W74" s="5">
        <v>0</v>
      </c>
      <c r="X74" s="5">
        <v>0</v>
      </c>
      <c r="Y74" s="5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25">
      <c r="A75" s="2">
        <v>74</v>
      </c>
      <c r="B75" s="1" t="s">
        <v>177</v>
      </c>
      <c r="C75" s="1"/>
      <c r="D75" s="3">
        <v>45727</v>
      </c>
      <c r="E75" s="3">
        <v>45689</v>
      </c>
      <c r="F75" s="3">
        <v>45930</v>
      </c>
      <c r="G75" s="1" t="s">
        <v>27</v>
      </c>
      <c r="H75" s="1" t="s">
        <v>178</v>
      </c>
      <c r="I75" s="1" t="s">
        <v>29</v>
      </c>
      <c r="J75" s="1" t="s">
        <v>30</v>
      </c>
      <c r="K75" s="1" t="s">
        <v>31</v>
      </c>
      <c r="L75" s="4">
        <v>100</v>
      </c>
      <c r="M75" s="1" t="s">
        <v>32</v>
      </c>
      <c r="N75" s="1"/>
      <c r="O75" s="4">
        <v>7241</v>
      </c>
      <c r="P75" s="4">
        <v>72</v>
      </c>
      <c r="Q75" s="4">
        <v>1086</v>
      </c>
      <c r="R75" s="4">
        <v>0</v>
      </c>
      <c r="S75" s="4">
        <v>0</v>
      </c>
      <c r="T75" s="4">
        <v>8399</v>
      </c>
      <c r="U75" s="4">
        <v>0</v>
      </c>
      <c r="V75" s="1"/>
      <c r="W75" s="5">
        <v>0</v>
      </c>
      <c r="X75" s="5">
        <v>0</v>
      </c>
      <c r="Y75" s="5"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 s="2">
        <v>75</v>
      </c>
      <c r="B76" s="1" t="s">
        <v>179</v>
      </c>
      <c r="C76" s="1"/>
      <c r="D76" s="3">
        <v>45727</v>
      </c>
      <c r="E76" s="3">
        <v>45689</v>
      </c>
      <c r="F76" s="3">
        <v>45930</v>
      </c>
      <c r="G76" s="1" t="s">
        <v>27</v>
      </c>
      <c r="H76" s="1" t="s">
        <v>180</v>
      </c>
      <c r="I76" s="1" t="s">
        <v>29</v>
      </c>
      <c r="J76" s="1" t="s">
        <v>30</v>
      </c>
      <c r="K76" s="1" t="s">
        <v>31</v>
      </c>
      <c r="L76" s="4">
        <v>100</v>
      </c>
      <c r="M76" s="1" t="s">
        <v>32</v>
      </c>
      <c r="N76" s="1"/>
      <c r="O76" s="4">
        <v>3103</v>
      </c>
      <c r="P76" s="4">
        <v>31</v>
      </c>
      <c r="Q76" s="4">
        <v>465</v>
      </c>
      <c r="R76" s="4">
        <v>0</v>
      </c>
      <c r="S76" s="4">
        <v>0</v>
      </c>
      <c r="T76" s="4">
        <v>3599</v>
      </c>
      <c r="U76" s="4">
        <v>0</v>
      </c>
      <c r="V76" s="1"/>
      <c r="W76" s="5">
        <v>0</v>
      </c>
      <c r="X76" s="5">
        <v>0</v>
      </c>
      <c r="Y76" s="5"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25">
      <c r="A77" s="2">
        <v>76</v>
      </c>
      <c r="B77" s="1" t="s">
        <v>181</v>
      </c>
      <c r="C77" s="1"/>
      <c r="D77" s="3">
        <v>45727</v>
      </c>
      <c r="E77" s="3">
        <v>45689</v>
      </c>
      <c r="F77" s="3">
        <v>45930</v>
      </c>
      <c r="G77" s="1" t="s">
        <v>27</v>
      </c>
      <c r="H77" s="1" t="s">
        <v>182</v>
      </c>
      <c r="I77" s="1" t="s">
        <v>29</v>
      </c>
      <c r="J77" s="1" t="s">
        <v>30</v>
      </c>
      <c r="K77" s="1" t="s">
        <v>31</v>
      </c>
      <c r="L77" s="4">
        <v>100</v>
      </c>
      <c r="M77" s="1" t="s">
        <v>32</v>
      </c>
      <c r="N77" s="1"/>
      <c r="O77" s="4">
        <v>2690</v>
      </c>
      <c r="P77" s="4">
        <v>27</v>
      </c>
      <c r="Q77" s="4">
        <v>404</v>
      </c>
      <c r="R77" s="4">
        <v>0</v>
      </c>
      <c r="S77" s="4">
        <v>0</v>
      </c>
      <c r="T77" s="4">
        <v>3121</v>
      </c>
      <c r="U77" s="4">
        <v>0</v>
      </c>
      <c r="V77" s="1"/>
      <c r="W77" s="5">
        <v>0</v>
      </c>
      <c r="X77" s="5">
        <v>0</v>
      </c>
      <c r="Y77" s="5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25">
      <c r="A78" s="2">
        <v>77</v>
      </c>
      <c r="B78" s="1" t="s">
        <v>183</v>
      </c>
      <c r="C78" s="1"/>
      <c r="D78" s="3">
        <v>45727</v>
      </c>
      <c r="E78" s="3">
        <v>45689</v>
      </c>
      <c r="F78" s="3">
        <v>45930</v>
      </c>
      <c r="G78" s="1" t="s">
        <v>27</v>
      </c>
      <c r="H78" s="1" t="s">
        <v>184</v>
      </c>
      <c r="I78" s="1" t="s">
        <v>29</v>
      </c>
      <c r="J78" s="1" t="s">
        <v>30</v>
      </c>
      <c r="K78" s="1" t="s">
        <v>31</v>
      </c>
      <c r="L78" s="4">
        <v>100</v>
      </c>
      <c r="M78" s="1" t="s">
        <v>32</v>
      </c>
      <c r="N78" s="1"/>
      <c r="O78" s="4">
        <v>9103</v>
      </c>
      <c r="P78" s="4">
        <v>91</v>
      </c>
      <c r="Q78" s="4">
        <v>1365</v>
      </c>
      <c r="R78" s="4">
        <v>0</v>
      </c>
      <c r="S78" s="4">
        <v>0</v>
      </c>
      <c r="T78" s="4">
        <v>10559</v>
      </c>
      <c r="U78" s="4">
        <v>0</v>
      </c>
      <c r="V78" s="1"/>
      <c r="W78" s="5">
        <v>0</v>
      </c>
      <c r="X78" s="5">
        <v>0</v>
      </c>
      <c r="Y78" s="5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2">
        <v>78</v>
      </c>
      <c r="B79" s="1" t="s">
        <v>185</v>
      </c>
      <c r="C79" s="1"/>
      <c r="D79" s="3">
        <v>45727</v>
      </c>
      <c r="E79" s="3">
        <v>45689</v>
      </c>
      <c r="F79" s="3">
        <v>45930</v>
      </c>
      <c r="G79" s="1" t="s">
        <v>27</v>
      </c>
      <c r="H79" s="1" t="s">
        <v>186</v>
      </c>
      <c r="I79" s="1" t="s">
        <v>29</v>
      </c>
      <c r="J79" s="1" t="s">
        <v>30</v>
      </c>
      <c r="K79" s="1" t="s">
        <v>31</v>
      </c>
      <c r="L79" s="4">
        <v>100</v>
      </c>
      <c r="M79" s="1" t="s">
        <v>32</v>
      </c>
      <c r="N79" s="1"/>
      <c r="O79" s="4">
        <v>15517</v>
      </c>
      <c r="P79" s="4">
        <v>155</v>
      </c>
      <c r="Q79" s="4">
        <v>2328</v>
      </c>
      <c r="R79" s="4">
        <v>0</v>
      </c>
      <c r="S79" s="4">
        <v>0</v>
      </c>
      <c r="T79" s="4">
        <v>18000</v>
      </c>
      <c r="U79" s="4">
        <v>0</v>
      </c>
      <c r="V79" s="1"/>
      <c r="W79" s="5">
        <v>0</v>
      </c>
      <c r="X79" s="5">
        <v>0</v>
      </c>
      <c r="Y79" s="5"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 s="2">
        <v>79</v>
      </c>
      <c r="B80" s="1" t="s">
        <v>187</v>
      </c>
      <c r="C80" s="1"/>
      <c r="D80" s="3">
        <v>45727</v>
      </c>
      <c r="E80" s="3">
        <v>45689</v>
      </c>
      <c r="F80" s="3">
        <v>45930</v>
      </c>
      <c r="G80" s="1" t="s">
        <v>27</v>
      </c>
      <c r="H80" s="1" t="s">
        <v>188</v>
      </c>
      <c r="I80" s="1" t="s">
        <v>29</v>
      </c>
      <c r="J80" s="1" t="s">
        <v>30</v>
      </c>
      <c r="K80" s="1" t="s">
        <v>31</v>
      </c>
      <c r="L80" s="4">
        <v>100</v>
      </c>
      <c r="M80" s="1" t="s">
        <v>32</v>
      </c>
      <c r="N80" s="1"/>
      <c r="O80" s="4">
        <v>5793</v>
      </c>
      <c r="P80" s="4">
        <v>58</v>
      </c>
      <c r="Q80" s="4">
        <v>869</v>
      </c>
      <c r="R80" s="4">
        <v>0</v>
      </c>
      <c r="S80" s="4">
        <v>0</v>
      </c>
      <c r="T80" s="4">
        <v>6720</v>
      </c>
      <c r="U80" s="4">
        <v>0</v>
      </c>
      <c r="V80" s="1"/>
      <c r="W80" s="5">
        <v>0</v>
      </c>
      <c r="X80" s="5">
        <v>0</v>
      </c>
      <c r="Y80" s="5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25">
      <c r="A81" s="2">
        <v>80</v>
      </c>
      <c r="B81" s="1" t="s">
        <v>189</v>
      </c>
      <c r="C81" s="1"/>
      <c r="D81" s="3">
        <v>45727</v>
      </c>
      <c r="E81" s="3">
        <v>45689</v>
      </c>
      <c r="F81" s="3">
        <v>45930</v>
      </c>
      <c r="G81" s="1" t="s">
        <v>27</v>
      </c>
      <c r="H81" s="1" t="s">
        <v>190</v>
      </c>
      <c r="I81" s="1" t="s">
        <v>29</v>
      </c>
      <c r="J81" s="1" t="s">
        <v>30</v>
      </c>
      <c r="K81" s="1" t="s">
        <v>31</v>
      </c>
      <c r="L81" s="4">
        <v>100</v>
      </c>
      <c r="M81" s="1" t="s">
        <v>32</v>
      </c>
      <c r="N81" s="1"/>
      <c r="O81" s="4">
        <v>9828</v>
      </c>
      <c r="P81" s="4">
        <v>98</v>
      </c>
      <c r="Q81" s="4">
        <v>1474</v>
      </c>
      <c r="R81" s="4">
        <v>0</v>
      </c>
      <c r="S81" s="4">
        <v>0</v>
      </c>
      <c r="T81" s="4">
        <v>11400</v>
      </c>
      <c r="U81" s="4">
        <v>0</v>
      </c>
      <c r="V81" s="1"/>
      <c r="W81" s="5">
        <v>0</v>
      </c>
      <c r="X81" s="5">
        <v>0</v>
      </c>
      <c r="Y81" s="5"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5">
      <c r="A82" s="2">
        <v>81</v>
      </c>
      <c r="B82" s="1" t="s">
        <v>191</v>
      </c>
      <c r="C82" s="1"/>
      <c r="D82" s="3">
        <v>45727</v>
      </c>
      <c r="E82" s="3">
        <v>45689</v>
      </c>
      <c r="F82" s="3">
        <v>45930</v>
      </c>
      <c r="G82" s="1" t="s">
        <v>27</v>
      </c>
      <c r="H82" s="1" t="s">
        <v>192</v>
      </c>
      <c r="I82" s="1" t="s">
        <v>29</v>
      </c>
      <c r="J82" s="1" t="s">
        <v>30</v>
      </c>
      <c r="K82" s="1" t="s">
        <v>31</v>
      </c>
      <c r="L82" s="4">
        <v>100</v>
      </c>
      <c r="M82" s="1" t="s">
        <v>32</v>
      </c>
      <c r="N82" s="1"/>
      <c r="O82" s="4">
        <v>16759</v>
      </c>
      <c r="P82" s="4">
        <v>168</v>
      </c>
      <c r="Q82" s="4">
        <v>2514</v>
      </c>
      <c r="R82" s="4">
        <v>0</v>
      </c>
      <c r="S82" s="4">
        <v>0</v>
      </c>
      <c r="T82" s="4">
        <v>19441</v>
      </c>
      <c r="U82" s="4">
        <v>0</v>
      </c>
      <c r="V82" s="1"/>
      <c r="W82" s="5">
        <v>0</v>
      </c>
      <c r="X82" s="5">
        <v>0</v>
      </c>
      <c r="Y82" s="5"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2">
        <v>82</v>
      </c>
      <c r="B83" s="1" t="s">
        <v>193</v>
      </c>
      <c r="C83" s="1"/>
      <c r="D83" s="3">
        <v>45727</v>
      </c>
      <c r="E83" s="3">
        <v>45689</v>
      </c>
      <c r="F83" s="3">
        <v>45930</v>
      </c>
      <c r="G83" s="1" t="s">
        <v>27</v>
      </c>
      <c r="H83" s="1" t="s">
        <v>194</v>
      </c>
      <c r="I83" s="1" t="s">
        <v>29</v>
      </c>
      <c r="J83" s="1" t="s">
        <v>30</v>
      </c>
      <c r="K83" s="1" t="s">
        <v>31</v>
      </c>
      <c r="L83" s="4">
        <v>100</v>
      </c>
      <c r="M83" s="1" t="s">
        <v>32</v>
      </c>
      <c r="N83" s="1"/>
      <c r="O83" s="4">
        <v>6310</v>
      </c>
      <c r="P83" s="4">
        <v>63</v>
      </c>
      <c r="Q83" s="4">
        <v>947</v>
      </c>
      <c r="R83" s="4">
        <v>0</v>
      </c>
      <c r="S83" s="4">
        <v>0</v>
      </c>
      <c r="T83" s="4">
        <v>7320</v>
      </c>
      <c r="U83" s="4">
        <v>0</v>
      </c>
      <c r="V83" s="1"/>
      <c r="W83" s="5">
        <v>0</v>
      </c>
      <c r="X83" s="5">
        <v>0</v>
      </c>
      <c r="Y83" s="5"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25">
      <c r="A84" s="2">
        <v>83</v>
      </c>
      <c r="B84" s="1" t="s">
        <v>195</v>
      </c>
      <c r="C84" s="1"/>
      <c r="D84" s="3">
        <v>45727</v>
      </c>
      <c r="E84" s="3">
        <v>45689</v>
      </c>
      <c r="F84" s="3">
        <v>45930</v>
      </c>
      <c r="G84" s="1" t="s">
        <v>27</v>
      </c>
      <c r="H84" s="1" t="s">
        <v>196</v>
      </c>
      <c r="I84" s="1" t="s">
        <v>29</v>
      </c>
      <c r="J84" s="1" t="s">
        <v>30</v>
      </c>
      <c r="K84" s="1" t="s">
        <v>31</v>
      </c>
      <c r="L84" s="4">
        <v>100</v>
      </c>
      <c r="M84" s="1" t="s">
        <v>32</v>
      </c>
      <c r="N84" s="1"/>
      <c r="O84" s="4">
        <v>10966</v>
      </c>
      <c r="P84" s="4">
        <v>110</v>
      </c>
      <c r="Q84" s="4">
        <v>1645</v>
      </c>
      <c r="R84" s="4">
        <v>0</v>
      </c>
      <c r="S84" s="4">
        <v>0</v>
      </c>
      <c r="T84" s="4">
        <v>12721</v>
      </c>
      <c r="U84" s="4">
        <v>0</v>
      </c>
      <c r="V84" s="1"/>
      <c r="W84" s="5">
        <v>0</v>
      </c>
      <c r="X84" s="5">
        <v>0</v>
      </c>
      <c r="Y84" s="5"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25">
      <c r="A85" s="2">
        <v>84</v>
      </c>
      <c r="B85" s="1" t="s">
        <v>197</v>
      </c>
      <c r="C85" s="1"/>
      <c r="D85" s="3">
        <v>45727</v>
      </c>
      <c r="E85" s="3">
        <v>45689</v>
      </c>
      <c r="F85" s="3">
        <v>45930</v>
      </c>
      <c r="G85" s="1" t="s">
        <v>27</v>
      </c>
      <c r="H85" s="1" t="s">
        <v>198</v>
      </c>
      <c r="I85" s="1" t="s">
        <v>29</v>
      </c>
      <c r="J85" s="1" t="s">
        <v>30</v>
      </c>
      <c r="K85" s="1" t="s">
        <v>31</v>
      </c>
      <c r="L85" s="4">
        <v>100</v>
      </c>
      <c r="M85" s="1" t="s">
        <v>32</v>
      </c>
      <c r="N85" s="1"/>
      <c r="O85" s="4">
        <v>7345</v>
      </c>
      <c r="P85" s="4">
        <v>73</v>
      </c>
      <c r="Q85" s="4">
        <v>1102</v>
      </c>
      <c r="R85" s="4">
        <v>0</v>
      </c>
      <c r="S85" s="4">
        <v>0</v>
      </c>
      <c r="T85" s="4">
        <v>8520</v>
      </c>
      <c r="U85" s="4">
        <v>0</v>
      </c>
      <c r="V85" s="1"/>
      <c r="W85" s="5">
        <v>0</v>
      </c>
      <c r="X85" s="5">
        <v>0</v>
      </c>
      <c r="Y85" s="5"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25">
      <c r="A86" s="2">
        <v>85</v>
      </c>
      <c r="B86" s="1" t="s">
        <v>199</v>
      </c>
      <c r="C86" s="1"/>
      <c r="D86" s="3">
        <v>45727</v>
      </c>
      <c r="E86" s="3">
        <v>45689</v>
      </c>
      <c r="F86" s="3">
        <v>45930</v>
      </c>
      <c r="G86" s="1" t="s">
        <v>27</v>
      </c>
      <c r="H86" s="1" t="s">
        <v>200</v>
      </c>
      <c r="I86" s="1" t="s">
        <v>29</v>
      </c>
      <c r="J86" s="1" t="s">
        <v>30</v>
      </c>
      <c r="K86" s="1" t="s">
        <v>31</v>
      </c>
      <c r="L86" s="4">
        <v>100</v>
      </c>
      <c r="M86" s="1" t="s">
        <v>32</v>
      </c>
      <c r="N86" s="1"/>
      <c r="O86" s="4">
        <v>10138</v>
      </c>
      <c r="P86" s="4">
        <v>101</v>
      </c>
      <c r="Q86" s="4">
        <v>1521</v>
      </c>
      <c r="R86" s="4">
        <v>0</v>
      </c>
      <c r="S86" s="4">
        <v>0</v>
      </c>
      <c r="T86" s="4">
        <v>11760</v>
      </c>
      <c r="U86" s="4">
        <v>0</v>
      </c>
      <c r="V86" s="1"/>
      <c r="W86" s="5">
        <v>0</v>
      </c>
      <c r="X86" s="5">
        <v>0</v>
      </c>
      <c r="Y86" s="5">
        <v>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25">
      <c r="A87" s="2">
        <v>86</v>
      </c>
      <c r="B87" s="1" t="s">
        <v>201</v>
      </c>
      <c r="C87" s="1"/>
      <c r="D87" s="3">
        <v>45727</v>
      </c>
      <c r="E87" s="3">
        <v>45689</v>
      </c>
      <c r="F87" s="3">
        <v>45930</v>
      </c>
      <c r="G87" s="1" t="s">
        <v>27</v>
      </c>
      <c r="H87" s="1" t="s">
        <v>202</v>
      </c>
      <c r="I87" s="1" t="s">
        <v>29</v>
      </c>
      <c r="J87" s="1" t="s">
        <v>30</v>
      </c>
      <c r="K87" s="1" t="s">
        <v>31</v>
      </c>
      <c r="L87" s="4">
        <v>100</v>
      </c>
      <c r="M87" s="1" t="s">
        <v>32</v>
      </c>
      <c r="N87" s="1"/>
      <c r="O87" s="4">
        <v>11276</v>
      </c>
      <c r="P87" s="4">
        <v>113</v>
      </c>
      <c r="Q87" s="4">
        <v>1691</v>
      </c>
      <c r="R87" s="4">
        <v>0</v>
      </c>
      <c r="S87" s="4">
        <v>0</v>
      </c>
      <c r="T87" s="4">
        <v>13080</v>
      </c>
      <c r="U87" s="4">
        <v>0</v>
      </c>
      <c r="V87" s="1"/>
      <c r="W87" s="5">
        <v>0</v>
      </c>
      <c r="X87" s="5">
        <v>0</v>
      </c>
      <c r="Y87" s="5"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25">
      <c r="A88" s="2">
        <v>87</v>
      </c>
      <c r="B88" s="1" t="s">
        <v>203</v>
      </c>
      <c r="C88" s="1"/>
      <c r="D88" s="3">
        <v>45727</v>
      </c>
      <c r="E88" s="3">
        <v>45689</v>
      </c>
      <c r="F88" s="3">
        <v>45930</v>
      </c>
      <c r="G88" s="1" t="s">
        <v>27</v>
      </c>
      <c r="H88" s="1" t="s">
        <v>204</v>
      </c>
      <c r="I88" s="1" t="s">
        <v>29</v>
      </c>
      <c r="J88" s="1" t="s">
        <v>30</v>
      </c>
      <c r="K88" s="1" t="s">
        <v>31</v>
      </c>
      <c r="L88" s="4">
        <v>100</v>
      </c>
      <c r="M88" s="1" t="s">
        <v>32</v>
      </c>
      <c r="N88" s="1"/>
      <c r="O88" s="4">
        <v>8172</v>
      </c>
      <c r="P88" s="4">
        <v>82</v>
      </c>
      <c r="Q88" s="4">
        <v>1226</v>
      </c>
      <c r="R88" s="4">
        <v>0</v>
      </c>
      <c r="S88" s="4">
        <v>0</v>
      </c>
      <c r="T88" s="4">
        <v>9480</v>
      </c>
      <c r="U88" s="4">
        <v>0</v>
      </c>
      <c r="V88" s="1"/>
      <c r="W88" s="5">
        <v>0</v>
      </c>
      <c r="X88" s="5">
        <v>0</v>
      </c>
      <c r="Y88" s="5"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5">
      <c r="A89" s="2">
        <v>88</v>
      </c>
      <c r="B89" s="1" t="s">
        <v>205</v>
      </c>
      <c r="C89" s="1"/>
      <c r="D89" s="3">
        <v>45727</v>
      </c>
      <c r="E89" s="3">
        <v>45689</v>
      </c>
      <c r="F89" s="3">
        <v>45930</v>
      </c>
      <c r="G89" s="1" t="s">
        <v>27</v>
      </c>
      <c r="H89" s="1" t="s">
        <v>206</v>
      </c>
      <c r="I89" s="1" t="s">
        <v>29</v>
      </c>
      <c r="J89" s="1" t="s">
        <v>30</v>
      </c>
      <c r="K89" s="1" t="s">
        <v>31</v>
      </c>
      <c r="L89" s="4">
        <v>100</v>
      </c>
      <c r="M89" s="1" t="s">
        <v>32</v>
      </c>
      <c r="N89" s="1"/>
      <c r="O89" s="4">
        <v>6310</v>
      </c>
      <c r="P89" s="4">
        <v>63</v>
      </c>
      <c r="Q89" s="4">
        <v>947</v>
      </c>
      <c r="R89" s="4">
        <v>0</v>
      </c>
      <c r="S89" s="4">
        <v>0</v>
      </c>
      <c r="T89" s="4">
        <v>7320</v>
      </c>
      <c r="U89" s="4">
        <v>0</v>
      </c>
      <c r="V89" s="1"/>
      <c r="W89" s="5">
        <v>0</v>
      </c>
      <c r="X89" s="5">
        <v>0</v>
      </c>
      <c r="Y89" s="5"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5">
      <c r="A90" s="2">
        <v>89</v>
      </c>
      <c r="B90" s="1" t="s">
        <v>207</v>
      </c>
      <c r="C90" s="1"/>
      <c r="D90" s="3">
        <v>45727</v>
      </c>
      <c r="E90" s="3">
        <v>45689</v>
      </c>
      <c r="F90" s="3">
        <v>45930</v>
      </c>
      <c r="G90" s="1" t="s">
        <v>27</v>
      </c>
      <c r="H90" s="1" t="s">
        <v>208</v>
      </c>
      <c r="I90" s="1" t="s">
        <v>29</v>
      </c>
      <c r="J90" s="1" t="s">
        <v>30</v>
      </c>
      <c r="K90" s="1" t="s">
        <v>31</v>
      </c>
      <c r="L90" s="4">
        <v>100</v>
      </c>
      <c r="M90" s="1" t="s">
        <v>32</v>
      </c>
      <c r="N90" s="1"/>
      <c r="O90" s="4">
        <v>6000</v>
      </c>
      <c r="P90" s="4">
        <v>60</v>
      </c>
      <c r="Q90" s="4">
        <v>900</v>
      </c>
      <c r="R90" s="4">
        <v>0</v>
      </c>
      <c r="S90" s="4">
        <v>0</v>
      </c>
      <c r="T90" s="4">
        <v>6960</v>
      </c>
      <c r="U90" s="4">
        <v>0</v>
      </c>
      <c r="V90" s="1"/>
      <c r="W90" s="5">
        <v>0</v>
      </c>
      <c r="X90" s="5">
        <v>0</v>
      </c>
      <c r="Y90" s="5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25">
      <c r="A91" s="2">
        <v>90</v>
      </c>
      <c r="B91" s="1" t="s">
        <v>209</v>
      </c>
      <c r="C91" s="1"/>
      <c r="D91" s="3">
        <v>45727</v>
      </c>
      <c r="E91" s="3">
        <v>45689</v>
      </c>
      <c r="F91" s="3">
        <v>45930</v>
      </c>
      <c r="G91" s="1" t="s">
        <v>27</v>
      </c>
      <c r="H91" s="1" t="s">
        <v>210</v>
      </c>
      <c r="I91" s="1" t="s">
        <v>29</v>
      </c>
      <c r="J91" s="1" t="s">
        <v>30</v>
      </c>
      <c r="K91" s="1" t="s">
        <v>31</v>
      </c>
      <c r="L91" s="4">
        <v>100</v>
      </c>
      <c r="M91" s="1" t="s">
        <v>32</v>
      </c>
      <c r="N91" s="1"/>
      <c r="O91" s="4">
        <v>5172</v>
      </c>
      <c r="P91" s="4">
        <v>52</v>
      </c>
      <c r="Q91" s="4">
        <v>776</v>
      </c>
      <c r="R91" s="4">
        <v>0</v>
      </c>
      <c r="S91" s="4">
        <v>0</v>
      </c>
      <c r="T91" s="4">
        <v>6000</v>
      </c>
      <c r="U91" s="4">
        <v>0</v>
      </c>
      <c r="V91" s="1"/>
      <c r="W91" s="5">
        <v>0</v>
      </c>
      <c r="X91" s="5">
        <v>0</v>
      </c>
      <c r="Y91" s="5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25">
      <c r="A92" s="2">
        <v>91</v>
      </c>
      <c r="B92" s="1" t="s">
        <v>211</v>
      </c>
      <c r="C92" s="1"/>
      <c r="D92" s="3">
        <v>45727</v>
      </c>
      <c r="E92" s="3">
        <v>45689</v>
      </c>
      <c r="F92" s="3">
        <v>45930</v>
      </c>
      <c r="G92" s="1" t="s">
        <v>27</v>
      </c>
      <c r="H92" s="1" t="s">
        <v>212</v>
      </c>
      <c r="I92" s="1" t="s">
        <v>29</v>
      </c>
      <c r="J92" s="1" t="s">
        <v>30</v>
      </c>
      <c r="K92" s="1" t="s">
        <v>31</v>
      </c>
      <c r="L92" s="4">
        <v>100</v>
      </c>
      <c r="M92" s="1" t="s">
        <v>32</v>
      </c>
      <c r="N92" s="1"/>
      <c r="O92" s="4">
        <v>16138</v>
      </c>
      <c r="P92" s="4">
        <v>161</v>
      </c>
      <c r="Q92" s="4">
        <v>2421</v>
      </c>
      <c r="R92" s="4">
        <v>0</v>
      </c>
      <c r="S92" s="4">
        <v>0</v>
      </c>
      <c r="T92" s="4">
        <v>18720</v>
      </c>
      <c r="U92" s="4">
        <v>0</v>
      </c>
      <c r="V92" s="1"/>
      <c r="W92" s="5">
        <v>0</v>
      </c>
      <c r="X92" s="5">
        <v>0</v>
      </c>
      <c r="Y92" s="5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 s="2">
        <v>92</v>
      </c>
      <c r="B93" s="1" t="s">
        <v>213</v>
      </c>
      <c r="C93" s="1"/>
      <c r="D93" s="3">
        <v>45727</v>
      </c>
      <c r="E93" s="3">
        <v>45689</v>
      </c>
      <c r="F93" s="3">
        <v>45930</v>
      </c>
      <c r="G93" s="1" t="s">
        <v>27</v>
      </c>
      <c r="H93" s="1" t="s">
        <v>214</v>
      </c>
      <c r="I93" s="1" t="s">
        <v>29</v>
      </c>
      <c r="J93" s="1" t="s">
        <v>30</v>
      </c>
      <c r="K93" s="1" t="s">
        <v>31</v>
      </c>
      <c r="L93" s="4">
        <v>100</v>
      </c>
      <c r="M93" s="1" t="s">
        <v>32</v>
      </c>
      <c r="N93" s="1"/>
      <c r="O93" s="4">
        <v>17172</v>
      </c>
      <c r="P93" s="4">
        <v>172</v>
      </c>
      <c r="Q93" s="4">
        <v>2576</v>
      </c>
      <c r="R93" s="4">
        <v>0</v>
      </c>
      <c r="S93" s="4">
        <v>0</v>
      </c>
      <c r="T93" s="4">
        <v>19920</v>
      </c>
      <c r="U93" s="4">
        <v>0</v>
      </c>
      <c r="V93" s="1"/>
      <c r="W93" s="5">
        <v>0</v>
      </c>
      <c r="X93" s="5">
        <v>0</v>
      </c>
      <c r="Y93" s="5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 s="2">
        <v>93</v>
      </c>
      <c r="B94" s="1" t="s">
        <v>215</v>
      </c>
      <c r="C94" s="1"/>
      <c r="D94" s="3">
        <v>45727</v>
      </c>
      <c r="E94" s="3">
        <v>45689</v>
      </c>
      <c r="F94" s="3">
        <v>45930</v>
      </c>
      <c r="G94" s="1" t="s">
        <v>27</v>
      </c>
      <c r="H94" s="1" t="s">
        <v>216</v>
      </c>
      <c r="I94" s="1" t="s">
        <v>29</v>
      </c>
      <c r="J94" s="1" t="s">
        <v>30</v>
      </c>
      <c r="K94" s="1" t="s">
        <v>31</v>
      </c>
      <c r="L94" s="4">
        <v>100</v>
      </c>
      <c r="M94" s="1" t="s">
        <v>32</v>
      </c>
      <c r="N94" s="1"/>
      <c r="O94" s="4">
        <v>9517</v>
      </c>
      <c r="P94" s="4">
        <v>95</v>
      </c>
      <c r="Q94" s="4">
        <v>1428</v>
      </c>
      <c r="R94" s="4">
        <v>0</v>
      </c>
      <c r="S94" s="4">
        <v>0</v>
      </c>
      <c r="T94" s="4">
        <v>11040</v>
      </c>
      <c r="U94" s="4">
        <v>0</v>
      </c>
      <c r="V94" s="1"/>
      <c r="W94" s="5">
        <v>0</v>
      </c>
      <c r="X94" s="5">
        <v>0</v>
      </c>
      <c r="Y94" s="5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25">
      <c r="A95" s="2">
        <v>94</v>
      </c>
      <c r="B95" s="1" t="s">
        <v>217</v>
      </c>
      <c r="C95" s="1"/>
      <c r="D95" s="3">
        <v>45727</v>
      </c>
      <c r="E95" s="3">
        <v>45689</v>
      </c>
      <c r="F95" s="3">
        <v>45930</v>
      </c>
      <c r="G95" s="1" t="s">
        <v>27</v>
      </c>
      <c r="H95" s="1" t="s">
        <v>218</v>
      </c>
      <c r="I95" s="1" t="s">
        <v>29</v>
      </c>
      <c r="J95" s="1" t="s">
        <v>30</v>
      </c>
      <c r="K95" s="1" t="s">
        <v>31</v>
      </c>
      <c r="L95" s="4">
        <v>100</v>
      </c>
      <c r="M95" s="1" t="s">
        <v>32</v>
      </c>
      <c r="N95" s="1"/>
      <c r="O95" s="4">
        <v>5586</v>
      </c>
      <c r="P95" s="4">
        <v>56</v>
      </c>
      <c r="Q95" s="4">
        <v>838</v>
      </c>
      <c r="R95" s="4">
        <v>0</v>
      </c>
      <c r="S95" s="4">
        <v>0</v>
      </c>
      <c r="T95" s="4">
        <v>6480</v>
      </c>
      <c r="U95" s="4">
        <v>0</v>
      </c>
      <c r="V95" s="1"/>
      <c r="W95" s="5">
        <v>0</v>
      </c>
      <c r="X95" s="5">
        <v>0</v>
      </c>
      <c r="Y95" s="5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25">
      <c r="A96" s="2">
        <v>95</v>
      </c>
      <c r="B96" s="1" t="s">
        <v>219</v>
      </c>
      <c r="C96" s="1"/>
      <c r="D96" s="3">
        <v>45727</v>
      </c>
      <c r="E96" s="3">
        <v>45689</v>
      </c>
      <c r="F96" s="3">
        <v>45930</v>
      </c>
      <c r="G96" s="1" t="s">
        <v>27</v>
      </c>
      <c r="H96" s="1" t="s">
        <v>220</v>
      </c>
      <c r="I96" s="1" t="s">
        <v>29</v>
      </c>
      <c r="J96" s="1" t="s">
        <v>30</v>
      </c>
      <c r="K96" s="1" t="s">
        <v>31</v>
      </c>
      <c r="L96" s="4">
        <v>100</v>
      </c>
      <c r="M96" s="1" t="s">
        <v>32</v>
      </c>
      <c r="N96" s="1"/>
      <c r="O96" s="4">
        <v>7138</v>
      </c>
      <c r="P96" s="4">
        <v>71</v>
      </c>
      <c r="Q96" s="4">
        <v>1071</v>
      </c>
      <c r="R96" s="4">
        <v>0</v>
      </c>
      <c r="S96" s="4">
        <v>0</v>
      </c>
      <c r="T96" s="4">
        <v>8280</v>
      </c>
      <c r="U96" s="4">
        <v>0</v>
      </c>
      <c r="V96" s="1"/>
      <c r="W96" s="5">
        <v>0</v>
      </c>
      <c r="X96" s="5">
        <v>0</v>
      </c>
      <c r="Y96" s="5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25">
      <c r="A97" s="2">
        <v>96</v>
      </c>
      <c r="B97" s="1" t="s">
        <v>221</v>
      </c>
      <c r="C97" s="1"/>
      <c r="D97" s="3">
        <v>45727</v>
      </c>
      <c r="E97" s="3">
        <v>45689</v>
      </c>
      <c r="F97" s="3">
        <v>45930</v>
      </c>
      <c r="G97" s="1" t="s">
        <v>27</v>
      </c>
      <c r="H97" s="1" t="s">
        <v>222</v>
      </c>
      <c r="I97" s="1" t="s">
        <v>29</v>
      </c>
      <c r="J97" s="1" t="s">
        <v>30</v>
      </c>
      <c r="K97" s="1" t="s">
        <v>31</v>
      </c>
      <c r="L97" s="4">
        <v>100</v>
      </c>
      <c r="M97" s="1" t="s">
        <v>32</v>
      </c>
      <c r="N97" s="1"/>
      <c r="O97" s="4">
        <v>1966</v>
      </c>
      <c r="P97" s="4">
        <v>20</v>
      </c>
      <c r="Q97" s="4">
        <v>295</v>
      </c>
      <c r="R97" s="4">
        <v>0</v>
      </c>
      <c r="S97" s="4">
        <v>0</v>
      </c>
      <c r="T97" s="4">
        <v>2281</v>
      </c>
      <c r="U97" s="4">
        <v>0</v>
      </c>
      <c r="V97" s="1"/>
      <c r="W97" s="5">
        <v>0</v>
      </c>
      <c r="X97" s="5">
        <v>0</v>
      </c>
      <c r="Y97" s="5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 s="2">
        <v>97</v>
      </c>
      <c r="B98" s="1" t="s">
        <v>223</v>
      </c>
      <c r="C98" s="1"/>
      <c r="D98" s="3">
        <v>45727</v>
      </c>
      <c r="E98" s="3">
        <v>45689</v>
      </c>
      <c r="F98" s="3">
        <v>45930</v>
      </c>
      <c r="G98" s="1" t="s">
        <v>27</v>
      </c>
      <c r="H98" s="1" t="s">
        <v>224</v>
      </c>
      <c r="I98" s="1" t="s">
        <v>29</v>
      </c>
      <c r="J98" s="1" t="s">
        <v>30</v>
      </c>
      <c r="K98" s="1" t="s">
        <v>31</v>
      </c>
      <c r="L98" s="4">
        <v>100</v>
      </c>
      <c r="M98" s="1" t="s">
        <v>32</v>
      </c>
      <c r="N98" s="1"/>
      <c r="O98" s="4">
        <v>4552</v>
      </c>
      <c r="P98" s="4">
        <v>46</v>
      </c>
      <c r="Q98" s="4">
        <v>683</v>
      </c>
      <c r="R98" s="4">
        <v>0</v>
      </c>
      <c r="S98" s="4">
        <v>0</v>
      </c>
      <c r="T98" s="4">
        <v>5281</v>
      </c>
      <c r="U98" s="4">
        <v>0</v>
      </c>
      <c r="V98" s="1"/>
      <c r="W98" s="5">
        <v>0</v>
      </c>
      <c r="X98" s="5">
        <v>0</v>
      </c>
      <c r="Y98" s="5"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 s="2">
        <v>98</v>
      </c>
      <c r="B99" s="1" t="s">
        <v>225</v>
      </c>
      <c r="C99" s="1"/>
      <c r="D99" s="3">
        <v>45727</v>
      </c>
      <c r="E99" s="3">
        <v>45689</v>
      </c>
      <c r="F99" s="3">
        <v>45930</v>
      </c>
      <c r="G99" s="1" t="s">
        <v>27</v>
      </c>
      <c r="H99" s="1" t="s">
        <v>226</v>
      </c>
      <c r="I99" s="1" t="s">
        <v>29</v>
      </c>
      <c r="J99" s="1" t="s">
        <v>30</v>
      </c>
      <c r="K99" s="1" t="s">
        <v>31</v>
      </c>
      <c r="L99" s="4">
        <v>100</v>
      </c>
      <c r="M99" s="1" t="s">
        <v>32</v>
      </c>
      <c r="N99" s="1"/>
      <c r="O99" s="4">
        <v>2586</v>
      </c>
      <c r="P99" s="4">
        <v>26</v>
      </c>
      <c r="Q99" s="4">
        <v>388</v>
      </c>
      <c r="R99" s="4">
        <v>0</v>
      </c>
      <c r="S99" s="4">
        <v>0</v>
      </c>
      <c r="T99" s="4">
        <v>3000</v>
      </c>
      <c r="U99" s="4">
        <v>0</v>
      </c>
      <c r="V99" s="1"/>
      <c r="W99" s="5">
        <v>0</v>
      </c>
      <c r="X99" s="5">
        <v>0</v>
      </c>
      <c r="Y99" s="5"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25">
      <c r="A100" s="2">
        <v>99</v>
      </c>
      <c r="B100" s="1" t="s">
        <v>227</v>
      </c>
      <c r="C100" s="1"/>
      <c r="D100" s="3">
        <v>45727</v>
      </c>
      <c r="E100" s="3">
        <v>45689</v>
      </c>
      <c r="F100" s="3">
        <v>45930</v>
      </c>
      <c r="G100" s="1" t="s">
        <v>27</v>
      </c>
      <c r="H100" s="1" t="s">
        <v>228</v>
      </c>
      <c r="I100" s="1" t="s">
        <v>29</v>
      </c>
      <c r="J100" s="1" t="s">
        <v>30</v>
      </c>
      <c r="K100" s="1" t="s">
        <v>31</v>
      </c>
      <c r="L100" s="4">
        <v>100</v>
      </c>
      <c r="M100" s="1" t="s">
        <v>32</v>
      </c>
      <c r="N100" s="1"/>
      <c r="O100" s="4">
        <v>3414</v>
      </c>
      <c r="P100" s="4">
        <v>34</v>
      </c>
      <c r="Q100" s="4">
        <v>512</v>
      </c>
      <c r="R100" s="4">
        <v>0</v>
      </c>
      <c r="S100" s="4">
        <v>0</v>
      </c>
      <c r="T100" s="4">
        <v>3960</v>
      </c>
      <c r="U100" s="4">
        <v>0</v>
      </c>
      <c r="V100" s="1"/>
      <c r="W100" s="5">
        <v>0</v>
      </c>
      <c r="X100" s="5">
        <v>0</v>
      </c>
      <c r="Y100" s="5"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5">
      <c r="A101" s="2">
        <v>100</v>
      </c>
      <c r="B101" s="1" t="s">
        <v>229</v>
      </c>
      <c r="C101" s="1"/>
      <c r="D101" s="3">
        <v>45727</v>
      </c>
      <c r="E101" s="3">
        <v>45689</v>
      </c>
      <c r="F101" s="3">
        <v>45930</v>
      </c>
      <c r="G101" s="1" t="s">
        <v>27</v>
      </c>
      <c r="H101" s="1" t="s">
        <v>230</v>
      </c>
      <c r="I101" s="1" t="s">
        <v>29</v>
      </c>
      <c r="J101" s="1" t="s">
        <v>30</v>
      </c>
      <c r="K101" s="1" t="s">
        <v>31</v>
      </c>
      <c r="L101" s="4">
        <v>100</v>
      </c>
      <c r="M101" s="1" t="s">
        <v>32</v>
      </c>
      <c r="N101" s="1"/>
      <c r="O101" s="4">
        <v>10552</v>
      </c>
      <c r="P101" s="4">
        <v>106</v>
      </c>
      <c r="Q101" s="4">
        <v>1583</v>
      </c>
      <c r="R101" s="4">
        <v>0</v>
      </c>
      <c r="S101" s="4">
        <v>0</v>
      </c>
      <c r="T101" s="4">
        <v>12241</v>
      </c>
      <c r="U101" s="4">
        <v>0</v>
      </c>
      <c r="V101" s="1"/>
      <c r="W101" s="5">
        <v>0</v>
      </c>
      <c r="X101" s="5">
        <v>0</v>
      </c>
      <c r="Y101" s="5"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2">
        <v>101</v>
      </c>
      <c r="B102" s="1" t="s">
        <v>231</v>
      </c>
      <c r="C102" s="1"/>
      <c r="D102" s="3">
        <v>45727</v>
      </c>
      <c r="E102" s="3">
        <v>45689</v>
      </c>
      <c r="F102" s="3">
        <v>45930</v>
      </c>
      <c r="G102" s="1" t="s">
        <v>27</v>
      </c>
      <c r="H102" s="1" t="s">
        <v>232</v>
      </c>
      <c r="I102" s="1" t="s">
        <v>29</v>
      </c>
      <c r="J102" s="1" t="s">
        <v>30</v>
      </c>
      <c r="K102" s="1" t="s">
        <v>31</v>
      </c>
      <c r="L102" s="4">
        <v>100</v>
      </c>
      <c r="M102" s="1" t="s">
        <v>32</v>
      </c>
      <c r="N102" s="1"/>
      <c r="O102" s="4">
        <v>3310</v>
      </c>
      <c r="P102" s="4">
        <v>33</v>
      </c>
      <c r="Q102" s="4">
        <v>497</v>
      </c>
      <c r="R102" s="4">
        <v>0</v>
      </c>
      <c r="S102" s="4">
        <v>0</v>
      </c>
      <c r="T102" s="4">
        <v>3840</v>
      </c>
      <c r="U102" s="4">
        <v>0</v>
      </c>
      <c r="V102" s="1"/>
      <c r="W102" s="5">
        <v>0</v>
      </c>
      <c r="X102" s="5">
        <v>0</v>
      </c>
      <c r="Y102" s="5"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25">
      <c r="A103" s="2">
        <v>102</v>
      </c>
      <c r="B103" s="1" t="s">
        <v>233</v>
      </c>
      <c r="C103" s="1"/>
      <c r="D103" s="3">
        <v>45727</v>
      </c>
      <c r="E103" s="3">
        <v>45689</v>
      </c>
      <c r="F103" s="3">
        <v>45930</v>
      </c>
      <c r="G103" s="1" t="s">
        <v>27</v>
      </c>
      <c r="H103" s="1" t="s">
        <v>234</v>
      </c>
      <c r="I103" s="1" t="s">
        <v>29</v>
      </c>
      <c r="J103" s="1" t="s">
        <v>30</v>
      </c>
      <c r="K103" s="1" t="s">
        <v>31</v>
      </c>
      <c r="L103" s="4">
        <v>100</v>
      </c>
      <c r="M103" s="1" t="s">
        <v>32</v>
      </c>
      <c r="N103" s="1"/>
      <c r="O103" s="4">
        <v>2069</v>
      </c>
      <c r="P103" s="4">
        <v>21</v>
      </c>
      <c r="Q103" s="4">
        <v>310</v>
      </c>
      <c r="R103" s="4">
        <v>0</v>
      </c>
      <c r="S103" s="4">
        <v>0</v>
      </c>
      <c r="T103" s="4">
        <v>2400</v>
      </c>
      <c r="U103" s="4">
        <v>0</v>
      </c>
      <c r="V103" s="1"/>
      <c r="W103" s="5">
        <v>0</v>
      </c>
      <c r="X103" s="5">
        <v>0</v>
      </c>
      <c r="Y103" s="5"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 s="2">
        <v>103</v>
      </c>
      <c r="B104" s="1" t="s">
        <v>235</v>
      </c>
      <c r="C104" s="1"/>
      <c r="D104" s="3">
        <v>45727</v>
      </c>
      <c r="E104" s="3">
        <v>45689</v>
      </c>
      <c r="F104" s="3">
        <v>45930</v>
      </c>
      <c r="G104" s="1" t="s">
        <v>27</v>
      </c>
      <c r="H104" s="1" t="s">
        <v>236</v>
      </c>
      <c r="I104" s="1" t="s">
        <v>29</v>
      </c>
      <c r="J104" s="1" t="s">
        <v>30</v>
      </c>
      <c r="K104" s="1" t="s">
        <v>31</v>
      </c>
      <c r="L104" s="4">
        <v>100</v>
      </c>
      <c r="M104" s="1" t="s">
        <v>32</v>
      </c>
      <c r="N104" s="1"/>
      <c r="O104" s="4">
        <v>3621</v>
      </c>
      <c r="P104" s="4">
        <v>36</v>
      </c>
      <c r="Q104" s="4">
        <v>543</v>
      </c>
      <c r="R104" s="4">
        <v>0</v>
      </c>
      <c r="S104" s="4">
        <v>0</v>
      </c>
      <c r="T104" s="4">
        <v>4200</v>
      </c>
      <c r="U104" s="4">
        <v>0</v>
      </c>
      <c r="V104" s="1"/>
      <c r="W104" s="5">
        <v>0</v>
      </c>
      <c r="X104" s="5">
        <v>0</v>
      </c>
      <c r="Y104" s="5"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25">
      <c r="A105" s="2">
        <v>104</v>
      </c>
      <c r="B105" s="1" t="s">
        <v>237</v>
      </c>
      <c r="C105" s="1"/>
      <c r="D105" s="3">
        <v>45727</v>
      </c>
      <c r="E105" s="3">
        <v>45689</v>
      </c>
      <c r="F105" s="3">
        <v>45930</v>
      </c>
      <c r="G105" s="1" t="s">
        <v>27</v>
      </c>
      <c r="H105" s="1" t="s">
        <v>238</v>
      </c>
      <c r="I105" s="1" t="s">
        <v>29</v>
      </c>
      <c r="J105" s="1" t="s">
        <v>30</v>
      </c>
      <c r="K105" s="1" t="s">
        <v>31</v>
      </c>
      <c r="L105" s="4">
        <v>100</v>
      </c>
      <c r="M105" s="1" t="s">
        <v>32</v>
      </c>
      <c r="N105" s="1"/>
      <c r="O105" s="4">
        <v>5483</v>
      </c>
      <c r="P105" s="4">
        <v>55</v>
      </c>
      <c r="Q105" s="4">
        <v>822</v>
      </c>
      <c r="R105" s="4">
        <v>0</v>
      </c>
      <c r="S105" s="4">
        <v>0</v>
      </c>
      <c r="T105" s="4">
        <v>6360</v>
      </c>
      <c r="U105" s="4">
        <v>0</v>
      </c>
      <c r="V105" s="1"/>
      <c r="W105" s="5">
        <v>0</v>
      </c>
      <c r="X105" s="5">
        <v>0</v>
      </c>
      <c r="Y105" s="5"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25">
      <c r="A106" s="2">
        <v>105</v>
      </c>
      <c r="B106" s="1" t="s">
        <v>239</v>
      </c>
      <c r="C106" s="1"/>
      <c r="D106" s="3">
        <v>45727</v>
      </c>
      <c r="E106" s="3">
        <v>45689</v>
      </c>
      <c r="F106" s="3">
        <v>45930</v>
      </c>
      <c r="G106" s="1" t="s">
        <v>27</v>
      </c>
      <c r="H106" s="1" t="s">
        <v>240</v>
      </c>
      <c r="I106" s="1" t="s">
        <v>29</v>
      </c>
      <c r="J106" s="1" t="s">
        <v>30</v>
      </c>
      <c r="K106" s="1" t="s">
        <v>31</v>
      </c>
      <c r="L106" s="4">
        <v>100</v>
      </c>
      <c r="M106" s="1" t="s">
        <v>32</v>
      </c>
      <c r="N106" s="1"/>
      <c r="O106" s="4">
        <v>1552</v>
      </c>
      <c r="P106" s="4">
        <v>16</v>
      </c>
      <c r="Q106" s="4">
        <v>233</v>
      </c>
      <c r="R106" s="4">
        <v>0</v>
      </c>
      <c r="S106" s="4">
        <v>0</v>
      </c>
      <c r="T106" s="4">
        <v>1801</v>
      </c>
      <c r="U106" s="4">
        <v>0</v>
      </c>
      <c r="V106" s="1"/>
      <c r="W106" s="5">
        <v>0</v>
      </c>
      <c r="X106" s="5">
        <v>0</v>
      </c>
      <c r="Y106" s="5"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25">
      <c r="A107" s="2">
        <v>106</v>
      </c>
      <c r="B107" s="1" t="s">
        <v>241</v>
      </c>
      <c r="C107" s="1"/>
      <c r="D107" s="3">
        <v>45727</v>
      </c>
      <c r="E107" s="3">
        <v>45689</v>
      </c>
      <c r="F107" s="3">
        <v>45930</v>
      </c>
      <c r="G107" s="1" t="s">
        <v>27</v>
      </c>
      <c r="H107" s="1" t="s">
        <v>242</v>
      </c>
      <c r="I107" s="1" t="s">
        <v>29</v>
      </c>
      <c r="J107" s="1" t="s">
        <v>30</v>
      </c>
      <c r="K107" s="1" t="s">
        <v>31</v>
      </c>
      <c r="L107" s="4">
        <v>100</v>
      </c>
      <c r="M107" s="1" t="s">
        <v>32</v>
      </c>
      <c r="N107" s="1"/>
      <c r="O107" s="4">
        <v>11793</v>
      </c>
      <c r="P107" s="4">
        <v>118</v>
      </c>
      <c r="Q107" s="4">
        <v>1769</v>
      </c>
      <c r="R107" s="4">
        <v>0</v>
      </c>
      <c r="S107" s="4">
        <v>0</v>
      </c>
      <c r="T107" s="4">
        <v>13680</v>
      </c>
      <c r="U107" s="4">
        <v>0</v>
      </c>
      <c r="V107" s="1"/>
      <c r="W107" s="5">
        <v>0</v>
      </c>
      <c r="X107" s="5">
        <v>0</v>
      </c>
      <c r="Y107" s="5"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25">
      <c r="A108" s="2">
        <v>107</v>
      </c>
      <c r="B108" s="1" t="s">
        <v>243</v>
      </c>
      <c r="C108" s="1"/>
      <c r="D108" s="3">
        <v>45727</v>
      </c>
      <c r="E108" s="3">
        <v>45689</v>
      </c>
      <c r="F108" s="3">
        <v>45930</v>
      </c>
      <c r="G108" s="1" t="s">
        <v>27</v>
      </c>
      <c r="H108" s="1" t="s">
        <v>244</v>
      </c>
      <c r="I108" s="1" t="s">
        <v>29</v>
      </c>
      <c r="J108" s="1" t="s">
        <v>30</v>
      </c>
      <c r="K108" s="1" t="s">
        <v>31</v>
      </c>
      <c r="L108" s="4">
        <v>100</v>
      </c>
      <c r="M108" s="1" t="s">
        <v>32</v>
      </c>
      <c r="N108" s="1"/>
      <c r="O108" s="4">
        <v>11483</v>
      </c>
      <c r="P108" s="4">
        <v>115</v>
      </c>
      <c r="Q108" s="4">
        <v>1722</v>
      </c>
      <c r="R108" s="4">
        <v>0</v>
      </c>
      <c r="S108" s="4">
        <v>0</v>
      </c>
      <c r="T108" s="4">
        <v>13320</v>
      </c>
      <c r="U108" s="4">
        <v>0</v>
      </c>
      <c r="V108" s="1"/>
      <c r="W108" s="5">
        <v>0</v>
      </c>
      <c r="X108" s="5">
        <v>0</v>
      </c>
      <c r="Y108" s="5"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25">
      <c r="A109" s="2">
        <v>108</v>
      </c>
      <c r="B109" s="1" t="s">
        <v>245</v>
      </c>
      <c r="C109" s="1"/>
      <c r="D109" s="3">
        <v>45727</v>
      </c>
      <c r="E109" s="3">
        <v>45689</v>
      </c>
      <c r="F109" s="3">
        <v>45930</v>
      </c>
      <c r="G109" s="1" t="s">
        <v>27</v>
      </c>
      <c r="H109" s="1" t="s">
        <v>246</v>
      </c>
      <c r="I109" s="1" t="s">
        <v>29</v>
      </c>
      <c r="J109" s="1" t="s">
        <v>30</v>
      </c>
      <c r="K109" s="1" t="s">
        <v>31</v>
      </c>
      <c r="L109" s="4">
        <v>100</v>
      </c>
      <c r="M109" s="1" t="s">
        <v>32</v>
      </c>
      <c r="N109" s="1"/>
      <c r="O109" s="4">
        <v>7966</v>
      </c>
      <c r="P109" s="4">
        <v>80</v>
      </c>
      <c r="Q109" s="4">
        <v>1195</v>
      </c>
      <c r="R109" s="4">
        <v>0</v>
      </c>
      <c r="S109" s="4">
        <v>0</v>
      </c>
      <c r="T109" s="4">
        <v>9241</v>
      </c>
      <c r="U109" s="4">
        <v>0</v>
      </c>
      <c r="V109" s="1"/>
      <c r="W109" s="5">
        <v>0</v>
      </c>
      <c r="X109" s="5">
        <v>0</v>
      </c>
      <c r="Y109" s="5">
        <v>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5">
      <c r="A110" s="2">
        <v>109</v>
      </c>
      <c r="B110" s="1" t="s">
        <v>247</v>
      </c>
      <c r="C110" s="1"/>
      <c r="D110" s="3">
        <v>45727</v>
      </c>
      <c r="E110" s="3">
        <v>45689</v>
      </c>
      <c r="F110" s="3">
        <v>45930</v>
      </c>
      <c r="G110" s="1" t="s">
        <v>27</v>
      </c>
      <c r="H110" s="1" t="s">
        <v>248</v>
      </c>
      <c r="I110" s="1" t="s">
        <v>29</v>
      </c>
      <c r="J110" s="1" t="s">
        <v>30</v>
      </c>
      <c r="K110" s="1" t="s">
        <v>31</v>
      </c>
      <c r="L110" s="4">
        <v>100</v>
      </c>
      <c r="M110" s="1" t="s">
        <v>32</v>
      </c>
      <c r="N110" s="1"/>
      <c r="O110" s="4">
        <v>8897</v>
      </c>
      <c r="P110" s="4">
        <v>89</v>
      </c>
      <c r="Q110" s="4">
        <v>1335</v>
      </c>
      <c r="R110" s="4">
        <v>0</v>
      </c>
      <c r="S110" s="4">
        <v>0</v>
      </c>
      <c r="T110" s="4">
        <v>10321</v>
      </c>
      <c r="U110" s="4">
        <v>0</v>
      </c>
      <c r="V110" s="1"/>
      <c r="W110" s="5">
        <v>0</v>
      </c>
      <c r="X110" s="5">
        <v>0</v>
      </c>
      <c r="Y110" s="5"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25">
      <c r="A111" s="2">
        <v>110</v>
      </c>
      <c r="B111" s="1" t="s">
        <v>249</v>
      </c>
      <c r="C111" s="1"/>
      <c r="D111" s="3">
        <v>45727</v>
      </c>
      <c r="E111" s="3">
        <v>45689</v>
      </c>
      <c r="F111" s="3">
        <v>45930</v>
      </c>
      <c r="G111" s="1" t="s">
        <v>27</v>
      </c>
      <c r="H111" s="1" t="s">
        <v>250</v>
      </c>
      <c r="I111" s="1" t="s">
        <v>29</v>
      </c>
      <c r="J111" s="1" t="s">
        <v>30</v>
      </c>
      <c r="K111" s="1" t="s">
        <v>31</v>
      </c>
      <c r="L111" s="4">
        <v>100</v>
      </c>
      <c r="M111" s="1" t="s">
        <v>32</v>
      </c>
      <c r="N111" s="1"/>
      <c r="O111" s="4">
        <v>7345</v>
      </c>
      <c r="P111" s="4">
        <v>73</v>
      </c>
      <c r="Q111" s="4">
        <v>1102</v>
      </c>
      <c r="R111" s="4">
        <v>0</v>
      </c>
      <c r="S111" s="4">
        <v>0</v>
      </c>
      <c r="T111" s="4">
        <v>8520</v>
      </c>
      <c r="U111" s="4">
        <v>0</v>
      </c>
      <c r="V111" s="1"/>
      <c r="W111" s="5">
        <v>0</v>
      </c>
      <c r="X111" s="5">
        <v>0</v>
      </c>
      <c r="Y111" s="5">
        <v>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25">
      <c r="A112" s="2">
        <v>111</v>
      </c>
      <c r="B112" s="1" t="s">
        <v>251</v>
      </c>
      <c r="C112" s="1"/>
      <c r="D112" s="3">
        <v>45727</v>
      </c>
      <c r="E112" s="3">
        <v>45689</v>
      </c>
      <c r="F112" s="3">
        <v>45930</v>
      </c>
      <c r="G112" s="1" t="s">
        <v>27</v>
      </c>
      <c r="H112" s="1" t="s">
        <v>252</v>
      </c>
      <c r="I112" s="1" t="s">
        <v>29</v>
      </c>
      <c r="J112" s="1" t="s">
        <v>30</v>
      </c>
      <c r="K112" s="1" t="s">
        <v>31</v>
      </c>
      <c r="L112" s="4">
        <v>100</v>
      </c>
      <c r="M112" s="1" t="s">
        <v>32</v>
      </c>
      <c r="N112" s="1"/>
      <c r="O112" s="4">
        <v>12621</v>
      </c>
      <c r="P112" s="4">
        <v>126</v>
      </c>
      <c r="Q112" s="4">
        <v>1893</v>
      </c>
      <c r="R112" s="4">
        <v>0</v>
      </c>
      <c r="S112" s="4">
        <v>0</v>
      </c>
      <c r="T112" s="4">
        <v>14640</v>
      </c>
      <c r="U112" s="4">
        <v>0</v>
      </c>
      <c r="V112" s="1"/>
      <c r="W112" s="5">
        <v>0</v>
      </c>
      <c r="X112" s="5">
        <v>0</v>
      </c>
      <c r="Y112" s="5"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 s="2">
        <v>112</v>
      </c>
      <c r="B113" s="1" t="s">
        <v>253</v>
      </c>
      <c r="C113" s="1"/>
      <c r="D113" s="3">
        <v>45727</v>
      </c>
      <c r="E113" s="3">
        <v>45689</v>
      </c>
      <c r="F113" s="3">
        <v>45930</v>
      </c>
      <c r="G113" s="1" t="s">
        <v>27</v>
      </c>
      <c r="H113" s="1" t="s">
        <v>254</v>
      </c>
      <c r="I113" s="1" t="s">
        <v>29</v>
      </c>
      <c r="J113" s="1" t="s">
        <v>30</v>
      </c>
      <c r="K113" s="1" t="s">
        <v>31</v>
      </c>
      <c r="L113" s="4">
        <v>100</v>
      </c>
      <c r="M113" s="1" t="s">
        <v>32</v>
      </c>
      <c r="N113" s="1"/>
      <c r="O113" s="4">
        <v>10655</v>
      </c>
      <c r="P113" s="4">
        <v>107</v>
      </c>
      <c r="Q113" s="4">
        <v>1598</v>
      </c>
      <c r="R113" s="4">
        <v>0</v>
      </c>
      <c r="S113" s="4">
        <v>0</v>
      </c>
      <c r="T113" s="4">
        <v>12360</v>
      </c>
      <c r="U113" s="4">
        <v>0</v>
      </c>
      <c r="V113" s="1"/>
      <c r="W113" s="5">
        <v>0</v>
      </c>
      <c r="X113" s="5">
        <v>0</v>
      </c>
      <c r="Y113" s="5"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25">
      <c r="A114" s="2">
        <v>113</v>
      </c>
      <c r="B114" s="1" t="s">
        <v>255</v>
      </c>
      <c r="C114" s="1"/>
      <c r="D114" s="3">
        <v>45727</v>
      </c>
      <c r="E114" s="3">
        <v>45689</v>
      </c>
      <c r="F114" s="3">
        <v>45930</v>
      </c>
      <c r="G114" s="1" t="s">
        <v>27</v>
      </c>
      <c r="H114" s="1" t="s">
        <v>256</v>
      </c>
      <c r="I114" s="1" t="s">
        <v>29</v>
      </c>
      <c r="J114" s="1" t="s">
        <v>30</v>
      </c>
      <c r="K114" s="1" t="s">
        <v>31</v>
      </c>
      <c r="L114" s="4">
        <v>100</v>
      </c>
      <c r="M114" s="1" t="s">
        <v>32</v>
      </c>
      <c r="N114" s="1"/>
      <c r="O114" s="4">
        <v>1862</v>
      </c>
      <c r="P114" s="4">
        <v>19</v>
      </c>
      <c r="Q114" s="4">
        <v>279</v>
      </c>
      <c r="R114" s="4">
        <v>0</v>
      </c>
      <c r="S114" s="4">
        <v>0</v>
      </c>
      <c r="T114" s="4">
        <v>2160</v>
      </c>
      <c r="U114" s="4">
        <v>0</v>
      </c>
      <c r="V114" s="1"/>
      <c r="W114" s="5">
        <v>0</v>
      </c>
      <c r="X114" s="5">
        <v>0</v>
      </c>
      <c r="Y114" s="5"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25">
      <c r="A115" s="2">
        <v>114</v>
      </c>
      <c r="B115" s="1" t="s">
        <v>257</v>
      </c>
      <c r="C115" s="1"/>
      <c r="D115" s="3">
        <v>45727</v>
      </c>
      <c r="E115" s="3">
        <v>45689</v>
      </c>
      <c r="F115" s="3">
        <v>45930</v>
      </c>
      <c r="G115" s="1" t="s">
        <v>27</v>
      </c>
      <c r="H115" s="1" t="s">
        <v>258</v>
      </c>
      <c r="I115" s="1" t="s">
        <v>29</v>
      </c>
      <c r="J115" s="1" t="s">
        <v>30</v>
      </c>
      <c r="K115" s="1" t="s">
        <v>31</v>
      </c>
      <c r="L115" s="4">
        <v>100</v>
      </c>
      <c r="M115" s="1" t="s">
        <v>32</v>
      </c>
      <c r="N115" s="1"/>
      <c r="O115" s="4">
        <v>3103</v>
      </c>
      <c r="P115" s="4">
        <v>31</v>
      </c>
      <c r="Q115" s="4">
        <v>465</v>
      </c>
      <c r="R115" s="4">
        <v>0</v>
      </c>
      <c r="S115" s="4">
        <v>0</v>
      </c>
      <c r="T115" s="4">
        <v>3599</v>
      </c>
      <c r="U115" s="4">
        <v>0</v>
      </c>
      <c r="V115" s="1"/>
      <c r="W115" s="5">
        <v>0</v>
      </c>
      <c r="X115" s="5">
        <v>0</v>
      </c>
      <c r="Y115" s="5"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2">
        <v>115</v>
      </c>
      <c r="B116" s="1" t="s">
        <v>259</v>
      </c>
      <c r="C116" s="1"/>
      <c r="D116" s="3">
        <v>45727</v>
      </c>
      <c r="E116" s="3">
        <v>45689</v>
      </c>
      <c r="F116" s="3">
        <v>45930</v>
      </c>
      <c r="G116" s="1" t="s">
        <v>27</v>
      </c>
      <c r="H116" s="1" t="s">
        <v>260</v>
      </c>
      <c r="I116" s="1" t="s">
        <v>29</v>
      </c>
      <c r="J116" s="1" t="s">
        <v>30</v>
      </c>
      <c r="K116" s="1" t="s">
        <v>31</v>
      </c>
      <c r="L116" s="4">
        <v>100</v>
      </c>
      <c r="M116" s="1" t="s">
        <v>32</v>
      </c>
      <c r="N116" s="1"/>
      <c r="O116" s="4">
        <v>4034</v>
      </c>
      <c r="P116" s="4">
        <v>40</v>
      </c>
      <c r="Q116" s="4">
        <v>605</v>
      </c>
      <c r="R116" s="4">
        <v>0</v>
      </c>
      <c r="S116" s="4">
        <v>0</v>
      </c>
      <c r="T116" s="4">
        <v>4679</v>
      </c>
      <c r="U116" s="4">
        <v>0</v>
      </c>
      <c r="V116" s="1"/>
      <c r="W116" s="5">
        <v>0</v>
      </c>
      <c r="X116" s="5">
        <v>0</v>
      </c>
      <c r="Y116" s="5">
        <v>0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25">
      <c r="A117" s="2">
        <v>116</v>
      </c>
      <c r="B117" s="1" t="s">
        <v>261</v>
      </c>
      <c r="C117" s="1"/>
      <c r="D117" s="3">
        <v>45727</v>
      </c>
      <c r="E117" s="3">
        <v>45689</v>
      </c>
      <c r="F117" s="3">
        <v>45930</v>
      </c>
      <c r="G117" s="1" t="s">
        <v>27</v>
      </c>
      <c r="H117" s="1" t="s">
        <v>262</v>
      </c>
      <c r="I117" s="1" t="s">
        <v>29</v>
      </c>
      <c r="J117" s="1" t="s">
        <v>30</v>
      </c>
      <c r="K117" s="1" t="s">
        <v>31</v>
      </c>
      <c r="L117" s="4">
        <v>100</v>
      </c>
      <c r="M117" s="1" t="s">
        <v>32</v>
      </c>
      <c r="N117" s="1"/>
      <c r="O117" s="4">
        <v>4655</v>
      </c>
      <c r="P117" s="4">
        <v>47</v>
      </c>
      <c r="Q117" s="4">
        <v>698</v>
      </c>
      <c r="R117" s="4">
        <v>0</v>
      </c>
      <c r="S117" s="4">
        <v>0</v>
      </c>
      <c r="T117" s="4">
        <v>5400</v>
      </c>
      <c r="U117" s="4">
        <v>0</v>
      </c>
      <c r="V117" s="1"/>
      <c r="W117" s="5">
        <v>0</v>
      </c>
      <c r="X117" s="5">
        <v>0</v>
      </c>
      <c r="Y117" s="5"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 s="2">
        <v>117</v>
      </c>
      <c r="B118" s="1" t="s">
        <v>263</v>
      </c>
      <c r="C118" s="1"/>
      <c r="D118" s="3">
        <v>45727</v>
      </c>
      <c r="E118" s="3">
        <v>45689</v>
      </c>
      <c r="F118" s="3">
        <v>45930</v>
      </c>
      <c r="G118" s="1" t="s">
        <v>27</v>
      </c>
      <c r="H118" s="1" t="s">
        <v>264</v>
      </c>
      <c r="I118" s="1" t="s">
        <v>29</v>
      </c>
      <c r="J118" s="1" t="s">
        <v>30</v>
      </c>
      <c r="K118" s="1" t="s">
        <v>31</v>
      </c>
      <c r="L118" s="4">
        <v>100</v>
      </c>
      <c r="M118" s="1" t="s">
        <v>32</v>
      </c>
      <c r="N118" s="1"/>
      <c r="O118" s="4">
        <v>4759</v>
      </c>
      <c r="P118" s="4">
        <v>48</v>
      </c>
      <c r="Q118" s="4">
        <v>714</v>
      </c>
      <c r="R118" s="4">
        <v>0</v>
      </c>
      <c r="S118" s="4">
        <v>0</v>
      </c>
      <c r="T118" s="4">
        <v>5521</v>
      </c>
      <c r="U118" s="4">
        <v>0</v>
      </c>
      <c r="V118" s="1"/>
      <c r="W118" s="5">
        <v>0</v>
      </c>
      <c r="X118" s="5">
        <v>0</v>
      </c>
      <c r="Y118" s="5"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25">
      <c r="A119" s="2">
        <v>118</v>
      </c>
      <c r="B119" s="1" t="s">
        <v>265</v>
      </c>
      <c r="C119" s="1"/>
      <c r="D119" s="3">
        <v>45727</v>
      </c>
      <c r="E119" s="3">
        <v>45689</v>
      </c>
      <c r="F119" s="3">
        <v>45930</v>
      </c>
      <c r="G119" s="1" t="s">
        <v>27</v>
      </c>
      <c r="H119" s="1" t="s">
        <v>266</v>
      </c>
      <c r="I119" s="1" t="s">
        <v>29</v>
      </c>
      <c r="J119" s="1" t="s">
        <v>30</v>
      </c>
      <c r="K119" s="1" t="s">
        <v>31</v>
      </c>
      <c r="L119" s="4">
        <v>100</v>
      </c>
      <c r="M119" s="1" t="s">
        <v>32</v>
      </c>
      <c r="N119" s="1"/>
      <c r="O119" s="4">
        <v>3724</v>
      </c>
      <c r="P119" s="4">
        <v>37</v>
      </c>
      <c r="Q119" s="4">
        <v>559</v>
      </c>
      <c r="R119" s="4">
        <v>0</v>
      </c>
      <c r="S119" s="4">
        <v>0</v>
      </c>
      <c r="T119" s="4">
        <v>4320</v>
      </c>
      <c r="U119" s="4">
        <v>0</v>
      </c>
      <c r="V119" s="1"/>
      <c r="W119" s="5">
        <v>0</v>
      </c>
      <c r="X119" s="5">
        <v>0</v>
      </c>
      <c r="Y119" s="5">
        <v>0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25">
      <c r="A120" s="2">
        <v>119</v>
      </c>
      <c r="B120" s="1" t="s">
        <v>267</v>
      </c>
      <c r="C120" s="1"/>
      <c r="D120" s="3">
        <v>45727</v>
      </c>
      <c r="E120" s="3">
        <v>45689</v>
      </c>
      <c r="F120" s="3">
        <v>45930</v>
      </c>
      <c r="G120" s="1" t="s">
        <v>27</v>
      </c>
      <c r="H120" s="1" t="s">
        <v>268</v>
      </c>
      <c r="I120" s="1" t="s">
        <v>29</v>
      </c>
      <c r="J120" s="1" t="s">
        <v>30</v>
      </c>
      <c r="K120" s="1" t="s">
        <v>31</v>
      </c>
      <c r="L120" s="4">
        <v>100</v>
      </c>
      <c r="M120" s="1" t="s">
        <v>32</v>
      </c>
      <c r="N120" s="1"/>
      <c r="O120" s="4">
        <v>4759</v>
      </c>
      <c r="P120" s="4">
        <v>48</v>
      </c>
      <c r="Q120" s="4">
        <v>714</v>
      </c>
      <c r="R120" s="4">
        <v>0</v>
      </c>
      <c r="S120" s="4">
        <v>0</v>
      </c>
      <c r="T120" s="4">
        <v>5521</v>
      </c>
      <c r="U120" s="4">
        <v>0</v>
      </c>
      <c r="V120" s="1"/>
      <c r="W120" s="5">
        <v>0</v>
      </c>
      <c r="X120" s="5">
        <v>0</v>
      </c>
      <c r="Y120" s="5">
        <v>0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5">
      <c r="A121" s="2">
        <v>120</v>
      </c>
      <c r="B121" s="1" t="s">
        <v>269</v>
      </c>
      <c r="C121" s="1"/>
      <c r="D121" s="3">
        <v>45727</v>
      </c>
      <c r="E121" s="3">
        <v>45689</v>
      </c>
      <c r="F121" s="3">
        <v>45930</v>
      </c>
      <c r="G121" s="1" t="s">
        <v>27</v>
      </c>
      <c r="H121" s="1" t="s">
        <v>270</v>
      </c>
      <c r="I121" s="1" t="s">
        <v>29</v>
      </c>
      <c r="J121" s="1" t="s">
        <v>30</v>
      </c>
      <c r="K121" s="1" t="s">
        <v>31</v>
      </c>
      <c r="L121" s="4">
        <v>100</v>
      </c>
      <c r="M121" s="1" t="s">
        <v>32</v>
      </c>
      <c r="N121" s="1"/>
      <c r="O121" s="4">
        <v>4862</v>
      </c>
      <c r="P121" s="4">
        <v>49</v>
      </c>
      <c r="Q121" s="4">
        <v>729</v>
      </c>
      <c r="R121" s="4">
        <v>0</v>
      </c>
      <c r="S121" s="4">
        <v>0</v>
      </c>
      <c r="T121" s="4">
        <v>5640</v>
      </c>
      <c r="U121" s="4">
        <v>0</v>
      </c>
      <c r="V121" s="1"/>
      <c r="W121" s="5">
        <v>0</v>
      </c>
      <c r="X121" s="5">
        <v>0</v>
      </c>
      <c r="Y121" s="5">
        <v>0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 s="2">
        <v>121</v>
      </c>
      <c r="B122" s="1" t="s">
        <v>271</v>
      </c>
      <c r="C122" s="1"/>
      <c r="D122" s="3">
        <v>45727</v>
      </c>
      <c r="E122" s="3">
        <v>45689</v>
      </c>
      <c r="F122" s="3">
        <v>45930</v>
      </c>
      <c r="G122" s="1" t="s">
        <v>27</v>
      </c>
      <c r="H122" s="1" t="s">
        <v>272</v>
      </c>
      <c r="I122" s="1" t="s">
        <v>29</v>
      </c>
      <c r="J122" s="1" t="s">
        <v>30</v>
      </c>
      <c r="K122" s="1" t="s">
        <v>31</v>
      </c>
      <c r="L122" s="4">
        <v>100</v>
      </c>
      <c r="M122" s="1" t="s">
        <v>32</v>
      </c>
      <c r="N122" s="1"/>
      <c r="O122" s="4">
        <v>7966</v>
      </c>
      <c r="P122" s="4">
        <v>80</v>
      </c>
      <c r="Q122" s="4">
        <v>1195</v>
      </c>
      <c r="R122" s="4">
        <v>0</v>
      </c>
      <c r="S122" s="4">
        <v>0</v>
      </c>
      <c r="T122" s="4">
        <v>9241</v>
      </c>
      <c r="U122" s="4">
        <v>0</v>
      </c>
      <c r="V122" s="1"/>
      <c r="W122" s="5">
        <v>0</v>
      </c>
      <c r="X122" s="5">
        <v>0</v>
      </c>
      <c r="Y122" s="5">
        <v>0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25">
      <c r="A123" s="2">
        <v>122</v>
      </c>
      <c r="B123" s="1" t="s">
        <v>273</v>
      </c>
      <c r="C123" s="1"/>
      <c r="D123" s="3">
        <v>45727</v>
      </c>
      <c r="E123" s="3">
        <v>45689</v>
      </c>
      <c r="F123" s="3">
        <v>45930</v>
      </c>
      <c r="G123" s="1" t="s">
        <v>27</v>
      </c>
      <c r="H123" s="1" t="s">
        <v>274</v>
      </c>
      <c r="I123" s="1" t="s">
        <v>29</v>
      </c>
      <c r="J123" s="1" t="s">
        <v>30</v>
      </c>
      <c r="K123" s="1" t="s">
        <v>31</v>
      </c>
      <c r="L123" s="4">
        <v>100</v>
      </c>
      <c r="M123" s="1" t="s">
        <v>32</v>
      </c>
      <c r="N123" s="1"/>
      <c r="O123" s="4">
        <v>8690</v>
      </c>
      <c r="P123" s="4">
        <v>87</v>
      </c>
      <c r="Q123" s="4">
        <v>1304</v>
      </c>
      <c r="R123" s="4">
        <v>0</v>
      </c>
      <c r="S123" s="4">
        <v>0</v>
      </c>
      <c r="T123" s="4">
        <v>10081</v>
      </c>
      <c r="U123" s="4">
        <v>0</v>
      </c>
      <c r="V123" s="1"/>
      <c r="W123" s="5">
        <v>0</v>
      </c>
      <c r="X123" s="5">
        <v>0</v>
      </c>
      <c r="Y123" s="5">
        <v>0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5">
      <c r="A124" s="2">
        <v>123</v>
      </c>
      <c r="B124" s="1" t="s">
        <v>275</v>
      </c>
      <c r="C124" s="1"/>
      <c r="D124" s="3">
        <v>45727</v>
      </c>
      <c r="E124" s="3">
        <v>45689</v>
      </c>
      <c r="F124" s="3">
        <v>45930</v>
      </c>
      <c r="G124" s="1" t="s">
        <v>27</v>
      </c>
      <c r="H124" s="1" t="s">
        <v>276</v>
      </c>
      <c r="I124" s="1" t="s">
        <v>29</v>
      </c>
      <c r="J124" s="1" t="s">
        <v>30</v>
      </c>
      <c r="K124" s="1" t="s">
        <v>31</v>
      </c>
      <c r="L124" s="4">
        <v>100</v>
      </c>
      <c r="M124" s="1" t="s">
        <v>32</v>
      </c>
      <c r="N124" s="1"/>
      <c r="O124" s="4">
        <v>7241</v>
      </c>
      <c r="P124" s="4">
        <v>72</v>
      </c>
      <c r="Q124" s="4">
        <v>1086</v>
      </c>
      <c r="R124" s="4">
        <v>0</v>
      </c>
      <c r="S124" s="4">
        <v>0</v>
      </c>
      <c r="T124" s="4">
        <v>8399</v>
      </c>
      <c r="U124" s="4">
        <v>0</v>
      </c>
      <c r="V124" s="1"/>
      <c r="W124" s="5">
        <v>0</v>
      </c>
      <c r="X124" s="5">
        <v>0</v>
      </c>
      <c r="Y124" s="5">
        <v>0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25">
      <c r="A125" s="2">
        <v>124</v>
      </c>
      <c r="B125" s="1" t="s">
        <v>277</v>
      </c>
      <c r="C125" s="1"/>
      <c r="D125" s="3">
        <v>45727</v>
      </c>
      <c r="E125" s="3">
        <v>45689</v>
      </c>
      <c r="F125" s="3">
        <v>45930</v>
      </c>
      <c r="G125" s="1" t="s">
        <v>27</v>
      </c>
      <c r="H125" s="1" t="s">
        <v>278</v>
      </c>
      <c r="I125" s="1" t="s">
        <v>29</v>
      </c>
      <c r="J125" s="1" t="s">
        <v>30</v>
      </c>
      <c r="K125" s="1" t="s">
        <v>31</v>
      </c>
      <c r="L125" s="4">
        <v>100</v>
      </c>
      <c r="M125" s="1" t="s">
        <v>32</v>
      </c>
      <c r="N125" s="1"/>
      <c r="O125" s="4">
        <v>10138</v>
      </c>
      <c r="P125" s="4">
        <v>101</v>
      </c>
      <c r="Q125" s="4">
        <v>1521</v>
      </c>
      <c r="R125" s="4">
        <v>0</v>
      </c>
      <c r="S125" s="4">
        <v>0</v>
      </c>
      <c r="T125" s="4">
        <v>11760</v>
      </c>
      <c r="U125" s="4">
        <v>0</v>
      </c>
      <c r="V125" s="1"/>
      <c r="W125" s="5">
        <v>0</v>
      </c>
      <c r="X125" s="5">
        <v>0</v>
      </c>
      <c r="Y125" s="5">
        <v>0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25">
      <c r="A126" s="2">
        <v>125</v>
      </c>
      <c r="B126" s="1" t="s">
        <v>279</v>
      </c>
      <c r="C126" s="1"/>
      <c r="D126" s="3">
        <v>45727</v>
      </c>
      <c r="E126" s="3">
        <v>45689</v>
      </c>
      <c r="F126" s="3">
        <v>45930</v>
      </c>
      <c r="G126" s="1" t="s">
        <v>27</v>
      </c>
      <c r="H126" s="1" t="s">
        <v>280</v>
      </c>
      <c r="I126" s="1" t="s">
        <v>29</v>
      </c>
      <c r="J126" s="1" t="s">
        <v>30</v>
      </c>
      <c r="K126" s="1" t="s">
        <v>31</v>
      </c>
      <c r="L126" s="4">
        <v>100</v>
      </c>
      <c r="M126" s="1" t="s">
        <v>32</v>
      </c>
      <c r="N126" s="1"/>
      <c r="O126" s="4">
        <v>3828</v>
      </c>
      <c r="P126" s="4">
        <v>38</v>
      </c>
      <c r="Q126" s="4">
        <v>574</v>
      </c>
      <c r="R126" s="4">
        <v>0</v>
      </c>
      <c r="S126" s="4">
        <v>0</v>
      </c>
      <c r="T126" s="4">
        <v>4440</v>
      </c>
      <c r="U126" s="4">
        <v>0</v>
      </c>
      <c r="V126" s="1"/>
      <c r="W126" s="5">
        <v>0</v>
      </c>
      <c r="X126" s="5">
        <v>0</v>
      </c>
      <c r="Y126" s="5"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25">
      <c r="A127" s="2">
        <v>126</v>
      </c>
      <c r="B127" s="1" t="s">
        <v>281</v>
      </c>
      <c r="C127" s="1"/>
      <c r="D127" s="3">
        <v>45727</v>
      </c>
      <c r="E127" s="3">
        <v>45689</v>
      </c>
      <c r="F127" s="3">
        <v>45930</v>
      </c>
      <c r="G127" s="1" t="s">
        <v>27</v>
      </c>
      <c r="H127" s="1" t="s">
        <v>282</v>
      </c>
      <c r="I127" s="1" t="s">
        <v>29</v>
      </c>
      <c r="J127" s="1" t="s">
        <v>30</v>
      </c>
      <c r="K127" s="1" t="s">
        <v>31</v>
      </c>
      <c r="L127" s="4">
        <v>100</v>
      </c>
      <c r="M127" s="1" t="s">
        <v>32</v>
      </c>
      <c r="N127" s="1"/>
      <c r="O127" s="4">
        <v>6310</v>
      </c>
      <c r="P127" s="4">
        <v>63</v>
      </c>
      <c r="Q127" s="4">
        <v>947</v>
      </c>
      <c r="R127" s="4">
        <v>0</v>
      </c>
      <c r="S127" s="4">
        <v>0</v>
      </c>
      <c r="T127" s="4">
        <v>7320</v>
      </c>
      <c r="U127" s="4">
        <v>0</v>
      </c>
      <c r="V127" s="1"/>
      <c r="W127" s="5">
        <v>0</v>
      </c>
      <c r="X127" s="5">
        <v>0</v>
      </c>
      <c r="Y127" s="5"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25">
      <c r="A128" s="2">
        <v>127</v>
      </c>
      <c r="B128" s="1" t="s">
        <v>283</v>
      </c>
      <c r="C128" s="1"/>
      <c r="D128" s="3">
        <v>45727</v>
      </c>
      <c r="E128" s="3">
        <v>45689</v>
      </c>
      <c r="F128" s="3">
        <v>45930</v>
      </c>
      <c r="G128" s="1" t="s">
        <v>27</v>
      </c>
      <c r="H128" s="1" t="s">
        <v>284</v>
      </c>
      <c r="I128" s="1" t="s">
        <v>29</v>
      </c>
      <c r="J128" s="1" t="s">
        <v>30</v>
      </c>
      <c r="K128" s="1" t="s">
        <v>31</v>
      </c>
      <c r="L128" s="4">
        <v>100</v>
      </c>
      <c r="M128" s="1" t="s">
        <v>32</v>
      </c>
      <c r="N128" s="1"/>
      <c r="O128" s="4">
        <v>8379</v>
      </c>
      <c r="P128" s="4">
        <v>84</v>
      </c>
      <c r="Q128" s="4">
        <v>1257</v>
      </c>
      <c r="R128" s="4">
        <v>0</v>
      </c>
      <c r="S128" s="4">
        <v>0</v>
      </c>
      <c r="T128" s="4">
        <v>9720</v>
      </c>
      <c r="U128" s="4">
        <v>0</v>
      </c>
      <c r="V128" s="1"/>
      <c r="W128" s="5">
        <v>0</v>
      </c>
      <c r="X128" s="5">
        <v>0</v>
      </c>
      <c r="Y128" s="5"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25">
      <c r="A129" s="2">
        <v>128</v>
      </c>
      <c r="B129" s="1" t="s">
        <v>285</v>
      </c>
      <c r="C129" s="1"/>
      <c r="D129" s="3">
        <v>45727</v>
      </c>
      <c r="E129" s="3">
        <v>45689</v>
      </c>
      <c r="F129" s="3">
        <v>45930</v>
      </c>
      <c r="G129" s="1" t="s">
        <v>27</v>
      </c>
      <c r="H129" s="1" t="s">
        <v>286</v>
      </c>
      <c r="I129" s="1" t="s">
        <v>29</v>
      </c>
      <c r="J129" s="1" t="s">
        <v>30</v>
      </c>
      <c r="K129" s="1" t="s">
        <v>31</v>
      </c>
      <c r="L129" s="4">
        <v>100</v>
      </c>
      <c r="M129" s="1" t="s">
        <v>32</v>
      </c>
      <c r="N129" s="1"/>
      <c r="O129" s="4">
        <v>7138</v>
      </c>
      <c r="P129" s="4">
        <v>71</v>
      </c>
      <c r="Q129" s="4">
        <v>1071</v>
      </c>
      <c r="R129" s="4">
        <v>0</v>
      </c>
      <c r="S129" s="4">
        <v>0</v>
      </c>
      <c r="T129" s="4">
        <v>8280</v>
      </c>
      <c r="U129" s="4">
        <v>0</v>
      </c>
      <c r="V129" s="1"/>
      <c r="W129" s="5">
        <v>0</v>
      </c>
      <c r="X129" s="5">
        <v>0</v>
      </c>
      <c r="Y129" s="5">
        <v>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5">
      <c r="A130" s="2">
        <v>129</v>
      </c>
      <c r="B130" s="1" t="s">
        <v>287</v>
      </c>
      <c r="C130" s="1"/>
      <c r="D130" s="3">
        <v>45727</v>
      </c>
      <c r="E130" s="3">
        <v>45689</v>
      </c>
      <c r="F130" s="3">
        <v>45930</v>
      </c>
      <c r="G130" s="1" t="s">
        <v>27</v>
      </c>
      <c r="H130" s="1" t="s">
        <v>288</v>
      </c>
      <c r="I130" s="1" t="s">
        <v>29</v>
      </c>
      <c r="J130" s="1" t="s">
        <v>30</v>
      </c>
      <c r="K130" s="1" t="s">
        <v>31</v>
      </c>
      <c r="L130" s="4">
        <v>100</v>
      </c>
      <c r="M130" s="1" t="s">
        <v>32</v>
      </c>
      <c r="N130" s="1"/>
      <c r="O130" s="4">
        <v>6828</v>
      </c>
      <c r="P130" s="4">
        <v>68</v>
      </c>
      <c r="Q130" s="4">
        <v>1024</v>
      </c>
      <c r="R130" s="4">
        <v>0</v>
      </c>
      <c r="S130" s="4">
        <v>0</v>
      </c>
      <c r="T130" s="4">
        <v>7920</v>
      </c>
      <c r="U130" s="4">
        <v>0</v>
      </c>
      <c r="V130" s="1"/>
      <c r="W130" s="5">
        <v>0</v>
      </c>
      <c r="X130" s="5">
        <v>0</v>
      </c>
      <c r="Y130" s="5">
        <v>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5">
      <c r="A131" s="2">
        <v>130</v>
      </c>
      <c r="B131" s="1" t="s">
        <v>289</v>
      </c>
      <c r="C131" s="1"/>
      <c r="D131" s="3">
        <v>45727</v>
      </c>
      <c r="E131" s="3">
        <v>45689</v>
      </c>
      <c r="F131" s="3">
        <v>45930</v>
      </c>
      <c r="G131" s="1" t="s">
        <v>27</v>
      </c>
      <c r="H131" s="1" t="s">
        <v>290</v>
      </c>
      <c r="I131" s="1" t="s">
        <v>29</v>
      </c>
      <c r="J131" s="1" t="s">
        <v>30</v>
      </c>
      <c r="K131" s="1" t="s">
        <v>31</v>
      </c>
      <c r="L131" s="4">
        <v>100</v>
      </c>
      <c r="M131" s="1" t="s">
        <v>32</v>
      </c>
      <c r="N131" s="1"/>
      <c r="O131" s="4">
        <v>8069</v>
      </c>
      <c r="P131" s="4">
        <v>81</v>
      </c>
      <c r="Q131" s="4">
        <v>1210</v>
      </c>
      <c r="R131" s="4">
        <v>0</v>
      </c>
      <c r="S131" s="4">
        <v>0</v>
      </c>
      <c r="T131" s="4">
        <v>9360</v>
      </c>
      <c r="U131" s="4">
        <v>0</v>
      </c>
      <c r="V131" s="1"/>
      <c r="W131" s="5">
        <v>0</v>
      </c>
      <c r="X131" s="5">
        <v>0</v>
      </c>
      <c r="Y131" s="5">
        <v>0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25">
      <c r="A132" s="2">
        <v>131</v>
      </c>
      <c r="B132" s="1" t="s">
        <v>291</v>
      </c>
      <c r="C132" s="1"/>
      <c r="D132" s="3">
        <v>45727</v>
      </c>
      <c r="E132" s="3">
        <v>45689</v>
      </c>
      <c r="F132" s="3">
        <v>45930</v>
      </c>
      <c r="G132" s="1" t="s">
        <v>27</v>
      </c>
      <c r="H132" s="1" t="s">
        <v>292</v>
      </c>
      <c r="I132" s="1" t="s">
        <v>29</v>
      </c>
      <c r="J132" s="1" t="s">
        <v>30</v>
      </c>
      <c r="K132" s="1" t="s">
        <v>31</v>
      </c>
      <c r="L132" s="4">
        <v>100</v>
      </c>
      <c r="M132" s="1" t="s">
        <v>32</v>
      </c>
      <c r="N132" s="1"/>
      <c r="O132" s="4">
        <v>6207</v>
      </c>
      <c r="P132" s="4">
        <v>62</v>
      </c>
      <c r="Q132" s="4">
        <v>931</v>
      </c>
      <c r="R132" s="4">
        <v>0</v>
      </c>
      <c r="S132" s="4">
        <v>0</v>
      </c>
      <c r="T132" s="4">
        <v>7200</v>
      </c>
      <c r="U132" s="4">
        <v>0</v>
      </c>
      <c r="V132" s="1"/>
      <c r="W132" s="5">
        <v>0</v>
      </c>
      <c r="X132" s="5">
        <v>0</v>
      </c>
      <c r="Y132" s="5">
        <v>0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 s="2">
        <v>132</v>
      </c>
      <c r="B133" s="1" t="s">
        <v>293</v>
      </c>
      <c r="C133" s="1"/>
      <c r="D133" s="3">
        <v>45727</v>
      </c>
      <c r="E133" s="3">
        <v>45689</v>
      </c>
      <c r="F133" s="3">
        <v>45930</v>
      </c>
      <c r="G133" s="1" t="s">
        <v>27</v>
      </c>
      <c r="H133" s="1" t="s">
        <v>294</v>
      </c>
      <c r="I133" s="1" t="s">
        <v>29</v>
      </c>
      <c r="J133" s="1" t="s">
        <v>30</v>
      </c>
      <c r="K133" s="1" t="s">
        <v>31</v>
      </c>
      <c r="L133" s="4">
        <v>100</v>
      </c>
      <c r="M133" s="1" t="s">
        <v>32</v>
      </c>
      <c r="N133" s="1"/>
      <c r="O133" s="4">
        <v>7448</v>
      </c>
      <c r="P133" s="4">
        <v>74</v>
      </c>
      <c r="Q133" s="4">
        <v>1117</v>
      </c>
      <c r="R133" s="4">
        <v>0</v>
      </c>
      <c r="S133" s="4">
        <v>0</v>
      </c>
      <c r="T133" s="4">
        <v>8639</v>
      </c>
      <c r="U133" s="4">
        <v>0</v>
      </c>
      <c r="V133" s="1"/>
      <c r="W133" s="5">
        <v>0</v>
      </c>
      <c r="X133" s="5">
        <v>0</v>
      </c>
      <c r="Y133" s="5">
        <v>0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 s="2">
        <v>133</v>
      </c>
      <c r="B134" s="1" t="s">
        <v>295</v>
      </c>
      <c r="C134" s="1"/>
      <c r="D134" s="3">
        <v>45727</v>
      </c>
      <c r="E134" s="3">
        <v>45689</v>
      </c>
      <c r="F134" s="3">
        <v>45930</v>
      </c>
      <c r="G134" s="1" t="s">
        <v>27</v>
      </c>
      <c r="H134" s="1" t="s">
        <v>296</v>
      </c>
      <c r="I134" s="1" t="s">
        <v>29</v>
      </c>
      <c r="J134" s="1" t="s">
        <v>30</v>
      </c>
      <c r="K134" s="1" t="s">
        <v>31</v>
      </c>
      <c r="L134" s="4">
        <v>100</v>
      </c>
      <c r="M134" s="1" t="s">
        <v>32</v>
      </c>
      <c r="N134" s="1"/>
      <c r="O134" s="4">
        <v>10655</v>
      </c>
      <c r="P134" s="4">
        <v>107</v>
      </c>
      <c r="Q134" s="4">
        <v>1598</v>
      </c>
      <c r="R134" s="4">
        <v>0</v>
      </c>
      <c r="S134" s="4">
        <v>0</v>
      </c>
      <c r="T134" s="4">
        <v>12360</v>
      </c>
      <c r="U134" s="4">
        <v>0</v>
      </c>
      <c r="V134" s="1"/>
      <c r="W134" s="5">
        <v>0</v>
      </c>
      <c r="X134" s="5">
        <v>0</v>
      </c>
      <c r="Y134" s="5">
        <v>0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 s="2">
        <v>134</v>
      </c>
      <c r="B135" s="1" t="s">
        <v>297</v>
      </c>
      <c r="C135" s="1"/>
      <c r="D135" s="3">
        <v>45727</v>
      </c>
      <c r="E135" s="3">
        <v>45689</v>
      </c>
      <c r="F135" s="3">
        <v>45930</v>
      </c>
      <c r="G135" s="1" t="s">
        <v>27</v>
      </c>
      <c r="H135" s="1" t="s">
        <v>298</v>
      </c>
      <c r="I135" s="1" t="s">
        <v>29</v>
      </c>
      <c r="J135" s="1" t="s">
        <v>30</v>
      </c>
      <c r="K135" s="1" t="s">
        <v>31</v>
      </c>
      <c r="L135" s="4">
        <v>100</v>
      </c>
      <c r="M135" s="1" t="s">
        <v>32</v>
      </c>
      <c r="N135" s="1"/>
      <c r="O135" s="4">
        <v>11172</v>
      </c>
      <c r="P135" s="4">
        <v>112</v>
      </c>
      <c r="Q135" s="4">
        <v>1676</v>
      </c>
      <c r="R135" s="4">
        <v>0</v>
      </c>
      <c r="S135" s="4">
        <v>0</v>
      </c>
      <c r="T135" s="4">
        <v>12960</v>
      </c>
      <c r="U135" s="4">
        <v>0</v>
      </c>
      <c r="V135" s="1"/>
      <c r="W135" s="5">
        <v>0</v>
      </c>
      <c r="X135" s="5">
        <v>0</v>
      </c>
      <c r="Y135" s="5">
        <v>0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 s="2">
        <v>135</v>
      </c>
      <c r="B136" s="1" t="s">
        <v>299</v>
      </c>
      <c r="C136" s="1"/>
      <c r="D136" s="3">
        <v>45727</v>
      </c>
      <c r="E136" s="3">
        <v>45689</v>
      </c>
      <c r="F136" s="3">
        <v>45930</v>
      </c>
      <c r="G136" s="1" t="s">
        <v>27</v>
      </c>
      <c r="H136" s="1" t="s">
        <v>300</v>
      </c>
      <c r="I136" s="1" t="s">
        <v>29</v>
      </c>
      <c r="J136" s="1" t="s">
        <v>30</v>
      </c>
      <c r="K136" s="1" t="s">
        <v>31</v>
      </c>
      <c r="L136" s="4">
        <v>100</v>
      </c>
      <c r="M136" s="1" t="s">
        <v>32</v>
      </c>
      <c r="N136" s="1"/>
      <c r="O136" s="4">
        <v>10552</v>
      </c>
      <c r="P136" s="4">
        <v>106</v>
      </c>
      <c r="Q136" s="4">
        <v>1583</v>
      </c>
      <c r="R136" s="4">
        <v>0</v>
      </c>
      <c r="S136" s="4">
        <v>0</v>
      </c>
      <c r="T136" s="4">
        <v>12241</v>
      </c>
      <c r="U136" s="4">
        <v>0</v>
      </c>
      <c r="V136" s="1"/>
      <c r="W136" s="5">
        <v>0</v>
      </c>
      <c r="X136" s="5">
        <v>0</v>
      </c>
      <c r="Y136" s="5">
        <v>0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5">
      <c r="A137" s="2">
        <v>136</v>
      </c>
      <c r="B137" s="1" t="s">
        <v>301</v>
      </c>
      <c r="C137" s="1"/>
      <c r="D137" s="3">
        <v>45727</v>
      </c>
      <c r="E137" s="3">
        <v>45689</v>
      </c>
      <c r="F137" s="3">
        <v>45930</v>
      </c>
      <c r="G137" s="1" t="s">
        <v>27</v>
      </c>
      <c r="H137" s="1" t="s">
        <v>302</v>
      </c>
      <c r="I137" s="1" t="s">
        <v>29</v>
      </c>
      <c r="J137" s="1" t="s">
        <v>30</v>
      </c>
      <c r="K137" s="1" t="s">
        <v>31</v>
      </c>
      <c r="L137" s="4">
        <v>100</v>
      </c>
      <c r="M137" s="1" t="s">
        <v>32</v>
      </c>
      <c r="N137" s="1"/>
      <c r="O137" s="4">
        <v>7862</v>
      </c>
      <c r="P137" s="4">
        <v>79</v>
      </c>
      <c r="Q137" s="4">
        <v>1179</v>
      </c>
      <c r="R137" s="4">
        <v>0</v>
      </c>
      <c r="S137" s="4">
        <v>0</v>
      </c>
      <c r="T137" s="4">
        <v>9120</v>
      </c>
      <c r="U137" s="4">
        <v>0</v>
      </c>
      <c r="V137" s="1"/>
      <c r="W137" s="5">
        <v>0</v>
      </c>
      <c r="X137" s="5">
        <v>0</v>
      </c>
      <c r="Y137" s="5">
        <v>0</v>
      </c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5">
      <c r="A138" s="2">
        <v>137</v>
      </c>
      <c r="B138" s="1" t="s">
        <v>303</v>
      </c>
      <c r="C138" s="1"/>
      <c r="D138" s="3">
        <v>45727</v>
      </c>
      <c r="E138" s="3">
        <v>45689</v>
      </c>
      <c r="F138" s="3">
        <v>45930</v>
      </c>
      <c r="G138" s="1" t="s">
        <v>27</v>
      </c>
      <c r="H138" s="1" t="s">
        <v>304</v>
      </c>
      <c r="I138" s="1" t="s">
        <v>29</v>
      </c>
      <c r="J138" s="1" t="s">
        <v>30</v>
      </c>
      <c r="K138" s="1" t="s">
        <v>31</v>
      </c>
      <c r="L138" s="4">
        <v>100</v>
      </c>
      <c r="M138" s="1" t="s">
        <v>32</v>
      </c>
      <c r="N138" s="1"/>
      <c r="O138" s="4">
        <v>10241</v>
      </c>
      <c r="P138" s="4">
        <v>102</v>
      </c>
      <c r="Q138" s="4">
        <v>1536</v>
      </c>
      <c r="R138" s="4">
        <v>0</v>
      </c>
      <c r="S138" s="4">
        <v>0</v>
      </c>
      <c r="T138" s="4">
        <v>11879</v>
      </c>
      <c r="U138" s="4">
        <v>0</v>
      </c>
      <c r="V138" s="1"/>
      <c r="W138" s="5">
        <v>0</v>
      </c>
      <c r="X138" s="5">
        <v>0</v>
      </c>
      <c r="Y138" s="5">
        <v>0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2">
        <v>138</v>
      </c>
      <c r="B139" s="1" t="s">
        <v>305</v>
      </c>
      <c r="C139" s="1"/>
      <c r="D139" s="3">
        <v>45727</v>
      </c>
      <c r="E139" s="3">
        <v>45689</v>
      </c>
      <c r="F139" s="3">
        <v>45930</v>
      </c>
      <c r="G139" s="1" t="s">
        <v>27</v>
      </c>
      <c r="H139" s="1" t="s">
        <v>306</v>
      </c>
      <c r="I139" s="1" t="s">
        <v>29</v>
      </c>
      <c r="J139" s="1" t="s">
        <v>30</v>
      </c>
      <c r="K139" s="1" t="s">
        <v>31</v>
      </c>
      <c r="L139" s="4">
        <v>100</v>
      </c>
      <c r="M139" s="1" t="s">
        <v>32</v>
      </c>
      <c r="N139" s="1"/>
      <c r="O139" s="4">
        <v>7862</v>
      </c>
      <c r="P139" s="4">
        <v>79</v>
      </c>
      <c r="Q139" s="4">
        <v>1179</v>
      </c>
      <c r="R139" s="4">
        <v>0</v>
      </c>
      <c r="S139" s="4">
        <v>0</v>
      </c>
      <c r="T139" s="4">
        <v>9120</v>
      </c>
      <c r="U139" s="4">
        <v>0</v>
      </c>
      <c r="V139" s="1"/>
      <c r="W139" s="5">
        <v>0</v>
      </c>
      <c r="X139" s="5">
        <v>0</v>
      </c>
      <c r="Y139" s="5">
        <v>0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2">
        <v>139</v>
      </c>
      <c r="B140" s="1" t="s">
        <v>307</v>
      </c>
      <c r="C140" s="1"/>
      <c r="D140" s="3">
        <v>45727</v>
      </c>
      <c r="E140" s="3">
        <v>45689</v>
      </c>
      <c r="F140" s="3">
        <v>45930</v>
      </c>
      <c r="G140" s="1" t="s">
        <v>27</v>
      </c>
      <c r="H140" s="1" t="s">
        <v>308</v>
      </c>
      <c r="I140" s="1" t="s">
        <v>29</v>
      </c>
      <c r="J140" s="1" t="s">
        <v>30</v>
      </c>
      <c r="K140" s="1" t="s">
        <v>31</v>
      </c>
      <c r="L140" s="4">
        <v>100</v>
      </c>
      <c r="M140" s="1" t="s">
        <v>32</v>
      </c>
      <c r="N140" s="1"/>
      <c r="O140" s="4">
        <v>8069</v>
      </c>
      <c r="P140" s="4">
        <v>81</v>
      </c>
      <c r="Q140" s="4">
        <v>1210</v>
      </c>
      <c r="R140" s="4">
        <v>0</v>
      </c>
      <c r="S140" s="4">
        <v>0</v>
      </c>
      <c r="T140" s="4">
        <v>9360</v>
      </c>
      <c r="U140" s="4">
        <v>0</v>
      </c>
      <c r="V140" s="1"/>
      <c r="W140" s="5">
        <v>0</v>
      </c>
      <c r="X140" s="5">
        <v>0</v>
      </c>
      <c r="Y140" s="5">
        <v>0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5">
      <c r="A141" s="2">
        <v>140</v>
      </c>
      <c r="B141" s="1" t="s">
        <v>309</v>
      </c>
      <c r="C141" s="1"/>
      <c r="D141" s="3">
        <v>45727</v>
      </c>
      <c r="E141" s="3">
        <v>45689</v>
      </c>
      <c r="F141" s="3">
        <v>45930</v>
      </c>
      <c r="G141" s="1" t="s">
        <v>27</v>
      </c>
      <c r="H141" s="1" t="s">
        <v>310</v>
      </c>
      <c r="I141" s="1" t="s">
        <v>29</v>
      </c>
      <c r="J141" s="1" t="s">
        <v>30</v>
      </c>
      <c r="K141" s="1" t="s">
        <v>31</v>
      </c>
      <c r="L141" s="4">
        <v>100</v>
      </c>
      <c r="M141" s="1" t="s">
        <v>32</v>
      </c>
      <c r="N141" s="1"/>
      <c r="O141" s="4">
        <v>7552</v>
      </c>
      <c r="P141" s="4">
        <v>76</v>
      </c>
      <c r="Q141" s="4">
        <v>1133</v>
      </c>
      <c r="R141" s="4">
        <v>0</v>
      </c>
      <c r="S141" s="4">
        <v>0</v>
      </c>
      <c r="T141" s="4">
        <v>8761</v>
      </c>
      <c r="U141" s="4">
        <v>0</v>
      </c>
      <c r="V141" s="1"/>
      <c r="W141" s="5">
        <v>0</v>
      </c>
      <c r="X141" s="5">
        <v>0</v>
      </c>
      <c r="Y141" s="5">
        <v>0</v>
      </c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 s="2">
        <v>141</v>
      </c>
      <c r="B142" s="1" t="s">
        <v>311</v>
      </c>
      <c r="C142" s="1"/>
      <c r="D142" s="3">
        <v>45727</v>
      </c>
      <c r="E142" s="3">
        <v>45689</v>
      </c>
      <c r="F142" s="3">
        <v>45930</v>
      </c>
      <c r="G142" s="1" t="s">
        <v>27</v>
      </c>
      <c r="H142" s="1" t="s">
        <v>312</v>
      </c>
      <c r="I142" s="1" t="s">
        <v>29</v>
      </c>
      <c r="J142" s="1" t="s">
        <v>30</v>
      </c>
      <c r="K142" s="1" t="s">
        <v>31</v>
      </c>
      <c r="L142" s="4">
        <v>100</v>
      </c>
      <c r="M142" s="1" t="s">
        <v>32</v>
      </c>
      <c r="N142" s="1"/>
      <c r="O142" s="4">
        <v>7862</v>
      </c>
      <c r="P142" s="4">
        <v>79</v>
      </c>
      <c r="Q142" s="4">
        <v>1179</v>
      </c>
      <c r="R142" s="4">
        <v>0</v>
      </c>
      <c r="S142" s="4">
        <v>0</v>
      </c>
      <c r="T142" s="4">
        <v>9120</v>
      </c>
      <c r="U142" s="4">
        <v>0</v>
      </c>
      <c r="V142" s="1"/>
      <c r="W142" s="5">
        <v>0</v>
      </c>
      <c r="X142" s="5">
        <v>0</v>
      </c>
      <c r="Y142" s="5">
        <v>0</v>
      </c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5">
      <c r="A143" s="2">
        <v>142</v>
      </c>
      <c r="B143" s="1" t="s">
        <v>313</v>
      </c>
      <c r="C143" s="1"/>
      <c r="D143" s="3">
        <v>45727</v>
      </c>
      <c r="E143" s="3">
        <v>45689</v>
      </c>
      <c r="F143" s="3">
        <v>45930</v>
      </c>
      <c r="G143" s="1" t="s">
        <v>27</v>
      </c>
      <c r="H143" s="1" t="s">
        <v>314</v>
      </c>
      <c r="I143" s="1" t="s">
        <v>29</v>
      </c>
      <c r="J143" s="1" t="s">
        <v>30</v>
      </c>
      <c r="K143" s="1" t="s">
        <v>31</v>
      </c>
      <c r="L143" s="4">
        <v>100</v>
      </c>
      <c r="M143" s="1" t="s">
        <v>32</v>
      </c>
      <c r="N143" s="1"/>
      <c r="O143" s="4">
        <v>8690</v>
      </c>
      <c r="P143" s="4">
        <v>87</v>
      </c>
      <c r="Q143" s="4">
        <v>1304</v>
      </c>
      <c r="R143" s="4">
        <v>0</v>
      </c>
      <c r="S143" s="4">
        <v>0</v>
      </c>
      <c r="T143" s="4">
        <v>10081</v>
      </c>
      <c r="U143" s="4">
        <v>0</v>
      </c>
      <c r="V143" s="1"/>
      <c r="W143" s="5">
        <v>0</v>
      </c>
      <c r="X143" s="5">
        <v>0</v>
      </c>
      <c r="Y143" s="5">
        <v>0</v>
      </c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5">
      <c r="A144" s="2">
        <v>143</v>
      </c>
      <c r="B144" s="1" t="s">
        <v>315</v>
      </c>
      <c r="C144" s="1"/>
      <c r="D144" s="3">
        <v>45727</v>
      </c>
      <c r="E144" s="3">
        <v>45689</v>
      </c>
      <c r="F144" s="3">
        <v>45930</v>
      </c>
      <c r="G144" s="1" t="s">
        <v>27</v>
      </c>
      <c r="H144" s="1" t="s">
        <v>316</v>
      </c>
      <c r="I144" s="1" t="s">
        <v>29</v>
      </c>
      <c r="J144" s="1" t="s">
        <v>30</v>
      </c>
      <c r="K144" s="1" t="s">
        <v>31</v>
      </c>
      <c r="L144" s="4">
        <v>100</v>
      </c>
      <c r="M144" s="1" t="s">
        <v>32</v>
      </c>
      <c r="N144" s="1"/>
      <c r="O144" s="4">
        <v>6207</v>
      </c>
      <c r="P144" s="4">
        <v>62</v>
      </c>
      <c r="Q144" s="4">
        <v>931</v>
      </c>
      <c r="R144" s="4">
        <v>0</v>
      </c>
      <c r="S144" s="4">
        <v>0</v>
      </c>
      <c r="T144" s="4">
        <v>7200</v>
      </c>
      <c r="U144" s="4">
        <v>0</v>
      </c>
      <c r="V144" s="1"/>
      <c r="W144" s="5">
        <v>0</v>
      </c>
      <c r="X144" s="5">
        <v>0</v>
      </c>
      <c r="Y144" s="5">
        <v>0</v>
      </c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2">
        <v>144</v>
      </c>
      <c r="B145" s="1" t="s">
        <v>317</v>
      </c>
      <c r="C145" s="1"/>
      <c r="D145" s="3">
        <v>45727</v>
      </c>
      <c r="E145" s="3">
        <v>45689</v>
      </c>
      <c r="F145" s="3">
        <v>45930</v>
      </c>
      <c r="G145" s="1" t="s">
        <v>27</v>
      </c>
      <c r="H145" s="1" t="s">
        <v>318</v>
      </c>
      <c r="I145" s="1" t="s">
        <v>29</v>
      </c>
      <c r="J145" s="1" t="s">
        <v>30</v>
      </c>
      <c r="K145" s="1" t="s">
        <v>31</v>
      </c>
      <c r="L145" s="4">
        <v>100</v>
      </c>
      <c r="M145" s="1" t="s">
        <v>32</v>
      </c>
      <c r="N145" s="1"/>
      <c r="O145" s="4">
        <v>7552</v>
      </c>
      <c r="P145" s="4">
        <v>76</v>
      </c>
      <c r="Q145" s="4">
        <v>1133</v>
      </c>
      <c r="R145" s="4">
        <v>0</v>
      </c>
      <c r="S145" s="4">
        <v>0</v>
      </c>
      <c r="T145" s="4">
        <v>8761</v>
      </c>
      <c r="U145" s="4">
        <v>0</v>
      </c>
      <c r="V145" s="1"/>
      <c r="W145" s="5">
        <v>0</v>
      </c>
      <c r="X145" s="5">
        <v>0</v>
      </c>
      <c r="Y145" s="5">
        <v>0</v>
      </c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2">
        <v>145</v>
      </c>
      <c r="B146" s="1" t="s">
        <v>319</v>
      </c>
      <c r="C146" s="1"/>
      <c r="D146" s="3">
        <v>45727</v>
      </c>
      <c r="E146" s="3">
        <v>45689</v>
      </c>
      <c r="F146" s="3">
        <v>45930</v>
      </c>
      <c r="G146" s="1" t="s">
        <v>27</v>
      </c>
      <c r="H146" s="1" t="s">
        <v>320</v>
      </c>
      <c r="I146" s="1" t="s">
        <v>29</v>
      </c>
      <c r="J146" s="1" t="s">
        <v>30</v>
      </c>
      <c r="K146" s="1" t="s">
        <v>31</v>
      </c>
      <c r="L146" s="4">
        <v>100</v>
      </c>
      <c r="M146" s="1" t="s">
        <v>32</v>
      </c>
      <c r="N146" s="1"/>
      <c r="O146" s="4">
        <v>9517</v>
      </c>
      <c r="P146" s="4">
        <v>95</v>
      </c>
      <c r="Q146" s="4">
        <v>1428</v>
      </c>
      <c r="R146" s="4">
        <v>0</v>
      </c>
      <c r="S146" s="4">
        <v>0</v>
      </c>
      <c r="T146" s="4">
        <v>11040</v>
      </c>
      <c r="U146" s="4">
        <v>0</v>
      </c>
      <c r="V146" s="1"/>
      <c r="W146" s="5">
        <v>0</v>
      </c>
      <c r="X146" s="5">
        <v>0</v>
      </c>
      <c r="Y146" s="5">
        <v>0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2">
        <v>146</v>
      </c>
      <c r="B147" s="1" t="s">
        <v>321</v>
      </c>
      <c r="C147" s="1"/>
      <c r="D147" s="3">
        <v>45727</v>
      </c>
      <c r="E147" s="3">
        <v>45689</v>
      </c>
      <c r="F147" s="3">
        <v>45930</v>
      </c>
      <c r="G147" s="1" t="s">
        <v>27</v>
      </c>
      <c r="H147" s="1" t="s">
        <v>322</v>
      </c>
      <c r="I147" s="1" t="s">
        <v>29</v>
      </c>
      <c r="J147" s="1" t="s">
        <v>30</v>
      </c>
      <c r="K147" s="1" t="s">
        <v>31</v>
      </c>
      <c r="L147" s="4">
        <v>100</v>
      </c>
      <c r="M147" s="1" t="s">
        <v>32</v>
      </c>
      <c r="N147" s="1"/>
      <c r="O147" s="4">
        <v>5276</v>
      </c>
      <c r="P147" s="4">
        <v>53</v>
      </c>
      <c r="Q147" s="4">
        <v>791</v>
      </c>
      <c r="R147" s="4">
        <v>0</v>
      </c>
      <c r="S147" s="4">
        <v>0</v>
      </c>
      <c r="T147" s="4">
        <v>6120</v>
      </c>
      <c r="U147" s="4">
        <v>0</v>
      </c>
      <c r="V147" s="1"/>
      <c r="W147" s="5">
        <v>0</v>
      </c>
      <c r="X147" s="5">
        <v>0</v>
      </c>
      <c r="Y147" s="5">
        <v>0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2">
        <v>147</v>
      </c>
      <c r="B148" s="1" t="s">
        <v>323</v>
      </c>
      <c r="C148" s="1"/>
      <c r="D148" s="3">
        <v>45727</v>
      </c>
      <c r="E148" s="3">
        <v>45689</v>
      </c>
      <c r="F148" s="3">
        <v>45930</v>
      </c>
      <c r="G148" s="1" t="s">
        <v>27</v>
      </c>
      <c r="H148" s="1" t="s">
        <v>324</v>
      </c>
      <c r="I148" s="1" t="s">
        <v>29</v>
      </c>
      <c r="J148" s="1" t="s">
        <v>30</v>
      </c>
      <c r="K148" s="1" t="s">
        <v>31</v>
      </c>
      <c r="L148" s="4">
        <v>100</v>
      </c>
      <c r="M148" s="1" t="s">
        <v>32</v>
      </c>
      <c r="N148" s="1"/>
      <c r="O148" s="4">
        <v>11069</v>
      </c>
      <c r="P148" s="4">
        <v>111</v>
      </c>
      <c r="Q148" s="4">
        <v>1660</v>
      </c>
      <c r="R148" s="4">
        <v>0</v>
      </c>
      <c r="S148" s="4">
        <v>0</v>
      </c>
      <c r="T148" s="4">
        <v>12840</v>
      </c>
      <c r="U148" s="4">
        <v>0</v>
      </c>
      <c r="V148" s="1"/>
      <c r="W148" s="5">
        <v>0</v>
      </c>
      <c r="X148" s="5">
        <v>0</v>
      </c>
      <c r="Y148" s="5">
        <v>0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2">
        <v>148</v>
      </c>
      <c r="B149" s="1" t="s">
        <v>325</v>
      </c>
      <c r="C149" s="1"/>
      <c r="D149" s="3">
        <v>45727</v>
      </c>
      <c r="E149" s="3">
        <v>45689</v>
      </c>
      <c r="F149" s="3">
        <v>45930</v>
      </c>
      <c r="G149" s="1" t="s">
        <v>27</v>
      </c>
      <c r="H149" s="1" t="s">
        <v>326</v>
      </c>
      <c r="I149" s="1" t="s">
        <v>29</v>
      </c>
      <c r="J149" s="1" t="s">
        <v>30</v>
      </c>
      <c r="K149" s="1" t="s">
        <v>31</v>
      </c>
      <c r="L149" s="4">
        <v>100</v>
      </c>
      <c r="M149" s="1" t="s">
        <v>32</v>
      </c>
      <c r="N149" s="1"/>
      <c r="O149" s="4">
        <v>7448</v>
      </c>
      <c r="P149" s="4">
        <v>74</v>
      </c>
      <c r="Q149" s="4">
        <v>1117</v>
      </c>
      <c r="R149" s="4">
        <v>0</v>
      </c>
      <c r="S149" s="4">
        <v>0</v>
      </c>
      <c r="T149" s="4">
        <v>8639</v>
      </c>
      <c r="U149" s="4">
        <v>0</v>
      </c>
      <c r="V149" s="1"/>
      <c r="W149" s="5">
        <v>0</v>
      </c>
      <c r="X149" s="5">
        <v>0</v>
      </c>
      <c r="Y149" s="5">
        <v>0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2">
        <v>149</v>
      </c>
      <c r="B150" s="1" t="s">
        <v>327</v>
      </c>
      <c r="C150" s="1"/>
      <c r="D150" s="3">
        <v>45727</v>
      </c>
      <c r="E150" s="3">
        <v>45689</v>
      </c>
      <c r="F150" s="3">
        <v>45930</v>
      </c>
      <c r="G150" s="1" t="s">
        <v>27</v>
      </c>
      <c r="H150" s="1" t="s">
        <v>328</v>
      </c>
      <c r="I150" s="1" t="s">
        <v>29</v>
      </c>
      <c r="J150" s="1" t="s">
        <v>30</v>
      </c>
      <c r="K150" s="1" t="s">
        <v>31</v>
      </c>
      <c r="L150" s="4">
        <v>100</v>
      </c>
      <c r="M150" s="1" t="s">
        <v>32</v>
      </c>
      <c r="N150" s="1"/>
      <c r="O150" s="4">
        <v>5276</v>
      </c>
      <c r="P150" s="4">
        <v>53</v>
      </c>
      <c r="Q150" s="4">
        <v>791</v>
      </c>
      <c r="R150" s="4">
        <v>0</v>
      </c>
      <c r="S150" s="4">
        <v>0</v>
      </c>
      <c r="T150" s="4">
        <v>6120</v>
      </c>
      <c r="U150" s="4">
        <v>0</v>
      </c>
      <c r="V150" s="1"/>
      <c r="W150" s="5">
        <v>0</v>
      </c>
      <c r="X150" s="5">
        <v>0</v>
      </c>
      <c r="Y150" s="5">
        <v>0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2">
        <v>150</v>
      </c>
      <c r="B151" s="1" t="s">
        <v>329</v>
      </c>
      <c r="C151" s="1"/>
      <c r="D151" s="3">
        <v>45727</v>
      </c>
      <c r="E151" s="3">
        <v>45689</v>
      </c>
      <c r="F151" s="3">
        <v>45930</v>
      </c>
      <c r="G151" s="1" t="s">
        <v>27</v>
      </c>
      <c r="H151" s="1" t="s">
        <v>330</v>
      </c>
      <c r="I151" s="1" t="s">
        <v>29</v>
      </c>
      <c r="J151" s="1" t="s">
        <v>30</v>
      </c>
      <c r="K151" s="1" t="s">
        <v>31</v>
      </c>
      <c r="L151" s="4">
        <v>100</v>
      </c>
      <c r="M151" s="1" t="s">
        <v>32</v>
      </c>
      <c r="N151" s="1"/>
      <c r="O151" s="4">
        <v>5276</v>
      </c>
      <c r="P151" s="4">
        <v>53</v>
      </c>
      <c r="Q151" s="4">
        <v>791</v>
      </c>
      <c r="R151" s="4">
        <v>0</v>
      </c>
      <c r="S151" s="4">
        <v>0</v>
      </c>
      <c r="T151" s="4">
        <v>6120</v>
      </c>
      <c r="U151" s="4">
        <v>0</v>
      </c>
      <c r="V151" s="1"/>
      <c r="W151" s="5">
        <v>0</v>
      </c>
      <c r="X151" s="5">
        <v>0</v>
      </c>
      <c r="Y151" s="5">
        <v>0</v>
      </c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2">
        <v>151</v>
      </c>
      <c r="B152" s="1" t="s">
        <v>331</v>
      </c>
      <c r="C152" s="1"/>
      <c r="D152" s="3">
        <v>45727</v>
      </c>
      <c r="E152" s="3">
        <v>45689</v>
      </c>
      <c r="F152" s="3">
        <v>45930</v>
      </c>
      <c r="G152" s="1" t="s">
        <v>27</v>
      </c>
      <c r="H152" s="1" t="s">
        <v>332</v>
      </c>
      <c r="I152" s="1" t="s">
        <v>29</v>
      </c>
      <c r="J152" s="1" t="s">
        <v>30</v>
      </c>
      <c r="K152" s="1" t="s">
        <v>31</v>
      </c>
      <c r="L152" s="4">
        <v>100</v>
      </c>
      <c r="M152" s="1" t="s">
        <v>32</v>
      </c>
      <c r="N152" s="1"/>
      <c r="O152" s="4">
        <v>6207</v>
      </c>
      <c r="P152" s="4">
        <v>62</v>
      </c>
      <c r="Q152" s="4">
        <v>931</v>
      </c>
      <c r="R152" s="4">
        <v>0</v>
      </c>
      <c r="S152" s="4">
        <v>0</v>
      </c>
      <c r="T152" s="4">
        <v>7200</v>
      </c>
      <c r="U152" s="4">
        <v>0</v>
      </c>
      <c r="V152" s="1"/>
      <c r="W152" s="5">
        <v>0</v>
      </c>
      <c r="X152" s="5">
        <v>0</v>
      </c>
      <c r="Y152" s="5">
        <v>0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2">
        <v>152</v>
      </c>
      <c r="B153" s="1" t="s">
        <v>333</v>
      </c>
      <c r="C153" s="1"/>
      <c r="D153" s="3">
        <v>45727</v>
      </c>
      <c r="E153" s="3">
        <v>45689</v>
      </c>
      <c r="F153" s="3">
        <v>45930</v>
      </c>
      <c r="G153" s="1" t="s">
        <v>27</v>
      </c>
      <c r="H153" s="1" t="s">
        <v>334</v>
      </c>
      <c r="I153" s="1" t="s">
        <v>29</v>
      </c>
      <c r="J153" s="1" t="s">
        <v>30</v>
      </c>
      <c r="K153" s="1" t="s">
        <v>31</v>
      </c>
      <c r="L153" s="4">
        <v>100</v>
      </c>
      <c r="M153" s="1" t="s">
        <v>32</v>
      </c>
      <c r="N153" s="1"/>
      <c r="O153" s="4">
        <v>7655</v>
      </c>
      <c r="P153" s="4">
        <v>77</v>
      </c>
      <c r="Q153" s="4">
        <v>1148</v>
      </c>
      <c r="R153" s="4">
        <v>0</v>
      </c>
      <c r="S153" s="4">
        <v>0</v>
      </c>
      <c r="T153" s="4">
        <v>8880</v>
      </c>
      <c r="U153" s="4">
        <v>0</v>
      </c>
      <c r="V153" s="1"/>
      <c r="W153" s="5">
        <v>0</v>
      </c>
      <c r="X153" s="5">
        <v>0</v>
      </c>
      <c r="Y153" s="5">
        <v>0</v>
      </c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2">
        <v>153</v>
      </c>
      <c r="B154" s="1" t="s">
        <v>335</v>
      </c>
      <c r="C154" s="1"/>
      <c r="D154" s="3">
        <v>45727</v>
      </c>
      <c r="E154" s="3">
        <v>45689</v>
      </c>
      <c r="F154" s="3">
        <v>45930</v>
      </c>
      <c r="G154" s="1" t="s">
        <v>27</v>
      </c>
      <c r="H154" s="1" t="s">
        <v>336</v>
      </c>
      <c r="I154" s="1" t="s">
        <v>29</v>
      </c>
      <c r="J154" s="1" t="s">
        <v>30</v>
      </c>
      <c r="K154" s="1" t="s">
        <v>31</v>
      </c>
      <c r="L154" s="4">
        <v>100</v>
      </c>
      <c r="M154" s="1" t="s">
        <v>32</v>
      </c>
      <c r="N154" s="1"/>
      <c r="O154" s="4">
        <v>11690</v>
      </c>
      <c r="P154" s="4">
        <v>117</v>
      </c>
      <c r="Q154" s="4">
        <v>1754</v>
      </c>
      <c r="R154" s="4">
        <v>0</v>
      </c>
      <c r="S154" s="4">
        <v>0</v>
      </c>
      <c r="T154" s="4">
        <v>13561</v>
      </c>
      <c r="U154" s="4">
        <v>0</v>
      </c>
      <c r="V154" s="1"/>
      <c r="W154" s="5">
        <v>0</v>
      </c>
      <c r="X154" s="5">
        <v>0</v>
      </c>
      <c r="Y154" s="5">
        <v>0</v>
      </c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2">
        <v>154</v>
      </c>
      <c r="B155" s="1" t="s">
        <v>337</v>
      </c>
      <c r="C155" s="1"/>
      <c r="D155" s="3">
        <v>45727</v>
      </c>
      <c r="E155" s="3">
        <v>45689</v>
      </c>
      <c r="F155" s="3">
        <v>45930</v>
      </c>
      <c r="G155" s="1" t="s">
        <v>27</v>
      </c>
      <c r="H155" s="1" t="s">
        <v>338</v>
      </c>
      <c r="I155" s="1" t="s">
        <v>29</v>
      </c>
      <c r="J155" s="1" t="s">
        <v>30</v>
      </c>
      <c r="K155" s="1" t="s">
        <v>31</v>
      </c>
      <c r="L155" s="4">
        <v>100</v>
      </c>
      <c r="M155" s="1" t="s">
        <v>32</v>
      </c>
      <c r="N155" s="1"/>
      <c r="O155" s="4">
        <v>7759</v>
      </c>
      <c r="P155" s="4">
        <v>78</v>
      </c>
      <c r="Q155" s="4">
        <v>1164</v>
      </c>
      <c r="R155" s="4">
        <v>0</v>
      </c>
      <c r="S155" s="4">
        <v>0</v>
      </c>
      <c r="T155" s="4">
        <v>9001</v>
      </c>
      <c r="U155" s="4">
        <v>0</v>
      </c>
      <c r="V155" s="1"/>
      <c r="W155" s="5">
        <v>0</v>
      </c>
      <c r="X155" s="5">
        <v>0</v>
      </c>
      <c r="Y155" s="5">
        <v>0</v>
      </c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2">
        <v>155</v>
      </c>
      <c r="B156" s="1" t="s">
        <v>339</v>
      </c>
      <c r="C156" s="1"/>
      <c r="D156" s="3">
        <v>45727</v>
      </c>
      <c r="E156" s="3">
        <v>45689</v>
      </c>
      <c r="F156" s="3">
        <v>45930</v>
      </c>
      <c r="G156" s="1" t="s">
        <v>27</v>
      </c>
      <c r="H156" s="1" t="s">
        <v>340</v>
      </c>
      <c r="I156" s="1" t="s">
        <v>29</v>
      </c>
      <c r="J156" s="1" t="s">
        <v>30</v>
      </c>
      <c r="K156" s="1" t="s">
        <v>31</v>
      </c>
      <c r="L156" s="4">
        <v>100</v>
      </c>
      <c r="M156" s="1" t="s">
        <v>32</v>
      </c>
      <c r="N156" s="1"/>
      <c r="O156" s="4">
        <v>4862</v>
      </c>
      <c r="P156" s="4">
        <v>49</v>
      </c>
      <c r="Q156" s="4">
        <v>729</v>
      </c>
      <c r="R156" s="4">
        <v>0</v>
      </c>
      <c r="S156" s="4">
        <v>0</v>
      </c>
      <c r="T156" s="4">
        <v>5640</v>
      </c>
      <c r="U156" s="4">
        <v>0</v>
      </c>
      <c r="V156" s="1"/>
      <c r="W156" s="5">
        <v>0</v>
      </c>
      <c r="X156" s="5">
        <v>0</v>
      </c>
      <c r="Y156" s="5">
        <v>0</v>
      </c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2">
        <v>156</v>
      </c>
      <c r="B157" s="1" t="s">
        <v>341</v>
      </c>
      <c r="C157" s="1"/>
      <c r="D157" s="3">
        <v>45727</v>
      </c>
      <c r="E157" s="3">
        <v>45689</v>
      </c>
      <c r="F157" s="3">
        <v>45930</v>
      </c>
      <c r="G157" s="1" t="s">
        <v>27</v>
      </c>
      <c r="H157" s="1" t="s">
        <v>342</v>
      </c>
      <c r="I157" s="1" t="s">
        <v>29</v>
      </c>
      <c r="J157" s="1" t="s">
        <v>30</v>
      </c>
      <c r="K157" s="1" t="s">
        <v>31</v>
      </c>
      <c r="L157" s="4">
        <v>100</v>
      </c>
      <c r="M157" s="1" t="s">
        <v>32</v>
      </c>
      <c r="N157" s="1"/>
      <c r="O157" s="4">
        <v>12414</v>
      </c>
      <c r="P157" s="4">
        <v>124</v>
      </c>
      <c r="Q157" s="4">
        <v>1862</v>
      </c>
      <c r="R157" s="4">
        <v>0</v>
      </c>
      <c r="S157" s="4">
        <v>0</v>
      </c>
      <c r="T157" s="4">
        <v>14400</v>
      </c>
      <c r="U157" s="4">
        <v>0</v>
      </c>
      <c r="V157" s="1"/>
      <c r="W157" s="5">
        <v>0</v>
      </c>
      <c r="X157" s="5">
        <v>0</v>
      </c>
      <c r="Y157" s="5">
        <v>0</v>
      </c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2">
        <v>157</v>
      </c>
      <c r="B158" s="1" t="s">
        <v>343</v>
      </c>
      <c r="C158" s="1"/>
      <c r="D158" s="3">
        <v>45727</v>
      </c>
      <c r="E158" s="3">
        <v>45689</v>
      </c>
      <c r="F158" s="3">
        <v>45930</v>
      </c>
      <c r="G158" s="1" t="s">
        <v>27</v>
      </c>
      <c r="H158" s="1" t="s">
        <v>344</v>
      </c>
      <c r="I158" s="1" t="s">
        <v>29</v>
      </c>
      <c r="J158" s="1" t="s">
        <v>30</v>
      </c>
      <c r="K158" s="1" t="s">
        <v>31</v>
      </c>
      <c r="L158" s="4">
        <v>100</v>
      </c>
      <c r="M158" s="1" t="s">
        <v>32</v>
      </c>
      <c r="N158" s="1"/>
      <c r="O158" s="4">
        <v>13448</v>
      </c>
      <c r="P158" s="4">
        <v>134</v>
      </c>
      <c r="Q158" s="4">
        <v>2017</v>
      </c>
      <c r="R158" s="4">
        <v>0</v>
      </c>
      <c r="S158" s="4">
        <v>0</v>
      </c>
      <c r="T158" s="4">
        <v>15599</v>
      </c>
      <c r="U158" s="4">
        <v>0</v>
      </c>
      <c r="V158" s="1"/>
      <c r="W158" s="5">
        <v>0</v>
      </c>
      <c r="X158" s="5">
        <v>0</v>
      </c>
      <c r="Y158" s="5">
        <v>0</v>
      </c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2">
        <v>158</v>
      </c>
      <c r="B159" s="1" t="s">
        <v>345</v>
      </c>
      <c r="C159" s="1"/>
      <c r="D159" s="3">
        <v>45727</v>
      </c>
      <c r="E159" s="3">
        <v>45689</v>
      </c>
      <c r="F159" s="3">
        <v>45930</v>
      </c>
      <c r="G159" s="1" t="s">
        <v>27</v>
      </c>
      <c r="H159" s="1" t="s">
        <v>346</v>
      </c>
      <c r="I159" s="1" t="s">
        <v>29</v>
      </c>
      <c r="J159" s="1" t="s">
        <v>30</v>
      </c>
      <c r="K159" s="1" t="s">
        <v>31</v>
      </c>
      <c r="L159" s="4">
        <v>100</v>
      </c>
      <c r="M159" s="1" t="s">
        <v>32</v>
      </c>
      <c r="N159" s="1"/>
      <c r="O159" s="4">
        <v>9828</v>
      </c>
      <c r="P159" s="4">
        <v>98</v>
      </c>
      <c r="Q159" s="4">
        <v>1474</v>
      </c>
      <c r="R159" s="4">
        <v>0</v>
      </c>
      <c r="S159" s="4">
        <v>0</v>
      </c>
      <c r="T159" s="4">
        <v>11400</v>
      </c>
      <c r="U159" s="4">
        <v>0</v>
      </c>
      <c r="V159" s="1"/>
      <c r="W159" s="5">
        <v>0</v>
      </c>
      <c r="X159" s="5">
        <v>0</v>
      </c>
      <c r="Y159" s="5">
        <v>0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2">
        <v>159</v>
      </c>
      <c r="B160" s="1" t="s">
        <v>347</v>
      </c>
      <c r="C160" s="1"/>
      <c r="D160" s="3">
        <v>45727</v>
      </c>
      <c r="E160" s="3">
        <v>45689</v>
      </c>
      <c r="F160" s="3">
        <v>45930</v>
      </c>
      <c r="G160" s="1" t="s">
        <v>27</v>
      </c>
      <c r="H160" s="1" t="s">
        <v>348</v>
      </c>
      <c r="I160" s="1" t="s">
        <v>29</v>
      </c>
      <c r="J160" s="1" t="s">
        <v>30</v>
      </c>
      <c r="K160" s="1" t="s">
        <v>31</v>
      </c>
      <c r="L160" s="4">
        <v>100</v>
      </c>
      <c r="M160" s="1" t="s">
        <v>32</v>
      </c>
      <c r="N160" s="1"/>
      <c r="O160" s="4">
        <v>7138</v>
      </c>
      <c r="P160" s="4">
        <v>71</v>
      </c>
      <c r="Q160" s="4">
        <v>1071</v>
      </c>
      <c r="R160" s="4">
        <v>0</v>
      </c>
      <c r="S160" s="4">
        <v>0</v>
      </c>
      <c r="T160" s="4">
        <v>8280</v>
      </c>
      <c r="U160" s="4">
        <v>0</v>
      </c>
      <c r="V160" s="1"/>
      <c r="W160" s="5">
        <v>0</v>
      </c>
      <c r="X160" s="5">
        <v>0</v>
      </c>
      <c r="Y160" s="5">
        <v>0</v>
      </c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2">
        <v>160</v>
      </c>
      <c r="B161" s="1" t="s">
        <v>349</v>
      </c>
      <c r="C161" s="1"/>
      <c r="D161" s="3">
        <v>45727</v>
      </c>
      <c r="E161" s="3">
        <v>45689</v>
      </c>
      <c r="F161" s="3">
        <v>45930</v>
      </c>
      <c r="G161" s="1" t="s">
        <v>27</v>
      </c>
      <c r="H161" s="1" t="s">
        <v>350</v>
      </c>
      <c r="I161" s="1" t="s">
        <v>29</v>
      </c>
      <c r="J161" s="1" t="s">
        <v>30</v>
      </c>
      <c r="K161" s="1" t="s">
        <v>31</v>
      </c>
      <c r="L161" s="4">
        <v>100</v>
      </c>
      <c r="M161" s="1" t="s">
        <v>32</v>
      </c>
      <c r="N161" s="1"/>
      <c r="O161" s="4">
        <v>19759</v>
      </c>
      <c r="P161" s="4">
        <v>198</v>
      </c>
      <c r="Q161" s="4">
        <v>2964</v>
      </c>
      <c r="R161" s="4">
        <v>0</v>
      </c>
      <c r="S161" s="4">
        <v>0</v>
      </c>
      <c r="T161" s="4">
        <v>22921</v>
      </c>
      <c r="U161" s="4">
        <v>0</v>
      </c>
      <c r="V161" s="1"/>
      <c r="W161" s="5">
        <v>0</v>
      </c>
      <c r="X161" s="5">
        <v>0</v>
      </c>
      <c r="Y161" s="5">
        <v>0</v>
      </c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2">
        <v>161</v>
      </c>
      <c r="B162" s="1" t="s">
        <v>351</v>
      </c>
      <c r="C162" s="1"/>
      <c r="D162" s="3">
        <v>45727</v>
      </c>
      <c r="E162" s="3">
        <v>45689</v>
      </c>
      <c r="F162" s="3">
        <v>45930</v>
      </c>
      <c r="G162" s="1" t="s">
        <v>27</v>
      </c>
      <c r="H162" s="1" t="s">
        <v>352</v>
      </c>
      <c r="I162" s="1" t="s">
        <v>29</v>
      </c>
      <c r="J162" s="1" t="s">
        <v>30</v>
      </c>
      <c r="K162" s="1" t="s">
        <v>31</v>
      </c>
      <c r="L162" s="4">
        <v>100</v>
      </c>
      <c r="M162" s="1" t="s">
        <v>32</v>
      </c>
      <c r="N162" s="1"/>
      <c r="O162" s="4">
        <v>9103</v>
      </c>
      <c r="P162" s="4">
        <v>91</v>
      </c>
      <c r="Q162" s="4">
        <v>1365</v>
      </c>
      <c r="R162" s="4">
        <v>0</v>
      </c>
      <c r="S162" s="4">
        <v>0</v>
      </c>
      <c r="T162" s="4">
        <v>10559</v>
      </c>
      <c r="U162" s="4">
        <v>0</v>
      </c>
      <c r="V162" s="1"/>
      <c r="W162" s="5">
        <v>0</v>
      </c>
      <c r="X162" s="5">
        <v>0</v>
      </c>
      <c r="Y162" s="5">
        <v>0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2">
        <v>162</v>
      </c>
      <c r="B163" s="1" t="s">
        <v>353</v>
      </c>
      <c r="C163" s="1"/>
      <c r="D163" s="3">
        <v>45727</v>
      </c>
      <c r="E163" s="3">
        <v>45689</v>
      </c>
      <c r="F163" s="3">
        <v>45930</v>
      </c>
      <c r="G163" s="1" t="s">
        <v>27</v>
      </c>
      <c r="H163" s="1" t="s">
        <v>354</v>
      </c>
      <c r="I163" s="1" t="s">
        <v>29</v>
      </c>
      <c r="J163" s="1" t="s">
        <v>30</v>
      </c>
      <c r="K163" s="1" t="s">
        <v>31</v>
      </c>
      <c r="L163" s="4">
        <v>100</v>
      </c>
      <c r="M163" s="1" t="s">
        <v>32</v>
      </c>
      <c r="N163" s="1"/>
      <c r="O163" s="4">
        <v>12414</v>
      </c>
      <c r="P163" s="4">
        <v>124</v>
      </c>
      <c r="Q163" s="4">
        <v>1862</v>
      </c>
      <c r="R163" s="4">
        <v>0</v>
      </c>
      <c r="S163" s="4">
        <v>0</v>
      </c>
      <c r="T163" s="4">
        <v>14400</v>
      </c>
      <c r="U163" s="4">
        <v>0</v>
      </c>
      <c r="V163" s="1"/>
      <c r="W163" s="5">
        <v>0</v>
      </c>
      <c r="X163" s="5">
        <v>0</v>
      </c>
      <c r="Y163" s="5">
        <v>0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2">
        <v>163</v>
      </c>
      <c r="B164" s="1" t="s">
        <v>355</v>
      </c>
      <c r="C164" s="1"/>
      <c r="D164" s="3">
        <v>45727</v>
      </c>
      <c r="E164" s="3">
        <v>45689</v>
      </c>
      <c r="F164" s="3">
        <v>45930</v>
      </c>
      <c r="G164" s="1" t="s">
        <v>27</v>
      </c>
      <c r="H164" s="1" t="s">
        <v>356</v>
      </c>
      <c r="I164" s="1" t="s">
        <v>29</v>
      </c>
      <c r="J164" s="1" t="s">
        <v>30</v>
      </c>
      <c r="K164" s="1" t="s">
        <v>31</v>
      </c>
      <c r="L164" s="4">
        <v>100</v>
      </c>
      <c r="M164" s="1" t="s">
        <v>32</v>
      </c>
      <c r="N164" s="1"/>
      <c r="O164" s="4">
        <v>9000</v>
      </c>
      <c r="P164" s="4">
        <v>90</v>
      </c>
      <c r="Q164" s="4">
        <v>1350</v>
      </c>
      <c r="R164" s="4">
        <v>0</v>
      </c>
      <c r="S164" s="4">
        <v>0</v>
      </c>
      <c r="T164" s="4">
        <v>10440</v>
      </c>
      <c r="U164" s="4">
        <v>0</v>
      </c>
      <c r="V164" s="1"/>
      <c r="W164" s="5">
        <v>0</v>
      </c>
      <c r="X164" s="5">
        <v>0</v>
      </c>
      <c r="Y164" s="5">
        <v>0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2">
        <v>164</v>
      </c>
      <c r="B165" s="1" t="s">
        <v>357</v>
      </c>
      <c r="C165" s="1"/>
      <c r="D165" s="3">
        <v>45727</v>
      </c>
      <c r="E165" s="3">
        <v>45689</v>
      </c>
      <c r="F165" s="3">
        <v>45930</v>
      </c>
      <c r="G165" s="1" t="s">
        <v>27</v>
      </c>
      <c r="H165" s="1" t="s">
        <v>358</v>
      </c>
      <c r="I165" s="1" t="s">
        <v>29</v>
      </c>
      <c r="J165" s="1" t="s">
        <v>30</v>
      </c>
      <c r="K165" s="1" t="s">
        <v>31</v>
      </c>
      <c r="L165" s="4">
        <v>100</v>
      </c>
      <c r="M165" s="1" t="s">
        <v>32</v>
      </c>
      <c r="N165" s="1"/>
      <c r="O165" s="4">
        <v>21931</v>
      </c>
      <c r="P165" s="4">
        <v>219</v>
      </c>
      <c r="Q165" s="4">
        <v>3290</v>
      </c>
      <c r="R165" s="4">
        <v>0</v>
      </c>
      <c r="S165" s="4">
        <v>0</v>
      </c>
      <c r="T165" s="4">
        <v>25440</v>
      </c>
      <c r="U165" s="4">
        <v>0</v>
      </c>
      <c r="V165" s="1"/>
      <c r="W165" s="5">
        <v>0</v>
      </c>
      <c r="X165" s="5">
        <v>0</v>
      </c>
      <c r="Y165" s="5">
        <v>0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2">
        <v>165</v>
      </c>
      <c r="B166" s="1" t="s">
        <v>359</v>
      </c>
      <c r="C166" s="1"/>
      <c r="D166" s="3">
        <v>45727</v>
      </c>
      <c r="E166" s="3">
        <v>45689</v>
      </c>
      <c r="F166" s="3">
        <v>45930</v>
      </c>
      <c r="G166" s="1" t="s">
        <v>27</v>
      </c>
      <c r="H166" s="1" t="s">
        <v>360</v>
      </c>
      <c r="I166" s="1" t="s">
        <v>29</v>
      </c>
      <c r="J166" s="1" t="s">
        <v>30</v>
      </c>
      <c r="K166" s="1" t="s">
        <v>31</v>
      </c>
      <c r="L166" s="4">
        <v>100</v>
      </c>
      <c r="M166" s="1" t="s">
        <v>32</v>
      </c>
      <c r="N166" s="1"/>
      <c r="O166" s="4">
        <v>7862</v>
      </c>
      <c r="P166" s="4">
        <v>79</v>
      </c>
      <c r="Q166" s="4">
        <v>1179</v>
      </c>
      <c r="R166" s="4">
        <v>0</v>
      </c>
      <c r="S166" s="4">
        <v>0</v>
      </c>
      <c r="T166" s="4">
        <v>9120</v>
      </c>
      <c r="U166" s="4">
        <v>0</v>
      </c>
      <c r="V166" s="1"/>
      <c r="W166" s="5">
        <v>0</v>
      </c>
      <c r="X166" s="5">
        <v>0</v>
      </c>
      <c r="Y166" s="5">
        <v>0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2">
        <v>166</v>
      </c>
      <c r="B167" s="1" t="s">
        <v>361</v>
      </c>
      <c r="C167" s="1"/>
      <c r="D167" s="3">
        <v>45727</v>
      </c>
      <c r="E167" s="3">
        <v>45689</v>
      </c>
      <c r="F167" s="3">
        <v>45930</v>
      </c>
      <c r="G167" s="1" t="s">
        <v>27</v>
      </c>
      <c r="H167" s="1" t="s">
        <v>362</v>
      </c>
      <c r="I167" s="1" t="s">
        <v>29</v>
      </c>
      <c r="J167" s="1" t="s">
        <v>30</v>
      </c>
      <c r="K167" s="1" t="s">
        <v>31</v>
      </c>
      <c r="L167" s="4">
        <v>100</v>
      </c>
      <c r="M167" s="1" t="s">
        <v>32</v>
      </c>
      <c r="N167" s="1"/>
      <c r="O167" s="4">
        <v>6828</v>
      </c>
      <c r="P167" s="4">
        <v>68</v>
      </c>
      <c r="Q167" s="4">
        <v>1024</v>
      </c>
      <c r="R167" s="4">
        <v>0</v>
      </c>
      <c r="S167" s="4">
        <v>0</v>
      </c>
      <c r="T167" s="4">
        <v>7920</v>
      </c>
      <c r="U167" s="4">
        <v>0</v>
      </c>
      <c r="V167" s="1"/>
      <c r="W167" s="5">
        <v>0</v>
      </c>
      <c r="X167" s="5">
        <v>0</v>
      </c>
      <c r="Y167" s="5">
        <v>0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2">
        <v>167</v>
      </c>
      <c r="B168" s="1" t="s">
        <v>363</v>
      </c>
      <c r="C168" s="1"/>
      <c r="D168" s="3">
        <v>45727</v>
      </c>
      <c r="E168" s="3">
        <v>45689</v>
      </c>
      <c r="F168" s="3">
        <v>45930</v>
      </c>
      <c r="G168" s="1" t="s">
        <v>27</v>
      </c>
      <c r="H168" s="1" t="s">
        <v>364</v>
      </c>
      <c r="I168" s="1" t="s">
        <v>29</v>
      </c>
      <c r="J168" s="1" t="s">
        <v>30</v>
      </c>
      <c r="K168" s="1" t="s">
        <v>31</v>
      </c>
      <c r="L168" s="4">
        <v>100</v>
      </c>
      <c r="M168" s="1" t="s">
        <v>32</v>
      </c>
      <c r="N168" s="1"/>
      <c r="O168" s="4">
        <v>6000</v>
      </c>
      <c r="P168" s="4">
        <v>60</v>
      </c>
      <c r="Q168" s="4">
        <v>900</v>
      </c>
      <c r="R168" s="4">
        <v>0</v>
      </c>
      <c r="S168" s="4">
        <v>0</v>
      </c>
      <c r="T168" s="4">
        <v>6960</v>
      </c>
      <c r="U168" s="4">
        <v>0</v>
      </c>
      <c r="V168" s="1"/>
      <c r="W168" s="5">
        <v>0</v>
      </c>
      <c r="X168" s="5">
        <v>0</v>
      </c>
      <c r="Y168" s="5">
        <v>0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2">
        <v>168</v>
      </c>
      <c r="B169" s="1" t="s">
        <v>365</v>
      </c>
      <c r="C169" s="1"/>
      <c r="D169" s="3">
        <v>45727</v>
      </c>
      <c r="E169" s="3">
        <v>45689</v>
      </c>
      <c r="F169" s="3">
        <v>45930</v>
      </c>
      <c r="G169" s="1" t="s">
        <v>27</v>
      </c>
      <c r="H169" s="1" t="s">
        <v>366</v>
      </c>
      <c r="I169" s="1" t="s">
        <v>29</v>
      </c>
      <c r="J169" s="1" t="s">
        <v>30</v>
      </c>
      <c r="K169" s="1" t="s">
        <v>31</v>
      </c>
      <c r="L169" s="4">
        <v>100</v>
      </c>
      <c r="M169" s="1" t="s">
        <v>32</v>
      </c>
      <c r="N169" s="1"/>
      <c r="O169" s="4">
        <v>11276</v>
      </c>
      <c r="P169" s="4">
        <v>113</v>
      </c>
      <c r="Q169" s="4">
        <v>1691</v>
      </c>
      <c r="R169" s="4">
        <v>0</v>
      </c>
      <c r="S169" s="4">
        <v>0</v>
      </c>
      <c r="T169" s="4">
        <v>13080</v>
      </c>
      <c r="U169" s="4">
        <v>0</v>
      </c>
      <c r="V169" s="1"/>
      <c r="W169" s="5">
        <v>0</v>
      </c>
      <c r="X169" s="5">
        <v>0</v>
      </c>
      <c r="Y169" s="5">
        <v>0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2">
        <v>169</v>
      </c>
      <c r="B170" s="1" t="s">
        <v>367</v>
      </c>
      <c r="C170" s="1"/>
      <c r="D170" s="3">
        <v>45727</v>
      </c>
      <c r="E170" s="3">
        <v>45689</v>
      </c>
      <c r="F170" s="3">
        <v>45930</v>
      </c>
      <c r="G170" s="1" t="s">
        <v>27</v>
      </c>
      <c r="H170" s="1" t="s">
        <v>368</v>
      </c>
      <c r="I170" s="1" t="s">
        <v>29</v>
      </c>
      <c r="J170" s="1" t="s">
        <v>30</v>
      </c>
      <c r="K170" s="1" t="s">
        <v>31</v>
      </c>
      <c r="L170" s="4">
        <v>100</v>
      </c>
      <c r="M170" s="1" t="s">
        <v>32</v>
      </c>
      <c r="N170" s="1"/>
      <c r="O170" s="4">
        <v>7241</v>
      </c>
      <c r="P170" s="4">
        <v>72</v>
      </c>
      <c r="Q170" s="4">
        <v>1086</v>
      </c>
      <c r="R170" s="4">
        <v>0</v>
      </c>
      <c r="S170" s="4">
        <v>0</v>
      </c>
      <c r="T170" s="4">
        <v>8399</v>
      </c>
      <c r="U170" s="4">
        <v>0</v>
      </c>
      <c r="V170" s="1"/>
      <c r="W170" s="5">
        <v>0</v>
      </c>
      <c r="X170" s="5">
        <v>0</v>
      </c>
      <c r="Y170" s="5">
        <v>0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2">
        <v>170</v>
      </c>
      <c r="B171" s="1" t="s">
        <v>369</v>
      </c>
      <c r="C171" s="1"/>
      <c r="D171" s="3">
        <v>45727</v>
      </c>
      <c r="E171" s="3">
        <v>45689</v>
      </c>
      <c r="F171" s="3">
        <v>45930</v>
      </c>
      <c r="G171" s="1" t="s">
        <v>27</v>
      </c>
      <c r="H171" s="1" t="s">
        <v>370</v>
      </c>
      <c r="I171" s="1" t="s">
        <v>29</v>
      </c>
      <c r="J171" s="1" t="s">
        <v>30</v>
      </c>
      <c r="K171" s="1" t="s">
        <v>31</v>
      </c>
      <c r="L171" s="4">
        <v>100</v>
      </c>
      <c r="M171" s="1" t="s">
        <v>32</v>
      </c>
      <c r="N171" s="1"/>
      <c r="O171" s="4">
        <v>8793</v>
      </c>
      <c r="P171" s="4">
        <v>88</v>
      </c>
      <c r="Q171" s="4">
        <v>1319</v>
      </c>
      <c r="R171" s="4">
        <v>0</v>
      </c>
      <c r="S171" s="4">
        <v>0</v>
      </c>
      <c r="T171" s="4">
        <v>10200</v>
      </c>
      <c r="U171" s="4">
        <v>0</v>
      </c>
      <c r="V171" s="1"/>
      <c r="W171" s="5">
        <v>0</v>
      </c>
      <c r="X171" s="5">
        <v>0</v>
      </c>
      <c r="Y171" s="5">
        <v>0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2">
        <v>171</v>
      </c>
      <c r="B172" s="1" t="s">
        <v>371</v>
      </c>
      <c r="C172" s="1"/>
      <c r="D172" s="3">
        <v>45727</v>
      </c>
      <c r="E172" s="3">
        <v>45689</v>
      </c>
      <c r="F172" s="3">
        <v>45930</v>
      </c>
      <c r="G172" s="1" t="s">
        <v>27</v>
      </c>
      <c r="H172" s="1" t="s">
        <v>372</v>
      </c>
      <c r="I172" s="1" t="s">
        <v>29</v>
      </c>
      <c r="J172" s="1" t="s">
        <v>30</v>
      </c>
      <c r="K172" s="1" t="s">
        <v>31</v>
      </c>
      <c r="L172" s="4">
        <v>100</v>
      </c>
      <c r="M172" s="1" t="s">
        <v>32</v>
      </c>
      <c r="N172" s="1"/>
      <c r="O172" s="4">
        <v>9000</v>
      </c>
      <c r="P172" s="4">
        <v>90</v>
      </c>
      <c r="Q172" s="4">
        <v>1350</v>
      </c>
      <c r="R172" s="4">
        <v>0</v>
      </c>
      <c r="S172" s="4">
        <v>0</v>
      </c>
      <c r="T172" s="4">
        <v>10440</v>
      </c>
      <c r="U172" s="4">
        <v>0</v>
      </c>
      <c r="V172" s="1"/>
      <c r="W172" s="5">
        <v>0</v>
      </c>
      <c r="X172" s="5">
        <v>0</v>
      </c>
      <c r="Y172" s="5">
        <v>0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2">
        <v>172</v>
      </c>
      <c r="B173" s="1" t="s">
        <v>373</v>
      </c>
      <c r="C173" s="1"/>
      <c r="D173" s="3">
        <v>45727</v>
      </c>
      <c r="E173" s="3">
        <v>45689</v>
      </c>
      <c r="F173" s="3">
        <v>45930</v>
      </c>
      <c r="G173" s="1" t="s">
        <v>27</v>
      </c>
      <c r="H173" s="1" t="s">
        <v>374</v>
      </c>
      <c r="I173" s="1" t="s">
        <v>29</v>
      </c>
      <c r="J173" s="1" t="s">
        <v>30</v>
      </c>
      <c r="K173" s="1" t="s">
        <v>31</v>
      </c>
      <c r="L173" s="4">
        <v>100</v>
      </c>
      <c r="M173" s="1" t="s">
        <v>32</v>
      </c>
      <c r="N173" s="1"/>
      <c r="O173" s="4">
        <v>8793</v>
      </c>
      <c r="P173" s="4">
        <v>88</v>
      </c>
      <c r="Q173" s="4">
        <v>1319</v>
      </c>
      <c r="R173" s="4">
        <v>0</v>
      </c>
      <c r="S173" s="4">
        <v>0</v>
      </c>
      <c r="T173" s="4">
        <v>10200</v>
      </c>
      <c r="U173" s="4">
        <v>0</v>
      </c>
      <c r="V173" s="1"/>
      <c r="W173" s="5">
        <v>0</v>
      </c>
      <c r="X173" s="5">
        <v>0</v>
      </c>
      <c r="Y173" s="5">
        <v>0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2">
        <v>173</v>
      </c>
      <c r="B174" s="1" t="s">
        <v>375</v>
      </c>
      <c r="C174" s="1"/>
      <c r="D174" s="3">
        <v>45727</v>
      </c>
      <c r="E174" s="3">
        <v>45689</v>
      </c>
      <c r="F174" s="3">
        <v>45930</v>
      </c>
      <c r="G174" s="1" t="s">
        <v>27</v>
      </c>
      <c r="H174" s="1" t="s">
        <v>376</v>
      </c>
      <c r="I174" s="1" t="s">
        <v>29</v>
      </c>
      <c r="J174" s="1" t="s">
        <v>30</v>
      </c>
      <c r="K174" s="1" t="s">
        <v>31</v>
      </c>
      <c r="L174" s="4">
        <v>100</v>
      </c>
      <c r="M174" s="1" t="s">
        <v>32</v>
      </c>
      <c r="N174" s="1"/>
      <c r="O174" s="4">
        <v>12207</v>
      </c>
      <c r="P174" s="4">
        <v>122</v>
      </c>
      <c r="Q174" s="4">
        <v>1831</v>
      </c>
      <c r="R174" s="4">
        <v>0</v>
      </c>
      <c r="S174" s="4">
        <v>0</v>
      </c>
      <c r="T174" s="4">
        <v>14160</v>
      </c>
      <c r="U174" s="4">
        <v>0</v>
      </c>
      <c r="V174" s="1"/>
      <c r="W174" s="5">
        <v>0</v>
      </c>
      <c r="X174" s="5">
        <v>0</v>
      </c>
      <c r="Y174" s="5">
        <v>0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2">
        <v>174</v>
      </c>
      <c r="B175" s="1" t="s">
        <v>377</v>
      </c>
      <c r="C175" s="1"/>
      <c r="D175" s="3">
        <v>45727</v>
      </c>
      <c r="E175" s="3">
        <v>45689</v>
      </c>
      <c r="F175" s="3">
        <v>45930</v>
      </c>
      <c r="G175" s="1" t="s">
        <v>27</v>
      </c>
      <c r="H175" s="1" t="s">
        <v>378</v>
      </c>
      <c r="I175" s="1" t="s">
        <v>29</v>
      </c>
      <c r="J175" s="1" t="s">
        <v>30</v>
      </c>
      <c r="K175" s="1" t="s">
        <v>31</v>
      </c>
      <c r="L175" s="4">
        <v>100</v>
      </c>
      <c r="M175" s="1" t="s">
        <v>32</v>
      </c>
      <c r="N175" s="1"/>
      <c r="O175" s="4">
        <v>16759</v>
      </c>
      <c r="P175" s="4">
        <v>168</v>
      </c>
      <c r="Q175" s="4">
        <v>2514</v>
      </c>
      <c r="R175" s="4">
        <v>0</v>
      </c>
      <c r="S175" s="4">
        <v>0</v>
      </c>
      <c r="T175" s="4">
        <v>19441</v>
      </c>
      <c r="U175" s="4">
        <v>0</v>
      </c>
      <c r="V175" s="1"/>
      <c r="W175" s="5">
        <v>0</v>
      </c>
      <c r="X175" s="5">
        <v>0</v>
      </c>
      <c r="Y175" s="5">
        <v>0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2">
        <v>175</v>
      </c>
      <c r="B176" s="1" t="s">
        <v>379</v>
      </c>
      <c r="C176" s="1"/>
      <c r="D176" s="3">
        <v>45727</v>
      </c>
      <c r="E176" s="3">
        <v>45689</v>
      </c>
      <c r="F176" s="3">
        <v>45930</v>
      </c>
      <c r="G176" s="1" t="s">
        <v>27</v>
      </c>
      <c r="H176" s="1" t="s">
        <v>44</v>
      </c>
      <c r="I176" s="1" t="s">
        <v>29</v>
      </c>
      <c r="J176" s="1" t="s">
        <v>30</v>
      </c>
      <c r="K176" s="1" t="s">
        <v>31</v>
      </c>
      <c r="L176" s="4">
        <v>100</v>
      </c>
      <c r="M176" s="1" t="s">
        <v>32</v>
      </c>
      <c r="N176" s="1"/>
      <c r="O176" s="4">
        <v>8069</v>
      </c>
      <c r="P176" s="4">
        <v>81</v>
      </c>
      <c r="Q176" s="4">
        <v>1210</v>
      </c>
      <c r="R176" s="4">
        <v>0</v>
      </c>
      <c r="S176" s="4">
        <v>0</v>
      </c>
      <c r="T176" s="4">
        <v>9360</v>
      </c>
      <c r="U176" s="4">
        <v>0</v>
      </c>
      <c r="V176" s="1"/>
      <c r="W176" s="5">
        <v>0</v>
      </c>
      <c r="X176" s="5">
        <v>0</v>
      </c>
      <c r="Y176" s="5">
        <v>0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2">
        <v>176</v>
      </c>
      <c r="B177" s="1" t="s">
        <v>380</v>
      </c>
      <c r="C177" s="1"/>
      <c r="D177" s="3">
        <v>45727</v>
      </c>
      <c r="E177" s="3">
        <v>45689</v>
      </c>
      <c r="F177" s="3">
        <v>45930</v>
      </c>
      <c r="G177" s="1" t="s">
        <v>27</v>
      </c>
      <c r="H177" s="1" t="s">
        <v>381</v>
      </c>
      <c r="I177" s="1" t="s">
        <v>29</v>
      </c>
      <c r="J177" s="1" t="s">
        <v>30</v>
      </c>
      <c r="K177" s="1" t="s">
        <v>31</v>
      </c>
      <c r="L177" s="4">
        <v>100</v>
      </c>
      <c r="M177" s="1" t="s">
        <v>32</v>
      </c>
      <c r="N177" s="1"/>
      <c r="O177" s="4">
        <v>4759</v>
      </c>
      <c r="P177" s="4">
        <v>48</v>
      </c>
      <c r="Q177" s="4">
        <v>714</v>
      </c>
      <c r="R177" s="4">
        <v>0</v>
      </c>
      <c r="S177" s="4">
        <v>0</v>
      </c>
      <c r="T177" s="4">
        <v>5521</v>
      </c>
      <c r="U177" s="4">
        <v>0</v>
      </c>
      <c r="V177" s="1"/>
      <c r="W177" s="5">
        <v>0</v>
      </c>
      <c r="X177" s="5">
        <v>0</v>
      </c>
      <c r="Y177" s="5">
        <v>0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2">
        <v>177</v>
      </c>
      <c r="B178" s="1" t="s">
        <v>382</v>
      </c>
      <c r="C178" s="1"/>
      <c r="D178" s="3">
        <v>45727</v>
      </c>
      <c r="E178" s="3">
        <v>45689</v>
      </c>
      <c r="F178" s="3">
        <v>45930</v>
      </c>
      <c r="G178" s="1" t="s">
        <v>27</v>
      </c>
      <c r="H178" s="1" t="s">
        <v>383</v>
      </c>
      <c r="I178" s="1" t="s">
        <v>29</v>
      </c>
      <c r="J178" s="1" t="s">
        <v>30</v>
      </c>
      <c r="K178" s="1" t="s">
        <v>31</v>
      </c>
      <c r="L178" s="4">
        <v>100</v>
      </c>
      <c r="M178" s="1" t="s">
        <v>32</v>
      </c>
      <c r="N178" s="1"/>
      <c r="O178" s="4">
        <v>5483</v>
      </c>
      <c r="P178" s="4">
        <v>55</v>
      </c>
      <c r="Q178" s="4">
        <v>822</v>
      </c>
      <c r="R178" s="4">
        <v>0</v>
      </c>
      <c r="S178" s="4">
        <v>0</v>
      </c>
      <c r="T178" s="4">
        <v>6360</v>
      </c>
      <c r="U178" s="4">
        <v>0</v>
      </c>
      <c r="V178" s="1"/>
      <c r="W178" s="5">
        <v>0</v>
      </c>
      <c r="X178" s="5">
        <v>0</v>
      </c>
      <c r="Y178" s="5">
        <v>0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2">
        <v>178</v>
      </c>
      <c r="B179" s="1" t="s">
        <v>384</v>
      </c>
      <c r="C179" s="1"/>
      <c r="D179" s="3">
        <v>45727</v>
      </c>
      <c r="E179" s="3">
        <v>45689</v>
      </c>
      <c r="F179" s="3">
        <v>45930</v>
      </c>
      <c r="G179" s="1" t="s">
        <v>27</v>
      </c>
      <c r="H179" s="1" t="s">
        <v>385</v>
      </c>
      <c r="I179" s="1" t="s">
        <v>29</v>
      </c>
      <c r="J179" s="1" t="s">
        <v>30</v>
      </c>
      <c r="K179" s="1" t="s">
        <v>31</v>
      </c>
      <c r="L179" s="4">
        <v>100</v>
      </c>
      <c r="M179" s="1" t="s">
        <v>32</v>
      </c>
      <c r="N179" s="1"/>
      <c r="O179" s="4">
        <v>12931</v>
      </c>
      <c r="P179" s="4">
        <v>129</v>
      </c>
      <c r="Q179" s="4">
        <v>1940</v>
      </c>
      <c r="R179" s="4">
        <v>0</v>
      </c>
      <c r="S179" s="4">
        <v>0</v>
      </c>
      <c r="T179" s="4">
        <v>15000</v>
      </c>
      <c r="U179" s="4">
        <v>0</v>
      </c>
      <c r="V179" s="1"/>
      <c r="W179" s="5">
        <v>0</v>
      </c>
      <c r="X179" s="5">
        <v>0</v>
      </c>
      <c r="Y179" s="5">
        <v>0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2">
        <v>179</v>
      </c>
      <c r="B180" s="1" t="s">
        <v>386</v>
      </c>
      <c r="C180" s="1"/>
      <c r="D180" s="3">
        <v>45727</v>
      </c>
      <c r="E180" s="3">
        <v>45689</v>
      </c>
      <c r="F180" s="3">
        <v>45930</v>
      </c>
      <c r="G180" s="1" t="s">
        <v>27</v>
      </c>
      <c r="H180" s="1" t="s">
        <v>387</v>
      </c>
      <c r="I180" s="1" t="s">
        <v>29</v>
      </c>
      <c r="J180" s="1" t="s">
        <v>30</v>
      </c>
      <c r="K180" s="1" t="s">
        <v>31</v>
      </c>
      <c r="L180" s="4">
        <v>100</v>
      </c>
      <c r="M180" s="1" t="s">
        <v>32</v>
      </c>
      <c r="N180" s="1"/>
      <c r="O180" s="4">
        <v>7759</v>
      </c>
      <c r="P180" s="4">
        <v>78</v>
      </c>
      <c r="Q180" s="4">
        <v>1164</v>
      </c>
      <c r="R180" s="4">
        <v>0</v>
      </c>
      <c r="S180" s="4">
        <v>0</v>
      </c>
      <c r="T180" s="4">
        <v>9001</v>
      </c>
      <c r="U180" s="4">
        <v>0</v>
      </c>
      <c r="V180" s="1"/>
      <c r="W180" s="5">
        <v>0</v>
      </c>
      <c r="X180" s="5">
        <v>0</v>
      </c>
      <c r="Y180" s="5">
        <v>0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2">
        <v>180</v>
      </c>
      <c r="B181" s="1" t="s">
        <v>388</v>
      </c>
      <c r="C181" s="1"/>
      <c r="D181" s="3">
        <v>45727</v>
      </c>
      <c r="E181" s="3">
        <v>45689</v>
      </c>
      <c r="F181" s="3">
        <v>45930</v>
      </c>
      <c r="G181" s="1" t="s">
        <v>27</v>
      </c>
      <c r="H181" s="1" t="s">
        <v>389</v>
      </c>
      <c r="I181" s="1" t="s">
        <v>29</v>
      </c>
      <c r="J181" s="1" t="s">
        <v>30</v>
      </c>
      <c r="K181" s="1" t="s">
        <v>31</v>
      </c>
      <c r="L181" s="4">
        <v>100</v>
      </c>
      <c r="M181" s="1" t="s">
        <v>32</v>
      </c>
      <c r="N181" s="1"/>
      <c r="O181" s="4">
        <v>14172</v>
      </c>
      <c r="P181" s="4">
        <v>142</v>
      </c>
      <c r="Q181" s="4">
        <v>2126</v>
      </c>
      <c r="R181" s="4">
        <v>0</v>
      </c>
      <c r="S181" s="4">
        <v>0</v>
      </c>
      <c r="T181" s="4">
        <v>16440</v>
      </c>
      <c r="U181" s="4">
        <v>0</v>
      </c>
      <c r="V181" s="1"/>
      <c r="W181" s="5">
        <v>0</v>
      </c>
      <c r="X181" s="5">
        <v>0</v>
      </c>
      <c r="Y181" s="5">
        <v>0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2">
        <v>181</v>
      </c>
      <c r="B182" s="1" t="s">
        <v>390</v>
      </c>
      <c r="C182" s="1"/>
      <c r="D182" s="3">
        <v>45727</v>
      </c>
      <c r="E182" s="3">
        <v>45689</v>
      </c>
      <c r="F182" s="3">
        <v>45930</v>
      </c>
      <c r="G182" s="1" t="s">
        <v>27</v>
      </c>
      <c r="H182" s="1" t="s">
        <v>391</v>
      </c>
      <c r="I182" s="1" t="s">
        <v>29</v>
      </c>
      <c r="J182" s="1" t="s">
        <v>30</v>
      </c>
      <c r="K182" s="1" t="s">
        <v>31</v>
      </c>
      <c r="L182" s="4">
        <v>100</v>
      </c>
      <c r="M182" s="1" t="s">
        <v>32</v>
      </c>
      <c r="N182" s="1"/>
      <c r="O182" s="4">
        <v>6414</v>
      </c>
      <c r="P182" s="4">
        <v>64</v>
      </c>
      <c r="Q182" s="4">
        <v>962</v>
      </c>
      <c r="R182" s="4">
        <v>0</v>
      </c>
      <c r="S182" s="4">
        <v>0</v>
      </c>
      <c r="T182" s="4">
        <v>7440</v>
      </c>
      <c r="U182" s="4">
        <v>0</v>
      </c>
      <c r="V182" s="1"/>
      <c r="W182" s="5">
        <v>0</v>
      </c>
      <c r="X182" s="5">
        <v>0</v>
      </c>
      <c r="Y182" s="5">
        <v>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2">
        <v>182</v>
      </c>
      <c r="B183" s="1" t="s">
        <v>392</v>
      </c>
      <c r="C183" s="1"/>
      <c r="D183" s="3">
        <v>45727</v>
      </c>
      <c r="E183" s="3">
        <v>45689</v>
      </c>
      <c r="F183" s="3">
        <v>45930</v>
      </c>
      <c r="G183" s="1" t="s">
        <v>27</v>
      </c>
      <c r="H183" s="1" t="s">
        <v>393</v>
      </c>
      <c r="I183" s="1" t="s">
        <v>29</v>
      </c>
      <c r="J183" s="1" t="s">
        <v>30</v>
      </c>
      <c r="K183" s="1" t="s">
        <v>31</v>
      </c>
      <c r="L183" s="4">
        <v>100</v>
      </c>
      <c r="M183" s="1" t="s">
        <v>32</v>
      </c>
      <c r="N183" s="1"/>
      <c r="O183" s="4">
        <v>5897</v>
      </c>
      <c r="P183" s="4">
        <v>59</v>
      </c>
      <c r="Q183" s="4">
        <v>885</v>
      </c>
      <c r="R183" s="4">
        <v>0</v>
      </c>
      <c r="S183" s="4">
        <v>0</v>
      </c>
      <c r="T183" s="4">
        <v>6841</v>
      </c>
      <c r="U183" s="4">
        <v>0</v>
      </c>
      <c r="V183" s="1"/>
      <c r="W183" s="5">
        <v>0</v>
      </c>
      <c r="X183" s="5">
        <v>0</v>
      </c>
      <c r="Y183" s="5">
        <v>0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2">
        <v>183</v>
      </c>
      <c r="B184" s="1" t="s">
        <v>394</v>
      </c>
      <c r="C184" s="1"/>
      <c r="D184" s="3">
        <v>45727</v>
      </c>
      <c r="E184" s="3">
        <v>45689</v>
      </c>
      <c r="F184" s="3">
        <v>45930</v>
      </c>
      <c r="G184" s="1" t="s">
        <v>27</v>
      </c>
      <c r="H184" s="1" t="s">
        <v>395</v>
      </c>
      <c r="I184" s="1" t="s">
        <v>29</v>
      </c>
      <c r="J184" s="1" t="s">
        <v>30</v>
      </c>
      <c r="K184" s="1" t="s">
        <v>31</v>
      </c>
      <c r="L184" s="4">
        <v>100</v>
      </c>
      <c r="M184" s="1" t="s">
        <v>32</v>
      </c>
      <c r="N184" s="1"/>
      <c r="O184" s="4">
        <v>6931</v>
      </c>
      <c r="P184" s="4">
        <v>69</v>
      </c>
      <c r="Q184" s="4">
        <v>1040</v>
      </c>
      <c r="R184" s="4">
        <v>0</v>
      </c>
      <c r="S184" s="4">
        <v>0</v>
      </c>
      <c r="T184" s="4">
        <v>8040</v>
      </c>
      <c r="U184" s="4">
        <v>0</v>
      </c>
      <c r="V184" s="1"/>
      <c r="W184" s="5">
        <v>0</v>
      </c>
      <c r="X184" s="5">
        <v>0</v>
      </c>
      <c r="Y184" s="5">
        <v>0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2">
        <v>184</v>
      </c>
      <c r="B185" s="1" t="s">
        <v>396</v>
      </c>
      <c r="C185" s="1"/>
      <c r="D185" s="3">
        <v>45727</v>
      </c>
      <c r="E185" s="3">
        <v>45689</v>
      </c>
      <c r="F185" s="3">
        <v>45930</v>
      </c>
      <c r="G185" s="1" t="s">
        <v>27</v>
      </c>
      <c r="H185" s="1" t="s">
        <v>397</v>
      </c>
      <c r="I185" s="1" t="s">
        <v>29</v>
      </c>
      <c r="J185" s="1" t="s">
        <v>30</v>
      </c>
      <c r="K185" s="1" t="s">
        <v>31</v>
      </c>
      <c r="L185" s="4">
        <v>100</v>
      </c>
      <c r="M185" s="1" t="s">
        <v>32</v>
      </c>
      <c r="N185" s="1"/>
      <c r="O185" s="4">
        <v>7448</v>
      </c>
      <c r="P185" s="4">
        <v>74</v>
      </c>
      <c r="Q185" s="4">
        <v>1117</v>
      </c>
      <c r="R185" s="4">
        <v>0</v>
      </c>
      <c r="S185" s="4">
        <v>0</v>
      </c>
      <c r="T185" s="4">
        <v>8639</v>
      </c>
      <c r="U185" s="4">
        <v>0</v>
      </c>
      <c r="V185" s="1"/>
      <c r="W185" s="5">
        <v>0</v>
      </c>
      <c r="X185" s="5">
        <v>0</v>
      </c>
      <c r="Y185" s="5">
        <v>0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2">
        <v>185</v>
      </c>
      <c r="B186" s="1" t="s">
        <v>398</v>
      </c>
      <c r="C186" s="1"/>
      <c r="D186" s="3">
        <v>45727</v>
      </c>
      <c r="E186" s="3">
        <v>45689</v>
      </c>
      <c r="F186" s="3">
        <v>45930</v>
      </c>
      <c r="G186" s="1" t="s">
        <v>27</v>
      </c>
      <c r="H186" s="1" t="s">
        <v>399</v>
      </c>
      <c r="I186" s="1" t="s">
        <v>29</v>
      </c>
      <c r="J186" s="1" t="s">
        <v>30</v>
      </c>
      <c r="K186" s="1" t="s">
        <v>31</v>
      </c>
      <c r="L186" s="4">
        <v>100</v>
      </c>
      <c r="M186" s="1" t="s">
        <v>32</v>
      </c>
      <c r="N186" s="1"/>
      <c r="O186" s="4">
        <v>13552</v>
      </c>
      <c r="P186" s="4">
        <v>136</v>
      </c>
      <c r="Q186" s="4">
        <v>2033</v>
      </c>
      <c r="R186" s="4">
        <v>0</v>
      </c>
      <c r="S186" s="4">
        <v>0</v>
      </c>
      <c r="T186" s="4">
        <v>15721</v>
      </c>
      <c r="U186" s="4">
        <v>0</v>
      </c>
      <c r="V186" s="1"/>
      <c r="W186" s="5">
        <v>0</v>
      </c>
      <c r="X186" s="5">
        <v>0</v>
      </c>
      <c r="Y186" s="5">
        <v>0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2">
        <v>186</v>
      </c>
      <c r="B187" s="1" t="s">
        <v>400</v>
      </c>
      <c r="C187" s="1"/>
      <c r="D187" s="3">
        <v>45727</v>
      </c>
      <c r="E187" s="3">
        <v>45689</v>
      </c>
      <c r="F187" s="3">
        <v>45930</v>
      </c>
      <c r="G187" s="1" t="s">
        <v>27</v>
      </c>
      <c r="H187" s="1" t="s">
        <v>401</v>
      </c>
      <c r="I187" s="1" t="s">
        <v>29</v>
      </c>
      <c r="J187" s="1" t="s">
        <v>30</v>
      </c>
      <c r="K187" s="1" t="s">
        <v>31</v>
      </c>
      <c r="L187" s="4">
        <v>100</v>
      </c>
      <c r="M187" s="1" t="s">
        <v>32</v>
      </c>
      <c r="N187" s="1"/>
      <c r="O187" s="4">
        <v>6414</v>
      </c>
      <c r="P187" s="4">
        <v>64</v>
      </c>
      <c r="Q187" s="4">
        <v>962</v>
      </c>
      <c r="R187" s="4">
        <v>0</v>
      </c>
      <c r="S187" s="4">
        <v>0</v>
      </c>
      <c r="T187" s="4">
        <v>7440</v>
      </c>
      <c r="U187" s="4">
        <v>0</v>
      </c>
      <c r="V187" s="1"/>
      <c r="W187" s="5">
        <v>0</v>
      </c>
      <c r="X187" s="5">
        <v>0</v>
      </c>
      <c r="Y187" s="5">
        <v>0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2">
        <v>187</v>
      </c>
      <c r="B188" s="1" t="s">
        <v>402</v>
      </c>
      <c r="C188" s="1"/>
      <c r="D188" s="3">
        <v>45727</v>
      </c>
      <c r="E188" s="3">
        <v>45689</v>
      </c>
      <c r="F188" s="3">
        <v>45930</v>
      </c>
      <c r="G188" s="1" t="s">
        <v>27</v>
      </c>
      <c r="H188" s="1" t="s">
        <v>403</v>
      </c>
      <c r="I188" s="1" t="s">
        <v>29</v>
      </c>
      <c r="J188" s="1" t="s">
        <v>30</v>
      </c>
      <c r="K188" s="1" t="s">
        <v>31</v>
      </c>
      <c r="L188" s="4">
        <v>100</v>
      </c>
      <c r="M188" s="1" t="s">
        <v>32</v>
      </c>
      <c r="N188" s="1"/>
      <c r="O188" s="4">
        <v>6207</v>
      </c>
      <c r="P188" s="4">
        <v>62</v>
      </c>
      <c r="Q188" s="4">
        <v>931</v>
      </c>
      <c r="R188" s="4">
        <v>0</v>
      </c>
      <c r="S188" s="4">
        <v>0</v>
      </c>
      <c r="T188" s="4">
        <v>7200</v>
      </c>
      <c r="U188" s="4">
        <v>0</v>
      </c>
      <c r="V188" s="1"/>
      <c r="W188" s="5">
        <v>0</v>
      </c>
      <c r="X188" s="5">
        <v>0</v>
      </c>
      <c r="Y188" s="5">
        <v>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2">
        <v>188</v>
      </c>
      <c r="B189" s="1" t="s">
        <v>404</v>
      </c>
      <c r="C189" s="1"/>
      <c r="D189" s="3">
        <v>45727</v>
      </c>
      <c r="E189" s="3">
        <v>45689</v>
      </c>
      <c r="F189" s="3">
        <v>45930</v>
      </c>
      <c r="G189" s="1" t="s">
        <v>27</v>
      </c>
      <c r="H189" s="1" t="s">
        <v>405</v>
      </c>
      <c r="I189" s="1" t="s">
        <v>29</v>
      </c>
      <c r="J189" s="1" t="s">
        <v>30</v>
      </c>
      <c r="K189" s="1" t="s">
        <v>31</v>
      </c>
      <c r="L189" s="4">
        <v>100</v>
      </c>
      <c r="M189" s="1" t="s">
        <v>32</v>
      </c>
      <c r="N189" s="1"/>
      <c r="O189" s="4">
        <v>16966</v>
      </c>
      <c r="P189" s="4">
        <v>170</v>
      </c>
      <c r="Q189" s="4">
        <v>2545</v>
      </c>
      <c r="R189" s="4">
        <v>0</v>
      </c>
      <c r="S189" s="4">
        <v>0</v>
      </c>
      <c r="T189" s="4">
        <v>19681</v>
      </c>
      <c r="U189" s="4">
        <v>0</v>
      </c>
      <c r="V189" s="1"/>
      <c r="W189" s="5">
        <v>0</v>
      </c>
      <c r="X189" s="5">
        <v>0</v>
      </c>
      <c r="Y189" s="5">
        <v>0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2">
        <v>189</v>
      </c>
      <c r="B190" s="1" t="s">
        <v>406</v>
      </c>
      <c r="C190" s="1"/>
      <c r="D190" s="3">
        <v>45727</v>
      </c>
      <c r="E190" s="3">
        <v>45689</v>
      </c>
      <c r="F190" s="3">
        <v>45930</v>
      </c>
      <c r="G190" s="1" t="s">
        <v>27</v>
      </c>
      <c r="H190" s="1" t="s">
        <v>407</v>
      </c>
      <c r="I190" s="1" t="s">
        <v>29</v>
      </c>
      <c r="J190" s="1" t="s">
        <v>30</v>
      </c>
      <c r="K190" s="1" t="s">
        <v>31</v>
      </c>
      <c r="L190" s="4">
        <v>100</v>
      </c>
      <c r="M190" s="1" t="s">
        <v>32</v>
      </c>
      <c r="N190" s="1"/>
      <c r="O190" s="4">
        <v>7345</v>
      </c>
      <c r="P190" s="4">
        <v>73</v>
      </c>
      <c r="Q190" s="4">
        <v>1102</v>
      </c>
      <c r="R190" s="4">
        <v>0</v>
      </c>
      <c r="S190" s="4">
        <v>0</v>
      </c>
      <c r="T190" s="4">
        <v>8520</v>
      </c>
      <c r="U190" s="4">
        <v>0</v>
      </c>
      <c r="V190" s="1"/>
      <c r="W190" s="5">
        <v>0</v>
      </c>
      <c r="X190" s="5">
        <v>0</v>
      </c>
      <c r="Y190" s="5">
        <v>0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2">
        <v>190</v>
      </c>
      <c r="B191" s="1" t="s">
        <v>408</v>
      </c>
      <c r="C191" s="1"/>
      <c r="D191" s="3">
        <v>45727</v>
      </c>
      <c r="E191" s="3">
        <v>45689</v>
      </c>
      <c r="F191" s="3">
        <v>45930</v>
      </c>
      <c r="G191" s="1" t="s">
        <v>27</v>
      </c>
      <c r="H191" s="1" t="s">
        <v>409</v>
      </c>
      <c r="I191" s="1" t="s">
        <v>29</v>
      </c>
      <c r="J191" s="1" t="s">
        <v>30</v>
      </c>
      <c r="K191" s="1" t="s">
        <v>31</v>
      </c>
      <c r="L191" s="4">
        <v>100</v>
      </c>
      <c r="M191" s="1" t="s">
        <v>32</v>
      </c>
      <c r="N191" s="1"/>
      <c r="O191" s="4">
        <v>8069</v>
      </c>
      <c r="P191" s="4">
        <v>81</v>
      </c>
      <c r="Q191" s="4">
        <v>1210</v>
      </c>
      <c r="R191" s="4">
        <v>0</v>
      </c>
      <c r="S191" s="4">
        <v>0</v>
      </c>
      <c r="T191" s="4">
        <v>9360</v>
      </c>
      <c r="U191" s="4">
        <v>0</v>
      </c>
      <c r="V191" s="1"/>
      <c r="W191" s="5">
        <v>0</v>
      </c>
      <c r="X191" s="5">
        <v>0</v>
      </c>
      <c r="Y191" s="5">
        <v>0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2">
        <v>191</v>
      </c>
      <c r="B192" s="1" t="s">
        <v>410</v>
      </c>
      <c r="C192" s="1"/>
      <c r="D192" s="3">
        <v>45727</v>
      </c>
      <c r="E192" s="3">
        <v>45689</v>
      </c>
      <c r="F192" s="3">
        <v>45930</v>
      </c>
      <c r="G192" s="1" t="s">
        <v>27</v>
      </c>
      <c r="H192" s="1" t="s">
        <v>411</v>
      </c>
      <c r="I192" s="1" t="s">
        <v>29</v>
      </c>
      <c r="J192" s="1" t="s">
        <v>30</v>
      </c>
      <c r="K192" s="1" t="s">
        <v>31</v>
      </c>
      <c r="L192" s="4">
        <v>100</v>
      </c>
      <c r="M192" s="1" t="s">
        <v>32</v>
      </c>
      <c r="N192" s="1"/>
      <c r="O192" s="4">
        <v>15207</v>
      </c>
      <c r="P192" s="4">
        <v>152</v>
      </c>
      <c r="Q192" s="4">
        <v>2281</v>
      </c>
      <c r="R192" s="4">
        <v>0</v>
      </c>
      <c r="S192" s="4">
        <v>0</v>
      </c>
      <c r="T192" s="4">
        <v>17640</v>
      </c>
      <c r="U192" s="4">
        <v>0</v>
      </c>
      <c r="V192" s="1"/>
      <c r="W192" s="5">
        <v>0</v>
      </c>
      <c r="X192" s="5">
        <v>0</v>
      </c>
      <c r="Y192" s="5">
        <v>0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2">
        <v>192</v>
      </c>
      <c r="B193" s="1" t="s">
        <v>412</v>
      </c>
      <c r="C193" s="1"/>
      <c r="D193" s="3">
        <v>45727</v>
      </c>
      <c r="E193" s="3">
        <v>45689</v>
      </c>
      <c r="F193" s="3">
        <v>45930</v>
      </c>
      <c r="G193" s="1" t="s">
        <v>27</v>
      </c>
      <c r="H193" s="1" t="s">
        <v>413</v>
      </c>
      <c r="I193" s="1" t="s">
        <v>29</v>
      </c>
      <c r="J193" s="1" t="s">
        <v>30</v>
      </c>
      <c r="K193" s="1" t="s">
        <v>31</v>
      </c>
      <c r="L193" s="4">
        <v>100</v>
      </c>
      <c r="M193" s="1" t="s">
        <v>32</v>
      </c>
      <c r="N193" s="1"/>
      <c r="O193" s="4">
        <v>6517</v>
      </c>
      <c r="P193" s="4">
        <v>65</v>
      </c>
      <c r="Q193" s="4">
        <v>978</v>
      </c>
      <c r="R193" s="4">
        <v>0</v>
      </c>
      <c r="S193" s="4">
        <v>0</v>
      </c>
      <c r="T193" s="4">
        <v>7560</v>
      </c>
      <c r="U193" s="4">
        <v>0</v>
      </c>
      <c r="V193" s="1"/>
      <c r="W193" s="5">
        <v>0</v>
      </c>
      <c r="X193" s="5">
        <v>0</v>
      </c>
      <c r="Y193" s="5">
        <v>0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2">
        <v>193</v>
      </c>
      <c r="B194" s="1" t="s">
        <v>414</v>
      </c>
      <c r="C194" s="1"/>
      <c r="D194" s="3">
        <v>45727</v>
      </c>
      <c r="E194" s="3">
        <v>45689</v>
      </c>
      <c r="F194" s="3">
        <v>45930</v>
      </c>
      <c r="G194" s="1" t="s">
        <v>27</v>
      </c>
      <c r="H194" s="1" t="s">
        <v>415</v>
      </c>
      <c r="I194" s="1" t="s">
        <v>29</v>
      </c>
      <c r="J194" s="1" t="s">
        <v>30</v>
      </c>
      <c r="K194" s="1" t="s">
        <v>31</v>
      </c>
      <c r="L194" s="4">
        <v>100</v>
      </c>
      <c r="M194" s="1" t="s">
        <v>32</v>
      </c>
      <c r="N194" s="1"/>
      <c r="O194" s="4">
        <v>14276</v>
      </c>
      <c r="P194" s="4">
        <v>143</v>
      </c>
      <c r="Q194" s="4">
        <v>2141</v>
      </c>
      <c r="R194" s="4">
        <v>0</v>
      </c>
      <c r="S194" s="4">
        <v>0</v>
      </c>
      <c r="T194" s="4">
        <v>16560</v>
      </c>
      <c r="U194" s="4">
        <v>0</v>
      </c>
      <c r="V194" s="1"/>
      <c r="W194" s="5">
        <v>0</v>
      </c>
      <c r="X194" s="5">
        <v>0</v>
      </c>
      <c r="Y194" s="5">
        <v>0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2">
        <v>194</v>
      </c>
      <c r="B195" s="1" t="s">
        <v>416</v>
      </c>
      <c r="C195" s="1"/>
      <c r="D195" s="3">
        <v>45727</v>
      </c>
      <c r="E195" s="3">
        <v>45689</v>
      </c>
      <c r="F195" s="3">
        <v>45930</v>
      </c>
      <c r="G195" s="1" t="s">
        <v>27</v>
      </c>
      <c r="H195" s="1" t="s">
        <v>417</v>
      </c>
      <c r="I195" s="1" t="s">
        <v>29</v>
      </c>
      <c r="J195" s="1" t="s">
        <v>30</v>
      </c>
      <c r="K195" s="1" t="s">
        <v>31</v>
      </c>
      <c r="L195" s="4">
        <v>100</v>
      </c>
      <c r="M195" s="1" t="s">
        <v>32</v>
      </c>
      <c r="N195" s="1"/>
      <c r="O195" s="4">
        <v>6310</v>
      </c>
      <c r="P195" s="4">
        <v>63</v>
      </c>
      <c r="Q195" s="4">
        <v>947</v>
      </c>
      <c r="R195" s="4">
        <v>0</v>
      </c>
      <c r="S195" s="4">
        <v>0</v>
      </c>
      <c r="T195" s="4">
        <v>7320</v>
      </c>
      <c r="U195" s="4">
        <v>0</v>
      </c>
      <c r="V195" s="1"/>
      <c r="W195" s="5">
        <v>0</v>
      </c>
      <c r="X195" s="5">
        <v>0</v>
      </c>
      <c r="Y195" s="5">
        <v>0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2">
        <v>195</v>
      </c>
      <c r="B196" s="1" t="s">
        <v>418</v>
      </c>
      <c r="C196" s="1"/>
      <c r="D196" s="3">
        <v>45727</v>
      </c>
      <c r="E196" s="3">
        <v>45689</v>
      </c>
      <c r="F196" s="3">
        <v>45930</v>
      </c>
      <c r="G196" s="1" t="s">
        <v>27</v>
      </c>
      <c r="H196" s="1" t="s">
        <v>419</v>
      </c>
      <c r="I196" s="1" t="s">
        <v>29</v>
      </c>
      <c r="J196" s="1" t="s">
        <v>30</v>
      </c>
      <c r="K196" s="1" t="s">
        <v>31</v>
      </c>
      <c r="L196" s="4">
        <v>100</v>
      </c>
      <c r="M196" s="1" t="s">
        <v>32</v>
      </c>
      <c r="N196" s="1"/>
      <c r="O196" s="4">
        <v>6724</v>
      </c>
      <c r="P196" s="4">
        <v>67</v>
      </c>
      <c r="Q196" s="4">
        <v>1009</v>
      </c>
      <c r="R196" s="4">
        <v>0</v>
      </c>
      <c r="S196" s="4">
        <v>0</v>
      </c>
      <c r="T196" s="4">
        <v>7800</v>
      </c>
      <c r="U196" s="4">
        <v>0</v>
      </c>
      <c r="V196" s="1"/>
      <c r="W196" s="5">
        <v>0</v>
      </c>
      <c r="X196" s="5">
        <v>0</v>
      </c>
      <c r="Y196" s="5">
        <v>0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2">
        <v>196</v>
      </c>
      <c r="B197" s="1" t="s">
        <v>420</v>
      </c>
      <c r="C197" s="1"/>
      <c r="D197" s="3">
        <v>45727</v>
      </c>
      <c r="E197" s="3">
        <v>45689</v>
      </c>
      <c r="F197" s="3">
        <v>45930</v>
      </c>
      <c r="G197" s="1" t="s">
        <v>27</v>
      </c>
      <c r="H197" s="1" t="s">
        <v>421</v>
      </c>
      <c r="I197" s="1" t="s">
        <v>29</v>
      </c>
      <c r="J197" s="1" t="s">
        <v>30</v>
      </c>
      <c r="K197" s="1" t="s">
        <v>31</v>
      </c>
      <c r="L197" s="4">
        <v>100</v>
      </c>
      <c r="M197" s="1" t="s">
        <v>32</v>
      </c>
      <c r="N197" s="1"/>
      <c r="O197" s="4">
        <v>5483</v>
      </c>
      <c r="P197" s="4">
        <v>55</v>
      </c>
      <c r="Q197" s="4">
        <v>822</v>
      </c>
      <c r="R197" s="4">
        <v>0</v>
      </c>
      <c r="S197" s="4">
        <v>0</v>
      </c>
      <c r="T197" s="4">
        <v>6360</v>
      </c>
      <c r="U197" s="4">
        <v>0</v>
      </c>
      <c r="V197" s="1"/>
      <c r="W197" s="5">
        <v>0</v>
      </c>
      <c r="X197" s="5">
        <v>0</v>
      </c>
      <c r="Y197" s="5">
        <v>0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2">
        <v>197</v>
      </c>
      <c r="B198" s="1" t="s">
        <v>422</v>
      </c>
      <c r="C198" s="1"/>
      <c r="D198" s="3">
        <v>45727</v>
      </c>
      <c r="E198" s="3">
        <v>45689</v>
      </c>
      <c r="F198" s="3">
        <v>45930</v>
      </c>
      <c r="G198" s="1" t="s">
        <v>27</v>
      </c>
      <c r="H198" s="1" t="s">
        <v>423</v>
      </c>
      <c r="I198" s="1" t="s">
        <v>29</v>
      </c>
      <c r="J198" s="1" t="s">
        <v>30</v>
      </c>
      <c r="K198" s="1" t="s">
        <v>31</v>
      </c>
      <c r="L198" s="4">
        <v>100</v>
      </c>
      <c r="M198" s="1" t="s">
        <v>32</v>
      </c>
      <c r="N198" s="1"/>
      <c r="O198" s="4">
        <v>3931</v>
      </c>
      <c r="P198" s="4">
        <v>39</v>
      </c>
      <c r="Q198" s="4">
        <v>590</v>
      </c>
      <c r="R198" s="4">
        <v>0</v>
      </c>
      <c r="S198" s="4">
        <v>0</v>
      </c>
      <c r="T198" s="4">
        <v>4560</v>
      </c>
      <c r="U198" s="4">
        <v>0</v>
      </c>
      <c r="V198" s="1"/>
      <c r="W198" s="5">
        <v>0</v>
      </c>
      <c r="X198" s="5">
        <v>0</v>
      </c>
      <c r="Y198" s="5">
        <v>0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2">
        <v>198</v>
      </c>
      <c r="B199" s="1" t="s">
        <v>424</v>
      </c>
      <c r="C199" s="1"/>
      <c r="D199" s="3">
        <v>45727</v>
      </c>
      <c r="E199" s="3">
        <v>45689</v>
      </c>
      <c r="F199" s="3">
        <v>45930</v>
      </c>
      <c r="G199" s="1" t="s">
        <v>27</v>
      </c>
      <c r="H199" s="1" t="s">
        <v>425</v>
      </c>
      <c r="I199" s="1" t="s">
        <v>29</v>
      </c>
      <c r="J199" s="1" t="s">
        <v>30</v>
      </c>
      <c r="K199" s="1" t="s">
        <v>31</v>
      </c>
      <c r="L199" s="4">
        <v>100</v>
      </c>
      <c r="M199" s="1" t="s">
        <v>32</v>
      </c>
      <c r="N199" s="1"/>
      <c r="O199" s="4">
        <v>4138</v>
      </c>
      <c r="P199" s="4">
        <v>41</v>
      </c>
      <c r="Q199" s="4">
        <v>621</v>
      </c>
      <c r="R199" s="4">
        <v>0</v>
      </c>
      <c r="S199" s="4">
        <v>0</v>
      </c>
      <c r="T199" s="4">
        <v>4800</v>
      </c>
      <c r="U199" s="4">
        <v>0</v>
      </c>
      <c r="V199" s="1"/>
      <c r="W199" s="5">
        <v>0</v>
      </c>
      <c r="X199" s="5">
        <v>0</v>
      </c>
      <c r="Y199" s="5">
        <v>0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2">
        <v>199</v>
      </c>
      <c r="B200" s="1" t="s">
        <v>426</v>
      </c>
      <c r="C200" s="1"/>
      <c r="D200" s="3">
        <v>45727</v>
      </c>
      <c r="E200" s="3">
        <v>45689</v>
      </c>
      <c r="F200" s="3">
        <v>45930</v>
      </c>
      <c r="G200" s="1" t="s">
        <v>27</v>
      </c>
      <c r="H200" s="1" t="s">
        <v>427</v>
      </c>
      <c r="I200" s="1" t="s">
        <v>29</v>
      </c>
      <c r="J200" s="1" t="s">
        <v>30</v>
      </c>
      <c r="K200" s="1" t="s">
        <v>31</v>
      </c>
      <c r="L200" s="4">
        <v>100</v>
      </c>
      <c r="M200" s="1" t="s">
        <v>32</v>
      </c>
      <c r="N200" s="1"/>
      <c r="O200" s="4">
        <v>6828</v>
      </c>
      <c r="P200" s="4">
        <v>68</v>
      </c>
      <c r="Q200" s="4">
        <v>1024</v>
      </c>
      <c r="R200" s="4">
        <v>0</v>
      </c>
      <c r="S200" s="4">
        <v>0</v>
      </c>
      <c r="T200" s="4">
        <v>7920</v>
      </c>
      <c r="U200" s="4">
        <v>0</v>
      </c>
      <c r="V200" s="1"/>
      <c r="W200" s="5">
        <v>0</v>
      </c>
      <c r="X200" s="5">
        <v>0</v>
      </c>
      <c r="Y200" s="5">
        <v>0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2">
        <v>200</v>
      </c>
      <c r="B201" s="1" t="s">
        <v>428</v>
      </c>
      <c r="C201" s="1"/>
      <c r="D201" s="3">
        <v>45727</v>
      </c>
      <c r="E201" s="3">
        <v>45689</v>
      </c>
      <c r="F201" s="3">
        <v>45930</v>
      </c>
      <c r="G201" s="1" t="s">
        <v>27</v>
      </c>
      <c r="H201" s="1" t="s">
        <v>429</v>
      </c>
      <c r="I201" s="1" t="s">
        <v>29</v>
      </c>
      <c r="J201" s="1" t="s">
        <v>30</v>
      </c>
      <c r="K201" s="1" t="s">
        <v>31</v>
      </c>
      <c r="L201" s="4">
        <v>100</v>
      </c>
      <c r="M201" s="1" t="s">
        <v>32</v>
      </c>
      <c r="N201" s="1"/>
      <c r="O201" s="4">
        <v>7759</v>
      </c>
      <c r="P201" s="4">
        <v>78</v>
      </c>
      <c r="Q201" s="4">
        <v>1164</v>
      </c>
      <c r="R201" s="4">
        <v>0</v>
      </c>
      <c r="S201" s="4">
        <v>0</v>
      </c>
      <c r="T201" s="4">
        <v>9001</v>
      </c>
      <c r="U201" s="4">
        <v>0</v>
      </c>
      <c r="V201" s="1"/>
      <c r="W201" s="5">
        <v>0</v>
      </c>
      <c r="X201" s="5">
        <v>0</v>
      </c>
      <c r="Y201" s="5">
        <v>0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2">
        <v>201</v>
      </c>
      <c r="B202" s="1" t="s">
        <v>430</v>
      </c>
      <c r="C202" s="1"/>
      <c r="D202" s="3">
        <v>45727</v>
      </c>
      <c r="E202" s="3">
        <v>45689</v>
      </c>
      <c r="F202" s="3">
        <v>45930</v>
      </c>
      <c r="G202" s="1" t="s">
        <v>27</v>
      </c>
      <c r="H202" s="1" t="s">
        <v>431</v>
      </c>
      <c r="I202" s="1" t="s">
        <v>29</v>
      </c>
      <c r="J202" s="1" t="s">
        <v>30</v>
      </c>
      <c r="K202" s="1" t="s">
        <v>31</v>
      </c>
      <c r="L202" s="4">
        <v>100</v>
      </c>
      <c r="M202" s="1" t="s">
        <v>32</v>
      </c>
      <c r="N202" s="1"/>
      <c r="O202" s="4">
        <v>7655</v>
      </c>
      <c r="P202" s="4">
        <v>77</v>
      </c>
      <c r="Q202" s="4">
        <v>1148</v>
      </c>
      <c r="R202" s="4">
        <v>0</v>
      </c>
      <c r="S202" s="4">
        <v>0</v>
      </c>
      <c r="T202" s="4">
        <v>8880</v>
      </c>
      <c r="U202" s="4">
        <v>0</v>
      </c>
      <c r="V202" s="1"/>
      <c r="W202" s="5">
        <v>0</v>
      </c>
      <c r="X202" s="5">
        <v>0</v>
      </c>
      <c r="Y202" s="5">
        <v>0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2">
        <v>202</v>
      </c>
      <c r="B203" s="1" t="s">
        <v>432</v>
      </c>
      <c r="C203" s="1"/>
      <c r="D203" s="3">
        <v>45727</v>
      </c>
      <c r="E203" s="3">
        <v>45689</v>
      </c>
      <c r="F203" s="3">
        <v>45930</v>
      </c>
      <c r="G203" s="1" t="s">
        <v>27</v>
      </c>
      <c r="H203" s="1" t="s">
        <v>433</v>
      </c>
      <c r="I203" s="1" t="s">
        <v>29</v>
      </c>
      <c r="J203" s="1" t="s">
        <v>30</v>
      </c>
      <c r="K203" s="1" t="s">
        <v>31</v>
      </c>
      <c r="L203" s="4">
        <v>100</v>
      </c>
      <c r="M203" s="1" t="s">
        <v>32</v>
      </c>
      <c r="N203" s="1"/>
      <c r="O203" s="4">
        <v>8379</v>
      </c>
      <c r="P203" s="4">
        <v>84</v>
      </c>
      <c r="Q203" s="4">
        <v>1257</v>
      </c>
      <c r="R203" s="4">
        <v>0</v>
      </c>
      <c r="S203" s="4">
        <v>0</v>
      </c>
      <c r="T203" s="4">
        <v>9720</v>
      </c>
      <c r="U203" s="4">
        <v>0</v>
      </c>
      <c r="V203" s="1"/>
      <c r="W203" s="5">
        <v>0</v>
      </c>
      <c r="X203" s="5">
        <v>0</v>
      </c>
      <c r="Y203" s="5">
        <v>0</v>
      </c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2">
        <v>203</v>
      </c>
      <c r="B204" s="1" t="s">
        <v>434</v>
      </c>
      <c r="C204" s="1"/>
      <c r="D204" s="3">
        <v>45727</v>
      </c>
      <c r="E204" s="3">
        <v>45689</v>
      </c>
      <c r="F204" s="3">
        <v>45930</v>
      </c>
      <c r="G204" s="1" t="s">
        <v>27</v>
      </c>
      <c r="H204" s="1" t="s">
        <v>435</v>
      </c>
      <c r="I204" s="1" t="s">
        <v>29</v>
      </c>
      <c r="J204" s="1" t="s">
        <v>30</v>
      </c>
      <c r="K204" s="1" t="s">
        <v>31</v>
      </c>
      <c r="L204" s="4">
        <v>100</v>
      </c>
      <c r="M204" s="1" t="s">
        <v>32</v>
      </c>
      <c r="N204" s="1"/>
      <c r="O204" s="4">
        <v>3931</v>
      </c>
      <c r="P204" s="4">
        <v>39</v>
      </c>
      <c r="Q204" s="4">
        <v>590</v>
      </c>
      <c r="R204" s="4">
        <v>0</v>
      </c>
      <c r="S204" s="4">
        <v>0</v>
      </c>
      <c r="T204" s="4">
        <v>4560</v>
      </c>
      <c r="U204" s="4">
        <v>0</v>
      </c>
      <c r="V204" s="1"/>
      <c r="W204" s="5">
        <v>0</v>
      </c>
      <c r="X204" s="5">
        <v>0</v>
      </c>
      <c r="Y204" s="5">
        <v>0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2">
        <v>204</v>
      </c>
      <c r="B205" s="1" t="s">
        <v>436</v>
      </c>
      <c r="C205" s="1"/>
      <c r="D205" s="3">
        <v>45727</v>
      </c>
      <c r="E205" s="3">
        <v>45689</v>
      </c>
      <c r="F205" s="3">
        <v>45930</v>
      </c>
      <c r="G205" s="1" t="s">
        <v>27</v>
      </c>
      <c r="H205" s="1" t="s">
        <v>437</v>
      </c>
      <c r="I205" s="1" t="s">
        <v>29</v>
      </c>
      <c r="J205" s="1" t="s">
        <v>30</v>
      </c>
      <c r="K205" s="1" t="s">
        <v>31</v>
      </c>
      <c r="L205" s="4">
        <v>100</v>
      </c>
      <c r="M205" s="1" t="s">
        <v>32</v>
      </c>
      <c r="N205" s="1"/>
      <c r="O205" s="4">
        <v>3621</v>
      </c>
      <c r="P205" s="4">
        <v>36</v>
      </c>
      <c r="Q205" s="4">
        <v>543</v>
      </c>
      <c r="R205" s="4">
        <v>0</v>
      </c>
      <c r="S205" s="4">
        <v>0</v>
      </c>
      <c r="T205" s="4">
        <v>4200</v>
      </c>
      <c r="U205" s="4">
        <v>0</v>
      </c>
      <c r="V205" s="1"/>
      <c r="W205" s="5">
        <v>0</v>
      </c>
      <c r="X205" s="5">
        <v>0</v>
      </c>
      <c r="Y205" s="5">
        <v>0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2">
        <v>205</v>
      </c>
      <c r="B206" s="1" t="s">
        <v>438</v>
      </c>
      <c r="C206" s="1"/>
      <c r="D206" s="3">
        <v>45727</v>
      </c>
      <c r="E206" s="3">
        <v>45689</v>
      </c>
      <c r="F206" s="3">
        <v>45930</v>
      </c>
      <c r="G206" s="1" t="s">
        <v>27</v>
      </c>
      <c r="H206" s="1" t="s">
        <v>439</v>
      </c>
      <c r="I206" s="1" t="s">
        <v>29</v>
      </c>
      <c r="J206" s="1" t="s">
        <v>30</v>
      </c>
      <c r="K206" s="1" t="s">
        <v>31</v>
      </c>
      <c r="L206" s="4">
        <v>100</v>
      </c>
      <c r="M206" s="1" t="s">
        <v>32</v>
      </c>
      <c r="N206" s="1"/>
      <c r="O206" s="4">
        <v>3724</v>
      </c>
      <c r="P206" s="4">
        <v>37</v>
      </c>
      <c r="Q206" s="4">
        <v>559</v>
      </c>
      <c r="R206" s="4">
        <v>0</v>
      </c>
      <c r="S206" s="4">
        <v>0</v>
      </c>
      <c r="T206" s="4">
        <v>4320</v>
      </c>
      <c r="U206" s="4">
        <v>0</v>
      </c>
      <c r="V206" s="1"/>
      <c r="W206" s="5">
        <v>0</v>
      </c>
      <c r="X206" s="5">
        <v>0</v>
      </c>
      <c r="Y206" s="5">
        <v>0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2">
        <v>206</v>
      </c>
      <c r="B207" s="1" t="s">
        <v>440</v>
      </c>
      <c r="C207" s="1"/>
      <c r="D207" s="3">
        <v>45727</v>
      </c>
      <c r="E207" s="3">
        <v>45689</v>
      </c>
      <c r="F207" s="3">
        <v>45930</v>
      </c>
      <c r="G207" s="1" t="s">
        <v>27</v>
      </c>
      <c r="H207" s="1" t="s">
        <v>441</v>
      </c>
      <c r="I207" s="1" t="s">
        <v>29</v>
      </c>
      <c r="J207" s="1" t="s">
        <v>30</v>
      </c>
      <c r="K207" s="1" t="s">
        <v>31</v>
      </c>
      <c r="L207" s="4">
        <v>100</v>
      </c>
      <c r="M207" s="1" t="s">
        <v>32</v>
      </c>
      <c r="N207" s="1"/>
      <c r="O207" s="4">
        <v>3828</v>
      </c>
      <c r="P207" s="4">
        <v>38</v>
      </c>
      <c r="Q207" s="4">
        <v>574</v>
      </c>
      <c r="R207" s="4">
        <v>0</v>
      </c>
      <c r="S207" s="4">
        <v>0</v>
      </c>
      <c r="T207" s="4">
        <v>4440</v>
      </c>
      <c r="U207" s="4">
        <v>0</v>
      </c>
      <c r="V207" s="1"/>
      <c r="W207" s="5">
        <v>0</v>
      </c>
      <c r="X207" s="5">
        <v>0</v>
      </c>
      <c r="Y207" s="5">
        <v>0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2">
        <v>207</v>
      </c>
      <c r="B208" s="1" t="s">
        <v>442</v>
      </c>
      <c r="C208" s="1"/>
      <c r="D208" s="3">
        <v>45727</v>
      </c>
      <c r="E208" s="3">
        <v>45689</v>
      </c>
      <c r="F208" s="3">
        <v>45930</v>
      </c>
      <c r="G208" s="1" t="s">
        <v>27</v>
      </c>
      <c r="H208" s="1" t="s">
        <v>443</v>
      </c>
      <c r="I208" s="1" t="s">
        <v>29</v>
      </c>
      <c r="J208" s="1" t="s">
        <v>30</v>
      </c>
      <c r="K208" s="1" t="s">
        <v>31</v>
      </c>
      <c r="L208" s="4">
        <v>100</v>
      </c>
      <c r="M208" s="1" t="s">
        <v>32</v>
      </c>
      <c r="N208" s="1"/>
      <c r="O208" s="4">
        <v>3828</v>
      </c>
      <c r="P208" s="4">
        <v>38</v>
      </c>
      <c r="Q208" s="4">
        <v>574</v>
      </c>
      <c r="R208" s="4">
        <v>0</v>
      </c>
      <c r="S208" s="4">
        <v>0</v>
      </c>
      <c r="T208" s="4">
        <v>4440</v>
      </c>
      <c r="U208" s="4">
        <v>0</v>
      </c>
      <c r="V208" s="1"/>
      <c r="W208" s="5">
        <v>0</v>
      </c>
      <c r="X208" s="5">
        <v>0</v>
      </c>
      <c r="Y208" s="5">
        <v>0</v>
      </c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2">
        <v>208</v>
      </c>
      <c r="B209" s="1" t="s">
        <v>444</v>
      </c>
      <c r="C209" s="1"/>
      <c r="D209" s="3">
        <v>45727</v>
      </c>
      <c r="E209" s="3">
        <v>45689</v>
      </c>
      <c r="F209" s="3">
        <v>45930</v>
      </c>
      <c r="G209" s="1" t="s">
        <v>27</v>
      </c>
      <c r="H209" s="1" t="s">
        <v>445</v>
      </c>
      <c r="I209" s="1" t="s">
        <v>29</v>
      </c>
      <c r="J209" s="1" t="s">
        <v>30</v>
      </c>
      <c r="K209" s="1" t="s">
        <v>31</v>
      </c>
      <c r="L209" s="4">
        <v>100</v>
      </c>
      <c r="M209" s="1" t="s">
        <v>32</v>
      </c>
      <c r="N209" s="1"/>
      <c r="O209" s="4">
        <v>2483</v>
      </c>
      <c r="P209" s="4">
        <v>25</v>
      </c>
      <c r="Q209" s="4">
        <v>372</v>
      </c>
      <c r="R209" s="4">
        <v>0</v>
      </c>
      <c r="S209" s="4">
        <v>0</v>
      </c>
      <c r="T209" s="4">
        <v>2880</v>
      </c>
      <c r="U209" s="4">
        <v>0</v>
      </c>
      <c r="V209" s="1"/>
      <c r="W209" s="5">
        <v>0</v>
      </c>
      <c r="X209" s="5">
        <v>0</v>
      </c>
      <c r="Y209" s="5">
        <v>0</v>
      </c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2">
        <v>209</v>
      </c>
      <c r="B210" s="1" t="s">
        <v>446</v>
      </c>
      <c r="C210" s="1"/>
      <c r="D210" s="3">
        <v>45727</v>
      </c>
      <c r="E210" s="3">
        <v>45689</v>
      </c>
      <c r="F210" s="3">
        <v>45930</v>
      </c>
      <c r="G210" s="1" t="s">
        <v>27</v>
      </c>
      <c r="H210" s="1" t="s">
        <v>447</v>
      </c>
      <c r="I210" s="1" t="s">
        <v>29</v>
      </c>
      <c r="J210" s="1" t="s">
        <v>30</v>
      </c>
      <c r="K210" s="1" t="s">
        <v>31</v>
      </c>
      <c r="L210" s="4">
        <v>100</v>
      </c>
      <c r="M210" s="1" t="s">
        <v>32</v>
      </c>
      <c r="N210" s="1"/>
      <c r="O210" s="4">
        <v>12828</v>
      </c>
      <c r="P210" s="4">
        <v>128</v>
      </c>
      <c r="Q210" s="4">
        <v>1924</v>
      </c>
      <c r="R210" s="4">
        <v>0</v>
      </c>
      <c r="S210" s="4">
        <v>0</v>
      </c>
      <c r="T210" s="4">
        <v>14880</v>
      </c>
      <c r="U210" s="4">
        <v>0</v>
      </c>
      <c r="V210" s="1"/>
      <c r="W210" s="5">
        <v>0</v>
      </c>
      <c r="X210" s="5">
        <v>0</v>
      </c>
      <c r="Y210" s="5">
        <v>0</v>
      </c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2">
        <v>210</v>
      </c>
      <c r="B211" s="1" t="s">
        <v>448</v>
      </c>
      <c r="C211" s="1"/>
      <c r="D211" s="3">
        <v>45727</v>
      </c>
      <c r="E211" s="3">
        <v>45689</v>
      </c>
      <c r="F211" s="3">
        <v>45930</v>
      </c>
      <c r="G211" s="1" t="s">
        <v>27</v>
      </c>
      <c r="H211" s="1" t="s">
        <v>449</v>
      </c>
      <c r="I211" s="1" t="s">
        <v>29</v>
      </c>
      <c r="J211" s="1" t="s">
        <v>30</v>
      </c>
      <c r="K211" s="1" t="s">
        <v>31</v>
      </c>
      <c r="L211" s="4">
        <v>100</v>
      </c>
      <c r="M211" s="1" t="s">
        <v>32</v>
      </c>
      <c r="N211" s="1"/>
      <c r="O211" s="4">
        <v>7655</v>
      </c>
      <c r="P211" s="4">
        <v>77</v>
      </c>
      <c r="Q211" s="4">
        <v>1148</v>
      </c>
      <c r="R211" s="4">
        <v>0</v>
      </c>
      <c r="S211" s="4">
        <v>0</v>
      </c>
      <c r="T211" s="4">
        <v>8880</v>
      </c>
      <c r="U211" s="4">
        <v>0</v>
      </c>
      <c r="V211" s="1"/>
      <c r="W211" s="5">
        <v>0</v>
      </c>
      <c r="X211" s="5">
        <v>0</v>
      </c>
      <c r="Y211" s="5">
        <v>0</v>
      </c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2">
        <v>211</v>
      </c>
      <c r="B212" s="1" t="s">
        <v>450</v>
      </c>
      <c r="C212" s="1"/>
      <c r="D212" s="3">
        <v>45727</v>
      </c>
      <c r="E212" s="3">
        <v>45689</v>
      </c>
      <c r="F212" s="3">
        <v>45930</v>
      </c>
      <c r="G212" s="1" t="s">
        <v>27</v>
      </c>
      <c r="H212" s="1" t="s">
        <v>451</v>
      </c>
      <c r="I212" s="1" t="s">
        <v>29</v>
      </c>
      <c r="J212" s="1" t="s">
        <v>30</v>
      </c>
      <c r="K212" s="1" t="s">
        <v>31</v>
      </c>
      <c r="L212" s="4">
        <v>100</v>
      </c>
      <c r="M212" s="1" t="s">
        <v>32</v>
      </c>
      <c r="N212" s="1"/>
      <c r="O212" s="4">
        <v>6207</v>
      </c>
      <c r="P212" s="4">
        <v>62</v>
      </c>
      <c r="Q212" s="4">
        <v>931</v>
      </c>
      <c r="R212" s="4">
        <v>0</v>
      </c>
      <c r="S212" s="4">
        <v>0</v>
      </c>
      <c r="T212" s="4">
        <v>7200</v>
      </c>
      <c r="U212" s="4">
        <v>0</v>
      </c>
      <c r="V212" s="1"/>
      <c r="W212" s="5">
        <v>0</v>
      </c>
      <c r="X212" s="5">
        <v>0</v>
      </c>
      <c r="Y212" s="5">
        <v>0</v>
      </c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2">
        <v>212</v>
      </c>
      <c r="B213" s="1" t="s">
        <v>452</v>
      </c>
      <c r="C213" s="1"/>
      <c r="D213" s="3">
        <v>45727</v>
      </c>
      <c r="E213" s="3">
        <v>45689</v>
      </c>
      <c r="F213" s="3">
        <v>45930</v>
      </c>
      <c r="G213" s="1" t="s">
        <v>27</v>
      </c>
      <c r="H213" s="1" t="s">
        <v>453</v>
      </c>
      <c r="I213" s="1" t="s">
        <v>29</v>
      </c>
      <c r="J213" s="1" t="s">
        <v>30</v>
      </c>
      <c r="K213" s="1" t="s">
        <v>31</v>
      </c>
      <c r="L213" s="4">
        <v>100</v>
      </c>
      <c r="M213" s="1" t="s">
        <v>32</v>
      </c>
      <c r="N213" s="1"/>
      <c r="O213" s="4">
        <v>3931</v>
      </c>
      <c r="P213" s="4">
        <v>39</v>
      </c>
      <c r="Q213" s="4">
        <v>590</v>
      </c>
      <c r="R213" s="4">
        <v>0</v>
      </c>
      <c r="S213" s="4">
        <v>0</v>
      </c>
      <c r="T213" s="4">
        <v>4560</v>
      </c>
      <c r="U213" s="4">
        <v>0</v>
      </c>
      <c r="V213" s="1"/>
      <c r="W213" s="5">
        <v>0</v>
      </c>
      <c r="X213" s="5">
        <v>0</v>
      </c>
      <c r="Y213" s="5">
        <v>0</v>
      </c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2">
        <v>213</v>
      </c>
      <c r="B214" s="1" t="s">
        <v>454</v>
      </c>
      <c r="C214" s="1"/>
      <c r="D214" s="3">
        <v>45727</v>
      </c>
      <c r="E214" s="3">
        <v>45689</v>
      </c>
      <c r="F214" s="3">
        <v>45930</v>
      </c>
      <c r="G214" s="1" t="s">
        <v>27</v>
      </c>
      <c r="H214" s="1" t="s">
        <v>455</v>
      </c>
      <c r="I214" s="1" t="s">
        <v>29</v>
      </c>
      <c r="J214" s="1" t="s">
        <v>30</v>
      </c>
      <c r="K214" s="1" t="s">
        <v>31</v>
      </c>
      <c r="L214" s="4">
        <v>100</v>
      </c>
      <c r="M214" s="1" t="s">
        <v>32</v>
      </c>
      <c r="N214" s="1"/>
      <c r="O214" s="4">
        <v>3103</v>
      </c>
      <c r="P214" s="4">
        <v>31</v>
      </c>
      <c r="Q214" s="4">
        <v>465</v>
      </c>
      <c r="R214" s="4">
        <v>0</v>
      </c>
      <c r="S214" s="4">
        <v>0</v>
      </c>
      <c r="T214" s="4">
        <v>3599</v>
      </c>
      <c r="U214" s="4">
        <v>0</v>
      </c>
      <c r="V214" s="1"/>
      <c r="W214" s="5">
        <v>0</v>
      </c>
      <c r="X214" s="5">
        <v>0</v>
      </c>
      <c r="Y214" s="5">
        <v>0</v>
      </c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2">
        <v>214</v>
      </c>
      <c r="B215" s="1" t="s">
        <v>456</v>
      </c>
      <c r="C215" s="1"/>
      <c r="D215" s="3">
        <v>45727</v>
      </c>
      <c r="E215" s="3">
        <v>45689</v>
      </c>
      <c r="F215" s="3">
        <v>45930</v>
      </c>
      <c r="G215" s="1" t="s">
        <v>27</v>
      </c>
      <c r="H215" s="1" t="s">
        <v>457</v>
      </c>
      <c r="I215" s="1" t="s">
        <v>29</v>
      </c>
      <c r="J215" s="1" t="s">
        <v>30</v>
      </c>
      <c r="K215" s="1" t="s">
        <v>31</v>
      </c>
      <c r="L215" s="4">
        <v>100</v>
      </c>
      <c r="M215" s="1" t="s">
        <v>32</v>
      </c>
      <c r="N215" s="1"/>
      <c r="O215" s="4">
        <v>3621</v>
      </c>
      <c r="P215" s="4">
        <v>36</v>
      </c>
      <c r="Q215" s="4">
        <v>543</v>
      </c>
      <c r="R215" s="4">
        <v>0</v>
      </c>
      <c r="S215" s="4">
        <v>0</v>
      </c>
      <c r="T215" s="4">
        <v>4200</v>
      </c>
      <c r="U215" s="4">
        <v>0</v>
      </c>
      <c r="V215" s="1"/>
      <c r="W215" s="5">
        <v>0</v>
      </c>
      <c r="X215" s="5">
        <v>0</v>
      </c>
      <c r="Y215" s="5">
        <v>0</v>
      </c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2">
        <v>215</v>
      </c>
      <c r="B216" s="1" t="s">
        <v>458</v>
      </c>
      <c r="C216" s="1"/>
      <c r="D216" s="3">
        <v>45727</v>
      </c>
      <c r="E216" s="3">
        <v>45689</v>
      </c>
      <c r="F216" s="3">
        <v>45930</v>
      </c>
      <c r="G216" s="1" t="s">
        <v>27</v>
      </c>
      <c r="H216" s="1" t="s">
        <v>459</v>
      </c>
      <c r="I216" s="1" t="s">
        <v>29</v>
      </c>
      <c r="J216" s="1" t="s">
        <v>30</v>
      </c>
      <c r="K216" s="1" t="s">
        <v>31</v>
      </c>
      <c r="L216" s="4">
        <v>100</v>
      </c>
      <c r="M216" s="1" t="s">
        <v>32</v>
      </c>
      <c r="N216" s="1"/>
      <c r="O216" s="4">
        <v>6931</v>
      </c>
      <c r="P216" s="4">
        <v>69</v>
      </c>
      <c r="Q216" s="4">
        <v>1040</v>
      </c>
      <c r="R216" s="4">
        <v>0</v>
      </c>
      <c r="S216" s="4">
        <v>0</v>
      </c>
      <c r="T216" s="4">
        <v>8040</v>
      </c>
      <c r="U216" s="4">
        <v>0</v>
      </c>
      <c r="V216" s="1"/>
      <c r="W216" s="5">
        <v>0</v>
      </c>
      <c r="X216" s="5">
        <v>0</v>
      </c>
      <c r="Y216" s="5">
        <v>0</v>
      </c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2">
        <v>216</v>
      </c>
      <c r="B217" s="1" t="s">
        <v>460</v>
      </c>
      <c r="C217" s="1"/>
      <c r="D217" s="3">
        <v>45727</v>
      </c>
      <c r="E217" s="3">
        <v>45689</v>
      </c>
      <c r="F217" s="3">
        <v>45930</v>
      </c>
      <c r="G217" s="1" t="s">
        <v>27</v>
      </c>
      <c r="H217" s="1" t="s">
        <v>461</v>
      </c>
      <c r="I217" s="1" t="s">
        <v>29</v>
      </c>
      <c r="J217" s="1" t="s">
        <v>30</v>
      </c>
      <c r="K217" s="1" t="s">
        <v>31</v>
      </c>
      <c r="L217" s="4">
        <v>100</v>
      </c>
      <c r="M217" s="1" t="s">
        <v>32</v>
      </c>
      <c r="N217" s="1"/>
      <c r="O217" s="4">
        <v>12828</v>
      </c>
      <c r="P217" s="4">
        <v>128</v>
      </c>
      <c r="Q217" s="4">
        <v>1924</v>
      </c>
      <c r="R217" s="4">
        <v>0</v>
      </c>
      <c r="S217" s="4">
        <v>0</v>
      </c>
      <c r="T217" s="4">
        <v>14880</v>
      </c>
      <c r="U217" s="4">
        <v>0</v>
      </c>
      <c r="V217" s="1"/>
      <c r="W217" s="5">
        <v>0</v>
      </c>
      <c r="X217" s="5">
        <v>0</v>
      </c>
      <c r="Y217" s="5">
        <v>0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2">
        <v>217</v>
      </c>
      <c r="B218" s="1" t="s">
        <v>462</v>
      </c>
      <c r="C218" s="1"/>
      <c r="D218" s="3">
        <v>45727</v>
      </c>
      <c r="E218" s="3">
        <v>45689</v>
      </c>
      <c r="F218" s="3">
        <v>45930</v>
      </c>
      <c r="G218" s="1" t="s">
        <v>27</v>
      </c>
      <c r="H218" s="1" t="s">
        <v>463</v>
      </c>
      <c r="I218" s="1" t="s">
        <v>29</v>
      </c>
      <c r="J218" s="1" t="s">
        <v>30</v>
      </c>
      <c r="K218" s="1" t="s">
        <v>31</v>
      </c>
      <c r="L218" s="4">
        <v>100</v>
      </c>
      <c r="M218" s="1" t="s">
        <v>32</v>
      </c>
      <c r="N218" s="1"/>
      <c r="O218" s="4">
        <v>7138</v>
      </c>
      <c r="P218" s="4">
        <v>71</v>
      </c>
      <c r="Q218" s="4">
        <v>1071</v>
      </c>
      <c r="R218" s="4">
        <v>0</v>
      </c>
      <c r="S218" s="4">
        <v>0</v>
      </c>
      <c r="T218" s="4">
        <v>8280</v>
      </c>
      <c r="U218" s="4">
        <v>0</v>
      </c>
      <c r="V218" s="1"/>
      <c r="W218" s="5">
        <v>0</v>
      </c>
      <c r="X218" s="5">
        <v>0</v>
      </c>
      <c r="Y218" s="5">
        <v>0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2">
        <v>218</v>
      </c>
      <c r="B219" s="1" t="s">
        <v>464</v>
      </c>
      <c r="C219" s="1"/>
      <c r="D219" s="3">
        <v>45727</v>
      </c>
      <c r="E219" s="3">
        <v>45689</v>
      </c>
      <c r="F219" s="3">
        <v>45930</v>
      </c>
      <c r="G219" s="1" t="s">
        <v>27</v>
      </c>
      <c r="H219" s="1" t="s">
        <v>449</v>
      </c>
      <c r="I219" s="1" t="s">
        <v>29</v>
      </c>
      <c r="J219" s="1" t="s">
        <v>30</v>
      </c>
      <c r="K219" s="1" t="s">
        <v>31</v>
      </c>
      <c r="L219" s="4">
        <v>100</v>
      </c>
      <c r="M219" s="1" t="s">
        <v>32</v>
      </c>
      <c r="N219" s="1"/>
      <c r="O219" s="4">
        <v>4655</v>
      </c>
      <c r="P219" s="4">
        <v>47</v>
      </c>
      <c r="Q219" s="4">
        <v>698</v>
      </c>
      <c r="R219" s="4">
        <v>0</v>
      </c>
      <c r="S219" s="4">
        <v>0</v>
      </c>
      <c r="T219" s="4">
        <v>5400</v>
      </c>
      <c r="U219" s="4">
        <v>0</v>
      </c>
      <c r="V219" s="1"/>
      <c r="W219" s="5">
        <v>0</v>
      </c>
      <c r="X219" s="5">
        <v>0</v>
      </c>
      <c r="Y219" s="5">
        <v>0</v>
      </c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2">
        <v>219</v>
      </c>
      <c r="B220" s="1" t="s">
        <v>465</v>
      </c>
      <c r="C220" s="1"/>
      <c r="D220" s="3">
        <v>45727</v>
      </c>
      <c r="E220" s="3">
        <v>45689</v>
      </c>
      <c r="F220" s="3">
        <v>45930</v>
      </c>
      <c r="G220" s="1" t="s">
        <v>27</v>
      </c>
      <c r="H220" s="1" t="s">
        <v>250</v>
      </c>
      <c r="I220" s="1" t="s">
        <v>29</v>
      </c>
      <c r="J220" s="1" t="s">
        <v>30</v>
      </c>
      <c r="K220" s="1" t="s">
        <v>31</v>
      </c>
      <c r="L220" s="4">
        <v>100</v>
      </c>
      <c r="M220" s="1" t="s">
        <v>32</v>
      </c>
      <c r="N220" s="1"/>
      <c r="O220" s="4">
        <v>3621</v>
      </c>
      <c r="P220" s="4">
        <v>36</v>
      </c>
      <c r="Q220" s="4">
        <v>543</v>
      </c>
      <c r="R220" s="4">
        <v>0</v>
      </c>
      <c r="S220" s="4">
        <v>0</v>
      </c>
      <c r="T220" s="4">
        <v>4200</v>
      </c>
      <c r="U220" s="4">
        <v>0</v>
      </c>
      <c r="V220" s="1"/>
      <c r="W220" s="5">
        <v>0</v>
      </c>
      <c r="X220" s="5">
        <v>0</v>
      </c>
      <c r="Y220" s="5">
        <v>0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2">
        <v>220</v>
      </c>
      <c r="B221" s="1" t="s">
        <v>466</v>
      </c>
      <c r="C221" s="1"/>
      <c r="D221" s="3">
        <v>45727</v>
      </c>
      <c r="E221" s="3">
        <v>45689</v>
      </c>
      <c r="F221" s="3">
        <v>45930</v>
      </c>
      <c r="G221" s="1" t="s">
        <v>27</v>
      </c>
      <c r="H221" s="1" t="s">
        <v>467</v>
      </c>
      <c r="I221" s="1" t="s">
        <v>29</v>
      </c>
      <c r="J221" s="1" t="s">
        <v>30</v>
      </c>
      <c r="K221" s="1" t="s">
        <v>31</v>
      </c>
      <c r="L221" s="4">
        <v>100</v>
      </c>
      <c r="M221" s="1" t="s">
        <v>32</v>
      </c>
      <c r="N221" s="1"/>
      <c r="O221" s="4">
        <v>8379</v>
      </c>
      <c r="P221" s="4">
        <v>84</v>
      </c>
      <c r="Q221" s="4">
        <v>1257</v>
      </c>
      <c r="R221" s="4">
        <v>0</v>
      </c>
      <c r="S221" s="4">
        <v>0</v>
      </c>
      <c r="T221" s="4">
        <v>9720</v>
      </c>
      <c r="U221" s="4">
        <v>0</v>
      </c>
      <c r="V221" s="1"/>
      <c r="W221" s="5">
        <v>0</v>
      </c>
      <c r="X221" s="5">
        <v>0</v>
      </c>
      <c r="Y221" s="5">
        <v>0</v>
      </c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2">
        <v>221</v>
      </c>
      <c r="B222" s="1" t="s">
        <v>468</v>
      </c>
      <c r="C222" s="1"/>
      <c r="D222" s="3">
        <v>45727</v>
      </c>
      <c r="E222" s="3">
        <v>45689</v>
      </c>
      <c r="F222" s="3">
        <v>45930</v>
      </c>
      <c r="G222" s="1" t="s">
        <v>27</v>
      </c>
      <c r="H222" s="1" t="s">
        <v>469</v>
      </c>
      <c r="I222" s="1" t="s">
        <v>29</v>
      </c>
      <c r="J222" s="1" t="s">
        <v>30</v>
      </c>
      <c r="K222" s="1" t="s">
        <v>31</v>
      </c>
      <c r="L222" s="4">
        <v>100</v>
      </c>
      <c r="M222" s="1" t="s">
        <v>32</v>
      </c>
      <c r="N222" s="1"/>
      <c r="O222" s="4">
        <v>7448</v>
      </c>
      <c r="P222" s="4">
        <v>74</v>
      </c>
      <c r="Q222" s="4">
        <v>1117</v>
      </c>
      <c r="R222" s="4">
        <v>0</v>
      </c>
      <c r="S222" s="4">
        <v>0</v>
      </c>
      <c r="T222" s="4">
        <v>8639</v>
      </c>
      <c r="U222" s="4">
        <v>0</v>
      </c>
      <c r="V222" s="1"/>
      <c r="W222" s="5">
        <v>0</v>
      </c>
      <c r="X222" s="5">
        <v>0</v>
      </c>
      <c r="Y222" s="5">
        <v>0</v>
      </c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2">
        <v>222</v>
      </c>
      <c r="B223" s="1" t="s">
        <v>470</v>
      </c>
      <c r="C223" s="1"/>
      <c r="D223" s="3">
        <v>45727</v>
      </c>
      <c r="E223" s="3">
        <v>45689</v>
      </c>
      <c r="F223" s="3">
        <v>45930</v>
      </c>
      <c r="G223" s="1" t="s">
        <v>27</v>
      </c>
      <c r="H223" s="1" t="s">
        <v>471</v>
      </c>
      <c r="I223" s="1" t="s">
        <v>29</v>
      </c>
      <c r="J223" s="1" t="s">
        <v>30</v>
      </c>
      <c r="K223" s="1" t="s">
        <v>31</v>
      </c>
      <c r="L223" s="4">
        <v>100</v>
      </c>
      <c r="M223" s="1" t="s">
        <v>32</v>
      </c>
      <c r="N223" s="1"/>
      <c r="O223" s="4">
        <v>10448</v>
      </c>
      <c r="P223" s="4">
        <v>104</v>
      </c>
      <c r="Q223" s="4">
        <v>1567</v>
      </c>
      <c r="R223" s="4">
        <v>0</v>
      </c>
      <c r="S223" s="4">
        <v>0</v>
      </c>
      <c r="T223" s="4">
        <v>12119</v>
      </c>
      <c r="U223" s="4">
        <v>0</v>
      </c>
      <c r="V223" s="1"/>
      <c r="W223" s="5">
        <v>0</v>
      </c>
      <c r="X223" s="5">
        <v>0</v>
      </c>
      <c r="Y223" s="5">
        <v>0</v>
      </c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2">
        <v>223</v>
      </c>
      <c r="B224" s="1" t="s">
        <v>472</v>
      </c>
      <c r="C224" s="1"/>
      <c r="D224" s="3">
        <v>45727</v>
      </c>
      <c r="E224" s="3">
        <v>45689</v>
      </c>
      <c r="F224" s="3">
        <v>45930</v>
      </c>
      <c r="G224" s="1" t="s">
        <v>27</v>
      </c>
      <c r="H224" s="1" t="s">
        <v>473</v>
      </c>
      <c r="I224" s="1" t="s">
        <v>29</v>
      </c>
      <c r="J224" s="1" t="s">
        <v>30</v>
      </c>
      <c r="K224" s="1" t="s">
        <v>31</v>
      </c>
      <c r="L224" s="4">
        <v>100</v>
      </c>
      <c r="M224" s="1" t="s">
        <v>32</v>
      </c>
      <c r="N224" s="1"/>
      <c r="O224" s="4">
        <v>4862</v>
      </c>
      <c r="P224" s="4">
        <v>49</v>
      </c>
      <c r="Q224" s="4">
        <v>729</v>
      </c>
      <c r="R224" s="4">
        <v>0</v>
      </c>
      <c r="S224" s="4">
        <v>0</v>
      </c>
      <c r="T224" s="4">
        <v>5640</v>
      </c>
      <c r="U224" s="4">
        <v>0</v>
      </c>
      <c r="V224" s="1"/>
      <c r="W224" s="5">
        <v>0</v>
      </c>
      <c r="X224" s="5">
        <v>0</v>
      </c>
      <c r="Y224" s="5">
        <v>0</v>
      </c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2">
        <v>224</v>
      </c>
      <c r="B225" s="1" t="s">
        <v>474</v>
      </c>
      <c r="C225" s="1"/>
      <c r="D225" s="3">
        <v>45727</v>
      </c>
      <c r="E225" s="3">
        <v>45689</v>
      </c>
      <c r="F225" s="3">
        <v>45930</v>
      </c>
      <c r="G225" s="1" t="s">
        <v>27</v>
      </c>
      <c r="H225" s="1" t="s">
        <v>475</v>
      </c>
      <c r="I225" s="1" t="s">
        <v>29</v>
      </c>
      <c r="J225" s="1" t="s">
        <v>30</v>
      </c>
      <c r="K225" s="1" t="s">
        <v>31</v>
      </c>
      <c r="L225" s="4">
        <v>100</v>
      </c>
      <c r="M225" s="1" t="s">
        <v>32</v>
      </c>
      <c r="N225" s="1"/>
      <c r="O225" s="4">
        <v>5276</v>
      </c>
      <c r="P225" s="4">
        <v>53</v>
      </c>
      <c r="Q225" s="4">
        <v>791</v>
      </c>
      <c r="R225" s="4">
        <v>0</v>
      </c>
      <c r="S225" s="4">
        <v>0</v>
      </c>
      <c r="T225" s="4">
        <v>6120</v>
      </c>
      <c r="U225" s="4">
        <v>0</v>
      </c>
      <c r="V225" s="1"/>
      <c r="W225" s="5">
        <v>0</v>
      </c>
      <c r="X225" s="5">
        <v>0</v>
      </c>
      <c r="Y225" s="5">
        <v>0</v>
      </c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2">
        <v>225</v>
      </c>
      <c r="B226" s="1" t="s">
        <v>476</v>
      </c>
      <c r="C226" s="1"/>
      <c r="D226" s="3">
        <v>45727</v>
      </c>
      <c r="E226" s="3">
        <v>45689</v>
      </c>
      <c r="F226" s="3">
        <v>45930</v>
      </c>
      <c r="G226" s="1" t="s">
        <v>27</v>
      </c>
      <c r="H226" s="1" t="s">
        <v>477</v>
      </c>
      <c r="I226" s="1" t="s">
        <v>29</v>
      </c>
      <c r="J226" s="1" t="s">
        <v>30</v>
      </c>
      <c r="K226" s="1" t="s">
        <v>31</v>
      </c>
      <c r="L226" s="4">
        <v>100</v>
      </c>
      <c r="M226" s="1" t="s">
        <v>32</v>
      </c>
      <c r="N226" s="1"/>
      <c r="O226" s="4">
        <v>4345</v>
      </c>
      <c r="P226" s="4">
        <v>43</v>
      </c>
      <c r="Q226" s="4">
        <v>652</v>
      </c>
      <c r="R226" s="4">
        <v>0</v>
      </c>
      <c r="S226" s="4">
        <v>0</v>
      </c>
      <c r="T226" s="4">
        <v>5040</v>
      </c>
      <c r="U226" s="4">
        <v>0</v>
      </c>
      <c r="V226" s="1"/>
      <c r="W226" s="5">
        <v>0</v>
      </c>
      <c r="X226" s="5">
        <v>0</v>
      </c>
      <c r="Y226" s="5">
        <v>0</v>
      </c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2">
        <v>226</v>
      </c>
      <c r="B227" s="1" t="s">
        <v>478</v>
      </c>
      <c r="C227" s="1"/>
      <c r="D227" s="3">
        <v>45727</v>
      </c>
      <c r="E227" s="3">
        <v>45689</v>
      </c>
      <c r="F227" s="3">
        <v>45930</v>
      </c>
      <c r="G227" s="1" t="s">
        <v>27</v>
      </c>
      <c r="H227" s="1" t="s">
        <v>479</v>
      </c>
      <c r="I227" s="1" t="s">
        <v>29</v>
      </c>
      <c r="J227" s="1" t="s">
        <v>30</v>
      </c>
      <c r="K227" s="1" t="s">
        <v>31</v>
      </c>
      <c r="L227" s="4">
        <v>100</v>
      </c>
      <c r="M227" s="1" t="s">
        <v>32</v>
      </c>
      <c r="N227" s="1"/>
      <c r="O227" s="4">
        <v>3931</v>
      </c>
      <c r="P227" s="4">
        <v>39</v>
      </c>
      <c r="Q227" s="4">
        <v>590</v>
      </c>
      <c r="R227" s="4">
        <v>0</v>
      </c>
      <c r="S227" s="4">
        <v>0</v>
      </c>
      <c r="T227" s="4">
        <v>4560</v>
      </c>
      <c r="U227" s="4">
        <v>0</v>
      </c>
      <c r="V227" s="1"/>
      <c r="W227" s="5">
        <v>0</v>
      </c>
      <c r="X227" s="5">
        <v>0</v>
      </c>
      <c r="Y227" s="5">
        <v>0</v>
      </c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2">
        <v>227</v>
      </c>
      <c r="B228" s="1" t="s">
        <v>480</v>
      </c>
      <c r="C228" s="1"/>
      <c r="D228" s="3">
        <v>45727</v>
      </c>
      <c r="E228" s="3">
        <v>45689</v>
      </c>
      <c r="F228" s="3">
        <v>45930</v>
      </c>
      <c r="G228" s="1" t="s">
        <v>27</v>
      </c>
      <c r="H228" s="1" t="s">
        <v>481</v>
      </c>
      <c r="I228" s="1" t="s">
        <v>29</v>
      </c>
      <c r="J228" s="1" t="s">
        <v>30</v>
      </c>
      <c r="K228" s="1" t="s">
        <v>31</v>
      </c>
      <c r="L228" s="4">
        <v>100</v>
      </c>
      <c r="M228" s="1" t="s">
        <v>32</v>
      </c>
      <c r="N228" s="1"/>
      <c r="O228" s="4">
        <v>4862</v>
      </c>
      <c r="P228" s="4">
        <v>49</v>
      </c>
      <c r="Q228" s="4">
        <v>729</v>
      </c>
      <c r="R228" s="4">
        <v>0</v>
      </c>
      <c r="S228" s="4">
        <v>0</v>
      </c>
      <c r="T228" s="4">
        <v>5640</v>
      </c>
      <c r="U228" s="4">
        <v>0</v>
      </c>
      <c r="V228" s="1"/>
      <c r="W228" s="5">
        <v>0</v>
      </c>
      <c r="X228" s="5">
        <v>0</v>
      </c>
      <c r="Y228" s="5">
        <v>0</v>
      </c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2">
        <v>228</v>
      </c>
      <c r="B229" s="1" t="s">
        <v>482</v>
      </c>
      <c r="C229" s="1"/>
      <c r="D229" s="3">
        <v>45727</v>
      </c>
      <c r="E229" s="3">
        <v>45689</v>
      </c>
      <c r="F229" s="3">
        <v>45930</v>
      </c>
      <c r="G229" s="1" t="s">
        <v>27</v>
      </c>
      <c r="H229" s="1" t="s">
        <v>483</v>
      </c>
      <c r="I229" s="1" t="s">
        <v>29</v>
      </c>
      <c r="J229" s="1" t="s">
        <v>30</v>
      </c>
      <c r="K229" s="1" t="s">
        <v>31</v>
      </c>
      <c r="L229" s="4">
        <v>100</v>
      </c>
      <c r="M229" s="1" t="s">
        <v>32</v>
      </c>
      <c r="N229" s="1"/>
      <c r="O229" s="4">
        <v>10655</v>
      </c>
      <c r="P229" s="4">
        <v>107</v>
      </c>
      <c r="Q229" s="4">
        <v>1598</v>
      </c>
      <c r="R229" s="4">
        <v>0</v>
      </c>
      <c r="S229" s="4">
        <v>0</v>
      </c>
      <c r="T229" s="4">
        <v>12360</v>
      </c>
      <c r="U229" s="4">
        <v>0</v>
      </c>
      <c r="V229" s="1"/>
      <c r="W229" s="5">
        <v>0</v>
      </c>
      <c r="X229" s="5">
        <v>0</v>
      </c>
      <c r="Y229" s="5">
        <v>0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2">
        <v>229</v>
      </c>
      <c r="B230" s="1" t="s">
        <v>484</v>
      </c>
      <c r="C230" s="1"/>
      <c r="D230" s="3">
        <v>45727</v>
      </c>
      <c r="E230" s="3">
        <v>45689</v>
      </c>
      <c r="F230" s="3">
        <v>45930</v>
      </c>
      <c r="G230" s="1" t="s">
        <v>27</v>
      </c>
      <c r="H230" s="1" t="s">
        <v>485</v>
      </c>
      <c r="I230" s="1" t="s">
        <v>29</v>
      </c>
      <c r="J230" s="1" t="s">
        <v>30</v>
      </c>
      <c r="K230" s="1" t="s">
        <v>31</v>
      </c>
      <c r="L230" s="4">
        <v>100</v>
      </c>
      <c r="M230" s="1" t="s">
        <v>32</v>
      </c>
      <c r="N230" s="1"/>
      <c r="O230" s="4">
        <v>10448</v>
      </c>
      <c r="P230" s="4">
        <v>104</v>
      </c>
      <c r="Q230" s="4">
        <v>1567</v>
      </c>
      <c r="R230" s="4">
        <v>0</v>
      </c>
      <c r="S230" s="4">
        <v>0</v>
      </c>
      <c r="T230" s="4">
        <v>12119</v>
      </c>
      <c r="U230" s="4">
        <v>0</v>
      </c>
      <c r="V230" s="1"/>
      <c r="W230" s="5">
        <v>0</v>
      </c>
      <c r="X230" s="5">
        <v>0</v>
      </c>
      <c r="Y230" s="5">
        <v>0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2">
        <v>230</v>
      </c>
      <c r="B231" s="1" t="s">
        <v>486</v>
      </c>
      <c r="C231" s="1"/>
      <c r="D231" s="3">
        <v>45727</v>
      </c>
      <c r="E231" s="3">
        <v>45689</v>
      </c>
      <c r="F231" s="3">
        <v>45930</v>
      </c>
      <c r="G231" s="1" t="s">
        <v>27</v>
      </c>
      <c r="H231" s="1" t="s">
        <v>487</v>
      </c>
      <c r="I231" s="1" t="s">
        <v>29</v>
      </c>
      <c r="J231" s="1" t="s">
        <v>30</v>
      </c>
      <c r="K231" s="1" t="s">
        <v>31</v>
      </c>
      <c r="L231" s="4">
        <v>100</v>
      </c>
      <c r="M231" s="1" t="s">
        <v>32</v>
      </c>
      <c r="N231" s="1"/>
      <c r="O231" s="4">
        <v>9000</v>
      </c>
      <c r="P231" s="4">
        <v>90</v>
      </c>
      <c r="Q231" s="4">
        <v>1350</v>
      </c>
      <c r="R231" s="4">
        <v>0</v>
      </c>
      <c r="S231" s="4">
        <v>0</v>
      </c>
      <c r="T231" s="4">
        <v>10440</v>
      </c>
      <c r="U231" s="4">
        <v>0</v>
      </c>
      <c r="V231" s="1"/>
      <c r="W231" s="5">
        <v>0</v>
      </c>
      <c r="X231" s="5">
        <v>0</v>
      </c>
      <c r="Y231" s="5">
        <v>0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2">
        <v>231</v>
      </c>
      <c r="B232" s="1" t="s">
        <v>488</v>
      </c>
      <c r="C232" s="1"/>
      <c r="D232" s="3">
        <v>45727</v>
      </c>
      <c r="E232" s="3">
        <v>45689</v>
      </c>
      <c r="F232" s="3">
        <v>45930</v>
      </c>
      <c r="G232" s="1" t="s">
        <v>27</v>
      </c>
      <c r="H232" s="1" t="s">
        <v>489</v>
      </c>
      <c r="I232" s="1" t="s">
        <v>29</v>
      </c>
      <c r="J232" s="1" t="s">
        <v>30</v>
      </c>
      <c r="K232" s="1" t="s">
        <v>31</v>
      </c>
      <c r="L232" s="4">
        <v>100</v>
      </c>
      <c r="M232" s="1" t="s">
        <v>32</v>
      </c>
      <c r="N232" s="1"/>
      <c r="O232" s="4">
        <v>10448</v>
      </c>
      <c r="P232" s="4">
        <v>104</v>
      </c>
      <c r="Q232" s="4">
        <v>1567</v>
      </c>
      <c r="R232" s="4">
        <v>0</v>
      </c>
      <c r="S232" s="4">
        <v>0</v>
      </c>
      <c r="T232" s="4">
        <v>12119</v>
      </c>
      <c r="U232" s="4">
        <v>0</v>
      </c>
      <c r="V232" s="1"/>
      <c r="W232" s="5">
        <v>0</v>
      </c>
      <c r="X232" s="5">
        <v>0</v>
      </c>
      <c r="Y232" s="5">
        <v>0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2">
        <v>232</v>
      </c>
      <c r="B233" s="1" t="s">
        <v>490</v>
      </c>
      <c r="C233" s="1"/>
      <c r="D233" s="3">
        <v>45727</v>
      </c>
      <c r="E233" s="3">
        <v>45689</v>
      </c>
      <c r="F233" s="3">
        <v>45930</v>
      </c>
      <c r="G233" s="1" t="s">
        <v>27</v>
      </c>
      <c r="H233" s="1" t="s">
        <v>491</v>
      </c>
      <c r="I233" s="1" t="s">
        <v>29</v>
      </c>
      <c r="J233" s="1" t="s">
        <v>30</v>
      </c>
      <c r="K233" s="1" t="s">
        <v>31</v>
      </c>
      <c r="L233" s="4">
        <v>100</v>
      </c>
      <c r="M233" s="1" t="s">
        <v>32</v>
      </c>
      <c r="N233" s="1"/>
      <c r="O233" s="4">
        <v>7138</v>
      </c>
      <c r="P233" s="4">
        <v>71</v>
      </c>
      <c r="Q233" s="4">
        <v>1071</v>
      </c>
      <c r="R233" s="4">
        <v>0</v>
      </c>
      <c r="S233" s="4">
        <v>0</v>
      </c>
      <c r="T233" s="4">
        <v>8280</v>
      </c>
      <c r="U233" s="4">
        <v>0</v>
      </c>
      <c r="V233" s="1"/>
      <c r="W233" s="5">
        <v>0</v>
      </c>
      <c r="X233" s="5">
        <v>0</v>
      </c>
      <c r="Y233" s="5">
        <v>0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2">
        <v>233</v>
      </c>
      <c r="B234" s="1" t="s">
        <v>492</v>
      </c>
      <c r="C234" s="1"/>
      <c r="D234" s="3">
        <v>45727</v>
      </c>
      <c r="E234" s="3">
        <v>45689</v>
      </c>
      <c r="F234" s="3">
        <v>45930</v>
      </c>
      <c r="G234" s="1" t="s">
        <v>27</v>
      </c>
      <c r="H234" s="1" t="s">
        <v>493</v>
      </c>
      <c r="I234" s="1" t="s">
        <v>29</v>
      </c>
      <c r="J234" s="1" t="s">
        <v>30</v>
      </c>
      <c r="K234" s="1" t="s">
        <v>31</v>
      </c>
      <c r="L234" s="4">
        <v>100</v>
      </c>
      <c r="M234" s="1" t="s">
        <v>32</v>
      </c>
      <c r="N234" s="1"/>
      <c r="O234" s="4">
        <v>12414</v>
      </c>
      <c r="P234" s="4">
        <v>124</v>
      </c>
      <c r="Q234" s="4">
        <v>1862</v>
      </c>
      <c r="R234" s="4">
        <v>0</v>
      </c>
      <c r="S234" s="4">
        <v>0</v>
      </c>
      <c r="T234" s="4">
        <v>14400</v>
      </c>
      <c r="U234" s="4">
        <v>0</v>
      </c>
      <c r="V234" s="1"/>
      <c r="W234" s="5">
        <v>0</v>
      </c>
      <c r="X234" s="5">
        <v>0</v>
      </c>
      <c r="Y234" s="5">
        <v>0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2">
        <v>234</v>
      </c>
      <c r="B235" s="1" t="s">
        <v>494</v>
      </c>
      <c r="C235" s="1"/>
      <c r="D235" s="3">
        <v>45727</v>
      </c>
      <c r="E235" s="3">
        <v>45689</v>
      </c>
      <c r="F235" s="3">
        <v>45930</v>
      </c>
      <c r="G235" s="1" t="s">
        <v>27</v>
      </c>
      <c r="H235" s="1" t="s">
        <v>495</v>
      </c>
      <c r="I235" s="1" t="s">
        <v>29</v>
      </c>
      <c r="J235" s="1" t="s">
        <v>30</v>
      </c>
      <c r="K235" s="1" t="s">
        <v>31</v>
      </c>
      <c r="L235" s="4">
        <v>100</v>
      </c>
      <c r="M235" s="1" t="s">
        <v>32</v>
      </c>
      <c r="N235" s="1"/>
      <c r="O235" s="4">
        <v>4862</v>
      </c>
      <c r="P235" s="4">
        <v>49</v>
      </c>
      <c r="Q235" s="4">
        <v>729</v>
      </c>
      <c r="R235" s="4">
        <v>0</v>
      </c>
      <c r="S235" s="4">
        <v>0</v>
      </c>
      <c r="T235" s="4">
        <v>5640</v>
      </c>
      <c r="U235" s="4">
        <v>0</v>
      </c>
      <c r="V235" s="1"/>
      <c r="W235" s="5">
        <v>0</v>
      </c>
      <c r="X235" s="5">
        <v>0</v>
      </c>
      <c r="Y235" s="5">
        <v>0</v>
      </c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2">
        <v>235</v>
      </c>
      <c r="B236" s="1" t="s">
        <v>496</v>
      </c>
      <c r="C236" s="1"/>
      <c r="D236" s="3">
        <v>45727</v>
      </c>
      <c r="E236" s="3">
        <v>45689</v>
      </c>
      <c r="F236" s="3">
        <v>45930</v>
      </c>
      <c r="G236" s="1" t="s">
        <v>27</v>
      </c>
      <c r="H236" s="1" t="s">
        <v>497</v>
      </c>
      <c r="I236" s="1" t="s">
        <v>29</v>
      </c>
      <c r="J236" s="1" t="s">
        <v>30</v>
      </c>
      <c r="K236" s="1" t="s">
        <v>31</v>
      </c>
      <c r="L236" s="4">
        <v>100</v>
      </c>
      <c r="M236" s="1" t="s">
        <v>32</v>
      </c>
      <c r="N236" s="1"/>
      <c r="O236" s="4">
        <v>8172</v>
      </c>
      <c r="P236" s="4">
        <v>82</v>
      </c>
      <c r="Q236" s="4">
        <v>1226</v>
      </c>
      <c r="R236" s="4">
        <v>0</v>
      </c>
      <c r="S236" s="4">
        <v>0</v>
      </c>
      <c r="T236" s="4">
        <v>9480</v>
      </c>
      <c r="U236" s="4">
        <v>0</v>
      </c>
      <c r="V236" s="1"/>
      <c r="W236" s="5">
        <v>0</v>
      </c>
      <c r="X236" s="5">
        <v>0</v>
      </c>
      <c r="Y236" s="5">
        <v>0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2">
        <v>236</v>
      </c>
      <c r="B237" s="1" t="s">
        <v>498</v>
      </c>
      <c r="C237" s="1"/>
      <c r="D237" s="3">
        <v>45727</v>
      </c>
      <c r="E237" s="3">
        <v>45689</v>
      </c>
      <c r="F237" s="3">
        <v>45930</v>
      </c>
      <c r="G237" s="1" t="s">
        <v>27</v>
      </c>
      <c r="H237" s="1" t="s">
        <v>499</v>
      </c>
      <c r="I237" s="1" t="s">
        <v>29</v>
      </c>
      <c r="J237" s="1" t="s">
        <v>30</v>
      </c>
      <c r="K237" s="1" t="s">
        <v>31</v>
      </c>
      <c r="L237" s="4">
        <v>100</v>
      </c>
      <c r="M237" s="1" t="s">
        <v>32</v>
      </c>
      <c r="N237" s="1"/>
      <c r="O237" s="4">
        <v>8483</v>
      </c>
      <c r="P237" s="4">
        <v>85</v>
      </c>
      <c r="Q237" s="4">
        <v>1272</v>
      </c>
      <c r="R237" s="4">
        <v>0</v>
      </c>
      <c r="S237" s="4">
        <v>0</v>
      </c>
      <c r="T237" s="4">
        <v>9840</v>
      </c>
      <c r="U237" s="4">
        <v>0</v>
      </c>
      <c r="V237" s="1"/>
      <c r="W237" s="5">
        <v>0</v>
      </c>
      <c r="X237" s="5">
        <v>0</v>
      </c>
      <c r="Y237" s="5">
        <v>0</v>
      </c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2">
        <v>237</v>
      </c>
      <c r="B238" s="1" t="s">
        <v>500</v>
      </c>
      <c r="C238" s="1"/>
      <c r="D238" s="3">
        <v>45727</v>
      </c>
      <c r="E238" s="3">
        <v>45689</v>
      </c>
      <c r="F238" s="3">
        <v>45930</v>
      </c>
      <c r="G238" s="1" t="s">
        <v>27</v>
      </c>
      <c r="H238" s="1" t="s">
        <v>501</v>
      </c>
      <c r="I238" s="1" t="s">
        <v>29</v>
      </c>
      <c r="J238" s="1" t="s">
        <v>30</v>
      </c>
      <c r="K238" s="1" t="s">
        <v>31</v>
      </c>
      <c r="L238" s="4">
        <v>100</v>
      </c>
      <c r="M238" s="1" t="s">
        <v>32</v>
      </c>
      <c r="N238" s="1"/>
      <c r="O238" s="4">
        <v>6621</v>
      </c>
      <c r="P238" s="4">
        <v>66</v>
      </c>
      <c r="Q238" s="4">
        <v>993</v>
      </c>
      <c r="R238" s="4">
        <v>0</v>
      </c>
      <c r="S238" s="4">
        <v>0</v>
      </c>
      <c r="T238" s="4">
        <v>7680</v>
      </c>
      <c r="U238" s="4">
        <v>0</v>
      </c>
      <c r="V238" s="1"/>
      <c r="W238" s="5">
        <v>0</v>
      </c>
      <c r="X238" s="5">
        <v>0</v>
      </c>
      <c r="Y238" s="5">
        <v>0</v>
      </c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2">
        <v>238</v>
      </c>
      <c r="B239" s="1" t="s">
        <v>502</v>
      </c>
      <c r="C239" s="1"/>
      <c r="D239" s="3">
        <v>45727</v>
      </c>
      <c r="E239" s="3">
        <v>45689</v>
      </c>
      <c r="F239" s="3">
        <v>45930</v>
      </c>
      <c r="G239" s="1" t="s">
        <v>27</v>
      </c>
      <c r="H239" s="1" t="s">
        <v>503</v>
      </c>
      <c r="I239" s="1" t="s">
        <v>29</v>
      </c>
      <c r="J239" s="1" t="s">
        <v>30</v>
      </c>
      <c r="K239" s="1" t="s">
        <v>31</v>
      </c>
      <c r="L239" s="4">
        <v>100</v>
      </c>
      <c r="M239" s="1" t="s">
        <v>32</v>
      </c>
      <c r="N239" s="1"/>
      <c r="O239" s="4">
        <v>4966</v>
      </c>
      <c r="P239" s="4">
        <v>50</v>
      </c>
      <c r="Q239" s="4">
        <v>745</v>
      </c>
      <c r="R239" s="4">
        <v>0</v>
      </c>
      <c r="S239" s="4">
        <v>0</v>
      </c>
      <c r="T239" s="4">
        <v>5761</v>
      </c>
      <c r="U239" s="4">
        <v>0</v>
      </c>
      <c r="V239" s="1"/>
      <c r="W239" s="5">
        <v>0</v>
      </c>
      <c r="X239" s="5">
        <v>0</v>
      </c>
      <c r="Y239" s="5">
        <v>0</v>
      </c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2">
        <v>239</v>
      </c>
      <c r="B240" s="1" t="s">
        <v>504</v>
      </c>
      <c r="C240" s="1"/>
      <c r="D240" s="3">
        <v>45727</v>
      </c>
      <c r="E240" s="3">
        <v>45689</v>
      </c>
      <c r="F240" s="3">
        <v>45930</v>
      </c>
      <c r="G240" s="1" t="s">
        <v>27</v>
      </c>
      <c r="H240" s="1" t="s">
        <v>505</v>
      </c>
      <c r="I240" s="1" t="s">
        <v>29</v>
      </c>
      <c r="J240" s="1" t="s">
        <v>30</v>
      </c>
      <c r="K240" s="1" t="s">
        <v>31</v>
      </c>
      <c r="L240" s="4">
        <v>100</v>
      </c>
      <c r="M240" s="1" t="s">
        <v>32</v>
      </c>
      <c r="N240" s="1"/>
      <c r="O240" s="4">
        <v>3621</v>
      </c>
      <c r="P240" s="4">
        <v>36</v>
      </c>
      <c r="Q240" s="4">
        <v>543</v>
      </c>
      <c r="R240" s="4">
        <v>0</v>
      </c>
      <c r="S240" s="4">
        <v>0</v>
      </c>
      <c r="T240" s="4">
        <v>4200</v>
      </c>
      <c r="U240" s="4">
        <v>0</v>
      </c>
      <c r="V240" s="1"/>
      <c r="W240" s="5">
        <v>0</v>
      </c>
      <c r="X240" s="5">
        <v>0</v>
      </c>
      <c r="Y240" s="5">
        <v>0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2">
        <v>240</v>
      </c>
      <c r="B241" s="1" t="s">
        <v>506</v>
      </c>
      <c r="C241" s="1"/>
      <c r="D241" s="3">
        <v>45727</v>
      </c>
      <c r="E241" s="3">
        <v>45689</v>
      </c>
      <c r="F241" s="3">
        <v>45930</v>
      </c>
      <c r="G241" s="1" t="s">
        <v>27</v>
      </c>
      <c r="H241" s="1" t="s">
        <v>507</v>
      </c>
      <c r="I241" s="1" t="s">
        <v>29</v>
      </c>
      <c r="J241" s="1" t="s">
        <v>30</v>
      </c>
      <c r="K241" s="1" t="s">
        <v>31</v>
      </c>
      <c r="L241" s="4">
        <v>100</v>
      </c>
      <c r="M241" s="1" t="s">
        <v>32</v>
      </c>
      <c r="N241" s="1"/>
      <c r="O241" s="4">
        <v>6414</v>
      </c>
      <c r="P241" s="4">
        <v>64</v>
      </c>
      <c r="Q241" s="4">
        <v>962</v>
      </c>
      <c r="R241" s="4">
        <v>0</v>
      </c>
      <c r="S241" s="4">
        <v>0</v>
      </c>
      <c r="T241" s="4">
        <v>7440</v>
      </c>
      <c r="U241" s="4">
        <v>0</v>
      </c>
      <c r="V241" s="1"/>
      <c r="W241" s="5">
        <v>0</v>
      </c>
      <c r="X241" s="5">
        <v>0</v>
      </c>
      <c r="Y241" s="5">
        <v>0</v>
      </c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2">
        <v>241</v>
      </c>
      <c r="B242" s="1" t="s">
        <v>508</v>
      </c>
      <c r="C242" s="1"/>
      <c r="D242" s="3">
        <v>45727</v>
      </c>
      <c r="E242" s="3">
        <v>45689</v>
      </c>
      <c r="F242" s="3">
        <v>45930</v>
      </c>
      <c r="G242" s="1" t="s">
        <v>27</v>
      </c>
      <c r="H242" s="1" t="s">
        <v>509</v>
      </c>
      <c r="I242" s="1" t="s">
        <v>29</v>
      </c>
      <c r="J242" s="1" t="s">
        <v>30</v>
      </c>
      <c r="K242" s="1" t="s">
        <v>31</v>
      </c>
      <c r="L242" s="4">
        <v>100</v>
      </c>
      <c r="M242" s="1" t="s">
        <v>32</v>
      </c>
      <c r="N242" s="1"/>
      <c r="O242" s="4">
        <v>7138</v>
      </c>
      <c r="P242" s="4">
        <v>71</v>
      </c>
      <c r="Q242" s="4">
        <v>1071</v>
      </c>
      <c r="R242" s="4">
        <v>0</v>
      </c>
      <c r="S242" s="4">
        <v>0</v>
      </c>
      <c r="T242" s="4">
        <v>8280</v>
      </c>
      <c r="U242" s="4">
        <v>0</v>
      </c>
      <c r="V242" s="1"/>
      <c r="W242" s="5">
        <v>0</v>
      </c>
      <c r="X242" s="5">
        <v>0</v>
      </c>
      <c r="Y242" s="5">
        <v>0</v>
      </c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2">
        <v>242</v>
      </c>
      <c r="B243" s="1" t="s">
        <v>510</v>
      </c>
      <c r="C243" s="1"/>
      <c r="D243" s="3">
        <v>45727</v>
      </c>
      <c r="E243" s="3">
        <v>45689</v>
      </c>
      <c r="F243" s="3">
        <v>45930</v>
      </c>
      <c r="G243" s="1" t="s">
        <v>27</v>
      </c>
      <c r="H243" s="1" t="s">
        <v>511</v>
      </c>
      <c r="I243" s="1" t="s">
        <v>29</v>
      </c>
      <c r="J243" s="1" t="s">
        <v>30</v>
      </c>
      <c r="K243" s="1" t="s">
        <v>31</v>
      </c>
      <c r="L243" s="4">
        <v>100</v>
      </c>
      <c r="M243" s="1" t="s">
        <v>32</v>
      </c>
      <c r="N243" s="1"/>
      <c r="O243" s="4">
        <v>8483</v>
      </c>
      <c r="P243" s="4">
        <v>85</v>
      </c>
      <c r="Q243" s="4">
        <v>1272</v>
      </c>
      <c r="R243" s="4">
        <v>0</v>
      </c>
      <c r="S243" s="4">
        <v>0</v>
      </c>
      <c r="T243" s="4">
        <v>9840</v>
      </c>
      <c r="U243" s="4">
        <v>0</v>
      </c>
      <c r="V243" s="1"/>
      <c r="W243" s="5">
        <v>0</v>
      </c>
      <c r="X243" s="5">
        <v>0</v>
      </c>
      <c r="Y243" s="5">
        <v>0</v>
      </c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2">
        <v>243</v>
      </c>
      <c r="B244" s="1" t="s">
        <v>512</v>
      </c>
      <c r="C244" s="1"/>
      <c r="D244" s="3">
        <v>45727</v>
      </c>
      <c r="E244" s="3">
        <v>45689</v>
      </c>
      <c r="F244" s="3">
        <v>45930</v>
      </c>
      <c r="G244" s="1" t="s">
        <v>27</v>
      </c>
      <c r="H244" s="1" t="s">
        <v>513</v>
      </c>
      <c r="I244" s="1" t="s">
        <v>29</v>
      </c>
      <c r="J244" s="1" t="s">
        <v>30</v>
      </c>
      <c r="K244" s="1" t="s">
        <v>31</v>
      </c>
      <c r="L244" s="4">
        <v>100</v>
      </c>
      <c r="M244" s="1" t="s">
        <v>32</v>
      </c>
      <c r="N244" s="1"/>
      <c r="O244" s="4">
        <v>4759</v>
      </c>
      <c r="P244" s="4">
        <v>48</v>
      </c>
      <c r="Q244" s="4">
        <v>714</v>
      </c>
      <c r="R244" s="4">
        <v>0</v>
      </c>
      <c r="S244" s="4">
        <v>0</v>
      </c>
      <c r="T244" s="4">
        <v>5521</v>
      </c>
      <c r="U244" s="4">
        <v>0</v>
      </c>
      <c r="V244" s="1"/>
      <c r="W244" s="5">
        <v>0</v>
      </c>
      <c r="X244" s="5">
        <v>0</v>
      </c>
      <c r="Y244" s="5">
        <v>0</v>
      </c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2">
        <v>244</v>
      </c>
      <c r="B245" s="1" t="s">
        <v>514</v>
      </c>
      <c r="C245" s="1"/>
      <c r="D245" s="3">
        <v>45727</v>
      </c>
      <c r="E245" s="3">
        <v>45689</v>
      </c>
      <c r="F245" s="3">
        <v>45930</v>
      </c>
      <c r="G245" s="1" t="s">
        <v>27</v>
      </c>
      <c r="H245" s="1" t="s">
        <v>515</v>
      </c>
      <c r="I245" s="1" t="s">
        <v>29</v>
      </c>
      <c r="J245" s="1" t="s">
        <v>30</v>
      </c>
      <c r="K245" s="1" t="s">
        <v>31</v>
      </c>
      <c r="L245" s="4">
        <v>100</v>
      </c>
      <c r="M245" s="1" t="s">
        <v>32</v>
      </c>
      <c r="N245" s="1"/>
      <c r="O245" s="4">
        <v>3517</v>
      </c>
      <c r="P245" s="4">
        <v>35</v>
      </c>
      <c r="Q245" s="4">
        <v>528</v>
      </c>
      <c r="R245" s="4">
        <v>0</v>
      </c>
      <c r="S245" s="4">
        <v>0</v>
      </c>
      <c r="T245" s="4">
        <v>4080</v>
      </c>
      <c r="U245" s="4">
        <v>0</v>
      </c>
      <c r="V245" s="1"/>
      <c r="W245" s="5">
        <v>0</v>
      </c>
      <c r="X245" s="5">
        <v>0</v>
      </c>
      <c r="Y245" s="5">
        <v>0</v>
      </c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2">
        <v>245</v>
      </c>
      <c r="B246" s="1" t="s">
        <v>516</v>
      </c>
      <c r="C246" s="1"/>
      <c r="D246" s="3">
        <v>45727</v>
      </c>
      <c r="E246" s="3">
        <v>45689</v>
      </c>
      <c r="F246" s="3">
        <v>45930</v>
      </c>
      <c r="G246" s="1" t="s">
        <v>27</v>
      </c>
      <c r="H246" s="1" t="s">
        <v>517</v>
      </c>
      <c r="I246" s="1" t="s">
        <v>29</v>
      </c>
      <c r="J246" s="1" t="s">
        <v>30</v>
      </c>
      <c r="K246" s="1" t="s">
        <v>31</v>
      </c>
      <c r="L246" s="4">
        <v>100</v>
      </c>
      <c r="M246" s="1" t="s">
        <v>32</v>
      </c>
      <c r="N246" s="1"/>
      <c r="O246" s="4">
        <v>3931</v>
      </c>
      <c r="P246" s="4">
        <v>39</v>
      </c>
      <c r="Q246" s="4">
        <v>590</v>
      </c>
      <c r="R246" s="4">
        <v>0</v>
      </c>
      <c r="S246" s="4">
        <v>0</v>
      </c>
      <c r="T246" s="4">
        <v>4560</v>
      </c>
      <c r="U246" s="4">
        <v>0</v>
      </c>
      <c r="V246" s="1"/>
      <c r="W246" s="5">
        <v>0</v>
      </c>
      <c r="X246" s="5">
        <v>0</v>
      </c>
      <c r="Y246" s="5">
        <v>0</v>
      </c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2">
        <v>246</v>
      </c>
      <c r="B247" s="1" t="s">
        <v>518</v>
      </c>
      <c r="C247" s="1"/>
      <c r="D247" s="3">
        <v>45727</v>
      </c>
      <c r="E247" s="3">
        <v>45689</v>
      </c>
      <c r="F247" s="3">
        <v>45930</v>
      </c>
      <c r="G247" s="1" t="s">
        <v>27</v>
      </c>
      <c r="H247" s="1" t="s">
        <v>519</v>
      </c>
      <c r="I247" s="1" t="s">
        <v>29</v>
      </c>
      <c r="J247" s="1" t="s">
        <v>30</v>
      </c>
      <c r="K247" s="1" t="s">
        <v>31</v>
      </c>
      <c r="L247" s="4">
        <v>100</v>
      </c>
      <c r="M247" s="1" t="s">
        <v>32</v>
      </c>
      <c r="N247" s="1"/>
      <c r="O247" s="4">
        <v>10345</v>
      </c>
      <c r="P247" s="4">
        <v>103</v>
      </c>
      <c r="Q247" s="4">
        <v>1552</v>
      </c>
      <c r="R247" s="4">
        <v>0</v>
      </c>
      <c r="S247" s="4">
        <v>0</v>
      </c>
      <c r="T247" s="4">
        <v>12000</v>
      </c>
      <c r="U247" s="4">
        <v>0</v>
      </c>
      <c r="V247" s="1"/>
      <c r="W247" s="5">
        <v>0</v>
      </c>
      <c r="X247" s="5">
        <v>0</v>
      </c>
      <c r="Y247" s="5">
        <v>0</v>
      </c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2">
        <v>247</v>
      </c>
      <c r="B248" s="1" t="s">
        <v>520</v>
      </c>
      <c r="C248" s="1"/>
      <c r="D248" s="3">
        <v>45727</v>
      </c>
      <c r="E248" s="3">
        <v>45689</v>
      </c>
      <c r="F248" s="3">
        <v>45930</v>
      </c>
      <c r="G248" s="1" t="s">
        <v>27</v>
      </c>
      <c r="H248" s="1" t="s">
        <v>521</v>
      </c>
      <c r="I248" s="1" t="s">
        <v>29</v>
      </c>
      <c r="J248" s="1" t="s">
        <v>30</v>
      </c>
      <c r="K248" s="1" t="s">
        <v>31</v>
      </c>
      <c r="L248" s="4">
        <v>100</v>
      </c>
      <c r="M248" s="1" t="s">
        <v>32</v>
      </c>
      <c r="N248" s="1"/>
      <c r="O248" s="4">
        <v>7241</v>
      </c>
      <c r="P248" s="4">
        <v>72</v>
      </c>
      <c r="Q248" s="4">
        <v>1086</v>
      </c>
      <c r="R248" s="4">
        <v>0</v>
      </c>
      <c r="S248" s="4">
        <v>0</v>
      </c>
      <c r="T248" s="4">
        <v>8399</v>
      </c>
      <c r="U248" s="4">
        <v>0</v>
      </c>
      <c r="V248" s="1"/>
      <c r="W248" s="5">
        <v>0</v>
      </c>
      <c r="X248" s="5">
        <v>0</v>
      </c>
      <c r="Y248" s="5">
        <v>0</v>
      </c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2">
        <v>248</v>
      </c>
      <c r="B249" s="1" t="s">
        <v>522</v>
      </c>
      <c r="C249" s="1"/>
      <c r="D249" s="3">
        <v>45727</v>
      </c>
      <c r="E249" s="3">
        <v>45689</v>
      </c>
      <c r="F249" s="3">
        <v>45930</v>
      </c>
      <c r="G249" s="1" t="s">
        <v>27</v>
      </c>
      <c r="H249" s="1" t="s">
        <v>523</v>
      </c>
      <c r="I249" s="1" t="s">
        <v>29</v>
      </c>
      <c r="J249" s="1" t="s">
        <v>30</v>
      </c>
      <c r="K249" s="1" t="s">
        <v>31</v>
      </c>
      <c r="L249" s="4">
        <v>100</v>
      </c>
      <c r="M249" s="1" t="s">
        <v>32</v>
      </c>
      <c r="N249" s="1"/>
      <c r="O249" s="4">
        <v>4241</v>
      </c>
      <c r="P249" s="4">
        <v>42</v>
      </c>
      <c r="Q249" s="4">
        <v>636</v>
      </c>
      <c r="R249" s="4">
        <v>0</v>
      </c>
      <c r="S249" s="4">
        <v>0</v>
      </c>
      <c r="T249" s="4">
        <v>4919</v>
      </c>
      <c r="U249" s="4">
        <v>0</v>
      </c>
      <c r="V249" s="1"/>
      <c r="W249" s="5">
        <v>0</v>
      </c>
      <c r="X249" s="5">
        <v>0</v>
      </c>
      <c r="Y249" s="5">
        <v>0</v>
      </c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2">
        <v>249</v>
      </c>
      <c r="B250" s="1" t="s">
        <v>524</v>
      </c>
      <c r="C250" s="1"/>
      <c r="D250" s="3">
        <v>45727</v>
      </c>
      <c r="E250" s="3">
        <v>45689</v>
      </c>
      <c r="F250" s="3">
        <v>45930</v>
      </c>
      <c r="G250" s="1" t="s">
        <v>27</v>
      </c>
      <c r="H250" s="1" t="s">
        <v>525</v>
      </c>
      <c r="I250" s="1" t="s">
        <v>29</v>
      </c>
      <c r="J250" s="1" t="s">
        <v>30</v>
      </c>
      <c r="K250" s="1" t="s">
        <v>31</v>
      </c>
      <c r="L250" s="4">
        <v>100</v>
      </c>
      <c r="M250" s="1" t="s">
        <v>32</v>
      </c>
      <c r="N250" s="1"/>
      <c r="O250" s="4">
        <v>6828</v>
      </c>
      <c r="P250" s="4">
        <v>68</v>
      </c>
      <c r="Q250" s="4">
        <v>1024</v>
      </c>
      <c r="R250" s="4">
        <v>0</v>
      </c>
      <c r="S250" s="4">
        <v>0</v>
      </c>
      <c r="T250" s="4">
        <v>7920</v>
      </c>
      <c r="U250" s="4">
        <v>0</v>
      </c>
      <c r="V250" s="1"/>
      <c r="W250" s="5">
        <v>0</v>
      </c>
      <c r="X250" s="5">
        <v>0</v>
      </c>
      <c r="Y250" s="5">
        <v>0</v>
      </c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2">
        <v>250</v>
      </c>
      <c r="B251" s="1" t="s">
        <v>526</v>
      </c>
      <c r="C251" s="1"/>
      <c r="D251" s="3">
        <v>45727</v>
      </c>
      <c r="E251" s="3">
        <v>45689</v>
      </c>
      <c r="F251" s="3">
        <v>45930</v>
      </c>
      <c r="G251" s="1" t="s">
        <v>27</v>
      </c>
      <c r="H251" s="1" t="s">
        <v>527</v>
      </c>
      <c r="I251" s="1" t="s">
        <v>29</v>
      </c>
      <c r="J251" s="1" t="s">
        <v>30</v>
      </c>
      <c r="K251" s="1" t="s">
        <v>31</v>
      </c>
      <c r="L251" s="4">
        <v>100</v>
      </c>
      <c r="M251" s="1" t="s">
        <v>32</v>
      </c>
      <c r="N251" s="1"/>
      <c r="O251" s="4">
        <v>7966</v>
      </c>
      <c r="P251" s="4">
        <v>80</v>
      </c>
      <c r="Q251" s="4">
        <v>1195</v>
      </c>
      <c r="R251" s="4">
        <v>0</v>
      </c>
      <c r="S251" s="4">
        <v>0</v>
      </c>
      <c r="T251" s="4">
        <v>9241</v>
      </c>
      <c r="U251" s="4">
        <v>0</v>
      </c>
      <c r="V251" s="1"/>
      <c r="W251" s="5">
        <v>0</v>
      </c>
      <c r="X251" s="5">
        <v>0</v>
      </c>
      <c r="Y251" s="5">
        <v>0</v>
      </c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2">
        <v>251</v>
      </c>
      <c r="B252" s="1" t="s">
        <v>528</v>
      </c>
      <c r="C252" s="1"/>
      <c r="D252" s="3">
        <v>45727</v>
      </c>
      <c r="E252" s="3">
        <v>45689</v>
      </c>
      <c r="F252" s="3">
        <v>45930</v>
      </c>
      <c r="G252" s="1" t="s">
        <v>27</v>
      </c>
      <c r="H252" s="1" t="s">
        <v>529</v>
      </c>
      <c r="I252" s="1" t="s">
        <v>29</v>
      </c>
      <c r="J252" s="1" t="s">
        <v>30</v>
      </c>
      <c r="K252" s="1" t="s">
        <v>31</v>
      </c>
      <c r="L252" s="4">
        <v>100</v>
      </c>
      <c r="M252" s="1" t="s">
        <v>32</v>
      </c>
      <c r="N252" s="1"/>
      <c r="O252" s="4">
        <v>7759</v>
      </c>
      <c r="P252" s="4">
        <v>78</v>
      </c>
      <c r="Q252" s="4">
        <v>1164</v>
      </c>
      <c r="R252" s="4">
        <v>0</v>
      </c>
      <c r="S252" s="4">
        <v>0</v>
      </c>
      <c r="T252" s="4">
        <v>9001</v>
      </c>
      <c r="U252" s="4">
        <v>0</v>
      </c>
      <c r="V252" s="1"/>
      <c r="W252" s="5">
        <v>0</v>
      </c>
      <c r="X252" s="5">
        <v>0</v>
      </c>
      <c r="Y252" s="5">
        <v>0</v>
      </c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2">
        <v>252</v>
      </c>
      <c r="B253" s="1" t="s">
        <v>530</v>
      </c>
      <c r="C253" s="1"/>
      <c r="D253" s="3">
        <v>45727</v>
      </c>
      <c r="E253" s="3">
        <v>45689</v>
      </c>
      <c r="F253" s="3">
        <v>45930</v>
      </c>
      <c r="G253" s="1" t="s">
        <v>27</v>
      </c>
      <c r="H253" s="1" t="s">
        <v>531</v>
      </c>
      <c r="I253" s="1" t="s">
        <v>29</v>
      </c>
      <c r="J253" s="1" t="s">
        <v>30</v>
      </c>
      <c r="K253" s="1" t="s">
        <v>31</v>
      </c>
      <c r="L253" s="4">
        <v>100</v>
      </c>
      <c r="M253" s="1" t="s">
        <v>32</v>
      </c>
      <c r="N253" s="1"/>
      <c r="O253" s="4">
        <v>5172</v>
      </c>
      <c r="P253" s="4">
        <v>52</v>
      </c>
      <c r="Q253" s="4">
        <v>776</v>
      </c>
      <c r="R253" s="4">
        <v>0</v>
      </c>
      <c r="S253" s="4">
        <v>0</v>
      </c>
      <c r="T253" s="4">
        <v>6000</v>
      </c>
      <c r="U253" s="4">
        <v>0</v>
      </c>
      <c r="V253" s="1"/>
      <c r="W253" s="5">
        <v>0</v>
      </c>
      <c r="X253" s="5">
        <v>0</v>
      </c>
      <c r="Y253" s="5">
        <v>0</v>
      </c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2">
        <v>253</v>
      </c>
      <c r="B254" s="1" t="s">
        <v>532</v>
      </c>
      <c r="C254" s="1"/>
      <c r="D254" s="3">
        <v>45727</v>
      </c>
      <c r="E254" s="3">
        <v>45689</v>
      </c>
      <c r="F254" s="3">
        <v>45930</v>
      </c>
      <c r="G254" s="1" t="s">
        <v>27</v>
      </c>
      <c r="H254" s="1" t="s">
        <v>533</v>
      </c>
      <c r="I254" s="1" t="s">
        <v>29</v>
      </c>
      <c r="J254" s="1" t="s">
        <v>30</v>
      </c>
      <c r="K254" s="1" t="s">
        <v>31</v>
      </c>
      <c r="L254" s="4">
        <v>100</v>
      </c>
      <c r="M254" s="1" t="s">
        <v>32</v>
      </c>
      <c r="N254" s="1"/>
      <c r="O254" s="4">
        <v>5276</v>
      </c>
      <c r="P254" s="4">
        <v>53</v>
      </c>
      <c r="Q254" s="4">
        <v>791</v>
      </c>
      <c r="R254" s="4">
        <v>0</v>
      </c>
      <c r="S254" s="4">
        <v>0</v>
      </c>
      <c r="T254" s="4">
        <v>6120</v>
      </c>
      <c r="U254" s="4">
        <v>0</v>
      </c>
      <c r="V254" s="1"/>
      <c r="W254" s="5">
        <v>0</v>
      </c>
      <c r="X254" s="5">
        <v>0</v>
      </c>
      <c r="Y254" s="5">
        <v>0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2">
        <v>254</v>
      </c>
      <c r="B255" s="1" t="s">
        <v>534</v>
      </c>
      <c r="C255" s="1"/>
      <c r="D255" s="3">
        <v>45727</v>
      </c>
      <c r="E255" s="3">
        <v>45689</v>
      </c>
      <c r="F255" s="3">
        <v>45930</v>
      </c>
      <c r="G255" s="1" t="s">
        <v>27</v>
      </c>
      <c r="H255" s="1" t="s">
        <v>535</v>
      </c>
      <c r="I255" s="1" t="s">
        <v>29</v>
      </c>
      <c r="J255" s="1" t="s">
        <v>30</v>
      </c>
      <c r="K255" s="1" t="s">
        <v>31</v>
      </c>
      <c r="L255" s="4">
        <v>100</v>
      </c>
      <c r="M255" s="1" t="s">
        <v>32</v>
      </c>
      <c r="N255" s="1"/>
      <c r="O255" s="4">
        <v>13552</v>
      </c>
      <c r="P255" s="4">
        <v>136</v>
      </c>
      <c r="Q255" s="4">
        <v>2033</v>
      </c>
      <c r="R255" s="4">
        <v>0</v>
      </c>
      <c r="S255" s="4">
        <v>0</v>
      </c>
      <c r="T255" s="4">
        <v>15721</v>
      </c>
      <c r="U255" s="4">
        <v>0</v>
      </c>
      <c r="V255" s="1"/>
      <c r="W255" s="5">
        <v>0</v>
      </c>
      <c r="X255" s="5">
        <v>0</v>
      </c>
      <c r="Y255" s="5">
        <v>0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2">
        <v>255</v>
      </c>
      <c r="B256" s="1" t="s">
        <v>536</v>
      </c>
      <c r="C256" s="1"/>
      <c r="D256" s="3">
        <v>45727</v>
      </c>
      <c r="E256" s="3">
        <v>45689</v>
      </c>
      <c r="F256" s="3">
        <v>45930</v>
      </c>
      <c r="G256" s="1" t="s">
        <v>27</v>
      </c>
      <c r="H256" s="1" t="s">
        <v>537</v>
      </c>
      <c r="I256" s="1" t="s">
        <v>29</v>
      </c>
      <c r="J256" s="1" t="s">
        <v>30</v>
      </c>
      <c r="K256" s="1" t="s">
        <v>31</v>
      </c>
      <c r="L256" s="4">
        <v>100</v>
      </c>
      <c r="M256" s="1" t="s">
        <v>32</v>
      </c>
      <c r="N256" s="1"/>
      <c r="O256" s="4">
        <v>6310</v>
      </c>
      <c r="P256" s="4">
        <v>63</v>
      </c>
      <c r="Q256" s="4">
        <v>947</v>
      </c>
      <c r="R256" s="4">
        <v>0</v>
      </c>
      <c r="S256" s="4">
        <v>0</v>
      </c>
      <c r="T256" s="4">
        <v>7320</v>
      </c>
      <c r="U256" s="4">
        <v>0</v>
      </c>
      <c r="V256" s="1"/>
      <c r="W256" s="5">
        <v>0</v>
      </c>
      <c r="X256" s="5">
        <v>0</v>
      </c>
      <c r="Y256" s="5">
        <v>0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2">
        <v>256</v>
      </c>
      <c r="B257" s="1" t="s">
        <v>538</v>
      </c>
      <c r="C257" s="1"/>
      <c r="D257" s="3">
        <v>45727</v>
      </c>
      <c r="E257" s="3">
        <v>45689</v>
      </c>
      <c r="F257" s="3">
        <v>45930</v>
      </c>
      <c r="G257" s="1" t="s">
        <v>27</v>
      </c>
      <c r="H257" s="1" t="s">
        <v>539</v>
      </c>
      <c r="I257" s="1" t="s">
        <v>29</v>
      </c>
      <c r="J257" s="1" t="s">
        <v>30</v>
      </c>
      <c r="K257" s="1" t="s">
        <v>31</v>
      </c>
      <c r="L257" s="4">
        <v>100</v>
      </c>
      <c r="M257" s="1" t="s">
        <v>32</v>
      </c>
      <c r="N257" s="1"/>
      <c r="O257" s="4">
        <v>11690</v>
      </c>
      <c r="P257" s="4">
        <v>117</v>
      </c>
      <c r="Q257" s="4">
        <v>1754</v>
      </c>
      <c r="R257" s="4">
        <v>0</v>
      </c>
      <c r="S257" s="4">
        <v>0</v>
      </c>
      <c r="T257" s="4">
        <v>13561</v>
      </c>
      <c r="U257" s="4">
        <v>0</v>
      </c>
      <c r="V257" s="1"/>
      <c r="W257" s="5">
        <v>0</v>
      </c>
      <c r="X257" s="5">
        <v>0</v>
      </c>
      <c r="Y257" s="5">
        <v>0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2">
        <v>257</v>
      </c>
      <c r="B258" s="1" t="s">
        <v>540</v>
      </c>
      <c r="C258" s="1"/>
      <c r="D258" s="3">
        <v>45727</v>
      </c>
      <c r="E258" s="3">
        <v>45689</v>
      </c>
      <c r="F258" s="3">
        <v>45930</v>
      </c>
      <c r="G258" s="1" t="s">
        <v>27</v>
      </c>
      <c r="H258" s="1" t="s">
        <v>204</v>
      </c>
      <c r="I258" s="1" t="s">
        <v>29</v>
      </c>
      <c r="J258" s="1" t="s">
        <v>30</v>
      </c>
      <c r="K258" s="1" t="s">
        <v>31</v>
      </c>
      <c r="L258" s="4">
        <v>100</v>
      </c>
      <c r="M258" s="1" t="s">
        <v>32</v>
      </c>
      <c r="N258" s="1"/>
      <c r="O258" s="4">
        <v>8793</v>
      </c>
      <c r="P258" s="4">
        <v>88</v>
      </c>
      <c r="Q258" s="4">
        <v>1319</v>
      </c>
      <c r="R258" s="4">
        <v>0</v>
      </c>
      <c r="S258" s="4">
        <v>0</v>
      </c>
      <c r="T258" s="4">
        <v>10200</v>
      </c>
      <c r="U258" s="4">
        <v>0</v>
      </c>
      <c r="V258" s="1"/>
      <c r="W258" s="5">
        <v>0</v>
      </c>
      <c r="X258" s="5">
        <v>0</v>
      </c>
      <c r="Y258" s="5">
        <v>0</v>
      </c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2">
        <v>258</v>
      </c>
      <c r="B259" s="1" t="s">
        <v>541</v>
      </c>
      <c r="C259" s="1"/>
      <c r="D259" s="3">
        <v>45727</v>
      </c>
      <c r="E259" s="3">
        <v>45689</v>
      </c>
      <c r="F259" s="3">
        <v>45930</v>
      </c>
      <c r="G259" s="1" t="s">
        <v>27</v>
      </c>
      <c r="H259" s="1" t="s">
        <v>542</v>
      </c>
      <c r="I259" s="1" t="s">
        <v>29</v>
      </c>
      <c r="J259" s="1" t="s">
        <v>30</v>
      </c>
      <c r="K259" s="1" t="s">
        <v>31</v>
      </c>
      <c r="L259" s="4">
        <v>100</v>
      </c>
      <c r="M259" s="1" t="s">
        <v>32</v>
      </c>
      <c r="N259" s="1"/>
      <c r="O259" s="4">
        <v>7552</v>
      </c>
      <c r="P259" s="4">
        <v>76</v>
      </c>
      <c r="Q259" s="4">
        <v>1133</v>
      </c>
      <c r="R259" s="4">
        <v>0</v>
      </c>
      <c r="S259" s="4">
        <v>0</v>
      </c>
      <c r="T259" s="4">
        <v>8761</v>
      </c>
      <c r="U259" s="4">
        <v>0</v>
      </c>
      <c r="V259" s="1"/>
      <c r="W259" s="5">
        <v>0</v>
      </c>
      <c r="X259" s="5">
        <v>0</v>
      </c>
      <c r="Y259" s="5">
        <v>0</v>
      </c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2">
        <v>259</v>
      </c>
      <c r="B260" s="1" t="s">
        <v>543</v>
      </c>
      <c r="C260" s="1"/>
      <c r="D260" s="3">
        <v>45727</v>
      </c>
      <c r="E260" s="3">
        <v>45689</v>
      </c>
      <c r="F260" s="3">
        <v>45930</v>
      </c>
      <c r="G260" s="1" t="s">
        <v>27</v>
      </c>
      <c r="H260" s="1" t="s">
        <v>544</v>
      </c>
      <c r="I260" s="1" t="s">
        <v>29</v>
      </c>
      <c r="J260" s="1" t="s">
        <v>30</v>
      </c>
      <c r="K260" s="1" t="s">
        <v>31</v>
      </c>
      <c r="L260" s="4">
        <v>100</v>
      </c>
      <c r="M260" s="1" t="s">
        <v>32</v>
      </c>
      <c r="N260" s="1"/>
      <c r="O260" s="4">
        <v>5379</v>
      </c>
      <c r="P260" s="4">
        <v>54</v>
      </c>
      <c r="Q260" s="4">
        <v>807</v>
      </c>
      <c r="R260" s="4">
        <v>0</v>
      </c>
      <c r="S260" s="4">
        <v>0</v>
      </c>
      <c r="T260" s="4">
        <v>6240</v>
      </c>
      <c r="U260" s="4">
        <v>0</v>
      </c>
      <c r="V260" s="1"/>
      <c r="W260" s="5">
        <v>0</v>
      </c>
      <c r="X260" s="5">
        <v>0</v>
      </c>
      <c r="Y260" s="5">
        <v>0</v>
      </c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2">
        <v>260</v>
      </c>
      <c r="B261" s="1" t="s">
        <v>545</v>
      </c>
      <c r="C261" s="1"/>
      <c r="D261" s="3">
        <v>45727</v>
      </c>
      <c r="E261" s="3">
        <v>45689</v>
      </c>
      <c r="F261" s="3">
        <v>45930</v>
      </c>
      <c r="G261" s="1" t="s">
        <v>27</v>
      </c>
      <c r="H261" s="1" t="s">
        <v>546</v>
      </c>
      <c r="I261" s="1" t="s">
        <v>29</v>
      </c>
      <c r="J261" s="1" t="s">
        <v>30</v>
      </c>
      <c r="K261" s="1" t="s">
        <v>31</v>
      </c>
      <c r="L261" s="4">
        <v>100</v>
      </c>
      <c r="M261" s="1" t="s">
        <v>32</v>
      </c>
      <c r="N261" s="1"/>
      <c r="O261" s="4">
        <v>5483</v>
      </c>
      <c r="P261" s="4">
        <v>55</v>
      </c>
      <c r="Q261" s="4">
        <v>822</v>
      </c>
      <c r="R261" s="4">
        <v>0</v>
      </c>
      <c r="S261" s="4">
        <v>0</v>
      </c>
      <c r="T261" s="4">
        <v>6360</v>
      </c>
      <c r="U261" s="4">
        <v>0</v>
      </c>
      <c r="V261" s="1"/>
      <c r="W261" s="5">
        <v>0</v>
      </c>
      <c r="X261" s="5">
        <v>0</v>
      </c>
      <c r="Y261" s="5">
        <v>0</v>
      </c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2">
        <v>261</v>
      </c>
      <c r="B262" s="1" t="s">
        <v>547</v>
      </c>
      <c r="C262" s="1"/>
      <c r="D262" s="3">
        <v>45727</v>
      </c>
      <c r="E262" s="3">
        <v>45689</v>
      </c>
      <c r="F262" s="3">
        <v>45930</v>
      </c>
      <c r="G262" s="1" t="s">
        <v>27</v>
      </c>
      <c r="H262" s="1" t="s">
        <v>548</v>
      </c>
      <c r="I262" s="1" t="s">
        <v>29</v>
      </c>
      <c r="J262" s="1" t="s">
        <v>30</v>
      </c>
      <c r="K262" s="1" t="s">
        <v>31</v>
      </c>
      <c r="L262" s="4">
        <v>100</v>
      </c>
      <c r="M262" s="1" t="s">
        <v>32</v>
      </c>
      <c r="N262" s="1"/>
      <c r="O262" s="4">
        <v>8172</v>
      </c>
      <c r="P262" s="4">
        <v>82</v>
      </c>
      <c r="Q262" s="4">
        <v>1226</v>
      </c>
      <c r="R262" s="4">
        <v>0</v>
      </c>
      <c r="S262" s="4">
        <v>0</v>
      </c>
      <c r="T262" s="4">
        <v>9480</v>
      </c>
      <c r="U262" s="4">
        <v>0</v>
      </c>
      <c r="V262" s="1"/>
      <c r="W262" s="5">
        <v>0</v>
      </c>
      <c r="X262" s="5">
        <v>0</v>
      </c>
      <c r="Y262" s="5">
        <v>0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2">
        <v>262</v>
      </c>
      <c r="B263" s="1" t="s">
        <v>549</v>
      </c>
      <c r="C263" s="1"/>
      <c r="D263" s="3">
        <v>45727</v>
      </c>
      <c r="E263" s="3">
        <v>45689</v>
      </c>
      <c r="F263" s="3">
        <v>45930</v>
      </c>
      <c r="G263" s="1" t="s">
        <v>27</v>
      </c>
      <c r="H263" s="1" t="s">
        <v>550</v>
      </c>
      <c r="I263" s="1" t="s">
        <v>29</v>
      </c>
      <c r="J263" s="1" t="s">
        <v>30</v>
      </c>
      <c r="K263" s="1" t="s">
        <v>31</v>
      </c>
      <c r="L263" s="4">
        <v>100</v>
      </c>
      <c r="M263" s="1" t="s">
        <v>32</v>
      </c>
      <c r="N263" s="1"/>
      <c r="O263" s="4">
        <v>3828</v>
      </c>
      <c r="P263" s="4">
        <v>38</v>
      </c>
      <c r="Q263" s="4">
        <v>574</v>
      </c>
      <c r="R263" s="4">
        <v>0</v>
      </c>
      <c r="S263" s="4">
        <v>0</v>
      </c>
      <c r="T263" s="4">
        <v>4440</v>
      </c>
      <c r="U263" s="4">
        <v>0</v>
      </c>
      <c r="V263" s="1"/>
      <c r="W263" s="5">
        <v>0</v>
      </c>
      <c r="X263" s="5">
        <v>0</v>
      </c>
      <c r="Y263" s="5">
        <v>0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2">
        <v>263</v>
      </c>
      <c r="B264" s="1" t="s">
        <v>551</v>
      </c>
      <c r="C264" s="1"/>
      <c r="D264" s="3">
        <v>45727</v>
      </c>
      <c r="E264" s="3">
        <v>45689</v>
      </c>
      <c r="F264" s="3">
        <v>45930</v>
      </c>
      <c r="G264" s="1" t="s">
        <v>27</v>
      </c>
      <c r="H264" s="1" t="s">
        <v>552</v>
      </c>
      <c r="I264" s="1" t="s">
        <v>29</v>
      </c>
      <c r="J264" s="1" t="s">
        <v>30</v>
      </c>
      <c r="K264" s="1" t="s">
        <v>31</v>
      </c>
      <c r="L264" s="4">
        <v>100</v>
      </c>
      <c r="M264" s="1" t="s">
        <v>32</v>
      </c>
      <c r="N264" s="1"/>
      <c r="O264" s="4">
        <v>7966</v>
      </c>
      <c r="P264" s="4">
        <v>80</v>
      </c>
      <c r="Q264" s="4">
        <v>1195</v>
      </c>
      <c r="R264" s="4">
        <v>0</v>
      </c>
      <c r="S264" s="4">
        <v>0</v>
      </c>
      <c r="T264" s="4">
        <v>9241</v>
      </c>
      <c r="U264" s="4">
        <v>0</v>
      </c>
      <c r="V264" s="1"/>
      <c r="W264" s="5">
        <v>0</v>
      </c>
      <c r="X264" s="5">
        <v>0</v>
      </c>
      <c r="Y264" s="5">
        <v>0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2">
        <v>264</v>
      </c>
      <c r="B265" s="1" t="s">
        <v>553</v>
      </c>
      <c r="C265" s="1"/>
      <c r="D265" s="3">
        <v>45727</v>
      </c>
      <c r="E265" s="3">
        <v>45689</v>
      </c>
      <c r="F265" s="3">
        <v>45930</v>
      </c>
      <c r="G265" s="1" t="s">
        <v>27</v>
      </c>
      <c r="H265" s="1" t="s">
        <v>554</v>
      </c>
      <c r="I265" s="1" t="s">
        <v>29</v>
      </c>
      <c r="J265" s="1" t="s">
        <v>30</v>
      </c>
      <c r="K265" s="1" t="s">
        <v>31</v>
      </c>
      <c r="L265" s="4">
        <v>100</v>
      </c>
      <c r="M265" s="1" t="s">
        <v>32</v>
      </c>
      <c r="N265" s="1"/>
      <c r="O265" s="4">
        <v>8483</v>
      </c>
      <c r="P265" s="4">
        <v>85</v>
      </c>
      <c r="Q265" s="4">
        <v>1272</v>
      </c>
      <c r="R265" s="4">
        <v>0</v>
      </c>
      <c r="S265" s="4">
        <v>0</v>
      </c>
      <c r="T265" s="4">
        <v>9840</v>
      </c>
      <c r="U265" s="4">
        <v>0</v>
      </c>
      <c r="V265" s="1"/>
      <c r="W265" s="5">
        <v>0</v>
      </c>
      <c r="X265" s="5">
        <v>0</v>
      </c>
      <c r="Y265" s="5">
        <v>0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2">
        <v>265</v>
      </c>
      <c r="B266" s="1" t="s">
        <v>555</v>
      </c>
      <c r="C266" s="1"/>
      <c r="D266" s="3">
        <v>45727</v>
      </c>
      <c r="E266" s="3">
        <v>45689</v>
      </c>
      <c r="F266" s="3">
        <v>45930</v>
      </c>
      <c r="G266" s="1" t="s">
        <v>27</v>
      </c>
      <c r="H266" s="1" t="s">
        <v>556</v>
      </c>
      <c r="I266" s="1" t="s">
        <v>29</v>
      </c>
      <c r="J266" s="1" t="s">
        <v>30</v>
      </c>
      <c r="K266" s="1" t="s">
        <v>31</v>
      </c>
      <c r="L266" s="4">
        <v>100</v>
      </c>
      <c r="M266" s="1" t="s">
        <v>32</v>
      </c>
      <c r="N266" s="1"/>
      <c r="O266" s="4">
        <v>4759</v>
      </c>
      <c r="P266" s="4">
        <v>48</v>
      </c>
      <c r="Q266" s="4">
        <v>714</v>
      </c>
      <c r="R266" s="4">
        <v>0</v>
      </c>
      <c r="S266" s="4">
        <v>0</v>
      </c>
      <c r="T266" s="4">
        <v>5521</v>
      </c>
      <c r="U266" s="4">
        <v>0</v>
      </c>
      <c r="V266" s="1"/>
      <c r="W266" s="5">
        <v>0</v>
      </c>
      <c r="X266" s="5">
        <v>0</v>
      </c>
      <c r="Y266" s="5">
        <v>0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2">
        <v>266</v>
      </c>
      <c r="B267" s="1" t="s">
        <v>557</v>
      </c>
      <c r="C267" s="1"/>
      <c r="D267" s="3">
        <v>45727</v>
      </c>
      <c r="E267" s="3">
        <v>45689</v>
      </c>
      <c r="F267" s="3">
        <v>45930</v>
      </c>
      <c r="G267" s="1" t="s">
        <v>27</v>
      </c>
      <c r="H267" s="1" t="s">
        <v>558</v>
      </c>
      <c r="I267" s="1" t="s">
        <v>29</v>
      </c>
      <c r="J267" s="1" t="s">
        <v>30</v>
      </c>
      <c r="K267" s="1" t="s">
        <v>31</v>
      </c>
      <c r="L267" s="4">
        <v>100</v>
      </c>
      <c r="M267" s="1" t="s">
        <v>32</v>
      </c>
      <c r="N267" s="1"/>
      <c r="O267" s="4">
        <v>4448</v>
      </c>
      <c r="P267" s="4">
        <v>44</v>
      </c>
      <c r="Q267" s="4">
        <v>667</v>
      </c>
      <c r="R267" s="4">
        <v>0</v>
      </c>
      <c r="S267" s="4">
        <v>0</v>
      </c>
      <c r="T267" s="4">
        <v>5159</v>
      </c>
      <c r="U267" s="4">
        <v>0</v>
      </c>
      <c r="V267" s="1"/>
      <c r="W267" s="5">
        <v>0</v>
      </c>
      <c r="X267" s="5">
        <v>0</v>
      </c>
      <c r="Y267" s="5">
        <v>0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2">
        <v>267</v>
      </c>
      <c r="B268" s="1" t="s">
        <v>559</v>
      </c>
      <c r="C268" s="1"/>
      <c r="D268" s="3">
        <v>45727</v>
      </c>
      <c r="E268" s="3">
        <v>45689</v>
      </c>
      <c r="F268" s="3">
        <v>45930</v>
      </c>
      <c r="G268" s="1" t="s">
        <v>27</v>
      </c>
      <c r="H268" s="1" t="s">
        <v>560</v>
      </c>
      <c r="I268" s="1" t="s">
        <v>29</v>
      </c>
      <c r="J268" s="1" t="s">
        <v>30</v>
      </c>
      <c r="K268" s="1" t="s">
        <v>31</v>
      </c>
      <c r="L268" s="4">
        <v>100</v>
      </c>
      <c r="M268" s="1" t="s">
        <v>32</v>
      </c>
      <c r="N268" s="1"/>
      <c r="O268" s="4">
        <v>6621</v>
      </c>
      <c r="P268" s="4">
        <v>66</v>
      </c>
      <c r="Q268" s="4">
        <v>993</v>
      </c>
      <c r="R268" s="4">
        <v>0</v>
      </c>
      <c r="S268" s="4">
        <v>0</v>
      </c>
      <c r="T268" s="4">
        <v>7680</v>
      </c>
      <c r="U268" s="4">
        <v>0</v>
      </c>
      <c r="V268" s="1"/>
      <c r="W268" s="5">
        <v>0</v>
      </c>
      <c r="X268" s="5">
        <v>0</v>
      </c>
      <c r="Y268" s="5">
        <v>0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2">
        <v>268</v>
      </c>
      <c r="B269" s="1" t="s">
        <v>561</v>
      </c>
      <c r="C269" s="1"/>
      <c r="D269" s="3">
        <v>45727</v>
      </c>
      <c r="E269" s="3">
        <v>45689</v>
      </c>
      <c r="F269" s="3">
        <v>45930</v>
      </c>
      <c r="G269" s="1" t="s">
        <v>27</v>
      </c>
      <c r="H269" s="1" t="s">
        <v>224</v>
      </c>
      <c r="I269" s="1" t="s">
        <v>29</v>
      </c>
      <c r="J269" s="1" t="s">
        <v>30</v>
      </c>
      <c r="K269" s="1" t="s">
        <v>31</v>
      </c>
      <c r="L269" s="4">
        <v>100</v>
      </c>
      <c r="M269" s="1" t="s">
        <v>32</v>
      </c>
      <c r="N269" s="1"/>
      <c r="O269" s="4">
        <v>4759</v>
      </c>
      <c r="P269" s="4">
        <v>48</v>
      </c>
      <c r="Q269" s="4">
        <v>714</v>
      </c>
      <c r="R269" s="4">
        <v>0</v>
      </c>
      <c r="S269" s="4">
        <v>0</v>
      </c>
      <c r="T269" s="4">
        <v>5521</v>
      </c>
      <c r="U269" s="4">
        <v>0</v>
      </c>
      <c r="V269" s="1"/>
      <c r="W269" s="5">
        <v>0</v>
      </c>
      <c r="X269" s="5">
        <v>0</v>
      </c>
      <c r="Y269" s="5">
        <v>0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2">
        <v>269</v>
      </c>
      <c r="B270" s="1" t="s">
        <v>562</v>
      </c>
      <c r="C270" s="1"/>
      <c r="D270" s="3">
        <v>45727</v>
      </c>
      <c r="E270" s="3">
        <v>45689</v>
      </c>
      <c r="F270" s="3">
        <v>45930</v>
      </c>
      <c r="G270" s="1" t="s">
        <v>27</v>
      </c>
      <c r="H270" s="1" t="s">
        <v>563</v>
      </c>
      <c r="I270" s="1" t="s">
        <v>29</v>
      </c>
      <c r="J270" s="1" t="s">
        <v>30</v>
      </c>
      <c r="K270" s="1" t="s">
        <v>31</v>
      </c>
      <c r="L270" s="4">
        <v>100</v>
      </c>
      <c r="M270" s="1" t="s">
        <v>32</v>
      </c>
      <c r="N270" s="1"/>
      <c r="O270" s="4">
        <v>6310</v>
      </c>
      <c r="P270" s="4">
        <v>63</v>
      </c>
      <c r="Q270" s="4">
        <v>947</v>
      </c>
      <c r="R270" s="4">
        <v>0</v>
      </c>
      <c r="S270" s="4">
        <v>0</v>
      </c>
      <c r="T270" s="4">
        <v>7320</v>
      </c>
      <c r="U270" s="4">
        <v>0</v>
      </c>
      <c r="V270" s="1"/>
      <c r="W270" s="5">
        <v>0</v>
      </c>
      <c r="X270" s="5">
        <v>0</v>
      </c>
      <c r="Y270" s="5">
        <v>0</v>
      </c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2">
        <v>270</v>
      </c>
      <c r="B271" s="1" t="s">
        <v>564</v>
      </c>
      <c r="C271" s="1"/>
      <c r="D271" s="3">
        <v>45727</v>
      </c>
      <c r="E271" s="3">
        <v>45689</v>
      </c>
      <c r="F271" s="3">
        <v>45930</v>
      </c>
      <c r="G271" s="1" t="s">
        <v>27</v>
      </c>
      <c r="H271" s="1" t="s">
        <v>565</v>
      </c>
      <c r="I271" s="1" t="s">
        <v>29</v>
      </c>
      <c r="J271" s="1" t="s">
        <v>30</v>
      </c>
      <c r="K271" s="1" t="s">
        <v>31</v>
      </c>
      <c r="L271" s="4">
        <v>100</v>
      </c>
      <c r="M271" s="1" t="s">
        <v>32</v>
      </c>
      <c r="N271" s="1"/>
      <c r="O271" s="4">
        <v>8276</v>
      </c>
      <c r="P271" s="4">
        <v>83</v>
      </c>
      <c r="Q271" s="4">
        <v>1241</v>
      </c>
      <c r="R271" s="4">
        <v>0</v>
      </c>
      <c r="S271" s="4">
        <v>0</v>
      </c>
      <c r="T271" s="4">
        <v>9600</v>
      </c>
      <c r="U271" s="4">
        <v>0</v>
      </c>
      <c r="V271" s="1"/>
      <c r="W271" s="5">
        <v>0</v>
      </c>
      <c r="X271" s="5">
        <v>0</v>
      </c>
      <c r="Y271" s="5">
        <v>0</v>
      </c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2">
        <v>271</v>
      </c>
      <c r="B272" s="1" t="s">
        <v>566</v>
      </c>
      <c r="C272" s="1"/>
      <c r="D272" s="3">
        <v>45727</v>
      </c>
      <c r="E272" s="3">
        <v>45689</v>
      </c>
      <c r="F272" s="3">
        <v>45930</v>
      </c>
      <c r="G272" s="1" t="s">
        <v>27</v>
      </c>
      <c r="H272" s="1" t="s">
        <v>567</v>
      </c>
      <c r="I272" s="1" t="s">
        <v>29</v>
      </c>
      <c r="J272" s="1" t="s">
        <v>30</v>
      </c>
      <c r="K272" s="1" t="s">
        <v>31</v>
      </c>
      <c r="L272" s="4">
        <v>100</v>
      </c>
      <c r="M272" s="1" t="s">
        <v>32</v>
      </c>
      <c r="N272" s="1"/>
      <c r="O272" s="4">
        <v>5276</v>
      </c>
      <c r="P272" s="4">
        <v>53</v>
      </c>
      <c r="Q272" s="4">
        <v>791</v>
      </c>
      <c r="R272" s="4">
        <v>0</v>
      </c>
      <c r="S272" s="4">
        <v>0</v>
      </c>
      <c r="T272" s="4">
        <v>6120</v>
      </c>
      <c r="U272" s="4">
        <v>0</v>
      </c>
      <c r="V272" s="1"/>
      <c r="W272" s="5">
        <v>0</v>
      </c>
      <c r="X272" s="5">
        <v>0</v>
      </c>
      <c r="Y272" s="5">
        <v>0</v>
      </c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2">
        <v>272</v>
      </c>
      <c r="B273" s="1" t="s">
        <v>568</v>
      </c>
      <c r="C273" s="1"/>
      <c r="D273" s="3">
        <v>45727</v>
      </c>
      <c r="E273" s="3">
        <v>45689</v>
      </c>
      <c r="F273" s="3">
        <v>45930</v>
      </c>
      <c r="G273" s="1" t="s">
        <v>27</v>
      </c>
      <c r="H273" s="1" t="s">
        <v>535</v>
      </c>
      <c r="I273" s="1" t="s">
        <v>29</v>
      </c>
      <c r="J273" s="1" t="s">
        <v>30</v>
      </c>
      <c r="K273" s="1" t="s">
        <v>31</v>
      </c>
      <c r="L273" s="4">
        <v>100</v>
      </c>
      <c r="M273" s="1" t="s">
        <v>32</v>
      </c>
      <c r="N273" s="1"/>
      <c r="O273" s="4">
        <v>5586</v>
      </c>
      <c r="P273" s="4">
        <v>56</v>
      </c>
      <c r="Q273" s="4">
        <v>838</v>
      </c>
      <c r="R273" s="4">
        <v>0</v>
      </c>
      <c r="S273" s="4">
        <v>0</v>
      </c>
      <c r="T273" s="4">
        <v>6480</v>
      </c>
      <c r="U273" s="4">
        <v>0</v>
      </c>
      <c r="V273" s="1"/>
      <c r="W273" s="5">
        <v>0</v>
      </c>
      <c r="X273" s="5">
        <v>0</v>
      </c>
      <c r="Y273" s="5">
        <v>0</v>
      </c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2">
        <v>273</v>
      </c>
      <c r="B274" s="1" t="s">
        <v>569</v>
      </c>
      <c r="C274" s="1"/>
      <c r="D274" s="3">
        <v>45727</v>
      </c>
      <c r="E274" s="3">
        <v>45689</v>
      </c>
      <c r="F274" s="3">
        <v>45930</v>
      </c>
      <c r="G274" s="1" t="s">
        <v>27</v>
      </c>
      <c r="H274" s="1" t="s">
        <v>570</v>
      </c>
      <c r="I274" s="1" t="s">
        <v>29</v>
      </c>
      <c r="J274" s="1" t="s">
        <v>30</v>
      </c>
      <c r="K274" s="1" t="s">
        <v>31</v>
      </c>
      <c r="L274" s="4">
        <v>100</v>
      </c>
      <c r="M274" s="1" t="s">
        <v>32</v>
      </c>
      <c r="N274" s="1"/>
      <c r="O274" s="4">
        <v>10759</v>
      </c>
      <c r="P274" s="4">
        <v>108</v>
      </c>
      <c r="Q274" s="4">
        <v>1614</v>
      </c>
      <c r="R274" s="4">
        <v>0</v>
      </c>
      <c r="S274" s="4">
        <v>0</v>
      </c>
      <c r="T274" s="4">
        <v>12481</v>
      </c>
      <c r="U274" s="4">
        <v>0</v>
      </c>
      <c r="V274" s="1"/>
      <c r="W274" s="5">
        <v>0</v>
      </c>
      <c r="X274" s="5">
        <v>0</v>
      </c>
      <c r="Y274" s="5">
        <v>0</v>
      </c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2">
        <v>274</v>
      </c>
      <c r="B275" s="1" t="s">
        <v>571</v>
      </c>
      <c r="C275" s="1"/>
      <c r="D275" s="3">
        <v>45727</v>
      </c>
      <c r="E275" s="3">
        <v>45689</v>
      </c>
      <c r="F275" s="3">
        <v>45930</v>
      </c>
      <c r="G275" s="1" t="s">
        <v>27</v>
      </c>
      <c r="H275" s="1" t="s">
        <v>572</v>
      </c>
      <c r="I275" s="1" t="s">
        <v>29</v>
      </c>
      <c r="J275" s="1" t="s">
        <v>30</v>
      </c>
      <c r="K275" s="1" t="s">
        <v>31</v>
      </c>
      <c r="L275" s="4">
        <v>100</v>
      </c>
      <c r="M275" s="1" t="s">
        <v>32</v>
      </c>
      <c r="N275" s="1"/>
      <c r="O275" s="4">
        <v>3517</v>
      </c>
      <c r="P275" s="4">
        <v>35</v>
      </c>
      <c r="Q275" s="4">
        <v>528</v>
      </c>
      <c r="R275" s="4">
        <v>0</v>
      </c>
      <c r="S275" s="4">
        <v>0</v>
      </c>
      <c r="T275" s="4">
        <v>4080</v>
      </c>
      <c r="U275" s="4">
        <v>0</v>
      </c>
      <c r="V275" s="1"/>
      <c r="W275" s="5">
        <v>0</v>
      </c>
      <c r="X275" s="5">
        <v>0</v>
      </c>
      <c r="Y275" s="5">
        <v>0</v>
      </c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2">
        <v>275</v>
      </c>
      <c r="B276" s="1" t="s">
        <v>573</v>
      </c>
      <c r="C276" s="1"/>
      <c r="D276" s="3">
        <v>45727</v>
      </c>
      <c r="E276" s="3">
        <v>45689</v>
      </c>
      <c r="F276" s="3">
        <v>45930</v>
      </c>
      <c r="G276" s="1" t="s">
        <v>27</v>
      </c>
      <c r="H276" s="1" t="s">
        <v>574</v>
      </c>
      <c r="I276" s="1" t="s">
        <v>29</v>
      </c>
      <c r="J276" s="1" t="s">
        <v>30</v>
      </c>
      <c r="K276" s="1" t="s">
        <v>31</v>
      </c>
      <c r="L276" s="4">
        <v>100</v>
      </c>
      <c r="M276" s="1" t="s">
        <v>32</v>
      </c>
      <c r="N276" s="1"/>
      <c r="O276" s="4">
        <v>8276</v>
      </c>
      <c r="P276" s="4">
        <v>83</v>
      </c>
      <c r="Q276" s="4">
        <v>1241</v>
      </c>
      <c r="R276" s="4">
        <v>0</v>
      </c>
      <c r="S276" s="4">
        <v>0</v>
      </c>
      <c r="T276" s="4">
        <v>9600</v>
      </c>
      <c r="U276" s="4">
        <v>0</v>
      </c>
      <c r="V276" s="1"/>
      <c r="W276" s="5">
        <v>0</v>
      </c>
      <c r="X276" s="5">
        <v>0</v>
      </c>
      <c r="Y276" s="5">
        <v>0</v>
      </c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2">
        <v>276</v>
      </c>
      <c r="B277" s="1" t="s">
        <v>575</v>
      </c>
      <c r="C277" s="1"/>
      <c r="D277" s="3">
        <v>45727</v>
      </c>
      <c r="E277" s="3">
        <v>45689</v>
      </c>
      <c r="F277" s="3">
        <v>45930</v>
      </c>
      <c r="G277" s="1" t="s">
        <v>27</v>
      </c>
      <c r="H277" s="1" t="s">
        <v>576</v>
      </c>
      <c r="I277" s="1" t="s">
        <v>29</v>
      </c>
      <c r="J277" s="1" t="s">
        <v>30</v>
      </c>
      <c r="K277" s="1" t="s">
        <v>31</v>
      </c>
      <c r="L277" s="4">
        <v>100</v>
      </c>
      <c r="M277" s="1" t="s">
        <v>32</v>
      </c>
      <c r="N277" s="1"/>
      <c r="O277" s="4">
        <v>7034</v>
      </c>
      <c r="P277" s="4">
        <v>70</v>
      </c>
      <c r="Q277" s="4">
        <v>1055</v>
      </c>
      <c r="R277" s="4">
        <v>0</v>
      </c>
      <c r="S277" s="4">
        <v>0</v>
      </c>
      <c r="T277" s="4">
        <v>8159</v>
      </c>
      <c r="U277" s="4">
        <v>0</v>
      </c>
      <c r="V277" s="1"/>
      <c r="W277" s="5">
        <v>0</v>
      </c>
      <c r="X277" s="5">
        <v>0</v>
      </c>
      <c r="Y277" s="5">
        <v>0</v>
      </c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2">
        <v>277</v>
      </c>
      <c r="B278" s="1" t="s">
        <v>577</v>
      </c>
      <c r="C278" s="1"/>
      <c r="D278" s="3">
        <v>45727</v>
      </c>
      <c r="E278" s="3">
        <v>45689</v>
      </c>
      <c r="F278" s="3">
        <v>45930</v>
      </c>
      <c r="G278" s="1" t="s">
        <v>27</v>
      </c>
      <c r="H278" s="1" t="s">
        <v>578</v>
      </c>
      <c r="I278" s="1" t="s">
        <v>29</v>
      </c>
      <c r="J278" s="1" t="s">
        <v>30</v>
      </c>
      <c r="K278" s="1" t="s">
        <v>31</v>
      </c>
      <c r="L278" s="4">
        <v>100</v>
      </c>
      <c r="M278" s="1" t="s">
        <v>32</v>
      </c>
      <c r="N278" s="1"/>
      <c r="O278" s="4">
        <v>10966</v>
      </c>
      <c r="P278" s="4">
        <v>110</v>
      </c>
      <c r="Q278" s="4">
        <v>1645</v>
      </c>
      <c r="R278" s="4">
        <v>0</v>
      </c>
      <c r="S278" s="4">
        <v>0</v>
      </c>
      <c r="T278" s="4">
        <v>12721</v>
      </c>
      <c r="U278" s="4">
        <v>0</v>
      </c>
      <c r="V278" s="1"/>
      <c r="W278" s="5">
        <v>0</v>
      </c>
      <c r="X278" s="5">
        <v>0</v>
      </c>
      <c r="Y278" s="5">
        <v>0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2">
        <v>278</v>
      </c>
      <c r="B279" s="1" t="s">
        <v>579</v>
      </c>
      <c r="C279" s="1"/>
      <c r="D279" s="3">
        <v>45727</v>
      </c>
      <c r="E279" s="3">
        <v>45689</v>
      </c>
      <c r="F279" s="3">
        <v>45930</v>
      </c>
      <c r="G279" s="1" t="s">
        <v>27</v>
      </c>
      <c r="H279" s="1" t="s">
        <v>389</v>
      </c>
      <c r="I279" s="1" t="s">
        <v>29</v>
      </c>
      <c r="J279" s="1" t="s">
        <v>30</v>
      </c>
      <c r="K279" s="1" t="s">
        <v>31</v>
      </c>
      <c r="L279" s="4">
        <v>100</v>
      </c>
      <c r="M279" s="1" t="s">
        <v>32</v>
      </c>
      <c r="N279" s="1"/>
      <c r="O279" s="4">
        <v>10862</v>
      </c>
      <c r="P279" s="4">
        <v>109</v>
      </c>
      <c r="Q279" s="4">
        <v>1629</v>
      </c>
      <c r="R279" s="4">
        <v>0</v>
      </c>
      <c r="S279" s="4">
        <v>0</v>
      </c>
      <c r="T279" s="4">
        <v>12600</v>
      </c>
      <c r="U279" s="4">
        <v>0</v>
      </c>
      <c r="V279" s="1"/>
      <c r="W279" s="5">
        <v>0</v>
      </c>
      <c r="X279" s="5">
        <v>0</v>
      </c>
      <c r="Y279" s="5">
        <v>0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2">
        <v>279</v>
      </c>
      <c r="B280" s="1" t="s">
        <v>580</v>
      </c>
      <c r="C280" s="1"/>
      <c r="D280" s="3">
        <v>45727</v>
      </c>
      <c r="E280" s="3">
        <v>45689</v>
      </c>
      <c r="F280" s="3">
        <v>45930</v>
      </c>
      <c r="G280" s="1" t="s">
        <v>27</v>
      </c>
      <c r="H280" s="1" t="s">
        <v>581</v>
      </c>
      <c r="I280" s="1" t="s">
        <v>29</v>
      </c>
      <c r="J280" s="1" t="s">
        <v>30</v>
      </c>
      <c r="K280" s="1" t="s">
        <v>31</v>
      </c>
      <c r="L280" s="4">
        <v>100</v>
      </c>
      <c r="M280" s="1" t="s">
        <v>32</v>
      </c>
      <c r="N280" s="1"/>
      <c r="O280" s="4">
        <v>7655</v>
      </c>
      <c r="P280" s="4">
        <v>77</v>
      </c>
      <c r="Q280" s="4">
        <v>1148</v>
      </c>
      <c r="R280" s="4">
        <v>0</v>
      </c>
      <c r="S280" s="4">
        <v>0</v>
      </c>
      <c r="T280" s="4">
        <v>8880</v>
      </c>
      <c r="U280" s="4">
        <v>0</v>
      </c>
      <c r="V280" s="1"/>
      <c r="W280" s="5">
        <v>0</v>
      </c>
      <c r="X280" s="5">
        <v>0</v>
      </c>
      <c r="Y280" s="5">
        <v>0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2">
        <v>280</v>
      </c>
      <c r="B281" s="1" t="s">
        <v>582</v>
      </c>
      <c r="C281" s="1"/>
      <c r="D281" s="3">
        <v>45727</v>
      </c>
      <c r="E281" s="3">
        <v>45689</v>
      </c>
      <c r="F281" s="3">
        <v>45930</v>
      </c>
      <c r="G281" s="1" t="s">
        <v>27</v>
      </c>
      <c r="H281" s="1" t="s">
        <v>583</v>
      </c>
      <c r="I281" s="1" t="s">
        <v>29</v>
      </c>
      <c r="J281" s="1" t="s">
        <v>30</v>
      </c>
      <c r="K281" s="1" t="s">
        <v>31</v>
      </c>
      <c r="L281" s="4">
        <v>100</v>
      </c>
      <c r="M281" s="1" t="s">
        <v>32</v>
      </c>
      <c r="N281" s="1"/>
      <c r="O281" s="4">
        <v>9517</v>
      </c>
      <c r="P281" s="4">
        <v>95</v>
      </c>
      <c r="Q281" s="4">
        <v>1428</v>
      </c>
      <c r="R281" s="4">
        <v>0</v>
      </c>
      <c r="S281" s="4">
        <v>0</v>
      </c>
      <c r="T281" s="4">
        <v>11040</v>
      </c>
      <c r="U281" s="4">
        <v>0</v>
      </c>
      <c r="V281" s="1"/>
      <c r="W281" s="5">
        <v>0</v>
      </c>
      <c r="X281" s="5">
        <v>0</v>
      </c>
      <c r="Y281" s="5">
        <v>0</v>
      </c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2">
        <v>281</v>
      </c>
      <c r="B282" s="1" t="s">
        <v>584</v>
      </c>
      <c r="C282" s="1"/>
      <c r="D282" s="3">
        <v>45727</v>
      </c>
      <c r="E282" s="3">
        <v>45689</v>
      </c>
      <c r="F282" s="3">
        <v>45930</v>
      </c>
      <c r="G282" s="1" t="s">
        <v>27</v>
      </c>
      <c r="H282" s="1" t="s">
        <v>585</v>
      </c>
      <c r="I282" s="1" t="s">
        <v>29</v>
      </c>
      <c r="J282" s="1" t="s">
        <v>30</v>
      </c>
      <c r="K282" s="1" t="s">
        <v>31</v>
      </c>
      <c r="L282" s="4">
        <v>100</v>
      </c>
      <c r="M282" s="1" t="s">
        <v>32</v>
      </c>
      <c r="N282" s="1"/>
      <c r="O282" s="4">
        <v>11172</v>
      </c>
      <c r="P282" s="4">
        <v>112</v>
      </c>
      <c r="Q282" s="4">
        <v>1676</v>
      </c>
      <c r="R282" s="4">
        <v>0</v>
      </c>
      <c r="S282" s="4">
        <v>0</v>
      </c>
      <c r="T282" s="4">
        <v>12960</v>
      </c>
      <c r="U282" s="4">
        <v>0</v>
      </c>
      <c r="V282" s="1"/>
      <c r="W282" s="5">
        <v>0</v>
      </c>
      <c r="X282" s="5">
        <v>0</v>
      </c>
      <c r="Y282" s="5">
        <v>0</v>
      </c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2">
        <v>282</v>
      </c>
      <c r="B283" s="1" t="s">
        <v>586</v>
      </c>
      <c r="C283" s="1"/>
      <c r="D283" s="3">
        <v>45727</v>
      </c>
      <c r="E283" s="3">
        <v>45689</v>
      </c>
      <c r="F283" s="3">
        <v>45930</v>
      </c>
      <c r="G283" s="1" t="s">
        <v>27</v>
      </c>
      <c r="H283" s="1" t="s">
        <v>587</v>
      </c>
      <c r="I283" s="1" t="s">
        <v>29</v>
      </c>
      <c r="J283" s="1" t="s">
        <v>30</v>
      </c>
      <c r="K283" s="1" t="s">
        <v>31</v>
      </c>
      <c r="L283" s="4">
        <v>100</v>
      </c>
      <c r="M283" s="1" t="s">
        <v>32</v>
      </c>
      <c r="N283" s="1"/>
      <c r="O283" s="4">
        <v>5276</v>
      </c>
      <c r="P283" s="4">
        <v>53</v>
      </c>
      <c r="Q283" s="4">
        <v>791</v>
      </c>
      <c r="R283" s="4">
        <v>0</v>
      </c>
      <c r="S283" s="4">
        <v>0</v>
      </c>
      <c r="T283" s="4">
        <v>6120</v>
      </c>
      <c r="U283" s="4">
        <v>0</v>
      </c>
      <c r="V283" s="1"/>
      <c r="W283" s="5">
        <v>0</v>
      </c>
      <c r="X283" s="5">
        <v>0</v>
      </c>
      <c r="Y283" s="5">
        <v>0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2">
        <v>283</v>
      </c>
      <c r="B284" s="1" t="s">
        <v>588</v>
      </c>
      <c r="C284" s="1"/>
      <c r="D284" s="3">
        <v>45727</v>
      </c>
      <c r="E284" s="3">
        <v>45689</v>
      </c>
      <c r="F284" s="3">
        <v>45930</v>
      </c>
      <c r="G284" s="1" t="s">
        <v>27</v>
      </c>
      <c r="H284" s="1" t="s">
        <v>589</v>
      </c>
      <c r="I284" s="1" t="s">
        <v>29</v>
      </c>
      <c r="J284" s="1" t="s">
        <v>30</v>
      </c>
      <c r="K284" s="1" t="s">
        <v>31</v>
      </c>
      <c r="L284" s="4">
        <v>100</v>
      </c>
      <c r="M284" s="1" t="s">
        <v>32</v>
      </c>
      <c r="N284" s="1"/>
      <c r="O284" s="4">
        <v>4448</v>
      </c>
      <c r="P284" s="4">
        <v>44</v>
      </c>
      <c r="Q284" s="4">
        <v>667</v>
      </c>
      <c r="R284" s="4">
        <v>0</v>
      </c>
      <c r="S284" s="4">
        <v>0</v>
      </c>
      <c r="T284" s="4">
        <v>5159</v>
      </c>
      <c r="U284" s="4">
        <v>0</v>
      </c>
      <c r="V284" s="1"/>
      <c r="W284" s="5">
        <v>0</v>
      </c>
      <c r="X284" s="5">
        <v>0</v>
      </c>
      <c r="Y284" s="5">
        <v>0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2">
        <v>284</v>
      </c>
      <c r="B285" s="1" t="s">
        <v>590</v>
      </c>
      <c r="C285" s="1"/>
      <c r="D285" s="3">
        <v>45727</v>
      </c>
      <c r="E285" s="3">
        <v>45689</v>
      </c>
      <c r="F285" s="3">
        <v>45930</v>
      </c>
      <c r="G285" s="1" t="s">
        <v>27</v>
      </c>
      <c r="H285" s="1" t="s">
        <v>591</v>
      </c>
      <c r="I285" s="1" t="s">
        <v>29</v>
      </c>
      <c r="J285" s="1" t="s">
        <v>30</v>
      </c>
      <c r="K285" s="1" t="s">
        <v>31</v>
      </c>
      <c r="L285" s="4">
        <v>100</v>
      </c>
      <c r="M285" s="1" t="s">
        <v>32</v>
      </c>
      <c r="N285" s="1"/>
      <c r="O285" s="4">
        <v>8690</v>
      </c>
      <c r="P285" s="4">
        <v>87</v>
      </c>
      <c r="Q285" s="4">
        <v>1304</v>
      </c>
      <c r="R285" s="4">
        <v>0</v>
      </c>
      <c r="S285" s="4">
        <v>0</v>
      </c>
      <c r="T285" s="4">
        <v>10081</v>
      </c>
      <c r="U285" s="4">
        <v>0</v>
      </c>
      <c r="V285" s="1"/>
      <c r="W285" s="5">
        <v>0</v>
      </c>
      <c r="X285" s="5">
        <v>0</v>
      </c>
      <c r="Y285" s="5">
        <v>0</v>
      </c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2">
        <v>285</v>
      </c>
      <c r="B286" s="1" t="s">
        <v>592</v>
      </c>
      <c r="C286" s="1"/>
      <c r="D286" s="3">
        <v>45727</v>
      </c>
      <c r="E286" s="3">
        <v>45689</v>
      </c>
      <c r="F286" s="3">
        <v>45930</v>
      </c>
      <c r="G286" s="1" t="s">
        <v>27</v>
      </c>
      <c r="H286" s="1" t="s">
        <v>593</v>
      </c>
      <c r="I286" s="1" t="s">
        <v>29</v>
      </c>
      <c r="J286" s="1" t="s">
        <v>30</v>
      </c>
      <c r="K286" s="1" t="s">
        <v>31</v>
      </c>
      <c r="L286" s="4">
        <v>100</v>
      </c>
      <c r="M286" s="1" t="s">
        <v>32</v>
      </c>
      <c r="N286" s="1"/>
      <c r="O286" s="4">
        <v>10552</v>
      </c>
      <c r="P286" s="4">
        <v>106</v>
      </c>
      <c r="Q286" s="4">
        <v>1583</v>
      </c>
      <c r="R286" s="4">
        <v>0</v>
      </c>
      <c r="S286" s="4">
        <v>0</v>
      </c>
      <c r="T286" s="4">
        <v>12241</v>
      </c>
      <c r="U286" s="4">
        <v>0</v>
      </c>
      <c r="V286" s="1"/>
      <c r="W286" s="5">
        <v>0</v>
      </c>
      <c r="X286" s="5">
        <v>0</v>
      </c>
      <c r="Y286" s="5">
        <v>0</v>
      </c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2">
        <v>286</v>
      </c>
      <c r="B287" s="1" t="s">
        <v>594</v>
      </c>
      <c r="C287" s="1"/>
      <c r="D287" s="3">
        <v>45727</v>
      </c>
      <c r="E287" s="3">
        <v>45689</v>
      </c>
      <c r="F287" s="3">
        <v>45930</v>
      </c>
      <c r="G287" s="1" t="s">
        <v>27</v>
      </c>
      <c r="H287" s="1" t="s">
        <v>595</v>
      </c>
      <c r="I287" s="1" t="s">
        <v>29</v>
      </c>
      <c r="J287" s="1" t="s">
        <v>30</v>
      </c>
      <c r="K287" s="1" t="s">
        <v>31</v>
      </c>
      <c r="L287" s="4">
        <v>100</v>
      </c>
      <c r="M287" s="1" t="s">
        <v>32</v>
      </c>
      <c r="N287" s="1"/>
      <c r="O287" s="4">
        <v>10759</v>
      </c>
      <c r="P287" s="4">
        <v>108</v>
      </c>
      <c r="Q287" s="4">
        <v>1614</v>
      </c>
      <c r="R287" s="4">
        <v>0</v>
      </c>
      <c r="S287" s="4">
        <v>0</v>
      </c>
      <c r="T287" s="4">
        <v>12481</v>
      </c>
      <c r="U287" s="4">
        <v>0</v>
      </c>
      <c r="V287" s="1"/>
      <c r="W287" s="5">
        <v>0</v>
      </c>
      <c r="X287" s="5">
        <v>0</v>
      </c>
      <c r="Y287" s="5">
        <v>0</v>
      </c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2">
        <v>287</v>
      </c>
      <c r="B288" s="1" t="s">
        <v>596</v>
      </c>
      <c r="C288" s="1"/>
      <c r="D288" s="3">
        <v>45727</v>
      </c>
      <c r="E288" s="3">
        <v>45689</v>
      </c>
      <c r="F288" s="3">
        <v>45930</v>
      </c>
      <c r="G288" s="1" t="s">
        <v>27</v>
      </c>
      <c r="H288" s="1" t="s">
        <v>597</v>
      </c>
      <c r="I288" s="1" t="s">
        <v>29</v>
      </c>
      <c r="J288" s="1" t="s">
        <v>30</v>
      </c>
      <c r="K288" s="1" t="s">
        <v>31</v>
      </c>
      <c r="L288" s="4">
        <v>100</v>
      </c>
      <c r="M288" s="1" t="s">
        <v>32</v>
      </c>
      <c r="N288" s="1"/>
      <c r="O288" s="4">
        <v>7655</v>
      </c>
      <c r="P288" s="4">
        <v>77</v>
      </c>
      <c r="Q288" s="4">
        <v>1148</v>
      </c>
      <c r="R288" s="4">
        <v>0</v>
      </c>
      <c r="S288" s="4">
        <v>0</v>
      </c>
      <c r="T288" s="4">
        <v>8880</v>
      </c>
      <c r="U288" s="4">
        <v>0</v>
      </c>
      <c r="V288" s="1"/>
      <c r="W288" s="5">
        <v>0</v>
      </c>
      <c r="X288" s="5">
        <v>0</v>
      </c>
      <c r="Y288" s="5">
        <v>0</v>
      </c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2">
        <v>288</v>
      </c>
      <c r="B289" s="1" t="s">
        <v>598</v>
      </c>
      <c r="C289" s="1"/>
      <c r="D289" s="3">
        <v>45727</v>
      </c>
      <c r="E289" s="3">
        <v>45689</v>
      </c>
      <c r="F289" s="3">
        <v>45930</v>
      </c>
      <c r="G289" s="1" t="s">
        <v>27</v>
      </c>
      <c r="H289" s="1" t="s">
        <v>599</v>
      </c>
      <c r="I289" s="1" t="s">
        <v>29</v>
      </c>
      <c r="J289" s="1" t="s">
        <v>30</v>
      </c>
      <c r="K289" s="1" t="s">
        <v>31</v>
      </c>
      <c r="L289" s="4">
        <v>100</v>
      </c>
      <c r="M289" s="1" t="s">
        <v>32</v>
      </c>
      <c r="N289" s="1"/>
      <c r="O289" s="4">
        <v>8586</v>
      </c>
      <c r="P289" s="4">
        <v>86</v>
      </c>
      <c r="Q289" s="4">
        <v>1288</v>
      </c>
      <c r="R289" s="4">
        <v>0</v>
      </c>
      <c r="S289" s="4">
        <v>0</v>
      </c>
      <c r="T289" s="4">
        <v>9960</v>
      </c>
      <c r="U289" s="4">
        <v>0</v>
      </c>
      <c r="V289" s="1"/>
      <c r="W289" s="5">
        <v>0</v>
      </c>
      <c r="X289" s="5">
        <v>0</v>
      </c>
      <c r="Y289" s="5">
        <v>0</v>
      </c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2">
        <v>289</v>
      </c>
      <c r="B290" s="1" t="s">
        <v>600</v>
      </c>
      <c r="C290" s="1"/>
      <c r="D290" s="3">
        <v>45727</v>
      </c>
      <c r="E290" s="3">
        <v>45689</v>
      </c>
      <c r="F290" s="3">
        <v>45930</v>
      </c>
      <c r="G290" s="1" t="s">
        <v>27</v>
      </c>
      <c r="H290" s="1" t="s">
        <v>601</v>
      </c>
      <c r="I290" s="1" t="s">
        <v>29</v>
      </c>
      <c r="J290" s="1" t="s">
        <v>30</v>
      </c>
      <c r="K290" s="1" t="s">
        <v>31</v>
      </c>
      <c r="L290" s="4">
        <v>100</v>
      </c>
      <c r="M290" s="1" t="s">
        <v>32</v>
      </c>
      <c r="N290" s="1"/>
      <c r="O290" s="4">
        <v>9310</v>
      </c>
      <c r="P290" s="4">
        <v>93</v>
      </c>
      <c r="Q290" s="4">
        <v>1397</v>
      </c>
      <c r="R290" s="4">
        <v>0</v>
      </c>
      <c r="S290" s="4">
        <v>0</v>
      </c>
      <c r="T290" s="4">
        <v>10800</v>
      </c>
      <c r="U290" s="4">
        <v>0</v>
      </c>
      <c r="V290" s="1"/>
      <c r="W290" s="5">
        <v>0</v>
      </c>
      <c r="X290" s="5">
        <v>0</v>
      </c>
      <c r="Y290" s="5">
        <v>0</v>
      </c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2">
        <v>290</v>
      </c>
      <c r="B291" s="1" t="s">
        <v>602</v>
      </c>
      <c r="C291" s="1"/>
      <c r="D291" s="3">
        <v>45727</v>
      </c>
      <c r="E291" s="3">
        <v>45689</v>
      </c>
      <c r="F291" s="3">
        <v>45930</v>
      </c>
      <c r="G291" s="1" t="s">
        <v>27</v>
      </c>
      <c r="H291" s="1" t="s">
        <v>603</v>
      </c>
      <c r="I291" s="1" t="s">
        <v>29</v>
      </c>
      <c r="J291" s="1" t="s">
        <v>30</v>
      </c>
      <c r="K291" s="1" t="s">
        <v>31</v>
      </c>
      <c r="L291" s="4">
        <v>100</v>
      </c>
      <c r="M291" s="1" t="s">
        <v>32</v>
      </c>
      <c r="N291" s="1"/>
      <c r="O291" s="4">
        <v>9931</v>
      </c>
      <c r="P291" s="4">
        <v>99</v>
      </c>
      <c r="Q291" s="4">
        <v>1490</v>
      </c>
      <c r="R291" s="4">
        <v>0</v>
      </c>
      <c r="S291" s="4">
        <v>0</v>
      </c>
      <c r="T291" s="4">
        <v>11520</v>
      </c>
      <c r="U291" s="4">
        <v>0</v>
      </c>
      <c r="V291" s="1"/>
      <c r="W291" s="5">
        <v>0</v>
      </c>
      <c r="X291" s="5">
        <v>0</v>
      </c>
      <c r="Y291" s="5">
        <v>0</v>
      </c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2">
        <v>291</v>
      </c>
      <c r="B292" s="1" t="s">
        <v>604</v>
      </c>
      <c r="C292" s="1"/>
      <c r="D292" s="3">
        <v>45727</v>
      </c>
      <c r="E292" s="3">
        <v>45689</v>
      </c>
      <c r="F292" s="3">
        <v>45961</v>
      </c>
      <c r="G292" s="1" t="s">
        <v>27</v>
      </c>
      <c r="H292" s="1" t="s">
        <v>28</v>
      </c>
      <c r="I292" s="1" t="s">
        <v>29</v>
      </c>
      <c r="J292" s="1" t="s">
        <v>30</v>
      </c>
      <c r="K292" s="1" t="s">
        <v>31</v>
      </c>
      <c r="L292" s="4">
        <v>100</v>
      </c>
      <c r="M292" s="1" t="s">
        <v>32</v>
      </c>
      <c r="N292" s="1"/>
      <c r="O292" s="4">
        <v>9569</v>
      </c>
      <c r="P292" s="4">
        <v>96</v>
      </c>
      <c r="Q292" s="4">
        <v>1435</v>
      </c>
      <c r="R292" s="4">
        <v>0</v>
      </c>
      <c r="S292" s="4">
        <v>0</v>
      </c>
      <c r="T292" s="4">
        <v>11100</v>
      </c>
      <c r="U292" s="4">
        <v>0</v>
      </c>
      <c r="V292" s="1"/>
      <c r="W292" s="5">
        <v>0</v>
      </c>
      <c r="X292" s="5">
        <v>0</v>
      </c>
      <c r="Y292" s="5">
        <v>0</v>
      </c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2">
        <v>292</v>
      </c>
      <c r="B293" s="1" t="s">
        <v>605</v>
      </c>
      <c r="C293" s="1"/>
      <c r="D293" s="3">
        <v>45727</v>
      </c>
      <c r="E293" s="3">
        <v>45689</v>
      </c>
      <c r="F293" s="3">
        <v>45961</v>
      </c>
      <c r="G293" s="1" t="s">
        <v>27</v>
      </c>
      <c r="H293" s="1" t="s">
        <v>34</v>
      </c>
      <c r="I293" s="1" t="s">
        <v>29</v>
      </c>
      <c r="J293" s="1" t="s">
        <v>30</v>
      </c>
      <c r="K293" s="1" t="s">
        <v>31</v>
      </c>
      <c r="L293" s="4">
        <v>100</v>
      </c>
      <c r="M293" s="1" t="s">
        <v>32</v>
      </c>
      <c r="N293" s="1"/>
      <c r="O293" s="4">
        <v>12155</v>
      </c>
      <c r="P293" s="4">
        <v>122</v>
      </c>
      <c r="Q293" s="4">
        <v>1823</v>
      </c>
      <c r="R293" s="4">
        <v>0</v>
      </c>
      <c r="S293" s="4">
        <v>0</v>
      </c>
      <c r="T293" s="4">
        <v>14100</v>
      </c>
      <c r="U293" s="4">
        <v>0</v>
      </c>
      <c r="V293" s="1"/>
      <c r="W293" s="5">
        <v>0</v>
      </c>
      <c r="X293" s="5">
        <v>0</v>
      </c>
      <c r="Y293" s="5">
        <v>0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2">
        <v>293</v>
      </c>
      <c r="B294" s="1" t="s">
        <v>606</v>
      </c>
      <c r="C294" s="1"/>
      <c r="D294" s="3">
        <v>45727</v>
      </c>
      <c r="E294" s="3">
        <v>45689</v>
      </c>
      <c r="F294" s="3">
        <v>45961</v>
      </c>
      <c r="G294" s="1" t="s">
        <v>27</v>
      </c>
      <c r="H294" s="1" t="s">
        <v>36</v>
      </c>
      <c r="I294" s="1" t="s">
        <v>29</v>
      </c>
      <c r="J294" s="1" t="s">
        <v>30</v>
      </c>
      <c r="K294" s="1" t="s">
        <v>31</v>
      </c>
      <c r="L294" s="4">
        <v>100</v>
      </c>
      <c r="M294" s="1" t="s">
        <v>32</v>
      </c>
      <c r="N294" s="1"/>
      <c r="O294" s="4">
        <v>1422</v>
      </c>
      <c r="P294" s="4">
        <v>14</v>
      </c>
      <c r="Q294" s="4">
        <v>213</v>
      </c>
      <c r="R294" s="4">
        <v>0</v>
      </c>
      <c r="S294" s="4">
        <v>0</v>
      </c>
      <c r="T294" s="4">
        <v>1649</v>
      </c>
      <c r="U294" s="4">
        <v>0</v>
      </c>
      <c r="V294" s="1"/>
      <c r="W294" s="5">
        <v>0</v>
      </c>
      <c r="X294" s="5">
        <v>0</v>
      </c>
      <c r="Y294" s="5">
        <v>0</v>
      </c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2">
        <v>294</v>
      </c>
      <c r="B295" s="1" t="s">
        <v>607</v>
      </c>
      <c r="C295" s="1"/>
      <c r="D295" s="3">
        <v>45727</v>
      </c>
      <c r="E295" s="3">
        <v>45689</v>
      </c>
      <c r="F295" s="3">
        <v>45961</v>
      </c>
      <c r="G295" s="1" t="s">
        <v>27</v>
      </c>
      <c r="H295" s="1" t="s">
        <v>38</v>
      </c>
      <c r="I295" s="1" t="s">
        <v>29</v>
      </c>
      <c r="J295" s="1" t="s">
        <v>30</v>
      </c>
      <c r="K295" s="1" t="s">
        <v>31</v>
      </c>
      <c r="L295" s="4">
        <v>100</v>
      </c>
      <c r="M295" s="1" t="s">
        <v>32</v>
      </c>
      <c r="N295" s="1"/>
      <c r="O295" s="4">
        <v>1034</v>
      </c>
      <c r="P295" s="4">
        <v>10</v>
      </c>
      <c r="Q295" s="4">
        <v>155</v>
      </c>
      <c r="R295" s="4">
        <v>0</v>
      </c>
      <c r="S295" s="4">
        <v>0</v>
      </c>
      <c r="T295" s="4">
        <v>1199</v>
      </c>
      <c r="U295" s="4">
        <v>0</v>
      </c>
      <c r="V295" s="1"/>
      <c r="W295" s="5">
        <v>0</v>
      </c>
      <c r="X295" s="5">
        <v>0</v>
      </c>
      <c r="Y295" s="5">
        <v>0</v>
      </c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2">
        <v>295</v>
      </c>
      <c r="B296" s="1" t="s">
        <v>608</v>
      </c>
      <c r="C296" s="1"/>
      <c r="D296" s="3">
        <v>45727</v>
      </c>
      <c r="E296" s="3">
        <v>45689</v>
      </c>
      <c r="F296" s="3">
        <v>45961</v>
      </c>
      <c r="G296" s="1" t="s">
        <v>27</v>
      </c>
      <c r="H296" s="1" t="s">
        <v>40</v>
      </c>
      <c r="I296" s="1" t="s">
        <v>29</v>
      </c>
      <c r="J296" s="1" t="s">
        <v>30</v>
      </c>
      <c r="K296" s="1" t="s">
        <v>31</v>
      </c>
      <c r="L296" s="4">
        <v>100</v>
      </c>
      <c r="M296" s="1" t="s">
        <v>32</v>
      </c>
      <c r="N296" s="1"/>
      <c r="O296" s="4">
        <v>9052</v>
      </c>
      <c r="P296" s="4">
        <v>91</v>
      </c>
      <c r="Q296" s="4">
        <v>1358</v>
      </c>
      <c r="R296" s="4">
        <v>0</v>
      </c>
      <c r="S296" s="4">
        <v>0</v>
      </c>
      <c r="T296" s="4">
        <v>10501</v>
      </c>
      <c r="U296" s="4">
        <v>0</v>
      </c>
      <c r="V296" s="1"/>
      <c r="W296" s="5">
        <v>0</v>
      </c>
      <c r="X296" s="5">
        <v>0</v>
      </c>
      <c r="Y296" s="5">
        <v>0</v>
      </c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2">
        <v>296</v>
      </c>
      <c r="B297" s="1" t="s">
        <v>609</v>
      </c>
      <c r="C297" s="1"/>
      <c r="D297" s="3">
        <v>45727</v>
      </c>
      <c r="E297" s="3">
        <v>45689</v>
      </c>
      <c r="F297" s="3">
        <v>45961</v>
      </c>
      <c r="G297" s="1" t="s">
        <v>27</v>
      </c>
      <c r="H297" s="1" t="s">
        <v>44</v>
      </c>
      <c r="I297" s="1" t="s">
        <v>29</v>
      </c>
      <c r="J297" s="1" t="s">
        <v>30</v>
      </c>
      <c r="K297" s="1" t="s">
        <v>31</v>
      </c>
      <c r="L297" s="4">
        <v>100</v>
      </c>
      <c r="M297" s="1" t="s">
        <v>32</v>
      </c>
      <c r="N297" s="1"/>
      <c r="O297" s="4">
        <v>2586</v>
      </c>
      <c r="P297" s="4">
        <v>26</v>
      </c>
      <c r="Q297" s="4">
        <v>388</v>
      </c>
      <c r="R297" s="4">
        <v>0</v>
      </c>
      <c r="S297" s="4">
        <v>0</v>
      </c>
      <c r="T297" s="4">
        <v>3000</v>
      </c>
      <c r="U297" s="4">
        <v>0</v>
      </c>
      <c r="V297" s="1"/>
      <c r="W297" s="5">
        <v>0</v>
      </c>
      <c r="X297" s="5">
        <v>0</v>
      </c>
      <c r="Y297" s="5">
        <v>0</v>
      </c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2">
        <v>297</v>
      </c>
      <c r="B298" s="1" t="s">
        <v>610</v>
      </c>
      <c r="C298" s="1"/>
      <c r="D298" s="3">
        <v>45727</v>
      </c>
      <c r="E298" s="3">
        <v>45689</v>
      </c>
      <c r="F298" s="3">
        <v>45961</v>
      </c>
      <c r="G298" s="1" t="s">
        <v>27</v>
      </c>
      <c r="H298" s="1" t="s">
        <v>46</v>
      </c>
      <c r="I298" s="1" t="s">
        <v>29</v>
      </c>
      <c r="J298" s="1" t="s">
        <v>30</v>
      </c>
      <c r="K298" s="1" t="s">
        <v>31</v>
      </c>
      <c r="L298" s="4">
        <v>100</v>
      </c>
      <c r="M298" s="1" t="s">
        <v>32</v>
      </c>
      <c r="N298" s="1"/>
      <c r="O298" s="4">
        <v>2069</v>
      </c>
      <c r="P298" s="4">
        <v>21</v>
      </c>
      <c r="Q298" s="4">
        <v>310</v>
      </c>
      <c r="R298" s="4">
        <v>0</v>
      </c>
      <c r="S298" s="4">
        <v>0</v>
      </c>
      <c r="T298" s="4">
        <v>2400</v>
      </c>
      <c r="U298" s="4">
        <v>0</v>
      </c>
      <c r="V298" s="1"/>
      <c r="W298" s="5">
        <v>0</v>
      </c>
      <c r="X298" s="5">
        <v>0</v>
      </c>
      <c r="Y298" s="5">
        <v>0</v>
      </c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2">
        <v>298</v>
      </c>
      <c r="B299" s="1" t="s">
        <v>611</v>
      </c>
      <c r="C299" s="1"/>
      <c r="D299" s="3">
        <v>45727</v>
      </c>
      <c r="E299" s="3">
        <v>45689</v>
      </c>
      <c r="F299" s="3">
        <v>45961</v>
      </c>
      <c r="G299" s="1" t="s">
        <v>27</v>
      </c>
      <c r="H299" s="1" t="s">
        <v>48</v>
      </c>
      <c r="I299" s="1" t="s">
        <v>29</v>
      </c>
      <c r="J299" s="1" t="s">
        <v>30</v>
      </c>
      <c r="K299" s="1" t="s">
        <v>31</v>
      </c>
      <c r="L299" s="4">
        <v>100</v>
      </c>
      <c r="M299" s="1" t="s">
        <v>32</v>
      </c>
      <c r="N299" s="1"/>
      <c r="O299" s="4">
        <v>647</v>
      </c>
      <c r="P299" s="4">
        <v>6</v>
      </c>
      <c r="Q299" s="4">
        <v>97</v>
      </c>
      <c r="R299" s="4">
        <v>0</v>
      </c>
      <c r="S299" s="4">
        <v>0</v>
      </c>
      <c r="T299" s="4">
        <v>750</v>
      </c>
      <c r="U299" s="4">
        <v>0</v>
      </c>
      <c r="V299" s="1"/>
      <c r="W299" s="5">
        <v>0</v>
      </c>
      <c r="X299" s="5">
        <v>0</v>
      </c>
      <c r="Y299" s="5">
        <v>0</v>
      </c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2">
        <v>299</v>
      </c>
      <c r="B300" s="1" t="s">
        <v>612</v>
      </c>
      <c r="C300" s="1"/>
      <c r="D300" s="3">
        <v>45727</v>
      </c>
      <c r="E300" s="3">
        <v>45689</v>
      </c>
      <c r="F300" s="3">
        <v>45961</v>
      </c>
      <c r="G300" s="1" t="s">
        <v>27</v>
      </c>
      <c r="H300" s="1" t="s">
        <v>50</v>
      </c>
      <c r="I300" s="1" t="s">
        <v>29</v>
      </c>
      <c r="J300" s="1" t="s">
        <v>30</v>
      </c>
      <c r="K300" s="1" t="s">
        <v>31</v>
      </c>
      <c r="L300" s="4">
        <v>100</v>
      </c>
      <c r="M300" s="1" t="s">
        <v>32</v>
      </c>
      <c r="N300" s="1"/>
      <c r="O300" s="4">
        <v>2845</v>
      </c>
      <c r="P300" s="4">
        <v>28</v>
      </c>
      <c r="Q300" s="4">
        <v>427</v>
      </c>
      <c r="R300" s="4">
        <v>0</v>
      </c>
      <c r="S300" s="4">
        <v>0</v>
      </c>
      <c r="T300" s="4">
        <v>3300</v>
      </c>
      <c r="U300" s="4">
        <v>0</v>
      </c>
      <c r="V300" s="1"/>
      <c r="W300" s="5">
        <v>0</v>
      </c>
      <c r="X300" s="5">
        <v>0</v>
      </c>
      <c r="Y300" s="5">
        <v>0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2">
        <v>300</v>
      </c>
      <c r="B301" s="1" t="s">
        <v>613</v>
      </c>
      <c r="C301" s="1"/>
      <c r="D301" s="3">
        <v>45727</v>
      </c>
      <c r="E301" s="3">
        <v>45689</v>
      </c>
      <c r="F301" s="3">
        <v>45961</v>
      </c>
      <c r="G301" s="1" t="s">
        <v>27</v>
      </c>
      <c r="H301" s="1" t="s">
        <v>52</v>
      </c>
      <c r="I301" s="1" t="s">
        <v>29</v>
      </c>
      <c r="J301" s="1" t="s">
        <v>30</v>
      </c>
      <c r="K301" s="1" t="s">
        <v>31</v>
      </c>
      <c r="L301" s="4">
        <v>100</v>
      </c>
      <c r="M301" s="1" t="s">
        <v>32</v>
      </c>
      <c r="N301" s="1"/>
      <c r="O301" s="4">
        <v>4138</v>
      </c>
      <c r="P301" s="4">
        <v>41</v>
      </c>
      <c r="Q301" s="4">
        <v>621</v>
      </c>
      <c r="R301" s="4">
        <v>0</v>
      </c>
      <c r="S301" s="4">
        <v>0</v>
      </c>
      <c r="T301" s="4">
        <v>4800</v>
      </c>
      <c r="U301" s="4">
        <v>0</v>
      </c>
      <c r="V301" s="1"/>
      <c r="W301" s="5">
        <v>0</v>
      </c>
      <c r="X301" s="5">
        <v>0</v>
      </c>
      <c r="Y301" s="5">
        <v>0</v>
      </c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2">
        <v>301</v>
      </c>
      <c r="B302" s="1" t="s">
        <v>614</v>
      </c>
      <c r="C302" s="1"/>
      <c r="D302" s="3">
        <v>45727</v>
      </c>
      <c r="E302" s="3">
        <v>45689</v>
      </c>
      <c r="F302" s="3">
        <v>45961</v>
      </c>
      <c r="G302" s="1" t="s">
        <v>27</v>
      </c>
      <c r="H302" s="1" t="s">
        <v>54</v>
      </c>
      <c r="I302" s="1" t="s">
        <v>29</v>
      </c>
      <c r="J302" s="1" t="s">
        <v>30</v>
      </c>
      <c r="K302" s="1" t="s">
        <v>31</v>
      </c>
      <c r="L302" s="4">
        <v>100</v>
      </c>
      <c r="M302" s="1" t="s">
        <v>32</v>
      </c>
      <c r="N302" s="1"/>
      <c r="O302" s="4">
        <v>8276</v>
      </c>
      <c r="P302" s="4">
        <v>83</v>
      </c>
      <c r="Q302" s="4">
        <v>1241</v>
      </c>
      <c r="R302" s="4">
        <v>0</v>
      </c>
      <c r="S302" s="4">
        <v>0</v>
      </c>
      <c r="T302" s="4">
        <v>9600</v>
      </c>
      <c r="U302" s="4">
        <v>0</v>
      </c>
      <c r="V302" s="1"/>
      <c r="W302" s="5">
        <v>0</v>
      </c>
      <c r="X302" s="5">
        <v>0</v>
      </c>
      <c r="Y302" s="5">
        <v>0</v>
      </c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2">
        <v>302</v>
      </c>
      <c r="B303" s="1" t="s">
        <v>615</v>
      </c>
      <c r="C303" s="1"/>
      <c r="D303" s="3">
        <v>45727</v>
      </c>
      <c r="E303" s="3">
        <v>45689</v>
      </c>
      <c r="F303" s="3">
        <v>45961</v>
      </c>
      <c r="G303" s="1" t="s">
        <v>27</v>
      </c>
      <c r="H303" s="1" t="s">
        <v>56</v>
      </c>
      <c r="I303" s="1" t="s">
        <v>29</v>
      </c>
      <c r="J303" s="1" t="s">
        <v>30</v>
      </c>
      <c r="K303" s="1" t="s">
        <v>31</v>
      </c>
      <c r="L303" s="4">
        <v>100</v>
      </c>
      <c r="M303" s="1" t="s">
        <v>32</v>
      </c>
      <c r="N303" s="1"/>
      <c r="O303" s="4">
        <v>647</v>
      </c>
      <c r="P303" s="4">
        <v>6</v>
      </c>
      <c r="Q303" s="4">
        <v>97</v>
      </c>
      <c r="R303" s="4">
        <v>0</v>
      </c>
      <c r="S303" s="4">
        <v>0</v>
      </c>
      <c r="T303" s="4">
        <v>750</v>
      </c>
      <c r="U303" s="4">
        <v>0</v>
      </c>
      <c r="V303" s="1"/>
      <c r="W303" s="5">
        <v>0</v>
      </c>
      <c r="X303" s="5">
        <v>0</v>
      </c>
      <c r="Y303" s="5">
        <v>0</v>
      </c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2">
        <v>303</v>
      </c>
      <c r="B304" s="1" t="s">
        <v>616</v>
      </c>
      <c r="C304" s="1"/>
      <c r="D304" s="3">
        <v>45727</v>
      </c>
      <c r="E304" s="3">
        <v>45689</v>
      </c>
      <c r="F304" s="3">
        <v>45961</v>
      </c>
      <c r="G304" s="1" t="s">
        <v>27</v>
      </c>
      <c r="H304" s="1" t="s">
        <v>58</v>
      </c>
      <c r="I304" s="1" t="s">
        <v>29</v>
      </c>
      <c r="J304" s="1" t="s">
        <v>30</v>
      </c>
      <c r="K304" s="1" t="s">
        <v>31</v>
      </c>
      <c r="L304" s="4">
        <v>100</v>
      </c>
      <c r="M304" s="1" t="s">
        <v>32</v>
      </c>
      <c r="N304" s="1"/>
      <c r="O304" s="4">
        <v>2586</v>
      </c>
      <c r="P304" s="4">
        <v>26</v>
      </c>
      <c r="Q304" s="4">
        <v>388</v>
      </c>
      <c r="R304" s="4">
        <v>0</v>
      </c>
      <c r="S304" s="4">
        <v>0</v>
      </c>
      <c r="T304" s="4">
        <v>3000</v>
      </c>
      <c r="U304" s="4">
        <v>0</v>
      </c>
      <c r="V304" s="1"/>
      <c r="W304" s="5">
        <v>0</v>
      </c>
      <c r="X304" s="5">
        <v>0</v>
      </c>
      <c r="Y304" s="5">
        <v>0</v>
      </c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2">
        <v>304</v>
      </c>
      <c r="B305" s="1" t="s">
        <v>617</v>
      </c>
      <c r="C305" s="1"/>
      <c r="D305" s="3">
        <v>45727</v>
      </c>
      <c r="E305" s="3">
        <v>45689</v>
      </c>
      <c r="F305" s="3">
        <v>45961</v>
      </c>
      <c r="G305" s="1" t="s">
        <v>27</v>
      </c>
      <c r="H305" s="1" t="s">
        <v>62</v>
      </c>
      <c r="I305" s="1" t="s">
        <v>29</v>
      </c>
      <c r="J305" s="1" t="s">
        <v>30</v>
      </c>
      <c r="K305" s="1" t="s">
        <v>31</v>
      </c>
      <c r="L305" s="4">
        <v>100</v>
      </c>
      <c r="M305" s="1" t="s">
        <v>32</v>
      </c>
      <c r="N305" s="1"/>
      <c r="O305" s="4">
        <v>388</v>
      </c>
      <c r="P305" s="4">
        <v>4</v>
      </c>
      <c r="Q305" s="4">
        <v>58</v>
      </c>
      <c r="R305" s="4">
        <v>0</v>
      </c>
      <c r="S305" s="4">
        <v>0</v>
      </c>
      <c r="T305" s="4">
        <v>450</v>
      </c>
      <c r="U305" s="4">
        <v>0</v>
      </c>
      <c r="V305" s="1"/>
      <c r="W305" s="5">
        <v>0</v>
      </c>
      <c r="X305" s="5">
        <v>0</v>
      </c>
      <c r="Y305" s="5">
        <v>0</v>
      </c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2">
        <v>305</v>
      </c>
      <c r="B306" s="1" t="s">
        <v>618</v>
      </c>
      <c r="C306" s="1"/>
      <c r="D306" s="3">
        <v>45727</v>
      </c>
      <c r="E306" s="3">
        <v>45689</v>
      </c>
      <c r="F306" s="3">
        <v>45961</v>
      </c>
      <c r="G306" s="1" t="s">
        <v>27</v>
      </c>
      <c r="H306" s="1" t="s">
        <v>64</v>
      </c>
      <c r="I306" s="1" t="s">
        <v>29</v>
      </c>
      <c r="J306" s="1" t="s">
        <v>30</v>
      </c>
      <c r="K306" s="1" t="s">
        <v>31</v>
      </c>
      <c r="L306" s="4">
        <v>100</v>
      </c>
      <c r="M306" s="1" t="s">
        <v>32</v>
      </c>
      <c r="N306" s="1"/>
      <c r="O306" s="4">
        <v>1422</v>
      </c>
      <c r="P306" s="4">
        <v>14</v>
      </c>
      <c r="Q306" s="4">
        <v>213</v>
      </c>
      <c r="R306" s="4">
        <v>0</v>
      </c>
      <c r="S306" s="4">
        <v>0</v>
      </c>
      <c r="T306" s="4">
        <v>1649</v>
      </c>
      <c r="U306" s="4">
        <v>0</v>
      </c>
      <c r="V306" s="1"/>
      <c r="W306" s="5">
        <v>0</v>
      </c>
      <c r="X306" s="5">
        <v>0</v>
      </c>
      <c r="Y306" s="5">
        <v>0</v>
      </c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2">
        <v>306</v>
      </c>
      <c r="B307" s="1" t="s">
        <v>619</v>
      </c>
      <c r="C307" s="1"/>
      <c r="D307" s="3">
        <v>45727</v>
      </c>
      <c r="E307" s="3">
        <v>45689</v>
      </c>
      <c r="F307" s="3">
        <v>45961</v>
      </c>
      <c r="G307" s="1" t="s">
        <v>27</v>
      </c>
      <c r="H307" s="1" t="s">
        <v>66</v>
      </c>
      <c r="I307" s="1" t="s">
        <v>29</v>
      </c>
      <c r="J307" s="1" t="s">
        <v>30</v>
      </c>
      <c r="K307" s="1" t="s">
        <v>31</v>
      </c>
      <c r="L307" s="4">
        <v>100</v>
      </c>
      <c r="M307" s="1" t="s">
        <v>32</v>
      </c>
      <c r="N307" s="1"/>
      <c r="O307" s="4">
        <v>6466</v>
      </c>
      <c r="P307" s="4">
        <v>65</v>
      </c>
      <c r="Q307" s="4">
        <v>970</v>
      </c>
      <c r="R307" s="4">
        <v>0</v>
      </c>
      <c r="S307" s="4">
        <v>0</v>
      </c>
      <c r="T307" s="4">
        <v>7501</v>
      </c>
      <c r="U307" s="4">
        <v>0</v>
      </c>
      <c r="V307" s="1"/>
      <c r="W307" s="5">
        <v>0</v>
      </c>
      <c r="X307" s="5">
        <v>0</v>
      </c>
      <c r="Y307" s="5">
        <v>0</v>
      </c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2">
        <v>307</v>
      </c>
      <c r="B308" s="1" t="s">
        <v>620</v>
      </c>
      <c r="C308" s="1"/>
      <c r="D308" s="3">
        <v>45727</v>
      </c>
      <c r="E308" s="3">
        <v>45689</v>
      </c>
      <c r="F308" s="3">
        <v>45961</v>
      </c>
      <c r="G308" s="1" t="s">
        <v>27</v>
      </c>
      <c r="H308" s="1" t="s">
        <v>68</v>
      </c>
      <c r="I308" s="1" t="s">
        <v>29</v>
      </c>
      <c r="J308" s="1" t="s">
        <v>30</v>
      </c>
      <c r="K308" s="1" t="s">
        <v>31</v>
      </c>
      <c r="L308" s="4">
        <v>100</v>
      </c>
      <c r="M308" s="1" t="s">
        <v>32</v>
      </c>
      <c r="N308" s="1"/>
      <c r="O308" s="4">
        <v>3879</v>
      </c>
      <c r="P308" s="4">
        <v>39</v>
      </c>
      <c r="Q308" s="4">
        <v>582</v>
      </c>
      <c r="R308" s="4">
        <v>0</v>
      </c>
      <c r="S308" s="4">
        <v>0</v>
      </c>
      <c r="T308" s="4">
        <v>4500</v>
      </c>
      <c r="U308" s="4">
        <v>0</v>
      </c>
      <c r="V308" s="1"/>
      <c r="W308" s="5">
        <v>0</v>
      </c>
      <c r="X308" s="5">
        <v>0</v>
      </c>
      <c r="Y308" s="5">
        <v>0</v>
      </c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2">
        <v>308</v>
      </c>
      <c r="B309" s="1" t="s">
        <v>621</v>
      </c>
      <c r="C309" s="1"/>
      <c r="D309" s="3">
        <v>45727</v>
      </c>
      <c r="E309" s="3">
        <v>45689</v>
      </c>
      <c r="F309" s="3">
        <v>45961</v>
      </c>
      <c r="G309" s="1" t="s">
        <v>27</v>
      </c>
      <c r="H309" s="1" t="s">
        <v>70</v>
      </c>
      <c r="I309" s="1" t="s">
        <v>29</v>
      </c>
      <c r="J309" s="1" t="s">
        <v>30</v>
      </c>
      <c r="K309" s="1" t="s">
        <v>31</v>
      </c>
      <c r="L309" s="4">
        <v>100</v>
      </c>
      <c r="M309" s="1" t="s">
        <v>32</v>
      </c>
      <c r="N309" s="1"/>
      <c r="O309" s="4">
        <v>1552</v>
      </c>
      <c r="P309" s="4">
        <v>16</v>
      </c>
      <c r="Q309" s="4">
        <v>233</v>
      </c>
      <c r="R309" s="4">
        <v>0</v>
      </c>
      <c r="S309" s="4">
        <v>0</v>
      </c>
      <c r="T309" s="4">
        <v>1801</v>
      </c>
      <c r="U309" s="4">
        <v>0</v>
      </c>
      <c r="V309" s="1"/>
      <c r="W309" s="5">
        <v>0</v>
      </c>
      <c r="X309" s="5">
        <v>0</v>
      </c>
      <c r="Y309" s="5">
        <v>0</v>
      </c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2">
        <v>309</v>
      </c>
      <c r="B310" s="1" t="s">
        <v>622</v>
      </c>
      <c r="C310" s="1"/>
      <c r="D310" s="3">
        <v>45727</v>
      </c>
      <c r="E310" s="3">
        <v>45689</v>
      </c>
      <c r="F310" s="3">
        <v>45961</v>
      </c>
      <c r="G310" s="1" t="s">
        <v>27</v>
      </c>
      <c r="H310" s="1" t="s">
        <v>72</v>
      </c>
      <c r="I310" s="1" t="s">
        <v>29</v>
      </c>
      <c r="J310" s="1" t="s">
        <v>30</v>
      </c>
      <c r="K310" s="1" t="s">
        <v>31</v>
      </c>
      <c r="L310" s="4">
        <v>100</v>
      </c>
      <c r="M310" s="1" t="s">
        <v>32</v>
      </c>
      <c r="N310" s="1"/>
      <c r="O310" s="4">
        <v>2328</v>
      </c>
      <c r="P310" s="4">
        <v>23</v>
      </c>
      <c r="Q310" s="4">
        <v>349</v>
      </c>
      <c r="R310" s="4">
        <v>0</v>
      </c>
      <c r="S310" s="4">
        <v>0</v>
      </c>
      <c r="T310" s="4">
        <v>2700</v>
      </c>
      <c r="U310" s="4">
        <v>0</v>
      </c>
      <c r="V310" s="1"/>
      <c r="W310" s="5">
        <v>0</v>
      </c>
      <c r="X310" s="5">
        <v>0</v>
      </c>
      <c r="Y310" s="5">
        <v>0</v>
      </c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2">
        <v>310</v>
      </c>
      <c r="B311" s="1" t="s">
        <v>623</v>
      </c>
      <c r="C311" s="1"/>
      <c r="D311" s="3">
        <v>45727</v>
      </c>
      <c r="E311" s="3">
        <v>45689</v>
      </c>
      <c r="F311" s="3">
        <v>45961</v>
      </c>
      <c r="G311" s="1" t="s">
        <v>27</v>
      </c>
      <c r="H311" s="1" t="s">
        <v>74</v>
      </c>
      <c r="I311" s="1" t="s">
        <v>29</v>
      </c>
      <c r="J311" s="1" t="s">
        <v>30</v>
      </c>
      <c r="K311" s="1" t="s">
        <v>31</v>
      </c>
      <c r="L311" s="4">
        <v>100</v>
      </c>
      <c r="M311" s="1" t="s">
        <v>32</v>
      </c>
      <c r="N311" s="1"/>
      <c r="O311" s="4">
        <v>8147</v>
      </c>
      <c r="P311" s="4">
        <v>81</v>
      </c>
      <c r="Q311" s="4">
        <v>1222</v>
      </c>
      <c r="R311" s="4">
        <v>0</v>
      </c>
      <c r="S311" s="4">
        <v>0</v>
      </c>
      <c r="T311" s="4">
        <v>9450</v>
      </c>
      <c r="U311" s="4">
        <v>0</v>
      </c>
      <c r="V311" s="1"/>
      <c r="W311" s="5">
        <v>0</v>
      </c>
      <c r="X311" s="5">
        <v>0</v>
      </c>
      <c r="Y311" s="5">
        <v>0</v>
      </c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2">
        <v>311</v>
      </c>
      <c r="B312" s="1" t="s">
        <v>624</v>
      </c>
      <c r="C312" s="1"/>
      <c r="D312" s="3">
        <v>45727</v>
      </c>
      <c r="E312" s="3">
        <v>45689</v>
      </c>
      <c r="F312" s="3">
        <v>45961</v>
      </c>
      <c r="G312" s="1" t="s">
        <v>27</v>
      </c>
      <c r="H312" s="1" t="s">
        <v>76</v>
      </c>
      <c r="I312" s="1" t="s">
        <v>29</v>
      </c>
      <c r="J312" s="1" t="s">
        <v>30</v>
      </c>
      <c r="K312" s="1" t="s">
        <v>31</v>
      </c>
      <c r="L312" s="4">
        <v>100</v>
      </c>
      <c r="M312" s="1" t="s">
        <v>32</v>
      </c>
      <c r="N312" s="1"/>
      <c r="O312" s="4">
        <v>3233</v>
      </c>
      <c r="P312" s="4">
        <v>32</v>
      </c>
      <c r="Q312" s="4">
        <v>485</v>
      </c>
      <c r="R312" s="4">
        <v>0</v>
      </c>
      <c r="S312" s="4">
        <v>0</v>
      </c>
      <c r="T312" s="4">
        <v>3750</v>
      </c>
      <c r="U312" s="4">
        <v>0</v>
      </c>
      <c r="V312" s="1"/>
      <c r="W312" s="5">
        <v>0</v>
      </c>
      <c r="X312" s="5">
        <v>0</v>
      </c>
      <c r="Y312" s="5">
        <v>0</v>
      </c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2">
        <v>312</v>
      </c>
      <c r="B313" s="1" t="s">
        <v>625</v>
      </c>
      <c r="C313" s="1"/>
      <c r="D313" s="3">
        <v>45727</v>
      </c>
      <c r="E313" s="3">
        <v>45689</v>
      </c>
      <c r="F313" s="3">
        <v>45961</v>
      </c>
      <c r="G313" s="1" t="s">
        <v>27</v>
      </c>
      <c r="H313" s="1" t="s">
        <v>78</v>
      </c>
      <c r="I313" s="1" t="s">
        <v>29</v>
      </c>
      <c r="J313" s="1" t="s">
        <v>30</v>
      </c>
      <c r="K313" s="1" t="s">
        <v>31</v>
      </c>
      <c r="L313" s="4">
        <v>100</v>
      </c>
      <c r="M313" s="1" t="s">
        <v>32</v>
      </c>
      <c r="N313" s="1"/>
      <c r="O313" s="4">
        <v>4784</v>
      </c>
      <c r="P313" s="4">
        <v>48</v>
      </c>
      <c r="Q313" s="4">
        <v>718</v>
      </c>
      <c r="R313" s="4">
        <v>0</v>
      </c>
      <c r="S313" s="4">
        <v>0</v>
      </c>
      <c r="T313" s="4">
        <v>5550</v>
      </c>
      <c r="U313" s="4">
        <v>0</v>
      </c>
      <c r="V313" s="1"/>
      <c r="W313" s="5">
        <v>0</v>
      </c>
      <c r="X313" s="5">
        <v>0</v>
      </c>
      <c r="Y313" s="5">
        <v>0</v>
      </c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2">
        <v>313</v>
      </c>
      <c r="B314" s="1" t="s">
        <v>626</v>
      </c>
      <c r="C314" s="1"/>
      <c r="D314" s="3">
        <v>45727</v>
      </c>
      <c r="E314" s="3">
        <v>45689</v>
      </c>
      <c r="F314" s="3">
        <v>45961</v>
      </c>
      <c r="G314" s="1" t="s">
        <v>27</v>
      </c>
      <c r="H314" s="1" t="s">
        <v>80</v>
      </c>
      <c r="I314" s="1" t="s">
        <v>29</v>
      </c>
      <c r="J314" s="1" t="s">
        <v>30</v>
      </c>
      <c r="K314" s="1" t="s">
        <v>31</v>
      </c>
      <c r="L314" s="4">
        <v>100</v>
      </c>
      <c r="M314" s="1" t="s">
        <v>32</v>
      </c>
      <c r="N314" s="1"/>
      <c r="O314" s="4">
        <v>6853</v>
      </c>
      <c r="P314" s="4">
        <v>69</v>
      </c>
      <c r="Q314" s="4">
        <v>1028</v>
      </c>
      <c r="R314" s="4">
        <v>0</v>
      </c>
      <c r="S314" s="4">
        <v>0</v>
      </c>
      <c r="T314" s="4">
        <v>7950</v>
      </c>
      <c r="U314" s="4">
        <v>0</v>
      </c>
      <c r="V314" s="1"/>
      <c r="W314" s="5">
        <v>0</v>
      </c>
      <c r="X314" s="5">
        <v>0</v>
      </c>
      <c r="Y314" s="5">
        <v>0</v>
      </c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2">
        <v>314</v>
      </c>
      <c r="B315" s="1" t="s">
        <v>627</v>
      </c>
      <c r="C315" s="1"/>
      <c r="D315" s="3">
        <v>45727</v>
      </c>
      <c r="E315" s="3">
        <v>45689</v>
      </c>
      <c r="F315" s="3">
        <v>45961</v>
      </c>
      <c r="G315" s="1" t="s">
        <v>27</v>
      </c>
      <c r="H315" s="1" t="s">
        <v>82</v>
      </c>
      <c r="I315" s="1" t="s">
        <v>29</v>
      </c>
      <c r="J315" s="1" t="s">
        <v>30</v>
      </c>
      <c r="K315" s="1" t="s">
        <v>31</v>
      </c>
      <c r="L315" s="4">
        <v>100</v>
      </c>
      <c r="M315" s="1" t="s">
        <v>32</v>
      </c>
      <c r="N315" s="1"/>
      <c r="O315" s="4">
        <v>3621</v>
      </c>
      <c r="P315" s="4">
        <v>36</v>
      </c>
      <c r="Q315" s="4">
        <v>543</v>
      </c>
      <c r="R315" s="4">
        <v>0</v>
      </c>
      <c r="S315" s="4">
        <v>0</v>
      </c>
      <c r="T315" s="4">
        <v>4200</v>
      </c>
      <c r="U315" s="4">
        <v>0</v>
      </c>
      <c r="V315" s="1"/>
      <c r="W315" s="5">
        <v>0</v>
      </c>
      <c r="X315" s="5">
        <v>0</v>
      </c>
      <c r="Y315" s="5">
        <v>0</v>
      </c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2">
        <v>315</v>
      </c>
      <c r="B316" s="1" t="s">
        <v>628</v>
      </c>
      <c r="C316" s="1"/>
      <c r="D316" s="3">
        <v>45727</v>
      </c>
      <c r="E316" s="3">
        <v>45689</v>
      </c>
      <c r="F316" s="3">
        <v>45961</v>
      </c>
      <c r="G316" s="1" t="s">
        <v>27</v>
      </c>
      <c r="H316" s="1" t="s">
        <v>84</v>
      </c>
      <c r="I316" s="1" t="s">
        <v>29</v>
      </c>
      <c r="J316" s="1" t="s">
        <v>30</v>
      </c>
      <c r="K316" s="1" t="s">
        <v>31</v>
      </c>
      <c r="L316" s="4">
        <v>100</v>
      </c>
      <c r="M316" s="1" t="s">
        <v>32</v>
      </c>
      <c r="N316" s="1"/>
      <c r="O316" s="4">
        <v>5172</v>
      </c>
      <c r="P316" s="4">
        <v>52</v>
      </c>
      <c r="Q316" s="4">
        <v>776</v>
      </c>
      <c r="R316" s="4">
        <v>0</v>
      </c>
      <c r="S316" s="4">
        <v>0</v>
      </c>
      <c r="T316" s="4">
        <v>6000</v>
      </c>
      <c r="U316" s="4">
        <v>0</v>
      </c>
      <c r="V316" s="1"/>
      <c r="W316" s="5">
        <v>0</v>
      </c>
      <c r="X316" s="5">
        <v>0</v>
      </c>
      <c r="Y316" s="5">
        <v>0</v>
      </c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2">
        <v>316</v>
      </c>
      <c r="B317" s="1" t="s">
        <v>629</v>
      </c>
      <c r="C317" s="1"/>
      <c r="D317" s="3">
        <v>45727</v>
      </c>
      <c r="E317" s="3">
        <v>45689</v>
      </c>
      <c r="F317" s="3">
        <v>45961</v>
      </c>
      <c r="G317" s="1" t="s">
        <v>27</v>
      </c>
      <c r="H317" s="1" t="s">
        <v>86</v>
      </c>
      <c r="I317" s="1" t="s">
        <v>29</v>
      </c>
      <c r="J317" s="1" t="s">
        <v>30</v>
      </c>
      <c r="K317" s="1" t="s">
        <v>31</v>
      </c>
      <c r="L317" s="4">
        <v>100</v>
      </c>
      <c r="M317" s="1" t="s">
        <v>32</v>
      </c>
      <c r="N317" s="1"/>
      <c r="O317" s="4">
        <v>3750</v>
      </c>
      <c r="P317" s="4">
        <v>38</v>
      </c>
      <c r="Q317" s="4">
        <v>563</v>
      </c>
      <c r="R317" s="4">
        <v>0</v>
      </c>
      <c r="S317" s="4">
        <v>0</v>
      </c>
      <c r="T317" s="4">
        <v>4351</v>
      </c>
      <c r="U317" s="4">
        <v>0</v>
      </c>
      <c r="V317" s="1"/>
      <c r="W317" s="5">
        <v>0</v>
      </c>
      <c r="X317" s="5">
        <v>0</v>
      </c>
      <c r="Y317" s="5">
        <v>0</v>
      </c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2">
        <v>317</v>
      </c>
      <c r="B318" s="1" t="s">
        <v>630</v>
      </c>
      <c r="C318" s="1"/>
      <c r="D318" s="3">
        <v>45727</v>
      </c>
      <c r="E318" s="3">
        <v>45689</v>
      </c>
      <c r="F318" s="3">
        <v>45961</v>
      </c>
      <c r="G318" s="1" t="s">
        <v>27</v>
      </c>
      <c r="H318" s="1" t="s">
        <v>88</v>
      </c>
      <c r="I318" s="1" t="s">
        <v>29</v>
      </c>
      <c r="J318" s="1" t="s">
        <v>30</v>
      </c>
      <c r="K318" s="1" t="s">
        <v>31</v>
      </c>
      <c r="L318" s="4">
        <v>100</v>
      </c>
      <c r="M318" s="1" t="s">
        <v>32</v>
      </c>
      <c r="N318" s="1"/>
      <c r="O318" s="4">
        <v>647</v>
      </c>
      <c r="P318" s="4">
        <v>6</v>
      </c>
      <c r="Q318" s="4">
        <v>97</v>
      </c>
      <c r="R318" s="4">
        <v>0</v>
      </c>
      <c r="S318" s="4">
        <v>0</v>
      </c>
      <c r="T318" s="4">
        <v>750</v>
      </c>
      <c r="U318" s="4">
        <v>0</v>
      </c>
      <c r="V318" s="1"/>
      <c r="W318" s="5">
        <v>0</v>
      </c>
      <c r="X318" s="5">
        <v>0</v>
      </c>
      <c r="Y318" s="5">
        <v>0</v>
      </c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2">
        <v>318</v>
      </c>
      <c r="B319" s="1" t="s">
        <v>631</v>
      </c>
      <c r="C319" s="1"/>
      <c r="D319" s="3">
        <v>45727</v>
      </c>
      <c r="E319" s="3">
        <v>45689</v>
      </c>
      <c r="F319" s="3">
        <v>45961</v>
      </c>
      <c r="G319" s="1" t="s">
        <v>27</v>
      </c>
      <c r="H319" s="1" t="s">
        <v>90</v>
      </c>
      <c r="I319" s="1" t="s">
        <v>29</v>
      </c>
      <c r="J319" s="1" t="s">
        <v>30</v>
      </c>
      <c r="K319" s="1" t="s">
        <v>31</v>
      </c>
      <c r="L319" s="4">
        <v>100</v>
      </c>
      <c r="M319" s="1" t="s">
        <v>32</v>
      </c>
      <c r="N319" s="1"/>
      <c r="O319" s="4">
        <v>3362</v>
      </c>
      <c r="P319" s="4">
        <v>34</v>
      </c>
      <c r="Q319" s="4">
        <v>504</v>
      </c>
      <c r="R319" s="4">
        <v>0</v>
      </c>
      <c r="S319" s="4">
        <v>0</v>
      </c>
      <c r="T319" s="4">
        <v>3900</v>
      </c>
      <c r="U319" s="4">
        <v>0</v>
      </c>
      <c r="V319" s="1"/>
      <c r="W319" s="5">
        <v>0</v>
      </c>
      <c r="X319" s="5">
        <v>0</v>
      </c>
      <c r="Y319" s="5">
        <v>0</v>
      </c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2">
        <v>319</v>
      </c>
      <c r="B320" s="1" t="s">
        <v>632</v>
      </c>
      <c r="C320" s="1"/>
      <c r="D320" s="3">
        <v>45727</v>
      </c>
      <c r="E320" s="3">
        <v>45689</v>
      </c>
      <c r="F320" s="3">
        <v>45961</v>
      </c>
      <c r="G320" s="1" t="s">
        <v>27</v>
      </c>
      <c r="H320" s="1" t="s">
        <v>92</v>
      </c>
      <c r="I320" s="1" t="s">
        <v>29</v>
      </c>
      <c r="J320" s="1" t="s">
        <v>30</v>
      </c>
      <c r="K320" s="1" t="s">
        <v>31</v>
      </c>
      <c r="L320" s="4">
        <v>100</v>
      </c>
      <c r="M320" s="1" t="s">
        <v>32</v>
      </c>
      <c r="N320" s="1"/>
      <c r="O320" s="4">
        <v>2716</v>
      </c>
      <c r="P320" s="4">
        <v>27</v>
      </c>
      <c r="Q320" s="4">
        <v>407</v>
      </c>
      <c r="R320" s="4">
        <v>0</v>
      </c>
      <c r="S320" s="4">
        <v>0</v>
      </c>
      <c r="T320" s="4">
        <v>3150</v>
      </c>
      <c r="U320" s="4">
        <v>0</v>
      </c>
      <c r="V320" s="1"/>
      <c r="W320" s="5">
        <v>0</v>
      </c>
      <c r="X320" s="5">
        <v>0</v>
      </c>
      <c r="Y320" s="5">
        <v>0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2">
        <v>320</v>
      </c>
      <c r="B321" s="1" t="s">
        <v>633</v>
      </c>
      <c r="C321" s="1"/>
      <c r="D321" s="3">
        <v>45727</v>
      </c>
      <c r="E321" s="3">
        <v>45689</v>
      </c>
      <c r="F321" s="3">
        <v>45961</v>
      </c>
      <c r="G321" s="1" t="s">
        <v>27</v>
      </c>
      <c r="H321" s="1" t="s">
        <v>96</v>
      </c>
      <c r="I321" s="1" t="s">
        <v>29</v>
      </c>
      <c r="J321" s="1" t="s">
        <v>30</v>
      </c>
      <c r="K321" s="1" t="s">
        <v>31</v>
      </c>
      <c r="L321" s="4">
        <v>100</v>
      </c>
      <c r="M321" s="1" t="s">
        <v>32</v>
      </c>
      <c r="N321" s="1"/>
      <c r="O321" s="4">
        <v>3750</v>
      </c>
      <c r="P321" s="4">
        <v>38</v>
      </c>
      <c r="Q321" s="4">
        <v>563</v>
      </c>
      <c r="R321" s="4">
        <v>0</v>
      </c>
      <c r="S321" s="4">
        <v>0</v>
      </c>
      <c r="T321" s="4">
        <v>4351</v>
      </c>
      <c r="U321" s="4">
        <v>0</v>
      </c>
      <c r="V321" s="1"/>
      <c r="W321" s="5">
        <v>0</v>
      </c>
      <c r="X321" s="5">
        <v>0</v>
      </c>
      <c r="Y321" s="5">
        <v>0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2">
        <v>321</v>
      </c>
      <c r="B322" s="1" t="s">
        <v>634</v>
      </c>
      <c r="C322" s="1"/>
      <c r="D322" s="3">
        <v>45727</v>
      </c>
      <c r="E322" s="3">
        <v>45689</v>
      </c>
      <c r="F322" s="3">
        <v>45961</v>
      </c>
      <c r="G322" s="1" t="s">
        <v>27</v>
      </c>
      <c r="H322" s="1" t="s">
        <v>98</v>
      </c>
      <c r="I322" s="1" t="s">
        <v>29</v>
      </c>
      <c r="J322" s="1" t="s">
        <v>30</v>
      </c>
      <c r="K322" s="1" t="s">
        <v>31</v>
      </c>
      <c r="L322" s="4">
        <v>100</v>
      </c>
      <c r="M322" s="1" t="s">
        <v>32</v>
      </c>
      <c r="N322" s="1"/>
      <c r="O322" s="4">
        <v>1940</v>
      </c>
      <c r="P322" s="4">
        <v>19</v>
      </c>
      <c r="Q322" s="4">
        <v>291</v>
      </c>
      <c r="R322" s="4">
        <v>0</v>
      </c>
      <c r="S322" s="4">
        <v>0</v>
      </c>
      <c r="T322" s="4">
        <v>2250</v>
      </c>
      <c r="U322" s="4">
        <v>0</v>
      </c>
      <c r="V322" s="1"/>
      <c r="W322" s="5">
        <v>0</v>
      </c>
      <c r="X322" s="5">
        <v>0</v>
      </c>
      <c r="Y322" s="5">
        <v>0</v>
      </c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2">
        <v>322</v>
      </c>
      <c r="B323" s="1" t="s">
        <v>635</v>
      </c>
      <c r="C323" s="1"/>
      <c r="D323" s="3">
        <v>45727</v>
      </c>
      <c r="E323" s="3">
        <v>45689</v>
      </c>
      <c r="F323" s="3">
        <v>45961</v>
      </c>
      <c r="G323" s="1" t="s">
        <v>27</v>
      </c>
      <c r="H323" s="1" t="s">
        <v>102</v>
      </c>
      <c r="I323" s="1" t="s">
        <v>29</v>
      </c>
      <c r="J323" s="1" t="s">
        <v>30</v>
      </c>
      <c r="K323" s="1" t="s">
        <v>31</v>
      </c>
      <c r="L323" s="4">
        <v>100</v>
      </c>
      <c r="M323" s="1" t="s">
        <v>32</v>
      </c>
      <c r="N323" s="1"/>
      <c r="O323" s="4">
        <v>1810</v>
      </c>
      <c r="P323" s="4">
        <v>18</v>
      </c>
      <c r="Q323" s="4">
        <v>272</v>
      </c>
      <c r="R323" s="4">
        <v>0</v>
      </c>
      <c r="S323" s="4">
        <v>0</v>
      </c>
      <c r="T323" s="4">
        <v>2100</v>
      </c>
      <c r="U323" s="4">
        <v>0</v>
      </c>
      <c r="V323" s="1"/>
      <c r="W323" s="5">
        <v>0</v>
      </c>
      <c r="X323" s="5">
        <v>0</v>
      </c>
      <c r="Y323" s="5">
        <v>0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2">
        <v>323</v>
      </c>
      <c r="B324" s="1" t="s">
        <v>636</v>
      </c>
      <c r="C324" s="1"/>
      <c r="D324" s="3">
        <v>45727</v>
      </c>
      <c r="E324" s="3">
        <v>45689</v>
      </c>
      <c r="F324" s="3">
        <v>45961</v>
      </c>
      <c r="G324" s="1" t="s">
        <v>27</v>
      </c>
      <c r="H324" s="1" t="s">
        <v>106</v>
      </c>
      <c r="I324" s="1" t="s">
        <v>29</v>
      </c>
      <c r="J324" s="1" t="s">
        <v>30</v>
      </c>
      <c r="K324" s="1" t="s">
        <v>31</v>
      </c>
      <c r="L324" s="4">
        <v>100</v>
      </c>
      <c r="M324" s="1" t="s">
        <v>32</v>
      </c>
      <c r="N324" s="1"/>
      <c r="O324" s="4">
        <v>1164</v>
      </c>
      <c r="P324" s="4">
        <v>12</v>
      </c>
      <c r="Q324" s="4">
        <v>175</v>
      </c>
      <c r="R324" s="4">
        <v>0</v>
      </c>
      <c r="S324" s="4">
        <v>0</v>
      </c>
      <c r="T324" s="4">
        <v>1351</v>
      </c>
      <c r="U324" s="4">
        <v>0</v>
      </c>
      <c r="V324" s="1"/>
      <c r="W324" s="5">
        <v>0</v>
      </c>
      <c r="X324" s="5">
        <v>0</v>
      </c>
      <c r="Y324" s="5">
        <v>0</v>
      </c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2">
        <v>324</v>
      </c>
      <c r="B325" s="1" t="s">
        <v>637</v>
      </c>
      <c r="C325" s="1"/>
      <c r="D325" s="3">
        <v>45727</v>
      </c>
      <c r="E325" s="3">
        <v>45689</v>
      </c>
      <c r="F325" s="3">
        <v>45961</v>
      </c>
      <c r="G325" s="1" t="s">
        <v>27</v>
      </c>
      <c r="H325" s="1" t="s">
        <v>114</v>
      </c>
      <c r="I325" s="1" t="s">
        <v>29</v>
      </c>
      <c r="J325" s="1" t="s">
        <v>30</v>
      </c>
      <c r="K325" s="1" t="s">
        <v>31</v>
      </c>
      <c r="L325" s="4">
        <v>100</v>
      </c>
      <c r="M325" s="1" t="s">
        <v>32</v>
      </c>
      <c r="N325" s="1"/>
      <c r="O325" s="4">
        <v>1164</v>
      </c>
      <c r="P325" s="4">
        <v>12</v>
      </c>
      <c r="Q325" s="4">
        <v>175</v>
      </c>
      <c r="R325" s="4">
        <v>0</v>
      </c>
      <c r="S325" s="4">
        <v>0</v>
      </c>
      <c r="T325" s="4">
        <v>1351</v>
      </c>
      <c r="U325" s="4">
        <v>0</v>
      </c>
      <c r="V325" s="1"/>
      <c r="W325" s="5">
        <v>0</v>
      </c>
      <c r="X325" s="5">
        <v>0</v>
      </c>
      <c r="Y325" s="5">
        <v>0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2">
        <v>325</v>
      </c>
      <c r="B326" s="1" t="s">
        <v>638</v>
      </c>
      <c r="C326" s="1"/>
      <c r="D326" s="3">
        <v>45727</v>
      </c>
      <c r="E326" s="3">
        <v>45689</v>
      </c>
      <c r="F326" s="3">
        <v>45961</v>
      </c>
      <c r="G326" s="1" t="s">
        <v>27</v>
      </c>
      <c r="H326" s="1" t="s">
        <v>116</v>
      </c>
      <c r="I326" s="1" t="s">
        <v>29</v>
      </c>
      <c r="J326" s="1" t="s">
        <v>30</v>
      </c>
      <c r="K326" s="1" t="s">
        <v>31</v>
      </c>
      <c r="L326" s="4">
        <v>100</v>
      </c>
      <c r="M326" s="1" t="s">
        <v>32</v>
      </c>
      <c r="N326" s="1"/>
      <c r="O326" s="4">
        <v>1810</v>
      </c>
      <c r="P326" s="4">
        <v>18</v>
      </c>
      <c r="Q326" s="4">
        <v>272</v>
      </c>
      <c r="R326" s="4">
        <v>0</v>
      </c>
      <c r="S326" s="4">
        <v>0</v>
      </c>
      <c r="T326" s="4">
        <v>2100</v>
      </c>
      <c r="U326" s="4">
        <v>0</v>
      </c>
      <c r="V326" s="1"/>
      <c r="W326" s="5">
        <v>0</v>
      </c>
      <c r="X326" s="5">
        <v>0</v>
      </c>
      <c r="Y326" s="5">
        <v>0</v>
      </c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2">
        <v>326</v>
      </c>
      <c r="B327" s="1" t="s">
        <v>639</v>
      </c>
      <c r="C327" s="1"/>
      <c r="D327" s="3">
        <v>45727</v>
      </c>
      <c r="E327" s="3">
        <v>45689</v>
      </c>
      <c r="F327" s="3">
        <v>45961</v>
      </c>
      <c r="G327" s="1" t="s">
        <v>27</v>
      </c>
      <c r="H327" s="1" t="s">
        <v>118</v>
      </c>
      <c r="I327" s="1" t="s">
        <v>29</v>
      </c>
      <c r="J327" s="1" t="s">
        <v>30</v>
      </c>
      <c r="K327" s="1" t="s">
        <v>31</v>
      </c>
      <c r="L327" s="4">
        <v>100</v>
      </c>
      <c r="M327" s="1" t="s">
        <v>32</v>
      </c>
      <c r="N327" s="1"/>
      <c r="O327" s="4">
        <v>3103</v>
      </c>
      <c r="P327" s="4">
        <v>31</v>
      </c>
      <c r="Q327" s="4">
        <v>465</v>
      </c>
      <c r="R327" s="4">
        <v>0</v>
      </c>
      <c r="S327" s="4">
        <v>0</v>
      </c>
      <c r="T327" s="4">
        <v>3599</v>
      </c>
      <c r="U327" s="4">
        <v>0</v>
      </c>
      <c r="V327" s="1"/>
      <c r="W327" s="5">
        <v>0</v>
      </c>
      <c r="X327" s="5">
        <v>0</v>
      </c>
      <c r="Y327" s="5">
        <v>0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2">
        <v>327</v>
      </c>
      <c r="B328" s="1" t="s">
        <v>640</v>
      </c>
      <c r="C328" s="1"/>
      <c r="D328" s="3">
        <v>45727</v>
      </c>
      <c r="E328" s="3">
        <v>45689</v>
      </c>
      <c r="F328" s="3">
        <v>45961</v>
      </c>
      <c r="G328" s="1" t="s">
        <v>27</v>
      </c>
      <c r="H328" s="1" t="s">
        <v>128</v>
      </c>
      <c r="I328" s="1" t="s">
        <v>29</v>
      </c>
      <c r="J328" s="1" t="s">
        <v>30</v>
      </c>
      <c r="K328" s="1" t="s">
        <v>31</v>
      </c>
      <c r="L328" s="4">
        <v>100</v>
      </c>
      <c r="M328" s="1" t="s">
        <v>32</v>
      </c>
      <c r="N328" s="1"/>
      <c r="O328" s="4">
        <v>1810</v>
      </c>
      <c r="P328" s="4">
        <v>18</v>
      </c>
      <c r="Q328" s="4">
        <v>272</v>
      </c>
      <c r="R328" s="4">
        <v>0</v>
      </c>
      <c r="S328" s="4">
        <v>0</v>
      </c>
      <c r="T328" s="4">
        <v>2100</v>
      </c>
      <c r="U328" s="4">
        <v>0</v>
      </c>
      <c r="V328" s="1"/>
      <c r="W328" s="5">
        <v>0</v>
      </c>
      <c r="X328" s="5">
        <v>0</v>
      </c>
      <c r="Y328" s="5">
        <v>0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2">
        <v>328</v>
      </c>
      <c r="B329" s="1" t="s">
        <v>641</v>
      </c>
      <c r="C329" s="1"/>
      <c r="D329" s="3">
        <v>45727</v>
      </c>
      <c r="E329" s="3">
        <v>45689</v>
      </c>
      <c r="F329" s="3">
        <v>45961</v>
      </c>
      <c r="G329" s="1" t="s">
        <v>27</v>
      </c>
      <c r="H329" s="1" t="s">
        <v>130</v>
      </c>
      <c r="I329" s="1" t="s">
        <v>29</v>
      </c>
      <c r="J329" s="1" t="s">
        <v>30</v>
      </c>
      <c r="K329" s="1" t="s">
        <v>31</v>
      </c>
      <c r="L329" s="4">
        <v>100</v>
      </c>
      <c r="M329" s="1" t="s">
        <v>32</v>
      </c>
      <c r="N329" s="1"/>
      <c r="O329" s="4">
        <v>8017</v>
      </c>
      <c r="P329" s="4">
        <v>80</v>
      </c>
      <c r="Q329" s="4">
        <v>1203</v>
      </c>
      <c r="R329" s="4">
        <v>0</v>
      </c>
      <c r="S329" s="4">
        <v>0</v>
      </c>
      <c r="T329" s="4">
        <v>9300</v>
      </c>
      <c r="U329" s="4">
        <v>0</v>
      </c>
      <c r="V329" s="1"/>
      <c r="W329" s="5">
        <v>0</v>
      </c>
      <c r="X329" s="5">
        <v>0</v>
      </c>
      <c r="Y329" s="5">
        <v>0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2">
        <v>329</v>
      </c>
      <c r="B330" s="1" t="s">
        <v>642</v>
      </c>
      <c r="C330" s="1"/>
      <c r="D330" s="3">
        <v>45727</v>
      </c>
      <c r="E330" s="3">
        <v>45689</v>
      </c>
      <c r="F330" s="3">
        <v>45961</v>
      </c>
      <c r="G330" s="1" t="s">
        <v>27</v>
      </c>
      <c r="H330" s="1" t="s">
        <v>144</v>
      </c>
      <c r="I330" s="1" t="s">
        <v>29</v>
      </c>
      <c r="J330" s="1" t="s">
        <v>30</v>
      </c>
      <c r="K330" s="1" t="s">
        <v>31</v>
      </c>
      <c r="L330" s="4">
        <v>100</v>
      </c>
      <c r="M330" s="1" t="s">
        <v>32</v>
      </c>
      <c r="N330" s="1"/>
      <c r="O330" s="4">
        <v>1681</v>
      </c>
      <c r="P330" s="4">
        <v>17</v>
      </c>
      <c r="Q330" s="4">
        <v>252</v>
      </c>
      <c r="R330" s="4">
        <v>0</v>
      </c>
      <c r="S330" s="4">
        <v>0</v>
      </c>
      <c r="T330" s="4">
        <v>1950</v>
      </c>
      <c r="U330" s="4">
        <v>0</v>
      </c>
      <c r="V330" s="1"/>
      <c r="W330" s="5">
        <v>0</v>
      </c>
      <c r="X330" s="5">
        <v>0</v>
      </c>
      <c r="Y330" s="5">
        <v>0</v>
      </c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2">
        <v>330</v>
      </c>
      <c r="B331" s="1" t="s">
        <v>643</v>
      </c>
      <c r="C331" s="1"/>
      <c r="D331" s="3">
        <v>45727</v>
      </c>
      <c r="E331" s="3">
        <v>45689</v>
      </c>
      <c r="F331" s="3">
        <v>45961</v>
      </c>
      <c r="G331" s="1" t="s">
        <v>27</v>
      </c>
      <c r="H331" s="1" t="s">
        <v>150</v>
      </c>
      <c r="I331" s="1" t="s">
        <v>29</v>
      </c>
      <c r="J331" s="1" t="s">
        <v>30</v>
      </c>
      <c r="K331" s="1" t="s">
        <v>31</v>
      </c>
      <c r="L331" s="4">
        <v>100</v>
      </c>
      <c r="M331" s="1" t="s">
        <v>32</v>
      </c>
      <c r="N331" s="1"/>
      <c r="O331" s="4">
        <v>3491</v>
      </c>
      <c r="P331" s="4">
        <v>35</v>
      </c>
      <c r="Q331" s="4">
        <v>524</v>
      </c>
      <c r="R331" s="4">
        <v>0</v>
      </c>
      <c r="S331" s="4">
        <v>0</v>
      </c>
      <c r="T331" s="4">
        <v>4050</v>
      </c>
      <c r="U331" s="4">
        <v>0</v>
      </c>
      <c r="V331" s="1"/>
      <c r="W331" s="5">
        <v>0</v>
      </c>
      <c r="X331" s="5">
        <v>0</v>
      </c>
      <c r="Y331" s="5">
        <v>0</v>
      </c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2">
        <v>331</v>
      </c>
      <c r="B332" s="1" t="s">
        <v>644</v>
      </c>
      <c r="C332" s="1"/>
      <c r="D332" s="3">
        <v>45727</v>
      </c>
      <c r="E332" s="3">
        <v>45689</v>
      </c>
      <c r="F332" s="3">
        <v>45961</v>
      </c>
      <c r="G332" s="1" t="s">
        <v>27</v>
      </c>
      <c r="H332" s="1" t="s">
        <v>152</v>
      </c>
      <c r="I332" s="1" t="s">
        <v>29</v>
      </c>
      <c r="J332" s="1" t="s">
        <v>30</v>
      </c>
      <c r="K332" s="1" t="s">
        <v>31</v>
      </c>
      <c r="L332" s="4">
        <v>100</v>
      </c>
      <c r="M332" s="1" t="s">
        <v>32</v>
      </c>
      <c r="N332" s="1"/>
      <c r="O332" s="4">
        <v>2586</v>
      </c>
      <c r="P332" s="4">
        <v>26</v>
      </c>
      <c r="Q332" s="4">
        <v>388</v>
      </c>
      <c r="R332" s="4">
        <v>0</v>
      </c>
      <c r="S332" s="4">
        <v>0</v>
      </c>
      <c r="T332" s="4">
        <v>3000</v>
      </c>
      <c r="U332" s="4">
        <v>0</v>
      </c>
      <c r="V332" s="1"/>
      <c r="W332" s="5">
        <v>0</v>
      </c>
      <c r="X332" s="5">
        <v>0</v>
      </c>
      <c r="Y332" s="5">
        <v>0</v>
      </c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2">
        <v>332</v>
      </c>
      <c r="B333" s="1" t="s">
        <v>645</v>
      </c>
      <c r="C333" s="1"/>
      <c r="D333" s="3">
        <v>45727</v>
      </c>
      <c r="E333" s="3">
        <v>45689</v>
      </c>
      <c r="F333" s="3">
        <v>45961</v>
      </c>
      <c r="G333" s="1" t="s">
        <v>27</v>
      </c>
      <c r="H333" s="1" t="s">
        <v>158</v>
      </c>
      <c r="I333" s="1" t="s">
        <v>29</v>
      </c>
      <c r="J333" s="1" t="s">
        <v>30</v>
      </c>
      <c r="K333" s="1" t="s">
        <v>31</v>
      </c>
      <c r="L333" s="4">
        <v>100</v>
      </c>
      <c r="M333" s="1" t="s">
        <v>32</v>
      </c>
      <c r="N333" s="1"/>
      <c r="O333" s="4">
        <v>3362</v>
      </c>
      <c r="P333" s="4">
        <v>34</v>
      </c>
      <c r="Q333" s="4">
        <v>504</v>
      </c>
      <c r="R333" s="4">
        <v>0</v>
      </c>
      <c r="S333" s="4">
        <v>0</v>
      </c>
      <c r="T333" s="4">
        <v>3900</v>
      </c>
      <c r="U333" s="4">
        <v>0</v>
      </c>
      <c r="V333" s="1"/>
      <c r="W333" s="5">
        <v>0</v>
      </c>
      <c r="X333" s="5">
        <v>0</v>
      </c>
      <c r="Y333" s="5">
        <v>0</v>
      </c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2">
        <v>333</v>
      </c>
      <c r="B334" s="1" t="s">
        <v>646</v>
      </c>
      <c r="C334" s="1"/>
      <c r="D334" s="3">
        <v>45727</v>
      </c>
      <c r="E334" s="3">
        <v>45689</v>
      </c>
      <c r="F334" s="3">
        <v>45961</v>
      </c>
      <c r="G334" s="1" t="s">
        <v>27</v>
      </c>
      <c r="H334" s="1" t="s">
        <v>160</v>
      </c>
      <c r="I334" s="1" t="s">
        <v>29</v>
      </c>
      <c r="J334" s="1" t="s">
        <v>30</v>
      </c>
      <c r="K334" s="1" t="s">
        <v>31</v>
      </c>
      <c r="L334" s="4">
        <v>100</v>
      </c>
      <c r="M334" s="1" t="s">
        <v>32</v>
      </c>
      <c r="N334" s="1"/>
      <c r="O334" s="4">
        <v>2716</v>
      </c>
      <c r="P334" s="4">
        <v>27</v>
      </c>
      <c r="Q334" s="4">
        <v>407</v>
      </c>
      <c r="R334" s="4">
        <v>0</v>
      </c>
      <c r="S334" s="4">
        <v>0</v>
      </c>
      <c r="T334" s="4">
        <v>3150</v>
      </c>
      <c r="U334" s="4">
        <v>0</v>
      </c>
      <c r="V334" s="1"/>
      <c r="W334" s="5">
        <v>0</v>
      </c>
      <c r="X334" s="5">
        <v>0</v>
      </c>
      <c r="Y334" s="5">
        <v>0</v>
      </c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2">
        <v>334</v>
      </c>
      <c r="B335" s="1" t="s">
        <v>647</v>
      </c>
      <c r="C335" s="1"/>
      <c r="D335" s="3">
        <v>45727</v>
      </c>
      <c r="E335" s="3">
        <v>45689</v>
      </c>
      <c r="F335" s="3">
        <v>45961</v>
      </c>
      <c r="G335" s="1" t="s">
        <v>27</v>
      </c>
      <c r="H335" s="1" t="s">
        <v>162</v>
      </c>
      <c r="I335" s="1" t="s">
        <v>29</v>
      </c>
      <c r="J335" s="1" t="s">
        <v>30</v>
      </c>
      <c r="K335" s="1" t="s">
        <v>31</v>
      </c>
      <c r="L335" s="4">
        <v>100</v>
      </c>
      <c r="M335" s="1" t="s">
        <v>32</v>
      </c>
      <c r="N335" s="1"/>
      <c r="O335" s="4">
        <v>1940</v>
      </c>
      <c r="P335" s="4">
        <v>19</v>
      </c>
      <c r="Q335" s="4">
        <v>291</v>
      </c>
      <c r="R335" s="4">
        <v>0</v>
      </c>
      <c r="S335" s="4">
        <v>0</v>
      </c>
      <c r="T335" s="4">
        <v>2250</v>
      </c>
      <c r="U335" s="4">
        <v>0</v>
      </c>
      <c r="V335" s="1"/>
      <c r="W335" s="5">
        <v>0</v>
      </c>
      <c r="X335" s="5">
        <v>0</v>
      </c>
      <c r="Y335" s="5">
        <v>0</v>
      </c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2">
        <v>335</v>
      </c>
      <c r="B336" s="1" t="s">
        <v>648</v>
      </c>
      <c r="C336" s="1"/>
      <c r="D336" s="3">
        <v>45727</v>
      </c>
      <c r="E336" s="3">
        <v>45689</v>
      </c>
      <c r="F336" s="3">
        <v>45961</v>
      </c>
      <c r="G336" s="1" t="s">
        <v>27</v>
      </c>
      <c r="H336" s="1" t="s">
        <v>170</v>
      </c>
      <c r="I336" s="1" t="s">
        <v>29</v>
      </c>
      <c r="J336" s="1" t="s">
        <v>30</v>
      </c>
      <c r="K336" s="1" t="s">
        <v>31</v>
      </c>
      <c r="L336" s="4">
        <v>100</v>
      </c>
      <c r="M336" s="1" t="s">
        <v>32</v>
      </c>
      <c r="N336" s="1"/>
      <c r="O336" s="4">
        <v>1681</v>
      </c>
      <c r="P336" s="4">
        <v>17</v>
      </c>
      <c r="Q336" s="4">
        <v>252</v>
      </c>
      <c r="R336" s="4">
        <v>0</v>
      </c>
      <c r="S336" s="4">
        <v>0</v>
      </c>
      <c r="T336" s="4">
        <v>1950</v>
      </c>
      <c r="U336" s="4">
        <v>0</v>
      </c>
      <c r="V336" s="1"/>
      <c r="W336" s="5">
        <v>0</v>
      </c>
      <c r="X336" s="5">
        <v>0</v>
      </c>
      <c r="Y336" s="5">
        <v>0</v>
      </c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2">
        <v>336</v>
      </c>
      <c r="B337" s="1" t="s">
        <v>649</v>
      </c>
      <c r="C337" s="1"/>
      <c r="D337" s="3">
        <v>45727</v>
      </c>
      <c r="E337" s="3">
        <v>45689</v>
      </c>
      <c r="F337" s="3">
        <v>45961</v>
      </c>
      <c r="G337" s="1" t="s">
        <v>27</v>
      </c>
      <c r="H337" s="1" t="s">
        <v>174</v>
      </c>
      <c r="I337" s="1" t="s">
        <v>29</v>
      </c>
      <c r="J337" s="1" t="s">
        <v>30</v>
      </c>
      <c r="K337" s="1" t="s">
        <v>31</v>
      </c>
      <c r="L337" s="4">
        <v>100</v>
      </c>
      <c r="M337" s="1" t="s">
        <v>32</v>
      </c>
      <c r="N337" s="1"/>
      <c r="O337" s="4">
        <v>3103</v>
      </c>
      <c r="P337" s="4">
        <v>31</v>
      </c>
      <c r="Q337" s="4">
        <v>465</v>
      </c>
      <c r="R337" s="4">
        <v>0</v>
      </c>
      <c r="S337" s="4">
        <v>0</v>
      </c>
      <c r="T337" s="4">
        <v>3599</v>
      </c>
      <c r="U337" s="4">
        <v>0</v>
      </c>
      <c r="V337" s="1"/>
      <c r="W337" s="5">
        <v>0</v>
      </c>
      <c r="X337" s="5">
        <v>0</v>
      </c>
      <c r="Y337" s="5">
        <v>0</v>
      </c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2">
        <v>337</v>
      </c>
      <c r="B338" s="1" t="s">
        <v>650</v>
      </c>
      <c r="C338" s="1"/>
      <c r="D338" s="3">
        <v>45727</v>
      </c>
      <c r="E338" s="3">
        <v>45689</v>
      </c>
      <c r="F338" s="3">
        <v>45961</v>
      </c>
      <c r="G338" s="1" t="s">
        <v>27</v>
      </c>
      <c r="H338" s="1" t="s">
        <v>178</v>
      </c>
      <c r="I338" s="1" t="s">
        <v>29</v>
      </c>
      <c r="J338" s="1" t="s">
        <v>30</v>
      </c>
      <c r="K338" s="1" t="s">
        <v>31</v>
      </c>
      <c r="L338" s="4">
        <v>100</v>
      </c>
      <c r="M338" s="1" t="s">
        <v>32</v>
      </c>
      <c r="N338" s="1"/>
      <c r="O338" s="4">
        <v>3103</v>
      </c>
      <c r="P338" s="4">
        <v>31</v>
      </c>
      <c r="Q338" s="4">
        <v>465</v>
      </c>
      <c r="R338" s="4">
        <v>0</v>
      </c>
      <c r="S338" s="4">
        <v>0</v>
      </c>
      <c r="T338" s="4">
        <v>3599</v>
      </c>
      <c r="U338" s="4">
        <v>0</v>
      </c>
      <c r="V338" s="1"/>
      <c r="W338" s="5">
        <v>0</v>
      </c>
      <c r="X338" s="5">
        <v>0</v>
      </c>
      <c r="Y338" s="5">
        <v>0</v>
      </c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2">
        <v>338</v>
      </c>
      <c r="B339" s="1" t="s">
        <v>651</v>
      </c>
      <c r="C339" s="1"/>
      <c r="D339" s="3">
        <v>45727</v>
      </c>
      <c r="E339" s="3">
        <v>45689</v>
      </c>
      <c r="F339" s="3">
        <v>45961</v>
      </c>
      <c r="G339" s="1" t="s">
        <v>27</v>
      </c>
      <c r="H339" s="1" t="s">
        <v>184</v>
      </c>
      <c r="I339" s="1" t="s">
        <v>29</v>
      </c>
      <c r="J339" s="1" t="s">
        <v>30</v>
      </c>
      <c r="K339" s="1" t="s">
        <v>31</v>
      </c>
      <c r="L339" s="4">
        <v>100</v>
      </c>
      <c r="M339" s="1" t="s">
        <v>32</v>
      </c>
      <c r="N339" s="1"/>
      <c r="O339" s="4">
        <v>3621</v>
      </c>
      <c r="P339" s="4">
        <v>36</v>
      </c>
      <c r="Q339" s="4">
        <v>543</v>
      </c>
      <c r="R339" s="4">
        <v>0</v>
      </c>
      <c r="S339" s="4">
        <v>0</v>
      </c>
      <c r="T339" s="4">
        <v>4200</v>
      </c>
      <c r="U339" s="4">
        <v>0</v>
      </c>
      <c r="V339" s="1"/>
      <c r="W339" s="5">
        <v>0</v>
      </c>
      <c r="X339" s="5">
        <v>0</v>
      </c>
      <c r="Y339" s="5">
        <v>0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2">
        <v>339</v>
      </c>
      <c r="B340" s="1" t="s">
        <v>652</v>
      </c>
      <c r="C340" s="1"/>
      <c r="D340" s="3">
        <v>45727</v>
      </c>
      <c r="E340" s="3">
        <v>45689</v>
      </c>
      <c r="F340" s="3">
        <v>45961</v>
      </c>
      <c r="G340" s="1" t="s">
        <v>27</v>
      </c>
      <c r="H340" s="1" t="s">
        <v>186</v>
      </c>
      <c r="I340" s="1" t="s">
        <v>29</v>
      </c>
      <c r="J340" s="1" t="s">
        <v>30</v>
      </c>
      <c r="K340" s="1" t="s">
        <v>31</v>
      </c>
      <c r="L340" s="4">
        <v>100</v>
      </c>
      <c r="M340" s="1" t="s">
        <v>32</v>
      </c>
      <c r="N340" s="1"/>
      <c r="O340" s="4">
        <v>4138</v>
      </c>
      <c r="P340" s="4">
        <v>41</v>
      </c>
      <c r="Q340" s="4">
        <v>621</v>
      </c>
      <c r="R340" s="4">
        <v>0</v>
      </c>
      <c r="S340" s="4">
        <v>0</v>
      </c>
      <c r="T340" s="4">
        <v>4800</v>
      </c>
      <c r="U340" s="4">
        <v>0</v>
      </c>
      <c r="V340" s="1"/>
      <c r="W340" s="5">
        <v>0</v>
      </c>
      <c r="X340" s="5">
        <v>0</v>
      </c>
      <c r="Y340" s="5">
        <v>0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2">
        <v>340</v>
      </c>
      <c r="B341" s="1" t="s">
        <v>653</v>
      </c>
      <c r="C341" s="1"/>
      <c r="D341" s="3">
        <v>45727</v>
      </c>
      <c r="E341" s="3">
        <v>45689</v>
      </c>
      <c r="F341" s="3">
        <v>45961</v>
      </c>
      <c r="G341" s="1" t="s">
        <v>27</v>
      </c>
      <c r="H341" s="1" t="s">
        <v>188</v>
      </c>
      <c r="I341" s="1" t="s">
        <v>29</v>
      </c>
      <c r="J341" s="1" t="s">
        <v>30</v>
      </c>
      <c r="K341" s="1" t="s">
        <v>31</v>
      </c>
      <c r="L341" s="4">
        <v>100</v>
      </c>
      <c r="M341" s="1" t="s">
        <v>32</v>
      </c>
      <c r="N341" s="1"/>
      <c r="O341" s="4">
        <v>4655</v>
      </c>
      <c r="P341" s="4">
        <v>47</v>
      </c>
      <c r="Q341" s="4">
        <v>698</v>
      </c>
      <c r="R341" s="4">
        <v>0</v>
      </c>
      <c r="S341" s="4">
        <v>0</v>
      </c>
      <c r="T341" s="4">
        <v>5400</v>
      </c>
      <c r="U341" s="4">
        <v>0</v>
      </c>
      <c r="V341" s="1"/>
      <c r="W341" s="5">
        <v>0</v>
      </c>
      <c r="X341" s="5">
        <v>0</v>
      </c>
      <c r="Y341" s="5">
        <v>0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2">
        <v>341</v>
      </c>
      <c r="B342" s="1" t="s">
        <v>654</v>
      </c>
      <c r="C342" s="1"/>
      <c r="D342" s="3">
        <v>45727</v>
      </c>
      <c r="E342" s="3">
        <v>45689</v>
      </c>
      <c r="F342" s="3">
        <v>45961</v>
      </c>
      <c r="G342" s="1" t="s">
        <v>27</v>
      </c>
      <c r="H342" s="1" t="s">
        <v>190</v>
      </c>
      <c r="I342" s="1" t="s">
        <v>29</v>
      </c>
      <c r="J342" s="1" t="s">
        <v>30</v>
      </c>
      <c r="K342" s="1" t="s">
        <v>31</v>
      </c>
      <c r="L342" s="4">
        <v>100</v>
      </c>
      <c r="M342" s="1" t="s">
        <v>32</v>
      </c>
      <c r="N342" s="1"/>
      <c r="O342" s="4">
        <v>5948</v>
      </c>
      <c r="P342" s="4">
        <v>59</v>
      </c>
      <c r="Q342" s="4">
        <v>892</v>
      </c>
      <c r="R342" s="4">
        <v>0</v>
      </c>
      <c r="S342" s="4">
        <v>0</v>
      </c>
      <c r="T342" s="4">
        <v>6899</v>
      </c>
      <c r="U342" s="4">
        <v>0</v>
      </c>
      <c r="V342" s="1"/>
      <c r="W342" s="5">
        <v>0</v>
      </c>
      <c r="X342" s="5">
        <v>0</v>
      </c>
      <c r="Y342" s="5">
        <v>0</v>
      </c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2">
        <v>342</v>
      </c>
      <c r="B343" s="1" t="s">
        <v>655</v>
      </c>
      <c r="C343" s="1"/>
      <c r="D343" s="3">
        <v>45727</v>
      </c>
      <c r="E343" s="3">
        <v>45689</v>
      </c>
      <c r="F343" s="3">
        <v>45961</v>
      </c>
      <c r="G343" s="1" t="s">
        <v>27</v>
      </c>
      <c r="H343" s="1" t="s">
        <v>192</v>
      </c>
      <c r="I343" s="1" t="s">
        <v>29</v>
      </c>
      <c r="J343" s="1" t="s">
        <v>30</v>
      </c>
      <c r="K343" s="1" t="s">
        <v>31</v>
      </c>
      <c r="L343" s="4">
        <v>100</v>
      </c>
      <c r="M343" s="1" t="s">
        <v>32</v>
      </c>
      <c r="N343" s="1"/>
      <c r="O343" s="4">
        <v>3233</v>
      </c>
      <c r="P343" s="4">
        <v>32</v>
      </c>
      <c r="Q343" s="4">
        <v>485</v>
      </c>
      <c r="R343" s="4">
        <v>0</v>
      </c>
      <c r="S343" s="4">
        <v>0</v>
      </c>
      <c r="T343" s="4">
        <v>3750</v>
      </c>
      <c r="U343" s="4">
        <v>0</v>
      </c>
      <c r="V343" s="1"/>
      <c r="W343" s="5">
        <v>0</v>
      </c>
      <c r="X343" s="5">
        <v>0</v>
      </c>
      <c r="Y343" s="5">
        <v>0</v>
      </c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2">
        <v>343</v>
      </c>
      <c r="B344" s="1" t="s">
        <v>656</v>
      </c>
      <c r="C344" s="1"/>
      <c r="D344" s="3">
        <v>45727</v>
      </c>
      <c r="E344" s="3">
        <v>45689</v>
      </c>
      <c r="F344" s="3">
        <v>45961</v>
      </c>
      <c r="G344" s="1" t="s">
        <v>27</v>
      </c>
      <c r="H344" s="1" t="s">
        <v>194</v>
      </c>
      <c r="I344" s="1" t="s">
        <v>29</v>
      </c>
      <c r="J344" s="1" t="s">
        <v>30</v>
      </c>
      <c r="K344" s="1" t="s">
        <v>31</v>
      </c>
      <c r="L344" s="4">
        <v>100</v>
      </c>
      <c r="M344" s="1" t="s">
        <v>32</v>
      </c>
      <c r="N344" s="1"/>
      <c r="O344" s="4">
        <v>1940</v>
      </c>
      <c r="P344" s="4">
        <v>19</v>
      </c>
      <c r="Q344" s="4">
        <v>291</v>
      </c>
      <c r="R344" s="4">
        <v>0</v>
      </c>
      <c r="S344" s="4">
        <v>0</v>
      </c>
      <c r="T344" s="4">
        <v>2250</v>
      </c>
      <c r="U344" s="4">
        <v>0</v>
      </c>
      <c r="V344" s="1"/>
      <c r="W344" s="5">
        <v>0</v>
      </c>
      <c r="X344" s="5">
        <v>0</v>
      </c>
      <c r="Y344" s="5">
        <v>0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2">
        <v>344</v>
      </c>
      <c r="B345" s="1" t="s">
        <v>657</v>
      </c>
      <c r="C345" s="1"/>
      <c r="D345" s="3">
        <v>45727</v>
      </c>
      <c r="E345" s="3">
        <v>45689</v>
      </c>
      <c r="F345" s="3">
        <v>45961</v>
      </c>
      <c r="G345" s="1" t="s">
        <v>27</v>
      </c>
      <c r="H345" s="1" t="s">
        <v>196</v>
      </c>
      <c r="I345" s="1" t="s">
        <v>29</v>
      </c>
      <c r="J345" s="1" t="s">
        <v>30</v>
      </c>
      <c r="K345" s="1" t="s">
        <v>31</v>
      </c>
      <c r="L345" s="4">
        <v>100</v>
      </c>
      <c r="M345" s="1" t="s">
        <v>32</v>
      </c>
      <c r="N345" s="1"/>
      <c r="O345" s="4">
        <v>3233</v>
      </c>
      <c r="P345" s="4">
        <v>32</v>
      </c>
      <c r="Q345" s="4">
        <v>485</v>
      </c>
      <c r="R345" s="4">
        <v>0</v>
      </c>
      <c r="S345" s="4">
        <v>0</v>
      </c>
      <c r="T345" s="4">
        <v>3750</v>
      </c>
      <c r="U345" s="4">
        <v>0</v>
      </c>
      <c r="V345" s="1"/>
      <c r="W345" s="5">
        <v>0</v>
      </c>
      <c r="X345" s="5">
        <v>0</v>
      </c>
      <c r="Y345" s="5">
        <v>0</v>
      </c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2">
        <v>345</v>
      </c>
      <c r="B346" s="1" t="s">
        <v>658</v>
      </c>
      <c r="C346" s="1"/>
      <c r="D346" s="3">
        <v>45727</v>
      </c>
      <c r="E346" s="3">
        <v>45689</v>
      </c>
      <c r="F346" s="3">
        <v>45961</v>
      </c>
      <c r="G346" s="1" t="s">
        <v>27</v>
      </c>
      <c r="H346" s="1" t="s">
        <v>198</v>
      </c>
      <c r="I346" s="1" t="s">
        <v>29</v>
      </c>
      <c r="J346" s="1" t="s">
        <v>30</v>
      </c>
      <c r="K346" s="1" t="s">
        <v>31</v>
      </c>
      <c r="L346" s="4">
        <v>100</v>
      </c>
      <c r="M346" s="1" t="s">
        <v>32</v>
      </c>
      <c r="N346" s="1"/>
      <c r="O346" s="4">
        <v>1293</v>
      </c>
      <c r="P346" s="4">
        <v>13</v>
      </c>
      <c r="Q346" s="4">
        <v>194</v>
      </c>
      <c r="R346" s="4">
        <v>0</v>
      </c>
      <c r="S346" s="4">
        <v>0</v>
      </c>
      <c r="T346" s="4">
        <v>1500</v>
      </c>
      <c r="U346" s="4">
        <v>0</v>
      </c>
      <c r="V346" s="1"/>
      <c r="W346" s="5">
        <v>0</v>
      </c>
      <c r="X346" s="5">
        <v>0</v>
      </c>
      <c r="Y346" s="5">
        <v>0</v>
      </c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2">
        <v>346</v>
      </c>
      <c r="B347" s="1" t="s">
        <v>659</v>
      </c>
      <c r="C347" s="1"/>
      <c r="D347" s="3">
        <v>45727</v>
      </c>
      <c r="E347" s="3">
        <v>45689</v>
      </c>
      <c r="F347" s="3">
        <v>45961</v>
      </c>
      <c r="G347" s="1" t="s">
        <v>27</v>
      </c>
      <c r="H347" s="1" t="s">
        <v>200</v>
      </c>
      <c r="I347" s="1" t="s">
        <v>29</v>
      </c>
      <c r="J347" s="1" t="s">
        <v>30</v>
      </c>
      <c r="K347" s="1" t="s">
        <v>31</v>
      </c>
      <c r="L347" s="4">
        <v>100</v>
      </c>
      <c r="M347" s="1" t="s">
        <v>32</v>
      </c>
      <c r="N347" s="1"/>
      <c r="O347" s="4">
        <v>3233</v>
      </c>
      <c r="P347" s="4">
        <v>32</v>
      </c>
      <c r="Q347" s="4">
        <v>485</v>
      </c>
      <c r="R347" s="4">
        <v>0</v>
      </c>
      <c r="S347" s="4">
        <v>0</v>
      </c>
      <c r="T347" s="4">
        <v>3750</v>
      </c>
      <c r="U347" s="4">
        <v>0</v>
      </c>
      <c r="V347" s="1"/>
      <c r="W347" s="5">
        <v>0</v>
      </c>
      <c r="X347" s="5">
        <v>0</v>
      </c>
      <c r="Y347" s="5">
        <v>0</v>
      </c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2">
        <v>347</v>
      </c>
      <c r="B348" s="1" t="s">
        <v>660</v>
      </c>
      <c r="C348" s="1"/>
      <c r="D348" s="3">
        <v>45727</v>
      </c>
      <c r="E348" s="3">
        <v>45689</v>
      </c>
      <c r="F348" s="3">
        <v>45961</v>
      </c>
      <c r="G348" s="1" t="s">
        <v>27</v>
      </c>
      <c r="H348" s="1" t="s">
        <v>202</v>
      </c>
      <c r="I348" s="1" t="s">
        <v>29</v>
      </c>
      <c r="J348" s="1" t="s">
        <v>30</v>
      </c>
      <c r="K348" s="1" t="s">
        <v>31</v>
      </c>
      <c r="L348" s="4">
        <v>100</v>
      </c>
      <c r="M348" s="1" t="s">
        <v>32</v>
      </c>
      <c r="N348" s="1"/>
      <c r="O348" s="4">
        <v>1552</v>
      </c>
      <c r="P348" s="4">
        <v>16</v>
      </c>
      <c r="Q348" s="4">
        <v>233</v>
      </c>
      <c r="R348" s="4">
        <v>0</v>
      </c>
      <c r="S348" s="4">
        <v>0</v>
      </c>
      <c r="T348" s="4">
        <v>1801</v>
      </c>
      <c r="U348" s="4">
        <v>0</v>
      </c>
      <c r="V348" s="1"/>
      <c r="W348" s="5">
        <v>0</v>
      </c>
      <c r="X348" s="5">
        <v>0</v>
      </c>
      <c r="Y348" s="5">
        <v>0</v>
      </c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2">
        <v>348</v>
      </c>
      <c r="B349" s="1" t="s">
        <v>661</v>
      </c>
      <c r="C349" s="1"/>
      <c r="D349" s="3">
        <v>45727</v>
      </c>
      <c r="E349" s="3">
        <v>45689</v>
      </c>
      <c r="F349" s="3">
        <v>45961</v>
      </c>
      <c r="G349" s="1" t="s">
        <v>27</v>
      </c>
      <c r="H349" s="1" t="s">
        <v>204</v>
      </c>
      <c r="I349" s="1" t="s">
        <v>29</v>
      </c>
      <c r="J349" s="1" t="s">
        <v>30</v>
      </c>
      <c r="K349" s="1" t="s">
        <v>31</v>
      </c>
      <c r="L349" s="4">
        <v>100</v>
      </c>
      <c r="M349" s="1" t="s">
        <v>32</v>
      </c>
      <c r="N349" s="1"/>
      <c r="O349" s="4">
        <v>2586</v>
      </c>
      <c r="P349" s="4">
        <v>26</v>
      </c>
      <c r="Q349" s="4">
        <v>388</v>
      </c>
      <c r="R349" s="4">
        <v>0</v>
      </c>
      <c r="S349" s="4">
        <v>0</v>
      </c>
      <c r="T349" s="4">
        <v>3000</v>
      </c>
      <c r="U349" s="4">
        <v>0</v>
      </c>
      <c r="V349" s="1"/>
      <c r="W349" s="5">
        <v>0</v>
      </c>
      <c r="X349" s="5">
        <v>0</v>
      </c>
      <c r="Y349" s="5">
        <v>0</v>
      </c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2">
        <v>349</v>
      </c>
      <c r="B350" s="1" t="s">
        <v>662</v>
      </c>
      <c r="C350" s="1"/>
      <c r="D350" s="3">
        <v>45727</v>
      </c>
      <c r="E350" s="3">
        <v>45689</v>
      </c>
      <c r="F350" s="3">
        <v>45961</v>
      </c>
      <c r="G350" s="1" t="s">
        <v>27</v>
      </c>
      <c r="H350" s="1" t="s">
        <v>206</v>
      </c>
      <c r="I350" s="1" t="s">
        <v>29</v>
      </c>
      <c r="J350" s="1" t="s">
        <v>30</v>
      </c>
      <c r="K350" s="1" t="s">
        <v>31</v>
      </c>
      <c r="L350" s="4">
        <v>100</v>
      </c>
      <c r="M350" s="1" t="s">
        <v>32</v>
      </c>
      <c r="N350" s="1"/>
      <c r="O350" s="4">
        <v>1940</v>
      </c>
      <c r="P350" s="4">
        <v>19</v>
      </c>
      <c r="Q350" s="4">
        <v>291</v>
      </c>
      <c r="R350" s="4">
        <v>0</v>
      </c>
      <c r="S350" s="4">
        <v>0</v>
      </c>
      <c r="T350" s="4">
        <v>2250</v>
      </c>
      <c r="U350" s="4">
        <v>0</v>
      </c>
      <c r="V350" s="1"/>
      <c r="W350" s="5">
        <v>0</v>
      </c>
      <c r="X350" s="5">
        <v>0</v>
      </c>
      <c r="Y350" s="5">
        <v>0</v>
      </c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2">
        <v>350</v>
      </c>
      <c r="B351" s="1" t="s">
        <v>663</v>
      </c>
      <c r="C351" s="1"/>
      <c r="D351" s="3">
        <v>45727</v>
      </c>
      <c r="E351" s="3">
        <v>45689</v>
      </c>
      <c r="F351" s="3">
        <v>45961</v>
      </c>
      <c r="G351" s="1" t="s">
        <v>27</v>
      </c>
      <c r="H351" s="1" t="s">
        <v>210</v>
      </c>
      <c r="I351" s="1" t="s">
        <v>29</v>
      </c>
      <c r="J351" s="1" t="s">
        <v>30</v>
      </c>
      <c r="K351" s="1" t="s">
        <v>31</v>
      </c>
      <c r="L351" s="4">
        <v>100</v>
      </c>
      <c r="M351" s="1" t="s">
        <v>32</v>
      </c>
      <c r="N351" s="1"/>
      <c r="O351" s="4">
        <v>1552</v>
      </c>
      <c r="P351" s="4">
        <v>16</v>
      </c>
      <c r="Q351" s="4">
        <v>233</v>
      </c>
      <c r="R351" s="4">
        <v>0</v>
      </c>
      <c r="S351" s="4">
        <v>0</v>
      </c>
      <c r="T351" s="4">
        <v>1801</v>
      </c>
      <c r="U351" s="4">
        <v>0</v>
      </c>
      <c r="V351" s="1"/>
      <c r="W351" s="5">
        <v>0</v>
      </c>
      <c r="X351" s="5">
        <v>0</v>
      </c>
      <c r="Y351" s="5">
        <v>0</v>
      </c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2">
        <v>351</v>
      </c>
      <c r="B352" s="1" t="s">
        <v>664</v>
      </c>
      <c r="C352" s="1"/>
      <c r="D352" s="3">
        <v>45727</v>
      </c>
      <c r="E352" s="3">
        <v>45689</v>
      </c>
      <c r="F352" s="3">
        <v>45961</v>
      </c>
      <c r="G352" s="1" t="s">
        <v>27</v>
      </c>
      <c r="H352" s="1" t="s">
        <v>212</v>
      </c>
      <c r="I352" s="1" t="s">
        <v>29</v>
      </c>
      <c r="J352" s="1" t="s">
        <v>30</v>
      </c>
      <c r="K352" s="1" t="s">
        <v>31</v>
      </c>
      <c r="L352" s="4">
        <v>100</v>
      </c>
      <c r="M352" s="1" t="s">
        <v>32</v>
      </c>
      <c r="N352" s="1"/>
      <c r="O352" s="4">
        <v>5043</v>
      </c>
      <c r="P352" s="4">
        <v>50</v>
      </c>
      <c r="Q352" s="4">
        <v>756</v>
      </c>
      <c r="R352" s="4">
        <v>0</v>
      </c>
      <c r="S352" s="4">
        <v>0</v>
      </c>
      <c r="T352" s="4">
        <v>5849</v>
      </c>
      <c r="U352" s="4">
        <v>0</v>
      </c>
      <c r="V352" s="1"/>
      <c r="W352" s="5">
        <v>0</v>
      </c>
      <c r="X352" s="5">
        <v>0</v>
      </c>
      <c r="Y352" s="5">
        <v>0</v>
      </c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2">
        <v>352</v>
      </c>
      <c r="B353" s="1" t="s">
        <v>665</v>
      </c>
      <c r="C353" s="1"/>
      <c r="D353" s="3">
        <v>45727</v>
      </c>
      <c r="E353" s="3">
        <v>45689</v>
      </c>
      <c r="F353" s="3">
        <v>45961</v>
      </c>
      <c r="G353" s="1" t="s">
        <v>27</v>
      </c>
      <c r="H353" s="1" t="s">
        <v>214</v>
      </c>
      <c r="I353" s="1" t="s">
        <v>29</v>
      </c>
      <c r="J353" s="1" t="s">
        <v>30</v>
      </c>
      <c r="K353" s="1" t="s">
        <v>31</v>
      </c>
      <c r="L353" s="4">
        <v>100</v>
      </c>
      <c r="M353" s="1" t="s">
        <v>32</v>
      </c>
      <c r="N353" s="1"/>
      <c r="O353" s="4">
        <v>3491</v>
      </c>
      <c r="P353" s="4">
        <v>35</v>
      </c>
      <c r="Q353" s="4">
        <v>524</v>
      </c>
      <c r="R353" s="4">
        <v>0</v>
      </c>
      <c r="S353" s="4">
        <v>0</v>
      </c>
      <c r="T353" s="4">
        <v>4050</v>
      </c>
      <c r="U353" s="4">
        <v>0</v>
      </c>
      <c r="V353" s="1"/>
      <c r="W353" s="5">
        <v>0</v>
      </c>
      <c r="X353" s="5">
        <v>0</v>
      </c>
      <c r="Y353" s="5">
        <v>0</v>
      </c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2">
        <v>353</v>
      </c>
      <c r="B354" s="1" t="s">
        <v>666</v>
      </c>
      <c r="C354" s="1"/>
      <c r="D354" s="3">
        <v>45727</v>
      </c>
      <c r="E354" s="3">
        <v>45689</v>
      </c>
      <c r="F354" s="3">
        <v>45961</v>
      </c>
      <c r="G354" s="1" t="s">
        <v>27</v>
      </c>
      <c r="H354" s="1" t="s">
        <v>216</v>
      </c>
      <c r="I354" s="1" t="s">
        <v>29</v>
      </c>
      <c r="J354" s="1" t="s">
        <v>30</v>
      </c>
      <c r="K354" s="1" t="s">
        <v>31</v>
      </c>
      <c r="L354" s="4">
        <v>100</v>
      </c>
      <c r="M354" s="1" t="s">
        <v>32</v>
      </c>
      <c r="N354" s="1"/>
      <c r="O354" s="4">
        <v>3879</v>
      </c>
      <c r="P354" s="4">
        <v>39</v>
      </c>
      <c r="Q354" s="4">
        <v>582</v>
      </c>
      <c r="R354" s="4">
        <v>0</v>
      </c>
      <c r="S354" s="4">
        <v>0</v>
      </c>
      <c r="T354" s="4">
        <v>4500</v>
      </c>
      <c r="U354" s="4">
        <v>0</v>
      </c>
      <c r="V354" s="1"/>
      <c r="W354" s="5">
        <v>0</v>
      </c>
      <c r="X354" s="5">
        <v>0</v>
      </c>
      <c r="Y354" s="5">
        <v>0</v>
      </c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2">
        <v>354</v>
      </c>
      <c r="B355" s="1" t="s">
        <v>667</v>
      </c>
      <c r="C355" s="1"/>
      <c r="D355" s="3">
        <v>45727</v>
      </c>
      <c r="E355" s="3">
        <v>45689</v>
      </c>
      <c r="F355" s="3">
        <v>45961</v>
      </c>
      <c r="G355" s="1" t="s">
        <v>27</v>
      </c>
      <c r="H355" s="1" t="s">
        <v>218</v>
      </c>
      <c r="I355" s="1" t="s">
        <v>29</v>
      </c>
      <c r="J355" s="1" t="s">
        <v>30</v>
      </c>
      <c r="K355" s="1" t="s">
        <v>31</v>
      </c>
      <c r="L355" s="4">
        <v>100</v>
      </c>
      <c r="M355" s="1" t="s">
        <v>32</v>
      </c>
      <c r="N355" s="1"/>
      <c r="O355" s="4">
        <v>1422</v>
      </c>
      <c r="P355" s="4">
        <v>14</v>
      </c>
      <c r="Q355" s="4">
        <v>213</v>
      </c>
      <c r="R355" s="4">
        <v>0</v>
      </c>
      <c r="S355" s="4">
        <v>0</v>
      </c>
      <c r="T355" s="4">
        <v>1649</v>
      </c>
      <c r="U355" s="4">
        <v>0</v>
      </c>
      <c r="V355" s="1"/>
      <c r="W355" s="5">
        <v>0</v>
      </c>
      <c r="X355" s="5">
        <v>0</v>
      </c>
      <c r="Y355" s="5">
        <v>0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2">
        <v>355</v>
      </c>
      <c r="B356" s="1" t="s">
        <v>668</v>
      </c>
      <c r="C356" s="1"/>
      <c r="D356" s="3">
        <v>45727</v>
      </c>
      <c r="E356" s="3">
        <v>45689</v>
      </c>
      <c r="F356" s="3">
        <v>45961</v>
      </c>
      <c r="G356" s="1" t="s">
        <v>27</v>
      </c>
      <c r="H356" s="1" t="s">
        <v>220</v>
      </c>
      <c r="I356" s="1" t="s">
        <v>29</v>
      </c>
      <c r="J356" s="1" t="s">
        <v>30</v>
      </c>
      <c r="K356" s="1" t="s">
        <v>31</v>
      </c>
      <c r="L356" s="4">
        <v>100</v>
      </c>
      <c r="M356" s="1" t="s">
        <v>32</v>
      </c>
      <c r="N356" s="1"/>
      <c r="O356" s="4">
        <v>1422</v>
      </c>
      <c r="P356" s="4">
        <v>14</v>
      </c>
      <c r="Q356" s="4">
        <v>213</v>
      </c>
      <c r="R356" s="4">
        <v>0</v>
      </c>
      <c r="S356" s="4">
        <v>0</v>
      </c>
      <c r="T356" s="4">
        <v>1649</v>
      </c>
      <c r="U356" s="4">
        <v>0</v>
      </c>
      <c r="V356" s="1"/>
      <c r="W356" s="5">
        <v>0</v>
      </c>
      <c r="X356" s="5">
        <v>0</v>
      </c>
      <c r="Y356" s="5">
        <v>0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2">
        <v>356</v>
      </c>
      <c r="B357" s="1" t="s">
        <v>669</v>
      </c>
      <c r="C357" s="1"/>
      <c r="D357" s="3">
        <v>45727</v>
      </c>
      <c r="E357" s="3">
        <v>45689</v>
      </c>
      <c r="F357" s="3">
        <v>45961</v>
      </c>
      <c r="G357" s="1" t="s">
        <v>27</v>
      </c>
      <c r="H357" s="1" t="s">
        <v>224</v>
      </c>
      <c r="I357" s="1" t="s">
        <v>29</v>
      </c>
      <c r="J357" s="1" t="s">
        <v>30</v>
      </c>
      <c r="K357" s="1" t="s">
        <v>31</v>
      </c>
      <c r="L357" s="4">
        <v>100</v>
      </c>
      <c r="M357" s="1" t="s">
        <v>32</v>
      </c>
      <c r="N357" s="1"/>
      <c r="O357" s="4">
        <v>1164</v>
      </c>
      <c r="P357" s="4">
        <v>12</v>
      </c>
      <c r="Q357" s="4">
        <v>175</v>
      </c>
      <c r="R357" s="4">
        <v>0</v>
      </c>
      <c r="S357" s="4">
        <v>0</v>
      </c>
      <c r="T357" s="4">
        <v>1351</v>
      </c>
      <c r="U357" s="4">
        <v>0</v>
      </c>
      <c r="V357" s="1"/>
      <c r="W357" s="5">
        <v>0</v>
      </c>
      <c r="X357" s="5">
        <v>0</v>
      </c>
      <c r="Y357" s="5">
        <v>0</v>
      </c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2">
        <v>357</v>
      </c>
      <c r="B358" s="1" t="s">
        <v>670</v>
      </c>
      <c r="C358" s="1"/>
      <c r="D358" s="3">
        <v>45727</v>
      </c>
      <c r="E358" s="3">
        <v>45689</v>
      </c>
      <c r="F358" s="3">
        <v>45961</v>
      </c>
      <c r="G358" s="1" t="s">
        <v>27</v>
      </c>
      <c r="H358" s="1" t="s">
        <v>230</v>
      </c>
      <c r="I358" s="1" t="s">
        <v>29</v>
      </c>
      <c r="J358" s="1" t="s">
        <v>30</v>
      </c>
      <c r="K358" s="1" t="s">
        <v>31</v>
      </c>
      <c r="L358" s="4">
        <v>100</v>
      </c>
      <c r="M358" s="1" t="s">
        <v>32</v>
      </c>
      <c r="N358" s="1"/>
      <c r="O358" s="4">
        <v>1293</v>
      </c>
      <c r="P358" s="4">
        <v>13</v>
      </c>
      <c r="Q358" s="4">
        <v>194</v>
      </c>
      <c r="R358" s="4">
        <v>0</v>
      </c>
      <c r="S358" s="4">
        <v>0</v>
      </c>
      <c r="T358" s="4">
        <v>1500</v>
      </c>
      <c r="U358" s="4">
        <v>0</v>
      </c>
      <c r="V358" s="1"/>
      <c r="W358" s="5">
        <v>0</v>
      </c>
      <c r="X358" s="5">
        <v>0</v>
      </c>
      <c r="Y358" s="5">
        <v>0</v>
      </c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2">
        <v>358</v>
      </c>
      <c r="B359" s="1" t="s">
        <v>671</v>
      </c>
      <c r="C359" s="1"/>
      <c r="D359" s="3">
        <v>45727</v>
      </c>
      <c r="E359" s="3">
        <v>45689</v>
      </c>
      <c r="F359" s="3">
        <v>45961</v>
      </c>
      <c r="G359" s="1" t="s">
        <v>27</v>
      </c>
      <c r="H359" s="1" t="s">
        <v>238</v>
      </c>
      <c r="I359" s="1" t="s">
        <v>29</v>
      </c>
      <c r="J359" s="1" t="s">
        <v>30</v>
      </c>
      <c r="K359" s="1" t="s">
        <v>31</v>
      </c>
      <c r="L359" s="4">
        <v>100</v>
      </c>
      <c r="M359" s="1" t="s">
        <v>32</v>
      </c>
      <c r="N359" s="1"/>
      <c r="O359" s="4">
        <v>647</v>
      </c>
      <c r="P359" s="4">
        <v>6</v>
      </c>
      <c r="Q359" s="4">
        <v>97</v>
      </c>
      <c r="R359" s="4">
        <v>0</v>
      </c>
      <c r="S359" s="4">
        <v>0</v>
      </c>
      <c r="T359" s="4">
        <v>750</v>
      </c>
      <c r="U359" s="4">
        <v>0</v>
      </c>
      <c r="V359" s="1"/>
      <c r="W359" s="5">
        <v>0</v>
      </c>
      <c r="X359" s="5">
        <v>0</v>
      </c>
      <c r="Y359" s="5">
        <v>0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2">
        <v>359</v>
      </c>
      <c r="B360" s="1" t="s">
        <v>672</v>
      </c>
      <c r="C360" s="1"/>
      <c r="D360" s="3">
        <v>45727</v>
      </c>
      <c r="E360" s="3">
        <v>45689</v>
      </c>
      <c r="F360" s="3">
        <v>45961</v>
      </c>
      <c r="G360" s="1" t="s">
        <v>27</v>
      </c>
      <c r="H360" s="1" t="s">
        <v>242</v>
      </c>
      <c r="I360" s="1" t="s">
        <v>29</v>
      </c>
      <c r="J360" s="1" t="s">
        <v>30</v>
      </c>
      <c r="K360" s="1" t="s">
        <v>31</v>
      </c>
      <c r="L360" s="4">
        <v>100</v>
      </c>
      <c r="M360" s="1" t="s">
        <v>32</v>
      </c>
      <c r="N360" s="1"/>
      <c r="O360" s="4">
        <v>4138</v>
      </c>
      <c r="P360" s="4">
        <v>41</v>
      </c>
      <c r="Q360" s="4">
        <v>621</v>
      </c>
      <c r="R360" s="4">
        <v>0</v>
      </c>
      <c r="S360" s="4">
        <v>0</v>
      </c>
      <c r="T360" s="4">
        <v>4800</v>
      </c>
      <c r="U360" s="4">
        <v>0</v>
      </c>
      <c r="V360" s="1"/>
      <c r="W360" s="5">
        <v>0</v>
      </c>
      <c r="X360" s="5">
        <v>0</v>
      </c>
      <c r="Y360" s="5">
        <v>0</v>
      </c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2">
        <v>360</v>
      </c>
      <c r="B361" s="1" t="s">
        <v>673</v>
      </c>
      <c r="C361" s="1"/>
      <c r="D361" s="3">
        <v>45727</v>
      </c>
      <c r="E361" s="3">
        <v>45689</v>
      </c>
      <c r="F361" s="3">
        <v>45961</v>
      </c>
      <c r="G361" s="1" t="s">
        <v>27</v>
      </c>
      <c r="H361" s="1" t="s">
        <v>244</v>
      </c>
      <c r="I361" s="1" t="s">
        <v>29</v>
      </c>
      <c r="J361" s="1" t="s">
        <v>30</v>
      </c>
      <c r="K361" s="1" t="s">
        <v>31</v>
      </c>
      <c r="L361" s="4">
        <v>100</v>
      </c>
      <c r="M361" s="1" t="s">
        <v>32</v>
      </c>
      <c r="N361" s="1"/>
      <c r="O361" s="4">
        <v>4526</v>
      </c>
      <c r="P361" s="4">
        <v>45</v>
      </c>
      <c r="Q361" s="4">
        <v>679</v>
      </c>
      <c r="R361" s="4">
        <v>0</v>
      </c>
      <c r="S361" s="4">
        <v>0</v>
      </c>
      <c r="T361" s="4">
        <v>5250</v>
      </c>
      <c r="U361" s="4">
        <v>0</v>
      </c>
      <c r="V361" s="1"/>
      <c r="W361" s="5">
        <v>0</v>
      </c>
      <c r="X361" s="5">
        <v>0</v>
      </c>
      <c r="Y361" s="5">
        <v>0</v>
      </c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2">
        <v>361</v>
      </c>
      <c r="B362" s="1" t="s">
        <v>674</v>
      </c>
      <c r="C362" s="1"/>
      <c r="D362" s="3">
        <v>45727</v>
      </c>
      <c r="E362" s="3">
        <v>45689</v>
      </c>
      <c r="F362" s="3">
        <v>45961</v>
      </c>
      <c r="G362" s="1" t="s">
        <v>27</v>
      </c>
      <c r="H362" s="1" t="s">
        <v>246</v>
      </c>
      <c r="I362" s="1" t="s">
        <v>29</v>
      </c>
      <c r="J362" s="1" t="s">
        <v>30</v>
      </c>
      <c r="K362" s="1" t="s">
        <v>31</v>
      </c>
      <c r="L362" s="4">
        <v>100</v>
      </c>
      <c r="M362" s="1" t="s">
        <v>32</v>
      </c>
      <c r="N362" s="1"/>
      <c r="O362" s="4">
        <v>4784</v>
      </c>
      <c r="P362" s="4">
        <v>48</v>
      </c>
      <c r="Q362" s="4">
        <v>718</v>
      </c>
      <c r="R362" s="4">
        <v>0</v>
      </c>
      <c r="S362" s="4">
        <v>0</v>
      </c>
      <c r="T362" s="4">
        <v>5550</v>
      </c>
      <c r="U362" s="4">
        <v>0</v>
      </c>
      <c r="V362" s="1"/>
      <c r="W362" s="5">
        <v>0</v>
      </c>
      <c r="X362" s="5">
        <v>0</v>
      </c>
      <c r="Y362" s="5">
        <v>0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2">
        <v>362</v>
      </c>
      <c r="B363" s="1" t="s">
        <v>675</v>
      </c>
      <c r="C363" s="1"/>
      <c r="D363" s="3">
        <v>45727</v>
      </c>
      <c r="E363" s="3">
        <v>45689</v>
      </c>
      <c r="F363" s="3">
        <v>45961</v>
      </c>
      <c r="G363" s="1" t="s">
        <v>27</v>
      </c>
      <c r="H363" s="1" t="s">
        <v>248</v>
      </c>
      <c r="I363" s="1" t="s">
        <v>29</v>
      </c>
      <c r="J363" s="1" t="s">
        <v>30</v>
      </c>
      <c r="K363" s="1" t="s">
        <v>31</v>
      </c>
      <c r="L363" s="4">
        <v>100</v>
      </c>
      <c r="M363" s="1" t="s">
        <v>32</v>
      </c>
      <c r="N363" s="1"/>
      <c r="O363" s="4">
        <v>3750</v>
      </c>
      <c r="P363" s="4">
        <v>38</v>
      </c>
      <c r="Q363" s="4">
        <v>563</v>
      </c>
      <c r="R363" s="4">
        <v>0</v>
      </c>
      <c r="S363" s="4">
        <v>0</v>
      </c>
      <c r="T363" s="4">
        <v>4351</v>
      </c>
      <c r="U363" s="4">
        <v>0</v>
      </c>
      <c r="V363" s="1"/>
      <c r="W363" s="5">
        <v>0</v>
      </c>
      <c r="X363" s="5">
        <v>0</v>
      </c>
      <c r="Y363" s="5">
        <v>0</v>
      </c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2">
        <v>363</v>
      </c>
      <c r="B364" s="1" t="s">
        <v>676</v>
      </c>
      <c r="C364" s="1"/>
      <c r="D364" s="3">
        <v>45727</v>
      </c>
      <c r="E364" s="3">
        <v>45689</v>
      </c>
      <c r="F364" s="3">
        <v>45961</v>
      </c>
      <c r="G364" s="1" t="s">
        <v>27</v>
      </c>
      <c r="H364" s="1" t="s">
        <v>250</v>
      </c>
      <c r="I364" s="1" t="s">
        <v>29</v>
      </c>
      <c r="J364" s="1" t="s">
        <v>30</v>
      </c>
      <c r="K364" s="1" t="s">
        <v>31</v>
      </c>
      <c r="L364" s="4">
        <v>100</v>
      </c>
      <c r="M364" s="1" t="s">
        <v>32</v>
      </c>
      <c r="N364" s="1"/>
      <c r="O364" s="4">
        <v>4009</v>
      </c>
      <c r="P364" s="4">
        <v>40</v>
      </c>
      <c r="Q364" s="4">
        <v>601</v>
      </c>
      <c r="R364" s="4">
        <v>0</v>
      </c>
      <c r="S364" s="4">
        <v>0</v>
      </c>
      <c r="T364" s="4">
        <v>4650</v>
      </c>
      <c r="U364" s="4">
        <v>0</v>
      </c>
      <c r="V364" s="1"/>
      <c r="W364" s="5">
        <v>0</v>
      </c>
      <c r="X364" s="5">
        <v>0</v>
      </c>
      <c r="Y364" s="5">
        <v>0</v>
      </c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2">
        <v>364</v>
      </c>
      <c r="B365" s="1" t="s">
        <v>677</v>
      </c>
      <c r="C365" s="1"/>
      <c r="D365" s="3">
        <v>45727</v>
      </c>
      <c r="E365" s="3">
        <v>45689</v>
      </c>
      <c r="F365" s="3">
        <v>45961</v>
      </c>
      <c r="G365" s="1" t="s">
        <v>27</v>
      </c>
      <c r="H365" s="1" t="s">
        <v>252</v>
      </c>
      <c r="I365" s="1" t="s">
        <v>29</v>
      </c>
      <c r="J365" s="1" t="s">
        <v>30</v>
      </c>
      <c r="K365" s="1" t="s">
        <v>31</v>
      </c>
      <c r="L365" s="4">
        <v>100</v>
      </c>
      <c r="M365" s="1" t="s">
        <v>32</v>
      </c>
      <c r="N365" s="1"/>
      <c r="O365" s="4">
        <v>4267</v>
      </c>
      <c r="P365" s="4">
        <v>43</v>
      </c>
      <c r="Q365" s="4">
        <v>640</v>
      </c>
      <c r="R365" s="4">
        <v>0</v>
      </c>
      <c r="S365" s="4">
        <v>0</v>
      </c>
      <c r="T365" s="4">
        <v>4950</v>
      </c>
      <c r="U365" s="4">
        <v>0</v>
      </c>
      <c r="V365" s="1"/>
      <c r="W365" s="5">
        <v>0</v>
      </c>
      <c r="X365" s="5">
        <v>0</v>
      </c>
      <c r="Y365" s="5">
        <v>0</v>
      </c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2">
        <v>365</v>
      </c>
      <c r="B366" s="1" t="s">
        <v>678</v>
      </c>
      <c r="C366" s="1"/>
      <c r="D366" s="3">
        <v>45727</v>
      </c>
      <c r="E366" s="3">
        <v>45689</v>
      </c>
      <c r="F366" s="3">
        <v>45961</v>
      </c>
      <c r="G366" s="1" t="s">
        <v>27</v>
      </c>
      <c r="H366" s="1" t="s">
        <v>254</v>
      </c>
      <c r="I366" s="1" t="s">
        <v>29</v>
      </c>
      <c r="J366" s="1" t="s">
        <v>30</v>
      </c>
      <c r="K366" s="1" t="s">
        <v>31</v>
      </c>
      <c r="L366" s="4">
        <v>100</v>
      </c>
      <c r="M366" s="1" t="s">
        <v>32</v>
      </c>
      <c r="N366" s="1"/>
      <c r="O366" s="4">
        <v>3879</v>
      </c>
      <c r="P366" s="4">
        <v>39</v>
      </c>
      <c r="Q366" s="4">
        <v>582</v>
      </c>
      <c r="R366" s="4">
        <v>0</v>
      </c>
      <c r="S366" s="4">
        <v>0</v>
      </c>
      <c r="T366" s="4">
        <v>4500</v>
      </c>
      <c r="U366" s="4">
        <v>0</v>
      </c>
      <c r="V366" s="1"/>
      <c r="W366" s="5">
        <v>0</v>
      </c>
      <c r="X366" s="5">
        <v>0</v>
      </c>
      <c r="Y366" s="5">
        <v>0</v>
      </c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2">
        <v>366</v>
      </c>
      <c r="B367" s="1" t="s">
        <v>679</v>
      </c>
      <c r="C367" s="1"/>
      <c r="D367" s="3">
        <v>45727</v>
      </c>
      <c r="E367" s="3">
        <v>45689</v>
      </c>
      <c r="F367" s="3">
        <v>45961</v>
      </c>
      <c r="G367" s="1" t="s">
        <v>27</v>
      </c>
      <c r="H367" s="1" t="s">
        <v>256</v>
      </c>
      <c r="I367" s="1" t="s">
        <v>29</v>
      </c>
      <c r="J367" s="1" t="s">
        <v>30</v>
      </c>
      <c r="K367" s="1" t="s">
        <v>31</v>
      </c>
      <c r="L367" s="4">
        <v>100</v>
      </c>
      <c r="M367" s="1" t="s">
        <v>32</v>
      </c>
      <c r="N367" s="1"/>
      <c r="O367" s="4">
        <v>905</v>
      </c>
      <c r="P367" s="4">
        <v>9</v>
      </c>
      <c r="Q367" s="4">
        <v>136</v>
      </c>
      <c r="R367" s="4">
        <v>0</v>
      </c>
      <c r="S367" s="4">
        <v>0</v>
      </c>
      <c r="T367" s="4">
        <v>1050</v>
      </c>
      <c r="U367" s="4">
        <v>0</v>
      </c>
      <c r="V367" s="1"/>
      <c r="W367" s="5">
        <v>0</v>
      </c>
      <c r="X367" s="5">
        <v>0</v>
      </c>
      <c r="Y367" s="5">
        <v>0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2">
        <v>367</v>
      </c>
      <c r="B368" s="1" t="s">
        <v>680</v>
      </c>
      <c r="C368" s="1"/>
      <c r="D368" s="3">
        <v>45727</v>
      </c>
      <c r="E368" s="3">
        <v>45689</v>
      </c>
      <c r="F368" s="3">
        <v>45961</v>
      </c>
      <c r="G368" s="1" t="s">
        <v>27</v>
      </c>
      <c r="H368" s="1" t="s">
        <v>260</v>
      </c>
      <c r="I368" s="1" t="s">
        <v>29</v>
      </c>
      <c r="J368" s="1" t="s">
        <v>30</v>
      </c>
      <c r="K368" s="1" t="s">
        <v>31</v>
      </c>
      <c r="L368" s="4">
        <v>100</v>
      </c>
      <c r="M368" s="1" t="s">
        <v>32</v>
      </c>
      <c r="N368" s="1"/>
      <c r="O368" s="4">
        <v>1293</v>
      </c>
      <c r="P368" s="4">
        <v>13</v>
      </c>
      <c r="Q368" s="4">
        <v>194</v>
      </c>
      <c r="R368" s="4">
        <v>0</v>
      </c>
      <c r="S368" s="4">
        <v>0</v>
      </c>
      <c r="T368" s="4">
        <v>1500</v>
      </c>
      <c r="U368" s="4">
        <v>0</v>
      </c>
      <c r="V368" s="1"/>
      <c r="W368" s="5">
        <v>0</v>
      </c>
      <c r="X368" s="5">
        <v>0</v>
      </c>
      <c r="Y368" s="5">
        <v>0</v>
      </c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2">
        <v>368</v>
      </c>
      <c r="B369" s="1" t="s">
        <v>681</v>
      </c>
      <c r="C369" s="1"/>
      <c r="D369" s="3">
        <v>45727</v>
      </c>
      <c r="E369" s="3">
        <v>45689</v>
      </c>
      <c r="F369" s="3">
        <v>45961</v>
      </c>
      <c r="G369" s="1" t="s">
        <v>27</v>
      </c>
      <c r="H369" s="1" t="s">
        <v>262</v>
      </c>
      <c r="I369" s="1" t="s">
        <v>29</v>
      </c>
      <c r="J369" s="1" t="s">
        <v>30</v>
      </c>
      <c r="K369" s="1" t="s">
        <v>31</v>
      </c>
      <c r="L369" s="4">
        <v>100</v>
      </c>
      <c r="M369" s="1" t="s">
        <v>32</v>
      </c>
      <c r="N369" s="1"/>
      <c r="O369" s="4">
        <v>1164</v>
      </c>
      <c r="P369" s="4">
        <v>12</v>
      </c>
      <c r="Q369" s="4">
        <v>175</v>
      </c>
      <c r="R369" s="4">
        <v>0</v>
      </c>
      <c r="S369" s="4">
        <v>0</v>
      </c>
      <c r="T369" s="4">
        <v>1351</v>
      </c>
      <c r="U369" s="4">
        <v>0</v>
      </c>
      <c r="V369" s="1"/>
      <c r="W369" s="5">
        <v>0</v>
      </c>
      <c r="X369" s="5">
        <v>0</v>
      </c>
      <c r="Y369" s="5">
        <v>0</v>
      </c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2">
        <v>369</v>
      </c>
      <c r="B370" s="1" t="s">
        <v>682</v>
      </c>
      <c r="C370" s="1"/>
      <c r="D370" s="3">
        <v>45727</v>
      </c>
      <c r="E370" s="3">
        <v>45689</v>
      </c>
      <c r="F370" s="3">
        <v>45961</v>
      </c>
      <c r="G370" s="1" t="s">
        <v>27</v>
      </c>
      <c r="H370" s="1" t="s">
        <v>264</v>
      </c>
      <c r="I370" s="1" t="s">
        <v>29</v>
      </c>
      <c r="J370" s="1" t="s">
        <v>30</v>
      </c>
      <c r="K370" s="1" t="s">
        <v>31</v>
      </c>
      <c r="L370" s="4">
        <v>100</v>
      </c>
      <c r="M370" s="1" t="s">
        <v>32</v>
      </c>
      <c r="N370" s="1"/>
      <c r="O370" s="4">
        <v>1681</v>
      </c>
      <c r="P370" s="4">
        <v>17</v>
      </c>
      <c r="Q370" s="4">
        <v>252</v>
      </c>
      <c r="R370" s="4">
        <v>0</v>
      </c>
      <c r="S370" s="4">
        <v>0</v>
      </c>
      <c r="T370" s="4">
        <v>1950</v>
      </c>
      <c r="U370" s="4">
        <v>0</v>
      </c>
      <c r="V370" s="1"/>
      <c r="W370" s="5">
        <v>0</v>
      </c>
      <c r="X370" s="5">
        <v>0</v>
      </c>
      <c r="Y370" s="5">
        <v>0</v>
      </c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2">
        <v>370</v>
      </c>
      <c r="B371" s="1" t="s">
        <v>683</v>
      </c>
      <c r="C371" s="1"/>
      <c r="D371" s="3">
        <v>45727</v>
      </c>
      <c r="E371" s="3">
        <v>45689</v>
      </c>
      <c r="F371" s="3">
        <v>45961</v>
      </c>
      <c r="G371" s="1" t="s">
        <v>27</v>
      </c>
      <c r="H371" s="1" t="s">
        <v>266</v>
      </c>
      <c r="I371" s="1" t="s">
        <v>29</v>
      </c>
      <c r="J371" s="1" t="s">
        <v>30</v>
      </c>
      <c r="K371" s="1" t="s">
        <v>31</v>
      </c>
      <c r="L371" s="4">
        <v>100</v>
      </c>
      <c r="M371" s="1" t="s">
        <v>32</v>
      </c>
      <c r="N371" s="1"/>
      <c r="O371" s="4">
        <v>905</v>
      </c>
      <c r="P371" s="4">
        <v>9</v>
      </c>
      <c r="Q371" s="4">
        <v>136</v>
      </c>
      <c r="R371" s="4">
        <v>0</v>
      </c>
      <c r="S371" s="4">
        <v>0</v>
      </c>
      <c r="T371" s="4">
        <v>1050</v>
      </c>
      <c r="U371" s="4">
        <v>0</v>
      </c>
      <c r="V371" s="1"/>
      <c r="W371" s="5">
        <v>0</v>
      </c>
      <c r="X371" s="5">
        <v>0</v>
      </c>
      <c r="Y371" s="5">
        <v>0</v>
      </c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2">
        <v>371</v>
      </c>
      <c r="B372" s="1" t="s">
        <v>684</v>
      </c>
      <c r="C372" s="1"/>
      <c r="D372" s="3">
        <v>45727</v>
      </c>
      <c r="E372" s="3">
        <v>45689</v>
      </c>
      <c r="F372" s="3">
        <v>45961</v>
      </c>
      <c r="G372" s="1" t="s">
        <v>27</v>
      </c>
      <c r="H372" s="1" t="s">
        <v>270</v>
      </c>
      <c r="I372" s="1" t="s">
        <v>29</v>
      </c>
      <c r="J372" s="1" t="s">
        <v>30</v>
      </c>
      <c r="K372" s="1" t="s">
        <v>31</v>
      </c>
      <c r="L372" s="4">
        <v>100</v>
      </c>
      <c r="M372" s="1" t="s">
        <v>32</v>
      </c>
      <c r="N372" s="1"/>
      <c r="O372" s="4">
        <v>2069</v>
      </c>
      <c r="P372" s="4">
        <v>21</v>
      </c>
      <c r="Q372" s="4">
        <v>310</v>
      </c>
      <c r="R372" s="4">
        <v>0</v>
      </c>
      <c r="S372" s="4">
        <v>0</v>
      </c>
      <c r="T372" s="4">
        <v>2400</v>
      </c>
      <c r="U372" s="4">
        <v>0</v>
      </c>
      <c r="V372" s="1"/>
      <c r="W372" s="5">
        <v>0</v>
      </c>
      <c r="X372" s="5">
        <v>0</v>
      </c>
      <c r="Y372" s="5">
        <v>0</v>
      </c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2">
        <v>372</v>
      </c>
      <c r="B373" s="1" t="s">
        <v>685</v>
      </c>
      <c r="C373" s="1"/>
      <c r="D373" s="3">
        <v>45727</v>
      </c>
      <c r="E373" s="3">
        <v>45689</v>
      </c>
      <c r="F373" s="3">
        <v>45961</v>
      </c>
      <c r="G373" s="1" t="s">
        <v>27</v>
      </c>
      <c r="H373" s="1" t="s">
        <v>272</v>
      </c>
      <c r="I373" s="1" t="s">
        <v>29</v>
      </c>
      <c r="J373" s="1" t="s">
        <v>30</v>
      </c>
      <c r="K373" s="1" t="s">
        <v>31</v>
      </c>
      <c r="L373" s="4">
        <v>100</v>
      </c>
      <c r="M373" s="1" t="s">
        <v>32</v>
      </c>
      <c r="N373" s="1"/>
      <c r="O373" s="4">
        <v>1940</v>
      </c>
      <c r="P373" s="4">
        <v>19</v>
      </c>
      <c r="Q373" s="4">
        <v>291</v>
      </c>
      <c r="R373" s="4">
        <v>0</v>
      </c>
      <c r="S373" s="4">
        <v>0</v>
      </c>
      <c r="T373" s="4">
        <v>2250</v>
      </c>
      <c r="U373" s="4">
        <v>0</v>
      </c>
      <c r="V373" s="1"/>
      <c r="W373" s="5">
        <v>0</v>
      </c>
      <c r="X373" s="5">
        <v>0</v>
      </c>
      <c r="Y373" s="5">
        <v>0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2">
        <v>373</v>
      </c>
      <c r="B374" s="1" t="s">
        <v>686</v>
      </c>
      <c r="C374" s="1"/>
      <c r="D374" s="3">
        <v>45727</v>
      </c>
      <c r="E374" s="3">
        <v>45689</v>
      </c>
      <c r="F374" s="3">
        <v>45961</v>
      </c>
      <c r="G374" s="1" t="s">
        <v>27</v>
      </c>
      <c r="H374" s="1" t="s">
        <v>274</v>
      </c>
      <c r="I374" s="1" t="s">
        <v>29</v>
      </c>
      <c r="J374" s="1" t="s">
        <v>30</v>
      </c>
      <c r="K374" s="1" t="s">
        <v>31</v>
      </c>
      <c r="L374" s="4">
        <v>100</v>
      </c>
      <c r="M374" s="1" t="s">
        <v>32</v>
      </c>
      <c r="N374" s="1"/>
      <c r="O374" s="4">
        <v>4397</v>
      </c>
      <c r="P374" s="4">
        <v>44</v>
      </c>
      <c r="Q374" s="4">
        <v>660</v>
      </c>
      <c r="R374" s="4">
        <v>0</v>
      </c>
      <c r="S374" s="4">
        <v>0</v>
      </c>
      <c r="T374" s="4">
        <v>5101</v>
      </c>
      <c r="U374" s="4">
        <v>0</v>
      </c>
      <c r="V374" s="1"/>
      <c r="W374" s="5">
        <v>0</v>
      </c>
      <c r="X374" s="5">
        <v>0</v>
      </c>
      <c r="Y374" s="5">
        <v>0</v>
      </c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2">
        <v>374</v>
      </c>
      <c r="B375" s="1" t="s">
        <v>687</v>
      </c>
      <c r="C375" s="1"/>
      <c r="D375" s="3">
        <v>45727</v>
      </c>
      <c r="E375" s="3">
        <v>45689</v>
      </c>
      <c r="F375" s="3">
        <v>45961</v>
      </c>
      <c r="G375" s="1" t="s">
        <v>27</v>
      </c>
      <c r="H375" s="1" t="s">
        <v>276</v>
      </c>
      <c r="I375" s="1" t="s">
        <v>29</v>
      </c>
      <c r="J375" s="1" t="s">
        <v>30</v>
      </c>
      <c r="K375" s="1" t="s">
        <v>31</v>
      </c>
      <c r="L375" s="4">
        <v>100</v>
      </c>
      <c r="M375" s="1" t="s">
        <v>32</v>
      </c>
      <c r="N375" s="1"/>
      <c r="O375" s="4">
        <v>4526</v>
      </c>
      <c r="P375" s="4">
        <v>45</v>
      </c>
      <c r="Q375" s="4">
        <v>679</v>
      </c>
      <c r="R375" s="4">
        <v>0</v>
      </c>
      <c r="S375" s="4">
        <v>0</v>
      </c>
      <c r="T375" s="4">
        <v>5250</v>
      </c>
      <c r="U375" s="4">
        <v>0</v>
      </c>
      <c r="V375" s="1"/>
      <c r="W375" s="5">
        <v>0</v>
      </c>
      <c r="X375" s="5">
        <v>0</v>
      </c>
      <c r="Y375" s="5">
        <v>0</v>
      </c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2">
        <v>375</v>
      </c>
      <c r="B376" s="1" t="s">
        <v>688</v>
      </c>
      <c r="C376" s="1"/>
      <c r="D376" s="3">
        <v>45727</v>
      </c>
      <c r="E376" s="3">
        <v>45689</v>
      </c>
      <c r="F376" s="3">
        <v>45961</v>
      </c>
      <c r="G376" s="1" t="s">
        <v>27</v>
      </c>
      <c r="H376" s="1" t="s">
        <v>278</v>
      </c>
      <c r="I376" s="1" t="s">
        <v>29</v>
      </c>
      <c r="J376" s="1" t="s">
        <v>30</v>
      </c>
      <c r="K376" s="1" t="s">
        <v>31</v>
      </c>
      <c r="L376" s="4">
        <v>100</v>
      </c>
      <c r="M376" s="1" t="s">
        <v>32</v>
      </c>
      <c r="N376" s="1"/>
      <c r="O376" s="4">
        <v>4138</v>
      </c>
      <c r="P376" s="4">
        <v>41</v>
      </c>
      <c r="Q376" s="4">
        <v>621</v>
      </c>
      <c r="R376" s="4">
        <v>0</v>
      </c>
      <c r="S376" s="4">
        <v>0</v>
      </c>
      <c r="T376" s="4">
        <v>4800</v>
      </c>
      <c r="U376" s="4">
        <v>0</v>
      </c>
      <c r="V376" s="1"/>
      <c r="W376" s="5">
        <v>0</v>
      </c>
      <c r="X376" s="5">
        <v>0</v>
      </c>
      <c r="Y376" s="5">
        <v>0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2">
        <v>376</v>
      </c>
      <c r="B377" s="1" t="s">
        <v>689</v>
      </c>
      <c r="C377" s="1"/>
      <c r="D377" s="3">
        <v>45727</v>
      </c>
      <c r="E377" s="3">
        <v>45689</v>
      </c>
      <c r="F377" s="3">
        <v>45961</v>
      </c>
      <c r="G377" s="1" t="s">
        <v>27</v>
      </c>
      <c r="H377" s="1" t="s">
        <v>282</v>
      </c>
      <c r="I377" s="1" t="s">
        <v>29</v>
      </c>
      <c r="J377" s="1" t="s">
        <v>30</v>
      </c>
      <c r="K377" s="1" t="s">
        <v>31</v>
      </c>
      <c r="L377" s="4">
        <v>100</v>
      </c>
      <c r="M377" s="1" t="s">
        <v>32</v>
      </c>
      <c r="N377" s="1"/>
      <c r="O377" s="4">
        <v>1293</v>
      </c>
      <c r="P377" s="4">
        <v>13</v>
      </c>
      <c r="Q377" s="4">
        <v>194</v>
      </c>
      <c r="R377" s="4">
        <v>0</v>
      </c>
      <c r="S377" s="4">
        <v>0</v>
      </c>
      <c r="T377" s="4">
        <v>1500</v>
      </c>
      <c r="U377" s="4">
        <v>0</v>
      </c>
      <c r="V377" s="1"/>
      <c r="W377" s="5">
        <v>0</v>
      </c>
      <c r="X377" s="5">
        <v>0</v>
      </c>
      <c r="Y377" s="5">
        <v>0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2">
        <v>377</v>
      </c>
      <c r="B378" s="1" t="s">
        <v>690</v>
      </c>
      <c r="C378" s="1"/>
      <c r="D378" s="3">
        <v>45727</v>
      </c>
      <c r="E378" s="3">
        <v>45689</v>
      </c>
      <c r="F378" s="3">
        <v>45961</v>
      </c>
      <c r="G378" s="1" t="s">
        <v>27</v>
      </c>
      <c r="H378" s="1" t="s">
        <v>284</v>
      </c>
      <c r="I378" s="1" t="s">
        <v>29</v>
      </c>
      <c r="J378" s="1" t="s">
        <v>30</v>
      </c>
      <c r="K378" s="1" t="s">
        <v>31</v>
      </c>
      <c r="L378" s="4">
        <v>100</v>
      </c>
      <c r="M378" s="1" t="s">
        <v>32</v>
      </c>
      <c r="N378" s="1"/>
      <c r="O378" s="4">
        <v>2845</v>
      </c>
      <c r="P378" s="4">
        <v>28</v>
      </c>
      <c r="Q378" s="4">
        <v>427</v>
      </c>
      <c r="R378" s="4">
        <v>0</v>
      </c>
      <c r="S378" s="4">
        <v>0</v>
      </c>
      <c r="T378" s="4">
        <v>3300</v>
      </c>
      <c r="U378" s="4">
        <v>0</v>
      </c>
      <c r="V378" s="1"/>
      <c r="W378" s="5">
        <v>0</v>
      </c>
      <c r="X378" s="5">
        <v>0</v>
      </c>
      <c r="Y378" s="5">
        <v>0</v>
      </c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2">
        <v>378</v>
      </c>
      <c r="B379" s="1" t="s">
        <v>691</v>
      </c>
      <c r="C379" s="1"/>
      <c r="D379" s="3">
        <v>45727</v>
      </c>
      <c r="E379" s="3">
        <v>45689</v>
      </c>
      <c r="F379" s="3">
        <v>45961</v>
      </c>
      <c r="G379" s="1" t="s">
        <v>27</v>
      </c>
      <c r="H379" s="1" t="s">
        <v>286</v>
      </c>
      <c r="I379" s="1" t="s">
        <v>29</v>
      </c>
      <c r="J379" s="1" t="s">
        <v>30</v>
      </c>
      <c r="K379" s="1" t="s">
        <v>31</v>
      </c>
      <c r="L379" s="4">
        <v>100</v>
      </c>
      <c r="M379" s="1" t="s">
        <v>32</v>
      </c>
      <c r="N379" s="1"/>
      <c r="O379" s="4">
        <v>1164</v>
      </c>
      <c r="P379" s="4">
        <v>12</v>
      </c>
      <c r="Q379" s="4">
        <v>175</v>
      </c>
      <c r="R379" s="4">
        <v>0</v>
      </c>
      <c r="S379" s="4">
        <v>0</v>
      </c>
      <c r="T379" s="4">
        <v>1351</v>
      </c>
      <c r="U379" s="4">
        <v>0</v>
      </c>
      <c r="V379" s="1"/>
      <c r="W379" s="5">
        <v>0</v>
      </c>
      <c r="X379" s="5">
        <v>0</v>
      </c>
      <c r="Y379" s="5">
        <v>0</v>
      </c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2">
        <v>379</v>
      </c>
      <c r="B380" s="1" t="s">
        <v>692</v>
      </c>
      <c r="C380" s="1"/>
      <c r="D380" s="3">
        <v>45727</v>
      </c>
      <c r="E380" s="3">
        <v>45689</v>
      </c>
      <c r="F380" s="3">
        <v>45961</v>
      </c>
      <c r="G380" s="1" t="s">
        <v>27</v>
      </c>
      <c r="H380" s="1" t="s">
        <v>288</v>
      </c>
      <c r="I380" s="1" t="s">
        <v>29</v>
      </c>
      <c r="J380" s="1" t="s">
        <v>30</v>
      </c>
      <c r="K380" s="1" t="s">
        <v>31</v>
      </c>
      <c r="L380" s="4">
        <v>100</v>
      </c>
      <c r="M380" s="1" t="s">
        <v>32</v>
      </c>
      <c r="N380" s="1"/>
      <c r="O380" s="4">
        <v>1422</v>
      </c>
      <c r="P380" s="4">
        <v>14</v>
      </c>
      <c r="Q380" s="4">
        <v>213</v>
      </c>
      <c r="R380" s="4">
        <v>0</v>
      </c>
      <c r="S380" s="4">
        <v>0</v>
      </c>
      <c r="T380" s="4">
        <v>1649</v>
      </c>
      <c r="U380" s="4">
        <v>0</v>
      </c>
      <c r="V380" s="1"/>
      <c r="W380" s="5">
        <v>0</v>
      </c>
      <c r="X380" s="5">
        <v>0</v>
      </c>
      <c r="Y380" s="5">
        <v>0</v>
      </c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2">
        <v>380</v>
      </c>
      <c r="B381" s="1" t="s">
        <v>693</v>
      </c>
      <c r="C381" s="1"/>
      <c r="D381" s="3">
        <v>45727</v>
      </c>
      <c r="E381" s="3">
        <v>45689</v>
      </c>
      <c r="F381" s="3">
        <v>45961</v>
      </c>
      <c r="G381" s="1" t="s">
        <v>27</v>
      </c>
      <c r="H381" s="1" t="s">
        <v>290</v>
      </c>
      <c r="I381" s="1" t="s">
        <v>29</v>
      </c>
      <c r="J381" s="1" t="s">
        <v>30</v>
      </c>
      <c r="K381" s="1" t="s">
        <v>31</v>
      </c>
      <c r="L381" s="4">
        <v>100</v>
      </c>
      <c r="M381" s="1" t="s">
        <v>32</v>
      </c>
      <c r="N381" s="1"/>
      <c r="O381" s="4">
        <v>1940</v>
      </c>
      <c r="P381" s="4">
        <v>19</v>
      </c>
      <c r="Q381" s="4">
        <v>291</v>
      </c>
      <c r="R381" s="4">
        <v>0</v>
      </c>
      <c r="S381" s="4">
        <v>0</v>
      </c>
      <c r="T381" s="4">
        <v>2250</v>
      </c>
      <c r="U381" s="4">
        <v>0</v>
      </c>
      <c r="V381" s="1"/>
      <c r="W381" s="5">
        <v>0</v>
      </c>
      <c r="X381" s="5">
        <v>0</v>
      </c>
      <c r="Y381" s="5">
        <v>0</v>
      </c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2">
        <v>381</v>
      </c>
      <c r="B382" s="1" t="s">
        <v>694</v>
      </c>
      <c r="C382" s="1"/>
      <c r="D382" s="3">
        <v>45727</v>
      </c>
      <c r="E382" s="3">
        <v>45689</v>
      </c>
      <c r="F382" s="3">
        <v>45961</v>
      </c>
      <c r="G382" s="1" t="s">
        <v>27</v>
      </c>
      <c r="H382" s="1" t="s">
        <v>292</v>
      </c>
      <c r="I382" s="1" t="s">
        <v>29</v>
      </c>
      <c r="J382" s="1" t="s">
        <v>30</v>
      </c>
      <c r="K382" s="1" t="s">
        <v>31</v>
      </c>
      <c r="L382" s="4">
        <v>100</v>
      </c>
      <c r="M382" s="1" t="s">
        <v>32</v>
      </c>
      <c r="N382" s="1"/>
      <c r="O382" s="4">
        <v>2328</v>
      </c>
      <c r="P382" s="4">
        <v>23</v>
      </c>
      <c r="Q382" s="4">
        <v>349</v>
      </c>
      <c r="R382" s="4">
        <v>0</v>
      </c>
      <c r="S382" s="4">
        <v>0</v>
      </c>
      <c r="T382" s="4">
        <v>2700</v>
      </c>
      <c r="U382" s="4">
        <v>0</v>
      </c>
      <c r="V382" s="1"/>
      <c r="W382" s="5">
        <v>0</v>
      </c>
      <c r="X382" s="5">
        <v>0</v>
      </c>
      <c r="Y382" s="5">
        <v>0</v>
      </c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2">
        <v>382</v>
      </c>
      <c r="B383" s="1" t="s">
        <v>695</v>
      </c>
      <c r="C383" s="1"/>
      <c r="D383" s="3">
        <v>45727</v>
      </c>
      <c r="E383" s="3">
        <v>45689</v>
      </c>
      <c r="F383" s="3">
        <v>45961</v>
      </c>
      <c r="G383" s="1" t="s">
        <v>27</v>
      </c>
      <c r="H383" s="1" t="s">
        <v>294</v>
      </c>
      <c r="I383" s="1" t="s">
        <v>29</v>
      </c>
      <c r="J383" s="1" t="s">
        <v>30</v>
      </c>
      <c r="K383" s="1" t="s">
        <v>31</v>
      </c>
      <c r="L383" s="4">
        <v>100</v>
      </c>
      <c r="M383" s="1" t="s">
        <v>32</v>
      </c>
      <c r="N383" s="1"/>
      <c r="O383" s="4">
        <v>1422</v>
      </c>
      <c r="P383" s="4">
        <v>14</v>
      </c>
      <c r="Q383" s="4">
        <v>213</v>
      </c>
      <c r="R383" s="4">
        <v>0</v>
      </c>
      <c r="S383" s="4">
        <v>0</v>
      </c>
      <c r="T383" s="4">
        <v>1649</v>
      </c>
      <c r="U383" s="4">
        <v>0</v>
      </c>
      <c r="V383" s="1"/>
      <c r="W383" s="5">
        <v>0</v>
      </c>
      <c r="X383" s="5">
        <v>0</v>
      </c>
      <c r="Y383" s="5">
        <v>0</v>
      </c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2">
        <v>383</v>
      </c>
      <c r="B384" s="1" t="s">
        <v>696</v>
      </c>
      <c r="C384" s="1"/>
      <c r="D384" s="3">
        <v>45727</v>
      </c>
      <c r="E384" s="3">
        <v>45689</v>
      </c>
      <c r="F384" s="3">
        <v>45961</v>
      </c>
      <c r="G384" s="1" t="s">
        <v>27</v>
      </c>
      <c r="H384" s="1" t="s">
        <v>296</v>
      </c>
      <c r="I384" s="1" t="s">
        <v>29</v>
      </c>
      <c r="J384" s="1" t="s">
        <v>30</v>
      </c>
      <c r="K384" s="1" t="s">
        <v>31</v>
      </c>
      <c r="L384" s="4">
        <v>100</v>
      </c>
      <c r="M384" s="1" t="s">
        <v>32</v>
      </c>
      <c r="N384" s="1"/>
      <c r="O384" s="4">
        <v>1552</v>
      </c>
      <c r="P384" s="4">
        <v>16</v>
      </c>
      <c r="Q384" s="4">
        <v>233</v>
      </c>
      <c r="R384" s="4">
        <v>0</v>
      </c>
      <c r="S384" s="4">
        <v>0</v>
      </c>
      <c r="T384" s="4">
        <v>1801</v>
      </c>
      <c r="U384" s="4">
        <v>0</v>
      </c>
      <c r="V384" s="1"/>
      <c r="W384" s="5">
        <v>0</v>
      </c>
      <c r="X384" s="5">
        <v>0</v>
      </c>
      <c r="Y384" s="5">
        <v>0</v>
      </c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2">
        <v>384</v>
      </c>
      <c r="B385" s="1" t="s">
        <v>697</v>
      </c>
      <c r="C385" s="1"/>
      <c r="D385" s="3">
        <v>45727</v>
      </c>
      <c r="E385" s="3">
        <v>45689</v>
      </c>
      <c r="F385" s="3">
        <v>45961</v>
      </c>
      <c r="G385" s="1" t="s">
        <v>27</v>
      </c>
      <c r="H385" s="1" t="s">
        <v>298</v>
      </c>
      <c r="I385" s="1" t="s">
        <v>29</v>
      </c>
      <c r="J385" s="1" t="s">
        <v>30</v>
      </c>
      <c r="K385" s="1" t="s">
        <v>31</v>
      </c>
      <c r="L385" s="4">
        <v>100</v>
      </c>
      <c r="M385" s="1" t="s">
        <v>32</v>
      </c>
      <c r="N385" s="1"/>
      <c r="O385" s="4">
        <v>3879</v>
      </c>
      <c r="P385" s="4">
        <v>39</v>
      </c>
      <c r="Q385" s="4">
        <v>582</v>
      </c>
      <c r="R385" s="4">
        <v>0</v>
      </c>
      <c r="S385" s="4">
        <v>0</v>
      </c>
      <c r="T385" s="4">
        <v>4500</v>
      </c>
      <c r="U385" s="4">
        <v>0</v>
      </c>
      <c r="V385" s="1"/>
      <c r="W385" s="5">
        <v>0</v>
      </c>
      <c r="X385" s="5">
        <v>0</v>
      </c>
      <c r="Y385" s="5">
        <v>0</v>
      </c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2">
        <v>385</v>
      </c>
      <c r="B386" s="1" t="s">
        <v>698</v>
      </c>
      <c r="C386" s="1"/>
      <c r="D386" s="3">
        <v>45727</v>
      </c>
      <c r="E386" s="3">
        <v>45689</v>
      </c>
      <c r="F386" s="3">
        <v>45961</v>
      </c>
      <c r="G386" s="1" t="s">
        <v>27</v>
      </c>
      <c r="H386" s="1" t="s">
        <v>300</v>
      </c>
      <c r="I386" s="1" t="s">
        <v>29</v>
      </c>
      <c r="J386" s="1" t="s">
        <v>30</v>
      </c>
      <c r="K386" s="1" t="s">
        <v>31</v>
      </c>
      <c r="L386" s="4">
        <v>100</v>
      </c>
      <c r="M386" s="1" t="s">
        <v>32</v>
      </c>
      <c r="N386" s="1"/>
      <c r="O386" s="4">
        <v>1422</v>
      </c>
      <c r="P386" s="4">
        <v>14</v>
      </c>
      <c r="Q386" s="4">
        <v>213</v>
      </c>
      <c r="R386" s="4">
        <v>0</v>
      </c>
      <c r="S386" s="4">
        <v>0</v>
      </c>
      <c r="T386" s="4">
        <v>1649</v>
      </c>
      <c r="U386" s="4">
        <v>0</v>
      </c>
      <c r="V386" s="1"/>
      <c r="W386" s="5">
        <v>0</v>
      </c>
      <c r="X386" s="5">
        <v>0</v>
      </c>
      <c r="Y386" s="5">
        <v>0</v>
      </c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2">
        <v>386</v>
      </c>
      <c r="B387" s="1" t="s">
        <v>699</v>
      </c>
      <c r="C387" s="1"/>
      <c r="D387" s="3">
        <v>45727</v>
      </c>
      <c r="E387" s="3">
        <v>45689</v>
      </c>
      <c r="F387" s="3">
        <v>45961</v>
      </c>
      <c r="G387" s="1" t="s">
        <v>27</v>
      </c>
      <c r="H387" s="1" t="s">
        <v>302</v>
      </c>
      <c r="I387" s="1" t="s">
        <v>29</v>
      </c>
      <c r="J387" s="1" t="s">
        <v>30</v>
      </c>
      <c r="K387" s="1" t="s">
        <v>31</v>
      </c>
      <c r="L387" s="4">
        <v>100</v>
      </c>
      <c r="M387" s="1" t="s">
        <v>32</v>
      </c>
      <c r="N387" s="1"/>
      <c r="O387" s="4">
        <v>4138</v>
      </c>
      <c r="P387" s="4">
        <v>41</v>
      </c>
      <c r="Q387" s="4">
        <v>621</v>
      </c>
      <c r="R387" s="4">
        <v>0</v>
      </c>
      <c r="S387" s="4">
        <v>0</v>
      </c>
      <c r="T387" s="4">
        <v>4800</v>
      </c>
      <c r="U387" s="4">
        <v>0</v>
      </c>
      <c r="V387" s="1"/>
      <c r="W387" s="5">
        <v>0</v>
      </c>
      <c r="X387" s="5">
        <v>0</v>
      </c>
      <c r="Y387" s="5">
        <v>0</v>
      </c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2">
        <v>387</v>
      </c>
      <c r="B388" s="1" t="s">
        <v>700</v>
      </c>
      <c r="C388" s="1"/>
      <c r="D388" s="3">
        <v>45727</v>
      </c>
      <c r="E388" s="3">
        <v>45689</v>
      </c>
      <c r="F388" s="3">
        <v>45961</v>
      </c>
      <c r="G388" s="1" t="s">
        <v>27</v>
      </c>
      <c r="H388" s="1" t="s">
        <v>304</v>
      </c>
      <c r="I388" s="1" t="s">
        <v>29</v>
      </c>
      <c r="J388" s="1" t="s">
        <v>30</v>
      </c>
      <c r="K388" s="1" t="s">
        <v>31</v>
      </c>
      <c r="L388" s="4">
        <v>100</v>
      </c>
      <c r="M388" s="1" t="s">
        <v>32</v>
      </c>
      <c r="N388" s="1"/>
      <c r="O388" s="4">
        <v>2198</v>
      </c>
      <c r="P388" s="4">
        <v>22</v>
      </c>
      <c r="Q388" s="4">
        <v>330</v>
      </c>
      <c r="R388" s="4">
        <v>0</v>
      </c>
      <c r="S388" s="4">
        <v>0</v>
      </c>
      <c r="T388" s="4">
        <v>2550</v>
      </c>
      <c r="U388" s="4">
        <v>0</v>
      </c>
      <c r="V388" s="1"/>
      <c r="W388" s="5">
        <v>0</v>
      </c>
      <c r="X388" s="5">
        <v>0</v>
      </c>
      <c r="Y388" s="5">
        <v>0</v>
      </c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2">
        <v>388</v>
      </c>
      <c r="B389" s="1" t="s">
        <v>701</v>
      </c>
      <c r="C389" s="1"/>
      <c r="D389" s="3">
        <v>45727</v>
      </c>
      <c r="E389" s="3">
        <v>45689</v>
      </c>
      <c r="F389" s="3">
        <v>45961</v>
      </c>
      <c r="G389" s="1" t="s">
        <v>27</v>
      </c>
      <c r="H389" s="1" t="s">
        <v>306</v>
      </c>
      <c r="I389" s="1" t="s">
        <v>29</v>
      </c>
      <c r="J389" s="1" t="s">
        <v>30</v>
      </c>
      <c r="K389" s="1" t="s">
        <v>31</v>
      </c>
      <c r="L389" s="4">
        <v>100</v>
      </c>
      <c r="M389" s="1" t="s">
        <v>32</v>
      </c>
      <c r="N389" s="1"/>
      <c r="O389" s="4">
        <v>2457</v>
      </c>
      <c r="P389" s="4">
        <v>25</v>
      </c>
      <c r="Q389" s="4">
        <v>369</v>
      </c>
      <c r="R389" s="4">
        <v>0</v>
      </c>
      <c r="S389" s="4">
        <v>0</v>
      </c>
      <c r="T389" s="4">
        <v>2851</v>
      </c>
      <c r="U389" s="4">
        <v>0</v>
      </c>
      <c r="V389" s="1"/>
      <c r="W389" s="5">
        <v>0</v>
      </c>
      <c r="X389" s="5">
        <v>0</v>
      </c>
      <c r="Y389" s="5">
        <v>0</v>
      </c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2">
        <v>389</v>
      </c>
      <c r="B390" s="1" t="s">
        <v>702</v>
      </c>
      <c r="C390" s="1"/>
      <c r="D390" s="3">
        <v>45727</v>
      </c>
      <c r="E390" s="3">
        <v>45689</v>
      </c>
      <c r="F390" s="3">
        <v>45961</v>
      </c>
      <c r="G390" s="1" t="s">
        <v>27</v>
      </c>
      <c r="H390" s="1" t="s">
        <v>308</v>
      </c>
      <c r="I390" s="1" t="s">
        <v>29</v>
      </c>
      <c r="J390" s="1" t="s">
        <v>30</v>
      </c>
      <c r="K390" s="1" t="s">
        <v>31</v>
      </c>
      <c r="L390" s="4">
        <v>100</v>
      </c>
      <c r="M390" s="1" t="s">
        <v>32</v>
      </c>
      <c r="N390" s="1"/>
      <c r="O390" s="4">
        <v>2457</v>
      </c>
      <c r="P390" s="4">
        <v>25</v>
      </c>
      <c r="Q390" s="4">
        <v>369</v>
      </c>
      <c r="R390" s="4">
        <v>0</v>
      </c>
      <c r="S390" s="4">
        <v>0</v>
      </c>
      <c r="T390" s="4">
        <v>2851</v>
      </c>
      <c r="U390" s="4">
        <v>0</v>
      </c>
      <c r="V390" s="1"/>
      <c r="W390" s="5">
        <v>0</v>
      </c>
      <c r="X390" s="5">
        <v>0</v>
      </c>
      <c r="Y390" s="5">
        <v>0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2">
        <v>390</v>
      </c>
      <c r="B391" s="1" t="s">
        <v>703</v>
      </c>
      <c r="C391" s="1"/>
      <c r="D391" s="3">
        <v>45727</v>
      </c>
      <c r="E391" s="3">
        <v>45689</v>
      </c>
      <c r="F391" s="3">
        <v>45961</v>
      </c>
      <c r="G391" s="1" t="s">
        <v>27</v>
      </c>
      <c r="H391" s="1" t="s">
        <v>310</v>
      </c>
      <c r="I391" s="1" t="s">
        <v>29</v>
      </c>
      <c r="J391" s="1" t="s">
        <v>30</v>
      </c>
      <c r="K391" s="1" t="s">
        <v>31</v>
      </c>
      <c r="L391" s="4">
        <v>100</v>
      </c>
      <c r="M391" s="1" t="s">
        <v>32</v>
      </c>
      <c r="N391" s="1"/>
      <c r="O391" s="4">
        <v>2586</v>
      </c>
      <c r="P391" s="4">
        <v>26</v>
      </c>
      <c r="Q391" s="4">
        <v>388</v>
      </c>
      <c r="R391" s="4">
        <v>0</v>
      </c>
      <c r="S391" s="4">
        <v>0</v>
      </c>
      <c r="T391" s="4">
        <v>3000</v>
      </c>
      <c r="U391" s="4">
        <v>0</v>
      </c>
      <c r="V391" s="1"/>
      <c r="W391" s="5">
        <v>0</v>
      </c>
      <c r="X391" s="5">
        <v>0</v>
      </c>
      <c r="Y391" s="5">
        <v>0</v>
      </c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2">
        <v>391</v>
      </c>
      <c r="B392" s="1" t="s">
        <v>704</v>
      </c>
      <c r="C392" s="1"/>
      <c r="D392" s="3">
        <v>45727</v>
      </c>
      <c r="E392" s="3">
        <v>45689</v>
      </c>
      <c r="F392" s="3">
        <v>45961</v>
      </c>
      <c r="G392" s="1" t="s">
        <v>27</v>
      </c>
      <c r="H392" s="1" t="s">
        <v>312</v>
      </c>
      <c r="I392" s="1" t="s">
        <v>29</v>
      </c>
      <c r="J392" s="1" t="s">
        <v>30</v>
      </c>
      <c r="K392" s="1" t="s">
        <v>31</v>
      </c>
      <c r="L392" s="4">
        <v>100</v>
      </c>
      <c r="M392" s="1" t="s">
        <v>32</v>
      </c>
      <c r="N392" s="1"/>
      <c r="O392" s="4">
        <v>3362</v>
      </c>
      <c r="P392" s="4">
        <v>34</v>
      </c>
      <c r="Q392" s="4">
        <v>504</v>
      </c>
      <c r="R392" s="4">
        <v>0</v>
      </c>
      <c r="S392" s="4">
        <v>0</v>
      </c>
      <c r="T392" s="4">
        <v>3900</v>
      </c>
      <c r="U392" s="4">
        <v>0</v>
      </c>
      <c r="V392" s="1"/>
      <c r="W392" s="5">
        <v>0</v>
      </c>
      <c r="X392" s="5">
        <v>0</v>
      </c>
      <c r="Y392" s="5">
        <v>0</v>
      </c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2">
        <v>392</v>
      </c>
      <c r="B393" s="1" t="s">
        <v>705</v>
      </c>
      <c r="C393" s="1"/>
      <c r="D393" s="3">
        <v>45727</v>
      </c>
      <c r="E393" s="3">
        <v>45689</v>
      </c>
      <c r="F393" s="3">
        <v>45961</v>
      </c>
      <c r="G393" s="1" t="s">
        <v>27</v>
      </c>
      <c r="H393" s="1" t="s">
        <v>314</v>
      </c>
      <c r="I393" s="1" t="s">
        <v>29</v>
      </c>
      <c r="J393" s="1" t="s">
        <v>30</v>
      </c>
      <c r="K393" s="1" t="s">
        <v>31</v>
      </c>
      <c r="L393" s="4">
        <v>100</v>
      </c>
      <c r="M393" s="1" t="s">
        <v>32</v>
      </c>
      <c r="N393" s="1"/>
      <c r="O393" s="4">
        <v>4009</v>
      </c>
      <c r="P393" s="4">
        <v>40</v>
      </c>
      <c r="Q393" s="4">
        <v>601</v>
      </c>
      <c r="R393" s="4">
        <v>0</v>
      </c>
      <c r="S393" s="4">
        <v>0</v>
      </c>
      <c r="T393" s="4">
        <v>4650</v>
      </c>
      <c r="U393" s="4">
        <v>0</v>
      </c>
      <c r="V393" s="1"/>
      <c r="W393" s="5">
        <v>0</v>
      </c>
      <c r="X393" s="5">
        <v>0</v>
      </c>
      <c r="Y393" s="5">
        <v>0</v>
      </c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2">
        <v>393</v>
      </c>
      <c r="B394" s="1" t="s">
        <v>706</v>
      </c>
      <c r="C394" s="1"/>
      <c r="D394" s="3">
        <v>45727</v>
      </c>
      <c r="E394" s="3">
        <v>45689</v>
      </c>
      <c r="F394" s="3">
        <v>45961</v>
      </c>
      <c r="G394" s="1" t="s">
        <v>27</v>
      </c>
      <c r="H394" s="1" t="s">
        <v>316</v>
      </c>
      <c r="I394" s="1" t="s">
        <v>29</v>
      </c>
      <c r="J394" s="1" t="s">
        <v>30</v>
      </c>
      <c r="K394" s="1" t="s">
        <v>31</v>
      </c>
      <c r="L394" s="4">
        <v>100</v>
      </c>
      <c r="M394" s="1" t="s">
        <v>32</v>
      </c>
      <c r="N394" s="1"/>
      <c r="O394" s="4">
        <v>2845</v>
      </c>
      <c r="P394" s="4">
        <v>28</v>
      </c>
      <c r="Q394" s="4">
        <v>427</v>
      </c>
      <c r="R394" s="4">
        <v>0</v>
      </c>
      <c r="S394" s="4">
        <v>0</v>
      </c>
      <c r="T394" s="4">
        <v>3300</v>
      </c>
      <c r="U394" s="4">
        <v>0</v>
      </c>
      <c r="V394" s="1"/>
      <c r="W394" s="5">
        <v>0</v>
      </c>
      <c r="X394" s="5">
        <v>0</v>
      </c>
      <c r="Y394" s="5">
        <v>0</v>
      </c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2">
        <v>394</v>
      </c>
      <c r="B395" s="1" t="s">
        <v>707</v>
      </c>
      <c r="C395" s="1"/>
      <c r="D395" s="3">
        <v>45727</v>
      </c>
      <c r="E395" s="3">
        <v>45689</v>
      </c>
      <c r="F395" s="3">
        <v>45961</v>
      </c>
      <c r="G395" s="1" t="s">
        <v>27</v>
      </c>
      <c r="H395" s="1" t="s">
        <v>318</v>
      </c>
      <c r="I395" s="1" t="s">
        <v>29</v>
      </c>
      <c r="J395" s="1" t="s">
        <v>30</v>
      </c>
      <c r="K395" s="1" t="s">
        <v>31</v>
      </c>
      <c r="L395" s="4">
        <v>100</v>
      </c>
      <c r="M395" s="1" t="s">
        <v>32</v>
      </c>
      <c r="N395" s="1"/>
      <c r="O395" s="4">
        <v>2586</v>
      </c>
      <c r="P395" s="4">
        <v>26</v>
      </c>
      <c r="Q395" s="4">
        <v>388</v>
      </c>
      <c r="R395" s="4">
        <v>0</v>
      </c>
      <c r="S395" s="4">
        <v>0</v>
      </c>
      <c r="T395" s="4">
        <v>3000</v>
      </c>
      <c r="U395" s="4">
        <v>0</v>
      </c>
      <c r="V395" s="1"/>
      <c r="W395" s="5">
        <v>0</v>
      </c>
      <c r="X395" s="5">
        <v>0</v>
      </c>
      <c r="Y395" s="5">
        <v>0</v>
      </c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2">
        <v>395</v>
      </c>
      <c r="B396" s="1" t="s">
        <v>708</v>
      </c>
      <c r="C396" s="1"/>
      <c r="D396" s="3">
        <v>45727</v>
      </c>
      <c r="E396" s="3">
        <v>45689</v>
      </c>
      <c r="F396" s="3">
        <v>45961</v>
      </c>
      <c r="G396" s="1" t="s">
        <v>27</v>
      </c>
      <c r="H396" s="1" t="s">
        <v>320</v>
      </c>
      <c r="I396" s="1" t="s">
        <v>29</v>
      </c>
      <c r="J396" s="1" t="s">
        <v>30</v>
      </c>
      <c r="K396" s="1" t="s">
        <v>31</v>
      </c>
      <c r="L396" s="4">
        <v>100</v>
      </c>
      <c r="M396" s="1" t="s">
        <v>32</v>
      </c>
      <c r="N396" s="1"/>
      <c r="O396" s="4">
        <v>3750</v>
      </c>
      <c r="P396" s="4">
        <v>38</v>
      </c>
      <c r="Q396" s="4">
        <v>563</v>
      </c>
      <c r="R396" s="4">
        <v>0</v>
      </c>
      <c r="S396" s="4">
        <v>0</v>
      </c>
      <c r="T396" s="4">
        <v>4351</v>
      </c>
      <c r="U396" s="4">
        <v>0</v>
      </c>
      <c r="V396" s="1"/>
      <c r="W396" s="5">
        <v>0</v>
      </c>
      <c r="X396" s="5">
        <v>0</v>
      </c>
      <c r="Y396" s="5">
        <v>0</v>
      </c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2">
        <v>396</v>
      </c>
      <c r="B397" s="1" t="s">
        <v>709</v>
      </c>
      <c r="C397" s="1"/>
      <c r="D397" s="3">
        <v>45727</v>
      </c>
      <c r="E397" s="3">
        <v>45689</v>
      </c>
      <c r="F397" s="3">
        <v>45961</v>
      </c>
      <c r="G397" s="1" t="s">
        <v>27</v>
      </c>
      <c r="H397" s="1" t="s">
        <v>322</v>
      </c>
      <c r="I397" s="1" t="s">
        <v>29</v>
      </c>
      <c r="J397" s="1" t="s">
        <v>30</v>
      </c>
      <c r="K397" s="1" t="s">
        <v>31</v>
      </c>
      <c r="L397" s="4">
        <v>100</v>
      </c>
      <c r="M397" s="1" t="s">
        <v>32</v>
      </c>
      <c r="N397" s="1"/>
      <c r="O397" s="4">
        <v>1681</v>
      </c>
      <c r="P397" s="4">
        <v>17</v>
      </c>
      <c r="Q397" s="4">
        <v>252</v>
      </c>
      <c r="R397" s="4">
        <v>0</v>
      </c>
      <c r="S397" s="4">
        <v>0</v>
      </c>
      <c r="T397" s="4">
        <v>1950</v>
      </c>
      <c r="U397" s="4">
        <v>0</v>
      </c>
      <c r="V397" s="1"/>
      <c r="W397" s="5">
        <v>0</v>
      </c>
      <c r="X397" s="5">
        <v>0</v>
      </c>
      <c r="Y397" s="5">
        <v>0</v>
      </c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2">
        <v>397</v>
      </c>
      <c r="B398" s="1" t="s">
        <v>710</v>
      </c>
      <c r="C398" s="1"/>
      <c r="D398" s="3">
        <v>45727</v>
      </c>
      <c r="E398" s="3">
        <v>45689</v>
      </c>
      <c r="F398" s="3">
        <v>45961</v>
      </c>
      <c r="G398" s="1" t="s">
        <v>27</v>
      </c>
      <c r="H398" s="1" t="s">
        <v>324</v>
      </c>
      <c r="I398" s="1" t="s">
        <v>29</v>
      </c>
      <c r="J398" s="1" t="s">
        <v>30</v>
      </c>
      <c r="K398" s="1" t="s">
        <v>31</v>
      </c>
      <c r="L398" s="4">
        <v>100</v>
      </c>
      <c r="M398" s="1" t="s">
        <v>32</v>
      </c>
      <c r="N398" s="1"/>
      <c r="O398" s="4">
        <v>7500</v>
      </c>
      <c r="P398" s="4">
        <v>75</v>
      </c>
      <c r="Q398" s="4">
        <v>1125</v>
      </c>
      <c r="R398" s="4">
        <v>0</v>
      </c>
      <c r="S398" s="4">
        <v>0</v>
      </c>
      <c r="T398" s="4">
        <v>8700</v>
      </c>
      <c r="U398" s="4">
        <v>0</v>
      </c>
      <c r="V398" s="1"/>
      <c r="W398" s="5">
        <v>0</v>
      </c>
      <c r="X398" s="5">
        <v>0</v>
      </c>
      <c r="Y398" s="5">
        <v>0</v>
      </c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2">
        <v>398</v>
      </c>
      <c r="B399" s="1" t="s">
        <v>711</v>
      </c>
      <c r="C399" s="1"/>
      <c r="D399" s="3">
        <v>45727</v>
      </c>
      <c r="E399" s="3">
        <v>45689</v>
      </c>
      <c r="F399" s="3">
        <v>45961</v>
      </c>
      <c r="G399" s="1" t="s">
        <v>27</v>
      </c>
      <c r="H399" s="1" t="s">
        <v>326</v>
      </c>
      <c r="I399" s="1" t="s">
        <v>29</v>
      </c>
      <c r="J399" s="1" t="s">
        <v>30</v>
      </c>
      <c r="K399" s="1" t="s">
        <v>31</v>
      </c>
      <c r="L399" s="4">
        <v>100</v>
      </c>
      <c r="M399" s="1" t="s">
        <v>32</v>
      </c>
      <c r="N399" s="1"/>
      <c r="O399" s="4">
        <v>3233</v>
      </c>
      <c r="P399" s="4">
        <v>32</v>
      </c>
      <c r="Q399" s="4">
        <v>485</v>
      </c>
      <c r="R399" s="4">
        <v>0</v>
      </c>
      <c r="S399" s="4">
        <v>0</v>
      </c>
      <c r="T399" s="4">
        <v>3750</v>
      </c>
      <c r="U399" s="4">
        <v>0</v>
      </c>
      <c r="V399" s="1"/>
      <c r="W399" s="5">
        <v>0</v>
      </c>
      <c r="X399" s="5">
        <v>0</v>
      </c>
      <c r="Y399" s="5">
        <v>0</v>
      </c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2">
        <v>399</v>
      </c>
      <c r="B400" s="1" t="s">
        <v>712</v>
      </c>
      <c r="C400" s="1"/>
      <c r="D400" s="3">
        <v>45727</v>
      </c>
      <c r="E400" s="3">
        <v>45689</v>
      </c>
      <c r="F400" s="3">
        <v>45961</v>
      </c>
      <c r="G400" s="1" t="s">
        <v>27</v>
      </c>
      <c r="H400" s="1" t="s">
        <v>328</v>
      </c>
      <c r="I400" s="1" t="s">
        <v>29</v>
      </c>
      <c r="J400" s="1" t="s">
        <v>30</v>
      </c>
      <c r="K400" s="1" t="s">
        <v>31</v>
      </c>
      <c r="L400" s="4">
        <v>100</v>
      </c>
      <c r="M400" s="1" t="s">
        <v>32</v>
      </c>
      <c r="N400" s="1"/>
      <c r="O400" s="4">
        <v>3103</v>
      </c>
      <c r="P400" s="4">
        <v>31</v>
      </c>
      <c r="Q400" s="4">
        <v>465</v>
      </c>
      <c r="R400" s="4">
        <v>0</v>
      </c>
      <c r="S400" s="4">
        <v>0</v>
      </c>
      <c r="T400" s="4">
        <v>3599</v>
      </c>
      <c r="U400" s="4">
        <v>0</v>
      </c>
      <c r="V400" s="1"/>
      <c r="W400" s="5">
        <v>0</v>
      </c>
      <c r="X400" s="5">
        <v>0</v>
      </c>
      <c r="Y400" s="5">
        <v>0</v>
      </c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2">
        <v>400</v>
      </c>
      <c r="B401" s="1" t="s">
        <v>713</v>
      </c>
      <c r="C401" s="1"/>
      <c r="D401" s="3">
        <v>45727</v>
      </c>
      <c r="E401" s="3">
        <v>45689</v>
      </c>
      <c r="F401" s="3">
        <v>45961</v>
      </c>
      <c r="G401" s="1" t="s">
        <v>27</v>
      </c>
      <c r="H401" s="1" t="s">
        <v>332</v>
      </c>
      <c r="I401" s="1" t="s">
        <v>29</v>
      </c>
      <c r="J401" s="1" t="s">
        <v>30</v>
      </c>
      <c r="K401" s="1" t="s">
        <v>31</v>
      </c>
      <c r="L401" s="4">
        <v>100</v>
      </c>
      <c r="M401" s="1" t="s">
        <v>32</v>
      </c>
      <c r="N401" s="1"/>
      <c r="O401" s="4">
        <v>3491</v>
      </c>
      <c r="P401" s="4">
        <v>35</v>
      </c>
      <c r="Q401" s="4">
        <v>524</v>
      </c>
      <c r="R401" s="4">
        <v>0</v>
      </c>
      <c r="S401" s="4">
        <v>0</v>
      </c>
      <c r="T401" s="4">
        <v>4050</v>
      </c>
      <c r="U401" s="4">
        <v>0</v>
      </c>
      <c r="V401" s="1"/>
      <c r="W401" s="5">
        <v>0</v>
      </c>
      <c r="X401" s="5">
        <v>0</v>
      </c>
      <c r="Y401" s="5">
        <v>0</v>
      </c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2">
        <v>401</v>
      </c>
      <c r="B402" s="1" t="s">
        <v>714</v>
      </c>
      <c r="C402" s="1"/>
      <c r="D402" s="3">
        <v>45727</v>
      </c>
      <c r="E402" s="3">
        <v>45689</v>
      </c>
      <c r="F402" s="3">
        <v>45961</v>
      </c>
      <c r="G402" s="1" t="s">
        <v>27</v>
      </c>
      <c r="H402" s="1" t="s">
        <v>334</v>
      </c>
      <c r="I402" s="1" t="s">
        <v>29</v>
      </c>
      <c r="J402" s="1" t="s">
        <v>30</v>
      </c>
      <c r="K402" s="1" t="s">
        <v>31</v>
      </c>
      <c r="L402" s="4">
        <v>100</v>
      </c>
      <c r="M402" s="1" t="s">
        <v>32</v>
      </c>
      <c r="N402" s="1"/>
      <c r="O402" s="4">
        <v>5560</v>
      </c>
      <c r="P402" s="4">
        <v>56</v>
      </c>
      <c r="Q402" s="4">
        <v>834</v>
      </c>
      <c r="R402" s="4">
        <v>0</v>
      </c>
      <c r="S402" s="4">
        <v>0</v>
      </c>
      <c r="T402" s="4">
        <v>6450</v>
      </c>
      <c r="U402" s="4">
        <v>0</v>
      </c>
      <c r="V402" s="1"/>
      <c r="W402" s="5">
        <v>0</v>
      </c>
      <c r="X402" s="5">
        <v>0</v>
      </c>
      <c r="Y402" s="5">
        <v>0</v>
      </c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2">
        <v>402</v>
      </c>
      <c r="B403" s="1" t="s">
        <v>715</v>
      </c>
      <c r="C403" s="1"/>
      <c r="D403" s="3">
        <v>45727</v>
      </c>
      <c r="E403" s="3">
        <v>45689</v>
      </c>
      <c r="F403" s="3">
        <v>45961</v>
      </c>
      <c r="G403" s="1" t="s">
        <v>27</v>
      </c>
      <c r="H403" s="1" t="s">
        <v>336</v>
      </c>
      <c r="I403" s="1" t="s">
        <v>29</v>
      </c>
      <c r="J403" s="1" t="s">
        <v>30</v>
      </c>
      <c r="K403" s="1" t="s">
        <v>31</v>
      </c>
      <c r="L403" s="4">
        <v>100</v>
      </c>
      <c r="M403" s="1" t="s">
        <v>32</v>
      </c>
      <c r="N403" s="1"/>
      <c r="O403" s="4">
        <v>4655</v>
      </c>
      <c r="P403" s="4">
        <v>47</v>
      </c>
      <c r="Q403" s="4">
        <v>698</v>
      </c>
      <c r="R403" s="4">
        <v>0</v>
      </c>
      <c r="S403" s="4">
        <v>0</v>
      </c>
      <c r="T403" s="4">
        <v>5400</v>
      </c>
      <c r="U403" s="4">
        <v>0</v>
      </c>
      <c r="V403" s="1"/>
      <c r="W403" s="5">
        <v>0</v>
      </c>
      <c r="X403" s="5">
        <v>0</v>
      </c>
      <c r="Y403" s="5">
        <v>0</v>
      </c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2">
        <v>403</v>
      </c>
      <c r="B404" s="1" t="s">
        <v>716</v>
      </c>
      <c r="C404" s="1"/>
      <c r="D404" s="3">
        <v>45727</v>
      </c>
      <c r="E404" s="3">
        <v>45689</v>
      </c>
      <c r="F404" s="3">
        <v>45961</v>
      </c>
      <c r="G404" s="1" t="s">
        <v>27</v>
      </c>
      <c r="H404" s="1" t="s">
        <v>338</v>
      </c>
      <c r="I404" s="1" t="s">
        <v>29</v>
      </c>
      <c r="J404" s="1" t="s">
        <v>30</v>
      </c>
      <c r="K404" s="1" t="s">
        <v>31</v>
      </c>
      <c r="L404" s="4">
        <v>100</v>
      </c>
      <c r="M404" s="1" t="s">
        <v>32</v>
      </c>
      <c r="N404" s="1"/>
      <c r="O404" s="4">
        <v>2069</v>
      </c>
      <c r="P404" s="4">
        <v>21</v>
      </c>
      <c r="Q404" s="4">
        <v>310</v>
      </c>
      <c r="R404" s="4">
        <v>0</v>
      </c>
      <c r="S404" s="4">
        <v>0</v>
      </c>
      <c r="T404" s="4">
        <v>2400</v>
      </c>
      <c r="U404" s="4">
        <v>0</v>
      </c>
      <c r="V404" s="1"/>
      <c r="W404" s="5">
        <v>0</v>
      </c>
      <c r="X404" s="5">
        <v>0</v>
      </c>
      <c r="Y404" s="5">
        <v>0</v>
      </c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2">
        <v>404</v>
      </c>
      <c r="B405" s="1" t="s">
        <v>717</v>
      </c>
      <c r="C405" s="1"/>
      <c r="D405" s="3">
        <v>45727</v>
      </c>
      <c r="E405" s="3">
        <v>45689</v>
      </c>
      <c r="F405" s="3">
        <v>45961</v>
      </c>
      <c r="G405" s="1" t="s">
        <v>27</v>
      </c>
      <c r="H405" s="1" t="s">
        <v>340</v>
      </c>
      <c r="I405" s="1" t="s">
        <v>29</v>
      </c>
      <c r="J405" s="1" t="s">
        <v>30</v>
      </c>
      <c r="K405" s="1" t="s">
        <v>31</v>
      </c>
      <c r="L405" s="4">
        <v>100</v>
      </c>
      <c r="M405" s="1" t="s">
        <v>32</v>
      </c>
      <c r="N405" s="1"/>
      <c r="O405" s="4">
        <v>2845</v>
      </c>
      <c r="P405" s="4">
        <v>28</v>
      </c>
      <c r="Q405" s="4">
        <v>427</v>
      </c>
      <c r="R405" s="4">
        <v>0</v>
      </c>
      <c r="S405" s="4">
        <v>0</v>
      </c>
      <c r="T405" s="4">
        <v>3300</v>
      </c>
      <c r="U405" s="4">
        <v>0</v>
      </c>
      <c r="V405" s="1"/>
      <c r="W405" s="5">
        <v>0</v>
      </c>
      <c r="X405" s="5">
        <v>0</v>
      </c>
      <c r="Y405" s="5">
        <v>0</v>
      </c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2">
        <v>405</v>
      </c>
      <c r="B406" s="1" t="s">
        <v>718</v>
      </c>
      <c r="C406" s="1"/>
      <c r="D406" s="3">
        <v>45727</v>
      </c>
      <c r="E406" s="3">
        <v>45689</v>
      </c>
      <c r="F406" s="3">
        <v>45961</v>
      </c>
      <c r="G406" s="1" t="s">
        <v>27</v>
      </c>
      <c r="H406" s="1" t="s">
        <v>342</v>
      </c>
      <c r="I406" s="1" t="s">
        <v>29</v>
      </c>
      <c r="J406" s="1" t="s">
        <v>30</v>
      </c>
      <c r="K406" s="1" t="s">
        <v>31</v>
      </c>
      <c r="L406" s="4">
        <v>100</v>
      </c>
      <c r="M406" s="1" t="s">
        <v>32</v>
      </c>
      <c r="N406" s="1"/>
      <c r="O406" s="4">
        <v>5560</v>
      </c>
      <c r="P406" s="4">
        <v>56</v>
      </c>
      <c r="Q406" s="4">
        <v>834</v>
      </c>
      <c r="R406" s="4">
        <v>0</v>
      </c>
      <c r="S406" s="4">
        <v>0</v>
      </c>
      <c r="T406" s="4">
        <v>6450</v>
      </c>
      <c r="U406" s="4">
        <v>0</v>
      </c>
      <c r="V406" s="1"/>
      <c r="W406" s="5">
        <v>0</v>
      </c>
      <c r="X406" s="5">
        <v>0</v>
      </c>
      <c r="Y406" s="5">
        <v>0</v>
      </c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2">
        <v>406</v>
      </c>
      <c r="B407" s="1" t="s">
        <v>719</v>
      </c>
      <c r="C407" s="1"/>
      <c r="D407" s="3">
        <v>45727</v>
      </c>
      <c r="E407" s="3">
        <v>45689</v>
      </c>
      <c r="F407" s="3">
        <v>45961</v>
      </c>
      <c r="G407" s="1" t="s">
        <v>27</v>
      </c>
      <c r="H407" s="1" t="s">
        <v>346</v>
      </c>
      <c r="I407" s="1" t="s">
        <v>29</v>
      </c>
      <c r="J407" s="1" t="s">
        <v>30</v>
      </c>
      <c r="K407" s="1" t="s">
        <v>31</v>
      </c>
      <c r="L407" s="4">
        <v>100</v>
      </c>
      <c r="M407" s="1" t="s">
        <v>32</v>
      </c>
      <c r="N407" s="1"/>
      <c r="O407" s="4">
        <v>2974</v>
      </c>
      <c r="P407" s="4">
        <v>30</v>
      </c>
      <c r="Q407" s="4">
        <v>446</v>
      </c>
      <c r="R407" s="4">
        <v>0</v>
      </c>
      <c r="S407" s="4">
        <v>0</v>
      </c>
      <c r="T407" s="4">
        <v>3450</v>
      </c>
      <c r="U407" s="4">
        <v>0</v>
      </c>
      <c r="V407" s="1"/>
      <c r="W407" s="5">
        <v>0</v>
      </c>
      <c r="X407" s="5">
        <v>0</v>
      </c>
      <c r="Y407" s="5">
        <v>0</v>
      </c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2">
        <v>407</v>
      </c>
      <c r="B408" s="1" t="s">
        <v>720</v>
      </c>
      <c r="C408" s="1"/>
      <c r="D408" s="3">
        <v>45727</v>
      </c>
      <c r="E408" s="3">
        <v>45689</v>
      </c>
      <c r="F408" s="3">
        <v>45961</v>
      </c>
      <c r="G408" s="1" t="s">
        <v>27</v>
      </c>
      <c r="H408" s="1" t="s">
        <v>348</v>
      </c>
      <c r="I408" s="1" t="s">
        <v>29</v>
      </c>
      <c r="J408" s="1" t="s">
        <v>30</v>
      </c>
      <c r="K408" s="1" t="s">
        <v>31</v>
      </c>
      <c r="L408" s="4">
        <v>100</v>
      </c>
      <c r="M408" s="1" t="s">
        <v>32</v>
      </c>
      <c r="N408" s="1"/>
      <c r="O408" s="4">
        <v>1422</v>
      </c>
      <c r="P408" s="4">
        <v>14</v>
      </c>
      <c r="Q408" s="4">
        <v>213</v>
      </c>
      <c r="R408" s="4">
        <v>0</v>
      </c>
      <c r="S408" s="4">
        <v>0</v>
      </c>
      <c r="T408" s="4">
        <v>1649</v>
      </c>
      <c r="U408" s="4">
        <v>0</v>
      </c>
      <c r="V408" s="1"/>
      <c r="W408" s="5">
        <v>0</v>
      </c>
      <c r="X408" s="5">
        <v>0</v>
      </c>
      <c r="Y408" s="5">
        <v>0</v>
      </c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2">
        <v>408</v>
      </c>
      <c r="B409" s="1" t="s">
        <v>721</v>
      </c>
      <c r="C409" s="1"/>
      <c r="D409" s="3">
        <v>45727</v>
      </c>
      <c r="E409" s="3">
        <v>45689</v>
      </c>
      <c r="F409" s="3">
        <v>45961</v>
      </c>
      <c r="G409" s="1" t="s">
        <v>27</v>
      </c>
      <c r="H409" s="1" t="s">
        <v>350</v>
      </c>
      <c r="I409" s="1" t="s">
        <v>29</v>
      </c>
      <c r="J409" s="1" t="s">
        <v>30</v>
      </c>
      <c r="K409" s="1" t="s">
        <v>31</v>
      </c>
      <c r="L409" s="4">
        <v>100</v>
      </c>
      <c r="M409" s="1" t="s">
        <v>32</v>
      </c>
      <c r="N409" s="1"/>
      <c r="O409" s="4">
        <v>6724</v>
      </c>
      <c r="P409" s="4">
        <v>67</v>
      </c>
      <c r="Q409" s="4">
        <v>1009</v>
      </c>
      <c r="R409" s="4">
        <v>0</v>
      </c>
      <c r="S409" s="4">
        <v>0</v>
      </c>
      <c r="T409" s="4">
        <v>7800</v>
      </c>
      <c r="U409" s="4">
        <v>0</v>
      </c>
      <c r="V409" s="1"/>
      <c r="W409" s="5">
        <v>0</v>
      </c>
      <c r="X409" s="5">
        <v>0</v>
      </c>
      <c r="Y409" s="5">
        <v>0</v>
      </c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2">
        <v>409</v>
      </c>
      <c r="B410" s="1" t="s">
        <v>722</v>
      </c>
      <c r="C410" s="1"/>
      <c r="D410" s="3">
        <v>45727</v>
      </c>
      <c r="E410" s="3">
        <v>45689</v>
      </c>
      <c r="F410" s="3">
        <v>45961</v>
      </c>
      <c r="G410" s="1" t="s">
        <v>27</v>
      </c>
      <c r="H410" s="1" t="s">
        <v>352</v>
      </c>
      <c r="I410" s="1" t="s">
        <v>29</v>
      </c>
      <c r="J410" s="1" t="s">
        <v>30</v>
      </c>
      <c r="K410" s="1" t="s">
        <v>31</v>
      </c>
      <c r="L410" s="4">
        <v>100</v>
      </c>
      <c r="M410" s="1" t="s">
        <v>32</v>
      </c>
      <c r="N410" s="1"/>
      <c r="O410" s="4">
        <v>4914</v>
      </c>
      <c r="P410" s="4">
        <v>49</v>
      </c>
      <c r="Q410" s="4">
        <v>737</v>
      </c>
      <c r="R410" s="4">
        <v>0</v>
      </c>
      <c r="S410" s="4">
        <v>0</v>
      </c>
      <c r="T410" s="4">
        <v>5700</v>
      </c>
      <c r="U410" s="4">
        <v>0</v>
      </c>
      <c r="V410" s="1"/>
      <c r="W410" s="5">
        <v>0</v>
      </c>
      <c r="X410" s="5">
        <v>0</v>
      </c>
      <c r="Y410" s="5">
        <v>0</v>
      </c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2">
        <v>410</v>
      </c>
      <c r="B411" s="1" t="s">
        <v>723</v>
      </c>
      <c r="C411" s="1"/>
      <c r="D411" s="3">
        <v>45727</v>
      </c>
      <c r="E411" s="3">
        <v>45689</v>
      </c>
      <c r="F411" s="3">
        <v>45961</v>
      </c>
      <c r="G411" s="1" t="s">
        <v>27</v>
      </c>
      <c r="H411" s="1" t="s">
        <v>354</v>
      </c>
      <c r="I411" s="1" t="s">
        <v>29</v>
      </c>
      <c r="J411" s="1" t="s">
        <v>30</v>
      </c>
      <c r="K411" s="1" t="s">
        <v>31</v>
      </c>
      <c r="L411" s="4">
        <v>100</v>
      </c>
      <c r="M411" s="1" t="s">
        <v>32</v>
      </c>
      <c r="N411" s="1"/>
      <c r="O411" s="4">
        <v>4267</v>
      </c>
      <c r="P411" s="4">
        <v>43</v>
      </c>
      <c r="Q411" s="4">
        <v>640</v>
      </c>
      <c r="R411" s="4">
        <v>0</v>
      </c>
      <c r="S411" s="4">
        <v>0</v>
      </c>
      <c r="T411" s="4">
        <v>4950</v>
      </c>
      <c r="U411" s="4">
        <v>0</v>
      </c>
      <c r="V411" s="1"/>
      <c r="W411" s="5">
        <v>0</v>
      </c>
      <c r="X411" s="5">
        <v>0</v>
      </c>
      <c r="Y411" s="5">
        <v>0</v>
      </c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2">
        <v>411</v>
      </c>
      <c r="B412" s="1" t="s">
        <v>724</v>
      </c>
      <c r="C412" s="1"/>
      <c r="D412" s="3">
        <v>45727</v>
      </c>
      <c r="E412" s="3">
        <v>45689</v>
      </c>
      <c r="F412" s="3">
        <v>45961</v>
      </c>
      <c r="G412" s="1" t="s">
        <v>27</v>
      </c>
      <c r="H412" s="1" t="s">
        <v>356</v>
      </c>
      <c r="I412" s="1" t="s">
        <v>29</v>
      </c>
      <c r="J412" s="1" t="s">
        <v>30</v>
      </c>
      <c r="K412" s="1" t="s">
        <v>31</v>
      </c>
      <c r="L412" s="4">
        <v>100</v>
      </c>
      <c r="M412" s="1" t="s">
        <v>32</v>
      </c>
      <c r="N412" s="1"/>
      <c r="O412" s="4">
        <v>2974</v>
      </c>
      <c r="P412" s="4">
        <v>30</v>
      </c>
      <c r="Q412" s="4">
        <v>446</v>
      </c>
      <c r="R412" s="4">
        <v>0</v>
      </c>
      <c r="S412" s="4">
        <v>0</v>
      </c>
      <c r="T412" s="4">
        <v>3450</v>
      </c>
      <c r="U412" s="4">
        <v>0</v>
      </c>
      <c r="V412" s="1"/>
      <c r="W412" s="5">
        <v>0</v>
      </c>
      <c r="X412" s="5">
        <v>0</v>
      </c>
      <c r="Y412" s="5">
        <v>0</v>
      </c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2">
        <v>412</v>
      </c>
      <c r="B413" s="1" t="s">
        <v>725</v>
      </c>
      <c r="C413" s="1"/>
      <c r="D413" s="3">
        <v>45727</v>
      </c>
      <c r="E413" s="3">
        <v>45689</v>
      </c>
      <c r="F413" s="3">
        <v>45961</v>
      </c>
      <c r="G413" s="1" t="s">
        <v>27</v>
      </c>
      <c r="H413" s="1" t="s">
        <v>358</v>
      </c>
      <c r="I413" s="1" t="s">
        <v>29</v>
      </c>
      <c r="J413" s="1" t="s">
        <v>30</v>
      </c>
      <c r="K413" s="1" t="s">
        <v>31</v>
      </c>
      <c r="L413" s="4">
        <v>100</v>
      </c>
      <c r="M413" s="1" t="s">
        <v>32</v>
      </c>
      <c r="N413" s="1"/>
      <c r="O413" s="4">
        <v>5172</v>
      </c>
      <c r="P413" s="4">
        <v>52</v>
      </c>
      <c r="Q413" s="4">
        <v>776</v>
      </c>
      <c r="R413" s="4">
        <v>0</v>
      </c>
      <c r="S413" s="4">
        <v>0</v>
      </c>
      <c r="T413" s="4">
        <v>6000</v>
      </c>
      <c r="U413" s="4">
        <v>0</v>
      </c>
      <c r="V413" s="1"/>
      <c r="W413" s="5">
        <v>0</v>
      </c>
      <c r="X413" s="5">
        <v>0</v>
      </c>
      <c r="Y413" s="5">
        <v>0</v>
      </c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2">
        <v>413</v>
      </c>
      <c r="B414" s="1" t="s">
        <v>726</v>
      </c>
      <c r="C414" s="1"/>
      <c r="D414" s="3">
        <v>45727</v>
      </c>
      <c r="E414" s="3">
        <v>45689</v>
      </c>
      <c r="F414" s="3">
        <v>45961</v>
      </c>
      <c r="G414" s="1" t="s">
        <v>27</v>
      </c>
      <c r="H414" s="1" t="s">
        <v>360</v>
      </c>
      <c r="I414" s="1" t="s">
        <v>29</v>
      </c>
      <c r="J414" s="1" t="s">
        <v>30</v>
      </c>
      <c r="K414" s="1" t="s">
        <v>31</v>
      </c>
      <c r="L414" s="4">
        <v>100</v>
      </c>
      <c r="M414" s="1" t="s">
        <v>32</v>
      </c>
      <c r="N414" s="1"/>
      <c r="O414" s="4">
        <v>1940</v>
      </c>
      <c r="P414" s="4">
        <v>19</v>
      </c>
      <c r="Q414" s="4">
        <v>291</v>
      </c>
      <c r="R414" s="4">
        <v>0</v>
      </c>
      <c r="S414" s="4">
        <v>0</v>
      </c>
      <c r="T414" s="4">
        <v>2250</v>
      </c>
      <c r="U414" s="4">
        <v>0</v>
      </c>
      <c r="V414" s="1"/>
      <c r="W414" s="5">
        <v>0</v>
      </c>
      <c r="X414" s="5">
        <v>0</v>
      </c>
      <c r="Y414" s="5">
        <v>0</v>
      </c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2">
        <v>414</v>
      </c>
      <c r="B415" s="1" t="s">
        <v>727</v>
      </c>
      <c r="C415" s="1"/>
      <c r="D415" s="3">
        <v>45727</v>
      </c>
      <c r="E415" s="3">
        <v>45689</v>
      </c>
      <c r="F415" s="3">
        <v>45961</v>
      </c>
      <c r="G415" s="1" t="s">
        <v>27</v>
      </c>
      <c r="H415" s="1" t="s">
        <v>362</v>
      </c>
      <c r="I415" s="1" t="s">
        <v>29</v>
      </c>
      <c r="J415" s="1" t="s">
        <v>30</v>
      </c>
      <c r="K415" s="1" t="s">
        <v>31</v>
      </c>
      <c r="L415" s="4">
        <v>100</v>
      </c>
      <c r="M415" s="1" t="s">
        <v>32</v>
      </c>
      <c r="N415" s="1"/>
      <c r="O415" s="4">
        <v>1422</v>
      </c>
      <c r="P415" s="4">
        <v>14</v>
      </c>
      <c r="Q415" s="4">
        <v>213</v>
      </c>
      <c r="R415" s="4">
        <v>0</v>
      </c>
      <c r="S415" s="4">
        <v>0</v>
      </c>
      <c r="T415" s="4">
        <v>1649</v>
      </c>
      <c r="U415" s="4">
        <v>0</v>
      </c>
      <c r="V415" s="1"/>
      <c r="W415" s="5">
        <v>0</v>
      </c>
      <c r="X415" s="5">
        <v>0</v>
      </c>
      <c r="Y415" s="5">
        <v>0</v>
      </c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2">
        <v>415</v>
      </c>
      <c r="B416" s="1" t="s">
        <v>728</v>
      </c>
      <c r="C416" s="1"/>
      <c r="D416" s="3">
        <v>45727</v>
      </c>
      <c r="E416" s="3">
        <v>45689</v>
      </c>
      <c r="F416" s="3">
        <v>45961</v>
      </c>
      <c r="G416" s="1" t="s">
        <v>27</v>
      </c>
      <c r="H416" s="1" t="s">
        <v>364</v>
      </c>
      <c r="I416" s="1" t="s">
        <v>29</v>
      </c>
      <c r="J416" s="1" t="s">
        <v>30</v>
      </c>
      <c r="K416" s="1" t="s">
        <v>31</v>
      </c>
      <c r="L416" s="4">
        <v>100</v>
      </c>
      <c r="M416" s="1" t="s">
        <v>32</v>
      </c>
      <c r="N416" s="1"/>
      <c r="O416" s="4">
        <v>2845</v>
      </c>
      <c r="P416" s="4">
        <v>28</v>
      </c>
      <c r="Q416" s="4">
        <v>427</v>
      </c>
      <c r="R416" s="4">
        <v>0</v>
      </c>
      <c r="S416" s="4">
        <v>0</v>
      </c>
      <c r="T416" s="4">
        <v>3300</v>
      </c>
      <c r="U416" s="4">
        <v>0</v>
      </c>
      <c r="V416" s="1"/>
      <c r="W416" s="5">
        <v>0</v>
      </c>
      <c r="X416" s="5">
        <v>0</v>
      </c>
      <c r="Y416" s="5">
        <v>0</v>
      </c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2">
        <v>416</v>
      </c>
      <c r="B417" s="1" t="s">
        <v>729</v>
      </c>
      <c r="C417" s="1"/>
      <c r="D417" s="3">
        <v>45727</v>
      </c>
      <c r="E417" s="3">
        <v>45689</v>
      </c>
      <c r="F417" s="3">
        <v>45961</v>
      </c>
      <c r="G417" s="1" t="s">
        <v>27</v>
      </c>
      <c r="H417" s="1" t="s">
        <v>366</v>
      </c>
      <c r="I417" s="1" t="s">
        <v>29</v>
      </c>
      <c r="J417" s="1" t="s">
        <v>30</v>
      </c>
      <c r="K417" s="1" t="s">
        <v>31</v>
      </c>
      <c r="L417" s="4">
        <v>100</v>
      </c>
      <c r="M417" s="1" t="s">
        <v>32</v>
      </c>
      <c r="N417" s="1"/>
      <c r="O417" s="4">
        <v>3103</v>
      </c>
      <c r="P417" s="4">
        <v>31</v>
      </c>
      <c r="Q417" s="4">
        <v>465</v>
      </c>
      <c r="R417" s="4">
        <v>0</v>
      </c>
      <c r="S417" s="4">
        <v>0</v>
      </c>
      <c r="T417" s="4">
        <v>3599</v>
      </c>
      <c r="U417" s="4">
        <v>0</v>
      </c>
      <c r="V417" s="1"/>
      <c r="W417" s="5">
        <v>0</v>
      </c>
      <c r="X417" s="5">
        <v>0</v>
      </c>
      <c r="Y417" s="5">
        <v>0</v>
      </c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2">
        <v>417</v>
      </c>
      <c r="B418" s="1" t="s">
        <v>730</v>
      </c>
      <c r="C418" s="1"/>
      <c r="D418" s="3">
        <v>45727</v>
      </c>
      <c r="E418" s="3">
        <v>45689</v>
      </c>
      <c r="F418" s="3">
        <v>45961</v>
      </c>
      <c r="G418" s="1" t="s">
        <v>27</v>
      </c>
      <c r="H418" s="1" t="s">
        <v>368</v>
      </c>
      <c r="I418" s="1" t="s">
        <v>29</v>
      </c>
      <c r="J418" s="1" t="s">
        <v>30</v>
      </c>
      <c r="K418" s="1" t="s">
        <v>31</v>
      </c>
      <c r="L418" s="4">
        <v>100</v>
      </c>
      <c r="M418" s="1" t="s">
        <v>32</v>
      </c>
      <c r="N418" s="1"/>
      <c r="O418" s="4">
        <v>3362</v>
      </c>
      <c r="P418" s="4">
        <v>34</v>
      </c>
      <c r="Q418" s="4">
        <v>504</v>
      </c>
      <c r="R418" s="4">
        <v>0</v>
      </c>
      <c r="S418" s="4">
        <v>0</v>
      </c>
      <c r="T418" s="4">
        <v>3900</v>
      </c>
      <c r="U418" s="4">
        <v>0</v>
      </c>
      <c r="V418" s="1"/>
      <c r="W418" s="5">
        <v>0</v>
      </c>
      <c r="X418" s="5">
        <v>0</v>
      </c>
      <c r="Y418" s="5">
        <v>0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2">
        <v>418</v>
      </c>
      <c r="B419" s="1" t="s">
        <v>731</v>
      </c>
      <c r="C419" s="1"/>
      <c r="D419" s="3">
        <v>45727</v>
      </c>
      <c r="E419" s="3">
        <v>45689</v>
      </c>
      <c r="F419" s="3">
        <v>45961</v>
      </c>
      <c r="G419" s="1" t="s">
        <v>27</v>
      </c>
      <c r="H419" s="1" t="s">
        <v>370</v>
      </c>
      <c r="I419" s="1" t="s">
        <v>29</v>
      </c>
      <c r="J419" s="1" t="s">
        <v>30</v>
      </c>
      <c r="K419" s="1" t="s">
        <v>31</v>
      </c>
      <c r="L419" s="4">
        <v>100</v>
      </c>
      <c r="M419" s="1" t="s">
        <v>32</v>
      </c>
      <c r="N419" s="1"/>
      <c r="O419" s="4">
        <v>3103</v>
      </c>
      <c r="P419" s="4">
        <v>31</v>
      </c>
      <c r="Q419" s="4">
        <v>465</v>
      </c>
      <c r="R419" s="4">
        <v>0</v>
      </c>
      <c r="S419" s="4">
        <v>0</v>
      </c>
      <c r="T419" s="4">
        <v>3599</v>
      </c>
      <c r="U419" s="4">
        <v>0</v>
      </c>
      <c r="V419" s="1"/>
      <c r="W419" s="5">
        <v>0</v>
      </c>
      <c r="X419" s="5">
        <v>0</v>
      </c>
      <c r="Y419" s="5">
        <v>0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2">
        <v>419</v>
      </c>
      <c r="B420" s="1" t="s">
        <v>732</v>
      </c>
      <c r="C420" s="1"/>
      <c r="D420" s="3">
        <v>45727</v>
      </c>
      <c r="E420" s="3">
        <v>45689</v>
      </c>
      <c r="F420" s="3">
        <v>45961</v>
      </c>
      <c r="G420" s="1" t="s">
        <v>27</v>
      </c>
      <c r="H420" s="1" t="s">
        <v>372</v>
      </c>
      <c r="I420" s="1" t="s">
        <v>29</v>
      </c>
      <c r="J420" s="1" t="s">
        <v>30</v>
      </c>
      <c r="K420" s="1" t="s">
        <v>31</v>
      </c>
      <c r="L420" s="4">
        <v>100</v>
      </c>
      <c r="M420" s="1" t="s">
        <v>32</v>
      </c>
      <c r="N420" s="1"/>
      <c r="O420" s="4">
        <v>3879</v>
      </c>
      <c r="P420" s="4">
        <v>39</v>
      </c>
      <c r="Q420" s="4">
        <v>582</v>
      </c>
      <c r="R420" s="4">
        <v>0</v>
      </c>
      <c r="S420" s="4">
        <v>0</v>
      </c>
      <c r="T420" s="4">
        <v>4500</v>
      </c>
      <c r="U420" s="4">
        <v>0</v>
      </c>
      <c r="V420" s="1"/>
      <c r="W420" s="5">
        <v>0</v>
      </c>
      <c r="X420" s="5">
        <v>0</v>
      </c>
      <c r="Y420" s="5">
        <v>0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2">
        <v>420</v>
      </c>
      <c r="B421" s="1" t="s">
        <v>733</v>
      </c>
      <c r="C421" s="1"/>
      <c r="D421" s="3">
        <v>45727</v>
      </c>
      <c r="E421" s="3">
        <v>45689</v>
      </c>
      <c r="F421" s="3">
        <v>45961</v>
      </c>
      <c r="G421" s="1" t="s">
        <v>27</v>
      </c>
      <c r="H421" s="1" t="s">
        <v>374</v>
      </c>
      <c r="I421" s="1" t="s">
        <v>29</v>
      </c>
      <c r="J421" s="1" t="s">
        <v>30</v>
      </c>
      <c r="K421" s="1" t="s">
        <v>31</v>
      </c>
      <c r="L421" s="4">
        <v>100</v>
      </c>
      <c r="M421" s="1" t="s">
        <v>32</v>
      </c>
      <c r="N421" s="1"/>
      <c r="O421" s="4">
        <v>2974</v>
      </c>
      <c r="P421" s="4">
        <v>30</v>
      </c>
      <c r="Q421" s="4">
        <v>446</v>
      </c>
      <c r="R421" s="4">
        <v>0</v>
      </c>
      <c r="S421" s="4">
        <v>0</v>
      </c>
      <c r="T421" s="4">
        <v>3450</v>
      </c>
      <c r="U421" s="4">
        <v>0</v>
      </c>
      <c r="V421" s="1"/>
      <c r="W421" s="5">
        <v>0</v>
      </c>
      <c r="X421" s="5">
        <v>0</v>
      </c>
      <c r="Y421" s="5">
        <v>0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2">
        <v>421</v>
      </c>
      <c r="B422" s="1" t="s">
        <v>734</v>
      </c>
      <c r="C422" s="1"/>
      <c r="D422" s="3">
        <v>45727</v>
      </c>
      <c r="E422" s="3">
        <v>45689</v>
      </c>
      <c r="F422" s="3">
        <v>45961</v>
      </c>
      <c r="G422" s="1" t="s">
        <v>27</v>
      </c>
      <c r="H422" s="1" t="s">
        <v>376</v>
      </c>
      <c r="I422" s="1" t="s">
        <v>29</v>
      </c>
      <c r="J422" s="1" t="s">
        <v>30</v>
      </c>
      <c r="K422" s="1" t="s">
        <v>31</v>
      </c>
      <c r="L422" s="4">
        <v>100</v>
      </c>
      <c r="M422" s="1" t="s">
        <v>32</v>
      </c>
      <c r="N422" s="1"/>
      <c r="O422" s="4">
        <v>4526</v>
      </c>
      <c r="P422" s="4">
        <v>45</v>
      </c>
      <c r="Q422" s="4">
        <v>679</v>
      </c>
      <c r="R422" s="4">
        <v>0</v>
      </c>
      <c r="S422" s="4">
        <v>0</v>
      </c>
      <c r="T422" s="4">
        <v>5250</v>
      </c>
      <c r="U422" s="4">
        <v>0</v>
      </c>
      <c r="V422" s="1"/>
      <c r="W422" s="5">
        <v>0</v>
      </c>
      <c r="X422" s="5">
        <v>0</v>
      </c>
      <c r="Y422" s="5">
        <v>0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2">
        <v>422</v>
      </c>
      <c r="B423" s="1" t="s">
        <v>735</v>
      </c>
      <c r="C423" s="1"/>
      <c r="D423" s="3">
        <v>45727</v>
      </c>
      <c r="E423" s="3">
        <v>45689</v>
      </c>
      <c r="F423" s="3">
        <v>45961</v>
      </c>
      <c r="G423" s="1" t="s">
        <v>27</v>
      </c>
      <c r="H423" s="1" t="s">
        <v>378</v>
      </c>
      <c r="I423" s="1" t="s">
        <v>29</v>
      </c>
      <c r="J423" s="1" t="s">
        <v>30</v>
      </c>
      <c r="K423" s="1" t="s">
        <v>31</v>
      </c>
      <c r="L423" s="4">
        <v>100</v>
      </c>
      <c r="M423" s="1" t="s">
        <v>32</v>
      </c>
      <c r="N423" s="1"/>
      <c r="O423" s="4">
        <v>2845</v>
      </c>
      <c r="P423" s="4">
        <v>28</v>
      </c>
      <c r="Q423" s="4">
        <v>427</v>
      </c>
      <c r="R423" s="4">
        <v>0</v>
      </c>
      <c r="S423" s="4">
        <v>0</v>
      </c>
      <c r="T423" s="4">
        <v>3300</v>
      </c>
      <c r="U423" s="4">
        <v>0</v>
      </c>
      <c r="V423" s="1"/>
      <c r="W423" s="5">
        <v>0</v>
      </c>
      <c r="X423" s="5">
        <v>0</v>
      </c>
      <c r="Y423" s="5">
        <v>0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2">
        <v>423</v>
      </c>
      <c r="B424" s="1" t="s">
        <v>736</v>
      </c>
      <c r="C424" s="1"/>
      <c r="D424" s="3">
        <v>45727</v>
      </c>
      <c r="E424" s="3">
        <v>45689</v>
      </c>
      <c r="F424" s="3">
        <v>45961</v>
      </c>
      <c r="G424" s="1" t="s">
        <v>27</v>
      </c>
      <c r="H424" s="1" t="s">
        <v>44</v>
      </c>
      <c r="I424" s="1" t="s">
        <v>29</v>
      </c>
      <c r="J424" s="1" t="s">
        <v>30</v>
      </c>
      <c r="K424" s="1" t="s">
        <v>31</v>
      </c>
      <c r="L424" s="4">
        <v>100</v>
      </c>
      <c r="M424" s="1" t="s">
        <v>32</v>
      </c>
      <c r="N424" s="1"/>
      <c r="O424" s="4">
        <v>3879</v>
      </c>
      <c r="P424" s="4">
        <v>39</v>
      </c>
      <c r="Q424" s="4">
        <v>582</v>
      </c>
      <c r="R424" s="4">
        <v>0</v>
      </c>
      <c r="S424" s="4">
        <v>0</v>
      </c>
      <c r="T424" s="4">
        <v>4500</v>
      </c>
      <c r="U424" s="4">
        <v>0</v>
      </c>
      <c r="V424" s="1"/>
      <c r="W424" s="5">
        <v>0</v>
      </c>
      <c r="X424" s="5">
        <v>0</v>
      </c>
      <c r="Y424" s="5">
        <v>0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2">
        <v>424</v>
      </c>
      <c r="B425" s="1" t="s">
        <v>737</v>
      </c>
      <c r="C425" s="1"/>
      <c r="D425" s="3">
        <v>45727</v>
      </c>
      <c r="E425" s="3">
        <v>45689</v>
      </c>
      <c r="F425" s="3">
        <v>45961</v>
      </c>
      <c r="G425" s="1" t="s">
        <v>27</v>
      </c>
      <c r="H425" s="1" t="s">
        <v>381</v>
      </c>
      <c r="I425" s="1" t="s">
        <v>29</v>
      </c>
      <c r="J425" s="1" t="s">
        <v>30</v>
      </c>
      <c r="K425" s="1" t="s">
        <v>31</v>
      </c>
      <c r="L425" s="4">
        <v>100</v>
      </c>
      <c r="M425" s="1" t="s">
        <v>32</v>
      </c>
      <c r="N425" s="1"/>
      <c r="O425" s="4">
        <v>2586</v>
      </c>
      <c r="P425" s="4">
        <v>26</v>
      </c>
      <c r="Q425" s="4">
        <v>388</v>
      </c>
      <c r="R425" s="4">
        <v>0</v>
      </c>
      <c r="S425" s="4">
        <v>0</v>
      </c>
      <c r="T425" s="4">
        <v>3000</v>
      </c>
      <c r="U425" s="4">
        <v>0</v>
      </c>
      <c r="V425" s="1"/>
      <c r="W425" s="5">
        <v>0</v>
      </c>
      <c r="X425" s="5">
        <v>0</v>
      </c>
      <c r="Y425" s="5">
        <v>0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2">
        <v>425</v>
      </c>
      <c r="B426" s="1" t="s">
        <v>738</v>
      </c>
      <c r="C426" s="1"/>
      <c r="D426" s="3">
        <v>45727</v>
      </c>
      <c r="E426" s="3">
        <v>45689</v>
      </c>
      <c r="F426" s="3">
        <v>45961</v>
      </c>
      <c r="G426" s="1" t="s">
        <v>27</v>
      </c>
      <c r="H426" s="1" t="s">
        <v>739</v>
      </c>
      <c r="I426" s="1" t="s">
        <v>29</v>
      </c>
      <c r="J426" s="1" t="s">
        <v>30</v>
      </c>
      <c r="K426" s="1" t="s">
        <v>31</v>
      </c>
      <c r="L426" s="4">
        <v>100</v>
      </c>
      <c r="M426" s="1" t="s">
        <v>32</v>
      </c>
      <c r="N426" s="1"/>
      <c r="O426" s="4">
        <v>2974</v>
      </c>
      <c r="P426" s="4">
        <v>30</v>
      </c>
      <c r="Q426" s="4">
        <v>446</v>
      </c>
      <c r="R426" s="4">
        <v>0</v>
      </c>
      <c r="S426" s="4">
        <v>0</v>
      </c>
      <c r="T426" s="4">
        <v>3450</v>
      </c>
      <c r="U426" s="4">
        <v>0</v>
      </c>
      <c r="V426" s="1"/>
      <c r="W426" s="5">
        <v>0</v>
      </c>
      <c r="X426" s="5">
        <v>0</v>
      </c>
      <c r="Y426" s="5">
        <v>0</v>
      </c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2">
        <v>426</v>
      </c>
      <c r="B427" s="1" t="s">
        <v>740</v>
      </c>
      <c r="C427" s="1"/>
      <c r="D427" s="3">
        <v>45727</v>
      </c>
      <c r="E427" s="3">
        <v>45689</v>
      </c>
      <c r="F427" s="3">
        <v>45961</v>
      </c>
      <c r="G427" s="1" t="s">
        <v>27</v>
      </c>
      <c r="H427" s="1" t="s">
        <v>383</v>
      </c>
      <c r="I427" s="1" t="s">
        <v>29</v>
      </c>
      <c r="J427" s="1" t="s">
        <v>30</v>
      </c>
      <c r="K427" s="1" t="s">
        <v>31</v>
      </c>
      <c r="L427" s="4">
        <v>100</v>
      </c>
      <c r="M427" s="1" t="s">
        <v>32</v>
      </c>
      <c r="N427" s="1"/>
      <c r="O427" s="4">
        <v>3750</v>
      </c>
      <c r="P427" s="4">
        <v>38</v>
      </c>
      <c r="Q427" s="4">
        <v>563</v>
      </c>
      <c r="R427" s="4">
        <v>0</v>
      </c>
      <c r="S427" s="4">
        <v>0</v>
      </c>
      <c r="T427" s="4">
        <v>4351</v>
      </c>
      <c r="U427" s="4">
        <v>0</v>
      </c>
      <c r="V427" s="1"/>
      <c r="W427" s="5">
        <v>0</v>
      </c>
      <c r="X427" s="5">
        <v>0</v>
      </c>
      <c r="Y427" s="5">
        <v>0</v>
      </c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2">
        <v>427</v>
      </c>
      <c r="B428" s="1" t="s">
        <v>741</v>
      </c>
      <c r="C428" s="1"/>
      <c r="D428" s="3">
        <v>45727</v>
      </c>
      <c r="E428" s="3">
        <v>45689</v>
      </c>
      <c r="F428" s="3">
        <v>45961</v>
      </c>
      <c r="G428" s="1" t="s">
        <v>27</v>
      </c>
      <c r="H428" s="1" t="s">
        <v>385</v>
      </c>
      <c r="I428" s="1" t="s">
        <v>29</v>
      </c>
      <c r="J428" s="1" t="s">
        <v>30</v>
      </c>
      <c r="K428" s="1" t="s">
        <v>31</v>
      </c>
      <c r="L428" s="4">
        <v>100</v>
      </c>
      <c r="M428" s="1" t="s">
        <v>32</v>
      </c>
      <c r="N428" s="1"/>
      <c r="O428" s="4">
        <v>3879</v>
      </c>
      <c r="P428" s="4">
        <v>39</v>
      </c>
      <c r="Q428" s="4">
        <v>582</v>
      </c>
      <c r="R428" s="4">
        <v>0</v>
      </c>
      <c r="S428" s="4">
        <v>0</v>
      </c>
      <c r="T428" s="4">
        <v>4500</v>
      </c>
      <c r="U428" s="4">
        <v>0</v>
      </c>
      <c r="V428" s="1"/>
      <c r="W428" s="5">
        <v>0</v>
      </c>
      <c r="X428" s="5">
        <v>0</v>
      </c>
      <c r="Y428" s="5">
        <v>0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2">
        <v>428</v>
      </c>
      <c r="B429" s="1" t="s">
        <v>742</v>
      </c>
      <c r="C429" s="1"/>
      <c r="D429" s="3">
        <v>45727</v>
      </c>
      <c r="E429" s="3">
        <v>45689</v>
      </c>
      <c r="F429" s="3">
        <v>45961</v>
      </c>
      <c r="G429" s="1" t="s">
        <v>27</v>
      </c>
      <c r="H429" s="1" t="s">
        <v>387</v>
      </c>
      <c r="I429" s="1" t="s">
        <v>29</v>
      </c>
      <c r="J429" s="1" t="s">
        <v>30</v>
      </c>
      <c r="K429" s="1" t="s">
        <v>31</v>
      </c>
      <c r="L429" s="4">
        <v>100</v>
      </c>
      <c r="M429" s="1" t="s">
        <v>32</v>
      </c>
      <c r="N429" s="1"/>
      <c r="O429" s="4">
        <v>2974</v>
      </c>
      <c r="P429" s="4">
        <v>30</v>
      </c>
      <c r="Q429" s="4">
        <v>446</v>
      </c>
      <c r="R429" s="4">
        <v>0</v>
      </c>
      <c r="S429" s="4">
        <v>0</v>
      </c>
      <c r="T429" s="4">
        <v>3450</v>
      </c>
      <c r="U429" s="4">
        <v>0</v>
      </c>
      <c r="V429" s="1"/>
      <c r="W429" s="5">
        <v>0</v>
      </c>
      <c r="X429" s="5">
        <v>0</v>
      </c>
      <c r="Y429" s="5">
        <v>0</v>
      </c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2">
        <v>429</v>
      </c>
      <c r="B430" s="1" t="s">
        <v>743</v>
      </c>
      <c r="C430" s="1"/>
      <c r="D430" s="3">
        <v>45727</v>
      </c>
      <c r="E430" s="3">
        <v>45689</v>
      </c>
      <c r="F430" s="3">
        <v>45961</v>
      </c>
      <c r="G430" s="1" t="s">
        <v>27</v>
      </c>
      <c r="H430" s="1" t="s">
        <v>389</v>
      </c>
      <c r="I430" s="1" t="s">
        <v>29</v>
      </c>
      <c r="J430" s="1" t="s">
        <v>30</v>
      </c>
      <c r="K430" s="1" t="s">
        <v>31</v>
      </c>
      <c r="L430" s="4">
        <v>100</v>
      </c>
      <c r="M430" s="1" t="s">
        <v>32</v>
      </c>
      <c r="N430" s="1"/>
      <c r="O430" s="4">
        <v>6466</v>
      </c>
      <c r="P430" s="4">
        <v>65</v>
      </c>
      <c r="Q430" s="4">
        <v>970</v>
      </c>
      <c r="R430" s="4">
        <v>0</v>
      </c>
      <c r="S430" s="4">
        <v>0</v>
      </c>
      <c r="T430" s="4">
        <v>7501</v>
      </c>
      <c r="U430" s="4">
        <v>0</v>
      </c>
      <c r="V430" s="1"/>
      <c r="W430" s="5">
        <v>0</v>
      </c>
      <c r="X430" s="5">
        <v>0</v>
      </c>
      <c r="Y430" s="5">
        <v>0</v>
      </c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2">
        <v>430</v>
      </c>
      <c r="B431" s="1" t="s">
        <v>744</v>
      </c>
      <c r="C431" s="1"/>
      <c r="D431" s="3">
        <v>45727</v>
      </c>
      <c r="E431" s="3">
        <v>45689</v>
      </c>
      <c r="F431" s="3">
        <v>45961</v>
      </c>
      <c r="G431" s="1" t="s">
        <v>27</v>
      </c>
      <c r="H431" s="1" t="s">
        <v>391</v>
      </c>
      <c r="I431" s="1" t="s">
        <v>29</v>
      </c>
      <c r="J431" s="1" t="s">
        <v>30</v>
      </c>
      <c r="K431" s="1" t="s">
        <v>31</v>
      </c>
      <c r="L431" s="4">
        <v>100</v>
      </c>
      <c r="M431" s="1" t="s">
        <v>32</v>
      </c>
      <c r="N431" s="1"/>
      <c r="O431" s="4">
        <v>2845</v>
      </c>
      <c r="P431" s="4">
        <v>28</v>
      </c>
      <c r="Q431" s="4">
        <v>427</v>
      </c>
      <c r="R431" s="4">
        <v>0</v>
      </c>
      <c r="S431" s="4">
        <v>0</v>
      </c>
      <c r="T431" s="4">
        <v>3300</v>
      </c>
      <c r="U431" s="4">
        <v>0</v>
      </c>
      <c r="V431" s="1"/>
      <c r="W431" s="5">
        <v>0</v>
      </c>
      <c r="X431" s="5">
        <v>0</v>
      </c>
      <c r="Y431" s="5">
        <v>0</v>
      </c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2">
        <v>431</v>
      </c>
      <c r="B432" s="1" t="s">
        <v>745</v>
      </c>
      <c r="C432" s="1"/>
      <c r="D432" s="3">
        <v>45727</v>
      </c>
      <c r="E432" s="3">
        <v>45689</v>
      </c>
      <c r="F432" s="3">
        <v>45961</v>
      </c>
      <c r="G432" s="1" t="s">
        <v>27</v>
      </c>
      <c r="H432" s="1" t="s">
        <v>393</v>
      </c>
      <c r="I432" s="1" t="s">
        <v>29</v>
      </c>
      <c r="J432" s="1" t="s">
        <v>30</v>
      </c>
      <c r="K432" s="1" t="s">
        <v>31</v>
      </c>
      <c r="L432" s="4">
        <v>100</v>
      </c>
      <c r="M432" s="1" t="s">
        <v>32</v>
      </c>
      <c r="N432" s="1"/>
      <c r="O432" s="4">
        <v>1422</v>
      </c>
      <c r="P432" s="4">
        <v>14</v>
      </c>
      <c r="Q432" s="4">
        <v>213</v>
      </c>
      <c r="R432" s="4">
        <v>0</v>
      </c>
      <c r="S432" s="4">
        <v>0</v>
      </c>
      <c r="T432" s="4">
        <v>1649</v>
      </c>
      <c r="U432" s="4">
        <v>0</v>
      </c>
      <c r="V432" s="1"/>
      <c r="W432" s="5">
        <v>0</v>
      </c>
      <c r="X432" s="5">
        <v>0</v>
      </c>
      <c r="Y432" s="5">
        <v>0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2">
        <v>432</v>
      </c>
      <c r="B433" s="1" t="s">
        <v>746</v>
      </c>
      <c r="C433" s="1"/>
      <c r="D433" s="3">
        <v>45727</v>
      </c>
      <c r="E433" s="3">
        <v>45689</v>
      </c>
      <c r="F433" s="3">
        <v>45961</v>
      </c>
      <c r="G433" s="1" t="s">
        <v>27</v>
      </c>
      <c r="H433" s="1" t="s">
        <v>395</v>
      </c>
      <c r="I433" s="1" t="s">
        <v>29</v>
      </c>
      <c r="J433" s="1" t="s">
        <v>30</v>
      </c>
      <c r="K433" s="1" t="s">
        <v>31</v>
      </c>
      <c r="L433" s="4">
        <v>100</v>
      </c>
      <c r="M433" s="1" t="s">
        <v>32</v>
      </c>
      <c r="N433" s="1"/>
      <c r="O433" s="4">
        <v>3362</v>
      </c>
      <c r="P433" s="4">
        <v>34</v>
      </c>
      <c r="Q433" s="4">
        <v>504</v>
      </c>
      <c r="R433" s="4">
        <v>0</v>
      </c>
      <c r="S433" s="4">
        <v>0</v>
      </c>
      <c r="T433" s="4">
        <v>3900</v>
      </c>
      <c r="U433" s="4">
        <v>0</v>
      </c>
      <c r="V433" s="1"/>
      <c r="W433" s="5">
        <v>0</v>
      </c>
      <c r="X433" s="5">
        <v>0</v>
      </c>
      <c r="Y433" s="5">
        <v>0</v>
      </c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2">
        <v>433</v>
      </c>
      <c r="B434" s="1" t="s">
        <v>747</v>
      </c>
      <c r="C434" s="1"/>
      <c r="D434" s="3">
        <v>45727</v>
      </c>
      <c r="E434" s="3">
        <v>45689</v>
      </c>
      <c r="F434" s="3">
        <v>45961</v>
      </c>
      <c r="G434" s="1" t="s">
        <v>27</v>
      </c>
      <c r="H434" s="1" t="s">
        <v>397</v>
      </c>
      <c r="I434" s="1" t="s">
        <v>29</v>
      </c>
      <c r="J434" s="1" t="s">
        <v>30</v>
      </c>
      <c r="K434" s="1" t="s">
        <v>31</v>
      </c>
      <c r="L434" s="4">
        <v>100</v>
      </c>
      <c r="M434" s="1" t="s">
        <v>32</v>
      </c>
      <c r="N434" s="1"/>
      <c r="O434" s="4">
        <v>4526</v>
      </c>
      <c r="P434" s="4">
        <v>45</v>
      </c>
      <c r="Q434" s="4">
        <v>679</v>
      </c>
      <c r="R434" s="4">
        <v>0</v>
      </c>
      <c r="S434" s="4">
        <v>0</v>
      </c>
      <c r="T434" s="4">
        <v>5250</v>
      </c>
      <c r="U434" s="4">
        <v>0</v>
      </c>
      <c r="V434" s="1"/>
      <c r="W434" s="5">
        <v>0</v>
      </c>
      <c r="X434" s="5">
        <v>0</v>
      </c>
      <c r="Y434" s="5">
        <v>0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2">
        <v>434</v>
      </c>
      <c r="B435" s="1" t="s">
        <v>748</v>
      </c>
      <c r="C435" s="1"/>
      <c r="D435" s="3">
        <v>45727</v>
      </c>
      <c r="E435" s="3">
        <v>45689</v>
      </c>
      <c r="F435" s="3">
        <v>45961</v>
      </c>
      <c r="G435" s="1" t="s">
        <v>27</v>
      </c>
      <c r="H435" s="1" t="s">
        <v>399</v>
      </c>
      <c r="I435" s="1" t="s">
        <v>29</v>
      </c>
      <c r="J435" s="1" t="s">
        <v>30</v>
      </c>
      <c r="K435" s="1" t="s">
        <v>31</v>
      </c>
      <c r="L435" s="4">
        <v>100</v>
      </c>
      <c r="M435" s="1" t="s">
        <v>32</v>
      </c>
      <c r="N435" s="1"/>
      <c r="O435" s="4">
        <v>5819</v>
      </c>
      <c r="P435" s="4">
        <v>58</v>
      </c>
      <c r="Q435" s="4">
        <v>873</v>
      </c>
      <c r="R435" s="4">
        <v>0</v>
      </c>
      <c r="S435" s="4">
        <v>0</v>
      </c>
      <c r="T435" s="4">
        <v>6750</v>
      </c>
      <c r="U435" s="4">
        <v>0</v>
      </c>
      <c r="V435" s="1"/>
      <c r="W435" s="5">
        <v>0</v>
      </c>
      <c r="X435" s="5">
        <v>0</v>
      </c>
      <c r="Y435" s="5">
        <v>0</v>
      </c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2">
        <v>435</v>
      </c>
      <c r="B436" s="1" t="s">
        <v>749</v>
      </c>
      <c r="C436" s="1"/>
      <c r="D436" s="3">
        <v>45727</v>
      </c>
      <c r="E436" s="3">
        <v>45689</v>
      </c>
      <c r="F436" s="3">
        <v>45961</v>
      </c>
      <c r="G436" s="1" t="s">
        <v>27</v>
      </c>
      <c r="H436" s="1" t="s">
        <v>401</v>
      </c>
      <c r="I436" s="1" t="s">
        <v>29</v>
      </c>
      <c r="J436" s="1" t="s">
        <v>30</v>
      </c>
      <c r="K436" s="1" t="s">
        <v>31</v>
      </c>
      <c r="L436" s="4">
        <v>100</v>
      </c>
      <c r="M436" s="1" t="s">
        <v>32</v>
      </c>
      <c r="N436" s="1"/>
      <c r="O436" s="4">
        <v>4526</v>
      </c>
      <c r="P436" s="4">
        <v>45</v>
      </c>
      <c r="Q436" s="4">
        <v>679</v>
      </c>
      <c r="R436" s="4">
        <v>0</v>
      </c>
      <c r="S436" s="4">
        <v>0</v>
      </c>
      <c r="T436" s="4">
        <v>5250</v>
      </c>
      <c r="U436" s="4">
        <v>0</v>
      </c>
      <c r="V436" s="1"/>
      <c r="W436" s="5">
        <v>0</v>
      </c>
      <c r="X436" s="5">
        <v>0</v>
      </c>
      <c r="Y436" s="5">
        <v>0</v>
      </c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2">
        <v>436</v>
      </c>
      <c r="B437" s="1" t="s">
        <v>750</v>
      </c>
      <c r="C437" s="1"/>
      <c r="D437" s="3">
        <v>45727</v>
      </c>
      <c r="E437" s="3">
        <v>45689</v>
      </c>
      <c r="F437" s="3">
        <v>45961</v>
      </c>
      <c r="G437" s="1" t="s">
        <v>27</v>
      </c>
      <c r="H437" s="1" t="s">
        <v>403</v>
      </c>
      <c r="I437" s="1" t="s">
        <v>29</v>
      </c>
      <c r="J437" s="1" t="s">
        <v>30</v>
      </c>
      <c r="K437" s="1" t="s">
        <v>31</v>
      </c>
      <c r="L437" s="4">
        <v>100</v>
      </c>
      <c r="M437" s="1" t="s">
        <v>32</v>
      </c>
      <c r="N437" s="1"/>
      <c r="O437" s="4">
        <v>3103</v>
      </c>
      <c r="P437" s="4">
        <v>31</v>
      </c>
      <c r="Q437" s="4">
        <v>465</v>
      </c>
      <c r="R437" s="4">
        <v>0</v>
      </c>
      <c r="S437" s="4">
        <v>0</v>
      </c>
      <c r="T437" s="4">
        <v>3599</v>
      </c>
      <c r="U437" s="4">
        <v>0</v>
      </c>
      <c r="V437" s="1"/>
      <c r="W437" s="5">
        <v>0</v>
      </c>
      <c r="X437" s="5">
        <v>0</v>
      </c>
      <c r="Y437" s="5">
        <v>0</v>
      </c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2">
        <v>437</v>
      </c>
      <c r="B438" s="1" t="s">
        <v>751</v>
      </c>
      <c r="C438" s="1"/>
      <c r="D438" s="3">
        <v>45727</v>
      </c>
      <c r="E438" s="3">
        <v>45689</v>
      </c>
      <c r="F438" s="3">
        <v>45961</v>
      </c>
      <c r="G438" s="1" t="s">
        <v>27</v>
      </c>
      <c r="H438" s="1" t="s">
        <v>405</v>
      </c>
      <c r="I438" s="1" t="s">
        <v>29</v>
      </c>
      <c r="J438" s="1" t="s">
        <v>30</v>
      </c>
      <c r="K438" s="1" t="s">
        <v>31</v>
      </c>
      <c r="L438" s="4">
        <v>100</v>
      </c>
      <c r="M438" s="1" t="s">
        <v>32</v>
      </c>
      <c r="N438" s="1"/>
      <c r="O438" s="4">
        <v>4914</v>
      </c>
      <c r="P438" s="4">
        <v>49</v>
      </c>
      <c r="Q438" s="4">
        <v>737</v>
      </c>
      <c r="R438" s="4">
        <v>0</v>
      </c>
      <c r="S438" s="4">
        <v>0</v>
      </c>
      <c r="T438" s="4">
        <v>5700</v>
      </c>
      <c r="U438" s="4">
        <v>0</v>
      </c>
      <c r="V438" s="1"/>
      <c r="W438" s="5">
        <v>0</v>
      </c>
      <c r="X438" s="5">
        <v>0</v>
      </c>
      <c r="Y438" s="5">
        <v>0</v>
      </c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2">
        <v>438</v>
      </c>
      <c r="B439" s="1" t="s">
        <v>752</v>
      </c>
      <c r="C439" s="1"/>
      <c r="D439" s="3">
        <v>45727</v>
      </c>
      <c r="E439" s="3">
        <v>45689</v>
      </c>
      <c r="F439" s="3">
        <v>45961</v>
      </c>
      <c r="G439" s="1" t="s">
        <v>27</v>
      </c>
      <c r="H439" s="1" t="s">
        <v>407</v>
      </c>
      <c r="I439" s="1" t="s">
        <v>29</v>
      </c>
      <c r="J439" s="1" t="s">
        <v>30</v>
      </c>
      <c r="K439" s="1" t="s">
        <v>31</v>
      </c>
      <c r="L439" s="4">
        <v>100</v>
      </c>
      <c r="M439" s="1" t="s">
        <v>32</v>
      </c>
      <c r="N439" s="1"/>
      <c r="O439" s="4">
        <v>1940</v>
      </c>
      <c r="P439" s="4">
        <v>19</v>
      </c>
      <c r="Q439" s="4">
        <v>291</v>
      </c>
      <c r="R439" s="4">
        <v>0</v>
      </c>
      <c r="S439" s="4">
        <v>0</v>
      </c>
      <c r="T439" s="4">
        <v>2250</v>
      </c>
      <c r="U439" s="4">
        <v>0</v>
      </c>
      <c r="V439" s="1"/>
      <c r="W439" s="5">
        <v>0</v>
      </c>
      <c r="X439" s="5">
        <v>0</v>
      </c>
      <c r="Y439" s="5">
        <v>0</v>
      </c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2">
        <v>439</v>
      </c>
      <c r="B440" s="1" t="s">
        <v>753</v>
      </c>
      <c r="C440" s="1"/>
      <c r="D440" s="3">
        <v>45727</v>
      </c>
      <c r="E440" s="3">
        <v>45689</v>
      </c>
      <c r="F440" s="3">
        <v>45961</v>
      </c>
      <c r="G440" s="1" t="s">
        <v>27</v>
      </c>
      <c r="H440" s="1" t="s">
        <v>409</v>
      </c>
      <c r="I440" s="1" t="s">
        <v>29</v>
      </c>
      <c r="J440" s="1" t="s">
        <v>30</v>
      </c>
      <c r="K440" s="1" t="s">
        <v>31</v>
      </c>
      <c r="L440" s="4">
        <v>100</v>
      </c>
      <c r="M440" s="1" t="s">
        <v>32</v>
      </c>
      <c r="N440" s="1"/>
      <c r="O440" s="4">
        <v>2457</v>
      </c>
      <c r="P440" s="4">
        <v>25</v>
      </c>
      <c r="Q440" s="4">
        <v>369</v>
      </c>
      <c r="R440" s="4">
        <v>0</v>
      </c>
      <c r="S440" s="4">
        <v>0</v>
      </c>
      <c r="T440" s="4">
        <v>2851</v>
      </c>
      <c r="U440" s="4">
        <v>0</v>
      </c>
      <c r="V440" s="1"/>
      <c r="W440" s="5">
        <v>0</v>
      </c>
      <c r="X440" s="5">
        <v>0</v>
      </c>
      <c r="Y440" s="5">
        <v>0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2">
        <v>440</v>
      </c>
      <c r="B441" s="1" t="s">
        <v>754</v>
      </c>
      <c r="C441" s="1"/>
      <c r="D441" s="3">
        <v>45727</v>
      </c>
      <c r="E441" s="3">
        <v>45689</v>
      </c>
      <c r="F441" s="3">
        <v>45961</v>
      </c>
      <c r="G441" s="1" t="s">
        <v>27</v>
      </c>
      <c r="H441" s="1" t="s">
        <v>411</v>
      </c>
      <c r="I441" s="1" t="s">
        <v>29</v>
      </c>
      <c r="J441" s="1" t="s">
        <v>30</v>
      </c>
      <c r="K441" s="1" t="s">
        <v>31</v>
      </c>
      <c r="L441" s="4">
        <v>100</v>
      </c>
      <c r="M441" s="1" t="s">
        <v>32</v>
      </c>
      <c r="N441" s="1"/>
      <c r="O441" s="4">
        <v>3621</v>
      </c>
      <c r="P441" s="4">
        <v>36</v>
      </c>
      <c r="Q441" s="4">
        <v>543</v>
      </c>
      <c r="R441" s="4">
        <v>0</v>
      </c>
      <c r="S441" s="4">
        <v>0</v>
      </c>
      <c r="T441" s="4">
        <v>4200</v>
      </c>
      <c r="U441" s="4">
        <v>0</v>
      </c>
      <c r="V441" s="1"/>
      <c r="W441" s="5">
        <v>0</v>
      </c>
      <c r="X441" s="5">
        <v>0</v>
      </c>
      <c r="Y441" s="5">
        <v>0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2">
        <v>441</v>
      </c>
      <c r="B442" s="1" t="s">
        <v>755</v>
      </c>
      <c r="C442" s="1"/>
      <c r="D442" s="3">
        <v>45727</v>
      </c>
      <c r="E442" s="3">
        <v>45689</v>
      </c>
      <c r="F442" s="3">
        <v>45961</v>
      </c>
      <c r="G442" s="1" t="s">
        <v>27</v>
      </c>
      <c r="H442" s="1" t="s">
        <v>415</v>
      </c>
      <c r="I442" s="1" t="s">
        <v>29</v>
      </c>
      <c r="J442" s="1" t="s">
        <v>30</v>
      </c>
      <c r="K442" s="1" t="s">
        <v>31</v>
      </c>
      <c r="L442" s="4">
        <v>100</v>
      </c>
      <c r="M442" s="1" t="s">
        <v>32</v>
      </c>
      <c r="N442" s="1"/>
      <c r="O442" s="4">
        <v>3879</v>
      </c>
      <c r="P442" s="4">
        <v>39</v>
      </c>
      <c r="Q442" s="4">
        <v>582</v>
      </c>
      <c r="R442" s="4">
        <v>0</v>
      </c>
      <c r="S442" s="4">
        <v>0</v>
      </c>
      <c r="T442" s="4">
        <v>4500</v>
      </c>
      <c r="U442" s="4">
        <v>0</v>
      </c>
      <c r="V442" s="1"/>
      <c r="W442" s="5">
        <v>0</v>
      </c>
      <c r="X442" s="5">
        <v>0</v>
      </c>
      <c r="Y442" s="5">
        <v>0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2">
        <v>442</v>
      </c>
      <c r="B443" s="1" t="s">
        <v>756</v>
      </c>
      <c r="C443" s="1"/>
      <c r="D443" s="3">
        <v>45727</v>
      </c>
      <c r="E443" s="3">
        <v>45689</v>
      </c>
      <c r="F443" s="3">
        <v>45961</v>
      </c>
      <c r="G443" s="1" t="s">
        <v>27</v>
      </c>
      <c r="H443" s="1" t="s">
        <v>417</v>
      </c>
      <c r="I443" s="1" t="s">
        <v>29</v>
      </c>
      <c r="J443" s="1" t="s">
        <v>30</v>
      </c>
      <c r="K443" s="1" t="s">
        <v>31</v>
      </c>
      <c r="L443" s="4">
        <v>100</v>
      </c>
      <c r="M443" s="1" t="s">
        <v>32</v>
      </c>
      <c r="N443" s="1"/>
      <c r="O443" s="4">
        <v>3621</v>
      </c>
      <c r="P443" s="4">
        <v>36</v>
      </c>
      <c r="Q443" s="4">
        <v>543</v>
      </c>
      <c r="R443" s="4">
        <v>0</v>
      </c>
      <c r="S443" s="4">
        <v>0</v>
      </c>
      <c r="T443" s="4">
        <v>4200</v>
      </c>
      <c r="U443" s="4">
        <v>0</v>
      </c>
      <c r="V443" s="1"/>
      <c r="W443" s="5">
        <v>0</v>
      </c>
      <c r="X443" s="5">
        <v>0</v>
      </c>
      <c r="Y443" s="5">
        <v>0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2">
        <v>443</v>
      </c>
      <c r="B444" s="1" t="s">
        <v>757</v>
      </c>
      <c r="C444" s="1"/>
      <c r="D444" s="3">
        <v>45727</v>
      </c>
      <c r="E444" s="3">
        <v>45689</v>
      </c>
      <c r="F444" s="3">
        <v>45961</v>
      </c>
      <c r="G444" s="1" t="s">
        <v>27</v>
      </c>
      <c r="H444" s="1" t="s">
        <v>419</v>
      </c>
      <c r="I444" s="1" t="s">
        <v>29</v>
      </c>
      <c r="J444" s="1" t="s">
        <v>30</v>
      </c>
      <c r="K444" s="1" t="s">
        <v>31</v>
      </c>
      <c r="L444" s="4">
        <v>100</v>
      </c>
      <c r="M444" s="1" t="s">
        <v>32</v>
      </c>
      <c r="N444" s="1"/>
      <c r="O444" s="4">
        <v>3621</v>
      </c>
      <c r="P444" s="4">
        <v>36</v>
      </c>
      <c r="Q444" s="4">
        <v>543</v>
      </c>
      <c r="R444" s="4">
        <v>0</v>
      </c>
      <c r="S444" s="4">
        <v>0</v>
      </c>
      <c r="T444" s="4">
        <v>4200</v>
      </c>
      <c r="U444" s="4">
        <v>0</v>
      </c>
      <c r="V444" s="1"/>
      <c r="W444" s="5">
        <v>0</v>
      </c>
      <c r="X444" s="5">
        <v>0</v>
      </c>
      <c r="Y444" s="5">
        <v>0</v>
      </c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2">
        <v>444</v>
      </c>
      <c r="B445" s="1" t="s">
        <v>758</v>
      </c>
      <c r="C445" s="1"/>
      <c r="D445" s="3">
        <v>45727</v>
      </c>
      <c r="E445" s="3">
        <v>45689</v>
      </c>
      <c r="F445" s="3">
        <v>45961</v>
      </c>
      <c r="G445" s="1" t="s">
        <v>27</v>
      </c>
      <c r="H445" s="1" t="s">
        <v>421</v>
      </c>
      <c r="I445" s="1" t="s">
        <v>29</v>
      </c>
      <c r="J445" s="1" t="s">
        <v>30</v>
      </c>
      <c r="K445" s="1" t="s">
        <v>31</v>
      </c>
      <c r="L445" s="4">
        <v>100</v>
      </c>
      <c r="M445" s="1" t="s">
        <v>32</v>
      </c>
      <c r="N445" s="1"/>
      <c r="O445" s="4">
        <v>3621</v>
      </c>
      <c r="P445" s="4">
        <v>36</v>
      </c>
      <c r="Q445" s="4">
        <v>543</v>
      </c>
      <c r="R445" s="4">
        <v>0</v>
      </c>
      <c r="S445" s="4">
        <v>0</v>
      </c>
      <c r="T445" s="4">
        <v>4200</v>
      </c>
      <c r="U445" s="4">
        <v>0</v>
      </c>
      <c r="V445" s="1"/>
      <c r="W445" s="5">
        <v>0</v>
      </c>
      <c r="X445" s="5">
        <v>0</v>
      </c>
      <c r="Y445" s="5">
        <v>0</v>
      </c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2">
        <v>445</v>
      </c>
      <c r="B446" s="1" t="s">
        <v>759</v>
      </c>
      <c r="C446" s="1"/>
      <c r="D446" s="3">
        <v>45727</v>
      </c>
      <c r="E446" s="3">
        <v>45689</v>
      </c>
      <c r="F446" s="3">
        <v>45961</v>
      </c>
      <c r="G446" s="1" t="s">
        <v>27</v>
      </c>
      <c r="H446" s="1" t="s">
        <v>423</v>
      </c>
      <c r="I446" s="1" t="s">
        <v>29</v>
      </c>
      <c r="J446" s="1" t="s">
        <v>30</v>
      </c>
      <c r="K446" s="1" t="s">
        <v>31</v>
      </c>
      <c r="L446" s="4">
        <v>100</v>
      </c>
      <c r="M446" s="1" t="s">
        <v>32</v>
      </c>
      <c r="N446" s="1"/>
      <c r="O446" s="4">
        <v>2845</v>
      </c>
      <c r="P446" s="4">
        <v>28</v>
      </c>
      <c r="Q446" s="4">
        <v>427</v>
      </c>
      <c r="R446" s="4">
        <v>0</v>
      </c>
      <c r="S446" s="4">
        <v>0</v>
      </c>
      <c r="T446" s="4">
        <v>3300</v>
      </c>
      <c r="U446" s="4">
        <v>0</v>
      </c>
      <c r="V446" s="1"/>
      <c r="W446" s="5">
        <v>0</v>
      </c>
      <c r="X446" s="5">
        <v>0</v>
      </c>
      <c r="Y446" s="5">
        <v>0</v>
      </c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2">
        <v>446</v>
      </c>
      <c r="B447" s="1" t="s">
        <v>760</v>
      </c>
      <c r="C447" s="1"/>
      <c r="D447" s="3">
        <v>45727</v>
      </c>
      <c r="E447" s="3">
        <v>45689</v>
      </c>
      <c r="F447" s="3">
        <v>45961</v>
      </c>
      <c r="G447" s="1" t="s">
        <v>27</v>
      </c>
      <c r="H447" s="1" t="s">
        <v>761</v>
      </c>
      <c r="I447" s="1" t="s">
        <v>29</v>
      </c>
      <c r="J447" s="1" t="s">
        <v>30</v>
      </c>
      <c r="K447" s="1" t="s">
        <v>31</v>
      </c>
      <c r="L447" s="4">
        <v>100</v>
      </c>
      <c r="M447" s="1" t="s">
        <v>32</v>
      </c>
      <c r="N447" s="1"/>
      <c r="O447" s="4">
        <v>3621</v>
      </c>
      <c r="P447" s="4">
        <v>36</v>
      </c>
      <c r="Q447" s="4">
        <v>543</v>
      </c>
      <c r="R447" s="4">
        <v>0</v>
      </c>
      <c r="S447" s="4">
        <v>0</v>
      </c>
      <c r="T447" s="4">
        <v>4200</v>
      </c>
      <c r="U447" s="4">
        <v>0</v>
      </c>
      <c r="V447" s="1"/>
      <c r="W447" s="5">
        <v>0</v>
      </c>
      <c r="X447" s="5">
        <v>0</v>
      </c>
      <c r="Y447" s="5">
        <v>0</v>
      </c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2">
        <v>447</v>
      </c>
      <c r="B448" s="1" t="s">
        <v>762</v>
      </c>
      <c r="C448" s="1"/>
      <c r="D448" s="3">
        <v>45727</v>
      </c>
      <c r="E448" s="3">
        <v>45689</v>
      </c>
      <c r="F448" s="3">
        <v>45961</v>
      </c>
      <c r="G448" s="1" t="s">
        <v>27</v>
      </c>
      <c r="H448" s="1" t="s">
        <v>425</v>
      </c>
      <c r="I448" s="1" t="s">
        <v>29</v>
      </c>
      <c r="J448" s="1" t="s">
        <v>30</v>
      </c>
      <c r="K448" s="1" t="s">
        <v>31</v>
      </c>
      <c r="L448" s="4">
        <v>100</v>
      </c>
      <c r="M448" s="1" t="s">
        <v>32</v>
      </c>
      <c r="N448" s="1"/>
      <c r="O448" s="4">
        <v>5431</v>
      </c>
      <c r="P448" s="4">
        <v>54</v>
      </c>
      <c r="Q448" s="4">
        <v>815</v>
      </c>
      <c r="R448" s="4">
        <v>0</v>
      </c>
      <c r="S448" s="4">
        <v>0</v>
      </c>
      <c r="T448" s="4">
        <v>6300</v>
      </c>
      <c r="U448" s="4">
        <v>0</v>
      </c>
      <c r="V448" s="1"/>
      <c r="W448" s="5">
        <v>0</v>
      </c>
      <c r="X448" s="5">
        <v>0</v>
      </c>
      <c r="Y448" s="5">
        <v>0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2">
        <v>448</v>
      </c>
      <c r="B449" s="1" t="s">
        <v>763</v>
      </c>
      <c r="C449" s="1"/>
      <c r="D449" s="3">
        <v>45727</v>
      </c>
      <c r="E449" s="3">
        <v>45689</v>
      </c>
      <c r="F449" s="3">
        <v>45961</v>
      </c>
      <c r="G449" s="1" t="s">
        <v>27</v>
      </c>
      <c r="H449" s="1" t="s">
        <v>427</v>
      </c>
      <c r="I449" s="1" t="s">
        <v>29</v>
      </c>
      <c r="J449" s="1" t="s">
        <v>30</v>
      </c>
      <c r="K449" s="1" t="s">
        <v>31</v>
      </c>
      <c r="L449" s="4">
        <v>100</v>
      </c>
      <c r="M449" s="1" t="s">
        <v>32</v>
      </c>
      <c r="N449" s="1"/>
      <c r="O449" s="4">
        <v>2716</v>
      </c>
      <c r="P449" s="4">
        <v>27</v>
      </c>
      <c r="Q449" s="4">
        <v>407</v>
      </c>
      <c r="R449" s="4">
        <v>0</v>
      </c>
      <c r="S449" s="4">
        <v>0</v>
      </c>
      <c r="T449" s="4">
        <v>3150</v>
      </c>
      <c r="U449" s="4">
        <v>0</v>
      </c>
      <c r="V449" s="1"/>
      <c r="W449" s="5">
        <v>0</v>
      </c>
      <c r="X449" s="5">
        <v>0</v>
      </c>
      <c r="Y449" s="5">
        <v>0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2">
        <v>449</v>
      </c>
      <c r="B450" s="1" t="s">
        <v>764</v>
      </c>
      <c r="C450" s="1"/>
      <c r="D450" s="3">
        <v>45727</v>
      </c>
      <c r="E450" s="3">
        <v>45689</v>
      </c>
      <c r="F450" s="3">
        <v>45961</v>
      </c>
      <c r="G450" s="1" t="s">
        <v>27</v>
      </c>
      <c r="H450" s="1" t="s">
        <v>429</v>
      </c>
      <c r="I450" s="1" t="s">
        <v>29</v>
      </c>
      <c r="J450" s="1" t="s">
        <v>30</v>
      </c>
      <c r="K450" s="1" t="s">
        <v>31</v>
      </c>
      <c r="L450" s="4">
        <v>100</v>
      </c>
      <c r="M450" s="1" t="s">
        <v>32</v>
      </c>
      <c r="N450" s="1"/>
      <c r="O450" s="4">
        <v>2069</v>
      </c>
      <c r="P450" s="4">
        <v>21</v>
      </c>
      <c r="Q450" s="4">
        <v>310</v>
      </c>
      <c r="R450" s="4">
        <v>0</v>
      </c>
      <c r="S450" s="4">
        <v>0</v>
      </c>
      <c r="T450" s="4">
        <v>2400</v>
      </c>
      <c r="U450" s="4">
        <v>0</v>
      </c>
      <c r="V450" s="1"/>
      <c r="W450" s="5">
        <v>0</v>
      </c>
      <c r="X450" s="5">
        <v>0</v>
      </c>
      <c r="Y450" s="5">
        <v>0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2">
        <v>450</v>
      </c>
      <c r="B451" s="1" t="s">
        <v>765</v>
      </c>
      <c r="C451" s="1"/>
      <c r="D451" s="3">
        <v>45727</v>
      </c>
      <c r="E451" s="3">
        <v>45689</v>
      </c>
      <c r="F451" s="3">
        <v>45961</v>
      </c>
      <c r="G451" s="1" t="s">
        <v>27</v>
      </c>
      <c r="H451" s="1" t="s">
        <v>431</v>
      </c>
      <c r="I451" s="1" t="s">
        <v>29</v>
      </c>
      <c r="J451" s="1" t="s">
        <v>30</v>
      </c>
      <c r="K451" s="1" t="s">
        <v>31</v>
      </c>
      <c r="L451" s="4">
        <v>100</v>
      </c>
      <c r="M451" s="1" t="s">
        <v>32</v>
      </c>
      <c r="N451" s="1"/>
      <c r="O451" s="4">
        <v>1940</v>
      </c>
      <c r="P451" s="4">
        <v>19</v>
      </c>
      <c r="Q451" s="4">
        <v>291</v>
      </c>
      <c r="R451" s="4">
        <v>0</v>
      </c>
      <c r="S451" s="4">
        <v>0</v>
      </c>
      <c r="T451" s="4">
        <v>2250</v>
      </c>
      <c r="U451" s="4">
        <v>0</v>
      </c>
      <c r="V451" s="1"/>
      <c r="W451" s="5">
        <v>0</v>
      </c>
      <c r="X451" s="5">
        <v>0</v>
      </c>
      <c r="Y451" s="5">
        <v>0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2">
        <v>451</v>
      </c>
      <c r="B452" s="1" t="s">
        <v>766</v>
      </c>
      <c r="C452" s="1"/>
      <c r="D452" s="3">
        <v>45727</v>
      </c>
      <c r="E452" s="3">
        <v>45689</v>
      </c>
      <c r="F452" s="3">
        <v>45961</v>
      </c>
      <c r="G452" s="1" t="s">
        <v>27</v>
      </c>
      <c r="H452" s="1" t="s">
        <v>433</v>
      </c>
      <c r="I452" s="1" t="s">
        <v>29</v>
      </c>
      <c r="J452" s="1" t="s">
        <v>30</v>
      </c>
      <c r="K452" s="1" t="s">
        <v>31</v>
      </c>
      <c r="L452" s="4">
        <v>100</v>
      </c>
      <c r="M452" s="1" t="s">
        <v>32</v>
      </c>
      <c r="N452" s="1"/>
      <c r="O452" s="4">
        <v>4526</v>
      </c>
      <c r="P452" s="4">
        <v>45</v>
      </c>
      <c r="Q452" s="4">
        <v>679</v>
      </c>
      <c r="R452" s="4">
        <v>0</v>
      </c>
      <c r="S452" s="4">
        <v>0</v>
      </c>
      <c r="T452" s="4">
        <v>5250</v>
      </c>
      <c r="U452" s="4">
        <v>0</v>
      </c>
      <c r="V452" s="1"/>
      <c r="W452" s="5">
        <v>0</v>
      </c>
      <c r="X452" s="5">
        <v>0</v>
      </c>
      <c r="Y452" s="5">
        <v>0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2">
        <v>452</v>
      </c>
      <c r="B453" s="1" t="s">
        <v>767</v>
      </c>
      <c r="C453" s="1"/>
      <c r="D453" s="3">
        <v>45727</v>
      </c>
      <c r="E453" s="3">
        <v>45689</v>
      </c>
      <c r="F453" s="3">
        <v>45961</v>
      </c>
      <c r="G453" s="1" t="s">
        <v>27</v>
      </c>
      <c r="H453" s="1" t="s">
        <v>447</v>
      </c>
      <c r="I453" s="1" t="s">
        <v>29</v>
      </c>
      <c r="J453" s="1" t="s">
        <v>30</v>
      </c>
      <c r="K453" s="1" t="s">
        <v>31</v>
      </c>
      <c r="L453" s="4">
        <v>100</v>
      </c>
      <c r="M453" s="1" t="s">
        <v>32</v>
      </c>
      <c r="N453" s="1"/>
      <c r="O453" s="4">
        <v>3879</v>
      </c>
      <c r="P453" s="4">
        <v>39</v>
      </c>
      <c r="Q453" s="4">
        <v>582</v>
      </c>
      <c r="R453" s="4">
        <v>0</v>
      </c>
      <c r="S453" s="4">
        <v>0</v>
      </c>
      <c r="T453" s="4">
        <v>4500</v>
      </c>
      <c r="U453" s="4">
        <v>0</v>
      </c>
      <c r="V453" s="1"/>
      <c r="W453" s="5">
        <v>0</v>
      </c>
      <c r="X453" s="5">
        <v>0</v>
      </c>
      <c r="Y453" s="5">
        <v>0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2">
        <v>453</v>
      </c>
      <c r="B454" s="1" t="s">
        <v>768</v>
      </c>
      <c r="C454" s="1"/>
      <c r="D454" s="3">
        <v>45727</v>
      </c>
      <c r="E454" s="3">
        <v>45689</v>
      </c>
      <c r="F454" s="3">
        <v>45961</v>
      </c>
      <c r="G454" s="1" t="s">
        <v>27</v>
      </c>
      <c r="H454" s="1" t="s">
        <v>449</v>
      </c>
      <c r="I454" s="1" t="s">
        <v>29</v>
      </c>
      <c r="J454" s="1" t="s">
        <v>30</v>
      </c>
      <c r="K454" s="1" t="s">
        <v>31</v>
      </c>
      <c r="L454" s="4">
        <v>100</v>
      </c>
      <c r="M454" s="1" t="s">
        <v>32</v>
      </c>
      <c r="N454" s="1"/>
      <c r="O454" s="4">
        <v>3879</v>
      </c>
      <c r="P454" s="4">
        <v>39</v>
      </c>
      <c r="Q454" s="4">
        <v>582</v>
      </c>
      <c r="R454" s="4">
        <v>0</v>
      </c>
      <c r="S454" s="4">
        <v>0</v>
      </c>
      <c r="T454" s="4">
        <v>4500</v>
      </c>
      <c r="U454" s="4">
        <v>0</v>
      </c>
      <c r="V454" s="1"/>
      <c r="W454" s="5">
        <v>0</v>
      </c>
      <c r="X454" s="5">
        <v>0</v>
      </c>
      <c r="Y454" s="5">
        <v>0</v>
      </c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2">
        <v>454</v>
      </c>
      <c r="B455" s="1" t="s">
        <v>769</v>
      </c>
      <c r="C455" s="1"/>
      <c r="D455" s="3">
        <v>45727</v>
      </c>
      <c r="E455" s="3">
        <v>45689</v>
      </c>
      <c r="F455" s="3">
        <v>45961</v>
      </c>
      <c r="G455" s="1" t="s">
        <v>27</v>
      </c>
      <c r="H455" s="1" t="s">
        <v>453</v>
      </c>
      <c r="I455" s="1" t="s">
        <v>29</v>
      </c>
      <c r="J455" s="1" t="s">
        <v>30</v>
      </c>
      <c r="K455" s="1" t="s">
        <v>31</v>
      </c>
      <c r="L455" s="4">
        <v>100</v>
      </c>
      <c r="M455" s="1" t="s">
        <v>32</v>
      </c>
      <c r="N455" s="1"/>
      <c r="O455" s="4">
        <v>388</v>
      </c>
      <c r="P455" s="4">
        <v>4</v>
      </c>
      <c r="Q455" s="4">
        <v>58</v>
      </c>
      <c r="R455" s="4">
        <v>0</v>
      </c>
      <c r="S455" s="4">
        <v>0</v>
      </c>
      <c r="T455" s="4">
        <v>450</v>
      </c>
      <c r="U455" s="4">
        <v>0</v>
      </c>
      <c r="V455" s="1"/>
      <c r="W455" s="5">
        <v>0</v>
      </c>
      <c r="X455" s="5">
        <v>0</v>
      </c>
      <c r="Y455" s="5">
        <v>0</v>
      </c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2">
        <v>455</v>
      </c>
      <c r="B456" s="1" t="s">
        <v>770</v>
      </c>
      <c r="C456" s="1"/>
      <c r="D456" s="3">
        <v>45727</v>
      </c>
      <c r="E456" s="3">
        <v>45689</v>
      </c>
      <c r="F456" s="3">
        <v>45961</v>
      </c>
      <c r="G456" s="1" t="s">
        <v>27</v>
      </c>
      <c r="H456" s="1" t="s">
        <v>459</v>
      </c>
      <c r="I456" s="1" t="s">
        <v>29</v>
      </c>
      <c r="J456" s="1" t="s">
        <v>30</v>
      </c>
      <c r="K456" s="1" t="s">
        <v>31</v>
      </c>
      <c r="L456" s="4">
        <v>100</v>
      </c>
      <c r="M456" s="1" t="s">
        <v>32</v>
      </c>
      <c r="N456" s="1"/>
      <c r="O456" s="4">
        <v>15517</v>
      </c>
      <c r="P456" s="4">
        <v>155</v>
      </c>
      <c r="Q456" s="4">
        <v>2328</v>
      </c>
      <c r="R456" s="4">
        <v>0</v>
      </c>
      <c r="S456" s="4">
        <v>0</v>
      </c>
      <c r="T456" s="4">
        <v>18000</v>
      </c>
      <c r="U456" s="4">
        <v>0</v>
      </c>
      <c r="V456" s="1"/>
      <c r="W456" s="5">
        <v>0</v>
      </c>
      <c r="X456" s="5">
        <v>0</v>
      </c>
      <c r="Y456" s="5">
        <v>0</v>
      </c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2">
        <v>456</v>
      </c>
      <c r="B457" s="1" t="s">
        <v>771</v>
      </c>
      <c r="C457" s="1"/>
      <c r="D457" s="3">
        <v>45727</v>
      </c>
      <c r="E457" s="3">
        <v>45689</v>
      </c>
      <c r="F457" s="3">
        <v>45961</v>
      </c>
      <c r="G457" s="1" t="s">
        <v>27</v>
      </c>
      <c r="H457" s="1" t="s">
        <v>461</v>
      </c>
      <c r="I457" s="1" t="s">
        <v>29</v>
      </c>
      <c r="J457" s="1" t="s">
        <v>30</v>
      </c>
      <c r="K457" s="1" t="s">
        <v>31</v>
      </c>
      <c r="L457" s="4">
        <v>100</v>
      </c>
      <c r="M457" s="1" t="s">
        <v>32</v>
      </c>
      <c r="N457" s="1"/>
      <c r="O457" s="4">
        <v>4784</v>
      </c>
      <c r="P457" s="4">
        <v>48</v>
      </c>
      <c r="Q457" s="4">
        <v>718</v>
      </c>
      <c r="R457" s="4">
        <v>0</v>
      </c>
      <c r="S457" s="4">
        <v>0</v>
      </c>
      <c r="T457" s="4">
        <v>5550</v>
      </c>
      <c r="U457" s="4">
        <v>0</v>
      </c>
      <c r="V457" s="1"/>
      <c r="W457" s="5">
        <v>0</v>
      </c>
      <c r="X457" s="5">
        <v>0</v>
      </c>
      <c r="Y457" s="5">
        <v>0</v>
      </c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2">
        <v>457</v>
      </c>
      <c r="B458" s="1" t="s">
        <v>772</v>
      </c>
      <c r="C458" s="1"/>
      <c r="D458" s="3">
        <v>45727</v>
      </c>
      <c r="E458" s="3">
        <v>45689</v>
      </c>
      <c r="F458" s="3">
        <v>45961</v>
      </c>
      <c r="G458" s="1" t="s">
        <v>27</v>
      </c>
      <c r="H458" s="1" t="s">
        <v>463</v>
      </c>
      <c r="I458" s="1" t="s">
        <v>29</v>
      </c>
      <c r="J458" s="1" t="s">
        <v>30</v>
      </c>
      <c r="K458" s="1" t="s">
        <v>31</v>
      </c>
      <c r="L458" s="4">
        <v>100</v>
      </c>
      <c r="M458" s="1" t="s">
        <v>32</v>
      </c>
      <c r="N458" s="1"/>
      <c r="O458" s="4">
        <v>3879</v>
      </c>
      <c r="P458" s="4">
        <v>39</v>
      </c>
      <c r="Q458" s="4">
        <v>582</v>
      </c>
      <c r="R458" s="4">
        <v>0</v>
      </c>
      <c r="S458" s="4">
        <v>0</v>
      </c>
      <c r="T458" s="4">
        <v>4500</v>
      </c>
      <c r="U458" s="4">
        <v>0</v>
      </c>
      <c r="V458" s="1"/>
      <c r="W458" s="5">
        <v>0</v>
      </c>
      <c r="X458" s="5">
        <v>0</v>
      </c>
      <c r="Y458" s="5">
        <v>0</v>
      </c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2">
        <v>458</v>
      </c>
      <c r="B459" s="1" t="s">
        <v>773</v>
      </c>
      <c r="C459" s="1"/>
      <c r="D459" s="3">
        <v>45727</v>
      </c>
      <c r="E459" s="3">
        <v>45689</v>
      </c>
      <c r="F459" s="3">
        <v>45961</v>
      </c>
      <c r="G459" s="1" t="s">
        <v>27</v>
      </c>
      <c r="H459" s="1" t="s">
        <v>449</v>
      </c>
      <c r="I459" s="1" t="s">
        <v>29</v>
      </c>
      <c r="J459" s="1" t="s">
        <v>30</v>
      </c>
      <c r="K459" s="1" t="s">
        <v>31</v>
      </c>
      <c r="L459" s="4">
        <v>100</v>
      </c>
      <c r="M459" s="1" t="s">
        <v>32</v>
      </c>
      <c r="N459" s="1"/>
      <c r="O459" s="4">
        <v>4267</v>
      </c>
      <c r="P459" s="4">
        <v>43</v>
      </c>
      <c r="Q459" s="4">
        <v>640</v>
      </c>
      <c r="R459" s="4">
        <v>0</v>
      </c>
      <c r="S459" s="4">
        <v>0</v>
      </c>
      <c r="T459" s="4">
        <v>4950</v>
      </c>
      <c r="U459" s="4">
        <v>0</v>
      </c>
      <c r="V459" s="1"/>
      <c r="W459" s="5">
        <v>0</v>
      </c>
      <c r="X459" s="5">
        <v>0</v>
      </c>
      <c r="Y459" s="5">
        <v>0</v>
      </c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2">
        <v>459</v>
      </c>
      <c r="B460" s="1" t="s">
        <v>774</v>
      </c>
      <c r="C460" s="1"/>
      <c r="D460" s="3">
        <v>45727</v>
      </c>
      <c r="E460" s="3">
        <v>45689</v>
      </c>
      <c r="F460" s="3">
        <v>45961</v>
      </c>
      <c r="G460" s="1" t="s">
        <v>27</v>
      </c>
      <c r="H460" s="1" t="s">
        <v>250</v>
      </c>
      <c r="I460" s="1" t="s">
        <v>29</v>
      </c>
      <c r="J460" s="1" t="s">
        <v>30</v>
      </c>
      <c r="K460" s="1" t="s">
        <v>31</v>
      </c>
      <c r="L460" s="4">
        <v>100</v>
      </c>
      <c r="M460" s="1" t="s">
        <v>32</v>
      </c>
      <c r="N460" s="1"/>
      <c r="O460" s="4">
        <v>3750</v>
      </c>
      <c r="P460" s="4">
        <v>38</v>
      </c>
      <c r="Q460" s="4">
        <v>563</v>
      </c>
      <c r="R460" s="4">
        <v>0</v>
      </c>
      <c r="S460" s="4">
        <v>0</v>
      </c>
      <c r="T460" s="4">
        <v>4351</v>
      </c>
      <c r="U460" s="4">
        <v>0</v>
      </c>
      <c r="V460" s="1"/>
      <c r="W460" s="5">
        <v>0</v>
      </c>
      <c r="X460" s="5">
        <v>0</v>
      </c>
      <c r="Y460" s="5">
        <v>0</v>
      </c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2">
        <v>460</v>
      </c>
      <c r="B461" s="1" t="s">
        <v>775</v>
      </c>
      <c r="C461" s="1"/>
      <c r="D461" s="3">
        <v>45727</v>
      </c>
      <c r="E461" s="3">
        <v>45689</v>
      </c>
      <c r="F461" s="3">
        <v>45961</v>
      </c>
      <c r="G461" s="1" t="s">
        <v>27</v>
      </c>
      <c r="H461" s="1" t="s">
        <v>467</v>
      </c>
      <c r="I461" s="1" t="s">
        <v>29</v>
      </c>
      <c r="J461" s="1" t="s">
        <v>30</v>
      </c>
      <c r="K461" s="1" t="s">
        <v>31</v>
      </c>
      <c r="L461" s="4">
        <v>100</v>
      </c>
      <c r="M461" s="1" t="s">
        <v>32</v>
      </c>
      <c r="N461" s="1"/>
      <c r="O461" s="4">
        <v>4397</v>
      </c>
      <c r="P461" s="4">
        <v>44</v>
      </c>
      <c r="Q461" s="4">
        <v>660</v>
      </c>
      <c r="R461" s="4">
        <v>0</v>
      </c>
      <c r="S461" s="4">
        <v>0</v>
      </c>
      <c r="T461" s="4">
        <v>5101</v>
      </c>
      <c r="U461" s="4">
        <v>0</v>
      </c>
      <c r="V461" s="1"/>
      <c r="W461" s="5">
        <v>0</v>
      </c>
      <c r="X461" s="5">
        <v>0</v>
      </c>
      <c r="Y461" s="5">
        <v>0</v>
      </c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2">
        <v>461</v>
      </c>
      <c r="B462" s="1" t="s">
        <v>776</v>
      </c>
      <c r="C462" s="1"/>
      <c r="D462" s="3">
        <v>45727</v>
      </c>
      <c r="E462" s="3">
        <v>45689</v>
      </c>
      <c r="F462" s="3">
        <v>45961</v>
      </c>
      <c r="G462" s="1" t="s">
        <v>27</v>
      </c>
      <c r="H462" s="1" t="s">
        <v>469</v>
      </c>
      <c r="I462" s="1" t="s">
        <v>29</v>
      </c>
      <c r="J462" s="1" t="s">
        <v>30</v>
      </c>
      <c r="K462" s="1" t="s">
        <v>31</v>
      </c>
      <c r="L462" s="4">
        <v>100</v>
      </c>
      <c r="M462" s="1" t="s">
        <v>32</v>
      </c>
      <c r="N462" s="1"/>
      <c r="O462" s="4">
        <v>3491</v>
      </c>
      <c r="P462" s="4">
        <v>35</v>
      </c>
      <c r="Q462" s="4">
        <v>524</v>
      </c>
      <c r="R462" s="4">
        <v>0</v>
      </c>
      <c r="S462" s="4">
        <v>0</v>
      </c>
      <c r="T462" s="4">
        <v>4050</v>
      </c>
      <c r="U462" s="4">
        <v>0</v>
      </c>
      <c r="V462" s="1"/>
      <c r="W462" s="5">
        <v>0</v>
      </c>
      <c r="X462" s="5">
        <v>0</v>
      </c>
      <c r="Y462" s="5">
        <v>0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2">
        <v>462</v>
      </c>
      <c r="B463" s="1" t="s">
        <v>777</v>
      </c>
      <c r="C463" s="1"/>
      <c r="D463" s="3">
        <v>45727</v>
      </c>
      <c r="E463" s="3">
        <v>45689</v>
      </c>
      <c r="F463" s="3">
        <v>45961</v>
      </c>
      <c r="G463" s="1" t="s">
        <v>27</v>
      </c>
      <c r="H463" s="1" t="s">
        <v>471</v>
      </c>
      <c r="I463" s="1" t="s">
        <v>29</v>
      </c>
      <c r="J463" s="1" t="s">
        <v>30</v>
      </c>
      <c r="K463" s="1" t="s">
        <v>31</v>
      </c>
      <c r="L463" s="4">
        <v>100</v>
      </c>
      <c r="M463" s="1" t="s">
        <v>32</v>
      </c>
      <c r="N463" s="1"/>
      <c r="O463" s="4">
        <v>3233</v>
      </c>
      <c r="P463" s="4">
        <v>32</v>
      </c>
      <c r="Q463" s="4">
        <v>485</v>
      </c>
      <c r="R463" s="4">
        <v>0</v>
      </c>
      <c r="S463" s="4">
        <v>0</v>
      </c>
      <c r="T463" s="4">
        <v>3750</v>
      </c>
      <c r="U463" s="4">
        <v>0</v>
      </c>
      <c r="V463" s="1"/>
      <c r="W463" s="5">
        <v>0</v>
      </c>
      <c r="X463" s="5">
        <v>0</v>
      </c>
      <c r="Y463" s="5">
        <v>0</v>
      </c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2">
        <v>463</v>
      </c>
      <c r="B464" s="1" t="s">
        <v>778</v>
      </c>
      <c r="C464" s="1"/>
      <c r="D464" s="3">
        <v>45727</v>
      </c>
      <c r="E464" s="3">
        <v>45689</v>
      </c>
      <c r="F464" s="3">
        <v>45961</v>
      </c>
      <c r="G464" s="1" t="s">
        <v>27</v>
      </c>
      <c r="H464" s="1" t="s">
        <v>479</v>
      </c>
      <c r="I464" s="1" t="s">
        <v>29</v>
      </c>
      <c r="J464" s="1" t="s">
        <v>30</v>
      </c>
      <c r="K464" s="1" t="s">
        <v>31</v>
      </c>
      <c r="L464" s="4">
        <v>100</v>
      </c>
      <c r="M464" s="1" t="s">
        <v>32</v>
      </c>
      <c r="N464" s="1"/>
      <c r="O464" s="4">
        <v>3750</v>
      </c>
      <c r="P464" s="4">
        <v>38</v>
      </c>
      <c r="Q464" s="4">
        <v>563</v>
      </c>
      <c r="R464" s="4">
        <v>0</v>
      </c>
      <c r="S464" s="4">
        <v>0</v>
      </c>
      <c r="T464" s="4">
        <v>4351</v>
      </c>
      <c r="U464" s="4">
        <v>0</v>
      </c>
      <c r="V464" s="1"/>
      <c r="W464" s="5">
        <v>0</v>
      </c>
      <c r="X464" s="5">
        <v>0</v>
      </c>
      <c r="Y464" s="5">
        <v>0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2">
        <v>464</v>
      </c>
      <c r="B465" s="1" t="s">
        <v>779</v>
      </c>
      <c r="C465" s="1"/>
      <c r="D465" s="3">
        <v>45727</v>
      </c>
      <c r="E465" s="3">
        <v>45689</v>
      </c>
      <c r="F465" s="3">
        <v>45961</v>
      </c>
      <c r="G465" s="1" t="s">
        <v>27</v>
      </c>
      <c r="H465" s="1" t="s">
        <v>481</v>
      </c>
      <c r="I465" s="1" t="s">
        <v>29</v>
      </c>
      <c r="J465" s="1" t="s">
        <v>30</v>
      </c>
      <c r="K465" s="1" t="s">
        <v>31</v>
      </c>
      <c r="L465" s="4">
        <v>100</v>
      </c>
      <c r="M465" s="1" t="s">
        <v>32</v>
      </c>
      <c r="N465" s="1"/>
      <c r="O465" s="4">
        <v>3233</v>
      </c>
      <c r="P465" s="4">
        <v>32</v>
      </c>
      <c r="Q465" s="4">
        <v>485</v>
      </c>
      <c r="R465" s="4">
        <v>0</v>
      </c>
      <c r="S465" s="4">
        <v>0</v>
      </c>
      <c r="T465" s="4">
        <v>3750</v>
      </c>
      <c r="U465" s="4">
        <v>0</v>
      </c>
      <c r="V465" s="1"/>
      <c r="W465" s="5">
        <v>0</v>
      </c>
      <c r="X465" s="5">
        <v>0</v>
      </c>
      <c r="Y465" s="5">
        <v>0</v>
      </c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2">
        <v>465</v>
      </c>
      <c r="B466" s="1" t="s">
        <v>780</v>
      </c>
      <c r="C466" s="1"/>
      <c r="D466" s="3">
        <v>45727</v>
      </c>
      <c r="E466" s="3">
        <v>45689</v>
      </c>
      <c r="F466" s="3">
        <v>45961</v>
      </c>
      <c r="G466" s="1" t="s">
        <v>27</v>
      </c>
      <c r="H466" s="1" t="s">
        <v>483</v>
      </c>
      <c r="I466" s="1" t="s">
        <v>29</v>
      </c>
      <c r="J466" s="1" t="s">
        <v>30</v>
      </c>
      <c r="K466" s="1" t="s">
        <v>31</v>
      </c>
      <c r="L466" s="4">
        <v>100</v>
      </c>
      <c r="M466" s="1" t="s">
        <v>32</v>
      </c>
      <c r="N466" s="1"/>
      <c r="O466" s="4">
        <v>4267</v>
      </c>
      <c r="P466" s="4">
        <v>43</v>
      </c>
      <c r="Q466" s="4">
        <v>640</v>
      </c>
      <c r="R466" s="4">
        <v>0</v>
      </c>
      <c r="S466" s="4">
        <v>0</v>
      </c>
      <c r="T466" s="4">
        <v>4950</v>
      </c>
      <c r="U466" s="4">
        <v>0</v>
      </c>
      <c r="V466" s="1"/>
      <c r="W466" s="5">
        <v>0</v>
      </c>
      <c r="X466" s="5">
        <v>0</v>
      </c>
      <c r="Y466" s="5">
        <v>0</v>
      </c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2">
        <v>466</v>
      </c>
      <c r="B467" s="1" t="s">
        <v>781</v>
      </c>
      <c r="C467" s="1"/>
      <c r="D467" s="3">
        <v>45727</v>
      </c>
      <c r="E467" s="3">
        <v>45689</v>
      </c>
      <c r="F467" s="3">
        <v>45961</v>
      </c>
      <c r="G467" s="1" t="s">
        <v>27</v>
      </c>
      <c r="H467" s="1" t="s">
        <v>485</v>
      </c>
      <c r="I467" s="1" t="s">
        <v>29</v>
      </c>
      <c r="J467" s="1" t="s">
        <v>30</v>
      </c>
      <c r="K467" s="1" t="s">
        <v>31</v>
      </c>
      <c r="L467" s="4">
        <v>100</v>
      </c>
      <c r="M467" s="1" t="s">
        <v>32</v>
      </c>
      <c r="N467" s="1"/>
      <c r="O467" s="4">
        <v>2586</v>
      </c>
      <c r="P467" s="4">
        <v>26</v>
      </c>
      <c r="Q467" s="4">
        <v>388</v>
      </c>
      <c r="R467" s="4">
        <v>0</v>
      </c>
      <c r="S467" s="4">
        <v>0</v>
      </c>
      <c r="T467" s="4">
        <v>3000</v>
      </c>
      <c r="U467" s="4">
        <v>0</v>
      </c>
      <c r="V467" s="1"/>
      <c r="W467" s="5">
        <v>0</v>
      </c>
      <c r="X467" s="5">
        <v>0</v>
      </c>
      <c r="Y467" s="5">
        <v>0</v>
      </c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2">
        <v>467</v>
      </c>
      <c r="B468" s="1" t="s">
        <v>782</v>
      </c>
      <c r="C468" s="1"/>
      <c r="D468" s="3">
        <v>45727</v>
      </c>
      <c r="E468" s="3">
        <v>45689</v>
      </c>
      <c r="F468" s="3">
        <v>45961</v>
      </c>
      <c r="G468" s="1" t="s">
        <v>27</v>
      </c>
      <c r="H468" s="1" t="s">
        <v>487</v>
      </c>
      <c r="I468" s="1" t="s">
        <v>29</v>
      </c>
      <c r="J468" s="1" t="s">
        <v>30</v>
      </c>
      <c r="K468" s="1" t="s">
        <v>31</v>
      </c>
      <c r="L468" s="4">
        <v>100</v>
      </c>
      <c r="M468" s="1" t="s">
        <v>32</v>
      </c>
      <c r="N468" s="1"/>
      <c r="O468" s="4">
        <v>2328</v>
      </c>
      <c r="P468" s="4">
        <v>23</v>
      </c>
      <c r="Q468" s="4">
        <v>349</v>
      </c>
      <c r="R468" s="4">
        <v>0</v>
      </c>
      <c r="S468" s="4">
        <v>0</v>
      </c>
      <c r="T468" s="4">
        <v>2700</v>
      </c>
      <c r="U468" s="4">
        <v>0</v>
      </c>
      <c r="V468" s="1"/>
      <c r="W468" s="5">
        <v>0</v>
      </c>
      <c r="X468" s="5">
        <v>0</v>
      </c>
      <c r="Y468" s="5">
        <v>0</v>
      </c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2">
        <v>468</v>
      </c>
      <c r="B469" s="1" t="s">
        <v>783</v>
      </c>
      <c r="C469" s="1"/>
      <c r="D469" s="3">
        <v>45727</v>
      </c>
      <c r="E469" s="3">
        <v>45689</v>
      </c>
      <c r="F469" s="3">
        <v>45961</v>
      </c>
      <c r="G469" s="1" t="s">
        <v>27</v>
      </c>
      <c r="H469" s="1" t="s">
        <v>489</v>
      </c>
      <c r="I469" s="1" t="s">
        <v>29</v>
      </c>
      <c r="J469" s="1" t="s">
        <v>30</v>
      </c>
      <c r="K469" s="1" t="s">
        <v>31</v>
      </c>
      <c r="L469" s="4">
        <v>100</v>
      </c>
      <c r="M469" s="1" t="s">
        <v>32</v>
      </c>
      <c r="N469" s="1"/>
      <c r="O469" s="4">
        <v>2974</v>
      </c>
      <c r="P469" s="4">
        <v>30</v>
      </c>
      <c r="Q469" s="4">
        <v>446</v>
      </c>
      <c r="R469" s="4">
        <v>0</v>
      </c>
      <c r="S469" s="4">
        <v>0</v>
      </c>
      <c r="T469" s="4">
        <v>3450</v>
      </c>
      <c r="U469" s="4">
        <v>0</v>
      </c>
      <c r="V469" s="1"/>
      <c r="W469" s="5">
        <v>0</v>
      </c>
      <c r="X469" s="5">
        <v>0</v>
      </c>
      <c r="Y469" s="5">
        <v>0</v>
      </c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2">
        <v>469</v>
      </c>
      <c r="B470" s="1" t="s">
        <v>784</v>
      </c>
      <c r="C470" s="1"/>
      <c r="D470" s="3">
        <v>45727</v>
      </c>
      <c r="E470" s="3">
        <v>45689</v>
      </c>
      <c r="F470" s="3">
        <v>45961</v>
      </c>
      <c r="G470" s="1" t="s">
        <v>27</v>
      </c>
      <c r="H470" s="1" t="s">
        <v>491</v>
      </c>
      <c r="I470" s="1" t="s">
        <v>29</v>
      </c>
      <c r="J470" s="1" t="s">
        <v>30</v>
      </c>
      <c r="K470" s="1" t="s">
        <v>31</v>
      </c>
      <c r="L470" s="4">
        <v>100</v>
      </c>
      <c r="M470" s="1" t="s">
        <v>32</v>
      </c>
      <c r="N470" s="1"/>
      <c r="O470" s="4">
        <v>2198</v>
      </c>
      <c r="P470" s="4">
        <v>22</v>
      </c>
      <c r="Q470" s="4">
        <v>330</v>
      </c>
      <c r="R470" s="4">
        <v>0</v>
      </c>
      <c r="S470" s="4">
        <v>0</v>
      </c>
      <c r="T470" s="4">
        <v>2550</v>
      </c>
      <c r="U470" s="4">
        <v>0</v>
      </c>
      <c r="V470" s="1"/>
      <c r="W470" s="5">
        <v>0</v>
      </c>
      <c r="X470" s="5">
        <v>0</v>
      </c>
      <c r="Y470" s="5">
        <v>0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2">
        <v>470</v>
      </c>
      <c r="B471" s="1" t="s">
        <v>785</v>
      </c>
      <c r="C471" s="1"/>
      <c r="D471" s="3">
        <v>45727</v>
      </c>
      <c r="E471" s="3">
        <v>45689</v>
      </c>
      <c r="F471" s="3">
        <v>45961</v>
      </c>
      <c r="G471" s="1" t="s">
        <v>27</v>
      </c>
      <c r="H471" s="1" t="s">
        <v>493</v>
      </c>
      <c r="I471" s="1" t="s">
        <v>29</v>
      </c>
      <c r="J471" s="1" t="s">
        <v>30</v>
      </c>
      <c r="K471" s="1" t="s">
        <v>31</v>
      </c>
      <c r="L471" s="4">
        <v>100</v>
      </c>
      <c r="M471" s="1" t="s">
        <v>32</v>
      </c>
      <c r="N471" s="1"/>
      <c r="O471" s="4">
        <v>5302</v>
      </c>
      <c r="P471" s="4">
        <v>53</v>
      </c>
      <c r="Q471" s="4">
        <v>795</v>
      </c>
      <c r="R471" s="4">
        <v>0</v>
      </c>
      <c r="S471" s="4">
        <v>0</v>
      </c>
      <c r="T471" s="4">
        <v>6150</v>
      </c>
      <c r="U471" s="4">
        <v>0</v>
      </c>
      <c r="V471" s="1"/>
      <c r="W471" s="5">
        <v>0</v>
      </c>
      <c r="X471" s="5">
        <v>0</v>
      </c>
      <c r="Y471" s="5">
        <v>0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2">
        <v>471</v>
      </c>
      <c r="B472" s="1" t="s">
        <v>786</v>
      </c>
      <c r="C472" s="1"/>
      <c r="D472" s="3">
        <v>45727</v>
      </c>
      <c r="E472" s="3">
        <v>45689</v>
      </c>
      <c r="F472" s="3">
        <v>45961</v>
      </c>
      <c r="G472" s="1" t="s">
        <v>27</v>
      </c>
      <c r="H472" s="1" t="s">
        <v>497</v>
      </c>
      <c r="I472" s="1" t="s">
        <v>29</v>
      </c>
      <c r="J472" s="1" t="s">
        <v>30</v>
      </c>
      <c r="K472" s="1" t="s">
        <v>31</v>
      </c>
      <c r="L472" s="4">
        <v>100</v>
      </c>
      <c r="M472" s="1" t="s">
        <v>32</v>
      </c>
      <c r="N472" s="1"/>
      <c r="O472" s="4">
        <v>5043</v>
      </c>
      <c r="P472" s="4">
        <v>50</v>
      </c>
      <c r="Q472" s="4">
        <v>756</v>
      </c>
      <c r="R472" s="4">
        <v>0</v>
      </c>
      <c r="S472" s="4">
        <v>0</v>
      </c>
      <c r="T472" s="4">
        <v>5849</v>
      </c>
      <c r="U472" s="4">
        <v>0</v>
      </c>
      <c r="V472" s="1"/>
      <c r="W472" s="5">
        <v>0</v>
      </c>
      <c r="X472" s="5">
        <v>0</v>
      </c>
      <c r="Y472" s="5">
        <v>0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2">
        <v>472</v>
      </c>
      <c r="B473" s="1" t="s">
        <v>787</v>
      </c>
      <c r="C473" s="1"/>
      <c r="D473" s="3">
        <v>45727</v>
      </c>
      <c r="E473" s="3">
        <v>45689</v>
      </c>
      <c r="F473" s="3">
        <v>45961</v>
      </c>
      <c r="G473" s="1" t="s">
        <v>27</v>
      </c>
      <c r="H473" s="1" t="s">
        <v>505</v>
      </c>
      <c r="I473" s="1" t="s">
        <v>29</v>
      </c>
      <c r="J473" s="1" t="s">
        <v>30</v>
      </c>
      <c r="K473" s="1" t="s">
        <v>31</v>
      </c>
      <c r="L473" s="4">
        <v>100</v>
      </c>
      <c r="M473" s="1" t="s">
        <v>32</v>
      </c>
      <c r="N473" s="1"/>
      <c r="O473" s="4">
        <v>2198</v>
      </c>
      <c r="P473" s="4">
        <v>22</v>
      </c>
      <c r="Q473" s="4">
        <v>330</v>
      </c>
      <c r="R473" s="4">
        <v>0</v>
      </c>
      <c r="S473" s="4">
        <v>0</v>
      </c>
      <c r="T473" s="4">
        <v>2550</v>
      </c>
      <c r="U473" s="4">
        <v>0</v>
      </c>
      <c r="V473" s="1"/>
      <c r="W473" s="5">
        <v>0</v>
      </c>
      <c r="X473" s="5">
        <v>0</v>
      </c>
      <c r="Y473" s="5">
        <v>0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2">
        <v>473</v>
      </c>
      <c r="B474" s="1" t="s">
        <v>788</v>
      </c>
      <c r="C474" s="1"/>
      <c r="D474" s="3">
        <v>45727</v>
      </c>
      <c r="E474" s="3">
        <v>45689</v>
      </c>
      <c r="F474" s="3">
        <v>45961</v>
      </c>
      <c r="G474" s="1" t="s">
        <v>27</v>
      </c>
      <c r="H474" s="1" t="s">
        <v>509</v>
      </c>
      <c r="I474" s="1" t="s">
        <v>29</v>
      </c>
      <c r="J474" s="1" t="s">
        <v>30</v>
      </c>
      <c r="K474" s="1" t="s">
        <v>31</v>
      </c>
      <c r="L474" s="4">
        <v>100</v>
      </c>
      <c r="M474" s="1" t="s">
        <v>32</v>
      </c>
      <c r="N474" s="1"/>
      <c r="O474" s="4">
        <v>2328</v>
      </c>
      <c r="P474" s="4">
        <v>23</v>
      </c>
      <c r="Q474" s="4">
        <v>349</v>
      </c>
      <c r="R474" s="4">
        <v>0</v>
      </c>
      <c r="S474" s="4">
        <v>0</v>
      </c>
      <c r="T474" s="4">
        <v>2700</v>
      </c>
      <c r="U474" s="4">
        <v>0</v>
      </c>
      <c r="V474" s="1"/>
      <c r="W474" s="5">
        <v>0</v>
      </c>
      <c r="X474" s="5">
        <v>0</v>
      </c>
      <c r="Y474" s="5">
        <v>0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2">
        <v>474</v>
      </c>
      <c r="B475" s="1" t="s">
        <v>789</v>
      </c>
      <c r="C475" s="1"/>
      <c r="D475" s="3">
        <v>45727</v>
      </c>
      <c r="E475" s="3">
        <v>45689</v>
      </c>
      <c r="F475" s="3">
        <v>45961</v>
      </c>
      <c r="G475" s="1" t="s">
        <v>27</v>
      </c>
      <c r="H475" s="1" t="s">
        <v>519</v>
      </c>
      <c r="I475" s="1" t="s">
        <v>29</v>
      </c>
      <c r="J475" s="1" t="s">
        <v>30</v>
      </c>
      <c r="K475" s="1" t="s">
        <v>31</v>
      </c>
      <c r="L475" s="4">
        <v>100</v>
      </c>
      <c r="M475" s="1" t="s">
        <v>32</v>
      </c>
      <c r="N475" s="1"/>
      <c r="O475" s="4">
        <v>2586</v>
      </c>
      <c r="P475" s="4">
        <v>26</v>
      </c>
      <c r="Q475" s="4">
        <v>388</v>
      </c>
      <c r="R475" s="4">
        <v>0</v>
      </c>
      <c r="S475" s="4">
        <v>0</v>
      </c>
      <c r="T475" s="4">
        <v>3000</v>
      </c>
      <c r="U475" s="4">
        <v>0</v>
      </c>
      <c r="V475" s="1"/>
      <c r="W475" s="5">
        <v>0</v>
      </c>
      <c r="X475" s="5">
        <v>0</v>
      </c>
      <c r="Y475" s="5">
        <v>0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2">
        <v>475</v>
      </c>
      <c r="B476" s="1" t="s">
        <v>790</v>
      </c>
      <c r="C476" s="1"/>
      <c r="D476" s="3">
        <v>45727</v>
      </c>
      <c r="E476" s="3">
        <v>45689</v>
      </c>
      <c r="F476" s="3">
        <v>45961</v>
      </c>
      <c r="G476" s="1" t="s">
        <v>27</v>
      </c>
      <c r="H476" s="1" t="s">
        <v>521</v>
      </c>
      <c r="I476" s="1" t="s">
        <v>29</v>
      </c>
      <c r="J476" s="1" t="s">
        <v>30</v>
      </c>
      <c r="K476" s="1" t="s">
        <v>31</v>
      </c>
      <c r="L476" s="4">
        <v>100</v>
      </c>
      <c r="M476" s="1" t="s">
        <v>32</v>
      </c>
      <c r="N476" s="1"/>
      <c r="O476" s="4">
        <v>2716</v>
      </c>
      <c r="P476" s="4">
        <v>27</v>
      </c>
      <c r="Q476" s="4">
        <v>407</v>
      </c>
      <c r="R476" s="4">
        <v>0</v>
      </c>
      <c r="S476" s="4">
        <v>0</v>
      </c>
      <c r="T476" s="4">
        <v>3150</v>
      </c>
      <c r="U476" s="4">
        <v>0</v>
      </c>
      <c r="V476" s="1"/>
      <c r="W476" s="5">
        <v>0</v>
      </c>
      <c r="X476" s="5">
        <v>0</v>
      </c>
      <c r="Y476" s="5">
        <v>0</v>
      </c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2">
        <v>476</v>
      </c>
      <c r="B477" s="1" t="s">
        <v>791</v>
      </c>
      <c r="C477" s="1"/>
      <c r="D477" s="3">
        <v>45727</v>
      </c>
      <c r="E477" s="3">
        <v>45689</v>
      </c>
      <c r="F477" s="3">
        <v>45961</v>
      </c>
      <c r="G477" s="1" t="s">
        <v>27</v>
      </c>
      <c r="H477" s="1" t="s">
        <v>525</v>
      </c>
      <c r="I477" s="1" t="s">
        <v>29</v>
      </c>
      <c r="J477" s="1" t="s">
        <v>30</v>
      </c>
      <c r="K477" s="1" t="s">
        <v>31</v>
      </c>
      <c r="L477" s="4">
        <v>100</v>
      </c>
      <c r="M477" s="1" t="s">
        <v>32</v>
      </c>
      <c r="N477" s="1"/>
      <c r="O477" s="4">
        <v>1422</v>
      </c>
      <c r="P477" s="4">
        <v>14</v>
      </c>
      <c r="Q477" s="4">
        <v>213</v>
      </c>
      <c r="R477" s="4">
        <v>0</v>
      </c>
      <c r="S477" s="4">
        <v>0</v>
      </c>
      <c r="T477" s="4">
        <v>1649</v>
      </c>
      <c r="U477" s="4">
        <v>0</v>
      </c>
      <c r="V477" s="1"/>
      <c r="W477" s="5">
        <v>0</v>
      </c>
      <c r="X477" s="5">
        <v>0</v>
      </c>
      <c r="Y477" s="5">
        <v>0</v>
      </c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2">
        <v>477</v>
      </c>
      <c r="B478" s="1" t="s">
        <v>792</v>
      </c>
      <c r="C478" s="1"/>
      <c r="D478" s="3">
        <v>45727</v>
      </c>
      <c r="E478" s="3">
        <v>45689</v>
      </c>
      <c r="F478" s="3">
        <v>45961</v>
      </c>
      <c r="G478" s="1" t="s">
        <v>27</v>
      </c>
      <c r="H478" s="1" t="s">
        <v>527</v>
      </c>
      <c r="I478" s="1" t="s">
        <v>29</v>
      </c>
      <c r="J478" s="1" t="s">
        <v>30</v>
      </c>
      <c r="K478" s="1" t="s">
        <v>31</v>
      </c>
      <c r="L478" s="4">
        <v>100</v>
      </c>
      <c r="M478" s="1" t="s">
        <v>32</v>
      </c>
      <c r="N478" s="1"/>
      <c r="O478" s="4">
        <v>1810</v>
      </c>
      <c r="P478" s="4">
        <v>18</v>
      </c>
      <c r="Q478" s="4">
        <v>272</v>
      </c>
      <c r="R478" s="4">
        <v>0</v>
      </c>
      <c r="S478" s="4">
        <v>0</v>
      </c>
      <c r="T478" s="4">
        <v>2100</v>
      </c>
      <c r="U478" s="4">
        <v>0</v>
      </c>
      <c r="V478" s="1"/>
      <c r="W478" s="5">
        <v>0</v>
      </c>
      <c r="X478" s="5">
        <v>0</v>
      </c>
      <c r="Y478" s="5">
        <v>0</v>
      </c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2">
        <v>478</v>
      </c>
      <c r="B479" s="1" t="s">
        <v>793</v>
      </c>
      <c r="C479" s="1"/>
      <c r="D479" s="3">
        <v>45727</v>
      </c>
      <c r="E479" s="3">
        <v>45689</v>
      </c>
      <c r="F479" s="3">
        <v>45961</v>
      </c>
      <c r="G479" s="1" t="s">
        <v>27</v>
      </c>
      <c r="H479" s="1" t="s">
        <v>529</v>
      </c>
      <c r="I479" s="1" t="s">
        <v>29</v>
      </c>
      <c r="J479" s="1" t="s">
        <v>30</v>
      </c>
      <c r="K479" s="1" t="s">
        <v>31</v>
      </c>
      <c r="L479" s="4">
        <v>100</v>
      </c>
      <c r="M479" s="1" t="s">
        <v>32</v>
      </c>
      <c r="N479" s="1"/>
      <c r="O479" s="4">
        <v>2716</v>
      </c>
      <c r="P479" s="4">
        <v>27</v>
      </c>
      <c r="Q479" s="4">
        <v>407</v>
      </c>
      <c r="R479" s="4">
        <v>0</v>
      </c>
      <c r="S479" s="4">
        <v>0</v>
      </c>
      <c r="T479" s="4">
        <v>3150</v>
      </c>
      <c r="U479" s="4">
        <v>0</v>
      </c>
      <c r="V479" s="1"/>
      <c r="W479" s="5">
        <v>0</v>
      </c>
      <c r="X479" s="5">
        <v>0</v>
      </c>
      <c r="Y479" s="5">
        <v>0</v>
      </c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2">
        <v>479</v>
      </c>
      <c r="B480" s="1" t="s">
        <v>794</v>
      </c>
      <c r="C480" s="1"/>
      <c r="D480" s="3">
        <v>45727</v>
      </c>
      <c r="E480" s="3">
        <v>45689</v>
      </c>
      <c r="F480" s="3">
        <v>45961</v>
      </c>
      <c r="G480" s="1" t="s">
        <v>27</v>
      </c>
      <c r="H480" s="1" t="s">
        <v>535</v>
      </c>
      <c r="I480" s="1" t="s">
        <v>29</v>
      </c>
      <c r="J480" s="1" t="s">
        <v>30</v>
      </c>
      <c r="K480" s="1" t="s">
        <v>31</v>
      </c>
      <c r="L480" s="4">
        <v>100</v>
      </c>
      <c r="M480" s="1" t="s">
        <v>32</v>
      </c>
      <c r="N480" s="1"/>
      <c r="O480" s="4">
        <v>4009</v>
      </c>
      <c r="P480" s="4">
        <v>40</v>
      </c>
      <c r="Q480" s="4">
        <v>601</v>
      </c>
      <c r="R480" s="4">
        <v>0</v>
      </c>
      <c r="S480" s="4">
        <v>0</v>
      </c>
      <c r="T480" s="4">
        <v>4650</v>
      </c>
      <c r="U480" s="4">
        <v>0</v>
      </c>
      <c r="V480" s="1"/>
      <c r="W480" s="5">
        <v>0</v>
      </c>
      <c r="X480" s="5">
        <v>0</v>
      </c>
      <c r="Y480" s="5">
        <v>0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2">
        <v>480</v>
      </c>
      <c r="B481" s="1" t="s">
        <v>795</v>
      </c>
      <c r="C481" s="1"/>
      <c r="D481" s="3">
        <v>45727</v>
      </c>
      <c r="E481" s="3">
        <v>45689</v>
      </c>
      <c r="F481" s="3">
        <v>45961</v>
      </c>
      <c r="G481" s="1" t="s">
        <v>27</v>
      </c>
      <c r="H481" s="1" t="s">
        <v>537</v>
      </c>
      <c r="I481" s="1" t="s">
        <v>29</v>
      </c>
      <c r="J481" s="1" t="s">
        <v>30</v>
      </c>
      <c r="K481" s="1" t="s">
        <v>31</v>
      </c>
      <c r="L481" s="4">
        <v>100</v>
      </c>
      <c r="M481" s="1" t="s">
        <v>32</v>
      </c>
      <c r="N481" s="1"/>
      <c r="O481" s="4">
        <v>2716</v>
      </c>
      <c r="P481" s="4">
        <v>27</v>
      </c>
      <c r="Q481" s="4">
        <v>407</v>
      </c>
      <c r="R481" s="4">
        <v>0</v>
      </c>
      <c r="S481" s="4">
        <v>0</v>
      </c>
      <c r="T481" s="4">
        <v>3150</v>
      </c>
      <c r="U481" s="4">
        <v>0</v>
      </c>
      <c r="V481" s="1"/>
      <c r="W481" s="5">
        <v>0</v>
      </c>
      <c r="X481" s="5">
        <v>0</v>
      </c>
      <c r="Y481" s="5">
        <v>0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2">
        <v>481</v>
      </c>
      <c r="B482" s="1" t="s">
        <v>796</v>
      </c>
      <c r="C482" s="1"/>
      <c r="D482" s="3">
        <v>45727</v>
      </c>
      <c r="E482" s="3">
        <v>45689</v>
      </c>
      <c r="F482" s="3">
        <v>45961</v>
      </c>
      <c r="G482" s="1" t="s">
        <v>27</v>
      </c>
      <c r="H482" s="1" t="s">
        <v>539</v>
      </c>
      <c r="I482" s="1" t="s">
        <v>29</v>
      </c>
      <c r="J482" s="1" t="s">
        <v>30</v>
      </c>
      <c r="K482" s="1" t="s">
        <v>31</v>
      </c>
      <c r="L482" s="4">
        <v>100</v>
      </c>
      <c r="M482" s="1" t="s">
        <v>32</v>
      </c>
      <c r="N482" s="1"/>
      <c r="O482" s="4">
        <v>2586</v>
      </c>
      <c r="P482" s="4">
        <v>26</v>
      </c>
      <c r="Q482" s="4">
        <v>388</v>
      </c>
      <c r="R482" s="4">
        <v>0</v>
      </c>
      <c r="S482" s="4">
        <v>0</v>
      </c>
      <c r="T482" s="4">
        <v>3000</v>
      </c>
      <c r="U482" s="4">
        <v>0</v>
      </c>
      <c r="V482" s="1"/>
      <c r="W482" s="5">
        <v>0</v>
      </c>
      <c r="X482" s="5">
        <v>0</v>
      </c>
      <c r="Y482" s="5">
        <v>0</v>
      </c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2">
        <v>482</v>
      </c>
      <c r="B483" s="1" t="s">
        <v>797</v>
      </c>
      <c r="C483" s="1"/>
      <c r="D483" s="3">
        <v>45727</v>
      </c>
      <c r="E483" s="3">
        <v>45689</v>
      </c>
      <c r="F483" s="3">
        <v>45961</v>
      </c>
      <c r="G483" s="1" t="s">
        <v>27</v>
      </c>
      <c r="H483" s="1" t="s">
        <v>204</v>
      </c>
      <c r="I483" s="1" t="s">
        <v>29</v>
      </c>
      <c r="J483" s="1" t="s">
        <v>30</v>
      </c>
      <c r="K483" s="1" t="s">
        <v>31</v>
      </c>
      <c r="L483" s="4">
        <v>100</v>
      </c>
      <c r="M483" s="1" t="s">
        <v>32</v>
      </c>
      <c r="N483" s="1"/>
      <c r="O483" s="4">
        <v>4267</v>
      </c>
      <c r="P483" s="4">
        <v>43</v>
      </c>
      <c r="Q483" s="4">
        <v>640</v>
      </c>
      <c r="R483" s="4">
        <v>0</v>
      </c>
      <c r="S483" s="4">
        <v>0</v>
      </c>
      <c r="T483" s="4">
        <v>4950</v>
      </c>
      <c r="U483" s="4">
        <v>0</v>
      </c>
      <c r="V483" s="1"/>
      <c r="W483" s="5">
        <v>0</v>
      </c>
      <c r="X483" s="5">
        <v>0</v>
      </c>
      <c r="Y483" s="5">
        <v>0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2">
        <v>483</v>
      </c>
      <c r="B484" s="1" t="s">
        <v>798</v>
      </c>
      <c r="C484" s="1"/>
      <c r="D484" s="3">
        <v>45727</v>
      </c>
      <c r="E484" s="3">
        <v>45689</v>
      </c>
      <c r="F484" s="3">
        <v>45961</v>
      </c>
      <c r="G484" s="1" t="s">
        <v>27</v>
      </c>
      <c r="H484" s="1" t="s">
        <v>542</v>
      </c>
      <c r="I484" s="1" t="s">
        <v>29</v>
      </c>
      <c r="J484" s="1" t="s">
        <v>30</v>
      </c>
      <c r="K484" s="1" t="s">
        <v>31</v>
      </c>
      <c r="L484" s="4">
        <v>100</v>
      </c>
      <c r="M484" s="1" t="s">
        <v>32</v>
      </c>
      <c r="N484" s="1"/>
      <c r="O484" s="4">
        <v>3491</v>
      </c>
      <c r="P484" s="4">
        <v>35</v>
      </c>
      <c r="Q484" s="4">
        <v>524</v>
      </c>
      <c r="R484" s="4">
        <v>0</v>
      </c>
      <c r="S484" s="4">
        <v>0</v>
      </c>
      <c r="T484" s="4">
        <v>4050</v>
      </c>
      <c r="U484" s="4">
        <v>0</v>
      </c>
      <c r="V484" s="1"/>
      <c r="W484" s="5">
        <v>0</v>
      </c>
      <c r="X484" s="5">
        <v>0</v>
      </c>
      <c r="Y484" s="5">
        <v>0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2">
        <v>484</v>
      </c>
      <c r="B485" s="1" t="s">
        <v>799</v>
      </c>
      <c r="C485" s="1"/>
      <c r="D485" s="3">
        <v>45727</v>
      </c>
      <c r="E485" s="3">
        <v>45689</v>
      </c>
      <c r="F485" s="3">
        <v>45961</v>
      </c>
      <c r="G485" s="1" t="s">
        <v>27</v>
      </c>
      <c r="H485" s="1" t="s">
        <v>548</v>
      </c>
      <c r="I485" s="1" t="s">
        <v>29</v>
      </c>
      <c r="J485" s="1" t="s">
        <v>30</v>
      </c>
      <c r="K485" s="1" t="s">
        <v>31</v>
      </c>
      <c r="L485" s="4">
        <v>100</v>
      </c>
      <c r="M485" s="1" t="s">
        <v>32</v>
      </c>
      <c r="N485" s="1"/>
      <c r="O485" s="4">
        <v>2845</v>
      </c>
      <c r="P485" s="4">
        <v>28</v>
      </c>
      <c r="Q485" s="4">
        <v>427</v>
      </c>
      <c r="R485" s="4">
        <v>0</v>
      </c>
      <c r="S485" s="4">
        <v>0</v>
      </c>
      <c r="T485" s="4">
        <v>3300</v>
      </c>
      <c r="U485" s="4">
        <v>0</v>
      </c>
      <c r="V485" s="1"/>
      <c r="W485" s="5">
        <v>0</v>
      </c>
      <c r="X485" s="5">
        <v>0</v>
      </c>
      <c r="Y485" s="5">
        <v>0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2">
        <v>485</v>
      </c>
      <c r="B486" s="1" t="s">
        <v>800</v>
      </c>
      <c r="C486" s="1"/>
      <c r="D486" s="3">
        <v>45727</v>
      </c>
      <c r="E486" s="3">
        <v>45689</v>
      </c>
      <c r="F486" s="3">
        <v>45961</v>
      </c>
      <c r="G486" s="1" t="s">
        <v>27</v>
      </c>
      <c r="H486" s="1" t="s">
        <v>552</v>
      </c>
      <c r="I486" s="1" t="s">
        <v>29</v>
      </c>
      <c r="J486" s="1" t="s">
        <v>30</v>
      </c>
      <c r="K486" s="1" t="s">
        <v>31</v>
      </c>
      <c r="L486" s="4">
        <v>100</v>
      </c>
      <c r="M486" s="1" t="s">
        <v>32</v>
      </c>
      <c r="N486" s="1"/>
      <c r="O486" s="4">
        <v>2457</v>
      </c>
      <c r="P486" s="4">
        <v>25</v>
      </c>
      <c r="Q486" s="4">
        <v>369</v>
      </c>
      <c r="R486" s="4">
        <v>0</v>
      </c>
      <c r="S486" s="4">
        <v>0</v>
      </c>
      <c r="T486" s="4">
        <v>2851</v>
      </c>
      <c r="U486" s="4">
        <v>0</v>
      </c>
      <c r="V486" s="1"/>
      <c r="W486" s="5">
        <v>0</v>
      </c>
      <c r="X486" s="5">
        <v>0</v>
      </c>
      <c r="Y486" s="5">
        <v>0</v>
      </c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2">
        <v>486</v>
      </c>
      <c r="B487" s="1" t="s">
        <v>801</v>
      </c>
      <c r="C487" s="1"/>
      <c r="D487" s="3">
        <v>45727</v>
      </c>
      <c r="E487" s="3">
        <v>45689</v>
      </c>
      <c r="F487" s="3">
        <v>45961</v>
      </c>
      <c r="G487" s="1" t="s">
        <v>27</v>
      </c>
      <c r="H487" s="1" t="s">
        <v>554</v>
      </c>
      <c r="I487" s="1" t="s">
        <v>29</v>
      </c>
      <c r="J487" s="1" t="s">
        <v>30</v>
      </c>
      <c r="K487" s="1" t="s">
        <v>31</v>
      </c>
      <c r="L487" s="4">
        <v>100</v>
      </c>
      <c r="M487" s="1" t="s">
        <v>32</v>
      </c>
      <c r="N487" s="1"/>
      <c r="O487" s="4">
        <v>2069</v>
      </c>
      <c r="P487" s="4">
        <v>21</v>
      </c>
      <c r="Q487" s="4">
        <v>310</v>
      </c>
      <c r="R487" s="4">
        <v>0</v>
      </c>
      <c r="S487" s="4">
        <v>0</v>
      </c>
      <c r="T487" s="4">
        <v>2400</v>
      </c>
      <c r="U487" s="4">
        <v>0</v>
      </c>
      <c r="V487" s="1"/>
      <c r="W487" s="5">
        <v>0</v>
      </c>
      <c r="X487" s="5">
        <v>0</v>
      </c>
      <c r="Y487" s="5">
        <v>0</v>
      </c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2">
        <v>487</v>
      </c>
      <c r="B488" s="1" t="s">
        <v>802</v>
      </c>
      <c r="C488" s="1"/>
      <c r="D488" s="3">
        <v>45727</v>
      </c>
      <c r="E488" s="3">
        <v>45689</v>
      </c>
      <c r="F488" s="3">
        <v>45961</v>
      </c>
      <c r="G488" s="1" t="s">
        <v>27</v>
      </c>
      <c r="H488" s="1" t="s">
        <v>560</v>
      </c>
      <c r="I488" s="1" t="s">
        <v>29</v>
      </c>
      <c r="J488" s="1" t="s">
        <v>30</v>
      </c>
      <c r="K488" s="1" t="s">
        <v>31</v>
      </c>
      <c r="L488" s="4">
        <v>100</v>
      </c>
      <c r="M488" s="1" t="s">
        <v>32</v>
      </c>
      <c r="N488" s="1"/>
      <c r="O488" s="4">
        <v>2716</v>
      </c>
      <c r="P488" s="4">
        <v>27</v>
      </c>
      <c r="Q488" s="4">
        <v>407</v>
      </c>
      <c r="R488" s="4">
        <v>0</v>
      </c>
      <c r="S488" s="4">
        <v>0</v>
      </c>
      <c r="T488" s="4">
        <v>3150</v>
      </c>
      <c r="U488" s="4">
        <v>0</v>
      </c>
      <c r="V488" s="1"/>
      <c r="W488" s="5">
        <v>0</v>
      </c>
      <c r="X488" s="5">
        <v>0</v>
      </c>
      <c r="Y488" s="5">
        <v>0</v>
      </c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2">
        <v>488</v>
      </c>
      <c r="B489" s="1" t="s">
        <v>803</v>
      </c>
      <c r="C489" s="1"/>
      <c r="D489" s="3">
        <v>45727</v>
      </c>
      <c r="E489" s="3">
        <v>45689</v>
      </c>
      <c r="F489" s="3">
        <v>45961</v>
      </c>
      <c r="G489" s="1" t="s">
        <v>27</v>
      </c>
      <c r="H489" s="1" t="s">
        <v>563</v>
      </c>
      <c r="I489" s="1" t="s">
        <v>29</v>
      </c>
      <c r="J489" s="1" t="s">
        <v>30</v>
      </c>
      <c r="K489" s="1" t="s">
        <v>31</v>
      </c>
      <c r="L489" s="4">
        <v>100</v>
      </c>
      <c r="M489" s="1" t="s">
        <v>32</v>
      </c>
      <c r="N489" s="1"/>
      <c r="O489" s="4">
        <v>2328</v>
      </c>
      <c r="P489" s="4">
        <v>23</v>
      </c>
      <c r="Q489" s="4">
        <v>349</v>
      </c>
      <c r="R489" s="4">
        <v>0</v>
      </c>
      <c r="S489" s="4">
        <v>0</v>
      </c>
      <c r="T489" s="4">
        <v>2700</v>
      </c>
      <c r="U489" s="4">
        <v>0</v>
      </c>
      <c r="V489" s="1"/>
      <c r="W489" s="5">
        <v>0</v>
      </c>
      <c r="X489" s="5">
        <v>0</v>
      </c>
      <c r="Y489" s="5">
        <v>0</v>
      </c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2">
        <v>489</v>
      </c>
      <c r="B490" s="1" t="s">
        <v>804</v>
      </c>
      <c r="C490" s="1"/>
      <c r="D490" s="3">
        <v>45727</v>
      </c>
      <c r="E490" s="3">
        <v>45689</v>
      </c>
      <c r="F490" s="3">
        <v>45961</v>
      </c>
      <c r="G490" s="1" t="s">
        <v>27</v>
      </c>
      <c r="H490" s="1" t="s">
        <v>565</v>
      </c>
      <c r="I490" s="1" t="s">
        <v>29</v>
      </c>
      <c r="J490" s="1" t="s">
        <v>30</v>
      </c>
      <c r="K490" s="1" t="s">
        <v>31</v>
      </c>
      <c r="L490" s="4">
        <v>100</v>
      </c>
      <c r="M490" s="1" t="s">
        <v>32</v>
      </c>
      <c r="N490" s="1"/>
      <c r="O490" s="4">
        <v>4655</v>
      </c>
      <c r="P490" s="4">
        <v>47</v>
      </c>
      <c r="Q490" s="4">
        <v>698</v>
      </c>
      <c r="R490" s="4">
        <v>0</v>
      </c>
      <c r="S490" s="4">
        <v>0</v>
      </c>
      <c r="T490" s="4">
        <v>5400</v>
      </c>
      <c r="U490" s="4">
        <v>0</v>
      </c>
      <c r="V490" s="1"/>
      <c r="W490" s="5">
        <v>0</v>
      </c>
      <c r="X490" s="5">
        <v>0</v>
      </c>
      <c r="Y490" s="5">
        <v>0</v>
      </c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2">
        <v>490</v>
      </c>
      <c r="B491" s="1" t="s">
        <v>805</v>
      </c>
      <c r="C491" s="1"/>
      <c r="D491" s="3">
        <v>45727</v>
      </c>
      <c r="E491" s="3">
        <v>45689</v>
      </c>
      <c r="F491" s="3">
        <v>45961</v>
      </c>
      <c r="G491" s="1" t="s">
        <v>27</v>
      </c>
      <c r="H491" s="1" t="s">
        <v>567</v>
      </c>
      <c r="I491" s="1" t="s">
        <v>29</v>
      </c>
      <c r="J491" s="1" t="s">
        <v>30</v>
      </c>
      <c r="K491" s="1" t="s">
        <v>31</v>
      </c>
      <c r="L491" s="4">
        <v>100</v>
      </c>
      <c r="M491" s="1" t="s">
        <v>32</v>
      </c>
      <c r="N491" s="1"/>
      <c r="O491" s="4">
        <v>2845</v>
      </c>
      <c r="P491" s="4">
        <v>28</v>
      </c>
      <c r="Q491" s="4">
        <v>427</v>
      </c>
      <c r="R491" s="4">
        <v>0</v>
      </c>
      <c r="S491" s="4">
        <v>0</v>
      </c>
      <c r="T491" s="4">
        <v>3300</v>
      </c>
      <c r="U491" s="4">
        <v>0</v>
      </c>
      <c r="V491" s="1"/>
      <c r="W491" s="5">
        <v>0</v>
      </c>
      <c r="X491" s="5">
        <v>0</v>
      </c>
      <c r="Y491" s="5">
        <v>0</v>
      </c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2">
        <v>491</v>
      </c>
      <c r="B492" s="1" t="s">
        <v>806</v>
      </c>
      <c r="C492" s="1"/>
      <c r="D492" s="3">
        <v>45727</v>
      </c>
      <c r="E492" s="3">
        <v>45689</v>
      </c>
      <c r="F492" s="3">
        <v>45961</v>
      </c>
      <c r="G492" s="1" t="s">
        <v>27</v>
      </c>
      <c r="H492" s="1" t="s">
        <v>535</v>
      </c>
      <c r="I492" s="1" t="s">
        <v>29</v>
      </c>
      <c r="J492" s="1" t="s">
        <v>30</v>
      </c>
      <c r="K492" s="1" t="s">
        <v>31</v>
      </c>
      <c r="L492" s="4">
        <v>100</v>
      </c>
      <c r="M492" s="1" t="s">
        <v>32</v>
      </c>
      <c r="N492" s="1"/>
      <c r="O492" s="4">
        <v>2716</v>
      </c>
      <c r="P492" s="4">
        <v>27</v>
      </c>
      <c r="Q492" s="4">
        <v>407</v>
      </c>
      <c r="R492" s="4">
        <v>0</v>
      </c>
      <c r="S492" s="4">
        <v>0</v>
      </c>
      <c r="T492" s="4">
        <v>3150</v>
      </c>
      <c r="U492" s="4">
        <v>0</v>
      </c>
      <c r="V492" s="1"/>
      <c r="W492" s="5">
        <v>0</v>
      </c>
      <c r="X492" s="5">
        <v>0</v>
      </c>
      <c r="Y492" s="5">
        <v>0</v>
      </c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2">
        <v>492</v>
      </c>
      <c r="B493" s="1" t="s">
        <v>807</v>
      </c>
      <c r="C493" s="1"/>
      <c r="D493" s="3">
        <v>45727</v>
      </c>
      <c r="E493" s="3">
        <v>45689</v>
      </c>
      <c r="F493" s="3">
        <v>45961</v>
      </c>
      <c r="G493" s="1" t="s">
        <v>27</v>
      </c>
      <c r="H493" s="1" t="s">
        <v>570</v>
      </c>
      <c r="I493" s="1" t="s">
        <v>29</v>
      </c>
      <c r="J493" s="1" t="s">
        <v>30</v>
      </c>
      <c r="K493" s="1" t="s">
        <v>31</v>
      </c>
      <c r="L493" s="4">
        <v>100</v>
      </c>
      <c r="M493" s="1" t="s">
        <v>32</v>
      </c>
      <c r="N493" s="1"/>
      <c r="O493" s="4">
        <v>4397</v>
      </c>
      <c r="P493" s="4">
        <v>44</v>
      </c>
      <c r="Q493" s="4">
        <v>660</v>
      </c>
      <c r="R493" s="4">
        <v>0</v>
      </c>
      <c r="S493" s="4">
        <v>0</v>
      </c>
      <c r="T493" s="4">
        <v>5101</v>
      </c>
      <c r="U493" s="4">
        <v>0</v>
      </c>
      <c r="V493" s="1"/>
      <c r="W493" s="5">
        <v>0</v>
      </c>
      <c r="X493" s="5">
        <v>0</v>
      </c>
      <c r="Y493" s="5">
        <v>0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2">
        <v>493</v>
      </c>
      <c r="B494" s="1" t="s">
        <v>808</v>
      </c>
      <c r="C494" s="1"/>
      <c r="D494" s="3">
        <v>45727</v>
      </c>
      <c r="E494" s="3">
        <v>45689</v>
      </c>
      <c r="F494" s="3">
        <v>45961</v>
      </c>
      <c r="G494" s="1" t="s">
        <v>27</v>
      </c>
      <c r="H494" s="1" t="s">
        <v>565</v>
      </c>
      <c r="I494" s="1" t="s">
        <v>29</v>
      </c>
      <c r="J494" s="1" t="s">
        <v>30</v>
      </c>
      <c r="K494" s="1" t="s">
        <v>31</v>
      </c>
      <c r="L494" s="4">
        <v>100</v>
      </c>
      <c r="M494" s="1" t="s">
        <v>32</v>
      </c>
      <c r="N494" s="1"/>
      <c r="O494" s="4">
        <v>12543</v>
      </c>
      <c r="P494" s="4">
        <v>125</v>
      </c>
      <c r="Q494" s="4">
        <v>1881</v>
      </c>
      <c r="R494" s="4">
        <v>0</v>
      </c>
      <c r="S494" s="4">
        <v>0</v>
      </c>
      <c r="T494" s="4">
        <v>14549</v>
      </c>
      <c r="U494" s="4">
        <v>0</v>
      </c>
      <c r="V494" s="1"/>
      <c r="W494" s="5">
        <v>0</v>
      </c>
      <c r="X494" s="5">
        <v>0</v>
      </c>
      <c r="Y494" s="5">
        <v>0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2">
        <v>494</v>
      </c>
      <c r="B495" s="1" t="s">
        <v>809</v>
      </c>
      <c r="C495" s="1"/>
      <c r="D495" s="3">
        <v>45727</v>
      </c>
      <c r="E495" s="3">
        <v>45689</v>
      </c>
      <c r="F495" s="3">
        <v>45961</v>
      </c>
      <c r="G495" s="1" t="s">
        <v>27</v>
      </c>
      <c r="H495" s="1" t="s">
        <v>810</v>
      </c>
      <c r="I495" s="1" t="s">
        <v>29</v>
      </c>
      <c r="J495" s="1" t="s">
        <v>30</v>
      </c>
      <c r="K495" s="1" t="s">
        <v>31</v>
      </c>
      <c r="L495" s="4">
        <v>100</v>
      </c>
      <c r="M495" s="1" t="s">
        <v>32</v>
      </c>
      <c r="N495" s="1"/>
      <c r="O495" s="4">
        <v>12414</v>
      </c>
      <c r="P495" s="4">
        <v>124</v>
      </c>
      <c r="Q495" s="4">
        <v>1862</v>
      </c>
      <c r="R495" s="4">
        <v>0</v>
      </c>
      <c r="S495" s="4">
        <v>0</v>
      </c>
      <c r="T495" s="4">
        <v>14400</v>
      </c>
      <c r="U495" s="4">
        <v>0</v>
      </c>
      <c r="V495" s="1"/>
      <c r="W495" s="5">
        <v>0</v>
      </c>
      <c r="X495" s="5">
        <v>0</v>
      </c>
      <c r="Y495" s="5">
        <v>0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2">
        <v>495</v>
      </c>
      <c r="B496" s="1" t="s">
        <v>811</v>
      </c>
      <c r="C496" s="1"/>
      <c r="D496" s="3">
        <v>45727</v>
      </c>
      <c r="E496" s="3">
        <v>45689</v>
      </c>
      <c r="F496" s="3">
        <v>45961</v>
      </c>
      <c r="G496" s="1" t="s">
        <v>27</v>
      </c>
      <c r="H496" s="1" t="s">
        <v>574</v>
      </c>
      <c r="I496" s="1" t="s">
        <v>29</v>
      </c>
      <c r="J496" s="1" t="s">
        <v>30</v>
      </c>
      <c r="K496" s="1" t="s">
        <v>31</v>
      </c>
      <c r="L496" s="4">
        <v>100</v>
      </c>
      <c r="M496" s="1" t="s">
        <v>32</v>
      </c>
      <c r="N496" s="1"/>
      <c r="O496" s="4">
        <v>4138</v>
      </c>
      <c r="P496" s="4">
        <v>41</v>
      </c>
      <c r="Q496" s="4">
        <v>621</v>
      </c>
      <c r="R496" s="4">
        <v>0</v>
      </c>
      <c r="S496" s="4">
        <v>0</v>
      </c>
      <c r="T496" s="4">
        <v>4800</v>
      </c>
      <c r="U496" s="4">
        <v>0</v>
      </c>
      <c r="V496" s="1"/>
      <c r="W496" s="5">
        <v>0</v>
      </c>
      <c r="X496" s="5">
        <v>0</v>
      </c>
      <c r="Y496" s="5">
        <v>0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2">
        <v>496</v>
      </c>
      <c r="B497" s="1" t="s">
        <v>812</v>
      </c>
      <c r="C497" s="1"/>
      <c r="D497" s="3">
        <v>45727</v>
      </c>
      <c r="E497" s="3">
        <v>45689</v>
      </c>
      <c r="F497" s="3">
        <v>45961</v>
      </c>
      <c r="G497" s="1" t="s">
        <v>27</v>
      </c>
      <c r="H497" s="1" t="s">
        <v>576</v>
      </c>
      <c r="I497" s="1" t="s">
        <v>29</v>
      </c>
      <c r="J497" s="1" t="s">
        <v>30</v>
      </c>
      <c r="K497" s="1" t="s">
        <v>31</v>
      </c>
      <c r="L497" s="4">
        <v>100</v>
      </c>
      <c r="M497" s="1" t="s">
        <v>32</v>
      </c>
      <c r="N497" s="1"/>
      <c r="O497" s="4">
        <v>2716</v>
      </c>
      <c r="P497" s="4">
        <v>27</v>
      </c>
      <c r="Q497" s="4">
        <v>407</v>
      </c>
      <c r="R497" s="4">
        <v>0</v>
      </c>
      <c r="S497" s="4">
        <v>0</v>
      </c>
      <c r="T497" s="4">
        <v>3150</v>
      </c>
      <c r="U497" s="4">
        <v>0</v>
      </c>
      <c r="V497" s="1"/>
      <c r="W497" s="5">
        <v>0</v>
      </c>
      <c r="X497" s="5">
        <v>0</v>
      </c>
      <c r="Y497" s="5">
        <v>0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2">
        <v>497</v>
      </c>
      <c r="B498" s="1" t="s">
        <v>813</v>
      </c>
      <c r="C498" s="1"/>
      <c r="D498" s="3">
        <v>45727</v>
      </c>
      <c r="E498" s="3">
        <v>45689</v>
      </c>
      <c r="F498" s="3">
        <v>45961</v>
      </c>
      <c r="G498" s="1" t="s">
        <v>27</v>
      </c>
      <c r="H498" s="1" t="s">
        <v>578</v>
      </c>
      <c r="I498" s="1" t="s">
        <v>29</v>
      </c>
      <c r="J498" s="1" t="s">
        <v>30</v>
      </c>
      <c r="K498" s="1" t="s">
        <v>31</v>
      </c>
      <c r="L498" s="4">
        <v>100</v>
      </c>
      <c r="M498" s="1" t="s">
        <v>32</v>
      </c>
      <c r="N498" s="1"/>
      <c r="O498" s="4">
        <v>13190</v>
      </c>
      <c r="P498" s="4">
        <v>132</v>
      </c>
      <c r="Q498" s="4">
        <v>1979</v>
      </c>
      <c r="R498" s="4">
        <v>0</v>
      </c>
      <c r="S498" s="4">
        <v>0</v>
      </c>
      <c r="T498" s="4">
        <v>15301</v>
      </c>
      <c r="U498" s="4">
        <v>0</v>
      </c>
      <c r="V498" s="1"/>
      <c r="W498" s="5">
        <v>0</v>
      </c>
      <c r="X498" s="5">
        <v>0</v>
      </c>
      <c r="Y498" s="5">
        <v>0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2">
        <v>498</v>
      </c>
      <c r="B499" s="1" t="s">
        <v>814</v>
      </c>
      <c r="C499" s="1"/>
      <c r="D499" s="3">
        <v>45727</v>
      </c>
      <c r="E499" s="3">
        <v>45689</v>
      </c>
      <c r="F499" s="3">
        <v>45961</v>
      </c>
      <c r="G499" s="1" t="s">
        <v>27</v>
      </c>
      <c r="H499" s="1" t="s">
        <v>815</v>
      </c>
      <c r="I499" s="1" t="s">
        <v>29</v>
      </c>
      <c r="J499" s="1" t="s">
        <v>30</v>
      </c>
      <c r="K499" s="1" t="s">
        <v>31</v>
      </c>
      <c r="L499" s="4">
        <v>100</v>
      </c>
      <c r="M499" s="1" t="s">
        <v>32</v>
      </c>
      <c r="N499" s="1"/>
      <c r="O499" s="4">
        <v>12931</v>
      </c>
      <c r="P499" s="4">
        <v>129</v>
      </c>
      <c r="Q499" s="4">
        <v>1940</v>
      </c>
      <c r="R499" s="4">
        <v>0</v>
      </c>
      <c r="S499" s="4">
        <v>0</v>
      </c>
      <c r="T499" s="4">
        <v>15000</v>
      </c>
      <c r="U499" s="4">
        <v>0</v>
      </c>
      <c r="V499" s="1"/>
      <c r="W499" s="5">
        <v>0</v>
      </c>
      <c r="X499" s="5">
        <v>0</v>
      </c>
      <c r="Y499" s="5">
        <v>0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5">
      <c r="A500" s="2">
        <v>499</v>
      </c>
      <c r="B500" s="1" t="s">
        <v>816</v>
      </c>
      <c r="C500" s="1"/>
      <c r="D500" s="3">
        <v>45727</v>
      </c>
      <c r="E500" s="3">
        <v>45689</v>
      </c>
      <c r="F500" s="3">
        <v>45961</v>
      </c>
      <c r="G500" s="1" t="s">
        <v>27</v>
      </c>
      <c r="H500" s="1" t="s">
        <v>591</v>
      </c>
      <c r="I500" s="1" t="s">
        <v>29</v>
      </c>
      <c r="J500" s="1" t="s">
        <v>30</v>
      </c>
      <c r="K500" s="1" t="s">
        <v>31</v>
      </c>
      <c r="L500" s="4">
        <v>100</v>
      </c>
      <c r="M500" s="1" t="s">
        <v>32</v>
      </c>
      <c r="N500" s="1"/>
      <c r="O500" s="4">
        <v>7112</v>
      </c>
      <c r="P500" s="4">
        <v>71</v>
      </c>
      <c r="Q500" s="4">
        <v>1067</v>
      </c>
      <c r="R500" s="4">
        <v>0</v>
      </c>
      <c r="S500" s="4">
        <v>0</v>
      </c>
      <c r="T500" s="4">
        <v>8250</v>
      </c>
      <c r="U500" s="4">
        <v>0</v>
      </c>
      <c r="V500" s="1"/>
      <c r="W500" s="5">
        <v>0</v>
      </c>
      <c r="X500" s="5">
        <v>0</v>
      </c>
      <c r="Y500" s="5">
        <v>0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2" spans="1:40" x14ac:dyDescent="0.25">
      <c r="T502" s="14">
        <f>SUM(T2:T500)</f>
        <v>3236339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B74E-D4D4-4D91-AE01-179346565F91}">
  <dimension ref="A1:H500"/>
  <sheetViews>
    <sheetView topLeftCell="F498" workbookViewId="0">
      <selection activeCell="H2" sqref="H2:H500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8" customWidth="1"/>
    <col min="7" max="7" width="88.28515625" customWidth="1"/>
    <col min="8" max="8" width="80.5703125" customWidth="1"/>
  </cols>
  <sheetData>
    <row r="1" spans="1:8" x14ac:dyDescent="0.25">
      <c r="A1" s="6" t="s">
        <v>818</v>
      </c>
      <c r="B1" t="s">
        <v>819</v>
      </c>
      <c r="D1" s="7" t="s">
        <v>820</v>
      </c>
      <c r="E1" s="12" t="s">
        <v>821</v>
      </c>
    </row>
    <row r="2" spans="1:8" ht="87.75" customHeight="1" x14ac:dyDescent="0.25">
      <c r="A2" s="1" t="s">
        <v>26</v>
      </c>
      <c r="B2" s="1" t="str">
        <f>VLOOKUP(A2,policy!B:C,2,0)</f>
        <v>070000177895</v>
      </c>
      <c r="C2" s="4">
        <v>10081</v>
      </c>
      <c r="D2" s="8">
        <f>ROUND(C2,0)</f>
        <v>10081</v>
      </c>
      <c r="E2" s="12" t="s">
        <v>821</v>
      </c>
      <c r="F2" s="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0" t="str">
        <f>"('"&amp;E2&amp;"','"&amp;B2&amp;"','"&amp;D2&amp;"',(select max(to_number(i.premium_rcv_detail_code))+1
from ins_premium_det i),'"&amp;D2&amp;"','"&amp;D2&amp;"','02', '11000003','00','Request by Mr. Saqib Saleem 12-Mar-2025');"</f>
        <v>('12Mar250017','070000177895','10081',(select max(to_number(i.premium_rcv_detail_code))+1
from ins_premium_det i),'10081','10081','02', '11000003','00','Request by Mr. Saqib Saleem 12-Mar-2025');</v>
      </c>
      <c r="H2" s="11" t="str">
        <f>F2&amp;G2</f>
        <v>insert into ins_premium_det (premium_rcv_code,assorted_code, rec_amount,premium_rcv_detail_code,remaining_amt, payrec, mode_code,coinsurance_code,class_cd,it_remarks) values('12Mar250017','070000177895','10081',(select max(to_number(i.premium_rcv_detail_code))+1
from ins_premium_det i),'10081','10081','02', '11000003','00','Request by Mr. Saqib Saleem 12-Mar-2025');</v>
      </c>
    </row>
    <row r="3" spans="1:8" ht="105" x14ac:dyDescent="0.25">
      <c r="A3" s="1" t="s">
        <v>33</v>
      </c>
      <c r="B3" s="1" t="str">
        <f>VLOOKUP(A3,policy!B:C,2,0)</f>
        <v>070000177896</v>
      </c>
      <c r="C3" s="4">
        <v>13920</v>
      </c>
      <c r="D3" s="8">
        <f t="shared" ref="D3:D66" si="1">ROUND(C3,0)</f>
        <v>13920</v>
      </c>
      <c r="E3" s="12" t="s">
        <v>821</v>
      </c>
      <c r="F3" s="9" t="str">
        <f t="shared" si="0"/>
        <v>insert into ins_premium_det (premium_rcv_code,assorted_code, rec_amount,premium_rcv_detail_code,remaining_amt, payrec, mode_code,coinsurance_code,class_cd,it_remarks) values</v>
      </c>
      <c r="G3" s="10" t="str">
        <f t="shared" ref="G3:G66" si="2">"('"&amp;E3&amp;"','"&amp;B3&amp;"','"&amp;D3&amp;"',(select max(to_number(i.premium_rcv_detail_code))+1
from ins_premium_det i),'"&amp;D3&amp;"','"&amp;D3&amp;"','02', '11000003','00','Request by Mr. Saqib Saleem 12-Mar-2025');"</f>
        <v>('12Mar250017','070000177896','13920',(select max(to_number(i.premium_rcv_detail_code))+1
from ins_premium_det i),'13920','13920','02', '11000003','00','Request by Mr. Saqib Saleem 12-Mar-2025');</v>
      </c>
      <c r="H3" s="11" t="str">
        <f t="shared" ref="H3:H66" si="3">F3&amp;G3</f>
        <v>insert into ins_premium_det (premium_rcv_code,assorted_code, rec_amount,premium_rcv_detail_code,remaining_amt, payrec, mode_code,coinsurance_code,class_cd,it_remarks) values('12Mar250017','070000177896','13920',(select max(to_number(i.premium_rcv_detail_code))+1
from ins_premium_det i),'13920','13920','02', '11000003','00','Request by Mr. Saqib Saleem 12-Mar-2025');</v>
      </c>
    </row>
    <row r="4" spans="1:8" ht="105" x14ac:dyDescent="0.25">
      <c r="A4" s="1" t="s">
        <v>35</v>
      </c>
      <c r="B4" s="1" t="str">
        <f>VLOOKUP(A4,policy!B:C,2,0)</f>
        <v>070000177897</v>
      </c>
      <c r="C4" s="4">
        <v>2281</v>
      </c>
      <c r="D4" s="8">
        <f t="shared" si="1"/>
        <v>2281</v>
      </c>
      <c r="E4" s="12" t="s">
        <v>821</v>
      </c>
      <c r="F4" s="9" t="str">
        <f t="shared" si="0"/>
        <v>insert into ins_premium_det (premium_rcv_code,assorted_code, rec_amount,premium_rcv_detail_code,remaining_amt, payrec, mode_code,coinsurance_code,class_cd,it_remarks) values</v>
      </c>
      <c r="G4" s="10" t="str">
        <f t="shared" si="2"/>
        <v>('12Mar250017','070000177897','2281',(select max(to_number(i.premium_rcv_detail_code))+1
from ins_premium_det i),'2281','2281','02', '11000003','00','Request by Mr. Saqib Saleem 12-Mar-2025');</v>
      </c>
      <c r="H4" s="11" t="str">
        <f t="shared" si="3"/>
        <v>insert into ins_premium_det (premium_rcv_code,assorted_code, rec_amount,premium_rcv_detail_code,remaining_amt, payrec, mode_code,coinsurance_code,class_cd,it_remarks) values('12Mar250017','070000177897','2281',(select max(to_number(i.premium_rcv_detail_code))+1
from ins_premium_det i),'2281','2281','02', '11000003','00','Request by Mr. Saqib Saleem 12-Mar-2025');</v>
      </c>
    </row>
    <row r="5" spans="1:8" ht="105" x14ac:dyDescent="0.25">
      <c r="A5" s="1" t="s">
        <v>37</v>
      </c>
      <c r="B5" s="1" t="str">
        <f>VLOOKUP(A5,policy!B:C,2,0)</f>
        <v>070000177898</v>
      </c>
      <c r="C5" s="4">
        <v>1560</v>
      </c>
      <c r="D5" s="8">
        <f t="shared" si="1"/>
        <v>1560</v>
      </c>
      <c r="E5" s="12" t="s">
        <v>821</v>
      </c>
      <c r="F5" s="9" t="str">
        <f t="shared" si="0"/>
        <v>insert into ins_premium_det (premium_rcv_code,assorted_code, rec_amount,premium_rcv_detail_code,remaining_amt, payrec, mode_code,coinsurance_code,class_cd,it_remarks) values</v>
      </c>
      <c r="G5" s="10" t="str">
        <f t="shared" si="2"/>
        <v>('12Mar250017','070000177898','1560',(select max(to_number(i.premium_rcv_detail_code))+1
from ins_premium_det i),'1560','1560','02', '11000003','00','Request by Mr. Saqib Saleem 12-Mar-2025');</v>
      </c>
      <c r="H5" s="11" t="str">
        <f t="shared" si="3"/>
        <v>insert into ins_premium_det (premium_rcv_code,assorted_code, rec_amount,premium_rcv_detail_code,remaining_amt, payrec, mode_code,coinsurance_code,class_cd,it_remarks) values('12Mar250017','070000177898','1560',(select max(to_number(i.premium_rcv_detail_code))+1
from ins_premium_det i),'1560','1560','02', '11000003','00','Request by Mr. Saqib Saleem 12-Mar-2025');</v>
      </c>
    </row>
    <row r="6" spans="1:8" ht="105" x14ac:dyDescent="0.25">
      <c r="A6" s="1" t="s">
        <v>39</v>
      </c>
      <c r="B6" s="1" t="str">
        <f>VLOOKUP(A6,policy!B:C,2,0)</f>
        <v>070000177899</v>
      </c>
      <c r="C6" s="4">
        <v>12119</v>
      </c>
      <c r="D6" s="8">
        <f t="shared" si="1"/>
        <v>12119</v>
      </c>
      <c r="E6" s="12" t="s">
        <v>821</v>
      </c>
      <c r="F6" s="9" t="str">
        <f t="shared" si="0"/>
        <v>insert into ins_premium_det (premium_rcv_code,assorted_code, rec_amount,premium_rcv_detail_code,remaining_amt, payrec, mode_code,coinsurance_code,class_cd,it_remarks) values</v>
      </c>
      <c r="G6" s="10" t="str">
        <f t="shared" si="2"/>
        <v>('12Mar250017','070000177899','12119',(select max(to_number(i.premium_rcv_detail_code))+1
from ins_premium_det i),'12119','12119','02', '11000003','00','Request by Mr. Saqib Saleem 12-Mar-2025');</v>
      </c>
      <c r="H6" s="11" t="str">
        <f t="shared" si="3"/>
        <v>insert into ins_premium_det (premium_rcv_code,assorted_code, rec_amount,premium_rcv_detail_code,remaining_amt, payrec, mode_code,coinsurance_code,class_cd,it_remarks) values('12Mar250017','070000177899','12119',(select max(to_number(i.premium_rcv_detail_code))+1
from ins_premium_det i),'12119','12119','02', '11000003','00','Request by Mr. Saqib Saleem 12-Mar-2025');</v>
      </c>
    </row>
    <row r="7" spans="1:8" ht="105" x14ac:dyDescent="0.25">
      <c r="A7" s="1" t="s">
        <v>41</v>
      </c>
      <c r="B7" s="1" t="str">
        <f>VLOOKUP(A7,policy!B:C,2,0)</f>
        <v>070000177900</v>
      </c>
      <c r="C7" s="4">
        <v>2640</v>
      </c>
      <c r="D7" s="8">
        <f t="shared" si="1"/>
        <v>2640</v>
      </c>
      <c r="E7" s="12" t="s">
        <v>821</v>
      </c>
      <c r="F7" s="9" t="str">
        <f t="shared" si="0"/>
        <v>insert into ins_premium_det (premium_rcv_code,assorted_code, rec_amount,premium_rcv_detail_code,remaining_amt, payrec, mode_code,coinsurance_code,class_cd,it_remarks) values</v>
      </c>
      <c r="G7" s="10" t="str">
        <f t="shared" si="2"/>
        <v>('12Mar250017','070000177900','2640',(select max(to_number(i.premium_rcv_detail_code))+1
from ins_premium_det i),'2640','2640','02', '11000003','00','Request by Mr. Saqib Saleem 12-Mar-2025');</v>
      </c>
      <c r="H7" s="11" t="str">
        <f t="shared" si="3"/>
        <v>insert into ins_premium_det (premium_rcv_code,assorted_code, rec_amount,premium_rcv_detail_code,remaining_amt, payrec, mode_code,coinsurance_code,class_cd,it_remarks) values('12Mar250017','070000177900','2640',(select max(to_number(i.premium_rcv_detail_code))+1
from ins_premium_det i),'2640','2640','02', '11000003','00','Request by Mr. Saqib Saleem 12-Mar-2025');</v>
      </c>
    </row>
    <row r="8" spans="1:8" ht="105" x14ac:dyDescent="0.25">
      <c r="A8" s="1" t="s">
        <v>43</v>
      </c>
      <c r="B8" s="1" t="str">
        <f>VLOOKUP(A8,policy!B:C,2,0)</f>
        <v>070000177901</v>
      </c>
      <c r="C8" s="4">
        <v>2760</v>
      </c>
      <c r="D8" s="8">
        <f t="shared" si="1"/>
        <v>2760</v>
      </c>
      <c r="E8" s="12" t="s">
        <v>821</v>
      </c>
      <c r="F8" s="9" t="str">
        <f t="shared" si="0"/>
        <v>insert into ins_premium_det (premium_rcv_code,assorted_code, rec_amount,premium_rcv_detail_code,remaining_amt, payrec, mode_code,coinsurance_code,class_cd,it_remarks) values</v>
      </c>
      <c r="G8" s="10" t="str">
        <f t="shared" si="2"/>
        <v>('12Mar250017','070000177901','2760',(select max(to_number(i.premium_rcv_detail_code))+1
from ins_premium_det i),'2760','2760','02', '11000003','00','Request by Mr. Saqib Saleem 12-Mar-2025');</v>
      </c>
      <c r="H8" s="11" t="str">
        <f t="shared" si="3"/>
        <v>insert into ins_premium_det (premium_rcv_code,assorted_code, rec_amount,premium_rcv_detail_code,remaining_amt, payrec, mode_code,coinsurance_code,class_cd,it_remarks) values('12Mar250017','070000177901','2760',(select max(to_number(i.premium_rcv_detail_code))+1
from ins_premium_det i),'2760','2760','02', '11000003','00','Request by Mr. Saqib Saleem 12-Mar-2025');</v>
      </c>
    </row>
    <row r="9" spans="1:8" ht="105" x14ac:dyDescent="0.25">
      <c r="A9" s="1" t="s">
        <v>45</v>
      </c>
      <c r="B9" s="1" t="str">
        <f>VLOOKUP(A9,policy!B:C,2,0)</f>
        <v>070000177902</v>
      </c>
      <c r="C9" s="4">
        <v>2400</v>
      </c>
      <c r="D9" s="8">
        <f t="shared" si="1"/>
        <v>2400</v>
      </c>
      <c r="E9" s="12" t="s">
        <v>821</v>
      </c>
      <c r="F9" s="9" t="str">
        <f t="shared" si="0"/>
        <v>insert into ins_premium_det (premium_rcv_code,assorted_code, rec_amount,premium_rcv_detail_code,remaining_amt, payrec, mode_code,coinsurance_code,class_cd,it_remarks) values</v>
      </c>
      <c r="G9" s="10" t="str">
        <f t="shared" si="2"/>
        <v>('12Mar250017','070000177902','2400',(select max(to_number(i.premium_rcv_detail_code))+1
from ins_premium_det i),'2400','2400','02', '11000003','00','Request by Mr. Saqib Saleem 12-Mar-2025');</v>
      </c>
      <c r="H9" s="11" t="str">
        <f t="shared" si="3"/>
        <v>insert into ins_premium_det (premium_rcv_code,assorted_code, rec_amount,premium_rcv_detail_code,remaining_amt, payrec, mode_code,coinsurance_code,class_cd,it_remarks) values('12Mar250017','070000177902','2400',(select max(to_number(i.premium_rcv_detail_code))+1
from ins_premium_det i),'2400','2400','02', '11000003','00','Request by Mr. Saqib Saleem 12-Mar-2025');</v>
      </c>
    </row>
    <row r="10" spans="1:8" ht="105" x14ac:dyDescent="0.25">
      <c r="A10" s="1" t="s">
        <v>47</v>
      </c>
      <c r="B10" s="1" t="str">
        <f>VLOOKUP(A10,policy!B:C,2,0)</f>
        <v>070000177903</v>
      </c>
      <c r="C10" s="4">
        <v>10200</v>
      </c>
      <c r="D10" s="8">
        <f t="shared" si="1"/>
        <v>10200</v>
      </c>
      <c r="E10" s="12" t="s">
        <v>821</v>
      </c>
      <c r="F10" s="9" t="str">
        <f t="shared" si="0"/>
        <v>insert into ins_premium_det (premium_rcv_code,assorted_code, rec_amount,premium_rcv_detail_code,remaining_amt, payrec, mode_code,coinsurance_code,class_cd,it_remarks) values</v>
      </c>
      <c r="G10" s="10" t="str">
        <f t="shared" si="2"/>
        <v>('12Mar250017','070000177903','10200',(select max(to_number(i.premium_rcv_detail_code))+1
from ins_premium_det i),'10200','10200','02', '11000003','00','Request by Mr. Saqib Saleem 12-Mar-2025');</v>
      </c>
      <c r="H10" s="11" t="str">
        <f t="shared" si="3"/>
        <v>insert into ins_premium_det (premium_rcv_code,assorted_code, rec_amount,premium_rcv_detail_code,remaining_amt, payrec, mode_code,coinsurance_code,class_cd,it_remarks) values('12Mar250017','070000177903','10200',(select max(to_number(i.premium_rcv_detail_code))+1
from ins_premium_det i),'10200','10200','02', '11000003','00','Request by Mr. Saqib Saleem 12-Mar-2025');</v>
      </c>
    </row>
    <row r="11" spans="1:8" ht="105" x14ac:dyDescent="0.25">
      <c r="A11" s="1" t="s">
        <v>49</v>
      </c>
      <c r="B11" s="1" t="str">
        <f>VLOOKUP(A11,policy!B:C,2,0)</f>
        <v>070000177904</v>
      </c>
      <c r="C11" s="4">
        <v>4560</v>
      </c>
      <c r="D11" s="8">
        <f t="shared" si="1"/>
        <v>4560</v>
      </c>
      <c r="E11" s="12" t="s">
        <v>821</v>
      </c>
      <c r="F11" s="9" t="str">
        <f t="shared" si="0"/>
        <v>insert into ins_premium_det (premium_rcv_code,assorted_code, rec_amount,premium_rcv_detail_code,remaining_amt, payrec, mode_code,coinsurance_code,class_cd,it_remarks) values</v>
      </c>
      <c r="G11" s="10" t="str">
        <f t="shared" si="2"/>
        <v>('12Mar250017','070000177904','4560',(select max(to_number(i.premium_rcv_detail_code))+1
from ins_premium_det i),'4560','4560','02', '11000003','00','Request by Mr. Saqib Saleem 12-Mar-2025');</v>
      </c>
      <c r="H11" s="11" t="str">
        <f t="shared" si="3"/>
        <v>insert into ins_premium_det (premium_rcv_code,assorted_code, rec_amount,premium_rcv_detail_code,remaining_amt, payrec, mode_code,coinsurance_code,class_cd,it_remarks) values('12Mar250017','070000177904','4560',(select max(to_number(i.premium_rcv_detail_code))+1
from ins_premium_det i),'4560','4560','02', '11000003','00','Request by Mr. Saqib Saleem 12-Mar-2025');</v>
      </c>
    </row>
    <row r="12" spans="1:8" ht="105" x14ac:dyDescent="0.25">
      <c r="A12" s="1" t="s">
        <v>51</v>
      </c>
      <c r="B12" s="1" t="str">
        <f>VLOOKUP(A12,policy!B:C,2,0)</f>
        <v>070000177905</v>
      </c>
      <c r="C12" s="4">
        <v>8520</v>
      </c>
      <c r="D12" s="8">
        <f t="shared" si="1"/>
        <v>8520</v>
      </c>
      <c r="E12" s="12" t="s">
        <v>821</v>
      </c>
      <c r="F12" s="9" t="str">
        <f t="shared" si="0"/>
        <v>insert into ins_premium_det (premium_rcv_code,assorted_code, rec_amount,premium_rcv_detail_code,remaining_amt, payrec, mode_code,coinsurance_code,class_cd,it_remarks) values</v>
      </c>
      <c r="G12" s="10" t="str">
        <f t="shared" si="2"/>
        <v>('12Mar250017','070000177905','8520',(select max(to_number(i.premium_rcv_detail_code))+1
from ins_premium_det i),'8520','8520','02', '11000003','00','Request by Mr. Saqib Saleem 12-Mar-2025');</v>
      </c>
      <c r="H12" s="11" t="str">
        <f t="shared" si="3"/>
        <v>insert into ins_premium_det (premium_rcv_code,assorted_code, rec_amount,premium_rcv_detail_code,remaining_amt, payrec, mode_code,coinsurance_code,class_cd,it_remarks) values('12Mar250017','070000177905','8520',(select max(to_number(i.premium_rcv_detail_code))+1
from ins_premium_det i),'8520','8520','02', '11000003','00','Request by Mr. Saqib Saleem 12-Mar-2025');</v>
      </c>
    </row>
    <row r="13" spans="1:8" ht="105" x14ac:dyDescent="0.25">
      <c r="A13" s="1" t="s">
        <v>53</v>
      </c>
      <c r="B13" s="1" t="str">
        <f>VLOOKUP(A13,policy!B:C,2,0)</f>
        <v>070000177906</v>
      </c>
      <c r="C13" s="4">
        <v>8639</v>
      </c>
      <c r="D13" s="8">
        <f t="shared" si="1"/>
        <v>8639</v>
      </c>
      <c r="E13" s="12" t="s">
        <v>821</v>
      </c>
      <c r="F13" s="9" t="str">
        <f t="shared" si="0"/>
        <v>insert into ins_premium_det (premium_rcv_code,assorted_code, rec_amount,premium_rcv_detail_code,remaining_amt, payrec, mode_code,coinsurance_code,class_cd,it_remarks) values</v>
      </c>
      <c r="G13" s="10" t="str">
        <f t="shared" si="2"/>
        <v>('12Mar250017','070000177906','8639',(select max(to_number(i.premium_rcv_detail_code))+1
from ins_premium_det i),'8639','8639','02', '11000003','00','Request by Mr. Saqib Saleem 12-Mar-2025');</v>
      </c>
      <c r="H13" s="11" t="str">
        <f t="shared" si="3"/>
        <v>insert into ins_premium_det (premium_rcv_code,assorted_code, rec_amount,premium_rcv_detail_code,remaining_amt, payrec, mode_code,coinsurance_code,class_cd,it_remarks) values('12Mar250017','070000177906','8639',(select max(to_number(i.premium_rcv_detail_code))+1
from ins_premium_det i),'8639','8639','02', '11000003','00','Request by Mr. Saqib Saleem 12-Mar-2025');</v>
      </c>
    </row>
    <row r="14" spans="1:8" ht="105" x14ac:dyDescent="0.25">
      <c r="A14" s="1" t="s">
        <v>55</v>
      </c>
      <c r="B14" s="1" t="str">
        <f>VLOOKUP(A14,policy!B:C,2,0)</f>
        <v>070000177907</v>
      </c>
      <c r="C14" s="4">
        <v>4320</v>
      </c>
      <c r="D14" s="8">
        <f t="shared" si="1"/>
        <v>4320</v>
      </c>
      <c r="E14" s="12" t="s">
        <v>821</v>
      </c>
      <c r="F14" s="9" t="str">
        <f t="shared" si="0"/>
        <v>insert into ins_premium_det (premium_rcv_code,assorted_code, rec_amount,premium_rcv_detail_code,remaining_amt, payrec, mode_code,coinsurance_code,class_cd,it_remarks) values</v>
      </c>
      <c r="G14" s="10" t="str">
        <f t="shared" si="2"/>
        <v>('12Mar250017','070000177907','4320',(select max(to_number(i.premium_rcv_detail_code))+1
from ins_premium_det i),'4320','4320','02', '11000003','00','Request by Mr. Saqib Saleem 12-Mar-2025');</v>
      </c>
      <c r="H14" s="11" t="str">
        <f t="shared" si="3"/>
        <v>insert into ins_premium_det (premium_rcv_code,assorted_code, rec_amount,premium_rcv_detail_code,remaining_amt, payrec, mode_code,coinsurance_code,class_cd,it_remarks) values('12Mar250017','070000177907','4320',(select max(to_number(i.premium_rcv_detail_code))+1
from ins_premium_det i),'4320','4320','02', '11000003','00','Request by Mr. Saqib Saleem 12-Mar-2025');</v>
      </c>
    </row>
    <row r="15" spans="1:8" ht="105" x14ac:dyDescent="0.25">
      <c r="A15" s="1" t="s">
        <v>57</v>
      </c>
      <c r="B15" s="1" t="str">
        <f>VLOOKUP(A15,policy!B:C,2,0)</f>
        <v>070000177908</v>
      </c>
      <c r="C15" s="4">
        <v>9960</v>
      </c>
      <c r="D15" s="8">
        <f t="shared" si="1"/>
        <v>9960</v>
      </c>
      <c r="E15" s="12" t="s">
        <v>821</v>
      </c>
      <c r="F15" s="9" t="str">
        <f t="shared" si="0"/>
        <v>insert into ins_premium_det (premium_rcv_code,assorted_code, rec_amount,premium_rcv_detail_code,remaining_amt, payrec, mode_code,coinsurance_code,class_cd,it_remarks) values</v>
      </c>
      <c r="G15" s="10" t="str">
        <f t="shared" si="2"/>
        <v>('12Mar250017','070000177908','9960',(select max(to_number(i.premium_rcv_detail_code))+1
from ins_premium_det i),'9960','9960','02', '11000003','00','Request by Mr. Saqib Saleem 12-Mar-2025');</v>
      </c>
      <c r="H15" s="11" t="str">
        <f t="shared" si="3"/>
        <v>insert into ins_premium_det (premium_rcv_code,assorted_code, rec_amount,premium_rcv_detail_code,remaining_amt, payrec, mode_code,coinsurance_code,class_cd,it_remarks) values('12Mar250017','070000177908','9960',(select max(to_number(i.premium_rcv_detail_code))+1
from ins_premium_det i),'9960','9960','02', '11000003','00','Request by Mr. Saqib Saleem 12-Mar-2025');</v>
      </c>
    </row>
    <row r="16" spans="1:8" ht="105" x14ac:dyDescent="0.25">
      <c r="A16" s="1" t="s">
        <v>59</v>
      </c>
      <c r="B16" s="1" t="str">
        <f>VLOOKUP(A16,policy!B:C,2,0)</f>
        <v>070000177909</v>
      </c>
      <c r="C16" s="4">
        <v>9001</v>
      </c>
      <c r="D16" s="8">
        <f t="shared" si="1"/>
        <v>9001</v>
      </c>
      <c r="E16" s="12" t="s">
        <v>821</v>
      </c>
      <c r="F16" s="9" t="str">
        <f t="shared" si="0"/>
        <v>insert into ins_premium_det (premium_rcv_code,assorted_code, rec_amount,premium_rcv_detail_code,remaining_amt, payrec, mode_code,coinsurance_code,class_cd,it_remarks) values</v>
      </c>
      <c r="G16" s="10" t="str">
        <f t="shared" si="2"/>
        <v>('12Mar250017','070000177909','9001',(select max(to_number(i.premium_rcv_detail_code))+1
from ins_premium_det i),'9001','9001','02', '11000003','00','Request by Mr. Saqib Saleem 12-Mar-2025');</v>
      </c>
      <c r="H16" s="11" t="str">
        <f t="shared" si="3"/>
        <v>insert into ins_premium_det (premium_rcv_code,assorted_code, rec_amount,premium_rcv_detail_code,remaining_amt, payrec, mode_code,coinsurance_code,class_cd,it_remarks) values('12Mar250017','070000177909','9001',(select max(to_number(i.premium_rcv_detail_code))+1
from ins_premium_det i),'9001','9001','02', '11000003','00','Request by Mr. Saqib Saleem 12-Mar-2025');</v>
      </c>
    </row>
    <row r="17" spans="1:8" ht="105" x14ac:dyDescent="0.25">
      <c r="A17" s="1" t="s">
        <v>61</v>
      </c>
      <c r="B17" s="1" t="str">
        <f>VLOOKUP(A17,policy!B:C,2,0)</f>
        <v>070000177910</v>
      </c>
      <c r="C17" s="4">
        <v>6000</v>
      </c>
      <c r="D17" s="8">
        <f t="shared" si="1"/>
        <v>6000</v>
      </c>
      <c r="E17" s="12" t="s">
        <v>821</v>
      </c>
      <c r="F17" s="9" t="str">
        <f t="shared" si="0"/>
        <v>insert into ins_premium_det (premium_rcv_code,assorted_code, rec_amount,premium_rcv_detail_code,remaining_amt, payrec, mode_code,coinsurance_code,class_cd,it_remarks) values</v>
      </c>
      <c r="G17" s="10" t="str">
        <f t="shared" si="2"/>
        <v>('12Mar250017','070000177910','6000',(select max(to_number(i.premium_rcv_detail_code))+1
from ins_premium_det i),'6000','6000','02', '11000003','00','Request by Mr. Saqib Saleem 12-Mar-2025');</v>
      </c>
      <c r="H17" s="11" t="str">
        <f t="shared" si="3"/>
        <v>insert into ins_premium_det (premium_rcv_code,assorted_code, rec_amount,premium_rcv_detail_code,remaining_amt, payrec, mode_code,coinsurance_code,class_cd,it_remarks) values('12Mar250017','070000177910','6000',(select max(to_number(i.premium_rcv_detail_code))+1
from ins_premium_det i),'6000','6000','02', '11000003','00','Request by Mr. Saqib Saleem 12-Mar-2025');</v>
      </c>
    </row>
    <row r="18" spans="1:8" ht="105" x14ac:dyDescent="0.25">
      <c r="A18" s="1" t="s">
        <v>63</v>
      </c>
      <c r="B18" s="1" t="str">
        <f>VLOOKUP(A18,policy!B:C,2,0)</f>
        <v>070000177911</v>
      </c>
      <c r="C18" s="4">
        <v>6000</v>
      </c>
      <c r="D18" s="8">
        <f t="shared" si="1"/>
        <v>6000</v>
      </c>
      <c r="E18" s="12" t="s">
        <v>821</v>
      </c>
      <c r="F18" s="9" t="str">
        <f t="shared" si="0"/>
        <v>insert into ins_premium_det (premium_rcv_code,assorted_code, rec_amount,premium_rcv_detail_code,remaining_amt, payrec, mode_code,coinsurance_code,class_cd,it_remarks) values</v>
      </c>
      <c r="G18" s="10" t="str">
        <f t="shared" si="2"/>
        <v>('12Mar250017','070000177911','6000',(select max(to_number(i.premium_rcv_detail_code))+1
from ins_premium_det i),'6000','6000','02', '11000003','00','Request by Mr. Saqib Saleem 12-Mar-2025');</v>
      </c>
      <c r="H18" s="11" t="str">
        <f t="shared" si="3"/>
        <v>insert into ins_premium_det (premium_rcv_code,assorted_code, rec_amount,premium_rcv_detail_code,remaining_amt, payrec, mode_code,coinsurance_code,class_cd,it_remarks) values('12Mar250017','070000177911','6000',(select max(to_number(i.premium_rcv_detail_code))+1
from ins_premium_det i),'6000','6000','02', '11000003','00','Request by Mr. Saqib Saleem 12-Mar-2025');</v>
      </c>
    </row>
    <row r="19" spans="1:8" ht="105" x14ac:dyDescent="0.25">
      <c r="A19" s="1" t="s">
        <v>65</v>
      </c>
      <c r="B19" s="1" t="str">
        <f>VLOOKUP(A19,policy!B:C,2,0)</f>
        <v>070000177912</v>
      </c>
      <c r="C19" s="4">
        <v>14280</v>
      </c>
      <c r="D19" s="8">
        <f t="shared" si="1"/>
        <v>14280</v>
      </c>
      <c r="E19" s="12" t="s">
        <v>821</v>
      </c>
      <c r="F19" s="9" t="str">
        <f t="shared" si="0"/>
        <v>insert into ins_premium_det (premium_rcv_code,assorted_code, rec_amount,premium_rcv_detail_code,remaining_amt, payrec, mode_code,coinsurance_code,class_cd,it_remarks) values</v>
      </c>
      <c r="G19" s="10" t="str">
        <f t="shared" si="2"/>
        <v>('12Mar250017','070000177912','14280',(select max(to_number(i.premium_rcv_detail_code))+1
from ins_premium_det i),'14280','14280','02', '11000003','00','Request by Mr. Saqib Saleem 12-Mar-2025');</v>
      </c>
      <c r="H19" s="11" t="str">
        <f t="shared" si="3"/>
        <v>insert into ins_premium_det (premium_rcv_code,assorted_code, rec_amount,premium_rcv_detail_code,remaining_amt, payrec, mode_code,coinsurance_code,class_cd,it_remarks) values('12Mar250017','070000177912','14280',(select max(to_number(i.premium_rcv_detail_code))+1
from ins_premium_det i),'14280','14280','02', '11000003','00','Request by Mr. Saqib Saleem 12-Mar-2025');</v>
      </c>
    </row>
    <row r="20" spans="1:8" ht="105" x14ac:dyDescent="0.25">
      <c r="A20" s="1" t="s">
        <v>67</v>
      </c>
      <c r="B20" s="1" t="str">
        <f>VLOOKUP(A20,policy!B:C,2,0)</f>
        <v>070000177913</v>
      </c>
      <c r="C20" s="4">
        <v>9720</v>
      </c>
      <c r="D20" s="8">
        <f t="shared" si="1"/>
        <v>9720</v>
      </c>
      <c r="E20" s="12" t="s">
        <v>821</v>
      </c>
      <c r="F20" s="9" t="str">
        <f t="shared" si="0"/>
        <v>insert into ins_premium_det (premium_rcv_code,assorted_code, rec_amount,premium_rcv_detail_code,remaining_amt, payrec, mode_code,coinsurance_code,class_cd,it_remarks) values</v>
      </c>
      <c r="G20" s="10" t="str">
        <f t="shared" si="2"/>
        <v>('12Mar250017','070000177913','9720',(select max(to_number(i.premium_rcv_detail_code))+1
from ins_premium_det i),'9720','9720','02', '11000003','00','Request by Mr. Saqib Saleem 12-Mar-2025');</v>
      </c>
      <c r="H20" s="11" t="str">
        <f t="shared" si="3"/>
        <v>insert into ins_premium_det (premium_rcv_code,assorted_code, rec_amount,premium_rcv_detail_code,remaining_amt, payrec, mode_code,coinsurance_code,class_cd,it_remarks) values('12Mar250017','070000177913','9720',(select max(to_number(i.premium_rcv_detail_code))+1
from ins_premium_det i),'9720','9720','02', '11000003','00','Request by Mr. Saqib Saleem 12-Mar-2025');</v>
      </c>
    </row>
    <row r="21" spans="1:8" ht="105" x14ac:dyDescent="0.25">
      <c r="A21" s="1" t="s">
        <v>69</v>
      </c>
      <c r="B21" s="1" t="str">
        <f>VLOOKUP(A21,policy!B:C,2,0)</f>
        <v>070000177914</v>
      </c>
      <c r="C21" s="4">
        <v>6120</v>
      </c>
      <c r="D21" s="8">
        <f t="shared" si="1"/>
        <v>6120</v>
      </c>
      <c r="E21" s="12" t="s">
        <v>821</v>
      </c>
      <c r="F21" s="9" t="str">
        <f t="shared" si="0"/>
        <v>insert into ins_premium_det (premium_rcv_code,assorted_code, rec_amount,premium_rcv_detail_code,remaining_amt, payrec, mode_code,coinsurance_code,class_cd,it_remarks) values</v>
      </c>
      <c r="G21" s="10" t="str">
        <f t="shared" si="2"/>
        <v>('12Mar250017','070000177914','6120',(select max(to_number(i.premium_rcv_detail_code))+1
from ins_premium_det i),'6120','6120','02', '11000003','00','Request by Mr. Saqib Saleem 12-Mar-2025');</v>
      </c>
      <c r="H21" s="11" t="str">
        <f t="shared" si="3"/>
        <v>insert into ins_premium_det (premium_rcv_code,assorted_code, rec_amount,premium_rcv_detail_code,remaining_amt, payrec, mode_code,coinsurance_code,class_cd,it_remarks) values('12Mar250017','070000177914','6120',(select max(to_number(i.premium_rcv_detail_code))+1
from ins_premium_det i),'6120','6120','02', '11000003','00','Request by Mr. Saqib Saleem 12-Mar-2025');</v>
      </c>
    </row>
    <row r="22" spans="1:8" ht="105" x14ac:dyDescent="0.25">
      <c r="A22" s="1" t="s">
        <v>71</v>
      </c>
      <c r="B22" s="1" t="str">
        <f>VLOOKUP(A22,policy!B:C,2,0)</f>
        <v>070000177915</v>
      </c>
      <c r="C22" s="4">
        <v>9600</v>
      </c>
      <c r="D22" s="8">
        <f t="shared" si="1"/>
        <v>9600</v>
      </c>
      <c r="E22" s="12" t="s">
        <v>821</v>
      </c>
      <c r="F22" s="9" t="str">
        <f t="shared" si="0"/>
        <v>insert into ins_premium_det (premium_rcv_code,assorted_code, rec_amount,premium_rcv_detail_code,remaining_amt, payrec, mode_code,coinsurance_code,class_cd,it_remarks) values</v>
      </c>
      <c r="G22" s="10" t="str">
        <f t="shared" si="2"/>
        <v>('12Mar250017','070000177915','9600',(select max(to_number(i.premium_rcv_detail_code))+1
from ins_premium_det i),'9600','9600','02', '11000003','00','Request by Mr. Saqib Saleem 12-Mar-2025');</v>
      </c>
      <c r="H22" s="11" t="str">
        <f t="shared" si="3"/>
        <v>insert into ins_premium_det (premium_rcv_code,assorted_code, rec_amount,premium_rcv_detail_code,remaining_amt, payrec, mode_code,coinsurance_code,class_cd,it_remarks) values('12Mar250017','070000177915','9600',(select max(to_number(i.premium_rcv_detail_code))+1
from ins_premium_det i),'9600','9600','02', '11000003','00','Request by Mr. Saqib Saleem 12-Mar-2025');</v>
      </c>
    </row>
    <row r="23" spans="1:8" ht="105" x14ac:dyDescent="0.25">
      <c r="A23" s="1" t="s">
        <v>73</v>
      </c>
      <c r="B23" s="1" t="str">
        <f>VLOOKUP(A23,policy!B:C,2,0)</f>
        <v>070000177916</v>
      </c>
      <c r="C23" s="4">
        <v>9001</v>
      </c>
      <c r="D23" s="8">
        <f t="shared" si="1"/>
        <v>9001</v>
      </c>
      <c r="E23" s="12" t="s">
        <v>821</v>
      </c>
      <c r="F23" s="9" t="str">
        <f t="shared" si="0"/>
        <v>insert into ins_premium_det (premium_rcv_code,assorted_code, rec_amount,premium_rcv_detail_code,remaining_amt, payrec, mode_code,coinsurance_code,class_cd,it_remarks) values</v>
      </c>
      <c r="G23" s="10" t="str">
        <f t="shared" si="2"/>
        <v>('12Mar250017','070000177916','9001',(select max(to_number(i.premium_rcv_detail_code))+1
from ins_premium_det i),'9001','9001','02', '11000003','00','Request by Mr. Saqib Saleem 12-Mar-2025');</v>
      </c>
      <c r="H23" s="11" t="str">
        <f t="shared" si="3"/>
        <v>insert into ins_premium_det (premium_rcv_code,assorted_code, rec_amount,premium_rcv_detail_code,remaining_amt, payrec, mode_code,coinsurance_code,class_cd,it_remarks) values('12Mar250017','070000177916','9001',(select max(to_number(i.premium_rcv_detail_code))+1
from ins_premium_det i),'9001','9001','02', '11000003','00','Request by Mr. Saqib Saleem 12-Mar-2025');</v>
      </c>
    </row>
    <row r="24" spans="1:8" ht="105" x14ac:dyDescent="0.25">
      <c r="A24" s="1" t="s">
        <v>75</v>
      </c>
      <c r="B24" s="1" t="str">
        <f>VLOOKUP(A24,policy!B:C,2,0)</f>
        <v>070000177917</v>
      </c>
      <c r="C24" s="4">
        <v>3000</v>
      </c>
      <c r="D24" s="8">
        <f t="shared" si="1"/>
        <v>3000</v>
      </c>
      <c r="E24" s="12" t="s">
        <v>821</v>
      </c>
      <c r="F24" s="9" t="str">
        <f t="shared" si="0"/>
        <v>insert into ins_premium_det (premium_rcv_code,assorted_code, rec_amount,premium_rcv_detail_code,remaining_amt, payrec, mode_code,coinsurance_code,class_cd,it_remarks) values</v>
      </c>
      <c r="G24" s="10" t="str">
        <f t="shared" si="2"/>
        <v>('12Mar250017','070000177917','3000',(select max(to_number(i.premium_rcv_detail_code))+1
from ins_premium_det i),'3000','3000','02', '11000003','00','Request by Mr. Saqib Saleem 12-Mar-2025');</v>
      </c>
      <c r="H24" s="11" t="str">
        <f t="shared" si="3"/>
        <v>insert into ins_premium_det (premium_rcv_code,assorted_code, rec_amount,premium_rcv_detail_code,remaining_amt, payrec, mode_code,coinsurance_code,class_cd,it_remarks) values('12Mar250017','070000177917','3000',(select max(to_number(i.premium_rcv_detail_code))+1
from ins_premium_det i),'3000','3000','02', '11000003','00','Request by Mr. Saqib Saleem 12-Mar-2025');</v>
      </c>
    </row>
    <row r="25" spans="1:8" ht="105" x14ac:dyDescent="0.25">
      <c r="A25" s="1" t="s">
        <v>77</v>
      </c>
      <c r="B25" s="1" t="str">
        <f>VLOOKUP(A25,policy!B:C,2,0)</f>
        <v>070000177918</v>
      </c>
      <c r="C25" s="4">
        <v>30720</v>
      </c>
      <c r="D25" s="8">
        <f t="shared" si="1"/>
        <v>30720</v>
      </c>
      <c r="E25" s="12" t="s">
        <v>821</v>
      </c>
      <c r="F25" s="9" t="str">
        <f t="shared" si="0"/>
        <v>insert into ins_premium_det (premium_rcv_code,assorted_code, rec_amount,premium_rcv_detail_code,remaining_amt, payrec, mode_code,coinsurance_code,class_cd,it_remarks) values</v>
      </c>
      <c r="G25" s="10" t="str">
        <f t="shared" si="2"/>
        <v>('12Mar250017','070000177918','30720',(select max(to_number(i.premium_rcv_detail_code))+1
from ins_premium_det i),'30720','30720','02', '11000003','00','Request by Mr. Saqib Saleem 12-Mar-2025');</v>
      </c>
      <c r="H25" s="11" t="str">
        <f t="shared" si="3"/>
        <v>insert into ins_premium_det (premium_rcv_code,assorted_code, rec_amount,premium_rcv_detail_code,remaining_amt, payrec, mode_code,coinsurance_code,class_cd,it_remarks) values('12Mar250017','070000177918','30720',(select max(to_number(i.premium_rcv_detail_code))+1
from ins_premium_det i),'30720','30720','02', '11000003','00','Request by Mr. Saqib Saleem 12-Mar-2025');</v>
      </c>
    </row>
    <row r="26" spans="1:8" ht="105" x14ac:dyDescent="0.25">
      <c r="A26" s="1" t="s">
        <v>79</v>
      </c>
      <c r="B26" s="1" t="str">
        <f>VLOOKUP(A26,policy!B:C,2,0)</f>
        <v>070000177919</v>
      </c>
      <c r="C26" s="4">
        <v>15119</v>
      </c>
      <c r="D26" s="8">
        <f t="shared" si="1"/>
        <v>15119</v>
      </c>
      <c r="E26" s="12" t="s">
        <v>821</v>
      </c>
      <c r="F26" s="9" t="str">
        <f t="shared" si="0"/>
        <v>insert into ins_premium_det (premium_rcv_code,assorted_code, rec_amount,premium_rcv_detail_code,remaining_amt, payrec, mode_code,coinsurance_code,class_cd,it_remarks) values</v>
      </c>
      <c r="G26" s="10" t="str">
        <f t="shared" si="2"/>
        <v>('12Mar250017','070000177919','15119',(select max(to_number(i.premium_rcv_detail_code))+1
from ins_premium_det i),'15119','15119','02', '11000003','00','Request by Mr. Saqib Saleem 12-Mar-2025');</v>
      </c>
      <c r="H26" s="11" t="str">
        <f t="shared" si="3"/>
        <v>insert into ins_premium_det (premium_rcv_code,assorted_code, rec_amount,premium_rcv_detail_code,remaining_amt, payrec, mode_code,coinsurance_code,class_cd,it_remarks) values('12Mar250017','070000177919','15119',(select max(to_number(i.premium_rcv_detail_code))+1
from ins_premium_det i),'15119','15119','02', '11000003','00','Request by Mr. Saqib Saleem 12-Mar-2025');</v>
      </c>
    </row>
    <row r="27" spans="1:8" ht="105" x14ac:dyDescent="0.25">
      <c r="A27" s="1" t="s">
        <v>81</v>
      </c>
      <c r="B27" s="1" t="str">
        <f>VLOOKUP(A27,policy!B:C,2,0)</f>
        <v>070000177920</v>
      </c>
      <c r="C27" s="4">
        <v>7079</v>
      </c>
      <c r="D27" s="8">
        <f t="shared" si="1"/>
        <v>7079</v>
      </c>
      <c r="E27" s="12" t="s">
        <v>821</v>
      </c>
      <c r="F27" s="9" t="str">
        <f t="shared" si="0"/>
        <v>insert into ins_premium_det (premium_rcv_code,assorted_code, rec_amount,premium_rcv_detail_code,remaining_amt, payrec, mode_code,coinsurance_code,class_cd,it_remarks) values</v>
      </c>
      <c r="G27" s="10" t="str">
        <f t="shared" si="2"/>
        <v>('12Mar250017','070000177920','7079',(select max(to_number(i.premium_rcv_detail_code))+1
from ins_premium_det i),'7079','7079','02', '11000003','00','Request by Mr. Saqib Saleem 12-Mar-2025');</v>
      </c>
      <c r="H27" s="11" t="str">
        <f t="shared" si="3"/>
        <v>insert into ins_premium_det (premium_rcv_code,assorted_code, rec_amount,premium_rcv_detail_code,remaining_amt, payrec, mode_code,coinsurance_code,class_cd,it_remarks) values('12Mar250017','070000177920','7079',(select max(to_number(i.premium_rcv_detail_code))+1
from ins_premium_det i),'7079','7079','02', '11000003','00','Request by Mr. Saqib Saleem 12-Mar-2025');</v>
      </c>
    </row>
    <row r="28" spans="1:8" ht="105" x14ac:dyDescent="0.25">
      <c r="A28" s="1" t="s">
        <v>83</v>
      </c>
      <c r="B28" s="1" t="str">
        <f>VLOOKUP(A28,policy!B:C,2,0)</f>
        <v>070000177921</v>
      </c>
      <c r="C28" s="4">
        <v>3599</v>
      </c>
      <c r="D28" s="8">
        <f t="shared" si="1"/>
        <v>3599</v>
      </c>
      <c r="E28" s="12" t="s">
        <v>821</v>
      </c>
      <c r="F28" s="9" t="str">
        <f t="shared" si="0"/>
        <v>insert into ins_premium_det (premium_rcv_code,assorted_code, rec_amount,premium_rcv_detail_code,remaining_amt, payrec, mode_code,coinsurance_code,class_cd,it_remarks) values</v>
      </c>
      <c r="G28" s="10" t="str">
        <f t="shared" si="2"/>
        <v>('12Mar250017','070000177921','3599',(select max(to_number(i.premium_rcv_detail_code))+1
from ins_premium_det i),'3599','3599','02', '11000003','00','Request by Mr. Saqib Saleem 12-Mar-2025');</v>
      </c>
      <c r="H28" s="11" t="str">
        <f t="shared" si="3"/>
        <v>insert into ins_premium_det (premium_rcv_code,assorted_code, rec_amount,premium_rcv_detail_code,remaining_amt, payrec, mode_code,coinsurance_code,class_cd,it_remarks) values('12Mar250017','070000177921','3599',(select max(to_number(i.premium_rcv_detail_code))+1
from ins_premium_det i),'3599','3599','02', '11000003','00','Request by Mr. Saqib Saleem 12-Mar-2025');</v>
      </c>
    </row>
    <row r="29" spans="1:8" ht="105" x14ac:dyDescent="0.25">
      <c r="A29" s="1" t="s">
        <v>85</v>
      </c>
      <c r="B29" s="1" t="str">
        <f>VLOOKUP(A29,policy!B:C,2,0)</f>
        <v>070000177922</v>
      </c>
      <c r="C29" s="4">
        <v>6240</v>
      </c>
      <c r="D29" s="8">
        <f t="shared" si="1"/>
        <v>6240</v>
      </c>
      <c r="E29" s="12" t="s">
        <v>821</v>
      </c>
      <c r="F29" s="9" t="str">
        <f t="shared" si="0"/>
        <v>insert into ins_premium_det (premium_rcv_code,assorted_code, rec_amount,premium_rcv_detail_code,remaining_amt, payrec, mode_code,coinsurance_code,class_cd,it_remarks) values</v>
      </c>
      <c r="G29" s="10" t="str">
        <f t="shared" si="2"/>
        <v>('12Mar250017','070000177922','6240',(select max(to_number(i.premium_rcv_detail_code))+1
from ins_premium_det i),'6240','6240','02', '11000003','00','Request by Mr. Saqib Saleem 12-Mar-2025');</v>
      </c>
      <c r="H29" s="11" t="str">
        <f t="shared" si="3"/>
        <v>insert into ins_premium_det (premium_rcv_code,assorted_code, rec_amount,premium_rcv_detail_code,remaining_amt, payrec, mode_code,coinsurance_code,class_cd,it_remarks) values('12Mar250017','070000177922','6240',(select max(to_number(i.premium_rcv_detail_code))+1
from ins_premium_det i),'6240','6240','02', '11000003','00','Request by Mr. Saqib Saleem 12-Mar-2025');</v>
      </c>
    </row>
    <row r="30" spans="1:8" ht="105" x14ac:dyDescent="0.25">
      <c r="A30" s="1" t="s">
        <v>87</v>
      </c>
      <c r="B30" s="1" t="str">
        <f>VLOOKUP(A30,policy!B:C,2,0)</f>
        <v>070000177923</v>
      </c>
      <c r="C30" s="4">
        <v>4200</v>
      </c>
      <c r="D30" s="8">
        <f t="shared" si="1"/>
        <v>4200</v>
      </c>
      <c r="E30" s="12" t="s">
        <v>821</v>
      </c>
      <c r="F30" s="9" t="str">
        <f t="shared" si="0"/>
        <v>insert into ins_premium_det (premium_rcv_code,assorted_code, rec_amount,premium_rcv_detail_code,remaining_amt, payrec, mode_code,coinsurance_code,class_cd,it_remarks) values</v>
      </c>
      <c r="G30" s="10" t="str">
        <f t="shared" si="2"/>
        <v>('12Mar250017','070000177923','4200',(select max(to_number(i.premium_rcv_detail_code))+1
from ins_premium_det i),'4200','4200','02', '11000003','00','Request by Mr. Saqib Saleem 12-Mar-2025');</v>
      </c>
      <c r="H30" s="11" t="str">
        <f t="shared" si="3"/>
        <v>insert into ins_premium_det (premium_rcv_code,assorted_code, rec_amount,premium_rcv_detail_code,remaining_amt, payrec, mode_code,coinsurance_code,class_cd,it_remarks) values('12Mar250017','070000177923','4200',(select max(to_number(i.premium_rcv_detail_code))+1
from ins_premium_det i),'4200','4200','02', '11000003','00','Request by Mr. Saqib Saleem 12-Mar-2025');</v>
      </c>
    </row>
    <row r="31" spans="1:8" ht="105" x14ac:dyDescent="0.25">
      <c r="A31" s="1" t="s">
        <v>89</v>
      </c>
      <c r="B31" s="1" t="str">
        <f>VLOOKUP(A31,policy!B:C,2,0)</f>
        <v>070000177924</v>
      </c>
      <c r="C31" s="4">
        <v>2400</v>
      </c>
      <c r="D31" s="8">
        <f t="shared" si="1"/>
        <v>2400</v>
      </c>
      <c r="E31" s="12" t="s">
        <v>821</v>
      </c>
      <c r="F31" s="9" t="str">
        <f t="shared" si="0"/>
        <v>insert into ins_premium_det (premium_rcv_code,assorted_code, rec_amount,premium_rcv_detail_code,remaining_amt, payrec, mode_code,coinsurance_code,class_cd,it_remarks) values</v>
      </c>
      <c r="G31" s="10" t="str">
        <f t="shared" si="2"/>
        <v>('12Mar250017','070000177924','2400',(select max(to_number(i.premium_rcv_detail_code))+1
from ins_premium_det i),'2400','2400','02', '11000003','00','Request by Mr. Saqib Saleem 12-Mar-2025');</v>
      </c>
      <c r="H31" s="11" t="str">
        <f t="shared" si="3"/>
        <v>insert into ins_premium_det (premium_rcv_code,assorted_code, rec_amount,premium_rcv_detail_code,remaining_amt, payrec, mode_code,coinsurance_code,class_cd,it_remarks) values('12Mar250017','070000177924','2400',(select max(to_number(i.premium_rcv_detail_code))+1
from ins_premium_det i),'2400','2400','02', '11000003','00','Request by Mr. Saqib Saleem 12-Mar-2025');</v>
      </c>
    </row>
    <row r="32" spans="1:8" ht="105" x14ac:dyDescent="0.25">
      <c r="A32" s="1" t="s">
        <v>91</v>
      </c>
      <c r="B32" s="1" t="str">
        <f>VLOOKUP(A32,policy!B:C,2,0)</f>
        <v>070000177925</v>
      </c>
      <c r="C32" s="4">
        <v>6720</v>
      </c>
      <c r="D32" s="8">
        <f t="shared" si="1"/>
        <v>6720</v>
      </c>
      <c r="E32" s="12" t="s">
        <v>821</v>
      </c>
      <c r="F32" s="9" t="str">
        <f t="shared" si="0"/>
        <v>insert into ins_premium_det (premium_rcv_code,assorted_code, rec_amount,premium_rcv_detail_code,remaining_amt, payrec, mode_code,coinsurance_code,class_cd,it_remarks) values</v>
      </c>
      <c r="G32" s="10" t="str">
        <f t="shared" si="2"/>
        <v>('12Mar250017','070000177925','6720',(select max(to_number(i.premium_rcv_detail_code))+1
from ins_premium_det i),'6720','6720','02', '11000003','00','Request by Mr. Saqib Saleem 12-Mar-2025');</v>
      </c>
      <c r="H32" s="11" t="str">
        <f t="shared" si="3"/>
        <v>insert into ins_premium_det (premium_rcv_code,assorted_code, rec_amount,premium_rcv_detail_code,remaining_amt, payrec, mode_code,coinsurance_code,class_cd,it_remarks) values('12Mar250017','070000177925','6720',(select max(to_number(i.premium_rcv_detail_code))+1
from ins_premium_det i),'6720','6720','02', '11000003','00','Request by Mr. Saqib Saleem 12-Mar-2025');</v>
      </c>
    </row>
    <row r="33" spans="1:8" ht="105" x14ac:dyDescent="0.25">
      <c r="A33" s="1" t="s">
        <v>93</v>
      </c>
      <c r="B33" s="1" t="str">
        <f>VLOOKUP(A33,policy!B:C,2,0)</f>
        <v>070000177926</v>
      </c>
      <c r="C33" s="4">
        <v>3840</v>
      </c>
      <c r="D33" s="8">
        <f t="shared" si="1"/>
        <v>3840</v>
      </c>
      <c r="E33" s="12" t="s">
        <v>821</v>
      </c>
      <c r="F33" s="9" t="str">
        <f t="shared" si="0"/>
        <v>insert into ins_premium_det (premium_rcv_code,assorted_code, rec_amount,premium_rcv_detail_code,remaining_amt, payrec, mode_code,coinsurance_code,class_cd,it_remarks) values</v>
      </c>
      <c r="G33" s="10" t="str">
        <f t="shared" si="2"/>
        <v>('12Mar250017','070000177926','3840',(select max(to_number(i.premium_rcv_detail_code))+1
from ins_premium_det i),'3840','3840','02', '11000003','00','Request by Mr. Saqib Saleem 12-Mar-2025');</v>
      </c>
      <c r="H33" s="11" t="str">
        <f t="shared" si="3"/>
        <v>insert into ins_premium_det (premium_rcv_code,assorted_code, rec_amount,premium_rcv_detail_code,remaining_amt, payrec, mode_code,coinsurance_code,class_cd,it_remarks) values('12Mar250017','070000177926','3840',(select max(to_number(i.premium_rcv_detail_code))+1
from ins_premium_det i),'3840','3840','02', '11000003','00','Request by Mr. Saqib Saleem 12-Mar-2025');</v>
      </c>
    </row>
    <row r="34" spans="1:8" ht="105" x14ac:dyDescent="0.25">
      <c r="A34" s="1" t="s">
        <v>95</v>
      </c>
      <c r="B34" s="1" t="str">
        <f>VLOOKUP(A34,policy!B:C,2,0)</f>
        <v>070000177927</v>
      </c>
      <c r="C34" s="4">
        <v>7440</v>
      </c>
      <c r="D34" s="8">
        <f t="shared" si="1"/>
        <v>7440</v>
      </c>
      <c r="E34" s="12" t="s">
        <v>821</v>
      </c>
      <c r="F34" s="9" t="str">
        <f t="shared" si="0"/>
        <v>insert into ins_premium_det (premium_rcv_code,assorted_code, rec_amount,premium_rcv_detail_code,remaining_amt, payrec, mode_code,coinsurance_code,class_cd,it_remarks) values</v>
      </c>
      <c r="G34" s="10" t="str">
        <f t="shared" si="2"/>
        <v>('12Mar250017','070000177927','7440',(select max(to_number(i.premium_rcv_detail_code))+1
from ins_premium_det i),'7440','7440','02', '11000003','00','Request by Mr. Saqib Saleem 12-Mar-2025');</v>
      </c>
      <c r="H34" s="11" t="str">
        <f t="shared" si="3"/>
        <v>insert into ins_premium_det (premium_rcv_code,assorted_code, rec_amount,premium_rcv_detail_code,remaining_amt, payrec, mode_code,coinsurance_code,class_cd,it_remarks) values('12Mar250017','070000177927','7440',(select max(to_number(i.premium_rcv_detail_code))+1
from ins_premium_det i),'7440','7440','02', '11000003','00','Request by Mr. Saqib Saleem 12-Mar-2025');</v>
      </c>
    </row>
    <row r="35" spans="1:8" ht="105" x14ac:dyDescent="0.25">
      <c r="A35" s="1" t="s">
        <v>97</v>
      </c>
      <c r="B35" s="1" t="str">
        <f>VLOOKUP(A35,policy!B:C,2,0)</f>
        <v>070000177928</v>
      </c>
      <c r="C35" s="4">
        <v>5159</v>
      </c>
      <c r="D35" s="8">
        <f t="shared" si="1"/>
        <v>5159</v>
      </c>
      <c r="E35" s="12" t="s">
        <v>821</v>
      </c>
      <c r="F35" s="9" t="str">
        <f t="shared" si="0"/>
        <v>insert into ins_premium_det (premium_rcv_code,assorted_code, rec_amount,premium_rcv_detail_code,remaining_amt, payrec, mode_code,coinsurance_code,class_cd,it_remarks) values</v>
      </c>
      <c r="G35" s="10" t="str">
        <f t="shared" si="2"/>
        <v>('12Mar250017','070000177928','5159',(select max(to_number(i.premium_rcv_detail_code))+1
from ins_premium_det i),'5159','5159','02', '11000003','00','Request by Mr. Saqib Saleem 12-Mar-2025');</v>
      </c>
      <c r="H35" s="11" t="str">
        <f t="shared" si="3"/>
        <v>insert into ins_premium_det (premium_rcv_code,assorted_code, rec_amount,premium_rcv_detail_code,remaining_amt, payrec, mode_code,coinsurance_code,class_cd,it_remarks) values('12Mar250017','070000177928','5159',(select max(to_number(i.premium_rcv_detail_code))+1
from ins_premium_det i),'5159','5159','02', '11000003','00','Request by Mr. Saqib Saleem 12-Mar-2025');</v>
      </c>
    </row>
    <row r="36" spans="1:8" ht="105" x14ac:dyDescent="0.25">
      <c r="A36" s="1" t="s">
        <v>99</v>
      </c>
      <c r="B36" s="1" t="str">
        <f>VLOOKUP(A36,policy!B:C,2,0)</f>
        <v>070000177929</v>
      </c>
      <c r="C36" s="4">
        <v>2400</v>
      </c>
      <c r="D36" s="8">
        <f t="shared" si="1"/>
        <v>2400</v>
      </c>
      <c r="E36" s="12" t="s">
        <v>821</v>
      </c>
      <c r="F36" s="9" t="str">
        <f t="shared" si="0"/>
        <v>insert into ins_premium_det (premium_rcv_code,assorted_code, rec_amount,premium_rcv_detail_code,remaining_amt, payrec, mode_code,coinsurance_code,class_cd,it_remarks) values</v>
      </c>
      <c r="G36" s="10" t="str">
        <f t="shared" si="2"/>
        <v>('12Mar250017','070000177929','2400',(select max(to_number(i.premium_rcv_detail_code))+1
from ins_premium_det i),'2400','2400','02', '11000003','00','Request by Mr. Saqib Saleem 12-Mar-2025');</v>
      </c>
      <c r="H36" s="11" t="str">
        <f t="shared" si="3"/>
        <v>insert into ins_premium_det (premium_rcv_code,assorted_code, rec_amount,premium_rcv_detail_code,remaining_amt, payrec, mode_code,coinsurance_code,class_cd,it_remarks) values('12Mar250017','070000177929','2400',(select max(to_number(i.premium_rcv_detail_code))+1
from ins_premium_det i),'2400','2400','02', '11000003','00','Request by Mr. Saqib Saleem 12-Mar-2025');</v>
      </c>
    </row>
    <row r="37" spans="1:8" ht="105" x14ac:dyDescent="0.25">
      <c r="A37" s="1" t="s">
        <v>101</v>
      </c>
      <c r="B37" s="1" t="str">
        <f>VLOOKUP(A37,policy!B:C,2,0)</f>
        <v>070000177930</v>
      </c>
      <c r="C37" s="4">
        <v>3000</v>
      </c>
      <c r="D37" s="8">
        <f t="shared" si="1"/>
        <v>3000</v>
      </c>
      <c r="E37" s="12" t="s">
        <v>821</v>
      </c>
      <c r="F37" s="9" t="str">
        <f t="shared" si="0"/>
        <v>insert into ins_premium_det (premium_rcv_code,assorted_code, rec_amount,premium_rcv_detail_code,remaining_amt, payrec, mode_code,coinsurance_code,class_cd,it_remarks) values</v>
      </c>
      <c r="G37" s="10" t="str">
        <f t="shared" si="2"/>
        <v>('12Mar250017','070000177930','3000',(select max(to_number(i.premium_rcv_detail_code))+1
from ins_premium_det i),'3000','3000','02', '11000003','00','Request by Mr. Saqib Saleem 12-Mar-2025');</v>
      </c>
      <c r="H37" s="11" t="str">
        <f t="shared" si="3"/>
        <v>insert into ins_premium_det (premium_rcv_code,assorted_code, rec_amount,premium_rcv_detail_code,remaining_amt, payrec, mode_code,coinsurance_code,class_cd,it_remarks) values('12Mar250017','070000177930','3000',(select max(to_number(i.premium_rcv_detail_code))+1
from ins_premium_det i),'3000','3000','02', '11000003','00','Request by Mr. Saqib Saleem 12-Mar-2025');</v>
      </c>
    </row>
    <row r="38" spans="1:8" ht="105" x14ac:dyDescent="0.25">
      <c r="A38" s="1" t="s">
        <v>103</v>
      </c>
      <c r="B38" s="1" t="str">
        <f>VLOOKUP(A38,policy!B:C,2,0)</f>
        <v>070000177931</v>
      </c>
      <c r="C38" s="4">
        <v>2400</v>
      </c>
      <c r="D38" s="8">
        <f t="shared" si="1"/>
        <v>2400</v>
      </c>
      <c r="E38" s="12" t="s">
        <v>821</v>
      </c>
      <c r="F38" s="9" t="str">
        <f t="shared" si="0"/>
        <v>insert into ins_premium_det (premium_rcv_code,assorted_code, rec_amount,premium_rcv_detail_code,remaining_amt, payrec, mode_code,coinsurance_code,class_cd,it_remarks) values</v>
      </c>
      <c r="G38" s="10" t="str">
        <f t="shared" si="2"/>
        <v>('12Mar250017','070000177931','2400',(select max(to_number(i.premium_rcv_detail_code))+1
from ins_premium_det i),'2400','2400','02', '11000003','00','Request by Mr. Saqib Saleem 12-Mar-2025');</v>
      </c>
      <c r="H38" s="11" t="str">
        <f t="shared" si="3"/>
        <v>insert into ins_premium_det (premium_rcv_code,assorted_code, rec_amount,premium_rcv_detail_code,remaining_amt, payrec, mode_code,coinsurance_code,class_cd,it_remarks) values('12Mar250017','070000177931','2400',(select max(to_number(i.premium_rcv_detail_code))+1
from ins_premium_det i),'2400','2400','02', '11000003','00','Request by Mr. Saqib Saleem 12-Mar-2025');</v>
      </c>
    </row>
    <row r="39" spans="1:8" ht="105" x14ac:dyDescent="0.25">
      <c r="A39" s="1" t="s">
        <v>105</v>
      </c>
      <c r="B39" s="1" t="str">
        <f>VLOOKUP(A39,policy!B:C,2,0)</f>
        <v>070000177932</v>
      </c>
      <c r="C39" s="4">
        <v>8761</v>
      </c>
      <c r="D39" s="8">
        <f t="shared" si="1"/>
        <v>8761</v>
      </c>
      <c r="E39" s="12" t="s">
        <v>821</v>
      </c>
      <c r="F39" s="9" t="str">
        <f t="shared" si="0"/>
        <v>insert into ins_premium_det (premium_rcv_code,assorted_code, rec_amount,premium_rcv_detail_code,remaining_amt, payrec, mode_code,coinsurance_code,class_cd,it_remarks) values</v>
      </c>
      <c r="G39" s="10" t="str">
        <f t="shared" si="2"/>
        <v>('12Mar250017','070000177932','8761',(select max(to_number(i.premium_rcv_detail_code))+1
from ins_premium_det i),'8761','8761','02', '11000003','00','Request by Mr. Saqib Saleem 12-Mar-2025');</v>
      </c>
      <c r="H39" s="11" t="str">
        <f t="shared" si="3"/>
        <v>insert into ins_premium_det (premium_rcv_code,assorted_code, rec_amount,premium_rcv_detail_code,remaining_amt, payrec, mode_code,coinsurance_code,class_cd,it_remarks) values('12Mar250017','070000177932','8761',(select max(to_number(i.premium_rcv_detail_code))+1
from ins_premium_det i),'8761','8761','02', '11000003','00','Request by Mr. Saqib Saleem 12-Mar-2025');</v>
      </c>
    </row>
    <row r="40" spans="1:8" ht="105" x14ac:dyDescent="0.25">
      <c r="A40" s="1" t="s">
        <v>107</v>
      </c>
      <c r="B40" s="1" t="str">
        <f>VLOOKUP(A40,policy!B:C,2,0)</f>
        <v>070000177933</v>
      </c>
      <c r="C40" s="4">
        <v>3720</v>
      </c>
      <c r="D40" s="8">
        <f t="shared" si="1"/>
        <v>3720</v>
      </c>
      <c r="E40" s="12" t="s">
        <v>821</v>
      </c>
      <c r="F40" s="9" t="str">
        <f t="shared" si="0"/>
        <v>insert into ins_premium_det (premium_rcv_code,assorted_code, rec_amount,premium_rcv_detail_code,remaining_amt, payrec, mode_code,coinsurance_code,class_cd,it_remarks) values</v>
      </c>
      <c r="G40" s="10" t="str">
        <f t="shared" si="2"/>
        <v>('12Mar250017','070000177933','3720',(select max(to_number(i.premium_rcv_detail_code))+1
from ins_premium_det i),'3720','3720','02', '11000003','00','Request by Mr. Saqib Saleem 12-Mar-2025');</v>
      </c>
      <c r="H40" s="11" t="str">
        <f t="shared" si="3"/>
        <v>insert into ins_premium_det (premium_rcv_code,assorted_code, rec_amount,premium_rcv_detail_code,remaining_amt, payrec, mode_code,coinsurance_code,class_cd,it_remarks) values('12Mar250017','070000177933','3720',(select max(to_number(i.premium_rcv_detail_code))+1
from ins_premium_det i),'3720','3720','02', '11000003','00','Request by Mr. Saqib Saleem 12-Mar-2025');</v>
      </c>
    </row>
    <row r="41" spans="1:8" ht="105" x14ac:dyDescent="0.25">
      <c r="A41" s="1" t="s">
        <v>109</v>
      </c>
      <c r="B41" s="1" t="str">
        <f>VLOOKUP(A41,policy!B:C,2,0)</f>
        <v>070000177934</v>
      </c>
      <c r="C41" s="4">
        <v>2400</v>
      </c>
      <c r="D41" s="8">
        <f t="shared" si="1"/>
        <v>2400</v>
      </c>
      <c r="E41" s="12" t="s">
        <v>821</v>
      </c>
      <c r="F41" s="9" t="str">
        <f t="shared" si="0"/>
        <v>insert into ins_premium_det (premium_rcv_code,assorted_code, rec_amount,premium_rcv_detail_code,remaining_amt, payrec, mode_code,coinsurance_code,class_cd,it_remarks) values</v>
      </c>
      <c r="G41" s="10" t="str">
        <f t="shared" si="2"/>
        <v>('12Mar250017','070000177934','2400',(select max(to_number(i.premium_rcv_detail_code))+1
from ins_premium_det i),'2400','2400','02', '11000003','00','Request by Mr. Saqib Saleem 12-Mar-2025');</v>
      </c>
      <c r="H41" s="11" t="str">
        <f t="shared" si="3"/>
        <v>insert into ins_premium_det (premium_rcv_code,assorted_code, rec_amount,premium_rcv_detail_code,remaining_amt, payrec, mode_code,coinsurance_code,class_cd,it_remarks) values('12Mar250017','070000177934','2400',(select max(to_number(i.premium_rcv_detail_code))+1
from ins_premium_det i),'2400','2400','02', '11000003','00','Request by Mr. Saqib Saleem 12-Mar-2025');</v>
      </c>
    </row>
    <row r="42" spans="1:8" ht="105" x14ac:dyDescent="0.25">
      <c r="A42" s="1" t="s">
        <v>111</v>
      </c>
      <c r="B42" s="1" t="str">
        <f>VLOOKUP(A42,policy!B:C,2,0)</f>
        <v>070000177935</v>
      </c>
      <c r="C42" s="4">
        <v>3361</v>
      </c>
      <c r="D42" s="8">
        <f t="shared" si="1"/>
        <v>3361</v>
      </c>
      <c r="E42" s="12" t="s">
        <v>821</v>
      </c>
      <c r="F42" s="9" t="str">
        <f t="shared" si="0"/>
        <v>insert into ins_premium_det (premium_rcv_code,assorted_code, rec_amount,premium_rcv_detail_code,remaining_amt, payrec, mode_code,coinsurance_code,class_cd,it_remarks) values</v>
      </c>
      <c r="G42" s="10" t="str">
        <f t="shared" si="2"/>
        <v>('12Mar250017','070000177935','3361',(select max(to_number(i.premium_rcv_detail_code))+1
from ins_premium_det i),'3361','3361','02', '11000003','00','Request by Mr. Saqib Saleem 12-Mar-2025');</v>
      </c>
      <c r="H42" s="11" t="str">
        <f t="shared" si="3"/>
        <v>insert into ins_premium_det (premium_rcv_code,assorted_code, rec_amount,premium_rcv_detail_code,remaining_amt, payrec, mode_code,coinsurance_code,class_cd,it_remarks) values('12Mar250017','070000177935','3361',(select max(to_number(i.premium_rcv_detail_code))+1
from ins_premium_det i),'3361','3361','02', '11000003','00','Request by Mr. Saqib Saleem 12-Mar-2025');</v>
      </c>
    </row>
    <row r="43" spans="1:8" ht="105" x14ac:dyDescent="0.25">
      <c r="A43" s="1" t="s">
        <v>113</v>
      </c>
      <c r="B43" s="1" t="str">
        <f>VLOOKUP(A43,policy!B:C,2,0)</f>
        <v>070000177936</v>
      </c>
      <c r="C43" s="4">
        <v>6240</v>
      </c>
      <c r="D43" s="8">
        <f t="shared" si="1"/>
        <v>6240</v>
      </c>
      <c r="E43" s="12" t="s">
        <v>821</v>
      </c>
      <c r="F43" s="9" t="str">
        <f t="shared" si="0"/>
        <v>insert into ins_premium_det (premium_rcv_code,assorted_code, rec_amount,premium_rcv_detail_code,remaining_amt, payrec, mode_code,coinsurance_code,class_cd,it_remarks) values</v>
      </c>
      <c r="G43" s="10" t="str">
        <f t="shared" si="2"/>
        <v>('12Mar250017','070000177936','6240',(select max(to_number(i.premium_rcv_detail_code))+1
from ins_premium_det i),'6240','6240','02', '11000003','00','Request by Mr. Saqib Saleem 12-Mar-2025');</v>
      </c>
      <c r="H43" s="11" t="str">
        <f t="shared" si="3"/>
        <v>insert into ins_premium_det (premium_rcv_code,assorted_code, rec_amount,premium_rcv_detail_code,remaining_amt, payrec, mode_code,coinsurance_code,class_cd,it_remarks) values('12Mar250017','070000177936','6240',(select max(to_number(i.premium_rcv_detail_code))+1
from ins_premium_det i),'6240','6240','02', '11000003','00','Request by Mr. Saqib Saleem 12-Mar-2025');</v>
      </c>
    </row>
    <row r="44" spans="1:8" ht="105" x14ac:dyDescent="0.25">
      <c r="A44" s="1" t="s">
        <v>115</v>
      </c>
      <c r="B44" s="1" t="str">
        <f>VLOOKUP(A44,policy!B:C,2,0)</f>
        <v>070000177937</v>
      </c>
      <c r="C44" s="4">
        <v>3840</v>
      </c>
      <c r="D44" s="8">
        <f t="shared" si="1"/>
        <v>3840</v>
      </c>
      <c r="E44" s="12" t="s">
        <v>821</v>
      </c>
      <c r="F44" s="9" t="str">
        <f t="shared" si="0"/>
        <v>insert into ins_premium_det (premium_rcv_code,assorted_code, rec_amount,premium_rcv_detail_code,remaining_amt, payrec, mode_code,coinsurance_code,class_cd,it_remarks) values</v>
      </c>
      <c r="G44" s="10" t="str">
        <f t="shared" si="2"/>
        <v>('12Mar250017','070000177937','3840',(select max(to_number(i.premium_rcv_detail_code))+1
from ins_premium_det i),'3840','3840','02', '11000003','00','Request by Mr. Saqib Saleem 12-Mar-2025');</v>
      </c>
      <c r="H44" s="11" t="str">
        <f t="shared" si="3"/>
        <v>insert into ins_premium_det (premium_rcv_code,assorted_code, rec_amount,premium_rcv_detail_code,remaining_amt, payrec, mode_code,coinsurance_code,class_cd,it_remarks) values('12Mar250017','070000177937','3840',(select max(to_number(i.premium_rcv_detail_code))+1
from ins_premium_det i),'3840','3840','02', '11000003','00','Request by Mr. Saqib Saleem 12-Mar-2025');</v>
      </c>
    </row>
    <row r="45" spans="1:8" ht="105" x14ac:dyDescent="0.25">
      <c r="A45" s="1" t="s">
        <v>117</v>
      </c>
      <c r="B45" s="1" t="str">
        <f>VLOOKUP(A45,policy!B:C,2,0)</f>
        <v>070000177938</v>
      </c>
      <c r="C45" s="4">
        <v>3361</v>
      </c>
      <c r="D45" s="8">
        <f t="shared" si="1"/>
        <v>3361</v>
      </c>
      <c r="E45" s="12" t="s">
        <v>821</v>
      </c>
      <c r="F45" s="9" t="str">
        <f t="shared" si="0"/>
        <v>insert into ins_premium_det (premium_rcv_code,assorted_code, rec_amount,premium_rcv_detail_code,remaining_amt, payrec, mode_code,coinsurance_code,class_cd,it_remarks) values</v>
      </c>
      <c r="G45" s="10" t="str">
        <f t="shared" si="2"/>
        <v>('12Mar250017','070000177938','3361',(select max(to_number(i.premium_rcv_detail_code))+1
from ins_premium_det i),'3361','3361','02', '11000003','00','Request by Mr. Saqib Saleem 12-Mar-2025');</v>
      </c>
      <c r="H45" s="11" t="str">
        <f t="shared" si="3"/>
        <v>insert into ins_premium_det (premium_rcv_code,assorted_code, rec_amount,premium_rcv_detail_code,remaining_amt, payrec, mode_code,coinsurance_code,class_cd,it_remarks) values('12Mar250017','070000177938','3361',(select max(to_number(i.premium_rcv_detail_code))+1
from ins_premium_det i),'3361','3361','02', '11000003','00','Request by Mr. Saqib Saleem 12-Mar-2025');</v>
      </c>
    </row>
    <row r="46" spans="1:8" ht="105" x14ac:dyDescent="0.25">
      <c r="A46" s="1" t="s">
        <v>119</v>
      </c>
      <c r="B46" s="1" t="str">
        <f>VLOOKUP(A46,policy!B:C,2,0)</f>
        <v>070000177939</v>
      </c>
      <c r="C46" s="4">
        <v>2400</v>
      </c>
      <c r="D46" s="8">
        <f t="shared" si="1"/>
        <v>2400</v>
      </c>
      <c r="E46" s="12" t="s">
        <v>821</v>
      </c>
      <c r="F46" s="9" t="str">
        <f t="shared" si="0"/>
        <v>insert into ins_premium_det (premium_rcv_code,assorted_code, rec_amount,premium_rcv_detail_code,remaining_amt, payrec, mode_code,coinsurance_code,class_cd,it_remarks) values</v>
      </c>
      <c r="G46" s="10" t="str">
        <f t="shared" si="2"/>
        <v>('12Mar250017','070000177939','2400',(select max(to_number(i.premium_rcv_detail_code))+1
from ins_premium_det i),'2400','2400','02', '11000003','00','Request by Mr. Saqib Saleem 12-Mar-2025');</v>
      </c>
      <c r="H46" s="11" t="str">
        <f t="shared" si="3"/>
        <v>insert into ins_premium_det (premium_rcv_code,assorted_code, rec_amount,premium_rcv_detail_code,remaining_amt, payrec, mode_code,coinsurance_code,class_cd,it_remarks) values('12Mar250017','070000177939','2400',(select max(to_number(i.premium_rcv_detail_code))+1
from ins_premium_det i),'2400','2400','02', '11000003','00','Request by Mr. Saqib Saleem 12-Mar-2025');</v>
      </c>
    </row>
    <row r="47" spans="1:8" ht="105" x14ac:dyDescent="0.25">
      <c r="A47" s="1" t="s">
        <v>121</v>
      </c>
      <c r="B47" s="1" t="str">
        <f>VLOOKUP(A47,policy!B:C,2,0)</f>
        <v>070000177940</v>
      </c>
      <c r="C47" s="4">
        <v>6120</v>
      </c>
      <c r="D47" s="8">
        <f t="shared" si="1"/>
        <v>6120</v>
      </c>
      <c r="E47" s="12" t="s">
        <v>821</v>
      </c>
      <c r="F47" s="9" t="str">
        <f t="shared" si="0"/>
        <v>insert into ins_premium_det (premium_rcv_code,assorted_code, rec_amount,premium_rcv_detail_code,remaining_amt, payrec, mode_code,coinsurance_code,class_cd,it_remarks) values</v>
      </c>
      <c r="G47" s="10" t="str">
        <f t="shared" si="2"/>
        <v>('12Mar250017','070000177940','6120',(select max(to_number(i.premium_rcv_detail_code))+1
from ins_premium_det i),'6120','6120','02', '11000003','00','Request by Mr. Saqib Saleem 12-Mar-2025');</v>
      </c>
      <c r="H47" s="11" t="str">
        <f t="shared" si="3"/>
        <v>insert into ins_premium_det (premium_rcv_code,assorted_code, rec_amount,premium_rcv_detail_code,remaining_amt, payrec, mode_code,coinsurance_code,class_cd,it_remarks) values('12Mar250017','070000177940','6120',(select max(to_number(i.premium_rcv_detail_code))+1
from ins_premium_det i),'6120','6120','02', '11000003','00','Request by Mr. Saqib Saleem 12-Mar-2025');</v>
      </c>
    </row>
    <row r="48" spans="1:8" ht="105" x14ac:dyDescent="0.25">
      <c r="A48" s="1" t="s">
        <v>123</v>
      </c>
      <c r="B48" s="1" t="str">
        <f>VLOOKUP(A48,policy!B:C,2,0)</f>
        <v>070000177941</v>
      </c>
      <c r="C48" s="4">
        <v>4200</v>
      </c>
      <c r="D48" s="8">
        <f t="shared" si="1"/>
        <v>4200</v>
      </c>
      <c r="E48" s="12" t="s">
        <v>821</v>
      </c>
      <c r="F48" s="9" t="str">
        <f t="shared" si="0"/>
        <v>insert into ins_premium_det (premium_rcv_code,assorted_code, rec_amount,premium_rcv_detail_code,remaining_amt, payrec, mode_code,coinsurance_code,class_cd,it_remarks) values</v>
      </c>
      <c r="G48" s="10" t="str">
        <f t="shared" si="2"/>
        <v>('12Mar250017','070000177941','4200',(select max(to_number(i.premium_rcv_detail_code))+1
from ins_premium_det i),'4200','4200','02', '11000003','00','Request by Mr. Saqib Saleem 12-Mar-2025');</v>
      </c>
      <c r="H48" s="11" t="str">
        <f t="shared" si="3"/>
        <v>insert into ins_premium_det (premium_rcv_code,assorted_code, rec_amount,premium_rcv_detail_code,remaining_amt, payrec, mode_code,coinsurance_code,class_cd,it_remarks) values('12Mar250017','070000177941','4200',(select max(to_number(i.premium_rcv_detail_code))+1
from ins_premium_det i),'4200','4200','02', '11000003','00','Request by Mr. Saqib Saleem 12-Mar-2025');</v>
      </c>
    </row>
    <row r="49" spans="1:8" ht="105" x14ac:dyDescent="0.25">
      <c r="A49" s="1" t="s">
        <v>125</v>
      </c>
      <c r="B49" s="1" t="str">
        <f>VLOOKUP(A49,policy!B:C,2,0)</f>
        <v>070000177942</v>
      </c>
      <c r="C49" s="4">
        <v>3599</v>
      </c>
      <c r="D49" s="8">
        <f t="shared" si="1"/>
        <v>3599</v>
      </c>
      <c r="E49" s="12" t="s">
        <v>821</v>
      </c>
      <c r="F49" s="9" t="str">
        <f t="shared" si="0"/>
        <v>insert into ins_premium_det (premium_rcv_code,assorted_code, rec_amount,premium_rcv_detail_code,remaining_amt, payrec, mode_code,coinsurance_code,class_cd,it_remarks) values</v>
      </c>
      <c r="G49" s="10" t="str">
        <f t="shared" si="2"/>
        <v>('12Mar250017','070000177942','3599',(select max(to_number(i.premium_rcv_detail_code))+1
from ins_premium_det i),'3599','3599','02', '11000003','00','Request by Mr. Saqib Saleem 12-Mar-2025');</v>
      </c>
      <c r="H49" s="11" t="str">
        <f t="shared" si="3"/>
        <v>insert into ins_premium_det (premium_rcv_code,assorted_code, rec_amount,premium_rcv_detail_code,remaining_amt, payrec, mode_code,coinsurance_code,class_cd,it_remarks) values('12Mar250017','070000177942','3599',(select max(to_number(i.premium_rcv_detail_code))+1
from ins_premium_det i),'3599','3599','02', '11000003','00','Request by Mr. Saqib Saleem 12-Mar-2025');</v>
      </c>
    </row>
    <row r="50" spans="1:8" ht="105" x14ac:dyDescent="0.25">
      <c r="A50" s="1" t="s">
        <v>127</v>
      </c>
      <c r="B50" s="1" t="str">
        <f>VLOOKUP(A50,policy!B:C,2,0)</f>
        <v>070000177943</v>
      </c>
      <c r="C50" s="4">
        <v>3361</v>
      </c>
      <c r="D50" s="8">
        <f t="shared" si="1"/>
        <v>3361</v>
      </c>
      <c r="E50" s="12" t="s">
        <v>821</v>
      </c>
      <c r="F50" s="9" t="str">
        <f t="shared" si="0"/>
        <v>insert into ins_premium_det (premium_rcv_code,assorted_code, rec_amount,premium_rcv_detail_code,remaining_amt, payrec, mode_code,coinsurance_code,class_cd,it_remarks) values</v>
      </c>
      <c r="G50" s="10" t="str">
        <f t="shared" si="2"/>
        <v>('12Mar250017','070000177943','3361',(select max(to_number(i.premium_rcv_detail_code))+1
from ins_premium_det i),'3361','3361','02', '11000003','00','Request by Mr. Saqib Saleem 12-Mar-2025');</v>
      </c>
      <c r="H50" s="11" t="str">
        <f t="shared" si="3"/>
        <v>insert into ins_premium_det (premium_rcv_code,assorted_code, rec_amount,premium_rcv_detail_code,remaining_amt, payrec, mode_code,coinsurance_code,class_cd,it_remarks) values('12Mar250017','070000177943','3361',(select max(to_number(i.premium_rcv_detail_code))+1
from ins_premium_det i),'3361','3361','02', '11000003','00','Request by Mr. Saqib Saleem 12-Mar-2025');</v>
      </c>
    </row>
    <row r="51" spans="1:8" ht="105" x14ac:dyDescent="0.25">
      <c r="A51" s="1" t="s">
        <v>129</v>
      </c>
      <c r="B51" s="1" t="str">
        <f>VLOOKUP(A51,policy!B:C,2,0)</f>
        <v>070000177944</v>
      </c>
      <c r="C51" s="4">
        <v>11639</v>
      </c>
      <c r="D51" s="8">
        <f t="shared" si="1"/>
        <v>11639</v>
      </c>
      <c r="E51" s="12" t="s">
        <v>821</v>
      </c>
      <c r="F51" s="9" t="str">
        <f t="shared" si="0"/>
        <v>insert into ins_premium_det (premium_rcv_code,assorted_code, rec_amount,premium_rcv_detail_code,remaining_amt, payrec, mode_code,coinsurance_code,class_cd,it_remarks) values</v>
      </c>
      <c r="G51" s="10" t="str">
        <f t="shared" si="2"/>
        <v>('12Mar250017','070000177944','11639',(select max(to_number(i.premium_rcv_detail_code))+1
from ins_premium_det i),'11639','11639','02', '11000003','00','Request by Mr. Saqib Saleem 12-Mar-2025');</v>
      </c>
      <c r="H51" s="11" t="str">
        <f t="shared" si="3"/>
        <v>insert into ins_premium_det (premium_rcv_code,assorted_code, rec_amount,premium_rcv_detail_code,remaining_amt, payrec, mode_code,coinsurance_code,class_cd,it_remarks) values('12Mar250017','070000177944','11639',(select max(to_number(i.premium_rcv_detail_code))+1
from ins_premium_det i),'11639','11639','02', '11000003','00','Request by Mr. Saqib Saleem 12-Mar-2025');</v>
      </c>
    </row>
    <row r="52" spans="1:8" ht="105" x14ac:dyDescent="0.25">
      <c r="A52" s="1" t="s">
        <v>131</v>
      </c>
      <c r="B52" s="1" t="str">
        <f>VLOOKUP(A52,policy!B:C,2,0)</f>
        <v>070000177945</v>
      </c>
      <c r="C52" s="4">
        <v>7800</v>
      </c>
      <c r="D52" s="8">
        <f t="shared" si="1"/>
        <v>7800</v>
      </c>
      <c r="E52" s="12" t="s">
        <v>821</v>
      </c>
      <c r="F52" s="9" t="str">
        <f t="shared" si="0"/>
        <v>insert into ins_premium_det (premium_rcv_code,assorted_code, rec_amount,premium_rcv_detail_code,remaining_amt, payrec, mode_code,coinsurance_code,class_cd,it_remarks) values</v>
      </c>
      <c r="G52" s="10" t="str">
        <f t="shared" si="2"/>
        <v>('12Mar250017','070000177945','7800',(select max(to_number(i.premium_rcv_detail_code))+1
from ins_premium_det i),'7800','7800','02', '11000003','00','Request by Mr. Saqib Saleem 12-Mar-2025');</v>
      </c>
      <c r="H52" s="11" t="str">
        <f t="shared" si="3"/>
        <v>insert into ins_premium_det (premium_rcv_code,assorted_code, rec_amount,premium_rcv_detail_code,remaining_amt, payrec, mode_code,coinsurance_code,class_cd,it_remarks) values('12Mar250017','070000177945','7800',(select max(to_number(i.premium_rcv_detail_code))+1
from ins_premium_det i),'7800','7800','02', '11000003','00','Request by Mr. Saqib Saleem 12-Mar-2025');</v>
      </c>
    </row>
    <row r="53" spans="1:8" ht="105" x14ac:dyDescent="0.25">
      <c r="A53" s="1" t="s">
        <v>133</v>
      </c>
      <c r="B53" s="1" t="str">
        <f>VLOOKUP(A53,policy!B:C,2,0)</f>
        <v>070000177946</v>
      </c>
      <c r="C53" s="4">
        <v>3840</v>
      </c>
      <c r="D53" s="8">
        <f t="shared" si="1"/>
        <v>3840</v>
      </c>
      <c r="E53" s="12" t="s">
        <v>821</v>
      </c>
      <c r="F53" s="9" t="str">
        <f t="shared" si="0"/>
        <v>insert into ins_premium_det (premium_rcv_code,assorted_code, rec_amount,premium_rcv_detail_code,remaining_amt, payrec, mode_code,coinsurance_code,class_cd,it_remarks) values</v>
      </c>
      <c r="G53" s="10" t="str">
        <f t="shared" si="2"/>
        <v>('12Mar250017','070000177946','3840',(select max(to_number(i.premium_rcv_detail_code))+1
from ins_premium_det i),'3840','3840','02', '11000003','00','Request by Mr. Saqib Saleem 12-Mar-2025');</v>
      </c>
      <c r="H53" s="11" t="str">
        <f t="shared" si="3"/>
        <v>insert into ins_premium_det (premium_rcv_code,assorted_code, rec_amount,premium_rcv_detail_code,remaining_amt, payrec, mode_code,coinsurance_code,class_cd,it_remarks) values('12Mar250017','070000177946','3840',(select max(to_number(i.premium_rcv_detail_code))+1
from ins_premium_det i),'3840','3840','02', '11000003','00','Request by Mr. Saqib Saleem 12-Mar-2025');</v>
      </c>
    </row>
    <row r="54" spans="1:8" ht="105" x14ac:dyDescent="0.25">
      <c r="A54" s="1" t="s">
        <v>135</v>
      </c>
      <c r="B54" s="1" t="str">
        <f>VLOOKUP(A54,policy!B:C,2,0)</f>
        <v>070000177947</v>
      </c>
      <c r="C54" s="4">
        <v>3361</v>
      </c>
      <c r="D54" s="8">
        <f t="shared" si="1"/>
        <v>3361</v>
      </c>
      <c r="E54" s="12" t="s">
        <v>821</v>
      </c>
      <c r="F54" s="9" t="str">
        <f t="shared" si="0"/>
        <v>insert into ins_premium_det (premium_rcv_code,assorted_code, rec_amount,premium_rcv_detail_code,remaining_amt, payrec, mode_code,coinsurance_code,class_cd,it_remarks) values</v>
      </c>
      <c r="G54" s="10" t="str">
        <f t="shared" si="2"/>
        <v>('12Mar250017','070000177947','3361',(select max(to_number(i.premium_rcv_detail_code))+1
from ins_premium_det i),'3361','3361','02', '11000003','00','Request by Mr. Saqib Saleem 12-Mar-2025');</v>
      </c>
      <c r="H54" s="11" t="str">
        <f t="shared" si="3"/>
        <v>insert into ins_premium_det (premium_rcv_code,assorted_code, rec_amount,premium_rcv_detail_code,remaining_amt, payrec, mode_code,coinsurance_code,class_cd,it_remarks) values('12Mar250017','070000177947','3361',(select max(to_number(i.premium_rcv_detail_code))+1
from ins_premium_det i),'3361','3361','02', '11000003','00','Request by Mr. Saqib Saleem 12-Mar-2025');</v>
      </c>
    </row>
    <row r="55" spans="1:8" ht="105" x14ac:dyDescent="0.25">
      <c r="A55" s="1" t="s">
        <v>137</v>
      </c>
      <c r="B55" s="1" t="str">
        <f>VLOOKUP(A55,policy!B:C,2,0)</f>
        <v>070000177948</v>
      </c>
      <c r="C55" s="4">
        <v>4320</v>
      </c>
      <c r="D55" s="8">
        <f t="shared" si="1"/>
        <v>4320</v>
      </c>
      <c r="E55" s="12" t="s">
        <v>821</v>
      </c>
      <c r="F55" s="9" t="str">
        <f t="shared" si="0"/>
        <v>insert into ins_premium_det (premium_rcv_code,assorted_code, rec_amount,premium_rcv_detail_code,remaining_amt, payrec, mode_code,coinsurance_code,class_cd,it_remarks) values</v>
      </c>
      <c r="G55" s="10" t="str">
        <f t="shared" si="2"/>
        <v>('12Mar250017','070000177948','4320',(select max(to_number(i.premium_rcv_detail_code))+1
from ins_premium_det i),'4320','4320','02', '11000003','00','Request by Mr. Saqib Saleem 12-Mar-2025');</v>
      </c>
      <c r="H55" s="11" t="str">
        <f t="shared" si="3"/>
        <v>insert into ins_premium_det (premium_rcv_code,assorted_code, rec_amount,premium_rcv_detail_code,remaining_amt, payrec, mode_code,coinsurance_code,class_cd,it_remarks) values('12Mar250017','070000177948','4320',(select max(to_number(i.premium_rcv_detail_code))+1
from ins_premium_det i),'4320','4320','02', '11000003','00','Request by Mr. Saqib Saleem 12-Mar-2025');</v>
      </c>
    </row>
    <row r="56" spans="1:8" ht="105" x14ac:dyDescent="0.25">
      <c r="A56" s="1" t="s">
        <v>139</v>
      </c>
      <c r="B56" s="1" t="str">
        <f>VLOOKUP(A56,policy!B:C,2,0)</f>
        <v>070000177949</v>
      </c>
      <c r="C56" s="4">
        <v>5521</v>
      </c>
      <c r="D56" s="8">
        <f t="shared" si="1"/>
        <v>5521</v>
      </c>
      <c r="E56" s="12" t="s">
        <v>821</v>
      </c>
      <c r="F56" s="9" t="str">
        <f t="shared" si="0"/>
        <v>insert into ins_premium_det (premium_rcv_code,assorted_code, rec_amount,premium_rcv_detail_code,remaining_amt, payrec, mode_code,coinsurance_code,class_cd,it_remarks) values</v>
      </c>
      <c r="G56" s="10" t="str">
        <f t="shared" si="2"/>
        <v>('12Mar250017','070000177949','5521',(select max(to_number(i.premium_rcv_detail_code))+1
from ins_premium_det i),'5521','5521','02', '11000003','00','Request by Mr. Saqib Saleem 12-Mar-2025');</v>
      </c>
      <c r="H56" s="11" t="str">
        <f t="shared" si="3"/>
        <v>insert into ins_premium_det (premium_rcv_code,assorted_code, rec_amount,premium_rcv_detail_code,remaining_amt, payrec, mode_code,coinsurance_code,class_cd,it_remarks) values('12Mar250017','070000177949','5521',(select max(to_number(i.premium_rcv_detail_code))+1
from ins_premium_det i),'5521','5521','02', '11000003','00','Request by Mr. Saqib Saleem 12-Mar-2025');</v>
      </c>
    </row>
    <row r="57" spans="1:8" ht="105" x14ac:dyDescent="0.25">
      <c r="A57" s="1" t="s">
        <v>141</v>
      </c>
      <c r="B57" s="1" t="str">
        <f>VLOOKUP(A57,policy!B:C,2,0)</f>
        <v>070000177950</v>
      </c>
      <c r="C57" s="4">
        <v>5400</v>
      </c>
      <c r="D57" s="8">
        <f t="shared" si="1"/>
        <v>5400</v>
      </c>
      <c r="E57" s="12" t="s">
        <v>821</v>
      </c>
      <c r="F57" s="9" t="str">
        <f t="shared" si="0"/>
        <v>insert into ins_premium_det (premium_rcv_code,assorted_code, rec_amount,premium_rcv_detail_code,remaining_amt, payrec, mode_code,coinsurance_code,class_cd,it_remarks) values</v>
      </c>
      <c r="G57" s="10" t="str">
        <f t="shared" si="2"/>
        <v>('12Mar250017','070000177950','5400',(select max(to_number(i.premium_rcv_detail_code))+1
from ins_premium_det i),'5400','5400','02', '11000003','00','Request by Mr. Saqib Saleem 12-Mar-2025');</v>
      </c>
      <c r="H57" s="11" t="str">
        <f t="shared" si="3"/>
        <v>insert into ins_premium_det (premium_rcv_code,assorted_code, rec_amount,premium_rcv_detail_code,remaining_amt, payrec, mode_code,coinsurance_code,class_cd,it_remarks) values('12Mar250017','070000177950','5400',(select max(to_number(i.premium_rcv_detail_code))+1
from ins_premium_det i),'5400','5400','02', '11000003','00','Request by Mr. Saqib Saleem 12-Mar-2025');</v>
      </c>
    </row>
    <row r="58" spans="1:8" ht="105" x14ac:dyDescent="0.25">
      <c r="A58" s="1" t="s">
        <v>143</v>
      </c>
      <c r="B58" s="1" t="str">
        <f>VLOOKUP(A58,policy!B:C,2,0)</f>
        <v>070000177951</v>
      </c>
      <c r="C58" s="4">
        <v>11400</v>
      </c>
      <c r="D58" s="8">
        <f t="shared" si="1"/>
        <v>11400</v>
      </c>
      <c r="E58" s="12" t="s">
        <v>821</v>
      </c>
      <c r="F58" s="9" t="str">
        <f t="shared" si="0"/>
        <v>insert into ins_premium_det (premium_rcv_code,assorted_code, rec_amount,premium_rcv_detail_code,remaining_amt, payrec, mode_code,coinsurance_code,class_cd,it_remarks) values</v>
      </c>
      <c r="G58" s="10" t="str">
        <f t="shared" si="2"/>
        <v>('12Mar250017','070000177951','11400',(select max(to_number(i.premium_rcv_detail_code))+1
from ins_premium_det i),'11400','11400','02', '11000003','00','Request by Mr. Saqib Saleem 12-Mar-2025');</v>
      </c>
      <c r="H58" s="11" t="str">
        <f t="shared" si="3"/>
        <v>insert into ins_premium_det (premium_rcv_code,assorted_code, rec_amount,premium_rcv_detail_code,remaining_amt, payrec, mode_code,coinsurance_code,class_cd,it_remarks) values('12Mar250017','070000177951','11400',(select max(to_number(i.premium_rcv_detail_code))+1
from ins_premium_det i),'11400','11400','02', '11000003','00','Request by Mr. Saqib Saleem 12-Mar-2025');</v>
      </c>
    </row>
    <row r="59" spans="1:8" ht="105" x14ac:dyDescent="0.25">
      <c r="A59" s="1" t="s">
        <v>145</v>
      </c>
      <c r="B59" s="1" t="str">
        <f>VLOOKUP(A59,policy!B:C,2,0)</f>
        <v>070000177952</v>
      </c>
      <c r="C59" s="4">
        <v>2520</v>
      </c>
      <c r="D59" s="8">
        <f t="shared" si="1"/>
        <v>2520</v>
      </c>
      <c r="E59" s="12" t="s">
        <v>821</v>
      </c>
      <c r="F59" s="9" t="str">
        <f t="shared" si="0"/>
        <v>insert into ins_premium_det (premium_rcv_code,assorted_code, rec_amount,premium_rcv_detail_code,remaining_amt, payrec, mode_code,coinsurance_code,class_cd,it_remarks) values</v>
      </c>
      <c r="G59" s="10" t="str">
        <f t="shared" si="2"/>
        <v>('12Mar250017','070000177952','2520',(select max(to_number(i.premium_rcv_detail_code))+1
from ins_premium_det i),'2520','2520','02', '11000003','00','Request by Mr. Saqib Saleem 12-Mar-2025');</v>
      </c>
      <c r="H59" s="11" t="str">
        <f t="shared" si="3"/>
        <v>insert into ins_premium_det (premium_rcv_code,assorted_code, rec_amount,premium_rcv_detail_code,remaining_amt, payrec, mode_code,coinsurance_code,class_cd,it_remarks) values('12Mar250017','070000177952','2520',(select max(to_number(i.premium_rcv_detail_code))+1
from ins_premium_det i),'2520','2520','02', '11000003','00','Request by Mr. Saqib Saleem 12-Mar-2025');</v>
      </c>
    </row>
    <row r="60" spans="1:8" ht="105" x14ac:dyDescent="0.25">
      <c r="A60" s="1" t="s">
        <v>147</v>
      </c>
      <c r="B60" s="1" t="str">
        <f>VLOOKUP(A60,policy!B:C,2,0)</f>
        <v>070000177953</v>
      </c>
      <c r="C60" s="4">
        <v>10081</v>
      </c>
      <c r="D60" s="8">
        <f t="shared" si="1"/>
        <v>10081</v>
      </c>
      <c r="E60" s="12" t="s">
        <v>821</v>
      </c>
      <c r="F60" s="9" t="str">
        <f t="shared" si="0"/>
        <v>insert into ins_premium_det (premium_rcv_code,assorted_code, rec_amount,premium_rcv_detail_code,remaining_amt, payrec, mode_code,coinsurance_code,class_cd,it_remarks) values</v>
      </c>
      <c r="G60" s="10" t="str">
        <f t="shared" si="2"/>
        <v>('12Mar250017','070000177953','10081',(select max(to_number(i.premium_rcv_detail_code))+1
from ins_premium_det i),'10081','10081','02', '11000003','00','Request by Mr. Saqib Saleem 12-Mar-2025');</v>
      </c>
      <c r="H60" s="11" t="str">
        <f t="shared" si="3"/>
        <v>insert into ins_premium_det (premium_rcv_code,assorted_code, rec_amount,premium_rcv_detail_code,remaining_amt, payrec, mode_code,coinsurance_code,class_cd,it_remarks) values('12Mar250017','070000177953','10081',(select max(to_number(i.premium_rcv_detail_code))+1
from ins_premium_det i),'10081','10081','02', '11000003','00','Request by Mr. Saqib Saleem 12-Mar-2025');</v>
      </c>
    </row>
    <row r="61" spans="1:8" ht="105" x14ac:dyDescent="0.25">
      <c r="A61" s="1" t="s">
        <v>149</v>
      </c>
      <c r="B61" s="1" t="str">
        <f>VLOOKUP(A61,policy!B:C,2,0)</f>
        <v>070000177954</v>
      </c>
      <c r="C61" s="4">
        <v>8761</v>
      </c>
      <c r="D61" s="8">
        <f t="shared" si="1"/>
        <v>8761</v>
      </c>
      <c r="E61" s="12" t="s">
        <v>821</v>
      </c>
      <c r="F61" s="9" t="str">
        <f t="shared" si="0"/>
        <v>insert into ins_premium_det (premium_rcv_code,assorted_code, rec_amount,premium_rcv_detail_code,remaining_amt, payrec, mode_code,coinsurance_code,class_cd,it_remarks) values</v>
      </c>
      <c r="G61" s="10" t="str">
        <f t="shared" si="2"/>
        <v>('12Mar250017','070000177954','8761',(select max(to_number(i.premium_rcv_detail_code))+1
from ins_premium_det i),'8761','8761','02', '11000003','00','Request by Mr. Saqib Saleem 12-Mar-2025');</v>
      </c>
      <c r="H61" s="11" t="str">
        <f t="shared" si="3"/>
        <v>insert into ins_premium_det (premium_rcv_code,assorted_code, rec_amount,premium_rcv_detail_code,remaining_amt, payrec, mode_code,coinsurance_code,class_cd,it_remarks) values('12Mar250017','070000177954','8761',(select max(to_number(i.premium_rcv_detail_code))+1
from ins_premium_det i),'8761','8761','02', '11000003','00','Request by Mr. Saqib Saleem 12-Mar-2025');</v>
      </c>
    </row>
    <row r="62" spans="1:8" ht="105" x14ac:dyDescent="0.25">
      <c r="A62" s="1" t="s">
        <v>151</v>
      </c>
      <c r="B62" s="1" t="str">
        <f>VLOOKUP(A62,policy!B:C,2,0)</f>
        <v>070000177955</v>
      </c>
      <c r="C62" s="4">
        <v>6360</v>
      </c>
      <c r="D62" s="8">
        <f t="shared" si="1"/>
        <v>6360</v>
      </c>
      <c r="E62" s="12" t="s">
        <v>821</v>
      </c>
      <c r="F62" s="9" t="str">
        <f t="shared" si="0"/>
        <v>insert into ins_premium_det (premium_rcv_code,assorted_code, rec_amount,premium_rcv_detail_code,remaining_amt, payrec, mode_code,coinsurance_code,class_cd,it_remarks) values</v>
      </c>
      <c r="G62" s="10" t="str">
        <f t="shared" si="2"/>
        <v>('12Mar250017','070000177955','6360',(select max(to_number(i.premium_rcv_detail_code))+1
from ins_premium_det i),'6360','6360','02', '11000003','00','Request by Mr. Saqib Saleem 12-Mar-2025');</v>
      </c>
      <c r="H62" s="11" t="str">
        <f t="shared" si="3"/>
        <v>insert into ins_premium_det (premium_rcv_code,assorted_code, rec_amount,premium_rcv_detail_code,remaining_amt, payrec, mode_code,coinsurance_code,class_cd,it_remarks) values('12Mar250017','070000177955','6360',(select max(to_number(i.premium_rcv_detail_code))+1
from ins_premium_det i),'6360','6360','02', '11000003','00','Request by Mr. Saqib Saleem 12-Mar-2025');</v>
      </c>
    </row>
    <row r="63" spans="1:8" ht="105" x14ac:dyDescent="0.25">
      <c r="A63" s="1" t="s">
        <v>153</v>
      </c>
      <c r="B63" s="1" t="str">
        <f>VLOOKUP(A63,policy!B:C,2,0)</f>
        <v>070000177956</v>
      </c>
      <c r="C63" s="4">
        <v>1920</v>
      </c>
      <c r="D63" s="8">
        <f t="shared" si="1"/>
        <v>1920</v>
      </c>
      <c r="E63" s="12" t="s">
        <v>821</v>
      </c>
      <c r="F63" s="9" t="str">
        <f t="shared" si="0"/>
        <v>insert into ins_premium_det (premium_rcv_code,assorted_code, rec_amount,premium_rcv_detail_code,remaining_amt, payrec, mode_code,coinsurance_code,class_cd,it_remarks) values</v>
      </c>
      <c r="G63" s="10" t="str">
        <f t="shared" si="2"/>
        <v>('12Mar250017','070000177956','1920',(select max(to_number(i.premium_rcv_detail_code))+1
from ins_premium_det i),'1920','1920','02', '11000003','00','Request by Mr. Saqib Saleem 12-Mar-2025');</v>
      </c>
      <c r="H63" s="11" t="str">
        <f t="shared" si="3"/>
        <v>insert into ins_premium_det (premium_rcv_code,assorted_code, rec_amount,premium_rcv_detail_code,remaining_amt, payrec, mode_code,coinsurance_code,class_cd,it_remarks) values('12Mar250017','070000177956','1920',(select max(to_number(i.premium_rcv_detail_code))+1
from ins_premium_det i),'1920','1920','02', '11000003','00','Request by Mr. Saqib Saleem 12-Mar-2025');</v>
      </c>
    </row>
    <row r="64" spans="1:8" ht="105" x14ac:dyDescent="0.25">
      <c r="A64" s="1" t="s">
        <v>155</v>
      </c>
      <c r="B64" s="1" t="str">
        <f>VLOOKUP(A64,policy!B:C,2,0)</f>
        <v>070000177957</v>
      </c>
      <c r="C64" s="4">
        <v>2400</v>
      </c>
      <c r="D64" s="8">
        <f t="shared" si="1"/>
        <v>2400</v>
      </c>
      <c r="E64" s="12" t="s">
        <v>821</v>
      </c>
      <c r="F64" s="9" t="str">
        <f t="shared" si="0"/>
        <v>insert into ins_premium_det (premium_rcv_code,assorted_code, rec_amount,premium_rcv_detail_code,remaining_amt, payrec, mode_code,coinsurance_code,class_cd,it_remarks) values</v>
      </c>
      <c r="G64" s="10" t="str">
        <f t="shared" si="2"/>
        <v>('12Mar250017','070000177957','2400',(select max(to_number(i.premium_rcv_detail_code))+1
from ins_premium_det i),'2400','2400','02', '11000003','00','Request by Mr. Saqib Saleem 12-Mar-2025');</v>
      </c>
      <c r="H64" s="11" t="str">
        <f t="shared" si="3"/>
        <v>insert into ins_premium_det (premium_rcv_code,assorted_code, rec_amount,premium_rcv_detail_code,remaining_amt, payrec, mode_code,coinsurance_code,class_cd,it_remarks) values('12Mar250017','070000177957','2400',(select max(to_number(i.premium_rcv_detail_code))+1
from ins_premium_det i),'2400','2400','02', '11000003','00','Request by Mr. Saqib Saleem 12-Mar-2025');</v>
      </c>
    </row>
    <row r="65" spans="1:8" ht="105" x14ac:dyDescent="0.25">
      <c r="A65" s="1" t="s">
        <v>157</v>
      </c>
      <c r="B65" s="1" t="str">
        <f>VLOOKUP(A65,policy!B:C,2,0)</f>
        <v>070000177958</v>
      </c>
      <c r="C65" s="4">
        <v>4440</v>
      </c>
      <c r="D65" s="8">
        <f t="shared" si="1"/>
        <v>4440</v>
      </c>
      <c r="E65" s="12" t="s">
        <v>821</v>
      </c>
      <c r="F65" s="9" t="str">
        <f t="shared" si="0"/>
        <v>insert into ins_premium_det (premium_rcv_code,assorted_code, rec_amount,premium_rcv_detail_code,remaining_amt, payrec, mode_code,coinsurance_code,class_cd,it_remarks) values</v>
      </c>
      <c r="G65" s="10" t="str">
        <f t="shared" si="2"/>
        <v>('12Mar250017','070000177958','4440',(select max(to_number(i.premium_rcv_detail_code))+1
from ins_premium_det i),'4440','4440','02', '11000003','00','Request by Mr. Saqib Saleem 12-Mar-2025');</v>
      </c>
      <c r="H65" s="11" t="str">
        <f t="shared" si="3"/>
        <v>insert into ins_premium_det (premium_rcv_code,assorted_code, rec_amount,premium_rcv_detail_code,remaining_amt, payrec, mode_code,coinsurance_code,class_cd,it_remarks) values('12Mar250017','070000177958','4440',(select max(to_number(i.premium_rcv_detail_code))+1
from ins_premium_det i),'4440','4440','02', '11000003','00','Request by Mr. Saqib Saleem 12-Mar-2025');</v>
      </c>
    </row>
    <row r="66" spans="1:8" ht="105" x14ac:dyDescent="0.25">
      <c r="A66" s="1" t="s">
        <v>159</v>
      </c>
      <c r="B66" s="1" t="str">
        <f>VLOOKUP(A66,policy!B:C,2,0)</f>
        <v>070000177959</v>
      </c>
      <c r="C66" s="4">
        <v>6120</v>
      </c>
      <c r="D66" s="8">
        <f t="shared" si="1"/>
        <v>6120</v>
      </c>
      <c r="E66" s="12" t="s">
        <v>821</v>
      </c>
      <c r="F66" s="9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0" t="str">
        <f t="shared" si="2"/>
        <v>('12Mar250017','070000177959','6120',(select max(to_number(i.premium_rcv_detail_code))+1
from ins_premium_det i),'6120','6120','02', '11000003','00','Request by Mr. Saqib Saleem 12-Mar-2025');</v>
      </c>
      <c r="H66" s="11" t="str">
        <f t="shared" si="3"/>
        <v>insert into ins_premium_det (premium_rcv_code,assorted_code, rec_amount,premium_rcv_detail_code,remaining_amt, payrec, mode_code,coinsurance_code,class_cd,it_remarks) values('12Mar250017','070000177959','6120',(select max(to_number(i.premium_rcv_detail_code))+1
from ins_premium_det i),'6120','6120','02', '11000003','00','Request by Mr. Saqib Saleem 12-Mar-2025');</v>
      </c>
    </row>
    <row r="67" spans="1:8" ht="105" x14ac:dyDescent="0.25">
      <c r="A67" s="1" t="s">
        <v>161</v>
      </c>
      <c r="B67" s="1" t="str">
        <f>VLOOKUP(A67,policy!B:C,2,0)</f>
        <v>070000177960</v>
      </c>
      <c r="C67" s="4">
        <v>12241</v>
      </c>
      <c r="D67" s="8">
        <f t="shared" ref="D67:D130" si="5">ROUND(C67,0)</f>
        <v>12241</v>
      </c>
      <c r="E67" s="12" t="s">
        <v>821</v>
      </c>
      <c r="F67" s="9" t="str">
        <f t="shared" si="4"/>
        <v>insert into ins_premium_det (premium_rcv_code,assorted_code, rec_amount,premium_rcv_detail_code,remaining_amt, payrec, mode_code,coinsurance_code,class_cd,it_remarks) values</v>
      </c>
      <c r="G67" s="10" t="str">
        <f t="shared" ref="G67:G130" si="6">"('"&amp;E67&amp;"','"&amp;B67&amp;"','"&amp;D67&amp;"',(select max(to_number(i.premium_rcv_detail_code))+1
from ins_premium_det i),'"&amp;D67&amp;"','"&amp;D67&amp;"','02', '11000003','00','Request by Mr. Saqib Saleem 12-Mar-2025');"</f>
        <v>('12Mar250017','070000177960','12241',(select max(to_number(i.premium_rcv_detail_code))+1
from ins_premium_det i),'12241','12241','02', '11000003','00','Request by Mr. Saqib Saleem 12-Mar-2025');</v>
      </c>
      <c r="H67" s="11" t="str">
        <f t="shared" ref="H67:H130" si="7">F67&amp;G67</f>
        <v>insert into ins_premium_det (premium_rcv_code,assorted_code, rec_amount,premium_rcv_detail_code,remaining_amt, payrec, mode_code,coinsurance_code,class_cd,it_remarks) values('12Mar250017','070000177960','12241',(select max(to_number(i.premium_rcv_detail_code))+1
from ins_premium_det i),'12241','12241','02', '11000003','00','Request by Mr. Saqib Saleem 12-Mar-2025');</v>
      </c>
    </row>
    <row r="68" spans="1:8" ht="105" x14ac:dyDescent="0.25">
      <c r="A68" s="1" t="s">
        <v>163</v>
      </c>
      <c r="B68" s="1" t="str">
        <f>VLOOKUP(A68,policy!B:C,2,0)</f>
        <v>070000177961</v>
      </c>
      <c r="C68" s="4">
        <v>2160</v>
      </c>
      <c r="D68" s="8">
        <f t="shared" si="5"/>
        <v>2160</v>
      </c>
      <c r="E68" s="12" t="s">
        <v>821</v>
      </c>
      <c r="F68" s="9" t="str">
        <f t="shared" si="4"/>
        <v>insert into ins_premium_det (premium_rcv_code,assorted_code, rec_amount,premium_rcv_detail_code,remaining_amt, payrec, mode_code,coinsurance_code,class_cd,it_remarks) values</v>
      </c>
      <c r="G68" s="10" t="str">
        <f t="shared" si="6"/>
        <v>('12Mar250017','070000177961','2160',(select max(to_number(i.premium_rcv_detail_code))+1
from ins_premium_det i),'2160','2160','02', '11000003','00','Request by Mr. Saqib Saleem 12-Mar-2025');</v>
      </c>
      <c r="H68" s="11" t="str">
        <f t="shared" si="7"/>
        <v>insert into ins_premium_det (premium_rcv_code,assorted_code, rec_amount,premium_rcv_detail_code,remaining_amt, payrec, mode_code,coinsurance_code,class_cd,it_remarks) values('12Mar250017','070000177961','2160',(select max(to_number(i.premium_rcv_detail_code))+1
from ins_premium_det i),'2160','2160','02', '11000003','00','Request by Mr. Saqib Saleem 12-Mar-2025');</v>
      </c>
    </row>
    <row r="69" spans="1:8" ht="105" x14ac:dyDescent="0.25">
      <c r="A69" s="1" t="s">
        <v>165</v>
      </c>
      <c r="B69" s="1" t="str">
        <f>VLOOKUP(A69,policy!B:C,2,0)</f>
        <v>070000177962</v>
      </c>
      <c r="C69" s="4">
        <v>1199</v>
      </c>
      <c r="D69" s="8">
        <f t="shared" si="5"/>
        <v>1199</v>
      </c>
      <c r="E69" s="12" t="s">
        <v>821</v>
      </c>
      <c r="F69" s="9" t="str">
        <f t="shared" si="4"/>
        <v>insert into ins_premium_det (premium_rcv_code,assorted_code, rec_amount,premium_rcv_detail_code,remaining_amt, payrec, mode_code,coinsurance_code,class_cd,it_remarks) values</v>
      </c>
      <c r="G69" s="10" t="str">
        <f t="shared" si="6"/>
        <v>('12Mar250017','070000177962','1199',(select max(to_number(i.premium_rcv_detail_code))+1
from ins_premium_det i),'1199','1199','02', '11000003','00','Request by Mr. Saqib Saleem 12-Mar-2025');</v>
      </c>
      <c r="H69" s="11" t="str">
        <f t="shared" si="7"/>
        <v>insert into ins_premium_det (premium_rcv_code,assorted_code, rec_amount,premium_rcv_detail_code,remaining_amt, payrec, mode_code,coinsurance_code,class_cd,it_remarks) values('12Mar250017','070000177962','1199',(select max(to_number(i.premium_rcv_detail_code))+1
from ins_premium_det i),'1199','1199','02', '11000003','00','Request by Mr. Saqib Saleem 12-Mar-2025');</v>
      </c>
    </row>
    <row r="70" spans="1:8" ht="105" x14ac:dyDescent="0.25">
      <c r="A70" s="1" t="s">
        <v>167</v>
      </c>
      <c r="B70" s="1" t="str">
        <f>VLOOKUP(A70,policy!B:C,2,0)</f>
        <v>070000177963</v>
      </c>
      <c r="C70" s="4">
        <v>2160</v>
      </c>
      <c r="D70" s="8">
        <f t="shared" si="5"/>
        <v>2160</v>
      </c>
      <c r="E70" s="12" t="s">
        <v>821</v>
      </c>
      <c r="F70" s="9" t="str">
        <f t="shared" si="4"/>
        <v>insert into ins_premium_det (premium_rcv_code,assorted_code, rec_amount,premium_rcv_detail_code,remaining_amt, payrec, mode_code,coinsurance_code,class_cd,it_remarks) values</v>
      </c>
      <c r="G70" s="10" t="str">
        <f t="shared" si="6"/>
        <v>('12Mar250017','070000177963','2160',(select max(to_number(i.premium_rcv_detail_code))+1
from ins_premium_det i),'2160','2160','02', '11000003','00','Request by Mr. Saqib Saleem 12-Mar-2025');</v>
      </c>
      <c r="H70" s="11" t="str">
        <f t="shared" si="7"/>
        <v>insert into ins_premium_det (premium_rcv_code,assorted_code, rec_amount,premium_rcv_detail_code,remaining_amt, payrec, mode_code,coinsurance_code,class_cd,it_remarks) values('12Mar250017','070000177963','2160',(select max(to_number(i.premium_rcv_detail_code))+1
from ins_premium_det i),'2160','2160','02', '11000003','00','Request by Mr. Saqib Saleem 12-Mar-2025');</v>
      </c>
    </row>
    <row r="71" spans="1:8" ht="105" x14ac:dyDescent="0.25">
      <c r="A71" s="1" t="s">
        <v>169</v>
      </c>
      <c r="B71" s="1" t="str">
        <f>VLOOKUP(A71,policy!B:C,2,0)</f>
        <v>070000177964</v>
      </c>
      <c r="C71" s="4">
        <v>1801</v>
      </c>
      <c r="D71" s="8">
        <f t="shared" si="5"/>
        <v>1801</v>
      </c>
      <c r="E71" s="12" t="s">
        <v>821</v>
      </c>
      <c r="F71" s="9" t="str">
        <f t="shared" si="4"/>
        <v>insert into ins_premium_det (premium_rcv_code,assorted_code, rec_amount,premium_rcv_detail_code,remaining_amt, payrec, mode_code,coinsurance_code,class_cd,it_remarks) values</v>
      </c>
      <c r="G71" s="10" t="str">
        <f t="shared" si="6"/>
        <v>('12Mar250017','070000177964','1801',(select max(to_number(i.premium_rcv_detail_code))+1
from ins_premium_det i),'1801','1801','02', '11000003','00','Request by Mr. Saqib Saleem 12-Mar-2025');</v>
      </c>
      <c r="H71" s="11" t="str">
        <f t="shared" si="7"/>
        <v>insert into ins_premium_det (premium_rcv_code,assorted_code, rec_amount,premium_rcv_detail_code,remaining_amt, payrec, mode_code,coinsurance_code,class_cd,it_remarks) values('12Mar250017','070000177964','1801',(select max(to_number(i.premium_rcv_detail_code))+1
from ins_premium_det i),'1801','1801','02', '11000003','00','Request by Mr. Saqib Saleem 12-Mar-2025');</v>
      </c>
    </row>
    <row r="72" spans="1:8" ht="105" x14ac:dyDescent="0.25">
      <c r="A72" s="1" t="s">
        <v>171</v>
      </c>
      <c r="B72" s="1" t="str">
        <f>VLOOKUP(A72,policy!B:C,2,0)</f>
        <v>070000177965</v>
      </c>
      <c r="C72" s="4">
        <v>4200</v>
      </c>
      <c r="D72" s="8">
        <f t="shared" si="5"/>
        <v>4200</v>
      </c>
      <c r="E72" s="12" t="s">
        <v>821</v>
      </c>
      <c r="F72" s="9" t="str">
        <f t="shared" si="4"/>
        <v>insert into ins_premium_det (premium_rcv_code,assorted_code, rec_amount,premium_rcv_detail_code,remaining_amt, payrec, mode_code,coinsurance_code,class_cd,it_remarks) values</v>
      </c>
      <c r="G72" s="10" t="str">
        <f t="shared" si="6"/>
        <v>('12Mar250017','070000177965','4200',(select max(to_number(i.premium_rcv_detail_code))+1
from ins_premium_det i),'4200','4200','02', '11000003','00','Request by Mr. Saqib Saleem 12-Mar-2025');</v>
      </c>
      <c r="H72" s="11" t="str">
        <f t="shared" si="7"/>
        <v>insert into ins_premium_det (premium_rcv_code,assorted_code, rec_amount,premium_rcv_detail_code,remaining_amt, payrec, mode_code,coinsurance_code,class_cd,it_remarks) values('12Mar250017','070000177965','4200',(select max(to_number(i.premium_rcv_detail_code))+1
from ins_premium_det i),'4200','4200','02', '11000003','00','Request by Mr. Saqib Saleem 12-Mar-2025');</v>
      </c>
    </row>
    <row r="73" spans="1:8" ht="105" x14ac:dyDescent="0.25">
      <c r="A73" s="1" t="s">
        <v>173</v>
      </c>
      <c r="B73" s="1" t="str">
        <f>VLOOKUP(A73,policy!B:C,2,0)</f>
        <v>070000177966</v>
      </c>
      <c r="C73" s="4">
        <v>6000</v>
      </c>
      <c r="D73" s="8">
        <f t="shared" si="5"/>
        <v>6000</v>
      </c>
      <c r="E73" s="12" t="s">
        <v>821</v>
      </c>
      <c r="F73" s="9" t="str">
        <f t="shared" si="4"/>
        <v>insert into ins_premium_det (premium_rcv_code,assorted_code, rec_amount,premium_rcv_detail_code,remaining_amt, payrec, mode_code,coinsurance_code,class_cd,it_remarks) values</v>
      </c>
      <c r="G73" s="10" t="str">
        <f t="shared" si="6"/>
        <v>('12Mar250017','070000177966','6000',(select max(to_number(i.premium_rcv_detail_code))+1
from ins_premium_det i),'6000','6000','02', '11000003','00','Request by Mr. Saqib Saleem 12-Mar-2025');</v>
      </c>
      <c r="H73" s="11" t="str">
        <f t="shared" si="7"/>
        <v>insert into ins_premium_det (premium_rcv_code,assorted_code, rec_amount,premium_rcv_detail_code,remaining_amt, payrec, mode_code,coinsurance_code,class_cd,it_remarks) values('12Mar250017','070000177966','6000',(select max(to_number(i.premium_rcv_detail_code))+1
from ins_premium_det i),'6000','6000','02', '11000003','00','Request by Mr. Saqib Saleem 12-Mar-2025');</v>
      </c>
    </row>
    <row r="74" spans="1:8" ht="105" x14ac:dyDescent="0.25">
      <c r="A74" s="1" t="s">
        <v>175</v>
      </c>
      <c r="B74" s="1" t="str">
        <f>VLOOKUP(A74,policy!B:C,2,0)</f>
        <v>070000177967</v>
      </c>
      <c r="C74" s="4">
        <v>3121</v>
      </c>
      <c r="D74" s="8">
        <f t="shared" si="5"/>
        <v>3121</v>
      </c>
      <c r="E74" s="12" t="s">
        <v>821</v>
      </c>
      <c r="F74" s="9" t="str">
        <f t="shared" si="4"/>
        <v>insert into ins_premium_det (premium_rcv_code,assorted_code, rec_amount,premium_rcv_detail_code,remaining_amt, payrec, mode_code,coinsurance_code,class_cd,it_remarks) values</v>
      </c>
      <c r="G74" s="10" t="str">
        <f t="shared" si="6"/>
        <v>('12Mar250017','070000177967','3121',(select max(to_number(i.premium_rcv_detail_code))+1
from ins_premium_det i),'3121','3121','02', '11000003','00','Request by Mr. Saqib Saleem 12-Mar-2025');</v>
      </c>
      <c r="H74" s="11" t="str">
        <f t="shared" si="7"/>
        <v>insert into ins_premium_det (premium_rcv_code,assorted_code, rec_amount,premium_rcv_detail_code,remaining_amt, payrec, mode_code,coinsurance_code,class_cd,it_remarks) values('12Mar250017','070000177967','3121',(select max(to_number(i.premium_rcv_detail_code))+1
from ins_premium_det i),'3121','3121','02', '11000003','00','Request by Mr. Saqib Saleem 12-Mar-2025');</v>
      </c>
    </row>
    <row r="75" spans="1:8" ht="105" x14ac:dyDescent="0.25">
      <c r="A75" s="1" t="s">
        <v>177</v>
      </c>
      <c r="B75" s="1" t="str">
        <f>VLOOKUP(A75,policy!B:C,2,0)</f>
        <v>070000177968</v>
      </c>
      <c r="C75" s="4">
        <v>8399</v>
      </c>
      <c r="D75" s="8">
        <f t="shared" si="5"/>
        <v>8399</v>
      </c>
      <c r="E75" s="12" t="s">
        <v>821</v>
      </c>
      <c r="F75" s="9" t="str">
        <f t="shared" si="4"/>
        <v>insert into ins_premium_det (premium_rcv_code,assorted_code, rec_amount,premium_rcv_detail_code,remaining_amt, payrec, mode_code,coinsurance_code,class_cd,it_remarks) values</v>
      </c>
      <c r="G75" s="10" t="str">
        <f t="shared" si="6"/>
        <v>('12Mar250017','070000177968','8399',(select max(to_number(i.premium_rcv_detail_code))+1
from ins_premium_det i),'8399','8399','02', '11000003','00','Request by Mr. Saqib Saleem 12-Mar-2025');</v>
      </c>
      <c r="H75" s="11" t="str">
        <f t="shared" si="7"/>
        <v>insert into ins_premium_det (premium_rcv_code,assorted_code, rec_amount,premium_rcv_detail_code,remaining_amt, payrec, mode_code,coinsurance_code,class_cd,it_remarks) values('12Mar250017','070000177968','8399',(select max(to_number(i.premium_rcv_detail_code))+1
from ins_premium_det i),'8399','8399','02', '11000003','00','Request by Mr. Saqib Saleem 12-Mar-2025');</v>
      </c>
    </row>
    <row r="76" spans="1:8" ht="105" x14ac:dyDescent="0.25">
      <c r="A76" s="1" t="s">
        <v>179</v>
      </c>
      <c r="B76" s="1" t="str">
        <f>VLOOKUP(A76,policy!B:C,2,0)</f>
        <v>070000177969</v>
      </c>
      <c r="C76" s="4">
        <v>3599</v>
      </c>
      <c r="D76" s="8">
        <f t="shared" si="5"/>
        <v>3599</v>
      </c>
      <c r="E76" s="12" t="s">
        <v>821</v>
      </c>
      <c r="F76" s="9" t="str">
        <f t="shared" si="4"/>
        <v>insert into ins_premium_det (premium_rcv_code,assorted_code, rec_amount,premium_rcv_detail_code,remaining_amt, payrec, mode_code,coinsurance_code,class_cd,it_remarks) values</v>
      </c>
      <c r="G76" s="10" t="str">
        <f t="shared" si="6"/>
        <v>('12Mar250017','070000177969','3599',(select max(to_number(i.premium_rcv_detail_code))+1
from ins_premium_det i),'3599','3599','02', '11000003','00','Request by Mr. Saqib Saleem 12-Mar-2025');</v>
      </c>
      <c r="H76" s="11" t="str">
        <f t="shared" si="7"/>
        <v>insert into ins_premium_det (premium_rcv_code,assorted_code, rec_amount,premium_rcv_detail_code,remaining_amt, payrec, mode_code,coinsurance_code,class_cd,it_remarks) values('12Mar250017','070000177969','3599',(select max(to_number(i.premium_rcv_detail_code))+1
from ins_premium_det i),'3599','3599','02', '11000003','00','Request by Mr. Saqib Saleem 12-Mar-2025');</v>
      </c>
    </row>
    <row r="77" spans="1:8" ht="105" x14ac:dyDescent="0.25">
      <c r="A77" s="1" t="s">
        <v>181</v>
      </c>
      <c r="B77" s="1" t="str">
        <f>VLOOKUP(A77,policy!B:C,2,0)</f>
        <v>070000177970</v>
      </c>
      <c r="C77" s="4">
        <v>3121</v>
      </c>
      <c r="D77" s="8">
        <f t="shared" si="5"/>
        <v>3121</v>
      </c>
      <c r="E77" s="12" t="s">
        <v>821</v>
      </c>
      <c r="F77" s="9" t="str">
        <f t="shared" si="4"/>
        <v>insert into ins_premium_det (premium_rcv_code,assorted_code, rec_amount,premium_rcv_detail_code,remaining_amt, payrec, mode_code,coinsurance_code,class_cd,it_remarks) values</v>
      </c>
      <c r="G77" s="10" t="str">
        <f t="shared" si="6"/>
        <v>('12Mar250017','070000177970','3121',(select max(to_number(i.premium_rcv_detail_code))+1
from ins_premium_det i),'3121','3121','02', '11000003','00','Request by Mr. Saqib Saleem 12-Mar-2025');</v>
      </c>
      <c r="H77" s="11" t="str">
        <f t="shared" si="7"/>
        <v>insert into ins_premium_det (premium_rcv_code,assorted_code, rec_amount,premium_rcv_detail_code,remaining_amt, payrec, mode_code,coinsurance_code,class_cd,it_remarks) values('12Mar250017','070000177970','3121',(select max(to_number(i.premium_rcv_detail_code))+1
from ins_premium_det i),'3121','3121','02', '11000003','00','Request by Mr. Saqib Saleem 12-Mar-2025');</v>
      </c>
    </row>
    <row r="78" spans="1:8" ht="105" x14ac:dyDescent="0.25">
      <c r="A78" s="1" t="s">
        <v>183</v>
      </c>
      <c r="B78" s="1" t="str">
        <f>VLOOKUP(A78,policy!B:C,2,0)</f>
        <v>070000177971</v>
      </c>
      <c r="C78" s="4">
        <v>10559</v>
      </c>
      <c r="D78" s="8">
        <f t="shared" si="5"/>
        <v>10559</v>
      </c>
      <c r="E78" s="12" t="s">
        <v>821</v>
      </c>
      <c r="F78" s="9" t="str">
        <f t="shared" si="4"/>
        <v>insert into ins_premium_det (premium_rcv_code,assorted_code, rec_amount,premium_rcv_detail_code,remaining_amt, payrec, mode_code,coinsurance_code,class_cd,it_remarks) values</v>
      </c>
      <c r="G78" s="10" t="str">
        <f t="shared" si="6"/>
        <v>('12Mar250017','070000177971','10559',(select max(to_number(i.premium_rcv_detail_code))+1
from ins_premium_det i),'10559','10559','02', '11000003','00','Request by Mr. Saqib Saleem 12-Mar-2025');</v>
      </c>
      <c r="H78" s="11" t="str">
        <f t="shared" si="7"/>
        <v>insert into ins_premium_det (premium_rcv_code,assorted_code, rec_amount,premium_rcv_detail_code,remaining_amt, payrec, mode_code,coinsurance_code,class_cd,it_remarks) values('12Mar250017','070000177971','10559',(select max(to_number(i.premium_rcv_detail_code))+1
from ins_premium_det i),'10559','10559','02', '11000003','00','Request by Mr. Saqib Saleem 12-Mar-2025');</v>
      </c>
    </row>
    <row r="79" spans="1:8" ht="105" x14ac:dyDescent="0.25">
      <c r="A79" s="1" t="s">
        <v>185</v>
      </c>
      <c r="B79" s="1" t="str">
        <f>VLOOKUP(A79,policy!B:C,2,0)</f>
        <v>070000177972</v>
      </c>
      <c r="C79" s="4">
        <v>18000</v>
      </c>
      <c r="D79" s="8">
        <f t="shared" si="5"/>
        <v>18000</v>
      </c>
      <c r="E79" s="12" t="s">
        <v>821</v>
      </c>
      <c r="F79" s="9" t="str">
        <f t="shared" si="4"/>
        <v>insert into ins_premium_det (premium_rcv_code,assorted_code, rec_amount,premium_rcv_detail_code,remaining_amt, payrec, mode_code,coinsurance_code,class_cd,it_remarks) values</v>
      </c>
      <c r="G79" s="10" t="str">
        <f t="shared" si="6"/>
        <v>('12Mar250017','070000177972','18000',(select max(to_number(i.premium_rcv_detail_code))+1
from ins_premium_det i),'18000','18000','02', '11000003','00','Request by Mr. Saqib Saleem 12-Mar-2025');</v>
      </c>
      <c r="H79" s="11" t="str">
        <f t="shared" si="7"/>
        <v>insert into ins_premium_det (premium_rcv_code,assorted_code, rec_amount,premium_rcv_detail_code,remaining_amt, payrec, mode_code,coinsurance_code,class_cd,it_remarks) values('12Mar250017','070000177972','18000',(select max(to_number(i.premium_rcv_detail_code))+1
from ins_premium_det i),'18000','18000','02', '11000003','00','Request by Mr. Saqib Saleem 12-Mar-2025');</v>
      </c>
    </row>
    <row r="80" spans="1:8" ht="105" x14ac:dyDescent="0.25">
      <c r="A80" s="1" t="s">
        <v>187</v>
      </c>
      <c r="B80" s="1" t="str">
        <f>VLOOKUP(A80,policy!B:C,2,0)</f>
        <v>070000177973</v>
      </c>
      <c r="C80" s="4">
        <v>6720</v>
      </c>
      <c r="D80" s="8">
        <f t="shared" si="5"/>
        <v>6720</v>
      </c>
      <c r="E80" s="12" t="s">
        <v>821</v>
      </c>
      <c r="F80" s="9" t="str">
        <f t="shared" si="4"/>
        <v>insert into ins_premium_det (premium_rcv_code,assorted_code, rec_amount,premium_rcv_detail_code,remaining_amt, payrec, mode_code,coinsurance_code,class_cd,it_remarks) values</v>
      </c>
      <c r="G80" s="10" t="str">
        <f t="shared" si="6"/>
        <v>('12Mar250017','070000177973','6720',(select max(to_number(i.premium_rcv_detail_code))+1
from ins_premium_det i),'6720','6720','02', '11000003','00','Request by Mr. Saqib Saleem 12-Mar-2025');</v>
      </c>
      <c r="H80" s="11" t="str">
        <f t="shared" si="7"/>
        <v>insert into ins_premium_det (premium_rcv_code,assorted_code, rec_amount,premium_rcv_detail_code,remaining_amt, payrec, mode_code,coinsurance_code,class_cd,it_remarks) values('12Mar250017','070000177973','6720',(select max(to_number(i.premium_rcv_detail_code))+1
from ins_premium_det i),'6720','6720','02', '11000003','00','Request by Mr. Saqib Saleem 12-Mar-2025');</v>
      </c>
    </row>
    <row r="81" spans="1:8" ht="105" x14ac:dyDescent="0.25">
      <c r="A81" s="1" t="s">
        <v>189</v>
      </c>
      <c r="B81" s="1" t="str">
        <f>VLOOKUP(A81,policy!B:C,2,0)</f>
        <v>070000177974</v>
      </c>
      <c r="C81" s="4">
        <v>11400</v>
      </c>
      <c r="D81" s="8">
        <f t="shared" si="5"/>
        <v>11400</v>
      </c>
      <c r="E81" s="12" t="s">
        <v>821</v>
      </c>
      <c r="F81" s="9" t="str">
        <f t="shared" si="4"/>
        <v>insert into ins_premium_det (premium_rcv_code,assorted_code, rec_amount,premium_rcv_detail_code,remaining_amt, payrec, mode_code,coinsurance_code,class_cd,it_remarks) values</v>
      </c>
      <c r="G81" s="10" t="str">
        <f t="shared" si="6"/>
        <v>('12Mar250017','070000177974','11400',(select max(to_number(i.premium_rcv_detail_code))+1
from ins_premium_det i),'11400','11400','02', '11000003','00','Request by Mr. Saqib Saleem 12-Mar-2025');</v>
      </c>
      <c r="H81" s="11" t="str">
        <f t="shared" si="7"/>
        <v>insert into ins_premium_det (premium_rcv_code,assorted_code, rec_amount,premium_rcv_detail_code,remaining_amt, payrec, mode_code,coinsurance_code,class_cd,it_remarks) values('12Mar250017','070000177974','11400',(select max(to_number(i.premium_rcv_detail_code))+1
from ins_premium_det i),'11400','11400','02', '11000003','00','Request by Mr. Saqib Saleem 12-Mar-2025');</v>
      </c>
    </row>
    <row r="82" spans="1:8" ht="105" x14ac:dyDescent="0.25">
      <c r="A82" s="1" t="s">
        <v>191</v>
      </c>
      <c r="B82" s="1" t="str">
        <f>VLOOKUP(A82,policy!B:C,2,0)</f>
        <v>070000177975</v>
      </c>
      <c r="C82" s="4">
        <v>19441</v>
      </c>
      <c r="D82" s="8">
        <f t="shared" si="5"/>
        <v>19441</v>
      </c>
      <c r="E82" s="12" t="s">
        <v>821</v>
      </c>
      <c r="F82" s="9" t="str">
        <f t="shared" si="4"/>
        <v>insert into ins_premium_det (premium_rcv_code,assorted_code, rec_amount,premium_rcv_detail_code,remaining_amt, payrec, mode_code,coinsurance_code,class_cd,it_remarks) values</v>
      </c>
      <c r="G82" s="10" t="str">
        <f t="shared" si="6"/>
        <v>('12Mar250017','070000177975','19441',(select max(to_number(i.premium_rcv_detail_code))+1
from ins_premium_det i),'19441','19441','02', '11000003','00','Request by Mr. Saqib Saleem 12-Mar-2025');</v>
      </c>
      <c r="H82" s="11" t="str">
        <f t="shared" si="7"/>
        <v>insert into ins_premium_det (premium_rcv_code,assorted_code, rec_amount,premium_rcv_detail_code,remaining_amt, payrec, mode_code,coinsurance_code,class_cd,it_remarks) values('12Mar250017','070000177975','19441',(select max(to_number(i.premium_rcv_detail_code))+1
from ins_premium_det i),'19441','19441','02', '11000003','00','Request by Mr. Saqib Saleem 12-Mar-2025');</v>
      </c>
    </row>
    <row r="83" spans="1:8" ht="105" x14ac:dyDescent="0.25">
      <c r="A83" s="1" t="s">
        <v>193</v>
      </c>
      <c r="B83" s="1" t="str">
        <f>VLOOKUP(A83,policy!B:C,2,0)</f>
        <v>070000177976</v>
      </c>
      <c r="C83" s="4">
        <v>7320</v>
      </c>
      <c r="D83" s="8">
        <f t="shared" si="5"/>
        <v>7320</v>
      </c>
      <c r="E83" s="12" t="s">
        <v>821</v>
      </c>
      <c r="F83" s="9" t="str">
        <f t="shared" si="4"/>
        <v>insert into ins_premium_det (premium_rcv_code,assorted_code, rec_amount,premium_rcv_detail_code,remaining_amt, payrec, mode_code,coinsurance_code,class_cd,it_remarks) values</v>
      </c>
      <c r="G83" s="10" t="str">
        <f t="shared" si="6"/>
        <v>('12Mar250017','070000177976','7320',(select max(to_number(i.premium_rcv_detail_code))+1
from ins_premium_det i),'7320','7320','02', '11000003','00','Request by Mr. Saqib Saleem 12-Mar-2025');</v>
      </c>
      <c r="H83" s="11" t="str">
        <f t="shared" si="7"/>
        <v>insert into ins_premium_det (premium_rcv_code,assorted_code, rec_amount,premium_rcv_detail_code,remaining_amt, payrec, mode_code,coinsurance_code,class_cd,it_remarks) values('12Mar250017','070000177976','7320',(select max(to_number(i.premium_rcv_detail_code))+1
from ins_premium_det i),'7320','7320','02', '11000003','00','Request by Mr. Saqib Saleem 12-Mar-2025');</v>
      </c>
    </row>
    <row r="84" spans="1:8" ht="105" x14ac:dyDescent="0.25">
      <c r="A84" s="1" t="s">
        <v>195</v>
      </c>
      <c r="B84" s="1" t="str">
        <f>VLOOKUP(A84,policy!B:C,2,0)</f>
        <v>070000177977</v>
      </c>
      <c r="C84" s="4">
        <v>12721</v>
      </c>
      <c r="D84" s="8">
        <f t="shared" si="5"/>
        <v>12721</v>
      </c>
      <c r="E84" s="12" t="s">
        <v>821</v>
      </c>
      <c r="F84" s="9" t="str">
        <f t="shared" si="4"/>
        <v>insert into ins_premium_det (premium_rcv_code,assorted_code, rec_amount,premium_rcv_detail_code,remaining_amt, payrec, mode_code,coinsurance_code,class_cd,it_remarks) values</v>
      </c>
      <c r="G84" s="10" t="str">
        <f t="shared" si="6"/>
        <v>('12Mar250017','070000177977','12721',(select max(to_number(i.premium_rcv_detail_code))+1
from ins_premium_det i),'12721','12721','02', '11000003','00','Request by Mr. Saqib Saleem 12-Mar-2025');</v>
      </c>
      <c r="H84" s="11" t="str">
        <f t="shared" si="7"/>
        <v>insert into ins_premium_det (premium_rcv_code,assorted_code, rec_amount,premium_rcv_detail_code,remaining_amt, payrec, mode_code,coinsurance_code,class_cd,it_remarks) values('12Mar250017','070000177977','12721',(select max(to_number(i.premium_rcv_detail_code))+1
from ins_premium_det i),'12721','12721','02', '11000003','00','Request by Mr. Saqib Saleem 12-Mar-2025');</v>
      </c>
    </row>
    <row r="85" spans="1:8" ht="105" x14ac:dyDescent="0.25">
      <c r="A85" s="1" t="s">
        <v>197</v>
      </c>
      <c r="B85" s="1" t="str">
        <f>VLOOKUP(A85,policy!B:C,2,0)</f>
        <v>070000177978</v>
      </c>
      <c r="C85" s="4">
        <v>8520</v>
      </c>
      <c r="D85" s="8">
        <f t="shared" si="5"/>
        <v>8520</v>
      </c>
      <c r="E85" s="12" t="s">
        <v>821</v>
      </c>
      <c r="F85" s="9" t="str">
        <f t="shared" si="4"/>
        <v>insert into ins_premium_det (premium_rcv_code,assorted_code, rec_amount,premium_rcv_detail_code,remaining_amt, payrec, mode_code,coinsurance_code,class_cd,it_remarks) values</v>
      </c>
      <c r="G85" s="10" t="str">
        <f t="shared" si="6"/>
        <v>('12Mar250017','070000177978','8520',(select max(to_number(i.premium_rcv_detail_code))+1
from ins_premium_det i),'8520','8520','02', '11000003','00','Request by Mr. Saqib Saleem 12-Mar-2025');</v>
      </c>
      <c r="H85" s="11" t="str">
        <f t="shared" si="7"/>
        <v>insert into ins_premium_det (premium_rcv_code,assorted_code, rec_amount,premium_rcv_detail_code,remaining_amt, payrec, mode_code,coinsurance_code,class_cd,it_remarks) values('12Mar250017','070000177978','8520',(select max(to_number(i.premium_rcv_detail_code))+1
from ins_premium_det i),'8520','8520','02', '11000003','00','Request by Mr. Saqib Saleem 12-Mar-2025');</v>
      </c>
    </row>
    <row r="86" spans="1:8" ht="105" x14ac:dyDescent="0.25">
      <c r="A86" s="1" t="s">
        <v>199</v>
      </c>
      <c r="B86" s="1" t="str">
        <f>VLOOKUP(A86,policy!B:C,2,0)</f>
        <v>070000177979</v>
      </c>
      <c r="C86" s="4">
        <v>11760</v>
      </c>
      <c r="D86" s="8">
        <f t="shared" si="5"/>
        <v>11760</v>
      </c>
      <c r="E86" s="12" t="s">
        <v>821</v>
      </c>
      <c r="F86" s="9" t="str">
        <f t="shared" si="4"/>
        <v>insert into ins_premium_det (premium_rcv_code,assorted_code, rec_amount,premium_rcv_detail_code,remaining_amt, payrec, mode_code,coinsurance_code,class_cd,it_remarks) values</v>
      </c>
      <c r="G86" s="10" t="str">
        <f t="shared" si="6"/>
        <v>('12Mar250017','070000177979','11760',(select max(to_number(i.premium_rcv_detail_code))+1
from ins_premium_det i),'11760','11760','02', '11000003','00','Request by Mr. Saqib Saleem 12-Mar-2025');</v>
      </c>
      <c r="H86" s="11" t="str">
        <f t="shared" si="7"/>
        <v>insert into ins_premium_det (premium_rcv_code,assorted_code, rec_amount,premium_rcv_detail_code,remaining_amt, payrec, mode_code,coinsurance_code,class_cd,it_remarks) values('12Mar250017','070000177979','11760',(select max(to_number(i.premium_rcv_detail_code))+1
from ins_premium_det i),'11760','11760','02', '11000003','00','Request by Mr. Saqib Saleem 12-Mar-2025');</v>
      </c>
    </row>
    <row r="87" spans="1:8" ht="105" x14ac:dyDescent="0.25">
      <c r="A87" s="1" t="s">
        <v>201</v>
      </c>
      <c r="B87" s="1" t="str">
        <f>VLOOKUP(A87,policy!B:C,2,0)</f>
        <v>070000177980</v>
      </c>
      <c r="C87" s="4">
        <v>13080</v>
      </c>
      <c r="D87" s="8">
        <f t="shared" si="5"/>
        <v>13080</v>
      </c>
      <c r="E87" s="12" t="s">
        <v>821</v>
      </c>
      <c r="F87" s="9" t="str">
        <f t="shared" si="4"/>
        <v>insert into ins_premium_det (premium_rcv_code,assorted_code, rec_amount,premium_rcv_detail_code,remaining_amt, payrec, mode_code,coinsurance_code,class_cd,it_remarks) values</v>
      </c>
      <c r="G87" s="10" t="str">
        <f t="shared" si="6"/>
        <v>('12Mar250017','070000177980','13080',(select max(to_number(i.premium_rcv_detail_code))+1
from ins_premium_det i),'13080','13080','02', '11000003','00','Request by Mr. Saqib Saleem 12-Mar-2025');</v>
      </c>
      <c r="H87" s="11" t="str">
        <f t="shared" si="7"/>
        <v>insert into ins_premium_det (premium_rcv_code,assorted_code, rec_amount,premium_rcv_detail_code,remaining_amt, payrec, mode_code,coinsurance_code,class_cd,it_remarks) values('12Mar250017','070000177980','13080',(select max(to_number(i.premium_rcv_detail_code))+1
from ins_premium_det i),'13080','13080','02', '11000003','00','Request by Mr. Saqib Saleem 12-Mar-2025');</v>
      </c>
    </row>
    <row r="88" spans="1:8" ht="105" x14ac:dyDescent="0.25">
      <c r="A88" s="1" t="s">
        <v>203</v>
      </c>
      <c r="B88" s="1" t="str">
        <f>VLOOKUP(A88,policy!B:C,2,0)</f>
        <v>070000177981</v>
      </c>
      <c r="C88" s="4">
        <v>9480</v>
      </c>
      <c r="D88" s="8">
        <f t="shared" si="5"/>
        <v>9480</v>
      </c>
      <c r="E88" s="12" t="s">
        <v>821</v>
      </c>
      <c r="F88" s="9" t="str">
        <f t="shared" si="4"/>
        <v>insert into ins_premium_det (premium_rcv_code,assorted_code, rec_amount,premium_rcv_detail_code,remaining_amt, payrec, mode_code,coinsurance_code,class_cd,it_remarks) values</v>
      </c>
      <c r="G88" s="10" t="str">
        <f t="shared" si="6"/>
        <v>('12Mar250017','070000177981','9480',(select max(to_number(i.premium_rcv_detail_code))+1
from ins_premium_det i),'9480','9480','02', '11000003','00','Request by Mr. Saqib Saleem 12-Mar-2025');</v>
      </c>
      <c r="H88" s="11" t="str">
        <f t="shared" si="7"/>
        <v>insert into ins_premium_det (premium_rcv_code,assorted_code, rec_amount,premium_rcv_detail_code,remaining_amt, payrec, mode_code,coinsurance_code,class_cd,it_remarks) values('12Mar250017','070000177981','9480',(select max(to_number(i.premium_rcv_detail_code))+1
from ins_premium_det i),'9480','9480','02', '11000003','00','Request by Mr. Saqib Saleem 12-Mar-2025');</v>
      </c>
    </row>
    <row r="89" spans="1:8" ht="105" x14ac:dyDescent="0.25">
      <c r="A89" s="1" t="s">
        <v>205</v>
      </c>
      <c r="B89" s="1" t="str">
        <f>VLOOKUP(A89,policy!B:C,2,0)</f>
        <v>070000177982</v>
      </c>
      <c r="C89" s="4">
        <v>7320</v>
      </c>
      <c r="D89" s="8">
        <f t="shared" si="5"/>
        <v>7320</v>
      </c>
      <c r="E89" s="12" t="s">
        <v>821</v>
      </c>
      <c r="F89" s="9" t="str">
        <f t="shared" si="4"/>
        <v>insert into ins_premium_det (premium_rcv_code,assorted_code, rec_amount,premium_rcv_detail_code,remaining_amt, payrec, mode_code,coinsurance_code,class_cd,it_remarks) values</v>
      </c>
      <c r="G89" s="10" t="str">
        <f t="shared" si="6"/>
        <v>('12Mar250017','070000177982','7320',(select max(to_number(i.premium_rcv_detail_code))+1
from ins_premium_det i),'7320','7320','02', '11000003','00','Request by Mr. Saqib Saleem 12-Mar-2025');</v>
      </c>
      <c r="H89" s="11" t="str">
        <f t="shared" si="7"/>
        <v>insert into ins_premium_det (premium_rcv_code,assorted_code, rec_amount,premium_rcv_detail_code,remaining_amt, payrec, mode_code,coinsurance_code,class_cd,it_remarks) values('12Mar250017','070000177982','7320',(select max(to_number(i.premium_rcv_detail_code))+1
from ins_premium_det i),'7320','7320','02', '11000003','00','Request by Mr. Saqib Saleem 12-Mar-2025');</v>
      </c>
    </row>
    <row r="90" spans="1:8" ht="105" x14ac:dyDescent="0.25">
      <c r="A90" s="1" t="s">
        <v>207</v>
      </c>
      <c r="B90" s="1" t="str">
        <f>VLOOKUP(A90,policy!B:C,2,0)</f>
        <v>070000177983</v>
      </c>
      <c r="C90" s="4">
        <v>6960</v>
      </c>
      <c r="D90" s="8">
        <f t="shared" si="5"/>
        <v>6960</v>
      </c>
      <c r="E90" s="12" t="s">
        <v>821</v>
      </c>
      <c r="F90" s="9" t="str">
        <f t="shared" si="4"/>
        <v>insert into ins_premium_det (premium_rcv_code,assorted_code, rec_amount,premium_rcv_detail_code,remaining_amt, payrec, mode_code,coinsurance_code,class_cd,it_remarks) values</v>
      </c>
      <c r="G90" s="10" t="str">
        <f t="shared" si="6"/>
        <v>('12Mar250017','070000177983','6960',(select max(to_number(i.premium_rcv_detail_code))+1
from ins_premium_det i),'6960','6960','02', '11000003','00','Request by Mr. Saqib Saleem 12-Mar-2025');</v>
      </c>
      <c r="H90" s="11" t="str">
        <f t="shared" si="7"/>
        <v>insert into ins_premium_det (premium_rcv_code,assorted_code, rec_amount,premium_rcv_detail_code,remaining_amt, payrec, mode_code,coinsurance_code,class_cd,it_remarks) values('12Mar250017','070000177983','6960',(select max(to_number(i.premium_rcv_detail_code))+1
from ins_premium_det i),'6960','6960','02', '11000003','00','Request by Mr. Saqib Saleem 12-Mar-2025');</v>
      </c>
    </row>
    <row r="91" spans="1:8" ht="105" x14ac:dyDescent="0.25">
      <c r="A91" s="1" t="s">
        <v>209</v>
      </c>
      <c r="B91" s="1" t="str">
        <f>VLOOKUP(A91,policy!B:C,2,0)</f>
        <v>070000177984</v>
      </c>
      <c r="C91" s="4">
        <v>6000</v>
      </c>
      <c r="D91" s="8">
        <f t="shared" si="5"/>
        <v>6000</v>
      </c>
      <c r="E91" s="12" t="s">
        <v>821</v>
      </c>
      <c r="F91" s="9" t="str">
        <f t="shared" si="4"/>
        <v>insert into ins_premium_det (premium_rcv_code,assorted_code, rec_amount,premium_rcv_detail_code,remaining_amt, payrec, mode_code,coinsurance_code,class_cd,it_remarks) values</v>
      </c>
      <c r="G91" s="10" t="str">
        <f t="shared" si="6"/>
        <v>('12Mar250017','070000177984','6000',(select max(to_number(i.premium_rcv_detail_code))+1
from ins_premium_det i),'6000','6000','02', '11000003','00','Request by Mr. Saqib Saleem 12-Mar-2025');</v>
      </c>
      <c r="H91" s="11" t="str">
        <f t="shared" si="7"/>
        <v>insert into ins_premium_det (premium_rcv_code,assorted_code, rec_amount,premium_rcv_detail_code,remaining_amt, payrec, mode_code,coinsurance_code,class_cd,it_remarks) values('12Mar250017','070000177984','6000',(select max(to_number(i.premium_rcv_detail_code))+1
from ins_premium_det i),'6000','6000','02', '11000003','00','Request by Mr. Saqib Saleem 12-Mar-2025');</v>
      </c>
    </row>
    <row r="92" spans="1:8" ht="105" x14ac:dyDescent="0.25">
      <c r="A92" s="1" t="s">
        <v>211</v>
      </c>
      <c r="B92" s="1" t="str">
        <f>VLOOKUP(A92,policy!B:C,2,0)</f>
        <v>070000177985</v>
      </c>
      <c r="C92" s="4">
        <v>18720</v>
      </c>
      <c r="D92" s="8">
        <f t="shared" si="5"/>
        <v>18720</v>
      </c>
      <c r="E92" s="12" t="s">
        <v>821</v>
      </c>
      <c r="F92" s="9" t="str">
        <f t="shared" si="4"/>
        <v>insert into ins_premium_det (premium_rcv_code,assorted_code, rec_amount,premium_rcv_detail_code,remaining_amt, payrec, mode_code,coinsurance_code,class_cd,it_remarks) values</v>
      </c>
      <c r="G92" s="10" t="str">
        <f t="shared" si="6"/>
        <v>('12Mar250017','070000177985','18720',(select max(to_number(i.premium_rcv_detail_code))+1
from ins_premium_det i),'18720','18720','02', '11000003','00','Request by Mr. Saqib Saleem 12-Mar-2025');</v>
      </c>
      <c r="H92" s="11" t="str">
        <f t="shared" si="7"/>
        <v>insert into ins_premium_det (premium_rcv_code,assorted_code, rec_amount,premium_rcv_detail_code,remaining_amt, payrec, mode_code,coinsurance_code,class_cd,it_remarks) values('12Mar250017','070000177985','18720',(select max(to_number(i.premium_rcv_detail_code))+1
from ins_premium_det i),'18720','18720','02', '11000003','00','Request by Mr. Saqib Saleem 12-Mar-2025');</v>
      </c>
    </row>
    <row r="93" spans="1:8" ht="105" x14ac:dyDescent="0.25">
      <c r="A93" s="1" t="s">
        <v>213</v>
      </c>
      <c r="B93" s="1" t="str">
        <f>VLOOKUP(A93,policy!B:C,2,0)</f>
        <v>070000177986</v>
      </c>
      <c r="C93" s="4">
        <v>19920</v>
      </c>
      <c r="D93" s="8">
        <f t="shared" si="5"/>
        <v>19920</v>
      </c>
      <c r="E93" s="12" t="s">
        <v>821</v>
      </c>
      <c r="F93" s="9" t="str">
        <f t="shared" si="4"/>
        <v>insert into ins_premium_det (premium_rcv_code,assorted_code, rec_amount,premium_rcv_detail_code,remaining_amt, payrec, mode_code,coinsurance_code,class_cd,it_remarks) values</v>
      </c>
      <c r="G93" s="10" t="str">
        <f t="shared" si="6"/>
        <v>('12Mar250017','070000177986','19920',(select max(to_number(i.premium_rcv_detail_code))+1
from ins_premium_det i),'19920','19920','02', '11000003','00','Request by Mr. Saqib Saleem 12-Mar-2025');</v>
      </c>
      <c r="H93" s="11" t="str">
        <f t="shared" si="7"/>
        <v>insert into ins_premium_det (premium_rcv_code,assorted_code, rec_amount,premium_rcv_detail_code,remaining_amt, payrec, mode_code,coinsurance_code,class_cd,it_remarks) values('12Mar250017','070000177986','19920',(select max(to_number(i.premium_rcv_detail_code))+1
from ins_premium_det i),'19920','19920','02', '11000003','00','Request by Mr. Saqib Saleem 12-Mar-2025');</v>
      </c>
    </row>
    <row r="94" spans="1:8" ht="105" x14ac:dyDescent="0.25">
      <c r="A94" s="1" t="s">
        <v>215</v>
      </c>
      <c r="B94" s="1" t="str">
        <f>VLOOKUP(A94,policy!B:C,2,0)</f>
        <v>070000177987</v>
      </c>
      <c r="C94" s="4">
        <v>11040</v>
      </c>
      <c r="D94" s="8">
        <f t="shared" si="5"/>
        <v>11040</v>
      </c>
      <c r="E94" s="12" t="s">
        <v>821</v>
      </c>
      <c r="F94" s="9" t="str">
        <f t="shared" si="4"/>
        <v>insert into ins_premium_det (premium_rcv_code,assorted_code, rec_amount,premium_rcv_detail_code,remaining_amt, payrec, mode_code,coinsurance_code,class_cd,it_remarks) values</v>
      </c>
      <c r="G94" s="10" t="str">
        <f t="shared" si="6"/>
        <v>('12Mar250017','070000177987','11040',(select max(to_number(i.premium_rcv_detail_code))+1
from ins_premium_det i),'11040','11040','02', '11000003','00','Request by Mr. Saqib Saleem 12-Mar-2025');</v>
      </c>
      <c r="H94" s="11" t="str">
        <f t="shared" si="7"/>
        <v>insert into ins_premium_det (premium_rcv_code,assorted_code, rec_amount,premium_rcv_detail_code,remaining_amt, payrec, mode_code,coinsurance_code,class_cd,it_remarks) values('12Mar250017','070000177987','11040',(select max(to_number(i.premium_rcv_detail_code))+1
from ins_premium_det i),'11040','11040','02', '11000003','00','Request by Mr. Saqib Saleem 12-Mar-2025');</v>
      </c>
    </row>
    <row r="95" spans="1:8" ht="105" x14ac:dyDescent="0.25">
      <c r="A95" s="1" t="s">
        <v>217</v>
      </c>
      <c r="B95" s="1" t="str">
        <f>VLOOKUP(A95,policy!B:C,2,0)</f>
        <v>070000177988</v>
      </c>
      <c r="C95" s="4">
        <v>6480</v>
      </c>
      <c r="D95" s="8">
        <f t="shared" si="5"/>
        <v>6480</v>
      </c>
      <c r="E95" s="12" t="s">
        <v>821</v>
      </c>
      <c r="F95" s="9" t="str">
        <f t="shared" si="4"/>
        <v>insert into ins_premium_det (premium_rcv_code,assorted_code, rec_amount,premium_rcv_detail_code,remaining_amt, payrec, mode_code,coinsurance_code,class_cd,it_remarks) values</v>
      </c>
      <c r="G95" s="10" t="str">
        <f t="shared" si="6"/>
        <v>('12Mar250017','070000177988','6480',(select max(to_number(i.premium_rcv_detail_code))+1
from ins_premium_det i),'6480','6480','02', '11000003','00','Request by Mr. Saqib Saleem 12-Mar-2025');</v>
      </c>
      <c r="H95" s="11" t="str">
        <f t="shared" si="7"/>
        <v>insert into ins_premium_det (premium_rcv_code,assorted_code, rec_amount,premium_rcv_detail_code,remaining_amt, payrec, mode_code,coinsurance_code,class_cd,it_remarks) values('12Mar250017','070000177988','6480',(select max(to_number(i.premium_rcv_detail_code))+1
from ins_premium_det i),'6480','6480','02', '11000003','00','Request by Mr. Saqib Saleem 12-Mar-2025');</v>
      </c>
    </row>
    <row r="96" spans="1:8" ht="105" x14ac:dyDescent="0.25">
      <c r="A96" s="1" t="s">
        <v>219</v>
      </c>
      <c r="B96" s="1" t="str">
        <f>VLOOKUP(A96,policy!B:C,2,0)</f>
        <v>070000177989</v>
      </c>
      <c r="C96" s="4">
        <v>8280</v>
      </c>
      <c r="D96" s="8">
        <f t="shared" si="5"/>
        <v>8280</v>
      </c>
      <c r="E96" s="12" t="s">
        <v>821</v>
      </c>
      <c r="F96" s="9" t="str">
        <f t="shared" si="4"/>
        <v>insert into ins_premium_det (premium_rcv_code,assorted_code, rec_amount,premium_rcv_detail_code,remaining_amt, payrec, mode_code,coinsurance_code,class_cd,it_remarks) values</v>
      </c>
      <c r="G96" s="10" t="str">
        <f t="shared" si="6"/>
        <v>('12Mar250017','070000177989','8280',(select max(to_number(i.premium_rcv_detail_code))+1
from ins_premium_det i),'8280','8280','02', '11000003','00','Request by Mr. Saqib Saleem 12-Mar-2025');</v>
      </c>
      <c r="H96" s="11" t="str">
        <f t="shared" si="7"/>
        <v>insert into ins_premium_det (premium_rcv_code,assorted_code, rec_amount,premium_rcv_detail_code,remaining_amt, payrec, mode_code,coinsurance_code,class_cd,it_remarks) values('12Mar250017','070000177989','8280',(select max(to_number(i.premium_rcv_detail_code))+1
from ins_premium_det i),'8280','8280','02', '11000003','00','Request by Mr. Saqib Saleem 12-Mar-2025');</v>
      </c>
    </row>
    <row r="97" spans="1:8" ht="105" x14ac:dyDescent="0.25">
      <c r="A97" s="1" t="s">
        <v>221</v>
      </c>
      <c r="B97" s="1" t="str">
        <f>VLOOKUP(A97,policy!B:C,2,0)</f>
        <v>070000177990</v>
      </c>
      <c r="C97" s="4">
        <v>2281</v>
      </c>
      <c r="D97" s="8">
        <f t="shared" si="5"/>
        <v>2281</v>
      </c>
      <c r="E97" s="12" t="s">
        <v>821</v>
      </c>
      <c r="F97" s="9" t="str">
        <f t="shared" si="4"/>
        <v>insert into ins_premium_det (premium_rcv_code,assorted_code, rec_amount,premium_rcv_detail_code,remaining_amt, payrec, mode_code,coinsurance_code,class_cd,it_remarks) values</v>
      </c>
      <c r="G97" s="10" t="str">
        <f t="shared" si="6"/>
        <v>('12Mar250017','070000177990','2281',(select max(to_number(i.premium_rcv_detail_code))+1
from ins_premium_det i),'2281','2281','02', '11000003','00','Request by Mr. Saqib Saleem 12-Mar-2025');</v>
      </c>
      <c r="H97" s="11" t="str">
        <f t="shared" si="7"/>
        <v>insert into ins_premium_det (premium_rcv_code,assorted_code, rec_amount,premium_rcv_detail_code,remaining_amt, payrec, mode_code,coinsurance_code,class_cd,it_remarks) values('12Mar250017','070000177990','2281',(select max(to_number(i.premium_rcv_detail_code))+1
from ins_premium_det i),'2281','2281','02', '11000003','00','Request by Mr. Saqib Saleem 12-Mar-2025');</v>
      </c>
    </row>
    <row r="98" spans="1:8" ht="105" x14ac:dyDescent="0.25">
      <c r="A98" s="1" t="s">
        <v>223</v>
      </c>
      <c r="B98" s="1" t="str">
        <f>VLOOKUP(A98,policy!B:C,2,0)</f>
        <v>070000177991</v>
      </c>
      <c r="C98" s="4">
        <v>5281</v>
      </c>
      <c r="D98" s="8">
        <f t="shared" si="5"/>
        <v>5281</v>
      </c>
      <c r="E98" s="12" t="s">
        <v>821</v>
      </c>
      <c r="F98" s="9" t="str">
        <f t="shared" si="4"/>
        <v>insert into ins_premium_det (premium_rcv_code,assorted_code, rec_amount,premium_rcv_detail_code,remaining_amt, payrec, mode_code,coinsurance_code,class_cd,it_remarks) values</v>
      </c>
      <c r="G98" s="10" t="str">
        <f t="shared" si="6"/>
        <v>('12Mar250017','070000177991','5281',(select max(to_number(i.premium_rcv_detail_code))+1
from ins_premium_det i),'5281','5281','02', '11000003','00','Request by Mr. Saqib Saleem 12-Mar-2025');</v>
      </c>
      <c r="H98" s="11" t="str">
        <f t="shared" si="7"/>
        <v>insert into ins_premium_det (premium_rcv_code,assorted_code, rec_amount,premium_rcv_detail_code,remaining_amt, payrec, mode_code,coinsurance_code,class_cd,it_remarks) values('12Mar250017','070000177991','5281',(select max(to_number(i.premium_rcv_detail_code))+1
from ins_premium_det i),'5281','5281','02', '11000003','00','Request by Mr. Saqib Saleem 12-Mar-2025');</v>
      </c>
    </row>
    <row r="99" spans="1:8" ht="105" x14ac:dyDescent="0.25">
      <c r="A99" s="1" t="s">
        <v>225</v>
      </c>
      <c r="B99" s="1" t="str">
        <f>VLOOKUP(A99,policy!B:C,2,0)</f>
        <v>070000177992</v>
      </c>
      <c r="C99" s="4">
        <v>3000</v>
      </c>
      <c r="D99" s="8">
        <f t="shared" si="5"/>
        <v>3000</v>
      </c>
      <c r="E99" s="12" t="s">
        <v>821</v>
      </c>
      <c r="F99" s="9" t="str">
        <f t="shared" si="4"/>
        <v>insert into ins_premium_det (premium_rcv_code,assorted_code, rec_amount,premium_rcv_detail_code,remaining_amt, payrec, mode_code,coinsurance_code,class_cd,it_remarks) values</v>
      </c>
      <c r="G99" s="10" t="str">
        <f t="shared" si="6"/>
        <v>('12Mar250017','070000177992','3000',(select max(to_number(i.premium_rcv_detail_code))+1
from ins_premium_det i),'3000','3000','02', '11000003','00','Request by Mr. Saqib Saleem 12-Mar-2025');</v>
      </c>
      <c r="H99" s="11" t="str">
        <f t="shared" si="7"/>
        <v>insert into ins_premium_det (premium_rcv_code,assorted_code, rec_amount,premium_rcv_detail_code,remaining_amt, payrec, mode_code,coinsurance_code,class_cd,it_remarks) values('12Mar250017','070000177992','3000',(select max(to_number(i.premium_rcv_detail_code))+1
from ins_premium_det i),'3000','3000','02', '11000003','00','Request by Mr. Saqib Saleem 12-Mar-2025');</v>
      </c>
    </row>
    <row r="100" spans="1:8" ht="105" x14ac:dyDescent="0.25">
      <c r="A100" s="1" t="s">
        <v>227</v>
      </c>
      <c r="B100" s="1" t="str">
        <f>VLOOKUP(A100,policy!B:C,2,0)</f>
        <v>070000177993</v>
      </c>
      <c r="C100" s="4">
        <v>3960</v>
      </c>
      <c r="D100" s="8">
        <f t="shared" si="5"/>
        <v>3960</v>
      </c>
      <c r="E100" s="12" t="s">
        <v>821</v>
      </c>
      <c r="F100" s="9" t="str">
        <f t="shared" si="4"/>
        <v>insert into ins_premium_det (premium_rcv_code,assorted_code, rec_amount,premium_rcv_detail_code,remaining_amt, payrec, mode_code,coinsurance_code,class_cd,it_remarks) values</v>
      </c>
      <c r="G100" s="10" t="str">
        <f t="shared" si="6"/>
        <v>('12Mar250017','070000177993','3960',(select max(to_number(i.premium_rcv_detail_code))+1
from ins_premium_det i),'3960','3960','02', '11000003','00','Request by Mr. Saqib Saleem 12-Mar-2025');</v>
      </c>
      <c r="H100" s="11" t="str">
        <f t="shared" si="7"/>
        <v>insert into ins_premium_det (premium_rcv_code,assorted_code, rec_amount,premium_rcv_detail_code,remaining_amt, payrec, mode_code,coinsurance_code,class_cd,it_remarks) values('12Mar250017','070000177993','3960',(select max(to_number(i.premium_rcv_detail_code))+1
from ins_premium_det i),'3960','3960','02', '11000003','00','Request by Mr. Saqib Saleem 12-Mar-2025');</v>
      </c>
    </row>
    <row r="101" spans="1:8" ht="105" x14ac:dyDescent="0.25">
      <c r="A101" s="1" t="s">
        <v>229</v>
      </c>
      <c r="B101" s="1" t="str">
        <f>VLOOKUP(A101,policy!B:C,2,0)</f>
        <v>070000177994</v>
      </c>
      <c r="C101" s="4">
        <v>12241</v>
      </c>
      <c r="D101" s="8">
        <f t="shared" si="5"/>
        <v>12241</v>
      </c>
      <c r="E101" s="12" t="s">
        <v>821</v>
      </c>
      <c r="F101" s="9" t="str">
        <f t="shared" si="4"/>
        <v>insert into ins_premium_det (premium_rcv_code,assorted_code, rec_amount,premium_rcv_detail_code,remaining_amt, payrec, mode_code,coinsurance_code,class_cd,it_remarks) values</v>
      </c>
      <c r="G101" s="10" t="str">
        <f t="shared" si="6"/>
        <v>('12Mar250017','070000177994','12241',(select max(to_number(i.premium_rcv_detail_code))+1
from ins_premium_det i),'12241','12241','02', '11000003','00','Request by Mr. Saqib Saleem 12-Mar-2025');</v>
      </c>
      <c r="H101" s="11" t="str">
        <f t="shared" si="7"/>
        <v>insert into ins_premium_det (premium_rcv_code,assorted_code, rec_amount,premium_rcv_detail_code,remaining_amt, payrec, mode_code,coinsurance_code,class_cd,it_remarks) values('12Mar250017','070000177994','12241',(select max(to_number(i.premium_rcv_detail_code))+1
from ins_premium_det i),'12241','12241','02', '11000003','00','Request by Mr. Saqib Saleem 12-Mar-2025');</v>
      </c>
    </row>
    <row r="102" spans="1:8" ht="105" x14ac:dyDescent="0.25">
      <c r="A102" s="1" t="s">
        <v>231</v>
      </c>
      <c r="B102" s="1" t="str">
        <f>VLOOKUP(A102,policy!B:C,2,0)</f>
        <v>070000177995</v>
      </c>
      <c r="C102" s="4">
        <v>3840</v>
      </c>
      <c r="D102" s="8">
        <f t="shared" si="5"/>
        <v>3840</v>
      </c>
      <c r="E102" s="12" t="s">
        <v>821</v>
      </c>
      <c r="F102" s="9" t="str">
        <f t="shared" si="4"/>
        <v>insert into ins_premium_det (premium_rcv_code,assorted_code, rec_amount,premium_rcv_detail_code,remaining_amt, payrec, mode_code,coinsurance_code,class_cd,it_remarks) values</v>
      </c>
      <c r="G102" s="10" t="str">
        <f t="shared" si="6"/>
        <v>('12Mar250017','070000177995','3840',(select max(to_number(i.premium_rcv_detail_code))+1
from ins_premium_det i),'3840','3840','02', '11000003','00','Request by Mr. Saqib Saleem 12-Mar-2025');</v>
      </c>
      <c r="H102" s="11" t="str">
        <f t="shared" si="7"/>
        <v>insert into ins_premium_det (premium_rcv_code,assorted_code, rec_amount,premium_rcv_detail_code,remaining_amt, payrec, mode_code,coinsurance_code,class_cd,it_remarks) values('12Mar250017','070000177995','3840',(select max(to_number(i.premium_rcv_detail_code))+1
from ins_premium_det i),'3840','3840','02', '11000003','00','Request by Mr. Saqib Saleem 12-Mar-2025');</v>
      </c>
    </row>
    <row r="103" spans="1:8" ht="105" x14ac:dyDescent="0.25">
      <c r="A103" s="1" t="s">
        <v>233</v>
      </c>
      <c r="B103" s="1" t="str">
        <f>VLOOKUP(A103,policy!B:C,2,0)</f>
        <v>070000177996</v>
      </c>
      <c r="C103" s="4">
        <v>2400</v>
      </c>
      <c r="D103" s="8">
        <f t="shared" si="5"/>
        <v>2400</v>
      </c>
      <c r="E103" s="12" t="s">
        <v>821</v>
      </c>
      <c r="F103" s="9" t="str">
        <f t="shared" si="4"/>
        <v>insert into ins_premium_det (premium_rcv_code,assorted_code, rec_amount,premium_rcv_detail_code,remaining_amt, payrec, mode_code,coinsurance_code,class_cd,it_remarks) values</v>
      </c>
      <c r="G103" s="10" t="str">
        <f t="shared" si="6"/>
        <v>('12Mar250017','070000177996','2400',(select max(to_number(i.premium_rcv_detail_code))+1
from ins_premium_det i),'2400','2400','02', '11000003','00','Request by Mr. Saqib Saleem 12-Mar-2025');</v>
      </c>
      <c r="H103" s="11" t="str">
        <f t="shared" si="7"/>
        <v>insert into ins_premium_det (premium_rcv_code,assorted_code, rec_amount,premium_rcv_detail_code,remaining_amt, payrec, mode_code,coinsurance_code,class_cd,it_remarks) values('12Mar250017','070000177996','2400',(select max(to_number(i.premium_rcv_detail_code))+1
from ins_premium_det i),'2400','2400','02', '11000003','00','Request by Mr. Saqib Saleem 12-Mar-2025');</v>
      </c>
    </row>
    <row r="104" spans="1:8" ht="105" x14ac:dyDescent="0.25">
      <c r="A104" s="1" t="s">
        <v>235</v>
      </c>
      <c r="B104" s="1" t="str">
        <f>VLOOKUP(A104,policy!B:C,2,0)</f>
        <v>070000177997</v>
      </c>
      <c r="C104" s="4">
        <v>4200</v>
      </c>
      <c r="D104" s="8">
        <f t="shared" si="5"/>
        <v>4200</v>
      </c>
      <c r="E104" s="12" t="s">
        <v>821</v>
      </c>
      <c r="F104" s="9" t="str">
        <f t="shared" si="4"/>
        <v>insert into ins_premium_det (premium_rcv_code,assorted_code, rec_amount,premium_rcv_detail_code,remaining_amt, payrec, mode_code,coinsurance_code,class_cd,it_remarks) values</v>
      </c>
      <c r="G104" s="10" t="str">
        <f t="shared" si="6"/>
        <v>('12Mar250017','070000177997','4200',(select max(to_number(i.premium_rcv_detail_code))+1
from ins_premium_det i),'4200','4200','02', '11000003','00','Request by Mr. Saqib Saleem 12-Mar-2025');</v>
      </c>
      <c r="H104" s="11" t="str">
        <f t="shared" si="7"/>
        <v>insert into ins_premium_det (premium_rcv_code,assorted_code, rec_amount,premium_rcv_detail_code,remaining_amt, payrec, mode_code,coinsurance_code,class_cd,it_remarks) values('12Mar250017','070000177997','4200',(select max(to_number(i.premium_rcv_detail_code))+1
from ins_premium_det i),'4200','4200','02', '11000003','00','Request by Mr. Saqib Saleem 12-Mar-2025');</v>
      </c>
    </row>
    <row r="105" spans="1:8" ht="105" x14ac:dyDescent="0.25">
      <c r="A105" s="1" t="s">
        <v>237</v>
      </c>
      <c r="B105" s="1" t="str">
        <f>VLOOKUP(A105,policy!B:C,2,0)</f>
        <v>070000177998</v>
      </c>
      <c r="C105" s="4">
        <v>6360</v>
      </c>
      <c r="D105" s="8">
        <f t="shared" si="5"/>
        <v>6360</v>
      </c>
      <c r="E105" s="12" t="s">
        <v>821</v>
      </c>
      <c r="F105" s="9" t="str">
        <f t="shared" si="4"/>
        <v>insert into ins_premium_det (premium_rcv_code,assorted_code, rec_amount,premium_rcv_detail_code,remaining_amt, payrec, mode_code,coinsurance_code,class_cd,it_remarks) values</v>
      </c>
      <c r="G105" s="10" t="str">
        <f t="shared" si="6"/>
        <v>('12Mar250017','070000177998','6360',(select max(to_number(i.premium_rcv_detail_code))+1
from ins_premium_det i),'6360','6360','02', '11000003','00','Request by Mr. Saqib Saleem 12-Mar-2025');</v>
      </c>
      <c r="H105" s="11" t="str">
        <f t="shared" si="7"/>
        <v>insert into ins_premium_det (premium_rcv_code,assorted_code, rec_amount,premium_rcv_detail_code,remaining_amt, payrec, mode_code,coinsurance_code,class_cd,it_remarks) values('12Mar250017','070000177998','6360',(select max(to_number(i.premium_rcv_detail_code))+1
from ins_premium_det i),'6360','6360','02', '11000003','00','Request by Mr. Saqib Saleem 12-Mar-2025');</v>
      </c>
    </row>
    <row r="106" spans="1:8" ht="105" x14ac:dyDescent="0.25">
      <c r="A106" s="1" t="s">
        <v>239</v>
      </c>
      <c r="B106" s="1" t="str">
        <f>VLOOKUP(A106,policy!B:C,2,0)</f>
        <v>070000177999</v>
      </c>
      <c r="C106" s="4">
        <v>1801</v>
      </c>
      <c r="D106" s="8">
        <f t="shared" si="5"/>
        <v>1801</v>
      </c>
      <c r="E106" s="12" t="s">
        <v>821</v>
      </c>
      <c r="F106" s="9" t="str">
        <f t="shared" si="4"/>
        <v>insert into ins_premium_det (premium_rcv_code,assorted_code, rec_amount,premium_rcv_detail_code,remaining_amt, payrec, mode_code,coinsurance_code,class_cd,it_remarks) values</v>
      </c>
      <c r="G106" s="10" t="str">
        <f t="shared" si="6"/>
        <v>('12Mar250017','070000177999','1801',(select max(to_number(i.premium_rcv_detail_code))+1
from ins_premium_det i),'1801','1801','02', '11000003','00','Request by Mr. Saqib Saleem 12-Mar-2025');</v>
      </c>
      <c r="H106" s="11" t="str">
        <f t="shared" si="7"/>
        <v>insert into ins_premium_det (premium_rcv_code,assorted_code, rec_amount,premium_rcv_detail_code,remaining_amt, payrec, mode_code,coinsurance_code,class_cd,it_remarks) values('12Mar250017','070000177999','1801',(select max(to_number(i.premium_rcv_detail_code))+1
from ins_premium_det i),'1801','1801','02', '11000003','00','Request by Mr. Saqib Saleem 12-Mar-2025');</v>
      </c>
    </row>
    <row r="107" spans="1:8" ht="105" x14ac:dyDescent="0.25">
      <c r="A107" s="1" t="s">
        <v>241</v>
      </c>
      <c r="B107" s="1" t="str">
        <f>VLOOKUP(A107,policy!B:C,2,0)</f>
        <v>070000178000</v>
      </c>
      <c r="C107" s="4">
        <v>13680</v>
      </c>
      <c r="D107" s="8">
        <f t="shared" si="5"/>
        <v>13680</v>
      </c>
      <c r="E107" s="12" t="s">
        <v>821</v>
      </c>
      <c r="F107" s="9" t="str">
        <f t="shared" si="4"/>
        <v>insert into ins_premium_det (premium_rcv_code,assorted_code, rec_amount,premium_rcv_detail_code,remaining_amt, payrec, mode_code,coinsurance_code,class_cd,it_remarks) values</v>
      </c>
      <c r="G107" s="10" t="str">
        <f t="shared" si="6"/>
        <v>('12Mar250017','070000178000','13680',(select max(to_number(i.premium_rcv_detail_code))+1
from ins_premium_det i),'13680','13680','02', '11000003','00','Request by Mr. Saqib Saleem 12-Mar-2025');</v>
      </c>
      <c r="H107" s="11" t="str">
        <f t="shared" si="7"/>
        <v>insert into ins_premium_det (premium_rcv_code,assorted_code, rec_amount,premium_rcv_detail_code,remaining_amt, payrec, mode_code,coinsurance_code,class_cd,it_remarks) values('12Mar250017','070000178000','13680',(select max(to_number(i.premium_rcv_detail_code))+1
from ins_premium_det i),'13680','13680','02', '11000003','00','Request by Mr. Saqib Saleem 12-Mar-2025');</v>
      </c>
    </row>
    <row r="108" spans="1:8" ht="105" x14ac:dyDescent="0.25">
      <c r="A108" s="1" t="s">
        <v>243</v>
      </c>
      <c r="B108" s="1" t="str">
        <f>VLOOKUP(A108,policy!B:C,2,0)</f>
        <v>070000178001</v>
      </c>
      <c r="C108" s="4">
        <v>13320</v>
      </c>
      <c r="D108" s="8">
        <f t="shared" si="5"/>
        <v>13320</v>
      </c>
      <c r="E108" s="12" t="s">
        <v>821</v>
      </c>
      <c r="F108" s="9" t="str">
        <f t="shared" si="4"/>
        <v>insert into ins_premium_det (premium_rcv_code,assorted_code, rec_amount,premium_rcv_detail_code,remaining_amt, payrec, mode_code,coinsurance_code,class_cd,it_remarks) values</v>
      </c>
      <c r="G108" s="10" t="str">
        <f t="shared" si="6"/>
        <v>('12Mar250017','070000178001','13320',(select max(to_number(i.premium_rcv_detail_code))+1
from ins_premium_det i),'13320','13320','02', '11000003','00','Request by Mr. Saqib Saleem 12-Mar-2025');</v>
      </c>
      <c r="H108" s="11" t="str">
        <f t="shared" si="7"/>
        <v>insert into ins_premium_det (premium_rcv_code,assorted_code, rec_amount,premium_rcv_detail_code,remaining_amt, payrec, mode_code,coinsurance_code,class_cd,it_remarks) values('12Mar250017','070000178001','13320',(select max(to_number(i.premium_rcv_detail_code))+1
from ins_premium_det i),'13320','13320','02', '11000003','00','Request by Mr. Saqib Saleem 12-Mar-2025');</v>
      </c>
    </row>
    <row r="109" spans="1:8" ht="105" x14ac:dyDescent="0.25">
      <c r="A109" s="1" t="s">
        <v>245</v>
      </c>
      <c r="B109" s="1" t="str">
        <f>VLOOKUP(A109,policy!B:C,2,0)</f>
        <v>070000178002</v>
      </c>
      <c r="C109" s="4">
        <v>9241</v>
      </c>
      <c r="D109" s="8">
        <f t="shared" si="5"/>
        <v>9241</v>
      </c>
      <c r="E109" s="12" t="s">
        <v>821</v>
      </c>
      <c r="F109" s="9" t="str">
        <f t="shared" si="4"/>
        <v>insert into ins_premium_det (premium_rcv_code,assorted_code, rec_amount,premium_rcv_detail_code,remaining_amt, payrec, mode_code,coinsurance_code,class_cd,it_remarks) values</v>
      </c>
      <c r="G109" s="10" t="str">
        <f t="shared" si="6"/>
        <v>('12Mar250017','070000178002','9241',(select max(to_number(i.premium_rcv_detail_code))+1
from ins_premium_det i),'9241','9241','02', '11000003','00','Request by Mr. Saqib Saleem 12-Mar-2025');</v>
      </c>
      <c r="H109" s="11" t="str">
        <f t="shared" si="7"/>
        <v>insert into ins_premium_det (premium_rcv_code,assorted_code, rec_amount,premium_rcv_detail_code,remaining_amt, payrec, mode_code,coinsurance_code,class_cd,it_remarks) values('12Mar250017','070000178002','9241',(select max(to_number(i.premium_rcv_detail_code))+1
from ins_premium_det i),'9241','9241','02', '11000003','00','Request by Mr. Saqib Saleem 12-Mar-2025');</v>
      </c>
    </row>
    <row r="110" spans="1:8" ht="105" x14ac:dyDescent="0.25">
      <c r="A110" s="1" t="s">
        <v>247</v>
      </c>
      <c r="B110" s="1" t="str">
        <f>VLOOKUP(A110,policy!B:C,2,0)</f>
        <v>070000178003</v>
      </c>
      <c r="C110" s="4">
        <v>10321</v>
      </c>
      <c r="D110" s="8">
        <f t="shared" si="5"/>
        <v>10321</v>
      </c>
      <c r="E110" s="12" t="s">
        <v>821</v>
      </c>
      <c r="F110" s="9" t="str">
        <f t="shared" si="4"/>
        <v>insert into ins_premium_det (premium_rcv_code,assorted_code, rec_amount,premium_rcv_detail_code,remaining_amt, payrec, mode_code,coinsurance_code,class_cd,it_remarks) values</v>
      </c>
      <c r="G110" s="10" t="str">
        <f t="shared" si="6"/>
        <v>('12Mar250017','070000178003','10321',(select max(to_number(i.premium_rcv_detail_code))+1
from ins_premium_det i),'10321','10321','02', '11000003','00','Request by Mr. Saqib Saleem 12-Mar-2025');</v>
      </c>
      <c r="H110" s="11" t="str">
        <f t="shared" si="7"/>
        <v>insert into ins_premium_det (premium_rcv_code,assorted_code, rec_amount,premium_rcv_detail_code,remaining_amt, payrec, mode_code,coinsurance_code,class_cd,it_remarks) values('12Mar250017','070000178003','10321',(select max(to_number(i.premium_rcv_detail_code))+1
from ins_premium_det i),'10321','10321','02', '11000003','00','Request by Mr. Saqib Saleem 12-Mar-2025');</v>
      </c>
    </row>
    <row r="111" spans="1:8" ht="105" x14ac:dyDescent="0.25">
      <c r="A111" s="1" t="s">
        <v>249</v>
      </c>
      <c r="B111" s="1" t="str">
        <f>VLOOKUP(A111,policy!B:C,2,0)</f>
        <v>070000178004</v>
      </c>
      <c r="C111" s="4">
        <v>8520</v>
      </c>
      <c r="D111" s="8">
        <f t="shared" si="5"/>
        <v>8520</v>
      </c>
      <c r="E111" s="12" t="s">
        <v>821</v>
      </c>
      <c r="F111" s="9" t="str">
        <f t="shared" si="4"/>
        <v>insert into ins_premium_det (premium_rcv_code,assorted_code, rec_amount,premium_rcv_detail_code,remaining_amt, payrec, mode_code,coinsurance_code,class_cd,it_remarks) values</v>
      </c>
      <c r="G111" s="10" t="str">
        <f t="shared" si="6"/>
        <v>('12Mar250017','070000178004','8520',(select max(to_number(i.premium_rcv_detail_code))+1
from ins_premium_det i),'8520','8520','02', '11000003','00','Request by Mr. Saqib Saleem 12-Mar-2025');</v>
      </c>
      <c r="H111" s="11" t="str">
        <f t="shared" si="7"/>
        <v>insert into ins_premium_det (premium_rcv_code,assorted_code, rec_amount,premium_rcv_detail_code,remaining_amt, payrec, mode_code,coinsurance_code,class_cd,it_remarks) values('12Mar250017','070000178004','8520',(select max(to_number(i.premium_rcv_detail_code))+1
from ins_premium_det i),'8520','8520','02', '11000003','00','Request by Mr. Saqib Saleem 12-Mar-2025');</v>
      </c>
    </row>
    <row r="112" spans="1:8" ht="105" x14ac:dyDescent="0.25">
      <c r="A112" s="1" t="s">
        <v>251</v>
      </c>
      <c r="B112" s="1" t="str">
        <f>VLOOKUP(A112,policy!B:C,2,0)</f>
        <v>070000178005</v>
      </c>
      <c r="C112" s="4">
        <v>14640</v>
      </c>
      <c r="D112" s="8">
        <f t="shared" si="5"/>
        <v>14640</v>
      </c>
      <c r="E112" s="12" t="s">
        <v>821</v>
      </c>
      <c r="F112" s="9" t="str">
        <f t="shared" si="4"/>
        <v>insert into ins_premium_det (premium_rcv_code,assorted_code, rec_amount,premium_rcv_detail_code,remaining_amt, payrec, mode_code,coinsurance_code,class_cd,it_remarks) values</v>
      </c>
      <c r="G112" s="10" t="str">
        <f t="shared" si="6"/>
        <v>('12Mar250017','070000178005','14640',(select max(to_number(i.premium_rcv_detail_code))+1
from ins_premium_det i),'14640','14640','02', '11000003','00','Request by Mr. Saqib Saleem 12-Mar-2025');</v>
      </c>
      <c r="H112" s="11" t="str">
        <f t="shared" si="7"/>
        <v>insert into ins_premium_det (premium_rcv_code,assorted_code, rec_amount,premium_rcv_detail_code,remaining_amt, payrec, mode_code,coinsurance_code,class_cd,it_remarks) values('12Mar250017','070000178005','14640',(select max(to_number(i.premium_rcv_detail_code))+1
from ins_premium_det i),'14640','14640','02', '11000003','00','Request by Mr. Saqib Saleem 12-Mar-2025');</v>
      </c>
    </row>
    <row r="113" spans="1:8" ht="105" x14ac:dyDescent="0.25">
      <c r="A113" s="1" t="s">
        <v>253</v>
      </c>
      <c r="B113" s="1" t="str">
        <f>VLOOKUP(A113,policy!B:C,2,0)</f>
        <v>070000178006</v>
      </c>
      <c r="C113" s="4">
        <v>12360</v>
      </c>
      <c r="D113" s="8">
        <f t="shared" si="5"/>
        <v>12360</v>
      </c>
      <c r="E113" s="12" t="s">
        <v>821</v>
      </c>
      <c r="F113" s="9" t="str">
        <f t="shared" si="4"/>
        <v>insert into ins_premium_det (premium_rcv_code,assorted_code, rec_amount,premium_rcv_detail_code,remaining_amt, payrec, mode_code,coinsurance_code,class_cd,it_remarks) values</v>
      </c>
      <c r="G113" s="10" t="str">
        <f t="shared" si="6"/>
        <v>('12Mar250017','070000178006','12360',(select max(to_number(i.premium_rcv_detail_code))+1
from ins_premium_det i),'12360','12360','02', '11000003','00','Request by Mr. Saqib Saleem 12-Mar-2025');</v>
      </c>
      <c r="H113" s="11" t="str">
        <f t="shared" si="7"/>
        <v>insert into ins_premium_det (premium_rcv_code,assorted_code, rec_amount,premium_rcv_detail_code,remaining_amt, payrec, mode_code,coinsurance_code,class_cd,it_remarks) values('12Mar250017','070000178006','12360',(select max(to_number(i.premium_rcv_detail_code))+1
from ins_premium_det i),'12360','12360','02', '11000003','00','Request by Mr. Saqib Saleem 12-Mar-2025');</v>
      </c>
    </row>
    <row r="114" spans="1:8" ht="105" x14ac:dyDescent="0.25">
      <c r="A114" s="1" t="s">
        <v>255</v>
      </c>
      <c r="B114" s="1" t="str">
        <f>VLOOKUP(A114,policy!B:C,2,0)</f>
        <v>070000178007</v>
      </c>
      <c r="C114" s="4">
        <v>2160</v>
      </c>
      <c r="D114" s="8">
        <f t="shared" si="5"/>
        <v>2160</v>
      </c>
      <c r="E114" s="12" t="s">
        <v>821</v>
      </c>
      <c r="F114" s="9" t="str">
        <f t="shared" si="4"/>
        <v>insert into ins_premium_det (premium_rcv_code,assorted_code, rec_amount,premium_rcv_detail_code,remaining_amt, payrec, mode_code,coinsurance_code,class_cd,it_remarks) values</v>
      </c>
      <c r="G114" s="10" t="str">
        <f t="shared" si="6"/>
        <v>('12Mar250017','070000178007','2160',(select max(to_number(i.premium_rcv_detail_code))+1
from ins_premium_det i),'2160','2160','02', '11000003','00','Request by Mr. Saqib Saleem 12-Mar-2025');</v>
      </c>
      <c r="H114" s="11" t="str">
        <f t="shared" si="7"/>
        <v>insert into ins_premium_det (premium_rcv_code,assorted_code, rec_amount,premium_rcv_detail_code,remaining_amt, payrec, mode_code,coinsurance_code,class_cd,it_remarks) values('12Mar250017','070000178007','2160',(select max(to_number(i.premium_rcv_detail_code))+1
from ins_premium_det i),'2160','2160','02', '11000003','00','Request by Mr. Saqib Saleem 12-Mar-2025');</v>
      </c>
    </row>
    <row r="115" spans="1:8" ht="105" x14ac:dyDescent="0.25">
      <c r="A115" s="1" t="s">
        <v>257</v>
      </c>
      <c r="B115" s="1" t="str">
        <f>VLOOKUP(A115,policy!B:C,2,0)</f>
        <v>070000178008</v>
      </c>
      <c r="C115" s="4">
        <v>3599</v>
      </c>
      <c r="D115" s="8">
        <f t="shared" si="5"/>
        <v>3599</v>
      </c>
      <c r="E115" s="12" t="s">
        <v>821</v>
      </c>
      <c r="F115" s="9" t="str">
        <f t="shared" si="4"/>
        <v>insert into ins_premium_det (premium_rcv_code,assorted_code, rec_amount,premium_rcv_detail_code,remaining_amt, payrec, mode_code,coinsurance_code,class_cd,it_remarks) values</v>
      </c>
      <c r="G115" s="10" t="str">
        <f t="shared" si="6"/>
        <v>('12Mar250017','070000178008','3599',(select max(to_number(i.premium_rcv_detail_code))+1
from ins_premium_det i),'3599','3599','02', '11000003','00','Request by Mr. Saqib Saleem 12-Mar-2025');</v>
      </c>
      <c r="H115" s="11" t="str">
        <f t="shared" si="7"/>
        <v>insert into ins_premium_det (premium_rcv_code,assorted_code, rec_amount,premium_rcv_detail_code,remaining_amt, payrec, mode_code,coinsurance_code,class_cd,it_remarks) values('12Mar250017','070000178008','3599',(select max(to_number(i.premium_rcv_detail_code))+1
from ins_premium_det i),'3599','3599','02', '11000003','00','Request by Mr. Saqib Saleem 12-Mar-2025');</v>
      </c>
    </row>
    <row r="116" spans="1:8" ht="105" x14ac:dyDescent="0.25">
      <c r="A116" s="1" t="s">
        <v>259</v>
      </c>
      <c r="B116" s="1" t="str">
        <f>VLOOKUP(A116,policy!B:C,2,0)</f>
        <v>070000178009</v>
      </c>
      <c r="C116" s="4">
        <v>4679</v>
      </c>
      <c r="D116" s="8">
        <f t="shared" si="5"/>
        <v>4679</v>
      </c>
      <c r="E116" s="12" t="s">
        <v>821</v>
      </c>
      <c r="F116" s="9" t="str">
        <f t="shared" si="4"/>
        <v>insert into ins_premium_det (premium_rcv_code,assorted_code, rec_amount,premium_rcv_detail_code,remaining_amt, payrec, mode_code,coinsurance_code,class_cd,it_remarks) values</v>
      </c>
      <c r="G116" s="10" t="str">
        <f t="shared" si="6"/>
        <v>('12Mar250017','070000178009','4679',(select max(to_number(i.premium_rcv_detail_code))+1
from ins_premium_det i),'4679','4679','02', '11000003','00','Request by Mr. Saqib Saleem 12-Mar-2025');</v>
      </c>
      <c r="H116" s="11" t="str">
        <f t="shared" si="7"/>
        <v>insert into ins_premium_det (premium_rcv_code,assorted_code, rec_amount,premium_rcv_detail_code,remaining_amt, payrec, mode_code,coinsurance_code,class_cd,it_remarks) values('12Mar250017','070000178009','4679',(select max(to_number(i.premium_rcv_detail_code))+1
from ins_premium_det i),'4679','4679','02', '11000003','00','Request by Mr. Saqib Saleem 12-Mar-2025');</v>
      </c>
    </row>
    <row r="117" spans="1:8" ht="105" x14ac:dyDescent="0.25">
      <c r="A117" s="1" t="s">
        <v>261</v>
      </c>
      <c r="B117" s="1" t="str">
        <f>VLOOKUP(A117,policy!B:C,2,0)</f>
        <v>070000178010</v>
      </c>
      <c r="C117" s="4">
        <v>5400</v>
      </c>
      <c r="D117" s="8">
        <f t="shared" si="5"/>
        <v>5400</v>
      </c>
      <c r="E117" s="12" t="s">
        <v>821</v>
      </c>
      <c r="F117" s="9" t="str">
        <f t="shared" si="4"/>
        <v>insert into ins_premium_det (premium_rcv_code,assorted_code, rec_amount,premium_rcv_detail_code,remaining_amt, payrec, mode_code,coinsurance_code,class_cd,it_remarks) values</v>
      </c>
      <c r="G117" s="10" t="str">
        <f t="shared" si="6"/>
        <v>('12Mar250017','070000178010','5400',(select max(to_number(i.premium_rcv_detail_code))+1
from ins_premium_det i),'5400','5400','02', '11000003','00','Request by Mr. Saqib Saleem 12-Mar-2025');</v>
      </c>
      <c r="H117" s="11" t="str">
        <f t="shared" si="7"/>
        <v>insert into ins_premium_det (premium_rcv_code,assorted_code, rec_amount,premium_rcv_detail_code,remaining_amt, payrec, mode_code,coinsurance_code,class_cd,it_remarks) values('12Mar250017','070000178010','5400',(select max(to_number(i.premium_rcv_detail_code))+1
from ins_premium_det i),'5400','5400','02', '11000003','00','Request by Mr. Saqib Saleem 12-Mar-2025');</v>
      </c>
    </row>
    <row r="118" spans="1:8" ht="105" x14ac:dyDescent="0.25">
      <c r="A118" s="1" t="s">
        <v>263</v>
      </c>
      <c r="B118" s="1" t="str">
        <f>VLOOKUP(A118,policy!B:C,2,0)</f>
        <v>070000178011</v>
      </c>
      <c r="C118" s="4">
        <v>5521</v>
      </c>
      <c r="D118" s="8">
        <f t="shared" si="5"/>
        <v>5521</v>
      </c>
      <c r="E118" s="12" t="s">
        <v>821</v>
      </c>
      <c r="F118" s="9" t="str">
        <f t="shared" si="4"/>
        <v>insert into ins_premium_det (premium_rcv_code,assorted_code, rec_amount,premium_rcv_detail_code,remaining_amt, payrec, mode_code,coinsurance_code,class_cd,it_remarks) values</v>
      </c>
      <c r="G118" s="10" t="str">
        <f t="shared" si="6"/>
        <v>('12Mar250017','070000178011','5521',(select max(to_number(i.premium_rcv_detail_code))+1
from ins_premium_det i),'5521','5521','02', '11000003','00','Request by Mr. Saqib Saleem 12-Mar-2025');</v>
      </c>
      <c r="H118" s="11" t="str">
        <f t="shared" si="7"/>
        <v>insert into ins_premium_det (premium_rcv_code,assorted_code, rec_amount,premium_rcv_detail_code,remaining_amt, payrec, mode_code,coinsurance_code,class_cd,it_remarks) values('12Mar250017','070000178011','5521',(select max(to_number(i.premium_rcv_detail_code))+1
from ins_premium_det i),'5521','5521','02', '11000003','00','Request by Mr. Saqib Saleem 12-Mar-2025');</v>
      </c>
    </row>
    <row r="119" spans="1:8" ht="105" x14ac:dyDescent="0.25">
      <c r="A119" s="1" t="s">
        <v>265</v>
      </c>
      <c r="B119" s="1" t="str">
        <f>VLOOKUP(A119,policy!B:C,2,0)</f>
        <v>070000178012</v>
      </c>
      <c r="C119" s="4">
        <v>4320</v>
      </c>
      <c r="D119" s="8">
        <f t="shared" si="5"/>
        <v>4320</v>
      </c>
      <c r="E119" s="12" t="s">
        <v>821</v>
      </c>
      <c r="F119" s="9" t="str">
        <f t="shared" si="4"/>
        <v>insert into ins_premium_det (premium_rcv_code,assorted_code, rec_amount,premium_rcv_detail_code,remaining_amt, payrec, mode_code,coinsurance_code,class_cd,it_remarks) values</v>
      </c>
      <c r="G119" s="10" t="str">
        <f t="shared" si="6"/>
        <v>('12Mar250017','070000178012','4320',(select max(to_number(i.premium_rcv_detail_code))+1
from ins_premium_det i),'4320','4320','02', '11000003','00','Request by Mr. Saqib Saleem 12-Mar-2025');</v>
      </c>
      <c r="H119" s="11" t="str">
        <f t="shared" si="7"/>
        <v>insert into ins_premium_det (premium_rcv_code,assorted_code, rec_amount,premium_rcv_detail_code,remaining_amt, payrec, mode_code,coinsurance_code,class_cd,it_remarks) values('12Mar250017','070000178012','4320',(select max(to_number(i.premium_rcv_detail_code))+1
from ins_premium_det i),'4320','4320','02', '11000003','00','Request by Mr. Saqib Saleem 12-Mar-2025');</v>
      </c>
    </row>
    <row r="120" spans="1:8" ht="105" x14ac:dyDescent="0.25">
      <c r="A120" s="1" t="s">
        <v>267</v>
      </c>
      <c r="B120" s="1" t="str">
        <f>VLOOKUP(A120,policy!B:C,2,0)</f>
        <v>070000178013</v>
      </c>
      <c r="C120" s="4">
        <v>5521</v>
      </c>
      <c r="D120" s="8">
        <f t="shared" si="5"/>
        <v>5521</v>
      </c>
      <c r="E120" s="12" t="s">
        <v>821</v>
      </c>
      <c r="F120" s="9" t="str">
        <f t="shared" si="4"/>
        <v>insert into ins_premium_det (premium_rcv_code,assorted_code, rec_amount,premium_rcv_detail_code,remaining_amt, payrec, mode_code,coinsurance_code,class_cd,it_remarks) values</v>
      </c>
      <c r="G120" s="10" t="str">
        <f t="shared" si="6"/>
        <v>('12Mar250017','070000178013','5521',(select max(to_number(i.premium_rcv_detail_code))+1
from ins_premium_det i),'5521','5521','02', '11000003','00','Request by Mr. Saqib Saleem 12-Mar-2025');</v>
      </c>
      <c r="H120" s="11" t="str">
        <f t="shared" si="7"/>
        <v>insert into ins_premium_det (premium_rcv_code,assorted_code, rec_amount,premium_rcv_detail_code,remaining_amt, payrec, mode_code,coinsurance_code,class_cd,it_remarks) values('12Mar250017','070000178013','5521',(select max(to_number(i.premium_rcv_detail_code))+1
from ins_premium_det i),'5521','5521','02', '11000003','00','Request by Mr. Saqib Saleem 12-Mar-2025');</v>
      </c>
    </row>
    <row r="121" spans="1:8" ht="105" x14ac:dyDescent="0.25">
      <c r="A121" s="1" t="s">
        <v>269</v>
      </c>
      <c r="B121" s="1" t="str">
        <f>VLOOKUP(A121,policy!B:C,2,0)</f>
        <v>070000178014</v>
      </c>
      <c r="C121" s="4">
        <v>5640</v>
      </c>
      <c r="D121" s="8">
        <f t="shared" si="5"/>
        <v>5640</v>
      </c>
      <c r="E121" s="12" t="s">
        <v>821</v>
      </c>
      <c r="F121" s="9" t="str">
        <f t="shared" si="4"/>
        <v>insert into ins_premium_det (premium_rcv_code,assorted_code, rec_amount,premium_rcv_detail_code,remaining_amt, payrec, mode_code,coinsurance_code,class_cd,it_remarks) values</v>
      </c>
      <c r="G121" s="10" t="str">
        <f t="shared" si="6"/>
        <v>('12Mar250017','070000178014','5640',(select max(to_number(i.premium_rcv_detail_code))+1
from ins_premium_det i),'5640','5640','02', '11000003','00','Request by Mr. Saqib Saleem 12-Mar-2025');</v>
      </c>
      <c r="H121" s="11" t="str">
        <f t="shared" si="7"/>
        <v>insert into ins_premium_det (premium_rcv_code,assorted_code, rec_amount,premium_rcv_detail_code,remaining_amt, payrec, mode_code,coinsurance_code,class_cd,it_remarks) values('12Mar250017','070000178014','5640',(select max(to_number(i.premium_rcv_detail_code))+1
from ins_premium_det i),'5640','5640','02', '11000003','00','Request by Mr. Saqib Saleem 12-Mar-2025');</v>
      </c>
    </row>
    <row r="122" spans="1:8" ht="105" x14ac:dyDescent="0.25">
      <c r="A122" s="1" t="s">
        <v>271</v>
      </c>
      <c r="B122" s="1" t="str">
        <f>VLOOKUP(A122,policy!B:C,2,0)</f>
        <v>070000178015</v>
      </c>
      <c r="C122" s="4">
        <v>9241</v>
      </c>
      <c r="D122" s="8">
        <f t="shared" si="5"/>
        <v>9241</v>
      </c>
      <c r="E122" s="12" t="s">
        <v>821</v>
      </c>
      <c r="F122" s="9" t="str">
        <f t="shared" si="4"/>
        <v>insert into ins_premium_det (premium_rcv_code,assorted_code, rec_amount,premium_rcv_detail_code,remaining_amt, payrec, mode_code,coinsurance_code,class_cd,it_remarks) values</v>
      </c>
      <c r="G122" s="10" t="str">
        <f t="shared" si="6"/>
        <v>('12Mar250017','070000178015','9241',(select max(to_number(i.premium_rcv_detail_code))+1
from ins_premium_det i),'9241','9241','02', '11000003','00','Request by Mr. Saqib Saleem 12-Mar-2025');</v>
      </c>
      <c r="H122" s="11" t="str">
        <f t="shared" si="7"/>
        <v>insert into ins_premium_det (premium_rcv_code,assorted_code, rec_amount,premium_rcv_detail_code,remaining_amt, payrec, mode_code,coinsurance_code,class_cd,it_remarks) values('12Mar250017','070000178015','9241',(select max(to_number(i.premium_rcv_detail_code))+1
from ins_premium_det i),'9241','9241','02', '11000003','00','Request by Mr. Saqib Saleem 12-Mar-2025');</v>
      </c>
    </row>
    <row r="123" spans="1:8" ht="105" x14ac:dyDescent="0.25">
      <c r="A123" s="1" t="s">
        <v>273</v>
      </c>
      <c r="B123" s="1" t="str">
        <f>VLOOKUP(A123,policy!B:C,2,0)</f>
        <v>070000178016</v>
      </c>
      <c r="C123" s="4">
        <v>10081</v>
      </c>
      <c r="D123" s="8">
        <f t="shared" si="5"/>
        <v>10081</v>
      </c>
      <c r="E123" s="12" t="s">
        <v>821</v>
      </c>
      <c r="F123" s="9" t="str">
        <f t="shared" si="4"/>
        <v>insert into ins_premium_det (premium_rcv_code,assorted_code, rec_amount,premium_rcv_detail_code,remaining_amt, payrec, mode_code,coinsurance_code,class_cd,it_remarks) values</v>
      </c>
      <c r="G123" s="10" t="str">
        <f t="shared" si="6"/>
        <v>('12Mar250017','070000178016','10081',(select max(to_number(i.premium_rcv_detail_code))+1
from ins_premium_det i),'10081','10081','02', '11000003','00','Request by Mr. Saqib Saleem 12-Mar-2025');</v>
      </c>
      <c r="H123" s="11" t="str">
        <f t="shared" si="7"/>
        <v>insert into ins_premium_det (premium_rcv_code,assorted_code, rec_amount,premium_rcv_detail_code,remaining_amt, payrec, mode_code,coinsurance_code,class_cd,it_remarks) values('12Mar250017','070000178016','10081',(select max(to_number(i.premium_rcv_detail_code))+1
from ins_premium_det i),'10081','10081','02', '11000003','00','Request by Mr. Saqib Saleem 12-Mar-2025');</v>
      </c>
    </row>
    <row r="124" spans="1:8" ht="105" x14ac:dyDescent="0.25">
      <c r="A124" s="1" t="s">
        <v>275</v>
      </c>
      <c r="B124" s="1" t="str">
        <f>VLOOKUP(A124,policy!B:C,2,0)</f>
        <v>070000178017</v>
      </c>
      <c r="C124" s="4">
        <v>8399</v>
      </c>
      <c r="D124" s="8">
        <f t="shared" si="5"/>
        <v>8399</v>
      </c>
      <c r="E124" s="12" t="s">
        <v>821</v>
      </c>
      <c r="F124" s="9" t="str">
        <f t="shared" si="4"/>
        <v>insert into ins_premium_det (premium_rcv_code,assorted_code, rec_amount,premium_rcv_detail_code,remaining_amt, payrec, mode_code,coinsurance_code,class_cd,it_remarks) values</v>
      </c>
      <c r="G124" s="10" t="str">
        <f t="shared" si="6"/>
        <v>('12Mar250017','070000178017','8399',(select max(to_number(i.premium_rcv_detail_code))+1
from ins_premium_det i),'8399','8399','02', '11000003','00','Request by Mr. Saqib Saleem 12-Mar-2025');</v>
      </c>
      <c r="H124" s="11" t="str">
        <f t="shared" si="7"/>
        <v>insert into ins_premium_det (premium_rcv_code,assorted_code, rec_amount,premium_rcv_detail_code,remaining_amt, payrec, mode_code,coinsurance_code,class_cd,it_remarks) values('12Mar250017','070000178017','8399',(select max(to_number(i.premium_rcv_detail_code))+1
from ins_premium_det i),'8399','8399','02', '11000003','00','Request by Mr. Saqib Saleem 12-Mar-2025');</v>
      </c>
    </row>
    <row r="125" spans="1:8" ht="105" x14ac:dyDescent="0.25">
      <c r="A125" s="1" t="s">
        <v>277</v>
      </c>
      <c r="B125" s="1" t="str">
        <f>VLOOKUP(A125,policy!B:C,2,0)</f>
        <v>070000178018</v>
      </c>
      <c r="C125" s="4">
        <v>11760</v>
      </c>
      <c r="D125" s="8">
        <f t="shared" si="5"/>
        <v>11760</v>
      </c>
      <c r="E125" s="12" t="s">
        <v>821</v>
      </c>
      <c r="F125" s="9" t="str">
        <f t="shared" si="4"/>
        <v>insert into ins_premium_det (premium_rcv_code,assorted_code, rec_amount,premium_rcv_detail_code,remaining_amt, payrec, mode_code,coinsurance_code,class_cd,it_remarks) values</v>
      </c>
      <c r="G125" s="10" t="str">
        <f t="shared" si="6"/>
        <v>('12Mar250017','070000178018','11760',(select max(to_number(i.premium_rcv_detail_code))+1
from ins_premium_det i),'11760','11760','02', '11000003','00','Request by Mr. Saqib Saleem 12-Mar-2025');</v>
      </c>
      <c r="H125" s="11" t="str">
        <f t="shared" si="7"/>
        <v>insert into ins_premium_det (premium_rcv_code,assorted_code, rec_amount,premium_rcv_detail_code,remaining_amt, payrec, mode_code,coinsurance_code,class_cd,it_remarks) values('12Mar250017','070000178018','11760',(select max(to_number(i.premium_rcv_detail_code))+1
from ins_premium_det i),'11760','11760','02', '11000003','00','Request by Mr. Saqib Saleem 12-Mar-2025');</v>
      </c>
    </row>
    <row r="126" spans="1:8" ht="105" x14ac:dyDescent="0.25">
      <c r="A126" s="1" t="s">
        <v>279</v>
      </c>
      <c r="B126" s="1" t="str">
        <f>VLOOKUP(A126,policy!B:C,2,0)</f>
        <v>070000178019</v>
      </c>
      <c r="C126" s="4">
        <v>4440</v>
      </c>
      <c r="D126" s="8">
        <f t="shared" si="5"/>
        <v>4440</v>
      </c>
      <c r="E126" s="12" t="s">
        <v>821</v>
      </c>
      <c r="F126" s="9" t="str">
        <f t="shared" si="4"/>
        <v>insert into ins_premium_det (premium_rcv_code,assorted_code, rec_amount,premium_rcv_detail_code,remaining_amt, payrec, mode_code,coinsurance_code,class_cd,it_remarks) values</v>
      </c>
      <c r="G126" s="10" t="str">
        <f t="shared" si="6"/>
        <v>('12Mar250017','070000178019','4440',(select max(to_number(i.premium_rcv_detail_code))+1
from ins_premium_det i),'4440','4440','02', '11000003','00','Request by Mr. Saqib Saleem 12-Mar-2025');</v>
      </c>
      <c r="H126" s="11" t="str">
        <f t="shared" si="7"/>
        <v>insert into ins_premium_det (premium_rcv_code,assorted_code, rec_amount,premium_rcv_detail_code,remaining_amt, payrec, mode_code,coinsurance_code,class_cd,it_remarks) values('12Mar250017','070000178019','4440',(select max(to_number(i.premium_rcv_detail_code))+1
from ins_premium_det i),'4440','4440','02', '11000003','00','Request by Mr. Saqib Saleem 12-Mar-2025');</v>
      </c>
    </row>
    <row r="127" spans="1:8" ht="105" x14ac:dyDescent="0.25">
      <c r="A127" s="1" t="s">
        <v>281</v>
      </c>
      <c r="B127" s="1" t="str">
        <f>VLOOKUP(A127,policy!B:C,2,0)</f>
        <v>070000178020</v>
      </c>
      <c r="C127" s="4">
        <v>7320</v>
      </c>
      <c r="D127" s="8">
        <f t="shared" si="5"/>
        <v>7320</v>
      </c>
      <c r="E127" s="12" t="s">
        <v>821</v>
      </c>
      <c r="F127" s="9" t="str">
        <f t="shared" si="4"/>
        <v>insert into ins_premium_det (premium_rcv_code,assorted_code, rec_amount,premium_rcv_detail_code,remaining_amt, payrec, mode_code,coinsurance_code,class_cd,it_remarks) values</v>
      </c>
      <c r="G127" s="10" t="str">
        <f t="shared" si="6"/>
        <v>('12Mar250017','070000178020','7320',(select max(to_number(i.premium_rcv_detail_code))+1
from ins_premium_det i),'7320','7320','02', '11000003','00','Request by Mr. Saqib Saleem 12-Mar-2025');</v>
      </c>
      <c r="H127" s="11" t="str">
        <f t="shared" si="7"/>
        <v>insert into ins_premium_det (premium_rcv_code,assorted_code, rec_amount,premium_rcv_detail_code,remaining_amt, payrec, mode_code,coinsurance_code,class_cd,it_remarks) values('12Mar250017','070000178020','7320',(select max(to_number(i.premium_rcv_detail_code))+1
from ins_premium_det i),'7320','7320','02', '11000003','00','Request by Mr. Saqib Saleem 12-Mar-2025');</v>
      </c>
    </row>
    <row r="128" spans="1:8" ht="105" x14ac:dyDescent="0.25">
      <c r="A128" s="1" t="s">
        <v>283</v>
      </c>
      <c r="B128" s="1" t="str">
        <f>VLOOKUP(A128,policy!B:C,2,0)</f>
        <v>070000178021</v>
      </c>
      <c r="C128" s="4">
        <v>9720</v>
      </c>
      <c r="D128" s="8">
        <f t="shared" si="5"/>
        <v>9720</v>
      </c>
      <c r="E128" s="12" t="s">
        <v>821</v>
      </c>
      <c r="F128" s="9" t="str">
        <f t="shared" si="4"/>
        <v>insert into ins_premium_det (premium_rcv_code,assorted_code, rec_amount,premium_rcv_detail_code,remaining_amt, payrec, mode_code,coinsurance_code,class_cd,it_remarks) values</v>
      </c>
      <c r="G128" s="10" t="str">
        <f t="shared" si="6"/>
        <v>('12Mar250017','070000178021','9720',(select max(to_number(i.premium_rcv_detail_code))+1
from ins_premium_det i),'9720','9720','02', '11000003','00','Request by Mr. Saqib Saleem 12-Mar-2025');</v>
      </c>
      <c r="H128" s="11" t="str">
        <f t="shared" si="7"/>
        <v>insert into ins_premium_det (premium_rcv_code,assorted_code, rec_amount,premium_rcv_detail_code,remaining_amt, payrec, mode_code,coinsurance_code,class_cd,it_remarks) values('12Mar250017','070000178021','9720',(select max(to_number(i.premium_rcv_detail_code))+1
from ins_premium_det i),'9720','9720','02', '11000003','00','Request by Mr. Saqib Saleem 12-Mar-2025');</v>
      </c>
    </row>
    <row r="129" spans="1:8" ht="105" x14ac:dyDescent="0.25">
      <c r="A129" s="1" t="s">
        <v>285</v>
      </c>
      <c r="B129" s="1" t="str">
        <f>VLOOKUP(A129,policy!B:C,2,0)</f>
        <v>070000178022</v>
      </c>
      <c r="C129" s="4">
        <v>8280</v>
      </c>
      <c r="D129" s="8">
        <f t="shared" si="5"/>
        <v>8280</v>
      </c>
      <c r="E129" s="12" t="s">
        <v>821</v>
      </c>
      <c r="F129" s="9" t="str">
        <f t="shared" si="4"/>
        <v>insert into ins_premium_det (premium_rcv_code,assorted_code, rec_amount,premium_rcv_detail_code,remaining_amt, payrec, mode_code,coinsurance_code,class_cd,it_remarks) values</v>
      </c>
      <c r="G129" s="10" t="str">
        <f t="shared" si="6"/>
        <v>('12Mar250017','070000178022','8280',(select max(to_number(i.premium_rcv_detail_code))+1
from ins_premium_det i),'8280','8280','02', '11000003','00','Request by Mr. Saqib Saleem 12-Mar-2025');</v>
      </c>
      <c r="H129" s="11" t="str">
        <f t="shared" si="7"/>
        <v>insert into ins_premium_det (premium_rcv_code,assorted_code, rec_amount,premium_rcv_detail_code,remaining_amt, payrec, mode_code,coinsurance_code,class_cd,it_remarks) values('12Mar250017','070000178022','8280',(select max(to_number(i.premium_rcv_detail_code))+1
from ins_premium_det i),'8280','8280','02', '11000003','00','Request by Mr. Saqib Saleem 12-Mar-2025');</v>
      </c>
    </row>
    <row r="130" spans="1:8" ht="105" x14ac:dyDescent="0.25">
      <c r="A130" s="1" t="s">
        <v>287</v>
      </c>
      <c r="B130" s="1" t="str">
        <f>VLOOKUP(A130,policy!B:C,2,0)</f>
        <v>070000178023</v>
      </c>
      <c r="C130" s="4">
        <v>7920</v>
      </c>
      <c r="D130" s="8">
        <f t="shared" si="5"/>
        <v>7920</v>
      </c>
      <c r="E130" s="12" t="s">
        <v>821</v>
      </c>
      <c r="F130" s="9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0" t="str">
        <f t="shared" si="6"/>
        <v>('12Mar250017','070000178023','7920',(select max(to_number(i.premium_rcv_detail_code))+1
from ins_premium_det i),'7920','7920','02', '11000003','00','Request by Mr. Saqib Saleem 12-Mar-2025');</v>
      </c>
      <c r="H130" s="11" t="str">
        <f t="shared" si="7"/>
        <v>insert into ins_premium_det (premium_rcv_code,assorted_code, rec_amount,premium_rcv_detail_code,remaining_amt, payrec, mode_code,coinsurance_code,class_cd,it_remarks) values('12Mar250017','070000178023','7920',(select max(to_number(i.premium_rcv_detail_code))+1
from ins_premium_det i),'7920','7920','02', '11000003','00','Request by Mr. Saqib Saleem 12-Mar-2025');</v>
      </c>
    </row>
    <row r="131" spans="1:8" ht="105" x14ac:dyDescent="0.25">
      <c r="A131" s="1" t="s">
        <v>289</v>
      </c>
      <c r="B131" s="1" t="str">
        <f>VLOOKUP(A131,policy!B:C,2,0)</f>
        <v>070000178024</v>
      </c>
      <c r="C131" s="4">
        <v>9360</v>
      </c>
      <c r="D131" s="8">
        <f t="shared" ref="D131:D194" si="9">ROUND(C131,0)</f>
        <v>9360</v>
      </c>
      <c r="E131" s="12" t="s">
        <v>821</v>
      </c>
      <c r="F131" s="9" t="str">
        <f t="shared" si="8"/>
        <v>insert into ins_premium_det (premium_rcv_code,assorted_code, rec_amount,premium_rcv_detail_code,remaining_amt, payrec, mode_code,coinsurance_code,class_cd,it_remarks) values</v>
      </c>
      <c r="G131" s="10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12-Mar-2025');"</f>
        <v>('12Mar250017','070000178024','9360',(select max(to_number(i.premium_rcv_detail_code))+1
from ins_premium_det i),'9360','9360','02', '11000003','00','Request by Mr. Saqib Saleem 12-Mar-2025');</v>
      </c>
      <c r="H131" s="11" t="str">
        <f t="shared" ref="H131:H194" si="11">F131&amp;G131</f>
        <v>insert into ins_premium_det (premium_rcv_code,assorted_code, rec_amount,premium_rcv_detail_code,remaining_amt, payrec, mode_code,coinsurance_code,class_cd,it_remarks) values('12Mar250017','070000178024','9360',(select max(to_number(i.premium_rcv_detail_code))+1
from ins_premium_det i),'9360','9360','02', '11000003','00','Request by Mr. Saqib Saleem 12-Mar-2025');</v>
      </c>
    </row>
    <row r="132" spans="1:8" ht="105" x14ac:dyDescent="0.25">
      <c r="A132" s="1" t="s">
        <v>291</v>
      </c>
      <c r="B132" s="1" t="str">
        <f>VLOOKUP(A132,policy!B:C,2,0)</f>
        <v>070000178025</v>
      </c>
      <c r="C132" s="4">
        <v>7200</v>
      </c>
      <c r="D132" s="8">
        <f t="shared" si="9"/>
        <v>7200</v>
      </c>
      <c r="E132" s="12" t="s">
        <v>821</v>
      </c>
      <c r="F132" s="9" t="str">
        <f t="shared" si="8"/>
        <v>insert into ins_premium_det (premium_rcv_code,assorted_code, rec_amount,premium_rcv_detail_code,remaining_amt, payrec, mode_code,coinsurance_code,class_cd,it_remarks) values</v>
      </c>
      <c r="G132" s="10" t="str">
        <f t="shared" si="10"/>
        <v>('12Mar250017','070000178025','7200',(select max(to_number(i.premium_rcv_detail_code))+1
from ins_premium_det i),'7200','7200','02', '11000003','00','Request by Mr. Saqib Saleem 12-Mar-2025');</v>
      </c>
      <c r="H132" s="11" t="str">
        <f t="shared" si="11"/>
        <v>insert into ins_premium_det (premium_rcv_code,assorted_code, rec_amount,premium_rcv_detail_code,remaining_amt, payrec, mode_code,coinsurance_code,class_cd,it_remarks) values('12Mar250017','070000178025','7200',(select max(to_number(i.premium_rcv_detail_code))+1
from ins_premium_det i),'7200','7200','02', '11000003','00','Request by Mr. Saqib Saleem 12-Mar-2025');</v>
      </c>
    </row>
    <row r="133" spans="1:8" ht="105" x14ac:dyDescent="0.25">
      <c r="A133" s="1" t="s">
        <v>293</v>
      </c>
      <c r="B133" s="1" t="str">
        <f>VLOOKUP(A133,policy!B:C,2,0)</f>
        <v>070000178026</v>
      </c>
      <c r="C133" s="4">
        <v>8639</v>
      </c>
      <c r="D133" s="8">
        <f t="shared" si="9"/>
        <v>8639</v>
      </c>
      <c r="E133" s="12" t="s">
        <v>821</v>
      </c>
      <c r="F133" s="9" t="str">
        <f t="shared" si="8"/>
        <v>insert into ins_premium_det (premium_rcv_code,assorted_code, rec_amount,premium_rcv_detail_code,remaining_amt, payrec, mode_code,coinsurance_code,class_cd,it_remarks) values</v>
      </c>
      <c r="G133" s="10" t="str">
        <f t="shared" si="10"/>
        <v>('12Mar250017','070000178026','8639',(select max(to_number(i.premium_rcv_detail_code))+1
from ins_premium_det i),'8639','8639','02', '11000003','00','Request by Mr. Saqib Saleem 12-Mar-2025');</v>
      </c>
      <c r="H133" s="11" t="str">
        <f t="shared" si="11"/>
        <v>insert into ins_premium_det (premium_rcv_code,assorted_code, rec_amount,premium_rcv_detail_code,remaining_amt, payrec, mode_code,coinsurance_code,class_cd,it_remarks) values('12Mar250017','070000178026','8639',(select max(to_number(i.premium_rcv_detail_code))+1
from ins_premium_det i),'8639','8639','02', '11000003','00','Request by Mr. Saqib Saleem 12-Mar-2025');</v>
      </c>
    </row>
    <row r="134" spans="1:8" ht="105" x14ac:dyDescent="0.25">
      <c r="A134" s="1" t="s">
        <v>295</v>
      </c>
      <c r="B134" s="1" t="str">
        <f>VLOOKUP(A134,policy!B:C,2,0)</f>
        <v>070000178027</v>
      </c>
      <c r="C134" s="4">
        <v>12360</v>
      </c>
      <c r="D134" s="8">
        <f t="shared" si="9"/>
        <v>12360</v>
      </c>
      <c r="E134" s="12" t="s">
        <v>821</v>
      </c>
      <c r="F134" s="9" t="str">
        <f t="shared" si="8"/>
        <v>insert into ins_premium_det (premium_rcv_code,assorted_code, rec_amount,premium_rcv_detail_code,remaining_amt, payrec, mode_code,coinsurance_code,class_cd,it_remarks) values</v>
      </c>
      <c r="G134" s="10" t="str">
        <f t="shared" si="10"/>
        <v>('12Mar250017','070000178027','12360',(select max(to_number(i.premium_rcv_detail_code))+1
from ins_premium_det i),'12360','12360','02', '11000003','00','Request by Mr. Saqib Saleem 12-Mar-2025');</v>
      </c>
      <c r="H134" s="11" t="str">
        <f t="shared" si="11"/>
        <v>insert into ins_premium_det (premium_rcv_code,assorted_code, rec_amount,premium_rcv_detail_code,remaining_amt, payrec, mode_code,coinsurance_code,class_cd,it_remarks) values('12Mar250017','070000178027','12360',(select max(to_number(i.premium_rcv_detail_code))+1
from ins_premium_det i),'12360','12360','02', '11000003','00','Request by Mr. Saqib Saleem 12-Mar-2025');</v>
      </c>
    </row>
    <row r="135" spans="1:8" ht="105" x14ac:dyDescent="0.25">
      <c r="A135" s="1" t="s">
        <v>297</v>
      </c>
      <c r="B135" s="1" t="str">
        <f>VLOOKUP(A135,policy!B:C,2,0)</f>
        <v>070000178028</v>
      </c>
      <c r="C135" s="4">
        <v>12960</v>
      </c>
      <c r="D135" s="8">
        <f t="shared" si="9"/>
        <v>12960</v>
      </c>
      <c r="E135" s="12" t="s">
        <v>821</v>
      </c>
      <c r="F135" s="9" t="str">
        <f t="shared" si="8"/>
        <v>insert into ins_premium_det (premium_rcv_code,assorted_code, rec_amount,premium_rcv_detail_code,remaining_amt, payrec, mode_code,coinsurance_code,class_cd,it_remarks) values</v>
      </c>
      <c r="G135" s="10" t="str">
        <f t="shared" si="10"/>
        <v>('12Mar250017','070000178028','12960',(select max(to_number(i.premium_rcv_detail_code))+1
from ins_premium_det i),'12960','12960','02', '11000003','00','Request by Mr. Saqib Saleem 12-Mar-2025');</v>
      </c>
      <c r="H135" s="11" t="str">
        <f t="shared" si="11"/>
        <v>insert into ins_premium_det (premium_rcv_code,assorted_code, rec_amount,premium_rcv_detail_code,remaining_amt, payrec, mode_code,coinsurance_code,class_cd,it_remarks) values('12Mar250017','070000178028','12960',(select max(to_number(i.premium_rcv_detail_code))+1
from ins_premium_det i),'12960','12960','02', '11000003','00','Request by Mr. Saqib Saleem 12-Mar-2025');</v>
      </c>
    </row>
    <row r="136" spans="1:8" ht="105" x14ac:dyDescent="0.25">
      <c r="A136" s="1" t="s">
        <v>299</v>
      </c>
      <c r="B136" s="1" t="str">
        <f>VLOOKUP(A136,policy!B:C,2,0)</f>
        <v>070000178029</v>
      </c>
      <c r="C136" s="4">
        <v>12241</v>
      </c>
      <c r="D136" s="8">
        <f t="shared" si="9"/>
        <v>12241</v>
      </c>
      <c r="E136" s="12" t="s">
        <v>821</v>
      </c>
      <c r="F136" s="9" t="str">
        <f t="shared" si="8"/>
        <v>insert into ins_premium_det (premium_rcv_code,assorted_code, rec_amount,premium_rcv_detail_code,remaining_amt, payrec, mode_code,coinsurance_code,class_cd,it_remarks) values</v>
      </c>
      <c r="G136" s="10" t="str">
        <f t="shared" si="10"/>
        <v>('12Mar250017','070000178029','12241',(select max(to_number(i.premium_rcv_detail_code))+1
from ins_premium_det i),'12241','12241','02', '11000003','00','Request by Mr. Saqib Saleem 12-Mar-2025');</v>
      </c>
      <c r="H136" s="11" t="str">
        <f t="shared" si="11"/>
        <v>insert into ins_premium_det (premium_rcv_code,assorted_code, rec_amount,premium_rcv_detail_code,remaining_amt, payrec, mode_code,coinsurance_code,class_cd,it_remarks) values('12Mar250017','070000178029','12241',(select max(to_number(i.premium_rcv_detail_code))+1
from ins_premium_det i),'12241','12241','02', '11000003','00','Request by Mr. Saqib Saleem 12-Mar-2025');</v>
      </c>
    </row>
    <row r="137" spans="1:8" ht="105" x14ac:dyDescent="0.25">
      <c r="A137" s="1" t="s">
        <v>301</v>
      </c>
      <c r="B137" s="1" t="str">
        <f>VLOOKUP(A137,policy!B:C,2,0)</f>
        <v>070000178030</v>
      </c>
      <c r="C137" s="4">
        <v>9120</v>
      </c>
      <c r="D137" s="8">
        <f t="shared" si="9"/>
        <v>9120</v>
      </c>
      <c r="E137" s="12" t="s">
        <v>821</v>
      </c>
      <c r="F137" s="9" t="str">
        <f t="shared" si="8"/>
        <v>insert into ins_premium_det (premium_rcv_code,assorted_code, rec_amount,premium_rcv_detail_code,remaining_amt, payrec, mode_code,coinsurance_code,class_cd,it_remarks) values</v>
      </c>
      <c r="G137" s="10" t="str">
        <f t="shared" si="10"/>
        <v>('12Mar250017','070000178030','9120',(select max(to_number(i.premium_rcv_detail_code))+1
from ins_premium_det i),'9120','9120','02', '11000003','00','Request by Mr. Saqib Saleem 12-Mar-2025');</v>
      </c>
      <c r="H137" s="11" t="str">
        <f t="shared" si="11"/>
        <v>insert into ins_premium_det (premium_rcv_code,assorted_code, rec_amount,premium_rcv_detail_code,remaining_amt, payrec, mode_code,coinsurance_code,class_cd,it_remarks) values('12Mar250017','070000178030','9120',(select max(to_number(i.premium_rcv_detail_code))+1
from ins_premium_det i),'9120','9120','02', '11000003','00','Request by Mr. Saqib Saleem 12-Mar-2025');</v>
      </c>
    </row>
    <row r="138" spans="1:8" ht="105" x14ac:dyDescent="0.25">
      <c r="A138" s="1" t="s">
        <v>303</v>
      </c>
      <c r="B138" s="1" t="str">
        <f>VLOOKUP(A138,policy!B:C,2,0)</f>
        <v>070000178031</v>
      </c>
      <c r="C138" s="4">
        <v>11879</v>
      </c>
      <c r="D138" s="8">
        <f t="shared" si="9"/>
        <v>11879</v>
      </c>
      <c r="E138" s="12" t="s">
        <v>821</v>
      </c>
      <c r="F138" s="9" t="str">
        <f t="shared" si="8"/>
        <v>insert into ins_premium_det (premium_rcv_code,assorted_code, rec_amount,premium_rcv_detail_code,remaining_amt, payrec, mode_code,coinsurance_code,class_cd,it_remarks) values</v>
      </c>
      <c r="G138" s="10" t="str">
        <f t="shared" si="10"/>
        <v>('12Mar250017','070000178031','11879',(select max(to_number(i.premium_rcv_detail_code))+1
from ins_premium_det i),'11879','11879','02', '11000003','00','Request by Mr. Saqib Saleem 12-Mar-2025');</v>
      </c>
      <c r="H138" s="11" t="str">
        <f t="shared" si="11"/>
        <v>insert into ins_premium_det (premium_rcv_code,assorted_code, rec_amount,premium_rcv_detail_code,remaining_amt, payrec, mode_code,coinsurance_code,class_cd,it_remarks) values('12Mar250017','070000178031','11879',(select max(to_number(i.premium_rcv_detail_code))+1
from ins_premium_det i),'11879','11879','02', '11000003','00','Request by Mr. Saqib Saleem 12-Mar-2025');</v>
      </c>
    </row>
    <row r="139" spans="1:8" ht="105" x14ac:dyDescent="0.25">
      <c r="A139" s="1" t="s">
        <v>305</v>
      </c>
      <c r="B139" s="1" t="str">
        <f>VLOOKUP(A139,policy!B:C,2,0)</f>
        <v>070000178032</v>
      </c>
      <c r="C139" s="4">
        <v>9120</v>
      </c>
      <c r="D139" s="8">
        <f t="shared" si="9"/>
        <v>9120</v>
      </c>
      <c r="E139" s="12" t="s">
        <v>821</v>
      </c>
      <c r="F139" s="9" t="str">
        <f t="shared" si="8"/>
        <v>insert into ins_premium_det (premium_rcv_code,assorted_code, rec_amount,premium_rcv_detail_code,remaining_amt, payrec, mode_code,coinsurance_code,class_cd,it_remarks) values</v>
      </c>
      <c r="G139" s="10" t="str">
        <f t="shared" si="10"/>
        <v>('12Mar250017','070000178032','9120',(select max(to_number(i.premium_rcv_detail_code))+1
from ins_premium_det i),'9120','9120','02', '11000003','00','Request by Mr. Saqib Saleem 12-Mar-2025');</v>
      </c>
      <c r="H139" s="11" t="str">
        <f t="shared" si="11"/>
        <v>insert into ins_premium_det (premium_rcv_code,assorted_code, rec_amount,premium_rcv_detail_code,remaining_amt, payrec, mode_code,coinsurance_code,class_cd,it_remarks) values('12Mar250017','070000178032','9120',(select max(to_number(i.premium_rcv_detail_code))+1
from ins_premium_det i),'9120','9120','02', '11000003','00','Request by Mr. Saqib Saleem 12-Mar-2025');</v>
      </c>
    </row>
    <row r="140" spans="1:8" ht="105" x14ac:dyDescent="0.25">
      <c r="A140" s="1" t="s">
        <v>307</v>
      </c>
      <c r="B140" s="1" t="str">
        <f>VLOOKUP(A140,policy!B:C,2,0)</f>
        <v>070000178033</v>
      </c>
      <c r="C140" s="4">
        <v>9360</v>
      </c>
      <c r="D140" s="8">
        <f t="shared" si="9"/>
        <v>9360</v>
      </c>
      <c r="E140" s="12" t="s">
        <v>821</v>
      </c>
      <c r="F140" s="9" t="str">
        <f t="shared" si="8"/>
        <v>insert into ins_premium_det (premium_rcv_code,assorted_code, rec_amount,premium_rcv_detail_code,remaining_amt, payrec, mode_code,coinsurance_code,class_cd,it_remarks) values</v>
      </c>
      <c r="G140" s="10" t="str">
        <f t="shared" si="10"/>
        <v>('12Mar250017','070000178033','9360',(select max(to_number(i.premium_rcv_detail_code))+1
from ins_premium_det i),'9360','9360','02', '11000003','00','Request by Mr. Saqib Saleem 12-Mar-2025');</v>
      </c>
      <c r="H140" s="11" t="str">
        <f t="shared" si="11"/>
        <v>insert into ins_premium_det (premium_rcv_code,assorted_code, rec_amount,premium_rcv_detail_code,remaining_amt, payrec, mode_code,coinsurance_code,class_cd,it_remarks) values('12Mar250017','070000178033','9360',(select max(to_number(i.premium_rcv_detail_code))+1
from ins_premium_det i),'9360','9360','02', '11000003','00','Request by Mr. Saqib Saleem 12-Mar-2025');</v>
      </c>
    </row>
    <row r="141" spans="1:8" ht="105" x14ac:dyDescent="0.25">
      <c r="A141" s="1" t="s">
        <v>309</v>
      </c>
      <c r="B141" s="1" t="str">
        <f>VLOOKUP(A141,policy!B:C,2,0)</f>
        <v>070000178034</v>
      </c>
      <c r="C141" s="4">
        <v>8761</v>
      </c>
      <c r="D141" s="8">
        <f t="shared" si="9"/>
        <v>8761</v>
      </c>
      <c r="E141" s="12" t="s">
        <v>821</v>
      </c>
      <c r="F141" s="9" t="str">
        <f t="shared" si="8"/>
        <v>insert into ins_premium_det (premium_rcv_code,assorted_code, rec_amount,premium_rcv_detail_code,remaining_amt, payrec, mode_code,coinsurance_code,class_cd,it_remarks) values</v>
      </c>
      <c r="G141" s="10" t="str">
        <f t="shared" si="10"/>
        <v>('12Mar250017','070000178034','8761',(select max(to_number(i.premium_rcv_detail_code))+1
from ins_premium_det i),'8761','8761','02', '11000003','00','Request by Mr. Saqib Saleem 12-Mar-2025');</v>
      </c>
      <c r="H141" s="11" t="str">
        <f t="shared" si="11"/>
        <v>insert into ins_premium_det (premium_rcv_code,assorted_code, rec_amount,premium_rcv_detail_code,remaining_amt, payrec, mode_code,coinsurance_code,class_cd,it_remarks) values('12Mar250017','070000178034','8761',(select max(to_number(i.premium_rcv_detail_code))+1
from ins_premium_det i),'8761','8761','02', '11000003','00','Request by Mr. Saqib Saleem 12-Mar-2025');</v>
      </c>
    </row>
    <row r="142" spans="1:8" ht="105" x14ac:dyDescent="0.25">
      <c r="A142" s="1" t="s">
        <v>311</v>
      </c>
      <c r="B142" s="1" t="str">
        <f>VLOOKUP(A142,policy!B:C,2,0)</f>
        <v>070000178035</v>
      </c>
      <c r="C142" s="4">
        <v>9120</v>
      </c>
      <c r="D142" s="8">
        <f t="shared" si="9"/>
        <v>9120</v>
      </c>
      <c r="E142" s="12" t="s">
        <v>821</v>
      </c>
      <c r="F142" s="9" t="str">
        <f t="shared" si="8"/>
        <v>insert into ins_premium_det (premium_rcv_code,assorted_code, rec_amount,premium_rcv_detail_code,remaining_amt, payrec, mode_code,coinsurance_code,class_cd,it_remarks) values</v>
      </c>
      <c r="G142" s="10" t="str">
        <f t="shared" si="10"/>
        <v>('12Mar250017','070000178035','9120',(select max(to_number(i.premium_rcv_detail_code))+1
from ins_premium_det i),'9120','9120','02', '11000003','00','Request by Mr. Saqib Saleem 12-Mar-2025');</v>
      </c>
      <c r="H142" s="11" t="str">
        <f t="shared" si="11"/>
        <v>insert into ins_premium_det (premium_rcv_code,assorted_code, rec_amount,premium_rcv_detail_code,remaining_amt, payrec, mode_code,coinsurance_code,class_cd,it_remarks) values('12Mar250017','070000178035','9120',(select max(to_number(i.premium_rcv_detail_code))+1
from ins_premium_det i),'9120','9120','02', '11000003','00','Request by Mr. Saqib Saleem 12-Mar-2025');</v>
      </c>
    </row>
    <row r="143" spans="1:8" ht="105" x14ac:dyDescent="0.25">
      <c r="A143" s="1" t="s">
        <v>313</v>
      </c>
      <c r="B143" s="1" t="str">
        <f>VLOOKUP(A143,policy!B:C,2,0)</f>
        <v>070000178036</v>
      </c>
      <c r="C143" s="4">
        <v>10081</v>
      </c>
      <c r="D143" s="8">
        <f t="shared" si="9"/>
        <v>10081</v>
      </c>
      <c r="E143" s="12" t="s">
        <v>821</v>
      </c>
      <c r="F143" s="9" t="str">
        <f t="shared" si="8"/>
        <v>insert into ins_premium_det (premium_rcv_code,assorted_code, rec_amount,premium_rcv_detail_code,remaining_amt, payrec, mode_code,coinsurance_code,class_cd,it_remarks) values</v>
      </c>
      <c r="G143" s="10" t="str">
        <f t="shared" si="10"/>
        <v>('12Mar250017','070000178036','10081',(select max(to_number(i.premium_rcv_detail_code))+1
from ins_premium_det i),'10081','10081','02', '11000003','00','Request by Mr. Saqib Saleem 12-Mar-2025');</v>
      </c>
      <c r="H143" s="11" t="str">
        <f t="shared" si="11"/>
        <v>insert into ins_premium_det (premium_rcv_code,assorted_code, rec_amount,premium_rcv_detail_code,remaining_amt, payrec, mode_code,coinsurance_code,class_cd,it_remarks) values('12Mar250017','070000178036','10081',(select max(to_number(i.premium_rcv_detail_code))+1
from ins_premium_det i),'10081','10081','02', '11000003','00','Request by Mr. Saqib Saleem 12-Mar-2025');</v>
      </c>
    </row>
    <row r="144" spans="1:8" ht="105" x14ac:dyDescent="0.25">
      <c r="A144" s="1" t="s">
        <v>315</v>
      </c>
      <c r="B144" s="1" t="str">
        <f>VLOOKUP(A144,policy!B:C,2,0)</f>
        <v>070000178037</v>
      </c>
      <c r="C144" s="4">
        <v>7200</v>
      </c>
      <c r="D144" s="8">
        <f t="shared" si="9"/>
        <v>7200</v>
      </c>
      <c r="E144" s="12" t="s">
        <v>821</v>
      </c>
      <c r="F144" s="9" t="str">
        <f t="shared" si="8"/>
        <v>insert into ins_premium_det (premium_rcv_code,assorted_code, rec_amount,premium_rcv_detail_code,remaining_amt, payrec, mode_code,coinsurance_code,class_cd,it_remarks) values</v>
      </c>
      <c r="G144" s="10" t="str">
        <f t="shared" si="10"/>
        <v>('12Mar250017','070000178037','7200',(select max(to_number(i.premium_rcv_detail_code))+1
from ins_premium_det i),'7200','7200','02', '11000003','00','Request by Mr. Saqib Saleem 12-Mar-2025');</v>
      </c>
      <c r="H144" s="11" t="str">
        <f t="shared" si="11"/>
        <v>insert into ins_premium_det (premium_rcv_code,assorted_code, rec_amount,premium_rcv_detail_code,remaining_amt, payrec, mode_code,coinsurance_code,class_cd,it_remarks) values('12Mar250017','070000178037','7200',(select max(to_number(i.premium_rcv_detail_code))+1
from ins_premium_det i),'7200','7200','02', '11000003','00','Request by Mr. Saqib Saleem 12-Mar-2025');</v>
      </c>
    </row>
    <row r="145" spans="1:8" ht="105" x14ac:dyDescent="0.25">
      <c r="A145" s="1" t="s">
        <v>317</v>
      </c>
      <c r="B145" s="1" t="str">
        <f>VLOOKUP(A145,policy!B:C,2,0)</f>
        <v>070000178038</v>
      </c>
      <c r="C145" s="4">
        <v>8761</v>
      </c>
      <c r="D145" s="8">
        <f t="shared" si="9"/>
        <v>8761</v>
      </c>
      <c r="E145" s="12" t="s">
        <v>821</v>
      </c>
      <c r="F145" s="9" t="str">
        <f t="shared" si="8"/>
        <v>insert into ins_premium_det (premium_rcv_code,assorted_code, rec_amount,premium_rcv_detail_code,remaining_amt, payrec, mode_code,coinsurance_code,class_cd,it_remarks) values</v>
      </c>
      <c r="G145" s="10" t="str">
        <f t="shared" si="10"/>
        <v>('12Mar250017','070000178038','8761',(select max(to_number(i.premium_rcv_detail_code))+1
from ins_premium_det i),'8761','8761','02', '11000003','00','Request by Mr. Saqib Saleem 12-Mar-2025');</v>
      </c>
      <c r="H145" s="11" t="str">
        <f t="shared" si="11"/>
        <v>insert into ins_premium_det (premium_rcv_code,assorted_code, rec_amount,premium_rcv_detail_code,remaining_amt, payrec, mode_code,coinsurance_code,class_cd,it_remarks) values('12Mar250017','070000178038','8761',(select max(to_number(i.premium_rcv_detail_code))+1
from ins_premium_det i),'8761','8761','02', '11000003','00','Request by Mr. Saqib Saleem 12-Mar-2025');</v>
      </c>
    </row>
    <row r="146" spans="1:8" ht="105" x14ac:dyDescent="0.25">
      <c r="A146" s="1" t="s">
        <v>319</v>
      </c>
      <c r="B146" s="1" t="str">
        <f>VLOOKUP(A146,policy!B:C,2,0)</f>
        <v>070000178039</v>
      </c>
      <c r="C146" s="4">
        <v>11040</v>
      </c>
      <c r="D146" s="8">
        <f t="shared" si="9"/>
        <v>11040</v>
      </c>
      <c r="E146" s="12" t="s">
        <v>821</v>
      </c>
      <c r="F146" s="9" t="str">
        <f t="shared" si="8"/>
        <v>insert into ins_premium_det (premium_rcv_code,assorted_code, rec_amount,premium_rcv_detail_code,remaining_amt, payrec, mode_code,coinsurance_code,class_cd,it_remarks) values</v>
      </c>
      <c r="G146" s="10" t="str">
        <f t="shared" si="10"/>
        <v>('12Mar250017','070000178039','11040',(select max(to_number(i.premium_rcv_detail_code))+1
from ins_premium_det i),'11040','11040','02', '11000003','00','Request by Mr. Saqib Saleem 12-Mar-2025');</v>
      </c>
      <c r="H146" s="11" t="str">
        <f t="shared" si="11"/>
        <v>insert into ins_premium_det (premium_rcv_code,assorted_code, rec_amount,premium_rcv_detail_code,remaining_amt, payrec, mode_code,coinsurance_code,class_cd,it_remarks) values('12Mar250017','070000178039','11040',(select max(to_number(i.premium_rcv_detail_code))+1
from ins_premium_det i),'11040','11040','02', '11000003','00','Request by Mr. Saqib Saleem 12-Mar-2025');</v>
      </c>
    </row>
    <row r="147" spans="1:8" ht="105" x14ac:dyDescent="0.25">
      <c r="A147" s="1" t="s">
        <v>321</v>
      </c>
      <c r="B147" s="1" t="str">
        <f>VLOOKUP(A147,policy!B:C,2,0)</f>
        <v>070000178040</v>
      </c>
      <c r="C147" s="4">
        <v>6120</v>
      </c>
      <c r="D147" s="8">
        <f t="shared" si="9"/>
        <v>6120</v>
      </c>
      <c r="E147" s="12" t="s">
        <v>821</v>
      </c>
      <c r="F147" s="9" t="str">
        <f t="shared" si="8"/>
        <v>insert into ins_premium_det (premium_rcv_code,assorted_code, rec_amount,premium_rcv_detail_code,remaining_amt, payrec, mode_code,coinsurance_code,class_cd,it_remarks) values</v>
      </c>
      <c r="G147" s="10" t="str">
        <f t="shared" si="10"/>
        <v>('12Mar250017','070000178040','6120',(select max(to_number(i.premium_rcv_detail_code))+1
from ins_premium_det i),'6120','6120','02', '11000003','00','Request by Mr. Saqib Saleem 12-Mar-2025');</v>
      </c>
      <c r="H147" s="11" t="str">
        <f t="shared" si="11"/>
        <v>insert into ins_premium_det (premium_rcv_code,assorted_code, rec_amount,premium_rcv_detail_code,remaining_amt, payrec, mode_code,coinsurance_code,class_cd,it_remarks) values('12Mar250017','070000178040','6120',(select max(to_number(i.premium_rcv_detail_code))+1
from ins_premium_det i),'6120','6120','02', '11000003','00','Request by Mr. Saqib Saleem 12-Mar-2025');</v>
      </c>
    </row>
    <row r="148" spans="1:8" ht="105" x14ac:dyDescent="0.25">
      <c r="A148" s="1" t="s">
        <v>323</v>
      </c>
      <c r="B148" s="1" t="str">
        <f>VLOOKUP(A148,policy!B:C,2,0)</f>
        <v>070000178041</v>
      </c>
      <c r="C148" s="4">
        <v>12840</v>
      </c>
      <c r="D148" s="8">
        <f t="shared" si="9"/>
        <v>12840</v>
      </c>
      <c r="E148" s="12" t="s">
        <v>821</v>
      </c>
      <c r="F148" s="9" t="str">
        <f t="shared" si="8"/>
        <v>insert into ins_premium_det (premium_rcv_code,assorted_code, rec_amount,premium_rcv_detail_code,remaining_amt, payrec, mode_code,coinsurance_code,class_cd,it_remarks) values</v>
      </c>
      <c r="G148" s="10" t="str">
        <f t="shared" si="10"/>
        <v>('12Mar250017','070000178041','12840',(select max(to_number(i.premium_rcv_detail_code))+1
from ins_premium_det i),'12840','12840','02', '11000003','00','Request by Mr. Saqib Saleem 12-Mar-2025');</v>
      </c>
      <c r="H148" s="11" t="str">
        <f t="shared" si="11"/>
        <v>insert into ins_premium_det (premium_rcv_code,assorted_code, rec_amount,premium_rcv_detail_code,remaining_amt, payrec, mode_code,coinsurance_code,class_cd,it_remarks) values('12Mar250017','070000178041','12840',(select max(to_number(i.premium_rcv_detail_code))+1
from ins_premium_det i),'12840','12840','02', '11000003','00','Request by Mr. Saqib Saleem 12-Mar-2025');</v>
      </c>
    </row>
    <row r="149" spans="1:8" ht="105" x14ac:dyDescent="0.25">
      <c r="A149" s="1" t="s">
        <v>325</v>
      </c>
      <c r="B149" s="1" t="str">
        <f>VLOOKUP(A149,policy!B:C,2,0)</f>
        <v>070000178042</v>
      </c>
      <c r="C149" s="4">
        <v>8639</v>
      </c>
      <c r="D149" s="8">
        <f t="shared" si="9"/>
        <v>8639</v>
      </c>
      <c r="E149" s="12" t="s">
        <v>821</v>
      </c>
      <c r="F149" s="9" t="str">
        <f t="shared" si="8"/>
        <v>insert into ins_premium_det (premium_rcv_code,assorted_code, rec_amount,premium_rcv_detail_code,remaining_amt, payrec, mode_code,coinsurance_code,class_cd,it_remarks) values</v>
      </c>
      <c r="G149" s="10" t="str">
        <f t="shared" si="10"/>
        <v>('12Mar250017','070000178042','8639',(select max(to_number(i.premium_rcv_detail_code))+1
from ins_premium_det i),'8639','8639','02', '11000003','00','Request by Mr. Saqib Saleem 12-Mar-2025');</v>
      </c>
      <c r="H149" s="11" t="str">
        <f t="shared" si="11"/>
        <v>insert into ins_premium_det (premium_rcv_code,assorted_code, rec_amount,premium_rcv_detail_code,remaining_amt, payrec, mode_code,coinsurance_code,class_cd,it_remarks) values('12Mar250017','070000178042','8639',(select max(to_number(i.premium_rcv_detail_code))+1
from ins_premium_det i),'8639','8639','02', '11000003','00','Request by Mr. Saqib Saleem 12-Mar-2025');</v>
      </c>
    </row>
    <row r="150" spans="1:8" ht="105" x14ac:dyDescent="0.25">
      <c r="A150" s="1" t="s">
        <v>327</v>
      </c>
      <c r="B150" s="1" t="str">
        <f>VLOOKUP(A150,policy!B:C,2,0)</f>
        <v>070000178043</v>
      </c>
      <c r="C150" s="4">
        <v>6120</v>
      </c>
      <c r="D150" s="8">
        <f t="shared" si="9"/>
        <v>6120</v>
      </c>
      <c r="E150" s="12" t="s">
        <v>821</v>
      </c>
      <c r="F150" s="9" t="str">
        <f t="shared" si="8"/>
        <v>insert into ins_premium_det (premium_rcv_code,assorted_code, rec_amount,premium_rcv_detail_code,remaining_amt, payrec, mode_code,coinsurance_code,class_cd,it_remarks) values</v>
      </c>
      <c r="G150" s="10" t="str">
        <f t="shared" si="10"/>
        <v>('12Mar250017','070000178043','6120',(select max(to_number(i.premium_rcv_detail_code))+1
from ins_premium_det i),'6120','6120','02', '11000003','00','Request by Mr. Saqib Saleem 12-Mar-2025');</v>
      </c>
      <c r="H150" s="11" t="str">
        <f t="shared" si="11"/>
        <v>insert into ins_premium_det (premium_rcv_code,assorted_code, rec_amount,premium_rcv_detail_code,remaining_amt, payrec, mode_code,coinsurance_code,class_cd,it_remarks) values('12Mar250017','070000178043','6120',(select max(to_number(i.premium_rcv_detail_code))+1
from ins_premium_det i),'6120','6120','02', '11000003','00','Request by Mr. Saqib Saleem 12-Mar-2025');</v>
      </c>
    </row>
    <row r="151" spans="1:8" ht="105" x14ac:dyDescent="0.25">
      <c r="A151" s="1" t="s">
        <v>329</v>
      </c>
      <c r="B151" s="1" t="str">
        <f>VLOOKUP(A151,policy!B:C,2,0)</f>
        <v>070000178044</v>
      </c>
      <c r="C151" s="4">
        <v>6120</v>
      </c>
      <c r="D151" s="8">
        <f t="shared" si="9"/>
        <v>6120</v>
      </c>
      <c r="E151" s="12" t="s">
        <v>821</v>
      </c>
      <c r="F151" s="9" t="str">
        <f t="shared" si="8"/>
        <v>insert into ins_premium_det (premium_rcv_code,assorted_code, rec_amount,premium_rcv_detail_code,remaining_amt, payrec, mode_code,coinsurance_code,class_cd,it_remarks) values</v>
      </c>
      <c r="G151" s="10" t="str">
        <f t="shared" si="10"/>
        <v>('12Mar250017','070000178044','6120',(select max(to_number(i.premium_rcv_detail_code))+1
from ins_premium_det i),'6120','6120','02', '11000003','00','Request by Mr. Saqib Saleem 12-Mar-2025');</v>
      </c>
      <c r="H151" s="11" t="str">
        <f t="shared" si="11"/>
        <v>insert into ins_premium_det (premium_rcv_code,assorted_code, rec_amount,premium_rcv_detail_code,remaining_amt, payrec, mode_code,coinsurance_code,class_cd,it_remarks) values('12Mar250017','070000178044','6120',(select max(to_number(i.premium_rcv_detail_code))+1
from ins_premium_det i),'6120','6120','02', '11000003','00','Request by Mr. Saqib Saleem 12-Mar-2025');</v>
      </c>
    </row>
    <row r="152" spans="1:8" ht="105" x14ac:dyDescent="0.25">
      <c r="A152" s="1" t="s">
        <v>331</v>
      </c>
      <c r="B152" s="1" t="str">
        <f>VLOOKUP(A152,policy!B:C,2,0)</f>
        <v>070000178045</v>
      </c>
      <c r="C152" s="4">
        <v>7200</v>
      </c>
      <c r="D152" s="8">
        <f t="shared" si="9"/>
        <v>7200</v>
      </c>
      <c r="E152" s="12" t="s">
        <v>821</v>
      </c>
      <c r="F152" s="9" t="str">
        <f t="shared" si="8"/>
        <v>insert into ins_premium_det (premium_rcv_code,assorted_code, rec_amount,premium_rcv_detail_code,remaining_amt, payrec, mode_code,coinsurance_code,class_cd,it_remarks) values</v>
      </c>
      <c r="G152" s="10" t="str">
        <f t="shared" si="10"/>
        <v>('12Mar250017','070000178045','7200',(select max(to_number(i.premium_rcv_detail_code))+1
from ins_premium_det i),'7200','7200','02', '11000003','00','Request by Mr. Saqib Saleem 12-Mar-2025');</v>
      </c>
      <c r="H152" s="11" t="str">
        <f t="shared" si="11"/>
        <v>insert into ins_premium_det (premium_rcv_code,assorted_code, rec_amount,premium_rcv_detail_code,remaining_amt, payrec, mode_code,coinsurance_code,class_cd,it_remarks) values('12Mar250017','070000178045','7200',(select max(to_number(i.premium_rcv_detail_code))+1
from ins_premium_det i),'7200','7200','02', '11000003','00','Request by Mr. Saqib Saleem 12-Mar-2025');</v>
      </c>
    </row>
    <row r="153" spans="1:8" ht="105" x14ac:dyDescent="0.25">
      <c r="A153" s="1" t="s">
        <v>333</v>
      </c>
      <c r="B153" s="1" t="str">
        <f>VLOOKUP(A153,policy!B:C,2,0)</f>
        <v>070000178046</v>
      </c>
      <c r="C153" s="4">
        <v>8880</v>
      </c>
      <c r="D153" s="8">
        <f t="shared" si="9"/>
        <v>8880</v>
      </c>
      <c r="E153" s="12" t="s">
        <v>821</v>
      </c>
      <c r="F153" s="9" t="str">
        <f t="shared" si="8"/>
        <v>insert into ins_premium_det (premium_rcv_code,assorted_code, rec_amount,premium_rcv_detail_code,remaining_amt, payrec, mode_code,coinsurance_code,class_cd,it_remarks) values</v>
      </c>
      <c r="G153" s="10" t="str">
        <f t="shared" si="10"/>
        <v>('12Mar250017','070000178046','8880',(select max(to_number(i.premium_rcv_detail_code))+1
from ins_premium_det i),'8880','8880','02', '11000003','00','Request by Mr. Saqib Saleem 12-Mar-2025');</v>
      </c>
      <c r="H153" s="11" t="str">
        <f t="shared" si="11"/>
        <v>insert into ins_premium_det (premium_rcv_code,assorted_code, rec_amount,premium_rcv_detail_code,remaining_amt, payrec, mode_code,coinsurance_code,class_cd,it_remarks) values('12Mar250017','070000178046','8880',(select max(to_number(i.premium_rcv_detail_code))+1
from ins_premium_det i),'8880','8880','02', '11000003','00','Request by Mr. Saqib Saleem 12-Mar-2025');</v>
      </c>
    </row>
    <row r="154" spans="1:8" ht="105" x14ac:dyDescent="0.25">
      <c r="A154" s="1" t="s">
        <v>335</v>
      </c>
      <c r="B154" s="1" t="str">
        <f>VLOOKUP(A154,policy!B:C,2,0)</f>
        <v>070000178047</v>
      </c>
      <c r="C154" s="4">
        <v>13561</v>
      </c>
      <c r="D154" s="8">
        <f t="shared" si="9"/>
        <v>13561</v>
      </c>
      <c r="E154" s="12" t="s">
        <v>821</v>
      </c>
      <c r="F154" s="9" t="str">
        <f t="shared" si="8"/>
        <v>insert into ins_premium_det (premium_rcv_code,assorted_code, rec_amount,premium_rcv_detail_code,remaining_amt, payrec, mode_code,coinsurance_code,class_cd,it_remarks) values</v>
      </c>
      <c r="G154" s="10" t="str">
        <f t="shared" si="10"/>
        <v>('12Mar250017','070000178047','13561',(select max(to_number(i.premium_rcv_detail_code))+1
from ins_premium_det i),'13561','13561','02', '11000003','00','Request by Mr. Saqib Saleem 12-Mar-2025');</v>
      </c>
      <c r="H154" s="11" t="str">
        <f t="shared" si="11"/>
        <v>insert into ins_premium_det (premium_rcv_code,assorted_code, rec_amount,premium_rcv_detail_code,remaining_amt, payrec, mode_code,coinsurance_code,class_cd,it_remarks) values('12Mar250017','070000178047','13561',(select max(to_number(i.premium_rcv_detail_code))+1
from ins_premium_det i),'13561','13561','02', '11000003','00','Request by Mr. Saqib Saleem 12-Mar-2025');</v>
      </c>
    </row>
    <row r="155" spans="1:8" ht="105" x14ac:dyDescent="0.25">
      <c r="A155" s="1" t="s">
        <v>337</v>
      </c>
      <c r="B155" s="1" t="str">
        <f>VLOOKUP(A155,policy!B:C,2,0)</f>
        <v>070000178048</v>
      </c>
      <c r="C155" s="4">
        <v>9001</v>
      </c>
      <c r="D155" s="8">
        <f t="shared" si="9"/>
        <v>9001</v>
      </c>
      <c r="E155" s="12" t="s">
        <v>821</v>
      </c>
      <c r="F155" s="9" t="str">
        <f t="shared" si="8"/>
        <v>insert into ins_premium_det (premium_rcv_code,assorted_code, rec_amount,premium_rcv_detail_code,remaining_amt, payrec, mode_code,coinsurance_code,class_cd,it_remarks) values</v>
      </c>
      <c r="G155" s="10" t="str">
        <f t="shared" si="10"/>
        <v>('12Mar250017','070000178048','9001',(select max(to_number(i.premium_rcv_detail_code))+1
from ins_premium_det i),'9001','9001','02', '11000003','00','Request by Mr. Saqib Saleem 12-Mar-2025');</v>
      </c>
      <c r="H155" s="11" t="str">
        <f t="shared" si="11"/>
        <v>insert into ins_premium_det (premium_rcv_code,assorted_code, rec_amount,premium_rcv_detail_code,remaining_amt, payrec, mode_code,coinsurance_code,class_cd,it_remarks) values('12Mar250017','070000178048','9001',(select max(to_number(i.premium_rcv_detail_code))+1
from ins_premium_det i),'9001','9001','02', '11000003','00','Request by Mr. Saqib Saleem 12-Mar-2025');</v>
      </c>
    </row>
    <row r="156" spans="1:8" ht="105" x14ac:dyDescent="0.25">
      <c r="A156" s="1" t="s">
        <v>339</v>
      </c>
      <c r="B156" s="1" t="str">
        <f>VLOOKUP(A156,policy!B:C,2,0)</f>
        <v>070000178049</v>
      </c>
      <c r="C156" s="4">
        <v>5640</v>
      </c>
      <c r="D156" s="8">
        <f t="shared" si="9"/>
        <v>5640</v>
      </c>
      <c r="E156" s="12" t="s">
        <v>821</v>
      </c>
      <c r="F156" s="9" t="str">
        <f t="shared" si="8"/>
        <v>insert into ins_premium_det (premium_rcv_code,assorted_code, rec_amount,premium_rcv_detail_code,remaining_amt, payrec, mode_code,coinsurance_code,class_cd,it_remarks) values</v>
      </c>
      <c r="G156" s="10" t="str">
        <f t="shared" si="10"/>
        <v>('12Mar250017','070000178049','5640',(select max(to_number(i.premium_rcv_detail_code))+1
from ins_premium_det i),'5640','5640','02', '11000003','00','Request by Mr. Saqib Saleem 12-Mar-2025');</v>
      </c>
      <c r="H156" s="11" t="str">
        <f t="shared" si="11"/>
        <v>insert into ins_premium_det (premium_rcv_code,assorted_code, rec_amount,premium_rcv_detail_code,remaining_amt, payrec, mode_code,coinsurance_code,class_cd,it_remarks) values('12Mar250017','070000178049','5640',(select max(to_number(i.premium_rcv_detail_code))+1
from ins_premium_det i),'5640','5640','02', '11000003','00','Request by Mr. Saqib Saleem 12-Mar-2025');</v>
      </c>
    </row>
    <row r="157" spans="1:8" ht="105" x14ac:dyDescent="0.25">
      <c r="A157" s="1" t="s">
        <v>341</v>
      </c>
      <c r="B157" s="1" t="str">
        <f>VLOOKUP(A157,policy!B:C,2,0)</f>
        <v>070000178050</v>
      </c>
      <c r="C157" s="4">
        <v>14400</v>
      </c>
      <c r="D157" s="8">
        <f t="shared" si="9"/>
        <v>14400</v>
      </c>
      <c r="E157" s="12" t="s">
        <v>821</v>
      </c>
      <c r="F157" s="9" t="str">
        <f t="shared" si="8"/>
        <v>insert into ins_premium_det (premium_rcv_code,assorted_code, rec_amount,premium_rcv_detail_code,remaining_amt, payrec, mode_code,coinsurance_code,class_cd,it_remarks) values</v>
      </c>
      <c r="G157" s="10" t="str">
        <f t="shared" si="10"/>
        <v>('12Mar250017','070000178050','14400',(select max(to_number(i.premium_rcv_detail_code))+1
from ins_premium_det i),'14400','14400','02', '11000003','00','Request by Mr. Saqib Saleem 12-Mar-2025');</v>
      </c>
      <c r="H157" s="11" t="str">
        <f t="shared" si="11"/>
        <v>insert into ins_premium_det (premium_rcv_code,assorted_code, rec_amount,premium_rcv_detail_code,remaining_amt, payrec, mode_code,coinsurance_code,class_cd,it_remarks) values('12Mar250017','070000178050','14400',(select max(to_number(i.premium_rcv_detail_code))+1
from ins_premium_det i),'14400','14400','02', '11000003','00','Request by Mr. Saqib Saleem 12-Mar-2025');</v>
      </c>
    </row>
    <row r="158" spans="1:8" ht="105" x14ac:dyDescent="0.25">
      <c r="A158" s="1" t="s">
        <v>343</v>
      </c>
      <c r="B158" s="1" t="str">
        <f>VLOOKUP(A158,policy!B:C,2,0)</f>
        <v>070000178051</v>
      </c>
      <c r="C158" s="4">
        <v>15599</v>
      </c>
      <c r="D158" s="8">
        <f t="shared" si="9"/>
        <v>15599</v>
      </c>
      <c r="E158" s="12" t="s">
        <v>821</v>
      </c>
      <c r="F158" s="9" t="str">
        <f t="shared" si="8"/>
        <v>insert into ins_premium_det (premium_rcv_code,assorted_code, rec_amount,premium_rcv_detail_code,remaining_amt, payrec, mode_code,coinsurance_code,class_cd,it_remarks) values</v>
      </c>
      <c r="G158" s="10" t="str">
        <f t="shared" si="10"/>
        <v>('12Mar250017','070000178051','15599',(select max(to_number(i.premium_rcv_detail_code))+1
from ins_premium_det i),'15599','15599','02', '11000003','00','Request by Mr. Saqib Saleem 12-Mar-2025');</v>
      </c>
      <c r="H158" s="11" t="str">
        <f t="shared" si="11"/>
        <v>insert into ins_premium_det (premium_rcv_code,assorted_code, rec_amount,premium_rcv_detail_code,remaining_amt, payrec, mode_code,coinsurance_code,class_cd,it_remarks) values('12Mar250017','070000178051','15599',(select max(to_number(i.premium_rcv_detail_code))+1
from ins_premium_det i),'15599','15599','02', '11000003','00','Request by Mr. Saqib Saleem 12-Mar-2025');</v>
      </c>
    </row>
    <row r="159" spans="1:8" ht="105" x14ac:dyDescent="0.25">
      <c r="A159" s="1" t="s">
        <v>345</v>
      </c>
      <c r="B159" s="1" t="str">
        <f>VLOOKUP(A159,policy!B:C,2,0)</f>
        <v>070000178052</v>
      </c>
      <c r="C159" s="4">
        <v>11400</v>
      </c>
      <c r="D159" s="8">
        <f t="shared" si="9"/>
        <v>11400</v>
      </c>
      <c r="E159" s="12" t="s">
        <v>821</v>
      </c>
      <c r="F159" s="9" t="str">
        <f t="shared" si="8"/>
        <v>insert into ins_premium_det (premium_rcv_code,assorted_code, rec_amount,premium_rcv_detail_code,remaining_amt, payrec, mode_code,coinsurance_code,class_cd,it_remarks) values</v>
      </c>
      <c r="G159" s="10" t="str">
        <f t="shared" si="10"/>
        <v>('12Mar250017','070000178052','11400',(select max(to_number(i.premium_rcv_detail_code))+1
from ins_premium_det i),'11400','11400','02', '11000003','00','Request by Mr. Saqib Saleem 12-Mar-2025');</v>
      </c>
      <c r="H159" s="11" t="str">
        <f t="shared" si="11"/>
        <v>insert into ins_premium_det (premium_rcv_code,assorted_code, rec_amount,premium_rcv_detail_code,remaining_amt, payrec, mode_code,coinsurance_code,class_cd,it_remarks) values('12Mar250017','070000178052','11400',(select max(to_number(i.premium_rcv_detail_code))+1
from ins_premium_det i),'11400','11400','02', '11000003','00','Request by Mr. Saqib Saleem 12-Mar-2025');</v>
      </c>
    </row>
    <row r="160" spans="1:8" ht="105" x14ac:dyDescent="0.25">
      <c r="A160" s="1" t="s">
        <v>347</v>
      </c>
      <c r="B160" s="1" t="str">
        <f>VLOOKUP(A160,policy!B:C,2,0)</f>
        <v>070000178053</v>
      </c>
      <c r="C160" s="4">
        <v>8280</v>
      </c>
      <c r="D160" s="8">
        <f t="shared" si="9"/>
        <v>8280</v>
      </c>
      <c r="E160" s="12" t="s">
        <v>821</v>
      </c>
      <c r="F160" s="9" t="str">
        <f t="shared" si="8"/>
        <v>insert into ins_premium_det (premium_rcv_code,assorted_code, rec_amount,premium_rcv_detail_code,remaining_amt, payrec, mode_code,coinsurance_code,class_cd,it_remarks) values</v>
      </c>
      <c r="G160" s="10" t="str">
        <f t="shared" si="10"/>
        <v>('12Mar250017','070000178053','8280',(select max(to_number(i.premium_rcv_detail_code))+1
from ins_premium_det i),'8280','8280','02', '11000003','00','Request by Mr. Saqib Saleem 12-Mar-2025');</v>
      </c>
      <c r="H160" s="11" t="str">
        <f t="shared" si="11"/>
        <v>insert into ins_premium_det (premium_rcv_code,assorted_code, rec_amount,premium_rcv_detail_code,remaining_amt, payrec, mode_code,coinsurance_code,class_cd,it_remarks) values('12Mar250017','070000178053','8280',(select max(to_number(i.premium_rcv_detail_code))+1
from ins_premium_det i),'8280','8280','02', '11000003','00','Request by Mr. Saqib Saleem 12-Mar-2025');</v>
      </c>
    </row>
    <row r="161" spans="1:8" ht="105" x14ac:dyDescent="0.25">
      <c r="A161" s="1" t="s">
        <v>349</v>
      </c>
      <c r="B161" s="1" t="str">
        <f>VLOOKUP(A161,policy!B:C,2,0)</f>
        <v>070000178054</v>
      </c>
      <c r="C161" s="4">
        <v>22921</v>
      </c>
      <c r="D161" s="8">
        <f t="shared" si="9"/>
        <v>22921</v>
      </c>
      <c r="E161" s="12" t="s">
        <v>821</v>
      </c>
      <c r="F161" s="9" t="str">
        <f t="shared" si="8"/>
        <v>insert into ins_premium_det (premium_rcv_code,assorted_code, rec_amount,premium_rcv_detail_code,remaining_amt, payrec, mode_code,coinsurance_code,class_cd,it_remarks) values</v>
      </c>
      <c r="G161" s="10" t="str">
        <f t="shared" si="10"/>
        <v>('12Mar250017','070000178054','22921',(select max(to_number(i.premium_rcv_detail_code))+1
from ins_premium_det i),'22921','22921','02', '11000003','00','Request by Mr. Saqib Saleem 12-Mar-2025');</v>
      </c>
      <c r="H161" s="11" t="str">
        <f t="shared" si="11"/>
        <v>insert into ins_premium_det (premium_rcv_code,assorted_code, rec_amount,premium_rcv_detail_code,remaining_amt, payrec, mode_code,coinsurance_code,class_cd,it_remarks) values('12Mar250017','070000178054','22921',(select max(to_number(i.premium_rcv_detail_code))+1
from ins_premium_det i),'22921','22921','02', '11000003','00','Request by Mr. Saqib Saleem 12-Mar-2025');</v>
      </c>
    </row>
    <row r="162" spans="1:8" ht="105" x14ac:dyDescent="0.25">
      <c r="A162" s="1" t="s">
        <v>351</v>
      </c>
      <c r="B162" s="1" t="str">
        <f>VLOOKUP(A162,policy!B:C,2,0)</f>
        <v>070000178055</v>
      </c>
      <c r="C162" s="4">
        <v>10559</v>
      </c>
      <c r="D162" s="8">
        <f t="shared" si="9"/>
        <v>10559</v>
      </c>
      <c r="E162" s="12" t="s">
        <v>821</v>
      </c>
      <c r="F162" s="9" t="str">
        <f t="shared" si="8"/>
        <v>insert into ins_premium_det (premium_rcv_code,assorted_code, rec_amount,premium_rcv_detail_code,remaining_amt, payrec, mode_code,coinsurance_code,class_cd,it_remarks) values</v>
      </c>
      <c r="G162" s="10" t="str">
        <f t="shared" si="10"/>
        <v>('12Mar250017','070000178055','10559',(select max(to_number(i.premium_rcv_detail_code))+1
from ins_premium_det i),'10559','10559','02', '11000003','00','Request by Mr. Saqib Saleem 12-Mar-2025');</v>
      </c>
      <c r="H162" s="11" t="str">
        <f t="shared" si="11"/>
        <v>insert into ins_premium_det (premium_rcv_code,assorted_code, rec_amount,premium_rcv_detail_code,remaining_amt, payrec, mode_code,coinsurance_code,class_cd,it_remarks) values('12Mar250017','070000178055','10559',(select max(to_number(i.premium_rcv_detail_code))+1
from ins_premium_det i),'10559','10559','02', '11000003','00','Request by Mr. Saqib Saleem 12-Mar-2025');</v>
      </c>
    </row>
    <row r="163" spans="1:8" ht="105" x14ac:dyDescent="0.25">
      <c r="A163" s="1" t="s">
        <v>353</v>
      </c>
      <c r="B163" s="1" t="str">
        <f>VLOOKUP(A163,policy!B:C,2,0)</f>
        <v>070000178056</v>
      </c>
      <c r="C163" s="4">
        <v>14400</v>
      </c>
      <c r="D163" s="8">
        <f t="shared" si="9"/>
        <v>14400</v>
      </c>
      <c r="E163" s="12" t="s">
        <v>821</v>
      </c>
      <c r="F163" s="9" t="str">
        <f t="shared" si="8"/>
        <v>insert into ins_premium_det (premium_rcv_code,assorted_code, rec_amount,premium_rcv_detail_code,remaining_amt, payrec, mode_code,coinsurance_code,class_cd,it_remarks) values</v>
      </c>
      <c r="G163" s="10" t="str">
        <f t="shared" si="10"/>
        <v>('12Mar250017','070000178056','14400',(select max(to_number(i.premium_rcv_detail_code))+1
from ins_premium_det i),'14400','14400','02', '11000003','00','Request by Mr. Saqib Saleem 12-Mar-2025');</v>
      </c>
      <c r="H163" s="11" t="str">
        <f t="shared" si="11"/>
        <v>insert into ins_premium_det (premium_rcv_code,assorted_code, rec_amount,premium_rcv_detail_code,remaining_amt, payrec, mode_code,coinsurance_code,class_cd,it_remarks) values('12Mar250017','070000178056','14400',(select max(to_number(i.premium_rcv_detail_code))+1
from ins_premium_det i),'14400','14400','02', '11000003','00','Request by Mr. Saqib Saleem 12-Mar-2025');</v>
      </c>
    </row>
    <row r="164" spans="1:8" ht="105" x14ac:dyDescent="0.25">
      <c r="A164" s="1" t="s">
        <v>355</v>
      </c>
      <c r="B164" s="1" t="str">
        <f>VLOOKUP(A164,policy!B:C,2,0)</f>
        <v>070000178057</v>
      </c>
      <c r="C164" s="4">
        <v>10440</v>
      </c>
      <c r="D164" s="8">
        <f t="shared" si="9"/>
        <v>10440</v>
      </c>
      <c r="E164" s="12" t="s">
        <v>821</v>
      </c>
      <c r="F164" s="9" t="str">
        <f t="shared" si="8"/>
        <v>insert into ins_premium_det (premium_rcv_code,assorted_code, rec_amount,premium_rcv_detail_code,remaining_amt, payrec, mode_code,coinsurance_code,class_cd,it_remarks) values</v>
      </c>
      <c r="G164" s="10" t="str">
        <f t="shared" si="10"/>
        <v>('12Mar250017','070000178057','10440',(select max(to_number(i.premium_rcv_detail_code))+1
from ins_premium_det i),'10440','10440','02', '11000003','00','Request by Mr. Saqib Saleem 12-Mar-2025');</v>
      </c>
      <c r="H164" s="11" t="str">
        <f t="shared" si="11"/>
        <v>insert into ins_premium_det (premium_rcv_code,assorted_code, rec_amount,premium_rcv_detail_code,remaining_amt, payrec, mode_code,coinsurance_code,class_cd,it_remarks) values('12Mar250017','070000178057','10440',(select max(to_number(i.premium_rcv_detail_code))+1
from ins_premium_det i),'10440','10440','02', '11000003','00','Request by Mr. Saqib Saleem 12-Mar-2025');</v>
      </c>
    </row>
    <row r="165" spans="1:8" ht="105" x14ac:dyDescent="0.25">
      <c r="A165" s="1" t="s">
        <v>357</v>
      </c>
      <c r="B165" s="1" t="str">
        <f>VLOOKUP(A165,policy!B:C,2,0)</f>
        <v>070000178058</v>
      </c>
      <c r="C165" s="4">
        <v>25440</v>
      </c>
      <c r="D165" s="8">
        <f t="shared" si="9"/>
        <v>25440</v>
      </c>
      <c r="E165" s="12" t="s">
        <v>821</v>
      </c>
      <c r="F165" s="9" t="str">
        <f t="shared" si="8"/>
        <v>insert into ins_premium_det (premium_rcv_code,assorted_code, rec_amount,premium_rcv_detail_code,remaining_amt, payrec, mode_code,coinsurance_code,class_cd,it_remarks) values</v>
      </c>
      <c r="G165" s="10" t="str">
        <f t="shared" si="10"/>
        <v>('12Mar250017','070000178058','25440',(select max(to_number(i.premium_rcv_detail_code))+1
from ins_premium_det i),'25440','25440','02', '11000003','00','Request by Mr. Saqib Saleem 12-Mar-2025');</v>
      </c>
      <c r="H165" s="11" t="str">
        <f t="shared" si="11"/>
        <v>insert into ins_premium_det (premium_rcv_code,assorted_code, rec_amount,premium_rcv_detail_code,remaining_amt, payrec, mode_code,coinsurance_code,class_cd,it_remarks) values('12Mar250017','070000178058','25440',(select max(to_number(i.premium_rcv_detail_code))+1
from ins_premium_det i),'25440','25440','02', '11000003','00','Request by Mr. Saqib Saleem 12-Mar-2025');</v>
      </c>
    </row>
    <row r="166" spans="1:8" ht="105" x14ac:dyDescent="0.25">
      <c r="A166" s="1" t="s">
        <v>359</v>
      </c>
      <c r="B166" s="1" t="str">
        <f>VLOOKUP(A166,policy!B:C,2,0)</f>
        <v>070000178059</v>
      </c>
      <c r="C166" s="4">
        <v>9120</v>
      </c>
      <c r="D166" s="8">
        <f t="shared" si="9"/>
        <v>9120</v>
      </c>
      <c r="E166" s="12" t="s">
        <v>821</v>
      </c>
      <c r="F166" s="9" t="str">
        <f t="shared" si="8"/>
        <v>insert into ins_premium_det (premium_rcv_code,assorted_code, rec_amount,premium_rcv_detail_code,remaining_amt, payrec, mode_code,coinsurance_code,class_cd,it_remarks) values</v>
      </c>
      <c r="G166" s="10" t="str">
        <f t="shared" si="10"/>
        <v>('12Mar250017','070000178059','9120',(select max(to_number(i.premium_rcv_detail_code))+1
from ins_premium_det i),'9120','9120','02', '11000003','00','Request by Mr. Saqib Saleem 12-Mar-2025');</v>
      </c>
      <c r="H166" s="11" t="str">
        <f t="shared" si="11"/>
        <v>insert into ins_premium_det (premium_rcv_code,assorted_code, rec_amount,premium_rcv_detail_code,remaining_amt, payrec, mode_code,coinsurance_code,class_cd,it_remarks) values('12Mar250017','070000178059','9120',(select max(to_number(i.premium_rcv_detail_code))+1
from ins_premium_det i),'9120','9120','02', '11000003','00','Request by Mr. Saqib Saleem 12-Mar-2025');</v>
      </c>
    </row>
    <row r="167" spans="1:8" ht="105" x14ac:dyDescent="0.25">
      <c r="A167" s="1" t="s">
        <v>361</v>
      </c>
      <c r="B167" s="1" t="str">
        <f>VLOOKUP(A167,policy!B:C,2,0)</f>
        <v>070000178060</v>
      </c>
      <c r="C167" s="4">
        <v>7920</v>
      </c>
      <c r="D167" s="8">
        <f t="shared" si="9"/>
        <v>7920</v>
      </c>
      <c r="E167" s="12" t="s">
        <v>821</v>
      </c>
      <c r="F167" s="9" t="str">
        <f t="shared" si="8"/>
        <v>insert into ins_premium_det (premium_rcv_code,assorted_code, rec_amount,premium_rcv_detail_code,remaining_amt, payrec, mode_code,coinsurance_code,class_cd,it_remarks) values</v>
      </c>
      <c r="G167" s="10" t="str">
        <f t="shared" si="10"/>
        <v>('12Mar250017','070000178060','7920',(select max(to_number(i.premium_rcv_detail_code))+1
from ins_premium_det i),'7920','7920','02', '11000003','00','Request by Mr. Saqib Saleem 12-Mar-2025');</v>
      </c>
      <c r="H167" s="11" t="str">
        <f t="shared" si="11"/>
        <v>insert into ins_premium_det (premium_rcv_code,assorted_code, rec_amount,premium_rcv_detail_code,remaining_amt, payrec, mode_code,coinsurance_code,class_cd,it_remarks) values('12Mar250017','070000178060','7920',(select max(to_number(i.premium_rcv_detail_code))+1
from ins_premium_det i),'7920','7920','02', '11000003','00','Request by Mr. Saqib Saleem 12-Mar-2025');</v>
      </c>
    </row>
    <row r="168" spans="1:8" ht="105" x14ac:dyDescent="0.25">
      <c r="A168" s="1" t="s">
        <v>363</v>
      </c>
      <c r="B168" s="1" t="str">
        <f>VLOOKUP(A168,policy!B:C,2,0)</f>
        <v>070000178061</v>
      </c>
      <c r="C168" s="4">
        <v>6960</v>
      </c>
      <c r="D168" s="8">
        <f t="shared" si="9"/>
        <v>6960</v>
      </c>
      <c r="E168" s="12" t="s">
        <v>821</v>
      </c>
      <c r="F168" s="9" t="str">
        <f t="shared" si="8"/>
        <v>insert into ins_premium_det (premium_rcv_code,assorted_code, rec_amount,premium_rcv_detail_code,remaining_amt, payrec, mode_code,coinsurance_code,class_cd,it_remarks) values</v>
      </c>
      <c r="G168" s="10" t="str">
        <f t="shared" si="10"/>
        <v>('12Mar250017','070000178061','6960',(select max(to_number(i.premium_rcv_detail_code))+1
from ins_premium_det i),'6960','6960','02', '11000003','00','Request by Mr. Saqib Saleem 12-Mar-2025');</v>
      </c>
      <c r="H168" s="11" t="str">
        <f t="shared" si="11"/>
        <v>insert into ins_premium_det (premium_rcv_code,assorted_code, rec_amount,premium_rcv_detail_code,remaining_amt, payrec, mode_code,coinsurance_code,class_cd,it_remarks) values('12Mar250017','070000178061','6960',(select max(to_number(i.premium_rcv_detail_code))+1
from ins_premium_det i),'6960','6960','02', '11000003','00','Request by Mr. Saqib Saleem 12-Mar-2025');</v>
      </c>
    </row>
    <row r="169" spans="1:8" ht="105" x14ac:dyDescent="0.25">
      <c r="A169" s="1" t="s">
        <v>365</v>
      </c>
      <c r="B169" s="1" t="str">
        <f>VLOOKUP(A169,policy!B:C,2,0)</f>
        <v>070000178062</v>
      </c>
      <c r="C169" s="4">
        <v>13080</v>
      </c>
      <c r="D169" s="8">
        <f t="shared" si="9"/>
        <v>13080</v>
      </c>
      <c r="E169" s="12" t="s">
        <v>821</v>
      </c>
      <c r="F169" s="9" t="str">
        <f t="shared" si="8"/>
        <v>insert into ins_premium_det (premium_rcv_code,assorted_code, rec_amount,premium_rcv_detail_code,remaining_amt, payrec, mode_code,coinsurance_code,class_cd,it_remarks) values</v>
      </c>
      <c r="G169" s="10" t="str">
        <f t="shared" si="10"/>
        <v>('12Mar250017','070000178062','13080',(select max(to_number(i.premium_rcv_detail_code))+1
from ins_premium_det i),'13080','13080','02', '11000003','00','Request by Mr. Saqib Saleem 12-Mar-2025');</v>
      </c>
      <c r="H169" s="11" t="str">
        <f t="shared" si="11"/>
        <v>insert into ins_premium_det (premium_rcv_code,assorted_code, rec_amount,premium_rcv_detail_code,remaining_amt, payrec, mode_code,coinsurance_code,class_cd,it_remarks) values('12Mar250017','070000178062','13080',(select max(to_number(i.premium_rcv_detail_code))+1
from ins_premium_det i),'13080','13080','02', '11000003','00','Request by Mr. Saqib Saleem 12-Mar-2025');</v>
      </c>
    </row>
    <row r="170" spans="1:8" ht="105" x14ac:dyDescent="0.25">
      <c r="A170" s="1" t="s">
        <v>367</v>
      </c>
      <c r="B170" s="1" t="str">
        <f>VLOOKUP(A170,policy!B:C,2,0)</f>
        <v>070000178063</v>
      </c>
      <c r="C170" s="4">
        <v>8399</v>
      </c>
      <c r="D170" s="8">
        <f t="shared" si="9"/>
        <v>8399</v>
      </c>
      <c r="E170" s="12" t="s">
        <v>821</v>
      </c>
      <c r="F170" s="9" t="str">
        <f t="shared" si="8"/>
        <v>insert into ins_premium_det (premium_rcv_code,assorted_code, rec_amount,premium_rcv_detail_code,remaining_amt, payrec, mode_code,coinsurance_code,class_cd,it_remarks) values</v>
      </c>
      <c r="G170" s="10" t="str">
        <f t="shared" si="10"/>
        <v>('12Mar250017','070000178063','8399',(select max(to_number(i.premium_rcv_detail_code))+1
from ins_premium_det i),'8399','8399','02', '11000003','00','Request by Mr. Saqib Saleem 12-Mar-2025');</v>
      </c>
      <c r="H170" s="11" t="str">
        <f t="shared" si="11"/>
        <v>insert into ins_premium_det (premium_rcv_code,assorted_code, rec_amount,premium_rcv_detail_code,remaining_amt, payrec, mode_code,coinsurance_code,class_cd,it_remarks) values('12Mar250017','070000178063','8399',(select max(to_number(i.premium_rcv_detail_code))+1
from ins_premium_det i),'8399','8399','02', '11000003','00','Request by Mr. Saqib Saleem 12-Mar-2025');</v>
      </c>
    </row>
    <row r="171" spans="1:8" ht="105" x14ac:dyDescent="0.25">
      <c r="A171" s="1" t="s">
        <v>369</v>
      </c>
      <c r="B171" s="1" t="str">
        <f>VLOOKUP(A171,policy!B:C,2,0)</f>
        <v>070000178064</v>
      </c>
      <c r="C171" s="4">
        <v>10200</v>
      </c>
      <c r="D171" s="8">
        <f t="shared" si="9"/>
        <v>10200</v>
      </c>
      <c r="E171" s="12" t="s">
        <v>821</v>
      </c>
      <c r="F171" s="9" t="str">
        <f t="shared" si="8"/>
        <v>insert into ins_premium_det (premium_rcv_code,assorted_code, rec_amount,premium_rcv_detail_code,remaining_amt, payrec, mode_code,coinsurance_code,class_cd,it_remarks) values</v>
      </c>
      <c r="G171" s="10" t="str">
        <f t="shared" si="10"/>
        <v>('12Mar250017','070000178064','10200',(select max(to_number(i.premium_rcv_detail_code))+1
from ins_premium_det i),'10200','10200','02', '11000003','00','Request by Mr. Saqib Saleem 12-Mar-2025');</v>
      </c>
      <c r="H171" s="11" t="str">
        <f t="shared" si="11"/>
        <v>insert into ins_premium_det (premium_rcv_code,assorted_code, rec_amount,premium_rcv_detail_code,remaining_amt, payrec, mode_code,coinsurance_code,class_cd,it_remarks) values('12Mar250017','070000178064','10200',(select max(to_number(i.premium_rcv_detail_code))+1
from ins_premium_det i),'10200','10200','02', '11000003','00','Request by Mr. Saqib Saleem 12-Mar-2025');</v>
      </c>
    </row>
    <row r="172" spans="1:8" ht="105" x14ac:dyDescent="0.25">
      <c r="A172" s="1" t="s">
        <v>371</v>
      </c>
      <c r="B172" s="1" t="str">
        <f>VLOOKUP(A172,policy!B:C,2,0)</f>
        <v>070000178065</v>
      </c>
      <c r="C172" s="4">
        <v>10440</v>
      </c>
      <c r="D172" s="8">
        <f t="shared" si="9"/>
        <v>10440</v>
      </c>
      <c r="E172" s="12" t="s">
        <v>821</v>
      </c>
      <c r="F172" s="9" t="str">
        <f t="shared" si="8"/>
        <v>insert into ins_premium_det (premium_rcv_code,assorted_code, rec_amount,premium_rcv_detail_code,remaining_amt, payrec, mode_code,coinsurance_code,class_cd,it_remarks) values</v>
      </c>
      <c r="G172" s="10" t="str">
        <f t="shared" si="10"/>
        <v>('12Mar250017','070000178065','10440',(select max(to_number(i.premium_rcv_detail_code))+1
from ins_premium_det i),'10440','10440','02', '11000003','00','Request by Mr. Saqib Saleem 12-Mar-2025');</v>
      </c>
      <c r="H172" s="11" t="str">
        <f t="shared" si="11"/>
        <v>insert into ins_premium_det (premium_rcv_code,assorted_code, rec_amount,premium_rcv_detail_code,remaining_amt, payrec, mode_code,coinsurance_code,class_cd,it_remarks) values('12Mar250017','070000178065','10440',(select max(to_number(i.premium_rcv_detail_code))+1
from ins_premium_det i),'10440','10440','02', '11000003','00','Request by Mr. Saqib Saleem 12-Mar-2025');</v>
      </c>
    </row>
    <row r="173" spans="1:8" ht="105" x14ac:dyDescent="0.25">
      <c r="A173" s="1" t="s">
        <v>373</v>
      </c>
      <c r="B173" s="1" t="str">
        <f>VLOOKUP(A173,policy!B:C,2,0)</f>
        <v>070000178066</v>
      </c>
      <c r="C173" s="4">
        <v>10200</v>
      </c>
      <c r="D173" s="8">
        <f t="shared" si="9"/>
        <v>10200</v>
      </c>
      <c r="E173" s="12" t="s">
        <v>821</v>
      </c>
      <c r="F173" s="9" t="str">
        <f t="shared" si="8"/>
        <v>insert into ins_premium_det (premium_rcv_code,assorted_code, rec_amount,premium_rcv_detail_code,remaining_amt, payrec, mode_code,coinsurance_code,class_cd,it_remarks) values</v>
      </c>
      <c r="G173" s="10" t="str">
        <f t="shared" si="10"/>
        <v>('12Mar250017','070000178066','10200',(select max(to_number(i.premium_rcv_detail_code))+1
from ins_premium_det i),'10200','10200','02', '11000003','00','Request by Mr. Saqib Saleem 12-Mar-2025');</v>
      </c>
      <c r="H173" s="11" t="str">
        <f t="shared" si="11"/>
        <v>insert into ins_premium_det (premium_rcv_code,assorted_code, rec_amount,premium_rcv_detail_code,remaining_amt, payrec, mode_code,coinsurance_code,class_cd,it_remarks) values('12Mar250017','070000178066','10200',(select max(to_number(i.premium_rcv_detail_code))+1
from ins_premium_det i),'10200','10200','02', '11000003','00','Request by Mr. Saqib Saleem 12-Mar-2025');</v>
      </c>
    </row>
    <row r="174" spans="1:8" ht="105" x14ac:dyDescent="0.25">
      <c r="A174" s="1" t="s">
        <v>375</v>
      </c>
      <c r="B174" s="1" t="str">
        <f>VLOOKUP(A174,policy!B:C,2,0)</f>
        <v>070000178067</v>
      </c>
      <c r="C174" s="4">
        <v>14160</v>
      </c>
      <c r="D174" s="8">
        <f t="shared" si="9"/>
        <v>14160</v>
      </c>
      <c r="E174" s="12" t="s">
        <v>821</v>
      </c>
      <c r="F174" s="9" t="str">
        <f t="shared" si="8"/>
        <v>insert into ins_premium_det (premium_rcv_code,assorted_code, rec_amount,premium_rcv_detail_code,remaining_amt, payrec, mode_code,coinsurance_code,class_cd,it_remarks) values</v>
      </c>
      <c r="G174" s="10" t="str">
        <f t="shared" si="10"/>
        <v>('12Mar250017','070000178067','14160',(select max(to_number(i.premium_rcv_detail_code))+1
from ins_premium_det i),'14160','14160','02', '11000003','00','Request by Mr. Saqib Saleem 12-Mar-2025');</v>
      </c>
      <c r="H174" s="11" t="str">
        <f t="shared" si="11"/>
        <v>insert into ins_premium_det (premium_rcv_code,assorted_code, rec_amount,premium_rcv_detail_code,remaining_amt, payrec, mode_code,coinsurance_code,class_cd,it_remarks) values('12Mar250017','070000178067','14160',(select max(to_number(i.premium_rcv_detail_code))+1
from ins_premium_det i),'14160','14160','02', '11000003','00','Request by Mr. Saqib Saleem 12-Mar-2025');</v>
      </c>
    </row>
    <row r="175" spans="1:8" ht="105" x14ac:dyDescent="0.25">
      <c r="A175" s="1" t="s">
        <v>377</v>
      </c>
      <c r="B175" s="1" t="str">
        <f>VLOOKUP(A175,policy!B:C,2,0)</f>
        <v>070000178068</v>
      </c>
      <c r="C175" s="4">
        <v>19441</v>
      </c>
      <c r="D175" s="8">
        <f t="shared" si="9"/>
        <v>19441</v>
      </c>
      <c r="E175" s="12" t="s">
        <v>821</v>
      </c>
      <c r="F175" s="9" t="str">
        <f t="shared" si="8"/>
        <v>insert into ins_premium_det (premium_rcv_code,assorted_code, rec_amount,premium_rcv_detail_code,remaining_amt, payrec, mode_code,coinsurance_code,class_cd,it_remarks) values</v>
      </c>
      <c r="G175" s="10" t="str">
        <f t="shared" si="10"/>
        <v>('12Mar250017','070000178068','19441',(select max(to_number(i.premium_rcv_detail_code))+1
from ins_premium_det i),'19441','19441','02', '11000003','00','Request by Mr. Saqib Saleem 12-Mar-2025');</v>
      </c>
      <c r="H175" s="11" t="str">
        <f t="shared" si="11"/>
        <v>insert into ins_premium_det (premium_rcv_code,assorted_code, rec_amount,premium_rcv_detail_code,remaining_amt, payrec, mode_code,coinsurance_code,class_cd,it_remarks) values('12Mar250017','070000178068','19441',(select max(to_number(i.premium_rcv_detail_code))+1
from ins_premium_det i),'19441','19441','02', '11000003','00','Request by Mr. Saqib Saleem 12-Mar-2025');</v>
      </c>
    </row>
    <row r="176" spans="1:8" ht="105" x14ac:dyDescent="0.25">
      <c r="A176" s="1" t="s">
        <v>379</v>
      </c>
      <c r="B176" s="1" t="str">
        <f>VLOOKUP(A176,policy!B:C,2,0)</f>
        <v>070000178069</v>
      </c>
      <c r="C176" s="4">
        <v>9360</v>
      </c>
      <c r="D176" s="8">
        <f t="shared" si="9"/>
        <v>9360</v>
      </c>
      <c r="E176" s="12" t="s">
        <v>821</v>
      </c>
      <c r="F176" s="9" t="str">
        <f t="shared" si="8"/>
        <v>insert into ins_premium_det (premium_rcv_code,assorted_code, rec_amount,premium_rcv_detail_code,remaining_amt, payrec, mode_code,coinsurance_code,class_cd,it_remarks) values</v>
      </c>
      <c r="G176" s="10" t="str">
        <f t="shared" si="10"/>
        <v>('12Mar250017','070000178069','9360',(select max(to_number(i.premium_rcv_detail_code))+1
from ins_premium_det i),'9360','9360','02', '11000003','00','Request by Mr. Saqib Saleem 12-Mar-2025');</v>
      </c>
      <c r="H176" s="11" t="str">
        <f t="shared" si="11"/>
        <v>insert into ins_premium_det (premium_rcv_code,assorted_code, rec_amount,premium_rcv_detail_code,remaining_amt, payrec, mode_code,coinsurance_code,class_cd,it_remarks) values('12Mar250017','070000178069','9360',(select max(to_number(i.premium_rcv_detail_code))+1
from ins_premium_det i),'9360','9360','02', '11000003','00','Request by Mr. Saqib Saleem 12-Mar-2025');</v>
      </c>
    </row>
    <row r="177" spans="1:8" ht="105" x14ac:dyDescent="0.25">
      <c r="A177" s="1" t="s">
        <v>380</v>
      </c>
      <c r="B177" s="1" t="str">
        <f>VLOOKUP(A177,policy!B:C,2,0)</f>
        <v>070000178070</v>
      </c>
      <c r="C177" s="4">
        <v>5521</v>
      </c>
      <c r="D177" s="8">
        <f t="shared" si="9"/>
        <v>5521</v>
      </c>
      <c r="E177" s="12" t="s">
        <v>821</v>
      </c>
      <c r="F177" s="9" t="str">
        <f t="shared" si="8"/>
        <v>insert into ins_premium_det (premium_rcv_code,assorted_code, rec_amount,premium_rcv_detail_code,remaining_amt, payrec, mode_code,coinsurance_code,class_cd,it_remarks) values</v>
      </c>
      <c r="G177" s="10" t="str">
        <f t="shared" si="10"/>
        <v>('12Mar250017','070000178070','5521',(select max(to_number(i.premium_rcv_detail_code))+1
from ins_premium_det i),'5521','5521','02', '11000003','00','Request by Mr. Saqib Saleem 12-Mar-2025');</v>
      </c>
      <c r="H177" s="11" t="str">
        <f t="shared" si="11"/>
        <v>insert into ins_premium_det (premium_rcv_code,assorted_code, rec_amount,premium_rcv_detail_code,remaining_amt, payrec, mode_code,coinsurance_code,class_cd,it_remarks) values('12Mar250017','070000178070','5521',(select max(to_number(i.premium_rcv_detail_code))+1
from ins_premium_det i),'5521','5521','02', '11000003','00','Request by Mr. Saqib Saleem 12-Mar-2025');</v>
      </c>
    </row>
    <row r="178" spans="1:8" ht="105" x14ac:dyDescent="0.25">
      <c r="A178" s="1" t="s">
        <v>382</v>
      </c>
      <c r="B178" s="1" t="str">
        <f>VLOOKUP(A178,policy!B:C,2,0)</f>
        <v>070000178071</v>
      </c>
      <c r="C178" s="4">
        <v>6360</v>
      </c>
      <c r="D178" s="8">
        <f t="shared" si="9"/>
        <v>6360</v>
      </c>
      <c r="E178" s="12" t="s">
        <v>821</v>
      </c>
      <c r="F178" s="9" t="str">
        <f t="shared" si="8"/>
        <v>insert into ins_premium_det (premium_rcv_code,assorted_code, rec_amount,premium_rcv_detail_code,remaining_amt, payrec, mode_code,coinsurance_code,class_cd,it_remarks) values</v>
      </c>
      <c r="G178" s="10" t="str">
        <f t="shared" si="10"/>
        <v>('12Mar250017','070000178071','6360',(select max(to_number(i.premium_rcv_detail_code))+1
from ins_premium_det i),'6360','6360','02', '11000003','00','Request by Mr. Saqib Saleem 12-Mar-2025');</v>
      </c>
      <c r="H178" s="11" t="str">
        <f t="shared" si="11"/>
        <v>insert into ins_premium_det (premium_rcv_code,assorted_code, rec_amount,premium_rcv_detail_code,remaining_amt, payrec, mode_code,coinsurance_code,class_cd,it_remarks) values('12Mar250017','070000178071','6360',(select max(to_number(i.premium_rcv_detail_code))+1
from ins_premium_det i),'6360','6360','02', '11000003','00','Request by Mr. Saqib Saleem 12-Mar-2025');</v>
      </c>
    </row>
    <row r="179" spans="1:8" ht="105" x14ac:dyDescent="0.25">
      <c r="A179" s="1" t="s">
        <v>384</v>
      </c>
      <c r="B179" s="1" t="str">
        <f>VLOOKUP(A179,policy!B:C,2,0)</f>
        <v>070000178072</v>
      </c>
      <c r="C179" s="4">
        <v>15000</v>
      </c>
      <c r="D179" s="8">
        <f t="shared" si="9"/>
        <v>15000</v>
      </c>
      <c r="E179" s="12" t="s">
        <v>821</v>
      </c>
      <c r="F179" s="9" t="str">
        <f t="shared" si="8"/>
        <v>insert into ins_premium_det (premium_rcv_code,assorted_code, rec_amount,premium_rcv_detail_code,remaining_amt, payrec, mode_code,coinsurance_code,class_cd,it_remarks) values</v>
      </c>
      <c r="G179" s="10" t="str">
        <f t="shared" si="10"/>
        <v>('12Mar250017','070000178072','15000',(select max(to_number(i.premium_rcv_detail_code))+1
from ins_premium_det i),'15000','15000','02', '11000003','00','Request by Mr. Saqib Saleem 12-Mar-2025');</v>
      </c>
      <c r="H179" s="11" t="str">
        <f t="shared" si="11"/>
        <v>insert into ins_premium_det (premium_rcv_code,assorted_code, rec_amount,premium_rcv_detail_code,remaining_amt, payrec, mode_code,coinsurance_code,class_cd,it_remarks) values('12Mar250017','070000178072','15000',(select max(to_number(i.premium_rcv_detail_code))+1
from ins_premium_det i),'15000','15000','02', '11000003','00','Request by Mr. Saqib Saleem 12-Mar-2025');</v>
      </c>
    </row>
    <row r="180" spans="1:8" ht="105" x14ac:dyDescent="0.25">
      <c r="A180" s="1" t="s">
        <v>386</v>
      </c>
      <c r="B180" s="1" t="str">
        <f>VLOOKUP(A180,policy!B:C,2,0)</f>
        <v>070000178073</v>
      </c>
      <c r="C180" s="4">
        <v>9001</v>
      </c>
      <c r="D180" s="8">
        <f t="shared" si="9"/>
        <v>9001</v>
      </c>
      <c r="E180" s="12" t="s">
        <v>821</v>
      </c>
      <c r="F180" s="9" t="str">
        <f t="shared" si="8"/>
        <v>insert into ins_premium_det (premium_rcv_code,assorted_code, rec_amount,premium_rcv_detail_code,remaining_amt, payrec, mode_code,coinsurance_code,class_cd,it_remarks) values</v>
      </c>
      <c r="G180" s="10" t="str">
        <f t="shared" si="10"/>
        <v>('12Mar250017','070000178073','9001',(select max(to_number(i.premium_rcv_detail_code))+1
from ins_premium_det i),'9001','9001','02', '11000003','00','Request by Mr. Saqib Saleem 12-Mar-2025');</v>
      </c>
      <c r="H180" s="11" t="str">
        <f t="shared" si="11"/>
        <v>insert into ins_premium_det (premium_rcv_code,assorted_code, rec_amount,premium_rcv_detail_code,remaining_amt, payrec, mode_code,coinsurance_code,class_cd,it_remarks) values('12Mar250017','070000178073','9001',(select max(to_number(i.premium_rcv_detail_code))+1
from ins_premium_det i),'9001','9001','02', '11000003','00','Request by Mr. Saqib Saleem 12-Mar-2025');</v>
      </c>
    </row>
    <row r="181" spans="1:8" ht="105" x14ac:dyDescent="0.25">
      <c r="A181" s="1" t="s">
        <v>388</v>
      </c>
      <c r="B181" s="1" t="str">
        <f>VLOOKUP(A181,policy!B:C,2,0)</f>
        <v>070000178074</v>
      </c>
      <c r="C181" s="4">
        <v>16440</v>
      </c>
      <c r="D181" s="8">
        <f t="shared" si="9"/>
        <v>16440</v>
      </c>
      <c r="E181" s="12" t="s">
        <v>821</v>
      </c>
      <c r="F181" s="9" t="str">
        <f t="shared" si="8"/>
        <v>insert into ins_premium_det (premium_rcv_code,assorted_code, rec_amount,premium_rcv_detail_code,remaining_amt, payrec, mode_code,coinsurance_code,class_cd,it_remarks) values</v>
      </c>
      <c r="G181" s="10" t="str">
        <f t="shared" si="10"/>
        <v>('12Mar250017','070000178074','16440',(select max(to_number(i.premium_rcv_detail_code))+1
from ins_premium_det i),'16440','16440','02', '11000003','00','Request by Mr. Saqib Saleem 12-Mar-2025');</v>
      </c>
      <c r="H181" s="11" t="str">
        <f t="shared" si="11"/>
        <v>insert into ins_premium_det (premium_rcv_code,assorted_code, rec_amount,premium_rcv_detail_code,remaining_amt, payrec, mode_code,coinsurance_code,class_cd,it_remarks) values('12Mar250017','070000178074','16440',(select max(to_number(i.premium_rcv_detail_code))+1
from ins_premium_det i),'16440','16440','02', '11000003','00','Request by Mr. Saqib Saleem 12-Mar-2025');</v>
      </c>
    </row>
    <row r="182" spans="1:8" ht="105" x14ac:dyDescent="0.25">
      <c r="A182" s="1" t="s">
        <v>390</v>
      </c>
      <c r="B182" s="1" t="str">
        <f>VLOOKUP(A182,policy!B:C,2,0)</f>
        <v>070000178075</v>
      </c>
      <c r="C182" s="4">
        <v>7440</v>
      </c>
      <c r="D182" s="8">
        <f t="shared" si="9"/>
        <v>7440</v>
      </c>
      <c r="E182" s="12" t="s">
        <v>821</v>
      </c>
      <c r="F182" s="9" t="str">
        <f t="shared" si="8"/>
        <v>insert into ins_premium_det (premium_rcv_code,assorted_code, rec_amount,premium_rcv_detail_code,remaining_amt, payrec, mode_code,coinsurance_code,class_cd,it_remarks) values</v>
      </c>
      <c r="G182" s="10" t="str">
        <f t="shared" si="10"/>
        <v>('12Mar250017','070000178075','7440',(select max(to_number(i.premium_rcv_detail_code))+1
from ins_premium_det i),'7440','7440','02', '11000003','00','Request by Mr. Saqib Saleem 12-Mar-2025');</v>
      </c>
      <c r="H182" s="11" t="str">
        <f t="shared" si="11"/>
        <v>insert into ins_premium_det (premium_rcv_code,assorted_code, rec_amount,premium_rcv_detail_code,remaining_amt, payrec, mode_code,coinsurance_code,class_cd,it_remarks) values('12Mar250017','070000178075','7440',(select max(to_number(i.premium_rcv_detail_code))+1
from ins_premium_det i),'7440','7440','02', '11000003','00','Request by Mr. Saqib Saleem 12-Mar-2025');</v>
      </c>
    </row>
    <row r="183" spans="1:8" ht="105" x14ac:dyDescent="0.25">
      <c r="A183" s="1" t="s">
        <v>392</v>
      </c>
      <c r="B183" s="1" t="str">
        <f>VLOOKUP(A183,policy!B:C,2,0)</f>
        <v>070000178076</v>
      </c>
      <c r="C183" s="4">
        <v>6841</v>
      </c>
      <c r="D183" s="8">
        <f t="shared" si="9"/>
        <v>6841</v>
      </c>
      <c r="E183" s="12" t="s">
        <v>821</v>
      </c>
      <c r="F183" s="9" t="str">
        <f t="shared" si="8"/>
        <v>insert into ins_premium_det (premium_rcv_code,assorted_code, rec_amount,premium_rcv_detail_code,remaining_amt, payrec, mode_code,coinsurance_code,class_cd,it_remarks) values</v>
      </c>
      <c r="G183" s="10" t="str">
        <f t="shared" si="10"/>
        <v>('12Mar250017','070000178076','6841',(select max(to_number(i.premium_rcv_detail_code))+1
from ins_premium_det i),'6841','6841','02', '11000003','00','Request by Mr. Saqib Saleem 12-Mar-2025');</v>
      </c>
      <c r="H183" s="11" t="str">
        <f t="shared" si="11"/>
        <v>insert into ins_premium_det (premium_rcv_code,assorted_code, rec_amount,premium_rcv_detail_code,remaining_amt, payrec, mode_code,coinsurance_code,class_cd,it_remarks) values('12Mar250017','070000178076','6841',(select max(to_number(i.premium_rcv_detail_code))+1
from ins_premium_det i),'6841','6841','02', '11000003','00','Request by Mr. Saqib Saleem 12-Mar-2025');</v>
      </c>
    </row>
    <row r="184" spans="1:8" ht="105" x14ac:dyDescent="0.25">
      <c r="A184" s="1" t="s">
        <v>394</v>
      </c>
      <c r="B184" s="1" t="str">
        <f>VLOOKUP(A184,policy!B:C,2,0)</f>
        <v>070000178077</v>
      </c>
      <c r="C184" s="4">
        <v>8040</v>
      </c>
      <c r="D184" s="8">
        <f t="shared" si="9"/>
        <v>8040</v>
      </c>
      <c r="E184" s="12" t="s">
        <v>821</v>
      </c>
      <c r="F184" s="9" t="str">
        <f t="shared" si="8"/>
        <v>insert into ins_premium_det (premium_rcv_code,assorted_code, rec_amount,premium_rcv_detail_code,remaining_amt, payrec, mode_code,coinsurance_code,class_cd,it_remarks) values</v>
      </c>
      <c r="G184" s="10" t="str">
        <f t="shared" si="10"/>
        <v>('12Mar250017','070000178077','8040',(select max(to_number(i.premium_rcv_detail_code))+1
from ins_premium_det i),'8040','8040','02', '11000003','00','Request by Mr. Saqib Saleem 12-Mar-2025');</v>
      </c>
      <c r="H184" s="11" t="str">
        <f t="shared" si="11"/>
        <v>insert into ins_premium_det (premium_rcv_code,assorted_code, rec_amount,premium_rcv_detail_code,remaining_amt, payrec, mode_code,coinsurance_code,class_cd,it_remarks) values('12Mar250017','070000178077','8040',(select max(to_number(i.premium_rcv_detail_code))+1
from ins_premium_det i),'8040','8040','02', '11000003','00','Request by Mr. Saqib Saleem 12-Mar-2025');</v>
      </c>
    </row>
    <row r="185" spans="1:8" ht="105" x14ac:dyDescent="0.25">
      <c r="A185" s="1" t="s">
        <v>396</v>
      </c>
      <c r="B185" s="1" t="str">
        <f>VLOOKUP(A185,policy!B:C,2,0)</f>
        <v>070000178078</v>
      </c>
      <c r="C185" s="4">
        <v>8639</v>
      </c>
      <c r="D185" s="8">
        <f t="shared" si="9"/>
        <v>8639</v>
      </c>
      <c r="E185" s="12" t="s">
        <v>821</v>
      </c>
      <c r="F185" s="9" t="str">
        <f t="shared" si="8"/>
        <v>insert into ins_premium_det (premium_rcv_code,assorted_code, rec_amount,premium_rcv_detail_code,remaining_amt, payrec, mode_code,coinsurance_code,class_cd,it_remarks) values</v>
      </c>
      <c r="G185" s="10" t="str">
        <f t="shared" si="10"/>
        <v>('12Mar250017','070000178078','8639',(select max(to_number(i.premium_rcv_detail_code))+1
from ins_premium_det i),'8639','8639','02', '11000003','00','Request by Mr. Saqib Saleem 12-Mar-2025');</v>
      </c>
      <c r="H185" s="11" t="str">
        <f t="shared" si="11"/>
        <v>insert into ins_premium_det (premium_rcv_code,assorted_code, rec_amount,premium_rcv_detail_code,remaining_amt, payrec, mode_code,coinsurance_code,class_cd,it_remarks) values('12Mar250017','070000178078','8639',(select max(to_number(i.premium_rcv_detail_code))+1
from ins_premium_det i),'8639','8639','02', '11000003','00','Request by Mr. Saqib Saleem 12-Mar-2025');</v>
      </c>
    </row>
    <row r="186" spans="1:8" ht="105" x14ac:dyDescent="0.25">
      <c r="A186" s="1" t="s">
        <v>398</v>
      </c>
      <c r="B186" s="1" t="str">
        <f>VLOOKUP(A186,policy!B:C,2,0)</f>
        <v>070000178079</v>
      </c>
      <c r="C186" s="4">
        <v>15721</v>
      </c>
      <c r="D186" s="8">
        <f t="shared" si="9"/>
        <v>15721</v>
      </c>
      <c r="E186" s="12" t="s">
        <v>821</v>
      </c>
      <c r="F186" s="9" t="str">
        <f t="shared" si="8"/>
        <v>insert into ins_premium_det (premium_rcv_code,assorted_code, rec_amount,premium_rcv_detail_code,remaining_amt, payrec, mode_code,coinsurance_code,class_cd,it_remarks) values</v>
      </c>
      <c r="G186" s="10" t="str">
        <f t="shared" si="10"/>
        <v>('12Mar250017','070000178079','15721',(select max(to_number(i.premium_rcv_detail_code))+1
from ins_premium_det i),'15721','15721','02', '11000003','00','Request by Mr. Saqib Saleem 12-Mar-2025');</v>
      </c>
      <c r="H186" s="11" t="str">
        <f t="shared" si="11"/>
        <v>insert into ins_premium_det (premium_rcv_code,assorted_code, rec_amount,premium_rcv_detail_code,remaining_amt, payrec, mode_code,coinsurance_code,class_cd,it_remarks) values('12Mar250017','070000178079','15721',(select max(to_number(i.premium_rcv_detail_code))+1
from ins_premium_det i),'15721','15721','02', '11000003','00','Request by Mr. Saqib Saleem 12-Mar-2025');</v>
      </c>
    </row>
    <row r="187" spans="1:8" ht="105" x14ac:dyDescent="0.25">
      <c r="A187" s="1" t="s">
        <v>400</v>
      </c>
      <c r="B187" s="1" t="str">
        <f>VLOOKUP(A187,policy!B:C,2,0)</f>
        <v>070000178080</v>
      </c>
      <c r="C187" s="4">
        <v>7440</v>
      </c>
      <c r="D187" s="8">
        <f t="shared" si="9"/>
        <v>7440</v>
      </c>
      <c r="E187" s="12" t="s">
        <v>821</v>
      </c>
      <c r="F187" s="9" t="str">
        <f t="shared" si="8"/>
        <v>insert into ins_premium_det (premium_rcv_code,assorted_code, rec_amount,premium_rcv_detail_code,remaining_amt, payrec, mode_code,coinsurance_code,class_cd,it_remarks) values</v>
      </c>
      <c r="G187" s="10" t="str">
        <f t="shared" si="10"/>
        <v>('12Mar250017','070000178080','7440',(select max(to_number(i.premium_rcv_detail_code))+1
from ins_premium_det i),'7440','7440','02', '11000003','00','Request by Mr. Saqib Saleem 12-Mar-2025');</v>
      </c>
      <c r="H187" s="11" t="str">
        <f t="shared" si="11"/>
        <v>insert into ins_premium_det (premium_rcv_code,assorted_code, rec_amount,premium_rcv_detail_code,remaining_amt, payrec, mode_code,coinsurance_code,class_cd,it_remarks) values('12Mar250017','070000178080','7440',(select max(to_number(i.premium_rcv_detail_code))+1
from ins_premium_det i),'7440','7440','02', '11000003','00','Request by Mr. Saqib Saleem 12-Mar-2025');</v>
      </c>
    </row>
    <row r="188" spans="1:8" ht="105" x14ac:dyDescent="0.25">
      <c r="A188" s="1" t="s">
        <v>402</v>
      </c>
      <c r="B188" s="1" t="str">
        <f>VLOOKUP(A188,policy!B:C,2,0)</f>
        <v>070000178081</v>
      </c>
      <c r="C188" s="4">
        <v>7200</v>
      </c>
      <c r="D188" s="8">
        <f t="shared" si="9"/>
        <v>7200</v>
      </c>
      <c r="E188" s="12" t="s">
        <v>821</v>
      </c>
      <c r="F188" s="9" t="str">
        <f t="shared" si="8"/>
        <v>insert into ins_premium_det (premium_rcv_code,assorted_code, rec_amount,premium_rcv_detail_code,remaining_amt, payrec, mode_code,coinsurance_code,class_cd,it_remarks) values</v>
      </c>
      <c r="G188" s="10" t="str">
        <f t="shared" si="10"/>
        <v>('12Mar250017','070000178081','7200',(select max(to_number(i.premium_rcv_detail_code))+1
from ins_premium_det i),'7200','7200','02', '11000003','00','Request by Mr. Saqib Saleem 12-Mar-2025');</v>
      </c>
      <c r="H188" s="11" t="str">
        <f t="shared" si="11"/>
        <v>insert into ins_premium_det (premium_rcv_code,assorted_code, rec_amount,premium_rcv_detail_code,remaining_amt, payrec, mode_code,coinsurance_code,class_cd,it_remarks) values('12Mar250017','070000178081','7200',(select max(to_number(i.premium_rcv_detail_code))+1
from ins_premium_det i),'7200','7200','02', '11000003','00','Request by Mr. Saqib Saleem 12-Mar-2025');</v>
      </c>
    </row>
    <row r="189" spans="1:8" ht="105" x14ac:dyDescent="0.25">
      <c r="A189" s="1" t="s">
        <v>404</v>
      </c>
      <c r="B189" s="1" t="str">
        <f>VLOOKUP(A189,policy!B:C,2,0)</f>
        <v>070000178082</v>
      </c>
      <c r="C189" s="4">
        <v>19681</v>
      </c>
      <c r="D189" s="8">
        <f t="shared" si="9"/>
        <v>19681</v>
      </c>
      <c r="E189" s="12" t="s">
        <v>821</v>
      </c>
      <c r="F189" s="9" t="str">
        <f t="shared" si="8"/>
        <v>insert into ins_premium_det (premium_rcv_code,assorted_code, rec_amount,premium_rcv_detail_code,remaining_amt, payrec, mode_code,coinsurance_code,class_cd,it_remarks) values</v>
      </c>
      <c r="G189" s="10" t="str">
        <f t="shared" si="10"/>
        <v>('12Mar250017','070000178082','19681',(select max(to_number(i.premium_rcv_detail_code))+1
from ins_premium_det i),'19681','19681','02', '11000003','00','Request by Mr. Saqib Saleem 12-Mar-2025');</v>
      </c>
      <c r="H189" s="11" t="str">
        <f t="shared" si="11"/>
        <v>insert into ins_premium_det (premium_rcv_code,assorted_code, rec_amount,premium_rcv_detail_code,remaining_amt, payrec, mode_code,coinsurance_code,class_cd,it_remarks) values('12Mar250017','070000178082','19681',(select max(to_number(i.premium_rcv_detail_code))+1
from ins_premium_det i),'19681','19681','02', '11000003','00','Request by Mr. Saqib Saleem 12-Mar-2025');</v>
      </c>
    </row>
    <row r="190" spans="1:8" ht="105" x14ac:dyDescent="0.25">
      <c r="A190" s="1" t="s">
        <v>406</v>
      </c>
      <c r="B190" s="1" t="str">
        <f>VLOOKUP(A190,policy!B:C,2,0)</f>
        <v>070000178083</v>
      </c>
      <c r="C190" s="4">
        <v>8520</v>
      </c>
      <c r="D190" s="8">
        <f t="shared" si="9"/>
        <v>8520</v>
      </c>
      <c r="E190" s="12" t="s">
        <v>821</v>
      </c>
      <c r="F190" s="9" t="str">
        <f t="shared" si="8"/>
        <v>insert into ins_premium_det (premium_rcv_code,assorted_code, rec_amount,premium_rcv_detail_code,remaining_amt, payrec, mode_code,coinsurance_code,class_cd,it_remarks) values</v>
      </c>
      <c r="G190" s="10" t="str">
        <f t="shared" si="10"/>
        <v>('12Mar250017','070000178083','8520',(select max(to_number(i.premium_rcv_detail_code))+1
from ins_premium_det i),'8520','8520','02', '11000003','00','Request by Mr. Saqib Saleem 12-Mar-2025');</v>
      </c>
      <c r="H190" s="11" t="str">
        <f t="shared" si="11"/>
        <v>insert into ins_premium_det (premium_rcv_code,assorted_code, rec_amount,premium_rcv_detail_code,remaining_amt, payrec, mode_code,coinsurance_code,class_cd,it_remarks) values('12Mar250017','070000178083','8520',(select max(to_number(i.premium_rcv_detail_code))+1
from ins_premium_det i),'8520','8520','02', '11000003','00','Request by Mr. Saqib Saleem 12-Mar-2025');</v>
      </c>
    </row>
    <row r="191" spans="1:8" ht="105" x14ac:dyDescent="0.25">
      <c r="A191" s="1" t="s">
        <v>408</v>
      </c>
      <c r="B191" s="1" t="str">
        <f>VLOOKUP(A191,policy!B:C,2,0)</f>
        <v>070000178084</v>
      </c>
      <c r="C191" s="4">
        <v>9360</v>
      </c>
      <c r="D191" s="8">
        <f t="shared" si="9"/>
        <v>9360</v>
      </c>
      <c r="E191" s="12" t="s">
        <v>821</v>
      </c>
      <c r="F191" s="9" t="str">
        <f t="shared" si="8"/>
        <v>insert into ins_premium_det (premium_rcv_code,assorted_code, rec_amount,premium_rcv_detail_code,remaining_amt, payrec, mode_code,coinsurance_code,class_cd,it_remarks) values</v>
      </c>
      <c r="G191" s="10" t="str">
        <f t="shared" si="10"/>
        <v>('12Mar250017','070000178084','9360',(select max(to_number(i.premium_rcv_detail_code))+1
from ins_premium_det i),'9360','9360','02', '11000003','00','Request by Mr. Saqib Saleem 12-Mar-2025');</v>
      </c>
      <c r="H191" s="11" t="str">
        <f t="shared" si="11"/>
        <v>insert into ins_premium_det (premium_rcv_code,assorted_code, rec_amount,premium_rcv_detail_code,remaining_amt, payrec, mode_code,coinsurance_code,class_cd,it_remarks) values('12Mar250017','070000178084','9360',(select max(to_number(i.premium_rcv_detail_code))+1
from ins_premium_det i),'9360','9360','02', '11000003','00','Request by Mr. Saqib Saleem 12-Mar-2025');</v>
      </c>
    </row>
    <row r="192" spans="1:8" ht="105" x14ac:dyDescent="0.25">
      <c r="A192" s="1" t="s">
        <v>410</v>
      </c>
      <c r="B192" s="1" t="str">
        <f>VLOOKUP(A192,policy!B:C,2,0)</f>
        <v>070000178085</v>
      </c>
      <c r="C192" s="4">
        <v>17640</v>
      </c>
      <c r="D192" s="8">
        <f t="shared" si="9"/>
        <v>17640</v>
      </c>
      <c r="E192" s="12" t="s">
        <v>821</v>
      </c>
      <c r="F192" s="9" t="str">
        <f t="shared" si="8"/>
        <v>insert into ins_premium_det (premium_rcv_code,assorted_code, rec_amount,premium_rcv_detail_code,remaining_amt, payrec, mode_code,coinsurance_code,class_cd,it_remarks) values</v>
      </c>
      <c r="G192" s="10" t="str">
        <f t="shared" si="10"/>
        <v>('12Mar250017','070000178085','17640',(select max(to_number(i.premium_rcv_detail_code))+1
from ins_premium_det i),'17640','17640','02', '11000003','00','Request by Mr. Saqib Saleem 12-Mar-2025');</v>
      </c>
      <c r="H192" s="11" t="str">
        <f t="shared" si="11"/>
        <v>insert into ins_premium_det (premium_rcv_code,assorted_code, rec_amount,premium_rcv_detail_code,remaining_amt, payrec, mode_code,coinsurance_code,class_cd,it_remarks) values('12Mar250017','070000178085','17640',(select max(to_number(i.premium_rcv_detail_code))+1
from ins_premium_det i),'17640','17640','02', '11000003','00','Request by Mr. Saqib Saleem 12-Mar-2025');</v>
      </c>
    </row>
    <row r="193" spans="1:8" ht="105" x14ac:dyDescent="0.25">
      <c r="A193" s="1" t="s">
        <v>412</v>
      </c>
      <c r="B193" s="1" t="str">
        <f>VLOOKUP(A193,policy!B:C,2,0)</f>
        <v>070000178086</v>
      </c>
      <c r="C193" s="4">
        <v>7560</v>
      </c>
      <c r="D193" s="8">
        <f t="shared" si="9"/>
        <v>7560</v>
      </c>
      <c r="E193" s="12" t="s">
        <v>821</v>
      </c>
      <c r="F193" s="9" t="str">
        <f t="shared" si="8"/>
        <v>insert into ins_premium_det (premium_rcv_code,assorted_code, rec_amount,premium_rcv_detail_code,remaining_amt, payrec, mode_code,coinsurance_code,class_cd,it_remarks) values</v>
      </c>
      <c r="G193" s="10" t="str">
        <f t="shared" si="10"/>
        <v>('12Mar250017','070000178086','7560',(select max(to_number(i.premium_rcv_detail_code))+1
from ins_premium_det i),'7560','7560','02', '11000003','00','Request by Mr. Saqib Saleem 12-Mar-2025');</v>
      </c>
      <c r="H193" s="11" t="str">
        <f t="shared" si="11"/>
        <v>insert into ins_premium_det (premium_rcv_code,assorted_code, rec_amount,premium_rcv_detail_code,remaining_amt, payrec, mode_code,coinsurance_code,class_cd,it_remarks) values('12Mar250017','070000178086','7560',(select max(to_number(i.premium_rcv_detail_code))+1
from ins_premium_det i),'7560','7560','02', '11000003','00','Request by Mr. Saqib Saleem 12-Mar-2025');</v>
      </c>
    </row>
    <row r="194" spans="1:8" ht="105" x14ac:dyDescent="0.25">
      <c r="A194" s="1" t="s">
        <v>414</v>
      </c>
      <c r="B194" s="1" t="str">
        <f>VLOOKUP(A194,policy!B:C,2,0)</f>
        <v>070000178087</v>
      </c>
      <c r="C194" s="4">
        <v>16560</v>
      </c>
      <c r="D194" s="8">
        <f t="shared" si="9"/>
        <v>16560</v>
      </c>
      <c r="E194" s="12" t="s">
        <v>821</v>
      </c>
      <c r="F194" s="9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0" t="str">
        <f t="shared" si="10"/>
        <v>('12Mar250017','070000178087','16560',(select max(to_number(i.premium_rcv_detail_code))+1
from ins_premium_det i),'16560','16560','02', '11000003','00','Request by Mr. Saqib Saleem 12-Mar-2025');</v>
      </c>
      <c r="H194" s="11" t="str">
        <f t="shared" si="11"/>
        <v>insert into ins_premium_det (premium_rcv_code,assorted_code, rec_amount,premium_rcv_detail_code,remaining_amt, payrec, mode_code,coinsurance_code,class_cd,it_remarks) values('12Mar250017','070000178087','16560',(select max(to_number(i.premium_rcv_detail_code))+1
from ins_premium_det i),'16560','16560','02', '11000003','00','Request by Mr. Saqib Saleem 12-Mar-2025');</v>
      </c>
    </row>
    <row r="195" spans="1:8" ht="105" x14ac:dyDescent="0.25">
      <c r="A195" s="1" t="s">
        <v>416</v>
      </c>
      <c r="B195" s="1" t="str">
        <f>VLOOKUP(A195,policy!B:C,2,0)</f>
        <v>070000178088</v>
      </c>
      <c r="C195" s="4">
        <v>7320</v>
      </c>
      <c r="D195" s="8">
        <f t="shared" ref="D195:D258" si="13">ROUND(C195,0)</f>
        <v>7320</v>
      </c>
      <c r="E195" s="12" t="s">
        <v>821</v>
      </c>
      <c r="F195" s="9" t="str">
        <f t="shared" si="12"/>
        <v>insert into ins_premium_det (premium_rcv_code,assorted_code, rec_amount,premium_rcv_detail_code,remaining_amt, payrec, mode_code,coinsurance_code,class_cd,it_remarks) values</v>
      </c>
      <c r="G195" s="10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12-Mar-2025');"</f>
        <v>('12Mar250017','070000178088','7320',(select max(to_number(i.premium_rcv_detail_code))+1
from ins_premium_det i),'7320','7320','02', '11000003','00','Request by Mr. Saqib Saleem 12-Mar-2025');</v>
      </c>
      <c r="H195" s="11" t="str">
        <f t="shared" ref="H195:H258" si="15">F195&amp;G195</f>
        <v>insert into ins_premium_det (premium_rcv_code,assorted_code, rec_amount,premium_rcv_detail_code,remaining_amt, payrec, mode_code,coinsurance_code,class_cd,it_remarks) values('12Mar250017','070000178088','7320',(select max(to_number(i.premium_rcv_detail_code))+1
from ins_premium_det i),'7320','7320','02', '11000003','00','Request by Mr. Saqib Saleem 12-Mar-2025');</v>
      </c>
    </row>
    <row r="196" spans="1:8" ht="105" x14ac:dyDescent="0.25">
      <c r="A196" s="1" t="s">
        <v>418</v>
      </c>
      <c r="B196" s="1" t="str">
        <f>VLOOKUP(A196,policy!B:C,2,0)</f>
        <v>070000178089</v>
      </c>
      <c r="C196" s="4">
        <v>7800</v>
      </c>
      <c r="D196" s="8">
        <f t="shared" si="13"/>
        <v>7800</v>
      </c>
      <c r="E196" s="12" t="s">
        <v>821</v>
      </c>
      <c r="F196" s="9" t="str">
        <f t="shared" si="12"/>
        <v>insert into ins_premium_det (premium_rcv_code,assorted_code, rec_amount,premium_rcv_detail_code,remaining_amt, payrec, mode_code,coinsurance_code,class_cd,it_remarks) values</v>
      </c>
      <c r="G196" s="10" t="str">
        <f t="shared" si="14"/>
        <v>('12Mar250017','070000178089','7800',(select max(to_number(i.premium_rcv_detail_code))+1
from ins_premium_det i),'7800','7800','02', '11000003','00','Request by Mr. Saqib Saleem 12-Mar-2025');</v>
      </c>
      <c r="H196" s="11" t="str">
        <f t="shared" si="15"/>
        <v>insert into ins_premium_det (premium_rcv_code,assorted_code, rec_amount,premium_rcv_detail_code,remaining_amt, payrec, mode_code,coinsurance_code,class_cd,it_remarks) values('12Mar250017','070000178089','7800',(select max(to_number(i.premium_rcv_detail_code))+1
from ins_premium_det i),'7800','7800','02', '11000003','00','Request by Mr. Saqib Saleem 12-Mar-2025');</v>
      </c>
    </row>
    <row r="197" spans="1:8" ht="105" x14ac:dyDescent="0.25">
      <c r="A197" s="1" t="s">
        <v>420</v>
      </c>
      <c r="B197" s="1" t="str">
        <f>VLOOKUP(A197,policy!B:C,2,0)</f>
        <v>070000178090</v>
      </c>
      <c r="C197" s="4">
        <v>6360</v>
      </c>
      <c r="D197" s="8">
        <f t="shared" si="13"/>
        <v>6360</v>
      </c>
      <c r="E197" s="12" t="s">
        <v>821</v>
      </c>
      <c r="F197" s="9" t="str">
        <f t="shared" si="12"/>
        <v>insert into ins_premium_det (premium_rcv_code,assorted_code, rec_amount,premium_rcv_detail_code,remaining_amt, payrec, mode_code,coinsurance_code,class_cd,it_remarks) values</v>
      </c>
      <c r="G197" s="10" t="str">
        <f t="shared" si="14"/>
        <v>('12Mar250017','070000178090','6360',(select max(to_number(i.premium_rcv_detail_code))+1
from ins_premium_det i),'6360','6360','02', '11000003','00','Request by Mr. Saqib Saleem 12-Mar-2025');</v>
      </c>
      <c r="H197" s="11" t="str">
        <f t="shared" si="15"/>
        <v>insert into ins_premium_det (premium_rcv_code,assorted_code, rec_amount,premium_rcv_detail_code,remaining_amt, payrec, mode_code,coinsurance_code,class_cd,it_remarks) values('12Mar250017','070000178090','6360',(select max(to_number(i.premium_rcv_detail_code))+1
from ins_premium_det i),'6360','6360','02', '11000003','00','Request by Mr. Saqib Saleem 12-Mar-2025');</v>
      </c>
    </row>
    <row r="198" spans="1:8" ht="105" x14ac:dyDescent="0.25">
      <c r="A198" s="1" t="s">
        <v>422</v>
      </c>
      <c r="B198" s="1" t="str">
        <f>VLOOKUP(A198,policy!B:C,2,0)</f>
        <v>070000178091</v>
      </c>
      <c r="C198" s="4">
        <v>4560</v>
      </c>
      <c r="D198" s="8">
        <f t="shared" si="13"/>
        <v>4560</v>
      </c>
      <c r="E198" s="12" t="s">
        <v>821</v>
      </c>
      <c r="F198" s="9" t="str">
        <f t="shared" si="12"/>
        <v>insert into ins_premium_det (premium_rcv_code,assorted_code, rec_amount,premium_rcv_detail_code,remaining_amt, payrec, mode_code,coinsurance_code,class_cd,it_remarks) values</v>
      </c>
      <c r="G198" s="10" t="str">
        <f t="shared" si="14"/>
        <v>('12Mar250017','070000178091','4560',(select max(to_number(i.premium_rcv_detail_code))+1
from ins_premium_det i),'4560','4560','02', '11000003','00','Request by Mr. Saqib Saleem 12-Mar-2025');</v>
      </c>
      <c r="H198" s="11" t="str">
        <f t="shared" si="15"/>
        <v>insert into ins_premium_det (premium_rcv_code,assorted_code, rec_amount,premium_rcv_detail_code,remaining_amt, payrec, mode_code,coinsurance_code,class_cd,it_remarks) values('12Mar250017','070000178091','4560',(select max(to_number(i.premium_rcv_detail_code))+1
from ins_premium_det i),'4560','4560','02', '11000003','00','Request by Mr. Saqib Saleem 12-Mar-2025');</v>
      </c>
    </row>
    <row r="199" spans="1:8" ht="105" x14ac:dyDescent="0.25">
      <c r="A199" s="1" t="s">
        <v>424</v>
      </c>
      <c r="B199" s="1" t="str">
        <f>VLOOKUP(A199,policy!B:C,2,0)</f>
        <v>070000178092</v>
      </c>
      <c r="C199" s="4">
        <v>4800</v>
      </c>
      <c r="D199" s="8">
        <f t="shared" si="13"/>
        <v>4800</v>
      </c>
      <c r="E199" s="12" t="s">
        <v>821</v>
      </c>
      <c r="F199" s="9" t="str">
        <f t="shared" si="12"/>
        <v>insert into ins_premium_det (premium_rcv_code,assorted_code, rec_amount,premium_rcv_detail_code,remaining_amt, payrec, mode_code,coinsurance_code,class_cd,it_remarks) values</v>
      </c>
      <c r="G199" s="10" t="str">
        <f t="shared" si="14"/>
        <v>('12Mar250017','070000178092','4800',(select max(to_number(i.premium_rcv_detail_code))+1
from ins_premium_det i),'4800','4800','02', '11000003','00','Request by Mr. Saqib Saleem 12-Mar-2025');</v>
      </c>
      <c r="H199" s="11" t="str">
        <f t="shared" si="15"/>
        <v>insert into ins_premium_det (premium_rcv_code,assorted_code, rec_amount,premium_rcv_detail_code,remaining_amt, payrec, mode_code,coinsurance_code,class_cd,it_remarks) values('12Mar250017','070000178092','4800',(select max(to_number(i.premium_rcv_detail_code))+1
from ins_premium_det i),'4800','4800','02', '11000003','00','Request by Mr. Saqib Saleem 12-Mar-2025');</v>
      </c>
    </row>
    <row r="200" spans="1:8" ht="105" x14ac:dyDescent="0.25">
      <c r="A200" s="1" t="s">
        <v>426</v>
      </c>
      <c r="B200" s="1" t="str">
        <f>VLOOKUP(A200,policy!B:C,2,0)</f>
        <v>070000178093</v>
      </c>
      <c r="C200" s="4">
        <v>7920</v>
      </c>
      <c r="D200" s="8">
        <f t="shared" si="13"/>
        <v>7920</v>
      </c>
      <c r="E200" s="12" t="s">
        <v>821</v>
      </c>
      <c r="F200" s="9" t="str">
        <f t="shared" si="12"/>
        <v>insert into ins_premium_det (premium_rcv_code,assorted_code, rec_amount,premium_rcv_detail_code,remaining_amt, payrec, mode_code,coinsurance_code,class_cd,it_remarks) values</v>
      </c>
      <c r="G200" s="10" t="str">
        <f t="shared" si="14"/>
        <v>('12Mar250017','070000178093','7920',(select max(to_number(i.premium_rcv_detail_code))+1
from ins_premium_det i),'7920','7920','02', '11000003','00','Request by Mr. Saqib Saleem 12-Mar-2025');</v>
      </c>
      <c r="H200" s="11" t="str">
        <f t="shared" si="15"/>
        <v>insert into ins_premium_det (premium_rcv_code,assorted_code, rec_amount,premium_rcv_detail_code,remaining_amt, payrec, mode_code,coinsurance_code,class_cd,it_remarks) values('12Mar250017','070000178093','7920',(select max(to_number(i.premium_rcv_detail_code))+1
from ins_premium_det i),'7920','7920','02', '11000003','00','Request by Mr. Saqib Saleem 12-Mar-2025');</v>
      </c>
    </row>
    <row r="201" spans="1:8" ht="105" x14ac:dyDescent="0.25">
      <c r="A201" s="1" t="s">
        <v>428</v>
      </c>
      <c r="B201" s="1" t="str">
        <f>VLOOKUP(A201,policy!B:C,2,0)</f>
        <v>070000178094</v>
      </c>
      <c r="C201" s="4">
        <v>9001</v>
      </c>
      <c r="D201" s="8">
        <f t="shared" si="13"/>
        <v>9001</v>
      </c>
      <c r="E201" s="12" t="s">
        <v>821</v>
      </c>
      <c r="F201" s="9" t="str">
        <f t="shared" si="12"/>
        <v>insert into ins_premium_det (premium_rcv_code,assorted_code, rec_amount,premium_rcv_detail_code,remaining_amt, payrec, mode_code,coinsurance_code,class_cd,it_remarks) values</v>
      </c>
      <c r="G201" s="10" t="str">
        <f t="shared" si="14"/>
        <v>('12Mar250017','070000178094','9001',(select max(to_number(i.premium_rcv_detail_code))+1
from ins_premium_det i),'9001','9001','02', '11000003','00','Request by Mr. Saqib Saleem 12-Mar-2025');</v>
      </c>
      <c r="H201" s="11" t="str">
        <f t="shared" si="15"/>
        <v>insert into ins_premium_det (premium_rcv_code,assorted_code, rec_amount,premium_rcv_detail_code,remaining_amt, payrec, mode_code,coinsurance_code,class_cd,it_remarks) values('12Mar250017','070000178094','9001',(select max(to_number(i.premium_rcv_detail_code))+1
from ins_premium_det i),'9001','9001','02', '11000003','00','Request by Mr. Saqib Saleem 12-Mar-2025');</v>
      </c>
    </row>
    <row r="202" spans="1:8" ht="105" x14ac:dyDescent="0.25">
      <c r="A202" s="1" t="s">
        <v>430</v>
      </c>
      <c r="B202" s="1" t="str">
        <f>VLOOKUP(A202,policy!B:C,2,0)</f>
        <v>070000178095</v>
      </c>
      <c r="C202" s="4">
        <v>8880</v>
      </c>
      <c r="D202" s="8">
        <f t="shared" si="13"/>
        <v>8880</v>
      </c>
      <c r="E202" s="12" t="s">
        <v>821</v>
      </c>
      <c r="F202" s="9" t="str">
        <f t="shared" si="12"/>
        <v>insert into ins_premium_det (premium_rcv_code,assorted_code, rec_amount,premium_rcv_detail_code,remaining_amt, payrec, mode_code,coinsurance_code,class_cd,it_remarks) values</v>
      </c>
      <c r="G202" s="10" t="str">
        <f t="shared" si="14"/>
        <v>('12Mar250017','070000178095','8880',(select max(to_number(i.premium_rcv_detail_code))+1
from ins_premium_det i),'8880','8880','02', '11000003','00','Request by Mr. Saqib Saleem 12-Mar-2025');</v>
      </c>
      <c r="H202" s="11" t="str">
        <f t="shared" si="15"/>
        <v>insert into ins_premium_det (premium_rcv_code,assorted_code, rec_amount,premium_rcv_detail_code,remaining_amt, payrec, mode_code,coinsurance_code,class_cd,it_remarks) values('12Mar250017','070000178095','8880',(select max(to_number(i.premium_rcv_detail_code))+1
from ins_premium_det i),'8880','8880','02', '11000003','00','Request by Mr. Saqib Saleem 12-Mar-2025');</v>
      </c>
    </row>
    <row r="203" spans="1:8" ht="105" x14ac:dyDescent="0.25">
      <c r="A203" s="1" t="s">
        <v>432</v>
      </c>
      <c r="B203" s="1" t="str">
        <f>VLOOKUP(A203,policy!B:C,2,0)</f>
        <v>070000178096</v>
      </c>
      <c r="C203" s="4">
        <v>9720</v>
      </c>
      <c r="D203" s="8">
        <f t="shared" si="13"/>
        <v>9720</v>
      </c>
      <c r="E203" s="12" t="s">
        <v>821</v>
      </c>
      <c r="F203" s="9" t="str">
        <f t="shared" si="12"/>
        <v>insert into ins_premium_det (premium_rcv_code,assorted_code, rec_amount,premium_rcv_detail_code,remaining_amt, payrec, mode_code,coinsurance_code,class_cd,it_remarks) values</v>
      </c>
      <c r="G203" s="10" t="str">
        <f t="shared" si="14"/>
        <v>('12Mar250017','070000178096','9720',(select max(to_number(i.premium_rcv_detail_code))+1
from ins_premium_det i),'9720','9720','02', '11000003','00','Request by Mr. Saqib Saleem 12-Mar-2025');</v>
      </c>
      <c r="H203" s="11" t="str">
        <f t="shared" si="15"/>
        <v>insert into ins_premium_det (premium_rcv_code,assorted_code, rec_amount,premium_rcv_detail_code,remaining_amt, payrec, mode_code,coinsurance_code,class_cd,it_remarks) values('12Mar250017','070000178096','9720',(select max(to_number(i.premium_rcv_detail_code))+1
from ins_premium_det i),'9720','9720','02', '11000003','00','Request by Mr. Saqib Saleem 12-Mar-2025');</v>
      </c>
    </row>
    <row r="204" spans="1:8" ht="105" x14ac:dyDescent="0.25">
      <c r="A204" s="1" t="s">
        <v>434</v>
      </c>
      <c r="B204" s="1" t="str">
        <f>VLOOKUP(A204,policy!B:C,2,0)</f>
        <v>070000178097</v>
      </c>
      <c r="C204" s="4">
        <v>4560</v>
      </c>
      <c r="D204" s="8">
        <f t="shared" si="13"/>
        <v>4560</v>
      </c>
      <c r="E204" s="12" t="s">
        <v>821</v>
      </c>
      <c r="F204" s="9" t="str">
        <f t="shared" si="12"/>
        <v>insert into ins_premium_det (premium_rcv_code,assorted_code, rec_amount,premium_rcv_detail_code,remaining_amt, payrec, mode_code,coinsurance_code,class_cd,it_remarks) values</v>
      </c>
      <c r="G204" s="10" t="str">
        <f t="shared" si="14"/>
        <v>('12Mar250017','070000178097','4560',(select max(to_number(i.premium_rcv_detail_code))+1
from ins_premium_det i),'4560','4560','02', '11000003','00','Request by Mr. Saqib Saleem 12-Mar-2025');</v>
      </c>
      <c r="H204" s="11" t="str">
        <f t="shared" si="15"/>
        <v>insert into ins_premium_det (premium_rcv_code,assorted_code, rec_amount,premium_rcv_detail_code,remaining_amt, payrec, mode_code,coinsurance_code,class_cd,it_remarks) values('12Mar250017','070000178097','4560',(select max(to_number(i.premium_rcv_detail_code))+1
from ins_premium_det i),'4560','4560','02', '11000003','00','Request by Mr. Saqib Saleem 12-Mar-2025');</v>
      </c>
    </row>
    <row r="205" spans="1:8" ht="105" x14ac:dyDescent="0.25">
      <c r="A205" s="1" t="s">
        <v>436</v>
      </c>
      <c r="B205" s="1" t="str">
        <f>VLOOKUP(A205,policy!B:C,2,0)</f>
        <v>070000178098</v>
      </c>
      <c r="C205" s="4">
        <v>4200</v>
      </c>
      <c r="D205" s="8">
        <f t="shared" si="13"/>
        <v>4200</v>
      </c>
      <c r="E205" s="12" t="s">
        <v>821</v>
      </c>
      <c r="F205" s="9" t="str">
        <f t="shared" si="12"/>
        <v>insert into ins_premium_det (premium_rcv_code,assorted_code, rec_amount,premium_rcv_detail_code,remaining_amt, payrec, mode_code,coinsurance_code,class_cd,it_remarks) values</v>
      </c>
      <c r="G205" s="10" t="str">
        <f t="shared" si="14"/>
        <v>('12Mar250017','070000178098','4200',(select max(to_number(i.premium_rcv_detail_code))+1
from ins_premium_det i),'4200','4200','02', '11000003','00','Request by Mr. Saqib Saleem 12-Mar-2025');</v>
      </c>
      <c r="H205" s="11" t="str">
        <f t="shared" si="15"/>
        <v>insert into ins_premium_det (premium_rcv_code,assorted_code, rec_amount,premium_rcv_detail_code,remaining_amt, payrec, mode_code,coinsurance_code,class_cd,it_remarks) values('12Mar250017','070000178098','4200',(select max(to_number(i.premium_rcv_detail_code))+1
from ins_premium_det i),'4200','4200','02', '11000003','00','Request by Mr. Saqib Saleem 12-Mar-2025');</v>
      </c>
    </row>
    <row r="206" spans="1:8" ht="105" x14ac:dyDescent="0.25">
      <c r="A206" s="1" t="s">
        <v>438</v>
      </c>
      <c r="B206" s="1" t="str">
        <f>VLOOKUP(A206,policy!B:C,2,0)</f>
        <v>070000178099</v>
      </c>
      <c r="C206" s="4">
        <v>4320</v>
      </c>
      <c r="D206" s="8">
        <f t="shared" si="13"/>
        <v>4320</v>
      </c>
      <c r="E206" s="12" t="s">
        <v>821</v>
      </c>
      <c r="F206" s="9" t="str">
        <f t="shared" si="12"/>
        <v>insert into ins_premium_det (premium_rcv_code,assorted_code, rec_amount,premium_rcv_detail_code,remaining_amt, payrec, mode_code,coinsurance_code,class_cd,it_remarks) values</v>
      </c>
      <c r="G206" s="10" t="str">
        <f t="shared" si="14"/>
        <v>('12Mar250017','070000178099','4320',(select max(to_number(i.premium_rcv_detail_code))+1
from ins_premium_det i),'4320','4320','02', '11000003','00','Request by Mr. Saqib Saleem 12-Mar-2025');</v>
      </c>
      <c r="H206" s="11" t="str">
        <f t="shared" si="15"/>
        <v>insert into ins_premium_det (premium_rcv_code,assorted_code, rec_amount,premium_rcv_detail_code,remaining_amt, payrec, mode_code,coinsurance_code,class_cd,it_remarks) values('12Mar250017','070000178099','4320',(select max(to_number(i.premium_rcv_detail_code))+1
from ins_premium_det i),'4320','4320','02', '11000003','00','Request by Mr. Saqib Saleem 12-Mar-2025');</v>
      </c>
    </row>
    <row r="207" spans="1:8" ht="105" x14ac:dyDescent="0.25">
      <c r="A207" s="1" t="s">
        <v>440</v>
      </c>
      <c r="B207" s="1" t="str">
        <f>VLOOKUP(A207,policy!B:C,2,0)</f>
        <v>070000178100</v>
      </c>
      <c r="C207" s="4">
        <v>4440</v>
      </c>
      <c r="D207" s="8">
        <f t="shared" si="13"/>
        <v>4440</v>
      </c>
      <c r="E207" s="12" t="s">
        <v>821</v>
      </c>
      <c r="F207" s="9" t="str">
        <f t="shared" si="12"/>
        <v>insert into ins_premium_det (premium_rcv_code,assorted_code, rec_amount,premium_rcv_detail_code,remaining_amt, payrec, mode_code,coinsurance_code,class_cd,it_remarks) values</v>
      </c>
      <c r="G207" s="10" t="str">
        <f t="shared" si="14"/>
        <v>('12Mar250017','070000178100','4440',(select max(to_number(i.premium_rcv_detail_code))+1
from ins_premium_det i),'4440','4440','02', '11000003','00','Request by Mr. Saqib Saleem 12-Mar-2025');</v>
      </c>
      <c r="H207" s="11" t="str">
        <f t="shared" si="15"/>
        <v>insert into ins_premium_det (premium_rcv_code,assorted_code, rec_amount,premium_rcv_detail_code,remaining_amt, payrec, mode_code,coinsurance_code,class_cd,it_remarks) values('12Mar250017','070000178100','4440',(select max(to_number(i.premium_rcv_detail_code))+1
from ins_premium_det i),'4440','4440','02', '11000003','00','Request by Mr. Saqib Saleem 12-Mar-2025');</v>
      </c>
    </row>
    <row r="208" spans="1:8" ht="105" x14ac:dyDescent="0.25">
      <c r="A208" s="1" t="s">
        <v>442</v>
      </c>
      <c r="B208" s="1" t="str">
        <f>VLOOKUP(A208,policy!B:C,2,0)</f>
        <v>070000178101</v>
      </c>
      <c r="C208" s="4">
        <v>4440</v>
      </c>
      <c r="D208" s="8">
        <f t="shared" si="13"/>
        <v>4440</v>
      </c>
      <c r="E208" s="12" t="s">
        <v>821</v>
      </c>
      <c r="F208" s="9" t="str">
        <f t="shared" si="12"/>
        <v>insert into ins_premium_det (premium_rcv_code,assorted_code, rec_amount,premium_rcv_detail_code,remaining_amt, payrec, mode_code,coinsurance_code,class_cd,it_remarks) values</v>
      </c>
      <c r="G208" s="10" t="str">
        <f t="shared" si="14"/>
        <v>('12Mar250017','070000178101','4440',(select max(to_number(i.premium_rcv_detail_code))+1
from ins_premium_det i),'4440','4440','02', '11000003','00','Request by Mr. Saqib Saleem 12-Mar-2025');</v>
      </c>
      <c r="H208" s="11" t="str">
        <f t="shared" si="15"/>
        <v>insert into ins_premium_det (premium_rcv_code,assorted_code, rec_amount,premium_rcv_detail_code,remaining_amt, payrec, mode_code,coinsurance_code,class_cd,it_remarks) values('12Mar250017','070000178101','4440',(select max(to_number(i.premium_rcv_detail_code))+1
from ins_premium_det i),'4440','4440','02', '11000003','00','Request by Mr. Saqib Saleem 12-Mar-2025');</v>
      </c>
    </row>
    <row r="209" spans="1:8" ht="105" x14ac:dyDescent="0.25">
      <c r="A209" s="1" t="s">
        <v>444</v>
      </c>
      <c r="B209" s="1" t="str">
        <f>VLOOKUP(A209,policy!B:C,2,0)</f>
        <v>070000178102</v>
      </c>
      <c r="C209" s="4">
        <v>2880</v>
      </c>
      <c r="D209" s="8">
        <f t="shared" si="13"/>
        <v>2880</v>
      </c>
      <c r="E209" s="12" t="s">
        <v>821</v>
      </c>
      <c r="F209" s="9" t="str">
        <f t="shared" si="12"/>
        <v>insert into ins_premium_det (premium_rcv_code,assorted_code, rec_amount,premium_rcv_detail_code,remaining_amt, payrec, mode_code,coinsurance_code,class_cd,it_remarks) values</v>
      </c>
      <c r="G209" s="10" t="str">
        <f t="shared" si="14"/>
        <v>('12Mar250017','070000178102','2880',(select max(to_number(i.premium_rcv_detail_code))+1
from ins_premium_det i),'2880','2880','02', '11000003','00','Request by Mr. Saqib Saleem 12-Mar-2025');</v>
      </c>
      <c r="H209" s="11" t="str">
        <f t="shared" si="15"/>
        <v>insert into ins_premium_det (premium_rcv_code,assorted_code, rec_amount,premium_rcv_detail_code,remaining_amt, payrec, mode_code,coinsurance_code,class_cd,it_remarks) values('12Mar250017','070000178102','2880',(select max(to_number(i.premium_rcv_detail_code))+1
from ins_premium_det i),'2880','2880','02', '11000003','00','Request by Mr. Saqib Saleem 12-Mar-2025');</v>
      </c>
    </row>
    <row r="210" spans="1:8" ht="105" x14ac:dyDescent="0.25">
      <c r="A210" s="1" t="s">
        <v>446</v>
      </c>
      <c r="B210" s="1" t="str">
        <f>VLOOKUP(A210,policy!B:C,2,0)</f>
        <v>070000178103</v>
      </c>
      <c r="C210" s="4">
        <v>14880</v>
      </c>
      <c r="D210" s="8">
        <f t="shared" si="13"/>
        <v>14880</v>
      </c>
      <c r="E210" s="12" t="s">
        <v>821</v>
      </c>
      <c r="F210" s="9" t="str">
        <f t="shared" si="12"/>
        <v>insert into ins_premium_det (premium_rcv_code,assorted_code, rec_amount,premium_rcv_detail_code,remaining_amt, payrec, mode_code,coinsurance_code,class_cd,it_remarks) values</v>
      </c>
      <c r="G210" s="10" t="str">
        <f t="shared" si="14"/>
        <v>('12Mar250017','070000178103','14880',(select max(to_number(i.premium_rcv_detail_code))+1
from ins_premium_det i),'14880','14880','02', '11000003','00','Request by Mr. Saqib Saleem 12-Mar-2025');</v>
      </c>
      <c r="H210" s="11" t="str">
        <f t="shared" si="15"/>
        <v>insert into ins_premium_det (premium_rcv_code,assorted_code, rec_amount,premium_rcv_detail_code,remaining_amt, payrec, mode_code,coinsurance_code,class_cd,it_remarks) values('12Mar250017','070000178103','14880',(select max(to_number(i.premium_rcv_detail_code))+1
from ins_premium_det i),'14880','14880','02', '11000003','00','Request by Mr. Saqib Saleem 12-Mar-2025');</v>
      </c>
    </row>
    <row r="211" spans="1:8" ht="105" x14ac:dyDescent="0.25">
      <c r="A211" s="1" t="s">
        <v>448</v>
      </c>
      <c r="B211" s="1" t="str">
        <f>VLOOKUP(A211,policy!B:C,2,0)</f>
        <v>070000178104</v>
      </c>
      <c r="C211" s="4">
        <v>8880</v>
      </c>
      <c r="D211" s="8">
        <f t="shared" si="13"/>
        <v>8880</v>
      </c>
      <c r="E211" s="12" t="s">
        <v>821</v>
      </c>
      <c r="F211" s="9" t="str">
        <f t="shared" si="12"/>
        <v>insert into ins_premium_det (premium_rcv_code,assorted_code, rec_amount,premium_rcv_detail_code,remaining_amt, payrec, mode_code,coinsurance_code,class_cd,it_remarks) values</v>
      </c>
      <c r="G211" s="10" t="str">
        <f t="shared" si="14"/>
        <v>('12Mar250017','070000178104','8880',(select max(to_number(i.premium_rcv_detail_code))+1
from ins_premium_det i),'8880','8880','02', '11000003','00','Request by Mr. Saqib Saleem 12-Mar-2025');</v>
      </c>
      <c r="H211" s="11" t="str">
        <f t="shared" si="15"/>
        <v>insert into ins_premium_det (premium_rcv_code,assorted_code, rec_amount,premium_rcv_detail_code,remaining_amt, payrec, mode_code,coinsurance_code,class_cd,it_remarks) values('12Mar250017','070000178104','8880',(select max(to_number(i.premium_rcv_detail_code))+1
from ins_premium_det i),'8880','8880','02', '11000003','00','Request by Mr. Saqib Saleem 12-Mar-2025');</v>
      </c>
    </row>
    <row r="212" spans="1:8" ht="105" x14ac:dyDescent="0.25">
      <c r="A212" s="1" t="s">
        <v>450</v>
      </c>
      <c r="B212" s="1" t="str">
        <f>VLOOKUP(A212,policy!B:C,2,0)</f>
        <v>070000178105</v>
      </c>
      <c r="C212" s="4">
        <v>7200</v>
      </c>
      <c r="D212" s="8">
        <f t="shared" si="13"/>
        <v>7200</v>
      </c>
      <c r="E212" s="12" t="s">
        <v>821</v>
      </c>
      <c r="F212" s="9" t="str">
        <f t="shared" si="12"/>
        <v>insert into ins_premium_det (premium_rcv_code,assorted_code, rec_amount,premium_rcv_detail_code,remaining_amt, payrec, mode_code,coinsurance_code,class_cd,it_remarks) values</v>
      </c>
      <c r="G212" s="10" t="str">
        <f t="shared" si="14"/>
        <v>('12Mar250017','070000178105','7200',(select max(to_number(i.premium_rcv_detail_code))+1
from ins_premium_det i),'7200','7200','02', '11000003','00','Request by Mr. Saqib Saleem 12-Mar-2025');</v>
      </c>
      <c r="H212" s="11" t="str">
        <f t="shared" si="15"/>
        <v>insert into ins_premium_det (premium_rcv_code,assorted_code, rec_amount,premium_rcv_detail_code,remaining_amt, payrec, mode_code,coinsurance_code,class_cd,it_remarks) values('12Mar250017','070000178105','7200',(select max(to_number(i.premium_rcv_detail_code))+1
from ins_premium_det i),'7200','7200','02', '11000003','00','Request by Mr. Saqib Saleem 12-Mar-2025');</v>
      </c>
    </row>
    <row r="213" spans="1:8" ht="105" x14ac:dyDescent="0.25">
      <c r="A213" s="1" t="s">
        <v>452</v>
      </c>
      <c r="B213" s="1" t="str">
        <f>VLOOKUP(A213,policy!B:C,2,0)</f>
        <v>070000178106</v>
      </c>
      <c r="C213" s="4">
        <v>4560</v>
      </c>
      <c r="D213" s="8">
        <f t="shared" si="13"/>
        <v>4560</v>
      </c>
      <c r="E213" s="12" t="s">
        <v>821</v>
      </c>
      <c r="F213" s="9" t="str">
        <f t="shared" si="12"/>
        <v>insert into ins_premium_det (premium_rcv_code,assorted_code, rec_amount,premium_rcv_detail_code,remaining_amt, payrec, mode_code,coinsurance_code,class_cd,it_remarks) values</v>
      </c>
      <c r="G213" s="10" t="str">
        <f t="shared" si="14"/>
        <v>('12Mar250017','070000178106','4560',(select max(to_number(i.premium_rcv_detail_code))+1
from ins_premium_det i),'4560','4560','02', '11000003','00','Request by Mr. Saqib Saleem 12-Mar-2025');</v>
      </c>
      <c r="H213" s="11" t="str">
        <f t="shared" si="15"/>
        <v>insert into ins_premium_det (premium_rcv_code,assorted_code, rec_amount,premium_rcv_detail_code,remaining_amt, payrec, mode_code,coinsurance_code,class_cd,it_remarks) values('12Mar250017','070000178106','4560',(select max(to_number(i.premium_rcv_detail_code))+1
from ins_premium_det i),'4560','4560','02', '11000003','00','Request by Mr. Saqib Saleem 12-Mar-2025');</v>
      </c>
    </row>
    <row r="214" spans="1:8" ht="105" x14ac:dyDescent="0.25">
      <c r="A214" s="1" t="s">
        <v>454</v>
      </c>
      <c r="B214" s="1" t="str">
        <f>VLOOKUP(A214,policy!B:C,2,0)</f>
        <v>070000178107</v>
      </c>
      <c r="C214" s="4">
        <v>3599</v>
      </c>
      <c r="D214" s="8">
        <f t="shared" si="13"/>
        <v>3599</v>
      </c>
      <c r="E214" s="12" t="s">
        <v>821</v>
      </c>
      <c r="F214" s="9" t="str">
        <f t="shared" si="12"/>
        <v>insert into ins_premium_det (premium_rcv_code,assorted_code, rec_amount,premium_rcv_detail_code,remaining_amt, payrec, mode_code,coinsurance_code,class_cd,it_remarks) values</v>
      </c>
      <c r="G214" s="10" t="str">
        <f t="shared" si="14"/>
        <v>('12Mar250017','070000178107','3599',(select max(to_number(i.premium_rcv_detail_code))+1
from ins_premium_det i),'3599','3599','02', '11000003','00','Request by Mr. Saqib Saleem 12-Mar-2025');</v>
      </c>
      <c r="H214" s="11" t="str">
        <f t="shared" si="15"/>
        <v>insert into ins_premium_det (premium_rcv_code,assorted_code, rec_amount,premium_rcv_detail_code,remaining_amt, payrec, mode_code,coinsurance_code,class_cd,it_remarks) values('12Mar250017','070000178107','3599',(select max(to_number(i.premium_rcv_detail_code))+1
from ins_premium_det i),'3599','3599','02', '11000003','00','Request by Mr. Saqib Saleem 12-Mar-2025');</v>
      </c>
    </row>
    <row r="215" spans="1:8" ht="105" x14ac:dyDescent="0.25">
      <c r="A215" s="1" t="s">
        <v>456</v>
      </c>
      <c r="B215" s="1" t="str">
        <f>VLOOKUP(A215,policy!B:C,2,0)</f>
        <v>070000178108</v>
      </c>
      <c r="C215" s="4">
        <v>4200</v>
      </c>
      <c r="D215" s="8">
        <f t="shared" si="13"/>
        <v>4200</v>
      </c>
      <c r="E215" s="12" t="s">
        <v>821</v>
      </c>
      <c r="F215" s="9" t="str">
        <f t="shared" si="12"/>
        <v>insert into ins_premium_det (premium_rcv_code,assorted_code, rec_amount,premium_rcv_detail_code,remaining_amt, payrec, mode_code,coinsurance_code,class_cd,it_remarks) values</v>
      </c>
      <c r="G215" s="10" t="str">
        <f t="shared" si="14"/>
        <v>('12Mar250017','070000178108','4200',(select max(to_number(i.premium_rcv_detail_code))+1
from ins_premium_det i),'4200','4200','02', '11000003','00','Request by Mr. Saqib Saleem 12-Mar-2025');</v>
      </c>
      <c r="H215" s="11" t="str">
        <f t="shared" si="15"/>
        <v>insert into ins_premium_det (premium_rcv_code,assorted_code, rec_amount,premium_rcv_detail_code,remaining_amt, payrec, mode_code,coinsurance_code,class_cd,it_remarks) values('12Mar250017','070000178108','4200',(select max(to_number(i.premium_rcv_detail_code))+1
from ins_premium_det i),'4200','4200','02', '11000003','00','Request by Mr. Saqib Saleem 12-Mar-2025');</v>
      </c>
    </row>
    <row r="216" spans="1:8" ht="105" x14ac:dyDescent="0.25">
      <c r="A216" s="1" t="s">
        <v>458</v>
      </c>
      <c r="B216" s="1" t="str">
        <f>VLOOKUP(A216,policy!B:C,2,0)</f>
        <v>070000178109</v>
      </c>
      <c r="C216" s="4">
        <v>8040</v>
      </c>
      <c r="D216" s="8">
        <f t="shared" si="13"/>
        <v>8040</v>
      </c>
      <c r="E216" s="12" t="s">
        <v>821</v>
      </c>
      <c r="F216" s="9" t="str">
        <f t="shared" si="12"/>
        <v>insert into ins_premium_det (premium_rcv_code,assorted_code, rec_amount,premium_rcv_detail_code,remaining_amt, payrec, mode_code,coinsurance_code,class_cd,it_remarks) values</v>
      </c>
      <c r="G216" s="10" t="str">
        <f t="shared" si="14"/>
        <v>('12Mar250017','070000178109','8040',(select max(to_number(i.premium_rcv_detail_code))+1
from ins_premium_det i),'8040','8040','02', '11000003','00','Request by Mr. Saqib Saleem 12-Mar-2025');</v>
      </c>
      <c r="H216" s="11" t="str">
        <f t="shared" si="15"/>
        <v>insert into ins_premium_det (premium_rcv_code,assorted_code, rec_amount,premium_rcv_detail_code,remaining_amt, payrec, mode_code,coinsurance_code,class_cd,it_remarks) values('12Mar250017','070000178109','8040',(select max(to_number(i.premium_rcv_detail_code))+1
from ins_premium_det i),'8040','8040','02', '11000003','00','Request by Mr. Saqib Saleem 12-Mar-2025');</v>
      </c>
    </row>
    <row r="217" spans="1:8" ht="105" x14ac:dyDescent="0.25">
      <c r="A217" s="1" t="s">
        <v>460</v>
      </c>
      <c r="B217" s="1" t="str">
        <f>VLOOKUP(A217,policy!B:C,2,0)</f>
        <v>070000178110</v>
      </c>
      <c r="C217" s="4">
        <v>14880</v>
      </c>
      <c r="D217" s="8">
        <f t="shared" si="13"/>
        <v>14880</v>
      </c>
      <c r="E217" s="12" t="s">
        <v>821</v>
      </c>
      <c r="F217" s="9" t="str">
        <f t="shared" si="12"/>
        <v>insert into ins_premium_det (premium_rcv_code,assorted_code, rec_amount,premium_rcv_detail_code,remaining_amt, payrec, mode_code,coinsurance_code,class_cd,it_remarks) values</v>
      </c>
      <c r="G217" s="10" t="str">
        <f t="shared" si="14"/>
        <v>('12Mar250017','070000178110','14880',(select max(to_number(i.premium_rcv_detail_code))+1
from ins_premium_det i),'14880','14880','02', '11000003','00','Request by Mr. Saqib Saleem 12-Mar-2025');</v>
      </c>
      <c r="H217" s="11" t="str">
        <f t="shared" si="15"/>
        <v>insert into ins_premium_det (premium_rcv_code,assorted_code, rec_amount,premium_rcv_detail_code,remaining_amt, payrec, mode_code,coinsurance_code,class_cd,it_remarks) values('12Mar250017','070000178110','14880',(select max(to_number(i.premium_rcv_detail_code))+1
from ins_premium_det i),'14880','14880','02', '11000003','00','Request by Mr. Saqib Saleem 12-Mar-2025');</v>
      </c>
    </row>
    <row r="218" spans="1:8" ht="105" x14ac:dyDescent="0.25">
      <c r="A218" s="1" t="s">
        <v>462</v>
      </c>
      <c r="B218" s="1" t="str">
        <f>VLOOKUP(A218,policy!B:C,2,0)</f>
        <v>070000178111</v>
      </c>
      <c r="C218" s="4">
        <v>8280</v>
      </c>
      <c r="D218" s="8">
        <f t="shared" si="13"/>
        <v>8280</v>
      </c>
      <c r="E218" s="12" t="s">
        <v>821</v>
      </c>
      <c r="F218" s="9" t="str">
        <f t="shared" si="12"/>
        <v>insert into ins_premium_det (premium_rcv_code,assorted_code, rec_amount,premium_rcv_detail_code,remaining_amt, payrec, mode_code,coinsurance_code,class_cd,it_remarks) values</v>
      </c>
      <c r="G218" s="10" t="str">
        <f t="shared" si="14"/>
        <v>('12Mar250017','070000178111','8280',(select max(to_number(i.premium_rcv_detail_code))+1
from ins_premium_det i),'8280','8280','02', '11000003','00','Request by Mr. Saqib Saleem 12-Mar-2025');</v>
      </c>
      <c r="H218" s="11" t="str">
        <f t="shared" si="15"/>
        <v>insert into ins_premium_det (premium_rcv_code,assorted_code, rec_amount,premium_rcv_detail_code,remaining_amt, payrec, mode_code,coinsurance_code,class_cd,it_remarks) values('12Mar250017','070000178111','8280',(select max(to_number(i.premium_rcv_detail_code))+1
from ins_premium_det i),'8280','8280','02', '11000003','00','Request by Mr. Saqib Saleem 12-Mar-2025');</v>
      </c>
    </row>
    <row r="219" spans="1:8" ht="105" x14ac:dyDescent="0.25">
      <c r="A219" s="1" t="s">
        <v>464</v>
      </c>
      <c r="B219" s="1" t="str">
        <f>VLOOKUP(A219,policy!B:C,2,0)</f>
        <v>070000178112</v>
      </c>
      <c r="C219" s="4">
        <v>5400</v>
      </c>
      <c r="D219" s="8">
        <f t="shared" si="13"/>
        <v>5400</v>
      </c>
      <c r="E219" s="12" t="s">
        <v>821</v>
      </c>
      <c r="F219" s="9" t="str">
        <f t="shared" si="12"/>
        <v>insert into ins_premium_det (premium_rcv_code,assorted_code, rec_amount,premium_rcv_detail_code,remaining_amt, payrec, mode_code,coinsurance_code,class_cd,it_remarks) values</v>
      </c>
      <c r="G219" s="10" t="str">
        <f t="shared" si="14"/>
        <v>('12Mar250017','070000178112','5400',(select max(to_number(i.premium_rcv_detail_code))+1
from ins_premium_det i),'5400','5400','02', '11000003','00','Request by Mr. Saqib Saleem 12-Mar-2025');</v>
      </c>
      <c r="H219" s="11" t="str">
        <f t="shared" si="15"/>
        <v>insert into ins_premium_det (premium_rcv_code,assorted_code, rec_amount,premium_rcv_detail_code,remaining_amt, payrec, mode_code,coinsurance_code,class_cd,it_remarks) values('12Mar250017','070000178112','5400',(select max(to_number(i.premium_rcv_detail_code))+1
from ins_premium_det i),'5400','5400','02', '11000003','00','Request by Mr. Saqib Saleem 12-Mar-2025');</v>
      </c>
    </row>
    <row r="220" spans="1:8" ht="105" x14ac:dyDescent="0.25">
      <c r="A220" s="1" t="s">
        <v>465</v>
      </c>
      <c r="B220" s="1" t="str">
        <f>VLOOKUP(A220,policy!B:C,2,0)</f>
        <v>070000178113</v>
      </c>
      <c r="C220" s="4">
        <v>4200</v>
      </c>
      <c r="D220" s="8">
        <f t="shared" si="13"/>
        <v>4200</v>
      </c>
      <c r="E220" s="12" t="s">
        <v>821</v>
      </c>
      <c r="F220" s="9" t="str">
        <f t="shared" si="12"/>
        <v>insert into ins_premium_det (premium_rcv_code,assorted_code, rec_amount,premium_rcv_detail_code,remaining_amt, payrec, mode_code,coinsurance_code,class_cd,it_remarks) values</v>
      </c>
      <c r="G220" s="10" t="str">
        <f t="shared" si="14"/>
        <v>('12Mar250017','070000178113','4200',(select max(to_number(i.premium_rcv_detail_code))+1
from ins_premium_det i),'4200','4200','02', '11000003','00','Request by Mr. Saqib Saleem 12-Mar-2025');</v>
      </c>
      <c r="H220" s="11" t="str">
        <f t="shared" si="15"/>
        <v>insert into ins_premium_det (premium_rcv_code,assorted_code, rec_amount,premium_rcv_detail_code,remaining_amt, payrec, mode_code,coinsurance_code,class_cd,it_remarks) values('12Mar250017','070000178113','4200',(select max(to_number(i.premium_rcv_detail_code))+1
from ins_premium_det i),'4200','4200','02', '11000003','00','Request by Mr. Saqib Saleem 12-Mar-2025');</v>
      </c>
    </row>
    <row r="221" spans="1:8" ht="105" x14ac:dyDescent="0.25">
      <c r="A221" s="1" t="s">
        <v>466</v>
      </c>
      <c r="B221" s="1" t="str">
        <f>VLOOKUP(A221,policy!B:C,2,0)</f>
        <v>070000178114</v>
      </c>
      <c r="C221" s="4">
        <v>9720</v>
      </c>
      <c r="D221" s="8">
        <f t="shared" si="13"/>
        <v>9720</v>
      </c>
      <c r="E221" s="12" t="s">
        <v>821</v>
      </c>
      <c r="F221" s="9" t="str">
        <f t="shared" si="12"/>
        <v>insert into ins_premium_det (premium_rcv_code,assorted_code, rec_amount,premium_rcv_detail_code,remaining_amt, payrec, mode_code,coinsurance_code,class_cd,it_remarks) values</v>
      </c>
      <c r="G221" s="10" t="str">
        <f t="shared" si="14"/>
        <v>('12Mar250017','070000178114','9720',(select max(to_number(i.premium_rcv_detail_code))+1
from ins_premium_det i),'9720','9720','02', '11000003','00','Request by Mr. Saqib Saleem 12-Mar-2025');</v>
      </c>
      <c r="H221" s="11" t="str">
        <f t="shared" si="15"/>
        <v>insert into ins_premium_det (premium_rcv_code,assorted_code, rec_amount,premium_rcv_detail_code,remaining_amt, payrec, mode_code,coinsurance_code,class_cd,it_remarks) values('12Mar250017','070000178114','9720',(select max(to_number(i.premium_rcv_detail_code))+1
from ins_premium_det i),'9720','9720','02', '11000003','00','Request by Mr. Saqib Saleem 12-Mar-2025');</v>
      </c>
    </row>
    <row r="222" spans="1:8" ht="105" x14ac:dyDescent="0.25">
      <c r="A222" s="1" t="s">
        <v>468</v>
      </c>
      <c r="B222" s="1" t="str">
        <f>VLOOKUP(A222,policy!B:C,2,0)</f>
        <v>070000178115</v>
      </c>
      <c r="C222" s="4">
        <v>8639</v>
      </c>
      <c r="D222" s="8">
        <f t="shared" si="13"/>
        <v>8639</v>
      </c>
      <c r="E222" s="12" t="s">
        <v>821</v>
      </c>
      <c r="F222" s="9" t="str">
        <f t="shared" si="12"/>
        <v>insert into ins_premium_det (premium_rcv_code,assorted_code, rec_amount,premium_rcv_detail_code,remaining_amt, payrec, mode_code,coinsurance_code,class_cd,it_remarks) values</v>
      </c>
      <c r="G222" s="10" t="str">
        <f t="shared" si="14"/>
        <v>('12Mar250017','070000178115','8639',(select max(to_number(i.premium_rcv_detail_code))+1
from ins_premium_det i),'8639','8639','02', '11000003','00','Request by Mr. Saqib Saleem 12-Mar-2025');</v>
      </c>
      <c r="H222" s="11" t="str">
        <f t="shared" si="15"/>
        <v>insert into ins_premium_det (premium_rcv_code,assorted_code, rec_amount,premium_rcv_detail_code,remaining_amt, payrec, mode_code,coinsurance_code,class_cd,it_remarks) values('12Mar250017','070000178115','8639',(select max(to_number(i.premium_rcv_detail_code))+1
from ins_premium_det i),'8639','8639','02', '11000003','00','Request by Mr. Saqib Saleem 12-Mar-2025');</v>
      </c>
    </row>
    <row r="223" spans="1:8" ht="105" x14ac:dyDescent="0.25">
      <c r="A223" s="1" t="s">
        <v>470</v>
      </c>
      <c r="B223" s="1" t="str">
        <f>VLOOKUP(A223,policy!B:C,2,0)</f>
        <v>070000178116</v>
      </c>
      <c r="C223" s="4">
        <v>12119</v>
      </c>
      <c r="D223" s="8">
        <f t="shared" si="13"/>
        <v>12119</v>
      </c>
      <c r="E223" s="12" t="s">
        <v>821</v>
      </c>
      <c r="F223" s="9" t="str">
        <f t="shared" si="12"/>
        <v>insert into ins_premium_det (premium_rcv_code,assorted_code, rec_amount,premium_rcv_detail_code,remaining_amt, payrec, mode_code,coinsurance_code,class_cd,it_remarks) values</v>
      </c>
      <c r="G223" s="10" t="str">
        <f t="shared" si="14"/>
        <v>('12Mar250017','070000178116','12119',(select max(to_number(i.premium_rcv_detail_code))+1
from ins_premium_det i),'12119','12119','02', '11000003','00','Request by Mr. Saqib Saleem 12-Mar-2025');</v>
      </c>
      <c r="H223" s="11" t="str">
        <f t="shared" si="15"/>
        <v>insert into ins_premium_det (premium_rcv_code,assorted_code, rec_amount,premium_rcv_detail_code,remaining_amt, payrec, mode_code,coinsurance_code,class_cd,it_remarks) values('12Mar250017','070000178116','12119',(select max(to_number(i.premium_rcv_detail_code))+1
from ins_premium_det i),'12119','12119','02', '11000003','00','Request by Mr. Saqib Saleem 12-Mar-2025');</v>
      </c>
    </row>
    <row r="224" spans="1:8" ht="105" x14ac:dyDescent="0.25">
      <c r="A224" s="1" t="s">
        <v>472</v>
      </c>
      <c r="B224" s="1" t="str">
        <f>VLOOKUP(A224,policy!B:C,2,0)</f>
        <v>070000178117</v>
      </c>
      <c r="C224" s="4">
        <v>5640</v>
      </c>
      <c r="D224" s="8">
        <f t="shared" si="13"/>
        <v>5640</v>
      </c>
      <c r="E224" s="12" t="s">
        <v>821</v>
      </c>
      <c r="F224" s="9" t="str">
        <f t="shared" si="12"/>
        <v>insert into ins_premium_det (premium_rcv_code,assorted_code, rec_amount,premium_rcv_detail_code,remaining_amt, payrec, mode_code,coinsurance_code,class_cd,it_remarks) values</v>
      </c>
      <c r="G224" s="10" t="str">
        <f t="shared" si="14"/>
        <v>('12Mar250017','070000178117','5640',(select max(to_number(i.premium_rcv_detail_code))+1
from ins_premium_det i),'5640','5640','02', '11000003','00','Request by Mr. Saqib Saleem 12-Mar-2025');</v>
      </c>
      <c r="H224" s="11" t="str">
        <f t="shared" si="15"/>
        <v>insert into ins_premium_det (premium_rcv_code,assorted_code, rec_amount,premium_rcv_detail_code,remaining_amt, payrec, mode_code,coinsurance_code,class_cd,it_remarks) values('12Mar250017','070000178117','5640',(select max(to_number(i.premium_rcv_detail_code))+1
from ins_premium_det i),'5640','5640','02', '11000003','00','Request by Mr. Saqib Saleem 12-Mar-2025');</v>
      </c>
    </row>
    <row r="225" spans="1:8" ht="105" x14ac:dyDescent="0.25">
      <c r="A225" s="1" t="s">
        <v>474</v>
      </c>
      <c r="B225" s="1" t="str">
        <f>VLOOKUP(A225,policy!B:C,2,0)</f>
        <v>070000178118</v>
      </c>
      <c r="C225" s="4">
        <v>6120</v>
      </c>
      <c r="D225" s="8">
        <f t="shared" si="13"/>
        <v>6120</v>
      </c>
      <c r="E225" s="12" t="s">
        <v>821</v>
      </c>
      <c r="F225" s="9" t="str">
        <f t="shared" si="12"/>
        <v>insert into ins_premium_det (premium_rcv_code,assorted_code, rec_amount,premium_rcv_detail_code,remaining_amt, payrec, mode_code,coinsurance_code,class_cd,it_remarks) values</v>
      </c>
      <c r="G225" s="10" t="str">
        <f t="shared" si="14"/>
        <v>('12Mar250017','070000178118','6120',(select max(to_number(i.premium_rcv_detail_code))+1
from ins_premium_det i),'6120','6120','02', '11000003','00','Request by Mr. Saqib Saleem 12-Mar-2025');</v>
      </c>
      <c r="H225" s="11" t="str">
        <f t="shared" si="15"/>
        <v>insert into ins_premium_det (premium_rcv_code,assorted_code, rec_amount,premium_rcv_detail_code,remaining_amt, payrec, mode_code,coinsurance_code,class_cd,it_remarks) values('12Mar250017','070000178118','6120',(select max(to_number(i.premium_rcv_detail_code))+1
from ins_premium_det i),'6120','6120','02', '11000003','00','Request by Mr. Saqib Saleem 12-Mar-2025');</v>
      </c>
    </row>
    <row r="226" spans="1:8" ht="105" x14ac:dyDescent="0.25">
      <c r="A226" s="1" t="s">
        <v>476</v>
      </c>
      <c r="B226" s="1" t="str">
        <f>VLOOKUP(A226,policy!B:C,2,0)</f>
        <v>070000178119</v>
      </c>
      <c r="C226" s="4">
        <v>5040</v>
      </c>
      <c r="D226" s="8">
        <f t="shared" si="13"/>
        <v>5040</v>
      </c>
      <c r="E226" s="12" t="s">
        <v>821</v>
      </c>
      <c r="F226" s="9" t="str">
        <f t="shared" si="12"/>
        <v>insert into ins_premium_det (premium_rcv_code,assorted_code, rec_amount,premium_rcv_detail_code,remaining_amt, payrec, mode_code,coinsurance_code,class_cd,it_remarks) values</v>
      </c>
      <c r="G226" s="10" t="str">
        <f t="shared" si="14"/>
        <v>('12Mar250017','070000178119','5040',(select max(to_number(i.premium_rcv_detail_code))+1
from ins_premium_det i),'5040','5040','02', '11000003','00','Request by Mr. Saqib Saleem 12-Mar-2025');</v>
      </c>
      <c r="H226" s="11" t="str">
        <f t="shared" si="15"/>
        <v>insert into ins_premium_det (premium_rcv_code,assorted_code, rec_amount,premium_rcv_detail_code,remaining_amt, payrec, mode_code,coinsurance_code,class_cd,it_remarks) values('12Mar250017','070000178119','5040',(select max(to_number(i.premium_rcv_detail_code))+1
from ins_premium_det i),'5040','5040','02', '11000003','00','Request by Mr. Saqib Saleem 12-Mar-2025');</v>
      </c>
    </row>
    <row r="227" spans="1:8" ht="105" x14ac:dyDescent="0.25">
      <c r="A227" s="1" t="s">
        <v>478</v>
      </c>
      <c r="B227" s="1" t="str">
        <f>VLOOKUP(A227,policy!B:C,2,0)</f>
        <v>070000178120</v>
      </c>
      <c r="C227" s="4">
        <v>4560</v>
      </c>
      <c r="D227" s="8">
        <f t="shared" si="13"/>
        <v>4560</v>
      </c>
      <c r="E227" s="12" t="s">
        <v>821</v>
      </c>
      <c r="F227" s="9" t="str">
        <f t="shared" si="12"/>
        <v>insert into ins_premium_det (premium_rcv_code,assorted_code, rec_amount,premium_rcv_detail_code,remaining_amt, payrec, mode_code,coinsurance_code,class_cd,it_remarks) values</v>
      </c>
      <c r="G227" s="10" t="str">
        <f t="shared" si="14"/>
        <v>('12Mar250017','070000178120','4560',(select max(to_number(i.premium_rcv_detail_code))+1
from ins_premium_det i),'4560','4560','02', '11000003','00','Request by Mr. Saqib Saleem 12-Mar-2025');</v>
      </c>
      <c r="H227" s="11" t="str">
        <f t="shared" si="15"/>
        <v>insert into ins_premium_det (premium_rcv_code,assorted_code, rec_amount,premium_rcv_detail_code,remaining_amt, payrec, mode_code,coinsurance_code,class_cd,it_remarks) values('12Mar250017','070000178120','4560',(select max(to_number(i.premium_rcv_detail_code))+1
from ins_premium_det i),'4560','4560','02', '11000003','00','Request by Mr. Saqib Saleem 12-Mar-2025');</v>
      </c>
    </row>
    <row r="228" spans="1:8" ht="105" x14ac:dyDescent="0.25">
      <c r="A228" s="1" t="s">
        <v>480</v>
      </c>
      <c r="B228" s="1" t="str">
        <f>VLOOKUP(A228,policy!B:C,2,0)</f>
        <v>070000178121</v>
      </c>
      <c r="C228" s="4">
        <v>5640</v>
      </c>
      <c r="D228" s="8">
        <f t="shared" si="13"/>
        <v>5640</v>
      </c>
      <c r="E228" s="12" t="s">
        <v>821</v>
      </c>
      <c r="F228" s="9" t="str">
        <f t="shared" si="12"/>
        <v>insert into ins_premium_det (premium_rcv_code,assorted_code, rec_amount,premium_rcv_detail_code,remaining_amt, payrec, mode_code,coinsurance_code,class_cd,it_remarks) values</v>
      </c>
      <c r="G228" s="10" t="str">
        <f t="shared" si="14"/>
        <v>('12Mar250017','070000178121','5640',(select max(to_number(i.premium_rcv_detail_code))+1
from ins_premium_det i),'5640','5640','02', '11000003','00','Request by Mr. Saqib Saleem 12-Mar-2025');</v>
      </c>
      <c r="H228" s="11" t="str">
        <f t="shared" si="15"/>
        <v>insert into ins_premium_det (premium_rcv_code,assorted_code, rec_amount,premium_rcv_detail_code,remaining_amt, payrec, mode_code,coinsurance_code,class_cd,it_remarks) values('12Mar250017','070000178121','5640',(select max(to_number(i.premium_rcv_detail_code))+1
from ins_premium_det i),'5640','5640','02', '11000003','00','Request by Mr. Saqib Saleem 12-Mar-2025');</v>
      </c>
    </row>
    <row r="229" spans="1:8" ht="105" x14ac:dyDescent="0.25">
      <c r="A229" s="1" t="s">
        <v>482</v>
      </c>
      <c r="B229" s="1" t="str">
        <f>VLOOKUP(A229,policy!B:C,2,0)</f>
        <v>070000178122</v>
      </c>
      <c r="C229" s="4">
        <v>12360</v>
      </c>
      <c r="D229" s="8">
        <f t="shared" si="13"/>
        <v>12360</v>
      </c>
      <c r="E229" s="12" t="s">
        <v>821</v>
      </c>
      <c r="F229" s="9" t="str">
        <f t="shared" si="12"/>
        <v>insert into ins_premium_det (premium_rcv_code,assorted_code, rec_amount,premium_rcv_detail_code,remaining_amt, payrec, mode_code,coinsurance_code,class_cd,it_remarks) values</v>
      </c>
      <c r="G229" s="10" t="str">
        <f t="shared" si="14"/>
        <v>('12Mar250017','070000178122','12360',(select max(to_number(i.premium_rcv_detail_code))+1
from ins_premium_det i),'12360','12360','02', '11000003','00','Request by Mr. Saqib Saleem 12-Mar-2025');</v>
      </c>
      <c r="H229" s="11" t="str">
        <f t="shared" si="15"/>
        <v>insert into ins_premium_det (premium_rcv_code,assorted_code, rec_amount,premium_rcv_detail_code,remaining_amt, payrec, mode_code,coinsurance_code,class_cd,it_remarks) values('12Mar250017','070000178122','12360',(select max(to_number(i.premium_rcv_detail_code))+1
from ins_premium_det i),'12360','12360','02', '11000003','00','Request by Mr. Saqib Saleem 12-Mar-2025');</v>
      </c>
    </row>
    <row r="230" spans="1:8" ht="105" x14ac:dyDescent="0.25">
      <c r="A230" s="1" t="s">
        <v>484</v>
      </c>
      <c r="B230" s="1" t="str">
        <f>VLOOKUP(A230,policy!B:C,2,0)</f>
        <v>070000178123</v>
      </c>
      <c r="C230" s="4">
        <v>12119</v>
      </c>
      <c r="D230" s="8">
        <f t="shared" si="13"/>
        <v>12119</v>
      </c>
      <c r="E230" s="12" t="s">
        <v>821</v>
      </c>
      <c r="F230" s="9" t="str">
        <f t="shared" si="12"/>
        <v>insert into ins_premium_det (premium_rcv_code,assorted_code, rec_amount,premium_rcv_detail_code,remaining_amt, payrec, mode_code,coinsurance_code,class_cd,it_remarks) values</v>
      </c>
      <c r="G230" s="10" t="str">
        <f t="shared" si="14"/>
        <v>('12Mar250017','070000178123','12119',(select max(to_number(i.premium_rcv_detail_code))+1
from ins_premium_det i),'12119','12119','02', '11000003','00','Request by Mr. Saqib Saleem 12-Mar-2025');</v>
      </c>
      <c r="H230" s="11" t="str">
        <f t="shared" si="15"/>
        <v>insert into ins_premium_det (premium_rcv_code,assorted_code, rec_amount,premium_rcv_detail_code,remaining_amt, payrec, mode_code,coinsurance_code,class_cd,it_remarks) values('12Mar250017','070000178123','12119',(select max(to_number(i.premium_rcv_detail_code))+1
from ins_premium_det i),'12119','12119','02', '11000003','00','Request by Mr. Saqib Saleem 12-Mar-2025');</v>
      </c>
    </row>
    <row r="231" spans="1:8" ht="105" x14ac:dyDescent="0.25">
      <c r="A231" s="1" t="s">
        <v>486</v>
      </c>
      <c r="B231" s="1" t="str">
        <f>VLOOKUP(A231,policy!B:C,2,0)</f>
        <v>070000178124</v>
      </c>
      <c r="C231" s="4">
        <v>10440</v>
      </c>
      <c r="D231" s="8">
        <f t="shared" si="13"/>
        <v>10440</v>
      </c>
      <c r="E231" s="12" t="s">
        <v>821</v>
      </c>
      <c r="F231" s="9" t="str">
        <f t="shared" si="12"/>
        <v>insert into ins_premium_det (premium_rcv_code,assorted_code, rec_amount,premium_rcv_detail_code,remaining_amt, payrec, mode_code,coinsurance_code,class_cd,it_remarks) values</v>
      </c>
      <c r="G231" s="10" t="str">
        <f t="shared" si="14"/>
        <v>('12Mar250017','070000178124','10440',(select max(to_number(i.premium_rcv_detail_code))+1
from ins_premium_det i),'10440','10440','02', '11000003','00','Request by Mr. Saqib Saleem 12-Mar-2025');</v>
      </c>
      <c r="H231" s="11" t="str">
        <f t="shared" si="15"/>
        <v>insert into ins_premium_det (premium_rcv_code,assorted_code, rec_amount,premium_rcv_detail_code,remaining_amt, payrec, mode_code,coinsurance_code,class_cd,it_remarks) values('12Mar250017','070000178124','10440',(select max(to_number(i.premium_rcv_detail_code))+1
from ins_premium_det i),'10440','10440','02', '11000003','00','Request by Mr. Saqib Saleem 12-Mar-2025');</v>
      </c>
    </row>
    <row r="232" spans="1:8" ht="105" x14ac:dyDescent="0.25">
      <c r="A232" s="1" t="s">
        <v>488</v>
      </c>
      <c r="B232" s="1" t="str">
        <f>VLOOKUP(A232,policy!B:C,2,0)</f>
        <v>070000178125</v>
      </c>
      <c r="C232" s="4">
        <v>12119</v>
      </c>
      <c r="D232" s="8">
        <f t="shared" si="13"/>
        <v>12119</v>
      </c>
      <c r="E232" s="12" t="s">
        <v>821</v>
      </c>
      <c r="F232" s="9" t="str">
        <f t="shared" si="12"/>
        <v>insert into ins_premium_det (premium_rcv_code,assorted_code, rec_amount,premium_rcv_detail_code,remaining_amt, payrec, mode_code,coinsurance_code,class_cd,it_remarks) values</v>
      </c>
      <c r="G232" s="10" t="str">
        <f t="shared" si="14"/>
        <v>('12Mar250017','070000178125','12119',(select max(to_number(i.premium_rcv_detail_code))+1
from ins_premium_det i),'12119','12119','02', '11000003','00','Request by Mr. Saqib Saleem 12-Mar-2025');</v>
      </c>
      <c r="H232" s="11" t="str">
        <f t="shared" si="15"/>
        <v>insert into ins_premium_det (premium_rcv_code,assorted_code, rec_amount,premium_rcv_detail_code,remaining_amt, payrec, mode_code,coinsurance_code,class_cd,it_remarks) values('12Mar250017','070000178125','12119',(select max(to_number(i.premium_rcv_detail_code))+1
from ins_premium_det i),'12119','12119','02', '11000003','00','Request by Mr. Saqib Saleem 12-Mar-2025');</v>
      </c>
    </row>
    <row r="233" spans="1:8" ht="105" x14ac:dyDescent="0.25">
      <c r="A233" s="1" t="s">
        <v>490</v>
      </c>
      <c r="B233" s="1" t="str">
        <f>VLOOKUP(A233,policy!B:C,2,0)</f>
        <v>070000178126</v>
      </c>
      <c r="C233" s="4">
        <v>8280</v>
      </c>
      <c r="D233" s="8">
        <f t="shared" si="13"/>
        <v>8280</v>
      </c>
      <c r="E233" s="12" t="s">
        <v>821</v>
      </c>
      <c r="F233" s="9" t="str">
        <f t="shared" si="12"/>
        <v>insert into ins_premium_det (premium_rcv_code,assorted_code, rec_amount,premium_rcv_detail_code,remaining_amt, payrec, mode_code,coinsurance_code,class_cd,it_remarks) values</v>
      </c>
      <c r="G233" s="10" t="str">
        <f t="shared" si="14"/>
        <v>('12Mar250017','070000178126','8280',(select max(to_number(i.premium_rcv_detail_code))+1
from ins_premium_det i),'8280','8280','02', '11000003','00','Request by Mr. Saqib Saleem 12-Mar-2025');</v>
      </c>
      <c r="H233" s="11" t="str">
        <f t="shared" si="15"/>
        <v>insert into ins_premium_det (premium_rcv_code,assorted_code, rec_amount,premium_rcv_detail_code,remaining_amt, payrec, mode_code,coinsurance_code,class_cd,it_remarks) values('12Mar250017','070000178126','8280',(select max(to_number(i.premium_rcv_detail_code))+1
from ins_premium_det i),'8280','8280','02', '11000003','00','Request by Mr. Saqib Saleem 12-Mar-2025');</v>
      </c>
    </row>
    <row r="234" spans="1:8" ht="105" x14ac:dyDescent="0.25">
      <c r="A234" s="1" t="s">
        <v>492</v>
      </c>
      <c r="B234" s="1" t="str">
        <f>VLOOKUP(A234,policy!B:C,2,0)</f>
        <v>070000178127</v>
      </c>
      <c r="C234" s="4">
        <v>14400</v>
      </c>
      <c r="D234" s="8">
        <f t="shared" si="13"/>
        <v>14400</v>
      </c>
      <c r="E234" s="12" t="s">
        <v>821</v>
      </c>
      <c r="F234" s="9" t="str">
        <f t="shared" si="12"/>
        <v>insert into ins_premium_det (premium_rcv_code,assorted_code, rec_amount,premium_rcv_detail_code,remaining_amt, payrec, mode_code,coinsurance_code,class_cd,it_remarks) values</v>
      </c>
      <c r="G234" s="10" t="str">
        <f t="shared" si="14"/>
        <v>('12Mar250017','070000178127','14400',(select max(to_number(i.premium_rcv_detail_code))+1
from ins_premium_det i),'14400','14400','02', '11000003','00','Request by Mr. Saqib Saleem 12-Mar-2025');</v>
      </c>
      <c r="H234" s="11" t="str">
        <f t="shared" si="15"/>
        <v>insert into ins_premium_det (premium_rcv_code,assorted_code, rec_amount,premium_rcv_detail_code,remaining_amt, payrec, mode_code,coinsurance_code,class_cd,it_remarks) values('12Mar250017','070000178127','14400',(select max(to_number(i.premium_rcv_detail_code))+1
from ins_premium_det i),'14400','14400','02', '11000003','00','Request by Mr. Saqib Saleem 12-Mar-2025');</v>
      </c>
    </row>
    <row r="235" spans="1:8" ht="105" x14ac:dyDescent="0.25">
      <c r="A235" s="1" t="s">
        <v>494</v>
      </c>
      <c r="B235" s="1" t="str">
        <f>VLOOKUP(A235,policy!B:C,2,0)</f>
        <v>070000178128</v>
      </c>
      <c r="C235" s="4">
        <v>5640</v>
      </c>
      <c r="D235" s="8">
        <f t="shared" si="13"/>
        <v>5640</v>
      </c>
      <c r="E235" s="12" t="s">
        <v>821</v>
      </c>
      <c r="F235" s="9" t="str">
        <f t="shared" si="12"/>
        <v>insert into ins_premium_det (premium_rcv_code,assorted_code, rec_amount,premium_rcv_detail_code,remaining_amt, payrec, mode_code,coinsurance_code,class_cd,it_remarks) values</v>
      </c>
      <c r="G235" s="10" t="str">
        <f t="shared" si="14"/>
        <v>('12Mar250017','070000178128','5640',(select max(to_number(i.premium_rcv_detail_code))+1
from ins_premium_det i),'5640','5640','02', '11000003','00','Request by Mr. Saqib Saleem 12-Mar-2025');</v>
      </c>
      <c r="H235" s="11" t="str">
        <f t="shared" si="15"/>
        <v>insert into ins_premium_det (premium_rcv_code,assorted_code, rec_amount,premium_rcv_detail_code,remaining_amt, payrec, mode_code,coinsurance_code,class_cd,it_remarks) values('12Mar250017','070000178128','5640',(select max(to_number(i.premium_rcv_detail_code))+1
from ins_premium_det i),'5640','5640','02', '11000003','00','Request by Mr. Saqib Saleem 12-Mar-2025');</v>
      </c>
    </row>
    <row r="236" spans="1:8" ht="105" x14ac:dyDescent="0.25">
      <c r="A236" s="1" t="s">
        <v>496</v>
      </c>
      <c r="B236" s="1" t="str">
        <f>VLOOKUP(A236,policy!B:C,2,0)</f>
        <v>070000178129</v>
      </c>
      <c r="C236" s="4">
        <v>9480</v>
      </c>
      <c r="D236" s="8">
        <f t="shared" si="13"/>
        <v>9480</v>
      </c>
      <c r="E236" s="12" t="s">
        <v>821</v>
      </c>
      <c r="F236" s="9" t="str">
        <f t="shared" si="12"/>
        <v>insert into ins_premium_det (premium_rcv_code,assorted_code, rec_amount,premium_rcv_detail_code,remaining_amt, payrec, mode_code,coinsurance_code,class_cd,it_remarks) values</v>
      </c>
      <c r="G236" s="10" t="str">
        <f t="shared" si="14"/>
        <v>('12Mar250017','070000178129','9480',(select max(to_number(i.premium_rcv_detail_code))+1
from ins_premium_det i),'9480','9480','02', '11000003','00','Request by Mr. Saqib Saleem 12-Mar-2025');</v>
      </c>
      <c r="H236" s="11" t="str">
        <f t="shared" si="15"/>
        <v>insert into ins_premium_det (premium_rcv_code,assorted_code, rec_amount,premium_rcv_detail_code,remaining_amt, payrec, mode_code,coinsurance_code,class_cd,it_remarks) values('12Mar250017','070000178129','9480',(select max(to_number(i.premium_rcv_detail_code))+1
from ins_premium_det i),'9480','9480','02', '11000003','00','Request by Mr. Saqib Saleem 12-Mar-2025');</v>
      </c>
    </row>
    <row r="237" spans="1:8" ht="105" x14ac:dyDescent="0.25">
      <c r="A237" s="1" t="s">
        <v>498</v>
      </c>
      <c r="B237" s="1" t="str">
        <f>VLOOKUP(A237,policy!B:C,2,0)</f>
        <v>070000178130</v>
      </c>
      <c r="C237" s="4">
        <v>9840</v>
      </c>
      <c r="D237" s="8">
        <f t="shared" si="13"/>
        <v>9840</v>
      </c>
      <c r="E237" s="12" t="s">
        <v>821</v>
      </c>
      <c r="F237" s="9" t="str">
        <f t="shared" si="12"/>
        <v>insert into ins_premium_det (premium_rcv_code,assorted_code, rec_amount,premium_rcv_detail_code,remaining_amt, payrec, mode_code,coinsurance_code,class_cd,it_remarks) values</v>
      </c>
      <c r="G237" s="10" t="str">
        <f t="shared" si="14"/>
        <v>('12Mar250017','070000178130','9840',(select max(to_number(i.premium_rcv_detail_code))+1
from ins_premium_det i),'9840','9840','02', '11000003','00','Request by Mr. Saqib Saleem 12-Mar-2025');</v>
      </c>
      <c r="H237" s="11" t="str">
        <f t="shared" si="15"/>
        <v>insert into ins_premium_det (premium_rcv_code,assorted_code, rec_amount,premium_rcv_detail_code,remaining_amt, payrec, mode_code,coinsurance_code,class_cd,it_remarks) values('12Mar250017','070000178130','9840',(select max(to_number(i.premium_rcv_detail_code))+1
from ins_premium_det i),'9840','9840','02', '11000003','00','Request by Mr. Saqib Saleem 12-Mar-2025');</v>
      </c>
    </row>
    <row r="238" spans="1:8" ht="105" x14ac:dyDescent="0.25">
      <c r="A238" s="1" t="s">
        <v>500</v>
      </c>
      <c r="B238" s="1" t="str">
        <f>VLOOKUP(A238,policy!B:C,2,0)</f>
        <v>070000178131</v>
      </c>
      <c r="C238" s="4">
        <v>7680</v>
      </c>
      <c r="D238" s="8">
        <f t="shared" si="13"/>
        <v>7680</v>
      </c>
      <c r="E238" s="12" t="s">
        <v>821</v>
      </c>
      <c r="F238" s="9" t="str">
        <f t="shared" si="12"/>
        <v>insert into ins_premium_det (premium_rcv_code,assorted_code, rec_amount,premium_rcv_detail_code,remaining_amt, payrec, mode_code,coinsurance_code,class_cd,it_remarks) values</v>
      </c>
      <c r="G238" s="10" t="str">
        <f t="shared" si="14"/>
        <v>('12Mar250017','070000178131','7680',(select max(to_number(i.premium_rcv_detail_code))+1
from ins_premium_det i),'7680','7680','02', '11000003','00','Request by Mr. Saqib Saleem 12-Mar-2025');</v>
      </c>
      <c r="H238" s="11" t="str">
        <f t="shared" si="15"/>
        <v>insert into ins_premium_det (premium_rcv_code,assorted_code, rec_amount,premium_rcv_detail_code,remaining_amt, payrec, mode_code,coinsurance_code,class_cd,it_remarks) values('12Mar250017','070000178131','7680',(select max(to_number(i.premium_rcv_detail_code))+1
from ins_premium_det i),'7680','7680','02', '11000003','00','Request by Mr. Saqib Saleem 12-Mar-2025');</v>
      </c>
    </row>
    <row r="239" spans="1:8" ht="105" x14ac:dyDescent="0.25">
      <c r="A239" s="1" t="s">
        <v>502</v>
      </c>
      <c r="B239" s="1" t="str">
        <f>VLOOKUP(A239,policy!B:C,2,0)</f>
        <v>070000178132</v>
      </c>
      <c r="C239" s="4">
        <v>5761</v>
      </c>
      <c r="D239" s="8">
        <f t="shared" si="13"/>
        <v>5761</v>
      </c>
      <c r="E239" s="12" t="s">
        <v>821</v>
      </c>
      <c r="F239" s="9" t="str">
        <f t="shared" si="12"/>
        <v>insert into ins_premium_det (premium_rcv_code,assorted_code, rec_amount,premium_rcv_detail_code,remaining_amt, payrec, mode_code,coinsurance_code,class_cd,it_remarks) values</v>
      </c>
      <c r="G239" s="10" t="str">
        <f t="shared" si="14"/>
        <v>('12Mar250017','070000178132','5761',(select max(to_number(i.premium_rcv_detail_code))+1
from ins_premium_det i),'5761','5761','02', '11000003','00','Request by Mr. Saqib Saleem 12-Mar-2025');</v>
      </c>
      <c r="H239" s="11" t="str">
        <f t="shared" si="15"/>
        <v>insert into ins_premium_det (premium_rcv_code,assorted_code, rec_amount,premium_rcv_detail_code,remaining_amt, payrec, mode_code,coinsurance_code,class_cd,it_remarks) values('12Mar250017','070000178132','5761',(select max(to_number(i.premium_rcv_detail_code))+1
from ins_premium_det i),'5761','5761','02', '11000003','00','Request by Mr. Saqib Saleem 12-Mar-2025');</v>
      </c>
    </row>
    <row r="240" spans="1:8" ht="105" x14ac:dyDescent="0.25">
      <c r="A240" s="1" t="s">
        <v>504</v>
      </c>
      <c r="B240" s="1" t="str">
        <f>VLOOKUP(A240,policy!B:C,2,0)</f>
        <v>070000178133</v>
      </c>
      <c r="C240" s="4">
        <v>4200</v>
      </c>
      <c r="D240" s="8">
        <f t="shared" si="13"/>
        <v>4200</v>
      </c>
      <c r="E240" s="12" t="s">
        <v>821</v>
      </c>
      <c r="F240" s="9" t="str">
        <f t="shared" si="12"/>
        <v>insert into ins_premium_det (premium_rcv_code,assorted_code, rec_amount,premium_rcv_detail_code,remaining_amt, payrec, mode_code,coinsurance_code,class_cd,it_remarks) values</v>
      </c>
      <c r="G240" s="10" t="str">
        <f t="shared" si="14"/>
        <v>('12Mar250017','070000178133','4200',(select max(to_number(i.premium_rcv_detail_code))+1
from ins_premium_det i),'4200','4200','02', '11000003','00','Request by Mr. Saqib Saleem 12-Mar-2025');</v>
      </c>
      <c r="H240" s="11" t="str">
        <f t="shared" si="15"/>
        <v>insert into ins_premium_det (premium_rcv_code,assorted_code, rec_amount,premium_rcv_detail_code,remaining_amt, payrec, mode_code,coinsurance_code,class_cd,it_remarks) values('12Mar250017','070000178133','4200',(select max(to_number(i.premium_rcv_detail_code))+1
from ins_premium_det i),'4200','4200','02', '11000003','00','Request by Mr. Saqib Saleem 12-Mar-2025');</v>
      </c>
    </row>
    <row r="241" spans="1:8" ht="105" x14ac:dyDescent="0.25">
      <c r="A241" s="1" t="s">
        <v>506</v>
      </c>
      <c r="B241" s="1" t="str">
        <f>VLOOKUP(A241,policy!B:C,2,0)</f>
        <v>070000178134</v>
      </c>
      <c r="C241" s="4">
        <v>7440</v>
      </c>
      <c r="D241" s="8">
        <f t="shared" si="13"/>
        <v>7440</v>
      </c>
      <c r="E241" s="12" t="s">
        <v>821</v>
      </c>
      <c r="F241" s="9" t="str">
        <f t="shared" si="12"/>
        <v>insert into ins_premium_det (premium_rcv_code,assorted_code, rec_amount,premium_rcv_detail_code,remaining_amt, payrec, mode_code,coinsurance_code,class_cd,it_remarks) values</v>
      </c>
      <c r="G241" s="10" t="str">
        <f t="shared" si="14"/>
        <v>('12Mar250017','070000178134','7440',(select max(to_number(i.premium_rcv_detail_code))+1
from ins_premium_det i),'7440','7440','02', '11000003','00','Request by Mr. Saqib Saleem 12-Mar-2025');</v>
      </c>
      <c r="H241" s="11" t="str">
        <f t="shared" si="15"/>
        <v>insert into ins_premium_det (premium_rcv_code,assorted_code, rec_amount,premium_rcv_detail_code,remaining_amt, payrec, mode_code,coinsurance_code,class_cd,it_remarks) values('12Mar250017','070000178134','7440',(select max(to_number(i.premium_rcv_detail_code))+1
from ins_premium_det i),'7440','7440','02', '11000003','00','Request by Mr. Saqib Saleem 12-Mar-2025');</v>
      </c>
    </row>
    <row r="242" spans="1:8" ht="105" x14ac:dyDescent="0.25">
      <c r="A242" s="1" t="s">
        <v>508</v>
      </c>
      <c r="B242" s="1" t="str">
        <f>VLOOKUP(A242,policy!B:C,2,0)</f>
        <v>070000178135</v>
      </c>
      <c r="C242" s="4">
        <v>8280</v>
      </c>
      <c r="D242" s="8">
        <f t="shared" si="13"/>
        <v>8280</v>
      </c>
      <c r="E242" s="12" t="s">
        <v>821</v>
      </c>
      <c r="F242" s="9" t="str">
        <f t="shared" si="12"/>
        <v>insert into ins_premium_det (premium_rcv_code,assorted_code, rec_amount,premium_rcv_detail_code,remaining_amt, payrec, mode_code,coinsurance_code,class_cd,it_remarks) values</v>
      </c>
      <c r="G242" s="10" t="str">
        <f t="shared" si="14"/>
        <v>('12Mar250017','070000178135','8280',(select max(to_number(i.premium_rcv_detail_code))+1
from ins_premium_det i),'8280','8280','02', '11000003','00','Request by Mr. Saqib Saleem 12-Mar-2025');</v>
      </c>
      <c r="H242" s="11" t="str">
        <f t="shared" si="15"/>
        <v>insert into ins_premium_det (premium_rcv_code,assorted_code, rec_amount,premium_rcv_detail_code,remaining_amt, payrec, mode_code,coinsurance_code,class_cd,it_remarks) values('12Mar250017','070000178135','8280',(select max(to_number(i.premium_rcv_detail_code))+1
from ins_premium_det i),'8280','8280','02', '11000003','00','Request by Mr. Saqib Saleem 12-Mar-2025');</v>
      </c>
    </row>
    <row r="243" spans="1:8" ht="105" x14ac:dyDescent="0.25">
      <c r="A243" s="1" t="s">
        <v>510</v>
      </c>
      <c r="B243" s="1" t="str">
        <f>VLOOKUP(A243,policy!B:C,2,0)</f>
        <v>070000178136</v>
      </c>
      <c r="C243" s="4">
        <v>9840</v>
      </c>
      <c r="D243" s="8">
        <f t="shared" si="13"/>
        <v>9840</v>
      </c>
      <c r="E243" s="12" t="s">
        <v>821</v>
      </c>
      <c r="F243" s="9" t="str">
        <f t="shared" si="12"/>
        <v>insert into ins_premium_det (premium_rcv_code,assorted_code, rec_amount,premium_rcv_detail_code,remaining_amt, payrec, mode_code,coinsurance_code,class_cd,it_remarks) values</v>
      </c>
      <c r="G243" s="10" t="str">
        <f t="shared" si="14"/>
        <v>('12Mar250017','070000178136','9840',(select max(to_number(i.premium_rcv_detail_code))+1
from ins_premium_det i),'9840','9840','02', '11000003','00','Request by Mr. Saqib Saleem 12-Mar-2025');</v>
      </c>
      <c r="H243" s="11" t="str">
        <f t="shared" si="15"/>
        <v>insert into ins_premium_det (premium_rcv_code,assorted_code, rec_amount,premium_rcv_detail_code,remaining_amt, payrec, mode_code,coinsurance_code,class_cd,it_remarks) values('12Mar250017','070000178136','9840',(select max(to_number(i.premium_rcv_detail_code))+1
from ins_premium_det i),'9840','9840','02', '11000003','00','Request by Mr. Saqib Saleem 12-Mar-2025');</v>
      </c>
    </row>
    <row r="244" spans="1:8" ht="105" x14ac:dyDescent="0.25">
      <c r="A244" s="1" t="s">
        <v>512</v>
      </c>
      <c r="B244" s="1" t="str">
        <f>VLOOKUP(A244,policy!B:C,2,0)</f>
        <v>070000178137</v>
      </c>
      <c r="C244" s="4">
        <v>5521</v>
      </c>
      <c r="D244" s="8">
        <f t="shared" si="13"/>
        <v>5521</v>
      </c>
      <c r="E244" s="12" t="s">
        <v>821</v>
      </c>
      <c r="F244" s="9" t="str">
        <f t="shared" si="12"/>
        <v>insert into ins_premium_det (premium_rcv_code,assorted_code, rec_amount,premium_rcv_detail_code,remaining_amt, payrec, mode_code,coinsurance_code,class_cd,it_remarks) values</v>
      </c>
      <c r="G244" s="10" t="str">
        <f t="shared" si="14"/>
        <v>('12Mar250017','070000178137','5521',(select max(to_number(i.premium_rcv_detail_code))+1
from ins_premium_det i),'5521','5521','02', '11000003','00','Request by Mr. Saqib Saleem 12-Mar-2025');</v>
      </c>
      <c r="H244" s="11" t="str">
        <f t="shared" si="15"/>
        <v>insert into ins_premium_det (premium_rcv_code,assorted_code, rec_amount,premium_rcv_detail_code,remaining_amt, payrec, mode_code,coinsurance_code,class_cd,it_remarks) values('12Mar250017','070000178137','5521',(select max(to_number(i.premium_rcv_detail_code))+1
from ins_premium_det i),'5521','5521','02', '11000003','00','Request by Mr. Saqib Saleem 12-Mar-2025');</v>
      </c>
    </row>
    <row r="245" spans="1:8" ht="105" x14ac:dyDescent="0.25">
      <c r="A245" s="1" t="s">
        <v>514</v>
      </c>
      <c r="B245" s="1" t="str">
        <f>VLOOKUP(A245,policy!B:C,2,0)</f>
        <v>070000178138</v>
      </c>
      <c r="C245" s="4">
        <v>4080</v>
      </c>
      <c r="D245" s="8">
        <f t="shared" si="13"/>
        <v>4080</v>
      </c>
      <c r="E245" s="12" t="s">
        <v>821</v>
      </c>
      <c r="F245" s="9" t="str">
        <f t="shared" si="12"/>
        <v>insert into ins_premium_det (premium_rcv_code,assorted_code, rec_amount,premium_rcv_detail_code,remaining_amt, payrec, mode_code,coinsurance_code,class_cd,it_remarks) values</v>
      </c>
      <c r="G245" s="10" t="str">
        <f t="shared" si="14"/>
        <v>('12Mar250017','070000178138','4080',(select max(to_number(i.premium_rcv_detail_code))+1
from ins_premium_det i),'4080','4080','02', '11000003','00','Request by Mr. Saqib Saleem 12-Mar-2025');</v>
      </c>
      <c r="H245" s="11" t="str">
        <f t="shared" si="15"/>
        <v>insert into ins_premium_det (premium_rcv_code,assorted_code, rec_amount,premium_rcv_detail_code,remaining_amt, payrec, mode_code,coinsurance_code,class_cd,it_remarks) values('12Mar250017','070000178138','4080',(select max(to_number(i.premium_rcv_detail_code))+1
from ins_premium_det i),'4080','4080','02', '11000003','00','Request by Mr. Saqib Saleem 12-Mar-2025');</v>
      </c>
    </row>
    <row r="246" spans="1:8" ht="105" x14ac:dyDescent="0.25">
      <c r="A246" s="1" t="s">
        <v>516</v>
      </c>
      <c r="B246" s="1" t="str">
        <f>VLOOKUP(A246,policy!B:C,2,0)</f>
        <v>070000178139</v>
      </c>
      <c r="C246" s="4">
        <v>4560</v>
      </c>
      <c r="D246" s="8">
        <f t="shared" si="13"/>
        <v>4560</v>
      </c>
      <c r="E246" s="12" t="s">
        <v>821</v>
      </c>
      <c r="F246" s="9" t="str">
        <f t="shared" si="12"/>
        <v>insert into ins_premium_det (premium_rcv_code,assorted_code, rec_amount,premium_rcv_detail_code,remaining_amt, payrec, mode_code,coinsurance_code,class_cd,it_remarks) values</v>
      </c>
      <c r="G246" s="10" t="str">
        <f t="shared" si="14"/>
        <v>('12Mar250017','070000178139','4560',(select max(to_number(i.premium_rcv_detail_code))+1
from ins_premium_det i),'4560','4560','02', '11000003','00','Request by Mr. Saqib Saleem 12-Mar-2025');</v>
      </c>
      <c r="H246" s="11" t="str">
        <f t="shared" si="15"/>
        <v>insert into ins_premium_det (premium_rcv_code,assorted_code, rec_amount,premium_rcv_detail_code,remaining_amt, payrec, mode_code,coinsurance_code,class_cd,it_remarks) values('12Mar250017','070000178139','4560',(select max(to_number(i.premium_rcv_detail_code))+1
from ins_premium_det i),'4560','4560','02', '11000003','00','Request by Mr. Saqib Saleem 12-Mar-2025');</v>
      </c>
    </row>
    <row r="247" spans="1:8" ht="105" x14ac:dyDescent="0.25">
      <c r="A247" s="1" t="s">
        <v>518</v>
      </c>
      <c r="B247" s="1" t="str">
        <f>VLOOKUP(A247,policy!B:C,2,0)</f>
        <v>070000178140</v>
      </c>
      <c r="C247" s="4">
        <v>12000</v>
      </c>
      <c r="D247" s="8">
        <f t="shared" si="13"/>
        <v>12000</v>
      </c>
      <c r="E247" s="12" t="s">
        <v>821</v>
      </c>
      <c r="F247" s="9" t="str">
        <f t="shared" si="12"/>
        <v>insert into ins_premium_det (premium_rcv_code,assorted_code, rec_amount,premium_rcv_detail_code,remaining_amt, payrec, mode_code,coinsurance_code,class_cd,it_remarks) values</v>
      </c>
      <c r="G247" s="10" t="str">
        <f t="shared" si="14"/>
        <v>('12Mar250017','070000178140','12000',(select max(to_number(i.premium_rcv_detail_code))+1
from ins_premium_det i),'12000','12000','02', '11000003','00','Request by Mr. Saqib Saleem 12-Mar-2025');</v>
      </c>
      <c r="H247" s="11" t="str">
        <f t="shared" si="15"/>
        <v>insert into ins_premium_det (premium_rcv_code,assorted_code, rec_amount,premium_rcv_detail_code,remaining_amt, payrec, mode_code,coinsurance_code,class_cd,it_remarks) values('12Mar250017','070000178140','12000',(select max(to_number(i.premium_rcv_detail_code))+1
from ins_premium_det i),'12000','12000','02', '11000003','00','Request by Mr. Saqib Saleem 12-Mar-2025');</v>
      </c>
    </row>
    <row r="248" spans="1:8" ht="105" x14ac:dyDescent="0.25">
      <c r="A248" s="1" t="s">
        <v>520</v>
      </c>
      <c r="B248" s="1" t="str">
        <f>VLOOKUP(A248,policy!B:C,2,0)</f>
        <v>070000178141</v>
      </c>
      <c r="C248" s="4">
        <v>8399</v>
      </c>
      <c r="D248" s="8">
        <f t="shared" si="13"/>
        <v>8399</v>
      </c>
      <c r="E248" s="12" t="s">
        <v>821</v>
      </c>
      <c r="F248" s="9" t="str">
        <f t="shared" si="12"/>
        <v>insert into ins_premium_det (premium_rcv_code,assorted_code, rec_amount,premium_rcv_detail_code,remaining_amt, payrec, mode_code,coinsurance_code,class_cd,it_remarks) values</v>
      </c>
      <c r="G248" s="10" t="str">
        <f t="shared" si="14"/>
        <v>('12Mar250017','070000178141','8399',(select max(to_number(i.premium_rcv_detail_code))+1
from ins_premium_det i),'8399','8399','02', '11000003','00','Request by Mr. Saqib Saleem 12-Mar-2025');</v>
      </c>
      <c r="H248" s="11" t="str">
        <f t="shared" si="15"/>
        <v>insert into ins_premium_det (premium_rcv_code,assorted_code, rec_amount,premium_rcv_detail_code,remaining_amt, payrec, mode_code,coinsurance_code,class_cd,it_remarks) values('12Mar250017','070000178141','8399',(select max(to_number(i.premium_rcv_detail_code))+1
from ins_premium_det i),'8399','8399','02', '11000003','00','Request by Mr. Saqib Saleem 12-Mar-2025');</v>
      </c>
    </row>
    <row r="249" spans="1:8" ht="105" x14ac:dyDescent="0.25">
      <c r="A249" s="1" t="s">
        <v>522</v>
      </c>
      <c r="B249" s="1" t="str">
        <f>VLOOKUP(A249,policy!B:C,2,0)</f>
        <v>070000178142</v>
      </c>
      <c r="C249" s="4">
        <v>4919</v>
      </c>
      <c r="D249" s="8">
        <f t="shared" si="13"/>
        <v>4919</v>
      </c>
      <c r="E249" s="12" t="s">
        <v>821</v>
      </c>
      <c r="F249" s="9" t="str">
        <f t="shared" si="12"/>
        <v>insert into ins_premium_det (premium_rcv_code,assorted_code, rec_amount,premium_rcv_detail_code,remaining_amt, payrec, mode_code,coinsurance_code,class_cd,it_remarks) values</v>
      </c>
      <c r="G249" s="10" t="str">
        <f t="shared" si="14"/>
        <v>('12Mar250017','070000178142','4919',(select max(to_number(i.premium_rcv_detail_code))+1
from ins_premium_det i),'4919','4919','02', '11000003','00','Request by Mr. Saqib Saleem 12-Mar-2025');</v>
      </c>
      <c r="H249" s="11" t="str">
        <f t="shared" si="15"/>
        <v>insert into ins_premium_det (premium_rcv_code,assorted_code, rec_amount,premium_rcv_detail_code,remaining_amt, payrec, mode_code,coinsurance_code,class_cd,it_remarks) values('12Mar250017','070000178142','4919',(select max(to_number(i.premium_rcv_detail_code))+1
from ins_premium_det i),'4919','4919','02', '11000003','00','Request by Mr. Saqib Saleem 12-Mar-2025');</v>
      </c>
    </row>
    <row r="250" spans="1:8" ht="105" x14ac:dyDescent="0.25">
      <c r="A250" s="1" t="s">
        <v>524</v>
      </c>
      <c r="B250" s="1" t="str">
        <f>VLOOKUP(A250,policy!B:C,2,0)</f>
        <v>070000178143</v>
      </c>
      <c r="C250" s="4">
        <v>7920</v>
      </c>
      <c r="D250" s="8">
        <f t="shared" si="13"/>
        <v>7920</v>
      </c>
      <c r="E250" s="12" t="s">
        <v>821</v>
      </c>
      <c r="F250" s="9" t="str">
        <f t="shared" si="12"/>
        <v>insert into ins_premium_det (premium_rcv_code,assorted_code, rec_amount,premium_rcv_detail_code,remaining_amt, payrec, mode_code,coinsurance_code,class_cd,it_remarks) values</v>
      </c>
      <c r="G250" s="10" t="str">
        <f t="shared" si="14"/>
        <v>('12Mar250017','070000178143','7920',(select max(to_number(i.premium_rcv_detail_code))+1
from ins_premium_det i),'7920','7920','02', '11000003','00','Request by Mr. Saqib Saleem 12-Mar-2025');</v>
      </c>
      <c r="H250" s="11" t="str">
        <f t="shared" si="15"/>
        <v>insert into ins_premium_det (premium_rcv_code,assorted_code, rec_amount,premium_rcv_detail_code,remaining_amt, payrec, mode_code,coinsurance_code,class_cd,it_remarks) values('12Mar250017','070000178143','7920',(select max(to_number(i.premium_rcv_detail_code))+1
from ins_premium_det i),'7920','7920','02', '11000003','00','Request by Mr. Saqib Saleem 12-Mar-2025');</v>
      </c>
    </row>
    <row r="251" spans="1:8" ht="105" x14ac:dyDescent="0.25">
      <c r="A251" s="1" t="s">
        <v>526</v>
      </c>
      <c r="B251" s="1" t="str">
        <f>VLOOKUP(A251,policy!B:C,2,0)</f>
        <v>070000178144</v>
      </c>
      <c r="C251" s="4">
        <v>9241</v>
      </c>
      <c r="D251" s="8">
        <f t="shared" si="13"/>
        <v>9241</v>
      </c>
      <c r="E251" s="12" t="s">
        <v>821</v>
      </c>
      <c r="F251" s="9" t="str">
        <f t="shared" si="12"/>
        <v>insert into ins_premium_det (premium_rcv_code,assorted_code, rec_amount,premium_rcv_detail_code,remaining_amt, payrec, mode_code,coinsurance_code,class_cd,it_remarks) values</v>
      </c>
      <c r="G251" s="10" t="str">
        <f t="shared" si="14"/>
        <v>('12Mar250017','070000178144','9241',(select max(to_number(i.premium_rcv_detail_code))+1
from ins_premium_det i),'9241','9241','02', '11000003','00','Request by Mr. Saqib Saleem 12-Mar-2025');</v>
      </c>
      <c r="H251" s="11" t="str">
        <f t="shared" si="15"/>
        <v>insert into ins_premium_det (premium_rcv_code,assorted_code, rec_amount,premium_rcv_detail_code,remaining_amt, payrec, mode_code,coinsurance_code,class_cd,it_remarks) values('12Mar250017','070000178144','9241',(select max(to_number(i.premium_rcv_detail_code))+1
from ins_premium_det i),'9241','9241','02', '11000003','00','Request by Mr. Saqib Saleem 12-Mar-2025');</v>
      </c>
    </row>
    <row r="252" spans="1:8" ht="105" x14ac:dyDescent="0.25">
      <c r="A252" s="1" t="s">
        <v>528</v>
      </c>
      <c r="B252" s="1" t="str">
        <f>VLOOKUP(A252,policy!B:C,2,0)</f>
        <v>070000178145</v>
      </c>
      <c r="C252" s="4">
        <v>9001</v>
      </c>
      <c r="D252" s="8">
        <f t="shared" si="13"/>
        <v>9001</v>
      </c>
      <c r="E252" s="12" t="s">
        <v>821</v>
      </c>
      <c r="F252" s="9" t="str">
        <f t="shared" si="12"/>
        <v>insert into ins_premium_det (premium_rcv_code,assorted_code, rec_amount,premium_rcv_detail_code,remaining_amt, payrec, mode_code,coinsurance_code,class_cd,it_remarks) values</v>
      </c>
      <c r="G252" s="10" t="str">
        <f t="shared" si="14"/>
        <v>('12Mar250017','070000178145','9001',(select max(to_number(i.premium_rcv_detail_code))+1
from ins_premium_det i),'9001','9001','02', '11000003','00','Request by Mr. Saqib Saleem 12-Mar-2025');</v>
      </c>
      <c r="H252" s="11" t="str">
        <f t="shared" si="15"/>
        <v>insert into ins_premium_det (premium_rcv_code,assorted_code, rec_amount,premium_rcv_detail_code,remaining_amt, payrec, mode_code,coinsurance_code,class_cd,it_remarks) values('12Mar250017','070000178145','9001',(select max(to_number(i.premium_rcv_detail_code))+1
from ins_premium_det i),'9001','9001','02', '11000003','00','Request by Mr. Saqib Saleem 12-Mar-2025');</v>
      </c>
    </row>
    <row r="253" spans="1:8" ht="105" x14ac:dyDescent="0.25">
      <c r="A253" s="1" t="s">
        <v>530</v>
      </c>
      <c r="B253" s="1" t="str">
        <f>VLOOKUP(A253,policy!B:C,2,0)</f>
        <v>070000178146</v>
      </c>
      <c r="C253" s="4">
        <v>6000</v>
      </c>
      <c r="D253" s="8">
        <f t="shared" si="13"/>
        <v>6000</v>
      </c>
      <c r="E253" s="12" t="s">
        <v>821</v>
      </c>
      <c r="F253" s="9" t="str">
        <f t="shared" si="12"/>
        <v>insert into ins_premium_det (premium_rcv_code,assorted_code, rec_amount,premium_rcv_detail_code,remaining_amt, payrec, mode_code,coinsurance_code,class_cd,it_remarks) values</v>
      </c>
      <c r="G253" s="10" t="str">
        <f t="shared" si="14"/>
        <v>('12Mar250017','070000178146','6000',(select max(to_number(i.premium_rcv_detail_code))+1
from ins_premium_det i),'6000','6000','02', '11000003','00','Request by Mr. Saqib Saleem 12-Mar-2025');</v>
      </c>
      <c r="H253" s="11" t="str">
        <f t="shared" si="15"/>
        <v>insert into ins_premium_det (premium_rcv_code,assorted_code, rec_amount,premium_rcv_detail_code,remaining_amt, payrec, mode_code,coinsurance_code,class_cd,it_remarks) values('12Mar250017','070000178146','6000',(select max(to_number(i.premium_rcv_detail_code))+1
from ins_premium_det i),'6000','6000','02', '11000003','00','Request by Mr. Saqib Saleem 12-Mar-2025');</v>
      </c>
    </row>
    <row r="254" spans="1:8" ht="105" x14ac:dyDescent="0.25">
      <c r="A254" s="1" t="s">
        <v>532</v>
      </c>
      <c r="B254" s="1" t="str">
        <f>VLOOKUP(A254,policy!B:C,2,0)</f>
        <v>070000178147</v>
      </c>
      <c r="C254" s="4">
        <v>6120</v>
      </c>
      <c r="D254" s="8">
        <f t="shared" si="13"/>
        <v>6120</v>
      </c>
      <c r="E254" s="12" t="s">
        <v>821</v>
      </c>
      <c r="F254" s="9" t="str">
        <f t="shared" si="12"/>
        <v>insert into ins_premium_det (premium_rcv_code,assorted_code, rec_amount,premium_rcv_detail_code,remaining_amt, payrec, mode_code,coinsurance_code,class_cd,it_remarks) values</v>
      </c>
      <c r="G254" s="10" t="str">
        <f t="shared" si="14"/>
        <v>('12Mar250017','070000178147','6120',(select max(to_number(i.premium_rcv_detail_code))+1
from ins_premium_det i),'6120','6120','02', '11000003','00','Request by Mr. Saqib Saleem 12-Mar-2025');</v>
      </c>
      <c r="H254" s="11" t="str">
        <f t="shared" si="15"/>
        <v>insert into ins_premium_det (premium_rcv_code,assorted_code, rec_amount,premium_rcv_detail_code,remaining_amt, payrec, mode_code,coinsurance_code,class_cd,it_remarks) values('12Mar250017','070000178147','6120',(select max(to_number(i.premium_rcv_detail_code))+1
from ins_premium_det i),'6120','6120','02', '11000003','00','Request by Mr. Saqib Saleem 12-Mar-2025');</v>
      </c>
    </row>
    <row r="255" spans="1:8" ht="105" x14ac:dyDescent="0.25">
      <c r="A255" s="1" t="s">
        <v>534</v>
      </c>
      <c r="B255" s="1" t="str">
        <f>VLOOKUP(A255,policy!B:C,2,0)</f>
        <v>070000178148</v>
      </c>
      <c r="C255" s="4">
        <v>15721</v>
      </c>
      <c r="D255" s="8">
        <f t="shared" si="13"/>
        <v>15721</v>
      </c>
      <c r="E255" s="12" t="s">
        <v>821</v>
      </c>
      <c r="F255" s="9" t="str">
        <f t="shared" si="12"/>
        <v>insert into ins_premium_det (premium_rcv_code,assorted_code, rec_amount,premium_rcv_detail_code,remaining_amt, payrec, mode_code,coinsurance_code,class_cd,it_remarks) values</v>
      </c>
      <c r="G255" s="10" t="str">
        <f t="shared" si="14"/>
        <v>('12Mar250017','070000178148','15721',(select max(to_number(i.premium_rcv_detail_code))+1
from ins_premium_det i),'15721','15721','02', '11000003','00','Request by Mr. Saqib Saleem 12-Mar-2025');</v>
      </c>
      <c r="H255" s="11" t="str">
        <f t="shared" si="15"/>
        <v>insert into ins_premium_det (premium_rcv_code,assorted_code, rec_amount,premium_rcv_detail_code,remaining_amt, payrec, mode_code,coinsurance_code,class_cd,it_remarks) values('12Mar250017','070000178148','15721',(select max(to_number(i.premium_rcv_detail_code))+1
from ins_premium_det i),'15721','15721','02', '11000003','00','Request by Mr. Saqib Saleem 12-Mar-2025');</v>
      </c>
    </row>
    <row r="256" spans="1:8" ht="105" x14ac:dyDescent="0.25">
      <c r="A256" s="1" t="s">
        <v>536</v>
      </c>
      <c r="B256" s="1" t="str">
        <f>VLOOKUP(A256,policy!B:C,2,0)</f>
        <v>070000178149</v>
      </c>
      <c r="C256" s="4">
        <v>7320</v>
      </c>
      <c r="D256" s="8">
        <f t="shared" si="13"/>
        <v>7320</v>
      </c>
      <c r="E256" s="12" t="s">
        <v>821</v>
      </c>
      <c r="F256" s="9" t="str">
        <f t="shared" si="12"/>
        <v>insert into ins_premium_det (premium_rcv_code,assorted_code, rec_amount,premium_rcv_detail_code,remaining_amt, payrec, mode_code,coinsurance_code,class_cd,it_remarks) values</v>
      </c>
      <c r="G256" s="10" t="str">
        <f t="shared" si="14"/>
        <v>('12Mar250017','070000178149','7320',(select max(to_number(i.premium_rcv_detail_code))+1
from ins_premium_det i),'7320','7320','02', '11000003','00','Request by Mr. Saqib Saleem 12-Mar-2025');</v>
      </c>
      <c r="H256" s="11" t="str">
        <f t="shared" si="15"/>
        <v>insert into ins_premium_det (premium_rcv_code,assorted_code, rec_amount,premium_rcv_detail_code,remaining_amt, payrec, mode_code,coinsurance_code,class_cd,it_remarks) values('12Mar250017','070000178149','7320',(select max(to_number(i.premium_rcv_detail_code))+1
from ins_premium_det i),'7320','7320','02', '11000003','00','Request by Mr. Saqib Saleem 12-Mar-2025');</v>
      </c>
    </row>
    <row r="257" spans="1:8" ht="105" x14ac:dyDescent="0.25">
      <c r="A257" s="1" t="s">
        <v>538</v>
      </c>
      <c r="B257" s="1" t="str">
        <f>VLOOKUP(A257,policy!B:C,2,0)</f>
        <v>070000178150</v>
      </c>
      <c r="C257" s="4">
        <v>13561</v>
      </c>
      <c r="D257" s="8">
        <f t="shared" si="13"/>
        <v>13561</v>
      </c>
      <c r="E257" s="12" t="s">
        <v>821</v>
      </c>
      <c r="F257" s="9" t="str">
        <f t="shared" si="12"/>
        <v>insert into ins_premium_det (premium_rcv_code,assorted_code, rec_amount,premium_rcv_detail_code,remaining_amt, payrec, mode_code,coinsurance_code,class_cd,it_remarks) values</v>
      </c>
      <c r="G257" s="10" t="str">
        <f t="shared" si="14"/>
        <v>('12Mar250017','070000178150','13561',(select max(to_number(i.premium_rcv_detail_code))+1
from ins_premium_det i),'13561','13561','02', '11000003','00','Request by Mr. Saqib Saleem 12-Mar-2025');</v>
      </c>
      <c r="H257" s="11" t="str">
        <f t="shared" si="15"/>
        <v>insert into ins_premium_det (premium_rcv_code,assorted_code, rec_amount,premium_rcv_detail_code,remaining_amt, payrec, mode_code,coinsurance_code,class_cd,it_remarks) values('12Mar250017','070000178150','13561',(select max(to_number(i.premium_rcv_detail_code))+1
from ins_premium_det i),'13561','13561','02', '11000003','00','Request by Mr. Saqib Saleem 12-Mar-2025');</v>
      </c>
    </row>
    <row r="258" spans="1:8" ht="105" x14ac:dyDescent="0.25">
      <c r="A258" s="1" t="s">
        <v>540</v>
      </c>
      <c r="B258" s="1" t="str">
        <f>VLOOKUP(A258,policy!B:C,2,0)</f>
        <v>070000178151</v>
      </c>
      <c r="C258" s="4">
        <v>10200</v>
      </c>
      <c r="D258" s="8">
        <f t="shared" si="13"/>
        <v>10200</v>
      </c>
      <c r="E258" s="12" t="s">
        <v>821</v>
      </c>
      <c r="F258" s="9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0" t="str">
        <f t="shared" si="14"/>
        <v>('12Mar250017','070000178151','10200',(select max(to_number(i.premium_rcv_detail_code))+1
from ins_premium_det i),'10200','10200','02', '11000003','00','Request by Mr. Saqib Saleem 12-Mar-2025');</v>
      </c>
      <c r="H258" s="11" t="str">
        <f t="shared" si="15"/>
        <v>insert into ins_premium_det (premium_rcv_code,assorted_code, rec_amount,premium_rcv_detail_code,remaining_amt, payrec, mode_code,coinsurance_code,class_cd,it_remarks) values('12Mar250017','070000178151','10200',(select max(to_number(i.premium_rcv_detail_code))+1
from ins_premium_det i),'10200','10200','02', '11000003','00','Request by Mr. Saqib Saleem 12-Mar-2025');</v>
      </c>
    </row>
    <row r="259" spans="1:8" ht="105" x14ac:dyDescent="0.25">
      <c r="A259" s="1" t="s">
        <v>541</v>
      </c>
      <c r="B259" s="1" t="str">
        <f>VLOOKUP(A259,policy!B:C,2,0)</f>
        <v>070000178152</v>
      </c>
      <c r="C259" s="4">
        <v>8761</v>
      </c>
      <c r="D259" s="8">
        <f t="shared" ref="D259:D322" si="17">ROUND(C259,0)</f>
        <v>8761</v>
      </c>
      <c r="E259" s="12" t="s">
        <v>821</v>
      </c>
      <c r="F259" s="9" t="str">
        <f t="shared" si="16"/>
        <v>insert into ins_premium_det (premium_rcv_code,assorted_code, rec_amount,premium_rcv_detail_code,remaining_amt, payrec, mode_code,coinsurance_code,class_cd,it_remarks) values</v>
      </c>
      <c r="G259" s="10" t="str">
        <f t="shared" ref="G259:G322" si="18">"('"&amp;E259&amp;"','"&amp;B259&amp;"','"&amp;D259&amp;"',(select max(to_number(i.premium_rcv_detail_code))+1
from ins_premium_det i),'"&amp;D259&amp;"','"&amp;D259&amp;"','02', '11000003','00','Request by Mr. Saqib Saleem 12-Mar-2025');"</f>
        <v>('12Mar250017','070000178152','8761',(select max(to_number(i.premium_rcv_detail_code))+1
from ins_premium_det i),'8761','8761','02', '11000003','00','Request by Mr. Saqib Saleem 12-Mar-2025');</v>
      </c>
      <c r="H259" s="11" t="str">
        <f t="shared" ref="H259:H322" si="19">F259&amp;G259</f>
        <v>insert into ins_premium_det (premium_rcv_code,assorted_code, rec_amount,premium_rcv_detail_code,remaining_amt, payrec, mode_code,coinsurance_code,class_cd,it_remarks) values('12Mar250017','070000178152','8761',(select max(to_number(i.premium_rcv_detail_code))+1
from ins_premium_det i),'8761','8761','02', '11000003','00','Request by Mr. Saqib Saleem 12-Mar-2025');</v>
      </c>
    </row>
    <row r="260" spans="1:8" ht="105" x14ac:dyDescent="0.25">
      <c r="A260" s="1" t="s">
        <v>543</v>
      </c>
      <c r="B260" s="1" t="str">
        <f>VLOOKUP(A260,policy!B:C,2,0)</f>
        <v>070000178153</v>
      </c>
      <c r="C260" s="4">
        <v>6240</v>
      </c>
      <c r="D260" s="8">
        <f t="shared" si="17"/>
        <v>6240</v>
      </c>
      <c r="E260" s="12" t="s">
        <v>821</v>
      </c>
      <c r="F260" s="9" t="str">
        <f t="shared" si="16"/>
        <v>insert into ins_premium_det (premium_rcv_code,assorted_code, rec_amount,premium_rcv_detail_code,remaining_amt, payrec, mode_code,coinsurance_code,class_cd,it_remarks) values</v>
      </c>
      <c r="G260" s="10" t="str">
        <f t="shared" si="18"/>
        <v>('12Mar250017','070000178153','6240',(select max(to_number(i.premium_rcv_detail_code))+1
from ins_premium_det i),'6240','6240','02', '11000003','00','Request by Mr. Saqib Saleem 12-Mar-2025');</v>
      </c>
      <c r="H260" s="11" t="str">
        <f t="shared" si="19"/>
        <v>insert into ins_premium_det (premium_rcv_code,assorted_code, rec_amount,premium_rcv_detail_code,remaining_amt, payrec, mode_code,coinsurance_code,class_cd,it_remarks) values('12Mar250017','070000178153','6240',(select max(to_number(i.premium_rcv_detail_code))+1
from ins_premium_det i),'6240','6240','02', '11000003','00','Request by Mr. Saqib Saleem 12-Mar-2025');</v>
      </c>
    </row>
    <row r="261" spans="1:8" ht="105" x14ac:dyDescent="0.25">
      <c r="A261" s="1" t="s">
        <v>545</v>
      </c>
      <c r="B261" s="1" t="str">
        <f>VLOOKUP(A261,policy!B:C,2,0)</f>
        <v>070000178154</v>
      </c>
      <c r="C261" s="4">
        <v>6360</v>
      </c>
      <c r="D261" s="8">
        <f t="shared" si="17"/>
        <v>6360</v>
      </c>
      <c r="E261" s="12" t="s">
        <v>821</v>
      </c>
      <c r="F261" s="9" t="str">
        <f t="shared" si="16"/>
        <v>insert into ins_premium_det (premium_rcv_code,assorted_code, rec_amount,premium_rcv_detail_code,remaining_amt, payrec, mode_code,coinsurance_code,class_cd,it_remarks) values</v>
      </c>
      <c r="G261" s="10" t="str">
        <f t="shared" si="18"/>
        <v>('12Mar250017','070000178154','6360',(select max(to_number(i.premium_rcv_detail_code))+1
from ins_premium_det i),'6360','6360','02', '11000003','00','Request by Mr. Saqib Saleem 12-Mar-2025');</v>
      </c>
      <c r="H261" s="11" t="str">
        <f t="shared" si="19"/>
        <v>insert into ins_premium_det (premium_rcv_code,assorted_code, rec_amount,premium_rcv_detail_code,remaining_amt, payrec, mode_code,coinsurance_code,class_cd,it_remarks) values('12Mar250017','070000178154','6360',(select max(to_number(i.premium_rcv_detail_code))+1
from ins_premium_det i),'6360','6360','02', '11000003','00','Request by Mr. Saqib Saleem 12-Mar-2025');</v>
      </c>
    </row>
    <row r="262" spans="1:8" ht="105" x14ac:dyDescent="0.25">
      <c r="A262" s="1" t="s">
        <v>547</v>
      </c>
      <c r="B262" s="1" t="str">
        <f>VLOOKUP(A262,policy!B:C,2,0)</f>
        <v>070000178155</v>
      </c>
      <c r="C262" s="4">
        <v>9480</v>
      </c>
      <c r="D262" s="8">
        <f t="shared" si="17"/>
        <v>9480</v>
      </c>
      <c r="E262" s="12" t="s">
        <v>821</v>
      </c>
      <c r="F262" s="9" t="str">
        <f t="shared" si="16"/>
        <v>insert into ins_premium_det (premium_rcv_code,assorted_code, rec_amount,premium_rcv_detail_code,remaining_amt, payrec, mode_code,coinsurance_code,class_cd,it_remarks) values</v>
      </c>
      <c r="G262" s="10" t="str">
        <f t="shared" si="18"/>
        <v>('12Mar250017','070000178155','9480',(select max(to_number(i.premium_rcv_detail_code))+1
from ins_premium_det i),'9480','9480','02', '11000003','00','Request by Mr. Saqib Saleem 12-Mar-2025');</v>
      </c>
      <c r="H262" s="11" t="str">
        <f t="shared" si="19"/>
        <v>insert into ins_premium_det (premium_rcv_code,assorted_code, rec_amount,premium_rcv_detail_code,remaining_amt, payrec, mode_code,coinsurance_code,class_cd,it_remarks) values('12Mar250017','070000178155','9480',(select max(to_number(i.premium_rcv_detail_code))+1
from ins_premium_det i),'9480','9480','02', '11000003','00','Request by Mr. Saqib Saleem 12-Mar-2025');</v>
      </c>
    </row>
    <row r="263" spans="1:8" ht="105" x14ac:dyDescent="0.25">
      <c r="A263" s="1" t="s">
        <v>549</v>
      </c>
      <c r="B263" s="1" t="str">
        <f>VLOOKUP(A263,policy!B:C,2,0)</f>
        <v>070000178156</v>
      </c>
      <c r="C263" s="4">
        <v>4440</v>
      </c>
      <c r="D263" s="8">
        <f t="shared" si="17"/>
        <v>4440</v>
      </c>
      <c r="E263" s="12" t="s">
        <v>821</v>
      </c>
      <c r="F263" s="9" t="str">
        <f t="shared" si="16"/>
        <v>insert into ins_premium_det (premium_rcv_code,assorted_code, rec_amount,premium_rcv_detail_code,remaining_amt, payrec, mode_code,coinsurance_code,class_cd,it_remarks) values</v>
      </c>
      <c r="G263" s="10" t="str">
        <f t="shared" si="18"/>
        <v>('12Mar250017','070000178156','4440',(select max(to_number(i.premium_rcv_detail_code))+1
from ins_premium_det i),'4440','4440','02', '11000003','00','Request by Mr. Saqib Saleem 12-Mar-2025');</v>
      </c>
      <c r="H263" s="11" t="str">
        <f t="shared" si="19"/>
        <v>insert into ins_premium_det (premium_rcv_code,assorted_code, rec_amount,premium_rcv_detail_code,remaining_amt, payrec, mode_code,coinsurance_code,class_cd,it_remarks) values('12Mar250017','070000178156','4440',(select max(to_number(i.premium_rcv_detail_code))+1
from ins_premium_det i),'4440','4440','02', '11000003','00','Request by Mr. Saqib Saleem 12-Mar-2025');</v>
      </c>
    </row>
    <row r="264" spans="1:8" ht="105" x14ac:dyDescent="0.25">
      <c r="A264" s="1" t="s">
        <v>551</v>
      </c>
      <c r="B264" s="1" t="str">
        <f>VLOOKUP(A264,policy!B:C,2,0)</f>
        <v>070000178157</v>
      </c>
      <c r="C264" s="4">
        <v>9241</v>
      </c>
      <c r="D264" s="8">
        <f t="shared" si="17"/>
        <v>9241</v>
      </c>
      <c r="E264" s="12" t="s">
        <v>821</v>
      </c>
      <c r="F264" s="9" t="str">
        <f t="shared" si="16"/>
        <v>insert into ins_premium_det (premium_rcv_code,assorted_code, rec_amount,premium_rcv_detail_code,remaining_amt, payrec, mode_code,coinsurance_code,class_cd,it_remarks) values</v>
      </c>
      <c r="G264" s="10" t="str">
        <f t="shared" si="18"/>
        <v>('12Mar250017','070000178157','9241',(select max(to_number(i.premium_rcv_detail_code))+1
from ins_premium_det i),'9241','9241','02', '11000003','00','Request by Mr. Saqib Saleem 12-Mar-2025');</v>
      </c>
      <c r="H264" s="11" t="str">
        <f t="shared" si="19"/>
        <v>insert into ins_premium_det (premium_rcv_code,assorted_code, rec_amount,premium_rcv_detail_code,remaining_amt, payrec, mode_code,coinsurance_code,class_cd,it_remarks) values('12Mar250017','070000178157','9241',(select max(to_number(i.premium_rcv_detail_code))+1
from ins_premium_det i),'9241','9241','02', '11000003','00','Request by Mr. Saqib Saleem 12-Mar-2025');</v>
      </c>
    </row>
    <row r="265" spans="1:8" ht="105" x14ac:dyDescent="0.25">
      <c r="A265" s="1" t="s">
        <v>553</v>
      </c>
      <c r="B265" s="1" t="str">
        <f>VLOOKUP(A265,policy!B:C,2,0)</f>
        <v>070000178158</v>
      </c>
      <c r="C265" s="4">
        <v>9840</v>
      </c>
      <c r="D265" s="8">
        <f t="shared" si="17"/>
        <v>9840</v>
      </c>
      <c r="E265" s="12" t="s">
        <v>821</v>
      </c>
      <c r="F265" s="9" t="str">
        <f t="shared" si="16"/>
        <v>insert into ins_premium_det (premium_rcv_code,assorted_code, rec_amount,premium_rcv_detail_code,remaining_amt, payrec, mode_code,coinsurance_code,class_cd,it_remarks) values</v>
      </c>
      <c r="G265" s="10" t="str">
        <f t="shared" si="18"/>
        <v>('12Mar250017','070000178158','9840',(select max(to_number(i.premium_rcv_detail_code))+1
from ins_premium_det i),'9840','9840','02', '11000003','00','Request by Mr. Saqib Saleem 12-Mar-2025');</v>
      </c>
      <c r="H265" s="11" t="str">
        <f t="shared" si="19"/>
        <v>insert into ins_premium_det (premium_rcv_code,assorted_code, rec_amount,premium_rcv_detail_code,remaining_amt, payrec, mode_code,coinsurance_code,class_cd,it_remarks) values('12Mar250017','070000178158','9840',(select max(to_number(i.premium_rcv_detail_code))+1
from ins_premium_det i),'9840','9840','02', '11000003','00','Request by Mr. Saqib Saleem 12-Mar-2025');</v>
      </c>
    </row>
    <row r="266" spans="1:8" ht="105" x14ac:dyDescent="0.25">
      <c r="A266" s="1" t="s">
        <v>555</v>
      </c>
      <c r="B266" s="1" t="str">
        <f>VLOOKUP(A266,policy!B:C,2,0)</f>
        <v>070000178159</v>
      </c>
      <c r="C266" s="4">
        <v>5521</v>
      </c>
      <c r="D266" s="8">
        <f t="shared" si="17"/>
        <v>5521</v>
      </c>
      <c r="E266" s="12" t="s">
        <v>821</v>
      </c>
      <c r="F266" s="9" t="str">
        <f t="shared" si="16"/>
        <v>insert into ins_premium_det (premium_rcv_code,assorted_code, rec_amount,premium_rcv_detail_code,remaining_amt, payrec, mode_code,coinsurance_code,class_cd,it_remarks) values</v>
      </c>
      <c r="G266" s="10" t="str">
        <f t="shared" si="18"/>
        <v>('12Mar250017','070000178159','5521',(select max(to_number(i.premium_rcv_detail_code))+1
from ins_premium_det i),'5521','5521','02', '11000003','00','Request by Mr. Saqib Saleem 12-Mar-2025');</v>
      </c>
      <c r="H266" s="11" t="str">
        <f t="shared" si="19"/>
        <v>insert into ins_premium_det (premium_rcv_code,assorted_code, rec_amount,premium_rcv_detail_code,remaining_amt, payrec, mode_code,coinsurance_code,class_cd,it_remarks) values('12Mar250017','070000178159','5521',(select max(to_number(i.premium_rcv_detail_code))+1
from ins_premium_det i),'5521','5521','02', '11000003','00','Request by Mr. Saqib Saleem 12-Mar-2025');</v>
      </c>
    </row>
    <row r="267" spans="1:8" ht="105" x14ac:dyDescent="0.25">
      <c r="A267" s="1" t="s">
        <v>557</v>
      </c>
      <c r="B267" s="1" t="str">
        <f>VLOOKUP(A267,policy!B:C,2,0)</f>
        <v>070000178160</v>
      </c>
      <c r="C267" s="4">
        <v>5159</v>
      </c>
      <c r="D267" s="8">
        <f t="shared" si="17"/>
        <v>5159</v>
      </c>
      <c r="E267" s="12" t="s">
        <v>821</v>
      </c>
      <c r="F267" s="9" t="str">
        <f t="shared" si="16"/>
        <v>insert into ins_premium_det (premium_rcv_code,assorted_code, rec_amount,premium_rcv_detail_code,remaining_amt, payrec, mode_code,coinsurance_code,class_cd,it_remarks) values</v>
      </c>
      <c r="G267" s="10" t="str">
        <f t="shared" si="18"/>
        <v>('12Mar250017','070000178160','5159',(select max(to_number(i.premium_rcv_detail_code))+1
from ins_premium_det i),'5159','5159','02', '11000003','00','Request by Mr. Saqib Saleem 12-Mar-2025');</v>
      </c>
      <c r="H267" s="11" t="str">
        <f t="shared" si="19"/>
        <v>insert into ins_premium_det (premium_rcv_code,assorted_code, rec_amount,premium_rcv_detail_code,remaining_amt, payrec, mode_code,coinsurance_code,class_cd,it_remarks) values('12Mar250017','070000178160','5159',(select max(to_number(i.premium_rcv_detail_code))+1
from ins_premium_det i),'5159','5159','02', '11000003','00','Request by Mr. Saqib Saleem 12-Mar-2025');</v>
      </c>
    </row>
    <row r="268" spans="1:8" ht="105" x14ac:dyDescent="0.25">
      <c r="A268" s="1" t="s">
        <v>559</v>
      </c>
      <c r="B268" s="1" t="str">
        <f>VLOOKUP(A268,policy!B:C,2,0)</f>
        <v>070000178161</v>
      </c>
      <c r="C268" s="4">
        <v>7680</v>
      </c>
      <c r="D268" s="8">
        <f t="shared" si="17"/>
        <v>7680</v>
      </c>
      <c r="E268" s="12" t="s">
        <v>821</v>
      </c>
      <c r="F268" s="9" t="str">
        <f t="shared" si="16"/>
        <v>insert into ins_premium_det (premium_rcv_code,assorted_code, rec_amount,premium_rcv_detail_code,remaining_amt, payrec, mode_code,coinsurance_code,class_cd,it_remarks) values</v>
      </c>
      <c r="G268" s="10" t="str">
        <f t="shared" si="18"/>
        <v>('12Mar250017','070000178161','7680',(select max(to_number(i.premium_rcv_detail_code))+1
from ins_premium_det i),'7680','7680','02', '11000003','00','Request by Mr. Saqib Saleem 12-Mar-2025');</v>
      </c>
      <c r="H268" s="11" t="str">
        <f t="shared" si="19"/>
        <v>insert into ins_premium_det (premium_rcv_code,assorted_code, rec_amount,premium_rcv_detail_code,remaining_amt, payrec, mode_code,coinsurance_code,class_cd,it_remarks) values('12Mar250017','070000178161','7680',(select max(to_number(i.premium_rcv_detail_code))+1
from ins_premium_det i),'7680','7680','02', '11000003','00','Request by Mr. Saqib Saleem 12-Mar-2025');</v>
      </c>
    </row>
    <row r="269" spans="1:8" ht="105" x14ac:dyDescent="0.25">
      <c r="A269" s="1" t="s">
        <v>561</v>
      </c>
      <c r="B269" s="1" t="str">
        <f>VLOOKUP(A269,policy!B:C,2,0)</f>
        <v>070000178162</v>
      </c>
      <c r="C269" s="4">
        <v>5521</v>
      </c>
      <c r="D269" s="8">
        <f t="shared" si="17"/>
        <v>5521</v>
      </c>
      <c r="E269" s="12" t="s">
        <v>821</v>
      </c>
      <c r="F269" s="9" t="str">
        <f t="shared" si="16"/>
        <v>insert into ins_premium_det (premium_rcv_code,assorted_code, rec_amount,premium_rcv_detail_code,remaining_amt, payrec, mode_code,coinsurance_code,class_cd,it_remarks) values</v>
      </c>
      <c r="G269" s="10" t="str">
        <f t="shared" si="18"/>
        <v>('12Mar250017','070000178162','5521',(select max(to_number(i.premium_rcv_detail_code))+1
from ins_premium_det i),'5521','5521','02', '11000003','00','Request by Mr. Saqib Saleem 12-Mar-2025');</v>
      </c>
      <c r="H269" s="11" t="str">
        <f t="shared" si="19"/>
        <v>insert into ins_premium_det (premium_rcv_code,assorted_code, rec_amount,premium_rcv_detail_code,remaining_amt, payrec, mode_code,coinsurance_code,class_cd,it_remarks) values('12Mar250017','070000178162','5521',(select max(to_number(i.premium_rcv_detail_code))+1
from ins_premium_det i),'5521','5521','02', '11000003','00','Request by Mr. Saqib Saleem 12-Mar-2025');</v>
      </c>
    </row>
    <row r="270" spans="1:8" ht="105" x14ac:dyDescent="0.25">
      <c r="A270" s="1" t="s">
        <v>562</v>
      </c>
      <c r="B270" s="1" t="str">
        <f>VLOOKUP(A270,policy!B:C,2,0)</f>
        <v>070000178163</v>
      </c>
      <c r="C270" s="4">
        <v>7320</v>
      </c>
      <c r="D270" s="8">
        <f t="shared" si="17"/>
        <v>7320</v>
      </c>
      <c r="E270" s="12" t="s">
        <v>821</v>
      </c>
      <c r="F270" s="9" t="str">
        <f t="shared" si="16"/>
        <v>insert into ins_premium_det (premium_rcv_code,assorted_code, rec_amount,premium_rcv_detail_code,remaining_amt, payrec, mode_code,coinsurance_code,class_cd,it_remarks) values</v>
      </c>
      <c r="G270" s="10" t="str">
        <f t="shared" si="18"/>
        <v>('12Mar250017','070000178163','7320',(select max(to_number(i.premium_rcv_detail_code))+1
from ins_premium_det i),'7320','7320','02', '11000003','00','Request by Mr. Saqib Saleem 12-Mar-2025');</v>
      </c>
      <c r="H270" s="11" t="str">
        <f t="shared" si="19"/>
        <v>insert into ins_premium_det (premium_rcv_code,assorted_code, rec_amount,premium_rcv_detail_code,remaining_amt, payrec, mode_code,coinsurance_code,class_cd,it_remarks) values('12Mar250017','070000178163','7320',(select max(to_number(i.premium_rcv_detail_code))+1
from ins_premium_det i),'7320','7320','02', '11000003','00','Request by Mr. Saqib Saleem 12-Mar-2025');</v>
      </c>
    </row>
    <row r="271" spans="1:8" ht="105" x14ac:dyDescent="0.25">
      <c r="A271" s="1" t="s">
        <v>564</v>
      </c>
      <c r="B271" s="1" t="str">
        <f>VLOOKUP(A271,policy!B:C,2,0)</f>
        <v>070000178164</v>
      </c>
      <c r="C271" s="4">
        <v>9600</v>
      </c>
      <c r="D271" s="8">
        <f t="shared" si="17"/>
        <v>9600</v>
      </c>
      <c r="E271" s="12" t="s">
        <v>821</v>
      </c>
      <c r="F271" s="9" t="str">
        <f t="shared" si="16"/>
        <v>insert into ins_premium_det (premium_rcv_code,assorted_code, rec_amount,premium_rcv_detail_code,remaining_amt, payrec, mode_code,coinsurance_code,class_cd,it_remarks) values</v>
      </c>
      <c r="G271" s="10" t="str">
        <f t="shared" si="18"/>
        <v>('12Mar250017','070000178164','9600',(select max(to_number(i.premium_rcv_detail_code))+1
from ins_premium_det i),'9600','9600','02', '11000003','00','Request by Mr. Saqib Saleem 12-Mar-2025');</v>
      </c>
      <c r="H271" s="11" t="str">
        <f t="shared" si="19"/>
        <v>insert into ins_premium_det (premium_rcv_code,assorted_code, rec_amount,premium_rcv_detail_code,remaining_amt, payrec, mode_code,coinsurance_code,class_cd,it_remarks) values('12Mar250017','070000178164','9600',(select max(to_number(i.premium_rcv_detail_code))+1
from ins_premium_det i),'9600','9600','02', '11000003','00','Request by Mr. Saqib Saleem 12-Mar-2025');</v>
      </c>
    </row>
    <row r="272" spans="1:8" ht="105" x14ac:dyDescent="0.25">
      <c r="A272" s="1" t="s">
        <v>566</v>
      </c>
      <c r="B272" s="1" t="str">
        <f>VLOOKUP(A272,policy!B:C,2,0)</f>
        <v>070000178165</v>
      </c>
      <c r="C272" s="4">
        <v>6120</v>
      </c>
      <c r="D272" s="8">
        <f t="shared" si="17"/>
        <v>6120</v>
      </c>
      <c r="E272" s="12" t="s">
        <v>821</v>
      </c>
      <c r="F272" s="9" t="str">
        <f t="shared" si="16"/>
        <v>insert into ins_premium_det (premium_rcv_code,assorted_code, rec_amount,premium_rcv_detail_code,remaining_amt, payrec, mode_code,coinsurance_code,class_cd,it_remarks) values</v>
      </c>
      <c r="G272" s="10" t="str">
        <f t="shared" si="18"/>
        <v>('12Mar250017','070000178165','6120',(select max(to_number(i.premium_rcv_detail_code))+1
from ins_premium_det i),'6120','6120','02', '11000003','00','Request by Mr. Saqib Saleem 12-Mar-2025');</v>
      </c>
      <c r="H272" s="11" t="str">
        <f t="shared" si="19"/>
        <v>insert into ins_premium_det (premium_rcv_code,assorted_code, rec_amount,premium_rcv_detail_code,remaining_amt, payrec, mode_code,coinsurance_code,class_cd,it_remarks) values('12Mar250017','070000178165','6120',(select max(to_number(i.premium_rcv_detail_code))+1
from ins_premium_det i),'6120','6120','02', '11000003','00','Request by Mr. Saqib Saleem 12-Mar-2025');</v>
      </c>
    </row>
    <row r="273" spans="1:8" ht="105" x14ac:dyDescent="0.25">
      <c r="A273" s="1" t="s">
        <v>568</v>
      </c>
      <c r="B273" s="1" t="str">
        <f>VLOOKUP(A273,policy!B:C,2,0)</f>
        <v>070000178166</v>
      </c>
      <c r="C273" s="4">
        <v>6480</v>
      </c>
      <c r="D273" s="8">
        <f t="shared" si="17"/>
        <v>6480</v>
      </c>
      <c r="E273" s="12" t="s">
        <v>821</v>
      </c>
      <c r="F273" s="9" t="str">
        <f t="shared" si="16"/>
        <v>insert into ins_premium_det (premium_rcv_code,assorted_code, rec_amount,premium_rcv_detail_code,remaining_amt, payrec, mode_code,coinsurance_code,class_cd,it_remarks) values</v>
      </c>
      <c r="G273" s="10" t="str">
        <f t="shared" si="18"/>
        <v>('12Mar250017','070000178166','6480',(select max(to_number(i.premium_rcv_detail_code))+1
from ins_premium_det i),'6480','6480','02', '11000003','00','Request by Mr. Saqib Saleem 12-Mar-2025');</v>
      </c>
      <c r="H273" s="11" t="str">
        <f t="shared" si="19"/>
        <v>insert into ins_premium_det (premium_rcv_code,assorted_code, rec_amount,premium_rcv_detail_code,remaining_amt, payrec, mode_code,coinsurance_code,class_cd,it_remarks) values('12Mar250017','070000178166','6480',(select max(to_number(i.premium_rcv_detail_code))+1
from ins_premium_det i),'6480','6480','02', '11000003','00','Request by Mr. Saqib Saleem 12-Mar-2025');</v>
      </c>
    </row>
    <row r="274" spans="1:8" ht="105" x14ac:dyDescent="0.25">
      <c r="A274" s="1" t="s">
        <v>569</v>
      </c>
      <c r="B274" s="1" t="str">
        <f>VLOOKUP(A274,policy!B:C,2,0)</f>
        <v>070000178167</v>
      </c>
      <c r="C274" s="4">
        <v>12481</v>
      </c>
      <c r="D274" s="8">
        <f t="shared" si="17"/>
        <v>12481</v>
      </c>
      <c r="E274" s="12" t="s">
        <v>821</v>
      </c>
      <c r="F274" s="9" t="str">
        <f t="shared" si="16"/>
        <v>insert into ins_premium_det (premium_rcv_code,assorted_code, rec_amount,premium_rcv_detail_code,remaining_amt, payrec, mode_code,coinsurance_code,class_cd,it_remarks) values</v>
      </c>
      <c r="G274" s="10" t="str">
        <f t="shared" si="18"/>
        <v>('12Mar250017','070000178167','12481',(select max(to_number(i.premium_rcv_detail_code))+1
from ins_premium_det i),'12481','12481','02', '11000003','00','Request by Mr. Saqib Saleem 12-Mar-2025');</v>
      </c>
      <c r="H274" s="11" t="str">
        <f t="shared" si="19"/>
        <v>insert into ins_premium_det (premium_rcv_code,assorted_code, rec_amount,premium_rcv_detail_code,remaining_amt, payrec, mode_code,coinsurance_code,class_cd,it_remarks) values('12Mar250017','070000178167','12481',(select max(to_number(i.premium_rcv_detail_code))+1
from ins_premium_det i),'12481','12481','02', '11000003','00','Request by Mr. Saqib Saleem 12-Mar-2025');</v>
      </c>
    </row>
    <row r="275" spans="1:8" ht="105" x14ac:dyDescent="0.25">
      <c r="A275" s="1" t="s">
        <v>571</v>
      </c>
      <c r="B275" s="1" t="str">
        <f>VLOOKUP(A275,policy!B:C,2,0)</f>
        <v>070000178168</v>
      </c>
      <c r="C275" s="4">
        <v>4080</v>
      </c>
      <c r="D275" s="8">
        <f t="shared" si="17"/>
        <v>4080</v>
      </c>
      <c r="E275" s="12" t="s">
        <v>821</v>
      </c>
      <c r="F275" s="9" t="str">
        <f t="shared" si="16"/>
        <v>insert into ins_premium_det (premium_rcv_code,assorted_code, rec_amount,premium_rcv_detail_code,remaining_amt, payrec, mode_code,coinsurance_code,class_cd,it_remarks) values</v>
      </c>
      <c r="G275" s="10" t="str">
        <f t="shared" si="18"/>
        <v>('12Mar250017','070000178168','4080',(select max(to_number(i.premium_rcv_detail_code))+1
from ins_premium_det i),'4080','4080','02', '11000003','00','Request by Mr. Saqib Saleem 12-Mar-2025');</v>
      </c>
      <c r="H275" s="11" t="str">
        <f t="shared" si="19"/>
        <v>insert into ins_premium_det (premium_rcv_code,assorted_code, rec_amount,premium_rcv_detail_code,remaining_amt, payrec, mode_code,coinsurance_code,class_cd,it_remarks) values('12Mar250017','070000178168','4080',(select max(to_number(i.premium_rcv_detail_code))+1
from ins_premium_det i),'4080','4080','02', '11000003','00','Request by Mr. Saqib Saleem 12-Mar-2025');</v>
      </c>
    </row>
    <row r="276" spans="1:8" ht="105" x14ac:dyDescent="0.25">
      <c r="A276" s="1" t="s">
        <v>573</v>
      </c>
      <c r="B276" s="1" t="str">
        <f>VLOOKUP(A276,policy!B:C,2,0)</f>
        <v>070000178169</v>
      </c>
      <c r="C276" s="4">
        <v>9600</v>
      </c>
      <c r="D276" s="8">
        <f t="shared" si="17"/>
        <v>9600</v>
      </c>
      <c r="E276" s="12" t="s">
        <v>821</v>
      </c>
      <c r="F276" s="9" t="str">
        <f t="shared" si="16"/>
        <v>insert into ins_premium_det (premium_rcv_code,assorted_code, rec_amount,premium_rcv_detail_code,remaining_amt, payrec, mode_code,coinsurance_code,class_cd,it_remarks) values</v>
      </c>
      <c r="G276" s="10" t="str">
        <f t="shared" si="18"/>
        <v>('12Mar250017','070000178169','9600',(select max(to_number(i.premium_rcv_detail_code))+1
from ins_premium_det i),'9600','9600','02', '11000003','00','Request by Mr. Saqib Saleem 12-Mar-2025');</v>
      </c>
      <c r="H276" s="11" t="str">
        <f t="shared" si="19"/>
        <v>insert into ins_premium_det (premium_rcv_code,assorted_code, rec_amount,premium_rcv_detail_code,remaining_amt, payrec, mode_code,coinsurance_code,class_cd,it_remarks) values('12Mar250017','070000178169','9600',(select max(to_number(i.premium_rcv_detail_code))+1
from ins_premium_det i),'9600','9600','02', '11000003','00','Request by Mr. Saqib Saleem 12-Mar-2025');</v>
      </c>
    </row>
    <row r="277" spans="1:8" ht="105" x14ac:dyDescent="0.25">
      <c r="A277" s="1" t="s">
        <v>575</v>
      </c>
      <c r="B277" s="1" t="str">
        <f>VLOOKUP(A277,policy!B:C,2,0)</f>
        <v>070000178170</v>
      </c>
      <c r="C277" s="4">
        <v>8159</v>
      </c>
      <c r="D277" s="8">
        <f t="shared" si="17"/>
        <v>8159</v>
      </c>
      <c r="E277" s="12" t="s">
        <v>821</v>
      </c>
      <c r="F277" s="9" t="str">
        <f t="shared" si="16"/>
        <v>insert into ins_premium_det (premium_rcv_code,assorted_code, rec_amount,premium_rcv_detail_code,remaining_amt, payrec, mode_code,coinsurance_code,class_cd,it_remarks) values</v>
      </c>
      <c r="G277" s="10" t="str">
        <f t="shared" si="18"/>
        <v>('12Mar250017','070000178170','8159',(select max(to_number(i.premium_rcv_detail_code))+1
from ins_premium_det i),'8159','8159','02', '11000003','00','Request by Mr. Saqib Saleem 12-Mar-2025');</v>
      </c>
      <c r="H277" s="11" t="str">
        <f t="shared" si="19"/>
        <v>insert into ins_premium_det (premium_rcv_code,assorted_code, rec_amount,premium_rcv_detail_code,remaining_amt, payrec, mode_code,coinsurance_code,class_cd,it_remarks) values('12Mar250017','070000178170','8159',(select max(to_number(i.premium_rcv_detail_code))+1
from ins_premium_det i),'8159','8159','02', '11000003','00','Request by Mr. Saqib Saleem 12-Mar-2025');</v>
      </c>
    </row>
    <row r="278" spans="1:8" ht="105" x14ac:dyDescent="0.25">
      <c r="A278" s="1" t="s">
        <v>577</v>
      </c>
      <c r="B278" s="1" t="str">
        <f>VLOOKUP(A278,policy!B:C,2,0)</f>
        <v>070000178171</v>
      </c>
      <c r="C278" s="4">
        <v>12721</v>
      </c>
      <c r="D278" s="8">
        <f t="shared" si="17"/>
        <v>12721</v>
      </c>
      <c r="E278" s="12" t="s">
        <v>821</v>
      </c>
      <c r="F278" s="9" t="str">
        <f t="shared" si="16"/>
        <v>insert into ins_premium_det (premium_rcv_code,assorted_code, rec_amount,premium_rcv_detail_code,remaining_amt, payrec, mode_code,coinsurance_code,class_cd,it_remarks) values</v>
      </c>
      <c r="G278" s="10" t="str">
        <f t="shared" si="18"/>
        <v>('12Mar250017','070000178171','12721',(select max(to_number(i.premium_rcv_detail_code))+1
from ins_premium_det i),'12721','12721','02', '11000003','00','Request by Mr. Saqib Saleem 12-Mar-2025');</v>
      </c>
      <c r="H278" s="11" t="str">
        <f t="shared" si="19"/>
        <v>insert into ins_premium_det (premium_rcv_code,assorted_code, rec_amount,premium_rcv_detail_code,remaining_amt, payrec, mode_code,coinsurance_code,class_cd,it_remarks) values('12Mar250017','070000178171','12721',(select max(to_number(i.premium_rcv_detail_code))+1
from ins_premium_det i),'12721','12721','02', '11000003','00','Request by Mr. Saqib Saleem 12-Mar-2025');</v>
      </c>
    </row>
    <row r="279" spans="1:8" ht="105" x14ac:dyDescent="0.25">
      <c r="A279" s="1" t="s">
        <v>579</v>
      </c>
      <c r="B279" s="1" t="str">
        <f>VLOOKUP(A279,policy!B:C,2,0)</f>
        <v>070000178172</v>
      </c>
      <c r="C279" s="4">
        <v>12600</v>
      </c>
      <c r="D279" s="8">
        <f t="shared" si="17"/>
        <v>12600</v>
      </c>
      <c r="E279" s="12" t="s">
        <v>821</v>
      </c>
      <c r="F279" s="9" t="str">
        <f t="shared" si="16"/>
        <v>insert into ins_premium_det (premium_rcv_code,assorted_code, rec_amount,premium_rcv_detail_code,remaining_amt, payrec, mode_code,coinsurance_code,class_cd,it_remarks) values</v>
      </c>
      <c r="G279" s="10" t="str">
        <f t="shared" si="18"/>
        <v>('12Mar250017','070000178172','12600',(select max(to_number(i.premium_rcv_detail_code))+1
from ins_premium_det i),'12600','12600','02', '11000003','00','Request by Mr. Saqib Saleem 12-Mar-2025');</v>
      </c>
      <c r="H279" s="11" t="str">
        <f t="shared" si="19"/>
        <v>insert into ins_premium_det (premium_rcv_code,assorted_code, rec_amount,premium_rcv_detail_code,remaining_amt, payrec, mode_code,coinsurance_code,class_cd,it_remarks) values('12Mar250017','070000178172','12600',(select max(to_number(i.premium_rcv_detail_code))+1
from ins_premium_det i),'12600','12600','02', '11000003','00','Request by Mr. Saqib Saleem 12-Mar-2025');</v>
      </c>
    </row>
    <row r="280" spans="1:8" ht="105" x14ac:dyDescent="0.25">
      <c r="A280" s="1" t="s">
        <v>580</v>
      </c>
      <c r="B280" s="1" t="str">
        <f>VLOOKUP(A280,policy!B:C,2,0)</f>
        <v>070000178173</v>
      </c>
      <c r="C280" s="4">
        <v>8880</v>
      </c>
      <c r="D280" s="8">
        <f t="shared" si="17"/>
        <v>8880</v>
      </c>
      <c r="E280" s="12" t="s">
        <v>821</v>
      </c>
      <c r="F280" s="9" t="str">
        <f t="shared" si="16"/>
        <v>insert into ins_premium_det (premium_rcv_code,assorted_code, rec_amount,premium_rcv_detail_code,remaining_amt, payrec, mode_code,coinsurance_code,class_cd,it_remarks) values</v>
      </c>
      <c r="G280" s="10" t="str">
        <f t="shared" si="18"/>
        <v>('12Mar250017','070000178173','8880',(select max(to_number(i.premium_rcv_detail_code))+1
from ins_premium_det i),'8880','8880','02', '11000003','00','Request by Mr. Saqib Saleem 12-Mar-2025');</v>
      </c>
      <c r="H280" s="11" t="str">
        <f t="shared" si="19"/>
        <v>insert into ins_premium_det (premium_rcv_code,assorted_code, rec_amount,premium_rcv_detail_code,remaining_amt, payrec, mode_code,coinsurance_code,class_cd,it_remarks) values('12Mar250017','070000178173','8880',(select max(to_number(i.premium_rcv_detail_code))+1
from ins_premium_det i),'8880','8880','02', '11000003','00','Request by Mr. Saqib Saleem 12-Mar-2025');</v>
      </c>
    </row>
    <row r="281" spans="1:8" ht="105" x14ac:dyDescent="0.25">
      <c r="A281" s="1" t="s">
        <v>582</v>
      </c>
      <c r="B281" s="1" t="str">
        <f>VLOOKUP(A281,policy!B:C,2,0)</f>
        <v>070000178174</v>
      </c>
      <c r="C281" s="4">
        <v>11040</v>
      </c>
      <c r="D281" s="8">
        <f t="shared" si="17"/>
        <v>11040</v>
      </c>
      <c r="E281" s="12" t="s">
        <v>821</v>
      </c>
      <c r="F281" s="9" t="str">
        <f t="shared" si="16"/>
        <v>insert into ins_premium_det (premium_rcv_code,assorted_code, rec_amount,premium_rcv_detail_code,remaining_amt, payrec, mode_code,coinsurance_code,class_cd,it_remarks) values</v>
      </c>
      <c r="G281" s="10" t="str">
        <f t="shared" si="18"/>
        <v>('12Mar250017','070000178174','11040',(select max(to_number(i.premium_rcv_detail_code))+1
from ins_premium_det i),'11040','11040','02', '11000003','00','Request by Mr. Saqib Saleem 12-Mar-2025');</v>
      </c>
      <c r="H281" s="11" t="str">
        <f t="shared" si="19"/>
        <v>insert into ins_premium_det (premium_rcv_code,assorted_code, rec_amount,premium_rcv_detail_code,remaining_amt, payrec, mode_code,coinsurance_code,class_cd,it_remarks) values('12Mar250017','070000178174','11040',(select max(to_number(i.premium_rcv_detail_code))+1
from ins_premium_det i),'11040','11040','02', '11000003','00','Request by Mr. Saqib Saleem 12-Mar-2025');</v>
      </c>
    </row>
    <row r="282" spans="1:8" ht="105" x14ac:dyDescent="0.25">
      <c r="A282" s="1" t="s">
        <v>584</v>
      </c>
      <c r="B282" s="1" t="str">
        <f>VLOOKUP(A282,policy!B:C,2,0)</f>
        <v>070000178175</v>
      </c>
      <c r="C282" s="4">
        <v>12960</v>
      </c>
      <c r="D282" s="8">
        <f t="shared" si="17"/>
        <v>12960</v>
      </c>
      <c r="E282" s="12" t="s">
        <v>821</v>
      </c>
      <c r="F282" s="9" t="str">
        <f t="shared" si="16"/>
        <v>insert into ins_premium_det (premium_rcv_code,assorted_code, rec_amount,premium_rcv_detail_code,remaining_amt, payrec, mode_code,coinsurance_code,class_cd,it_remarks) values</v>
      </c>
      <c r="G282" s="10" t="str">
        <f t="shared" si="18"/>
        <v>('12Mar250017','070000178175','12960',(select max(to_number(i.premium_rcv_detail_code))+1
from ins_premium_det i),'12960','12960','02', '11000003','00','Request by Mr. Saqib Saleem 12-Mar-2025');</v>
      </c>
      <c r="H282" s="11" t="str">
        <f t="shared" si="19"/>
        <v>insert into ins_premium_det (premium_rcv_code,assorted_code, rec_amount,premium_rcv_detail_code,remaining_amt, payrec, mode_code,coinsurance_code,class_cd,it_remarks) values('12Mar250017','070000178175','12960',(select max(to_number(i.premium_rcv_detail_code))+1
from ins_premium_det i),'12960','12960','02', '11000003','00','Request by Mr. Saqib Saleem 12-Mar-2025');</v>
      </c>
    </row>
    <row r="283" spans="1:8" ht="105" x14ac:dyDescent="0.25">
      <c r="A283" s="1" t="s">
        <v>586</v>
      </c>
      <c r="B283" s="1" t="str">
        <f>VLOOKUP(A283,policy!B:C,2,0)</f>
        <v>070000178176</v>
      </c>
      <c r="C283" s="4">
        <v>6120</v>
      </c>
      <c r="D283" s="8">
        <f t="shared" si="17"/>
        <v>6120</v>
      </c>
      <c r="E283" s="12" t="s">
        <v>821</v>
      </c>
      <c r="F283" s="9" t="str">
        <f t="shared" si="16"/>
        <v>insert into ins_premium_det (premium_rcv_code,assorted_code, rec_amount,premium_rcv_detail_code,remaining_amt, payrec, mode_code,coinsurance_code,class_cd,it_remarks) values</v>
      </c>
      <c r="G283" s="10" t="str">
        <f t="shared" si="18"/>
        <v>('12Mar250017','070000178176','6120',(select max(to_number(i.premium_rcv_detail_code))+1
from ins_premium_det i),'6120','6120','02', '11000003','00','Request by Mr. Saqib Saleem 12-Mar-2025');</v>
      </c>
      <c r="H283" s="11" t="str">
        <f t="shared" si="19"/>
        <v>insert into ins_premium_det (premium_rcv_code,assorted_code, rec_amount,premium_rcv_detail_code,remaining_amt, payrec, mode_code,coinsurance_code,class_cd,it_remarks) values('12Mar250017','070000178176','6120',(select max(to_number(i.premium_rcv_detail_code))+1
from ins_premium_det i),'6120','6120','02', '11000003','00','Request by Mr. Saqib Saleem 12-Mar-2025');</v>
      </c>
    </row>
    <row r="284" spans="1:8" ht="105" x14ac:dyDescent="0.25">
      <c r="A284" s="1" t="s">
        <v>588</v>
      </c>
      <c r="B284" s="1" t="str">
        <f>VLOOKUP(A284,policy!B:C,2,0)</f>
        <v>070000178177</v>
      </c>
      <c r="C284" s="4">
        <v>5159</v>
      </c>
      <c r="D284" s="8">
        <f t="shared" si="17"/>
        <v>5159</v>
      </c>
      <c r="E284" s="12" t="s">
        <v>821</v>
      </c>
      <c r="F284" s="9" t="str">
        <f t="shared" si="16"/>
        <v>insert into ins_premium_det (premium_rcv_code,assorted_code, rec_amount,premium_rcv_detail_code,remaining_amt, payrec, mode_code,coinsurance_code,class_cd,it_remarks) values</v>
      </c>
      <c r="G284" s="10" t="str">
        <f t="shared" si="18"/>
        <v>('12Mar250017','070000178177','5159',(select max(to_number(i.premium_rcv_detail_code))+1
from ins_premium_det i),'5159','5159','02', '11000003','00','Request by Mr. Saqib Saleem 12-Mar-2025');</v>
      </c>
      <c r="H284" s="11" t="str">
        <f t="shared" si="19"/>
        <v>insert into ins_premium_det (premium_rcv_code,assorted_code, rec_amount,premium_rcv_detail_code,remaining_amt, payrec, mode_code,coinsurance_code,class_cd,it_remarks) values('12Mar250017','070000178177','5159',(select max(to_number(i.premium_rcv_detail_code))+1
from ins_premium_det i),'5159','5159','02', '11000003','00','Request by Mr. Saqib Saleem 12-Mar-2025');</v>
      </c>
    </row>
    <row r="285" spans="1:8" ht="105" x14ac:dyDescent="0.25">
      <c r="A285" s="1" t="s">
        <v>590</v>
      </c>
      <c r="B285" s="1" t="str">
        <f>VLOOKUP(A285,policy!B:C,2,0)</f>
        <v>070000178178</v>
      </c>
      <c r="C285" s="4">
        <v>10081</v>
      </c>
      <c r="D285" s="8">
        <f t="shared" si="17"/>
        <v>10081</v>
      </c>
      <c r="E285" s="12" t="s">
        <v>821</v>
      </c>
      <c r="F285" s="9" t="str">
        <f t="shared" si="16"/>
        <v>insert into ins_premium_det (premium_rcv_code,assorted_code, rec_amount,premium_rcv_detail_code,remaining_amt, payrec, mode_code,coinsurance_code,class_cd,it_remarks) values</v>
      </c>
      <c r="G285" s="10" t="str">
        <f t="shared" si="18"/>
        <v>('12Mar250017','070000178178','10081',(select max(to_number(i.premium_rcv_detail_code))+1
from ins_premium_det i),'10081','10081','02', '11000003','00','Request by Mr. Saqib Saleem 12-Mar-2025');</v>
      </c>
      <c r="H285" s="11" t="str">
        <f t="shared" si="19"/>
        <v>insert into ins_premium_det (premium_rcv_code,assorted_code, rec_amount,premium_rcv_detail_code,remaining_amt, payrec, mode_code,coinsurance_code,class_cd,it_remarks) values('12Mar250017','070000178178','10081',(select max(to_number(i.premium_rcv_detail_code))+1
from ins_premium_det i),'10081','10081','02', '11000003','00','Request by Mr. Saqib Saleem 12-Mar-2025');</v>
      </c>
    </row>
    <row r="286" spans="1:8" ht="105" x14ac:dyDescent="0.25">
      <c r="A286" s="1" t="s">
        <v>592</v>
      </c>
      <c r="B286" s="1" t="str">
        <f>VLOOKUP(A286,policy!B:C,2,0)</f>
        <v>070000178179</v>
      </c>
      <c r="C286" s="4">
        <v>12241</v>
      </c>
      <c r="D286" s="8">
        <f t="shared" si="17"/>
        <v>12241</v>
      </c>
      <c r="E286" s="12" t="s">
        <v>821</v>
      </c>
      <c r="F286" s="9" t="str">
        <f t="shared" si="16"/>
        <v>insert into ins_premium_det (premium_rcv_code,assorted_code, rec_amount,premium_rcv_detail_code,remaining_amt, payrec, mode_code,coinsurance_code,class_cd,it_remarks) values</v>
      </c>
      <c r="G286" s="10" t="str">
        <f t="shared" si="18"/>
        <v>('12Mar250017','070000178179','12241',(select max(to_number(i.premium_rcv_detail_code))+1
from ins_premium_det i),'12241','12241','02', '11000003','00','Request by Mr. Saqib Saleem 12-Mar-2025');</v>
      </c>
      <c r="H286" s="11" t="str">
        <f t="shared" si="19"/>
        <v>insert into ins_premium_det (premium_rcv_code,assorted_code, rec_amount,premium_rcv_detail_code,remaining_amt, payrec, mode_code,coinsurance_code,class_cd,it_remarks) values('12Mar250017','070000178179','12241',(select max(to_number(i.premium_rcv_detail_code))+1
from ins_premium_det i),'12241','12241','02', '11000003','00','Request by Mr. Saqib Saleem 12-Mar-2025');</v>
      </c>
    </row>
    <row r="287" spans="1:8" ht="105" x14ac:dyDescent="0.25">
      <c r="A287" s="1" t="s">
        <v>594</v>
      </c>
      <c r="B287" s="1" t="str">
        <f>VLOOKUP(A287,policy!B:C,2,0)</f>
        <v>070000178180</v>
      </c>
      <c r="C287" s="4">
        <v>12481</v>
      </c>
      <c r="D287" s="8">
        <f t="shared" si="17"/>
        <v>12481</v>
      </c>
      <c r="E287" s="12" t="s">
        <v>821</v>
      </c>
      <c r="F287" s="9" t="str">
        <f t="shared" si="16"/>
        <v>insert into ins_premium_det (premium_rcv_code,assorted_code, rec_amount,premium_rcv_detail_code,remaining_amt, payrec, mode_code,coinsurance_code,class_cd,it_remarks) values</v>
      </c>
      <c r="G287" s="10" t="str">
        <f t="shared" si="18"/>
        <v>('12Mar250017','070000178180','12481',(select max(to_number(i.premium_rcv_detail_code))+1
from ins_premium_det i),'12481','12481','02', '11000003','00','Request by Mr. Saqib Saleem 12-Mar-2025');</v>
      </c>
      <c r="H287" s="11" t="str">
        <f t="shared" si="19"/>
        <v>insert into ins_premium_det (premium_rcv_code,assorted_code, rec_amount,premium_rcv_detail_code,remaining_amt, payrec, mode_code,coinsurance_code,class_cd,it_remarks) values('12Mar250017','070000178180','12481',(select max(to_number(i.premium_rcv_detail_code))+1
from ins_premium_det i),'12481','12481','02', '11000003','00','Request by Mr. Saqib Saleem 12-Mar-2025');</v>
      </c>
    </row>
    <row r="288" spans="1:8" ht="105" x14ac:dyDescent="0.25">
      <c r="A288" s="1" t="s">
        <v>596</v>
      </c>
      <c r="B288" s="1" t="str">
        <f>VLOOKUP(A288,policy!B:C,2,0)</f>
        <v>070000178181</v>
      </c>
      <c r="C288" s="4">
        <v>8880</v>
      </c>
      <c r="D288" s="8">
        <f t="shared" si="17"/>
        <v>8880</v>
      </c>
      <c r="E288" s="12" t="s">
        <v>821</v>
      </c>
      <c r="F288" s="9" t="str">
        <f t="shared" si="16"/>
        <v>insert into ins_premium_det (premium_rcv_code,assorted_code, rec_amount,premium_rcv_detail_code,remaining_amt, payrec, mode_code,coinsurance_code,class_cd,it_remarks) values</v>
      </c>
      <c r="G288" s="10" t="str">
        <f t="shared" si="18"/>
        <v>('12Mar250017','070000178181','8880',(select max(to_number(i.premium_rcv_detail_code))+1
from ins_premium_det i),'8880','8880','02', '11000003','00','Request by Mr. Saqib Saleem 12-Mar-2025');</v>
      </c>
      <c r="H288" s="11" t="str">
        <f t="shared" si="19"/>
        <v>insert into ins_premium_det (premium_rcv_code,assorted_code, rec_amount,premium_rcv_detail_code,remaining_amt, payrec, mode_code,coinsurance_code,class_cd,it_remarks) values('12Mar250017','070000178181','8880',(select max(to_number(i.premium_rcv_detail_code))+1
from ins_premium_det i),'8880','8880','02', '11000003','00','Request by Mr. Saqib Saleem 12-Mar-2025');</v>
      </c>
    </row>
    <row r="289" spans="1:8" ht="105" x14ac:dyDescent="0.25">
      <c r="A289" s="1" t="s">
        <v>598</v>
      </c>
      <c r="B289" s="1" t="str">
        <f>VLOOKUP(A289,policy!B:C,2,0)</f>
        <v>070000178182</v>
      </c>
      <c r="C289" s="4">
        <v>9960</v>
      </c>
      <c r="D289" s="8">
        <f t="shared" si="17"/>
        <v>9960</v>
      </c>
      <c r="E289" s="12" t="s">
        <v>821</v>
      </c>
      <c r="F289" s="9" t="str">
        <f t="shared" si="16"/>
        <v>insert into ins_premium_det (premium_rcv_code,assorted_code, rec_amount,premium_rcv_detail_code,remaining_amt, payrec, mode_code,coinsurance_code,class_cd,it_remarks) values</v>
      </c>
      <c r="G289" s="10" t="str">
        <f t="shared" si="18"/>
        <v>('12Mar250017','070000178182','9960',(select max(to_number(i.premium_rcv_detail_code))+1
from ins_premium_det i),'9960','9960','02', '11000003','00','Request by Mr. Saqib Saleem 12-Mar-2025');</v>
      </c>
      <c r="H289" s="11" t="str">
        <f t="shared" si="19"/>
        <v>insert into ins_premium_det (premium_rcv_code,assorted_code, rec_amount,premium_rcv_detail_code,remaining_amt, payrec, mode_code,coinsurance_code,class_cd,it_remarks) values('12Mar250017','070000178182','9960',(select max(to_number(i.premium_rcv_detail_code))+1
from ins_premium_det i),'9960','9960','02', '11000003','00','Request by Mr. Saqib Saleem 12-Mar-2025');</v>
      </c>
    </row>
    <row r="290" spans="1:8" ht="105" x14ac:dyDescent="0.25">
      <c r="A290" s="1" t="s">
        <v>600</v>
      </c>
      <c r="B290" s="1" t="str">
        <f>VLOOKUP(A290,policy!B:C,2,0)</f>
        <v>070000178183</v>
      </c>
      <c r="C290" s="4">
        <v>10800</v>
      </c>
      <c r="D290" s="8">
        <f t="shared" si="17"/>
        <v>10800</v>
      </c>
      <c r="E290" s="12" t="s">
        <v>821</v>
      </c>
      <c r="F290" s="9" t="str">
        <f t="shared" si="16"/>
        <v>insert into ins_premium_det (premium_rcv_code,assorted_code, rec_amount,premium_rcv_detail_code,remaining_amt, payrec, mode_code,coinsurance_code,class_cd,it_remarks) values</v>
      </c>
      <c r="G290" s="10" t="str">
        <f t="shared" si="18"/>
        <v>('12Mar250017','070000178183','10800',(select max(to_number(i.premium_rcv_detail_code))+1
from ins_premium_det i),'10800','10800','02', '11000003','00','Request by Mr. Saqib Saleem 12-Mar-2025');</v>
      </c>
      <c r="H290" s="11" t="str">
        <f t="shared" si="19"/>
        <v>insert into ins_premium_det (premium_rcv_code,assorted_code, rec_amount,premium_rcv_detail_code,remaining_amt, payrec, mode_code,coinsurance_code,class_cd,it_remarks) values('12Mar250017','070000178183','10800',(select max(to_number(i.premium_rcv_detail_code))+1
from ins_premium_det i),'10800','10800','02', '11000003','00','Request by Mr. Saqib Saleem 12-Mar-2025');</v>
      </c>
    </row>
    <row r="291" spans="1:8" ht="105" x14ac:dyDescent="0.25">
      <c r="A291" s="1" t="s">
        <v>602</v>
      </c>
      <c r="B291" s="1" t="str">
        <f>VLOOKUP(A291,policy!B:C,2,0)</f>
        <v>070000178184</v>
      </c>
      <c r="C291" s="4">
        <v>11520</v>
      </c>
      <c r="D291" s="8">
        <f t="shared" si="17"/>
        <v>11520</v>
      </c>
      <c r="E291" s="12" t="s">
        <v>821</v>
      </c>
      <c r="F291" s="9" t="str">
        <f t="shared" si="16"/>
        <v>insert into ins_premium_det (premium_rcv_code,assorted_code, rec_amount,premium_rcv_detail_code,remaining_amt, payrec, mode_code,coinsurance_code,class_cd,it_remarks) values</v>
      </c>
      <c r="G291" s="10" t="str">
        <f t="shared" si="18"/>
        <v>('12Mar250017','070000178184','11520',(select max(to_number(i.premium_rcv_detail_code))+1
from ins_premium_det i),'11520','11520','02', '11000003','00','Request by Mr. Saqib Saleem 12-Mar-2025');</v>
      </c>
      <c r="H291" s="11" t="str">
        <f t="shared" si="19"/>
        <v>insert into ins_premium_det (premium_rcv_code,assorted_code, rec_amount,premium_rcv_detail_code,remaining_amt, payrec, mode_code,coinsurance_code,class_cd,it_remarks) values('12Mar250017','070000178184','11520',(select max(to_number(i.premium_rcv_detail_code))+1
from ins_premium_det i),'11520','11520','02', '11000003','00','Request by Mr. Saqib Saleem 12-Mar-2025');</v>
      </c>
    </row>
    <row r="292" spans="1:8" ht="105" x14ac:dyDescent="0.25">
      <c r="A292" s="1" t="s">
        <v>604</v>
      </c>
      <c r="B292" s="1" t="str">
        <f>VLOOKUP(A292,policy!B:C,2,0)</f>
        <v>070000178185</v>
      </c>
      <c r="C292" s="4">
        <v>11100</v>
      </c>
      <c r="D292" s="8">
        <f t="shared" si="17"/>
        <v>11100</v>
      </c>
      <c r="E292" s="12" t="s">
        <v>821</v>
      </c>
      <c r="F292" s="9" t="str">
        <f t="shared" si="16"/>
        <v>insert into ins_premium_det (premium_rcv_code,assorted_code, rec_amount,premium_rcv_detail_code,remaining_amt, payrec, mode_code,coinsurance_code,class_cd,it_remarks) values</v>
      </c>
      <c r="G292" s="10" t="str">
        <f t="shared" si="18"/>
        <v>('12Mar250017','070000178185','11100',(select max(to_number(i.premium_rcv_detail_code))+1
from ins_premium_det i),'11100','11100','02', '11000003','00','Request by Mr. Saqib Saleem 12-Mar-2025');</v>
      </c>
      <c r="H292" s="11" t="str">
        <f t="shared" si="19"/>
        <v>insert into ins_premium_det (premium_rcv_code,assorted_code, rec_amount,premium_rcv_detail_code,remaining_amt, payrec, mode_code,coinsurance_code,class_cd,it_remarks) values('12Mar250017','070000178185','11100',(select max(to_number(i.premium_rcv_detail_code))+1
from ins_premium_det i),'11100','11100','02', '11000003','00','Request by Mr. Saqib Saleem 12-Mar-2025');</v>
      </c>
    </row>
    <row r="293" spans="1:8" ht="105" x14ac:dyDescent="0.25">
      <c r="A293" s="1" t="s">
        <v>605</v>
      </c>
      <c r="B293" s="1" t="str">
        <f>VLOOKUP(A293,policy!B:C,2,0)</f>
        <v>070000178186</v>
      </c>
      <c r="C293" s="4">
        <v>14100</v>
      </c>
      <c r="D293" s="8">
        <f t="shared" si="17"/>
        <v>14100</v>
      </c>
      <c r="E293" s="12" t="s">
        <v>821</v>
      </c>
      <c r="F293" s="9" t="str">
        <f t="shared" si="16"/>
        <v>insert into ins_premium_det (premium_rcv_code,assorted_code, rec_amount,premium_rcv_detail_code,remaining_amt, payrec, mode_code,coinsurance_code,class_cd,it_remarks) values</v>
      </c>
      <c r="G293" s="10" t="str">
        <f t="shared" si="18"/>
        <v>('12Mar250017','070000178186','14100',(select max(to_number(i.premium_rcv_detail_code))+1
from ins_premium_det i),'14100','14100','02', '11000003','00','Request by Mr. Saqib Saleem 12-Mar-2025');</v>
      </c>
      <c r="H293" s="11" t="str">
        <f t="shared" si="19"/>
        <v>insert into ins_premium_det (premium_rcv_code,assorted_code, rec_amount,premium_rcv_detail_code,remaining_amt, payrec, mode_code,coinsurance_code,class_cd,it_remarks) values('12Mar250017','070000178186','14100',(select max(to_number(i.premium_rcv_detail_code))+1
from ins_premium_det i),'14100','14100','02', '11000003','00','Request by Mr. Saqib Saleem 12-Mar-2025');</v>
      </c>
    </row>
    <row r="294" spans="1:8" ht="105" x14ac:dyDescent="0.25">
      <c r="A294" s="1" t="s">
        <v>606</v>
      </c>
      <c r="B294" s="1" t="str">
        <f>VLOOKUP(A294,policy!B:C,2,0)</f>
        <v>070000178187</v>
      </c>
      <c r="C294" s="4">
        <v>1649</v>
      </c>
      <c r="D294" s="8">
        <f t="shared" si="17"/>
        <v>1649</v>
      </c>
      <c r="E294" s="12" t="s">
        <v>821</v>
      </c>
      <c r="F294" s="9" t="str">
        <f t="shared" si="16"/>
        <v>insert into ins_premium_det (premium_rcv_code,assorted_code, rec_amount,premium_rcv_detail_code,remaining_amt, payrec, mode_code,coinsurance_code,class_cd,it_remarks) values</v>
      </c>
      <c r="G294" s="10" t="str">
        <f t="shared" si="18"/>
        <v>('12Mar250017','070000178187','1649',(select max(to_number(i.premium_rcv_detail_code))+1
from ins_premium_det i),'1649','1649','02', '11000003','00','Request by Mr. Saqib Saleem 12-Mar-2025');</v>
      </c>
      <c r="H294" s="11" t="str">
        <f t="shared" si="19"/>
        <v>insert into ins_premium_det (premium_rcv_code,assorted_code, rec_amount,premium_rcv_detail_code,remaining_amt, payrec, mode_code,coinsurance_code,class_cd,it_remarks) values('12Mar250017','070000178187','1649',(select max(to_number(i.premium_rcv_detail_code))+1
from ins_premium_det i),'1649','1649','02', '11000003','00','Request by Mr. Saqib Saleem 12-Mar-2025');</v>
      </c>
    </row>
    <row r="295" spans="1:8" ht="105" x14ac:dyDescent="0.25">
      <c r="A295" s="1" t="s">
        <v>607</v>
      </c>
      <c r="B295" s="1" t="str">
        <f>VLOOKUP(A295,policy!B:C,2,0)</f>
        <v>070000178188</v>
      </c>
      <c r="C295" s="4">
        <v>1199</v>
      </c>
      <c r="D295" s="8">
        <f t="shared" si="17"/>
        <v>1199</v>
      </c>
      <c r="E295" s="12" t="s">
        <v>821</v>
      </c>
      <c r="F295" s="9" t="str">
        <f t="shared" si="16"/>
        <v>insert into ins_premium_det (premium_rcv_code,assorted_code, rec_amount,premium_rcv_detail_code,remaining_amt, payrec, mode_code,coinsurance_code,class_cd,it_remarks) values</v>
      </c>
      <c r="G295" s="10" t="str">
        <f t="shared" si="18"/>
        <v>('12Mar250017','070000178188','1199',(select max(to_number(i.premium_rcv_detail_code))+1
from ins_premium_det i),'1199','1199','02', '11000003','00','Request by Mr. Saqib Saleem 12-Mar-2025');</v>
      </c>
      <c r="H295" s="11" t="str">
        <f t="shared" si="19"/>
        <v>insert into ins_premium_det (premium_rcv_code,assorted_code, rec_amount,premium_rcv_detail_code,remaining_amt, payrec, mode_code,coinsurance_code,class_cd,it_remarks) values('12Mar250017','070000178188','1199',(select max(to_number(i.premium_rcv_detail_code))+1
from ins_premium_det i),'1199','1199','02', '11000003','00','Request by Mr. Saqib Saleem 12-Mar-2025');</v>
      </c>
    </row>
    <row r="296" spans="1:8" ht="105" x14ac:dyDescent="0.25">
      <c r="A296" s="1" t="s">
        <v>608</v>
      </c>
      <c r="B296" s="1" t="str">
        <f>VLOOKUP(A296,policy!B:C,2,0)</f>
        <v>070000178189</v>
      </c>
      <c r="C296" s="4">
        <v>10501</v>
      </c>
      <c r="D296" s="8">
        <f t="shared" si="17"/>
        <v>10501</v>
      </c>
      <c r="E296" s="12" t="s">
        <v>821</v>
      </c>
      <c r="F296" s="9" t="str">
        <f t="shared" si="16"/>
        <v>insert into ins_premium_det (premium_rcv_code,assorted_code, rec_amount,premium_rcv_detail_code,remaining_amt, payrec, mode_code,coinsurance_code,class_cd,it_remarks) values</v>
      </c>
      <c r="G296" s="10" t="str">
        <f t="shared" si="18"/>
        <v>('12Mar250017','070000178189','10501',(select max(to_number(i.premium_rcv_detail_code))+1
from ins_premium_det i),'10501','10501','02', '11000003','00','Request by Mr. Saqib Saleem 12-Mar-2025');</v>
      </c>
      <c r="H296" s="11" t="str">
        <f t="shared" si="19"/>
        <v>insert into ins_premium_det (premium_rcv_code,assorted_code, rec_amount,premium_rcv_detail_code,remaining_amt, payrec, mode_code,coinsurance_code,class_cd,it_remarks) values('12Mar250017','070000178189','10501',(select max(to_number(i.premium_rcv_detail_code))+1
from ins_premium_det i),'10501','10501','02', '11000003','00','Request by Mr. Saqib Saleem 12-Mar-2025');</v>
      </c>
    </row>
    <row r="297" spans="1:8" ht="105" x14ac:dyDescent="0.25">
      <c r="A297" s="1" t="s">
        <v>609</v>
      </c>
      <c r="B297" s="1" t="str">
        <f>VLOOKUP(A297,policy!B:C,2,0)</f>
        <v>070000178190</v>
      </c>
      <c r="C297" s="4">
        <v>3000</v>
      </c>
      <c r="D297" s="8">
        <f t="shared" si="17"/>
        <v>3000</v>
      </c>
      <c r="E297" s="12" t="s">
        <v>821</v>
      </c>
      <c r="F297" s="9" t="str">
        <f t="shared" si="16"/>
        <v>insert into ins_premium_det (premium_rcv_code,assorted_code, rec_amount,premium_rcv_detail_code,remaining_amt, payrec, mode_code,coinsurance_code,class_cd,it_remarks) values</v>
      </c>
      <c r="G297" s="10" t="str">
        <f t="shared" si="18"/>
        <v>('12Mar250017','070000178190','3000',(select max(to_number(i.premium_rcv_detail_code))+1
from ins_premium_det i),'3000','3000','02', '11000003','00','Request by Mr. Saqib Saleem 12-Mar-2025');</v>
      </c>
      <c r="H297" s="11" t="str">
        <f t="shared" si="19"/>
        <v>insert into ins_premium_det (premium_rcv_code,assorted_code, rec_amount,premium_rcv_detail_code,remaining_amt, payrec, mode_code,coinsurance_code,class_cd,it_remarks) values('12Mar250017','070000178190','3000',(select max(to_number(i.premium_rcv_detail_code))+1
from ins_premium_det i),'3000','3000','02', '11000003','00','Request by Mr. Saqib Saleem 12-Mar-2025');</v>
      </c>
    </row>
    <row r="298" spans="1:8" ht="105" x14ac:dyDescent="0.25">
      <c r="A298" s="1" t="s">
        <v>610</v>
      </c>
      <c r="B298" s="1" t="str">
        <f>VLOOKUP(A298,policy!B:C,2,0)</f>
        <v>070000178191</v>
      </c>
      <c r="C298" s="4">
        <v>2400</v>
      </c>
      <c r="D298" s="8">
        <f t="shared" si="17"/>
        <v>2400</v>
      </c>
      <c r="E298" s="12" t="s">
        <v>821</v>
      </c>
      <c r="F298" s="9" t="str">
        <f t="shared" si="16"/>
        <v>insert into ins_premium_det (premium_rcv_code,assorted_code, rec_amount,premium_rcv_detail_code,remaining_amt, payrec, mode_code,coinsurance_code,class_cd,it_remarks) values</v>
      </c>
      <c r="G298" s="10" t="str">
        <f t="shared" si="18"/>
        <v>('12Mar250017','070000178191','2400',(select max(to_number(i.premium_rcv_detail_code))+1
from ins_premium_det i),'2400','2400','02', '11000003','00','Request by Mr. Saqib Saleem 12-Mar-2025');</v>
      </c>
      <c r="H298" s="11" t="str">
        <f t="shared" si="19"/>
        <v>insert into ins_premium_det (premium_rcv_code,assorted_code, rec_amount,premium_rcv_detail_code,remaining_amt, payrec, mode_code,coinsurance_code,class_cd,it_remarks) values('12Mar250017','070000178191','2400',(select max(to_number(i.premium_rcv_detail_code))+1
from ins_premium_det i),'2400','2400','02', '11000003','00','Request by Mr. Saqib Saleem 12-Mar-2025');</v>
      </c>
    </row>
    <row r="299" spans="1:8" ht="105" x14ac:dyDescent="0.25">
      <c r="A299" s="1" t="s">
        <v>611</v>
      </c>
      <c r="B299" s="1" t="str">
        <f>VLOOKUP(A299,policy!B:C,2,0)</f>
        <v>070000178192</v>
      </c>
      <c r="C299" s="4">
        <v>750</v>
      </c>
      <c r="D299" s="8">
        <f t="shared" si="17"/>
        <v>750</v>
      </c>
      <c r="E299" s="12" t="s">
        <v>821</v>
      </c>
      <c r="F299" s="9" t="str">
        <f t="shared" si="16"/>
        <v>insert into ins_premium_det (premium_rcv_code,assorted_code, rec_amount,premium_rcv_detail_code,remaining_amt, payrec, mode_code,coinsurance_code,class_cd,it_remarks) values</v>
      </c>
      <c r="G299" s="10" t="str">
        <f t="shared" si="18"/>
        <v>('12Mar250017','070000178192','750',(select max(to_number(i.premium_rcv_detail_code))+1
from ins_premium_det i),'750','750','02', '11000003','00','Request by Mr. Saqib Saleem 12-Mar-2025');</v>
      </c>
      <c r="H299" s="11" t="str">
        <f t="shared" si="19"/>
        <v>insert into ins_premium_det (premium_rcv_code,assorted_code, rec_amount,premium_rcv_detail_code,remaining_amt, payrec, mode_code,coinsurance_code,class_cd,it_remarks) values('12Mar250017','070000178192','750',(select max(to_number(i.premium_rcv_detail_code))+1
from ins_premium_det i),'750','750','02', '11000003','00','Request by Mr. Saqib Saleem 12-Mar-2025');</v>
      </c>
    </row>
    <row r="300" spans="1:8" ht="105" x14ac:dyDescent="0.25">
      <c r="A300" s="1" t="s">
        <v>612</v>
      </c>
      <c r="B300" s="1" t="str">
        <f>VLOOKUP(A300,policy!B:C,2,0)</f>
        <v>070000178193</v>
      </c>
      <c r="C300" s="4">
        <v>3300</v>
      </c>
      <c r="D300" s="8">
        <f t="shared" si="17"/>
        <v>3300</v>
      </c>
      <c r="E300" s="12" t="s">
        <v>821</v>
      </c>
      <c r="F300" s="9" t="str">
        <f t="shared" si="16"/>
        <v>insert into ins_premium_det (premium_rcv_code,assorted_code, rec_amount,premium_rcv_detail_code,remaining_amt, payrec, mode_code,coinsurance_code,class_cd,it_remarks) values</v>
      </c>
      <c r="G300" s="10" t="str">
        <f t="shared" si="18"/>
        <v>('12Mar250017','070000178193','3300',(select max(to_number(i.premium_rcv_detail_code))+1
from ins_premium_det i),'3300','3300','02', '11000003','00','Request by Mr. Saqib Saleem 12-Mar-2025');</v>
      </c>
      <c r="H300" s="11" t="str">
        <f t="shared" si="19"/>
        <v>insert into ins_premium_det (premium_rcv_code,assorted_code, rec_amount,premium_rcv_detail_code,remaining_amt, payrec, mode_code,coinsurance_code,class_cd,it_remarks) values('12Mar250017','070000178193','3300',(select max(to_number(i.premium_rcv_detail_code))+1
from ins_premium_det i),'3300','3300','02', '11000003','00','Request by Mr. Saqib Saleem 12-Mar-2025');</v>
      </c>
    </row>
    <row r="301" spans="1:8" ht="105" x14ac:dyDescent="0.25">
      <c r="A301" s="1" t="s">
        <v>613</v>
      </c>
      <c r="B301" s="1" t="str">
        <f>VLOOKUP(A301,policy!B:C,2,0)</f>
        <v>070000178194</v>
      </c>
      <c r="C301" s="4">
        <v>4800</v>
      </c>
      <c r="D301" s="8">
        <f t="shared" si="17"/>
        <v>4800</v>
      </c>
      <c r="E301" s="12" t="s">
        <v>821</v>
      </c>
      <c r="F301" s="9" t="str">
        <f t="shared" si="16"/>
        <v>insert into ins_premium_det (premium_rcv_code,assorted_code, rec_amount,premium_rcv_detail_code,remaining_amt, payrec, mode_code,coinsurance_code,class_cd,it_remarks) values</v>
      </c>
      <c r="G301" s="10" t="str">
        <f t="shared" si="18"/>
        <v>('12Mar250017','070000178194','4800',(select max(to_number(i.premium_rcv_detail_code))+1
from ins_premium_det i),'4800','4800','02', '11000003','00','Request by Mr. Saqib Saleem 12-Mar-2025');</v>
      </c>
      <c r="H301" s="11" t="str">
        <f t="shared" si="19"/>
        <v>insert into ins_premium_det (premium_rcv_code,assorted_code, rec_amount,premium_rcv_detail_code,remaining_amt, payrec, mode_code,coinsurance_code,class_cd,it_remarks) values('12Mar250017','070000178194','4800',(select max(to_number(i.premium_rcv_detail_code))+1
from ins_premium_det i),'4800','4800','02', '11000003','00','Request by Mr. Saqib Saleem 12-Mar-2025');</v>
      </c>
    </row>
    <row r="302" spans="1:8" ht="105" x14ac:dyDescent="0.25">
      <c r="A302" s="1" t="s">
        <v>614</v>
      </c>
      <c r="B302" s="1" t="str">
        <f>VLOOKUP(A302,policy!B:C,2,0)</f>
        <v>070000178195</v>
      </c>
      <c r="C302" s="4">
        <v>9600</v>
      </c>
      <c r="D302" s="8">
        <f t="shared" si="17"/>
        <v>9600</v>
      </c>
      <c r="E302" s="12" t="s">
        <v>821</v>
      </c>
      <c r="F302" s="9" t="str">
        <f t="shared" si="16"/>
        <v>insert into ins_premium_det (premium_rcv_code,assorted_code, rec_amount,premium_rcv_detail_code,remaining_amt, payrec, mode_code,coinsurance_code,class_cd,it_remarks) values</v>
      </c>
      <c r="G302" s="10" t="str">
        <f t="shared" si="18"/>
        <v>('12Mar250017','070000178195','9600',(select max(to_number(i.premium_rcv_detail_code))+1
from ins_premium_det i),'9600','9600','02', '11000003','00','Request by Mr. Saqib Saleem 12-Mar-2025');</v>
      </c>
      <c r="H302" s="11" t="str">
        <f t="shared" si="19"/>
        <v>insert into ins_premium_det (premium_rcv_code,assorted_code, rec_amount,premium_rcv_detail_code,remaining_amt, payrec, mode_code,coinsurance_code,class_cd,it_remarks) values('12Mar250017','070000178195','9600',(select max(to_number(i.premium_rcv_detail_code))+1
from ins_premium_det i),'9600','9600','02', '11000003','00','Request by Mr. Saqib Saleem 12-Mar-2025');</v>
      </c>
    </row>
    <row r="303" spans="1:8" ht="105" x14ac:dyDescent="0.25">
      <c r="A303" s="1" t="s">
        <v>615</v>
      </c>
      <c r="B303" s="1" t="str">
        <f>VLOOKUP(A303,policy!B:C,2,0)</f>
        <v>070000178196</v>
      </c>
      <c r="C303" s="4">
        <v>750</v>
      </c>
      <c r="D303" s="8">
        <f t="shared" si="17"/>
        <v>750</v>
      </c>
      <c r="E303" s="12" t="s">
        <v>821</v>
      </c>
      <c r="F303" s="9" t="str">
        <f t="shared" si="16"/>
        <v>insert into ins_premium_det (premium_rcv_code,assorted_code, rec_amount,premium_rcv_detail_code,remaining_amt, payrec, mode_code,coinsurance_code,class_cd,it_remarks) values</v>
      </c>
      <c r="G303" s="10" t="str">
        <f t="shared" si="18"/>
        <v>('12Mar250017','070000178196','750',(select max(to_number(i.premium_rcv_detail_code))+1
from ins_premium_det i),'750','750','02', '11000003','00','Request by Mr. Saqib Saleem 12-Mar-2025');</v>
      </c>
      <c r="H303" s="11" t="str">
        <f t="shared" si="19"/>
        <v>insert into ins_premium_det (premium_rcv_code,assorted_code, rec_amount,premium_rcv_detail_code,remaining_amt, payrec, mode_code,coinsurance_code,class_cd,it_remarks) values('12Mar250017','070000178196','750',(select max(to_number(i.premium_rcv_detail_code))+1
from ins_premium_det i),'750','750','02', '11000003','00','Request by Mr. Saqib Saleem 12-Mar-2025');</v>
      </c>
    </row>
    <row r="304" spans="1:8" ht="105" x14ac:dyDescent="0.25">
      <c r="A304" s="1" t="s">
        <v>616</v>
      </c>
      <c r="B304" s="1" t="str">
        <f>VLOOKUP(A304,policy!B:C,2,0)</f>
        <v>070000178197</v>
      </c>
      <c r="C304" s="4">
        <v>3000</v>
      </c>
      <c r="D304" s="8">
        <f t="shared" si="17"/>
        <v>3000</v>
      </c>
      <c r="E304" s="12" t="s">
        <v>821</v>
      </c>
      <c r="F304" s="9" t="str">
        <f t="shared" si="16"/>
        <v>insert into ins_premium_det (premium_rcv_code,assorted_code, rec_amount,premium_rcv_detail_code,remaining_amt, payrec, mode_code,coinsurance_code,class_cd,it_remarks) values</v>
      </c>
      <c r="G304" s="10" t="str">
        <f t="shared" si="18"/>
        <v>('12Mar250017','070000178197','3000',(select max(to_number(i.premium_rcv_detail_code))+1
from ins_premium_det i),'3000','3000','02', '11000003','00','Request by Mr. Saqib Saleem 12-Mar-2025');</v>
      </c>
      <c r="H304" s="11" t="str">
        <f t="shared" si="19"/>
        <v>insert into ins_premium_det (premium_rcv_code,assorted_code, rec_amount,premium_rcv_detail_code,remaining_amt, payrec, mode_code,coinsurance_code,class_cd,it_remarks) values('12Mar250017','070000178197','3000',(select max(to_number(i.premium_rcv_detail_code))+1
from ins_premium_det i),'3000','3000','02', '11000003','00','Request by Mr. Saqib Saleem 12-Mar-2025');</v>
      </c>
    </row>
    <row r="305" spans="1:8" ht="105" x14ac:dyDescent="0.25">
      <c r="A305" s="1" t="s">
        <v>617</v>
      </c>
      <c r="B305" s="1" t="str">
        <f>VLOOKUP(A305,policy!B:C,2,0)</f>
        <v>070000178198</v>
      </c>
      <c r="C305" s="4">
        <v>450</v>
      </c>
      <c r="D305" s="8">
        <f t="shared" si="17"/>
        <v>450</v>
      </c>
      <c r="E305" s="12" t="s">
        <v>821</v>
      </c>
      <c r="F305" s="9" t="str">
        <f t="shared" si="16"/>
        <v>insert into ins_premium_det (premium_rcv_code,assorted_code, rec_amount,premium_rcv_detail_code,remaining_amt, payrec, mode_code,coinsurance_code,class_cd,it_remarks) values</v>
      </c>
      <c r="G305" s="10" t="str">
        <f t="shared" si="18"/>
        <v>('12Mar250017','070000178198','450',(select max(to_number(i.premium_rcv_detail_code))+1
from ins_premium_det i),'450','450','02', '11000003','00','Request by Mr. Saqib Saleem 12-Mar-2025');</v>
      </c>
      <c r="H305" s="11" t="str">
        <f t="shared" si="19"/>
        <v>insert into ins_premium_det (premium_rcv_code,assorted_code, rec_amount,premium_rcv_detail_code,remaining_amt, payrec, mode_code,coinsurance_code,class_cd,it_remarks) values('12Mar250017','070000178198','450',(select max(to_number(i.premium_rcv_detail_code))+1
from ins_premium_det i),'450','450','02', '11000003','00','Request by Mr. Saqib Saleem 12-Mar-2025');</v>
      </c>
    </row>
    <row r="306" spans="1:8" ht="105" x14ac:dyDescent="0.25">
      <c r="A306" s="1" t="s">
        <v>618</v>
      </c>
      <c r="B306" s="1" t="str">
        <f>VLOOKUP(A306,policy!B:C,2,0)</f>
        <v>070000178199</v>
      </c>
      <c r="C306" s="4">
        <v>1649</v>
      </c>
      <c r="D306" s="8">
        <f t="shared" si="17"/>
        <v>1649</v>
      </c>
      <c r="E306" s="12" t="s">
        <v>821</v>
      </c>
      <c r="F306" s="9" t="str">
        <f t="shared" si="16"/>
        <v>insert into ins_premium_det (premium_rcv_code,assorted_code, rec_amount,premium_rcv_detail_code,remaining_amt, payrec, mode_code,coinsurance_code,class_cd,it_remarks) values</v>
      </c>
      <c r="G306" s="10" t="str">
        <f t="shared" si="18"/>
        <v>('12Mar250017','070000178199','1649',(select max(to_number(i.premium_rcv_detail_code))+1
from ins_premium_det i),'1649','1649','02', '11000003','00','Request by Mr. Saqib Saleem 12-Mar-2025');</v>
      </c>
      <c r="H306" s="11" t="str">
        <f t="shared" si="19"/>
        <v>insert into ins_premium_det (premium_rcv_code,assorted_code, rec_amount,premium_rcv_detail_code,remaining_amt, payrec, mode_code,coinsurance_code,class_cd,it_remarks) values('12Mar250017','070000178199','1649',(select max(to_number(i.premium_rcv_detail_code))+1
from ins_premium_det i),'1649','1649','02', '11000003','00','Request by Mr. Saqib Saleem 12-Mar-2025');</v>
      </c>
    </row>
    <row r="307" spans="1:8" ht="105" x14ac:dyDescent="0.25">
      <c r="A307" s="1" t="s">
        <v>619</v>
      </c>
      <c r="B307" s="1" t="str">
        <f>VLOOKUP(A307,policy!B:C,2,0)</f>
        <v>070000178200</v>
      </c>
      <c r="C307" s="4">
        <v>7501</v>
      </c>
      <c r="D307" s="8">
        <f t="shared" si="17"/>
        <v>7501</v>
      </c>
      <c r="E307" s="12" t="s">
        <v>821</v>
      </c>
      <c r="F307" s="9" t="str">
        <f t="shared" si="16"/>
        <v>insert into ins_premium_det (premium_rcv_code,assorted_code, rec_amount,premium_rcv_detail_code,remaining_amt, payrec, mode_code,coinsurance_code,class_cd,it_remarks) values</v>
      </c>
      <c r="G307" s="10" t="str">
        <f t="shared" si="18"/>
        <v>('12Mar250017','070000178200','7501',(select max(to_number(i.premium_rcv_detail_code))+1
from ins_premium_det i),'7501','7501','02', '11000003','00','Request by Mr. Saqib Saleem 12-Mar-2025');</v>
      </c>
      <c r="H307" s="11" t="str">
        <f t="shared" si="19"/>
        <v>insert into ins_premium_det (premium_rcv_code,assorted_code, rec_amount,premium_rcv_detail_code,remaining_amt, payrec, mode_code,coinsurance_code,class_cd,it_remarks) values('12Mar250017','070000178200','7501',(select max(to_number(i.premium_rcv_detail_code))+1
from ins_premium_det i),'7501','7501','02', '11000003','00','Request by Mr. Saqib Saleem 12-Mar-2025');</v>
      </c>
    </row>
    <row r="308" spans="1:8" ht="105" x14ac:dyDescent="0.25">
      <c r="A308" s="1" t="s">
        <v>620</v>
      </c>
      <c r="B308" s="1" t="str">
        <f>VLOOKUP(A308,policy!B:C,2,0)</f>
        <v>070000178201</v>
      </c>
      <c r="C308" s="4">
        <v>4500</v>
      </c>
      <c r="D308" s="8">
        <f t="shared" si="17"/>
        <v>4500</v>
      </c>
      <c r="E308" s="12" t="s">
        <v>821</v>
      </c>
      <c r="F308" s="9" t="str">
        <f t="shared" si="16"/>
        <v>insert into ins_premium_det (premium_rcv_code,assorted_code, rec_amount,premium_rcv_detail_code,remaining_amt, payrec, mode_code,coinsurance_code,class_cd,it_remarks) values</v>
      </c>
      <c r="G308" s="10" t="str">
        <f t="shared" si="18"/>
        <v>('12Mar250017','070000178201','4500',(select max(to_number(i.premium_rcv_detail_code))+1
from ins_premium_det i),'4500','4500','02', '11000003','00','Request by Mr. Saqib Saleem 12-Mar-2025');</v>
      </c>
      <c r="H308" s="11" t="str">
        <f t="shared" si="19"/>
        <v>insert into ins_premium_det (premium_rcv_code,assorted_code, rec_amount,premium_rcv_detail_code,remaining_amt, payrec, mode_code,coinsurance_code,class_cd,it_remarks) values('12Mar250017','070000178201','4500',(select max(to_number(i.premium_rcv_detail_code))+1
from ins_premium_det i),'4500','4500','02', '11000003','00','Request by Mr. Saqib Saleem 12-Mar-2025');</v>
      </c>
    </row>
    <row r="309" spans="1:8" ht="105" x14ac:dyDescent="0.25">
      <c r="A309" s="1" t="s">
        <v>621</v>
      </c>
      <c r="B309" s="1" t="str">
        <f>VLOOKUP(A309,policy!B:C,2,0)</f>
        <v>070000178202</v>
      </c>
      <c r="C309" s="4">
        <v>1801</v>
      </c>
      <c r="D309" s="8">
        <f t="shared" si="17"/>
        <v>1801</v>
      </c>
      <c r="E309" s="12" t="s">
        <v>821</v>
      </c>
      <c r="F309" s="9" t="str">
        <f t="shared" si="16"/>
        <v>insert into ins_premium_det (premium_rcv_code,assorted_code, rec_amount,premium_rcv_detail_code,remaining_amt, payrec, mode_code,coinsurance_code,class_cd,it_remarks) values</v>
      </c>
      <c r="G309" s="10" t="str">
        <f t="shared" si="18"/>
        <v>('12Mar250017','070000178202','1801',(select max(to_number(i.premium_rcv_detail_code))+1
from ins_premium_det i),'1801','1801','02', '11000003','00','Request by Mr. Saqib Saleem 12-Mar-2025');</v>
      </c>
      <c r="H309" s="11" t="str">
        <f t="shared" si="19"/>
        <v>insert into ins_premium_det (premium_rcv_code,assorted_code, rec_amount,premium_rcv_detail_code,remaining_amt, payrec, mode_code,coinsurance_code,class_cd,it_remarks) values('12Mar250017','070000178202','1801',(select max(to_number(i.premium_rcv_detail_code))+1
from ins_premium_det i),'1801','1801','02', '11000003','00','Request by Mr. Saqib Saleem 12-Mar-2025');</v>
      </c>
    </row>
    <row r="310" spans="1:8" ht="105" x14ac:dyDescent="0.25">
      <c r="A310" s="1" t="s">
        <v>622</v>
      </c>
      <c r="B310" s="1" t="str">
        <f>VLOOKUP(A310,policy!B:C,2,0)</f>
        <v>070000178203</v>
      </c>
      <c r="C310" s="4">
        <v>2700</v>
      </c>
      <c r="D310" s="8">
        <f t="shared" si="17"/>
        <v>2700</v>
      </c>
      <c r="E310" s="12" t="s">
        <v>821</v>
      </c>
      <c r="F310" s="9" t="str">
        <f t="shared" si="16"/>
        <v>insert into ins_premium_det (premium_rcv_code,assorted_code, rec_amount,premium_rcv_detail_code,remaining_amt, payrec, mode_code,coinsurance_code,class_cd,it_remarks) values</v>
      </c>
      <c r="G310" s="10" t="str">
        <f t="shared" si="18"/>
        <v>('12Mar250017','070000178203','2700',(select max(to_number(i.premium_rcv_detail_code))+1
from ins_premium_det i),'2700','2700','02', '11000003','00','Request by Mr. Saqib Saleem 12-Mar-2025');</v>
      </c>
      <c r="H310" s="11" t="str">
        <f t="shared" si="19"/>
        <v>insert into ins_premium_det (premium_rcv_code,assorted_code, rec_amount,premium_rcv_detail_code,remaining_amt, payrec, mode_code,coinsurance_code,class_cd,it_remarks) values('12Mar250017','070000178203','2700',(select max(to_number(i.premium_rcv_detail_code))+1
from ins_premium_det i),'2700','2700','02', '11000003','00','Request by Mr. Saqib Saleem 12-Mar-2025');</v>
      </c>
    </row>
    <row r="311" spans="1:8" ht="105" x14ac:dyDescent="0.25">
      <c r="A311" s="1" t="s">
        <v>623</v>
      </c>
      <c r="B311" s="1" t="str">
        <f>VLOOKUP(A311,policy!B:C,2,0)</f>
        <v>070000178204</v>
      </c>
      <c r="C311" s="4">
        <v>9450</v>
      </c>
      <c r="D311" s="8">
        <f t="shared" si="17"/>
        <v>9450</v>
      </c>
      <c r="E311" s="12" t="s">
        <v>821</v>
      </c>
      <c r="F311" s="9" t="str">
        <f t="shared" si="16"/>
        <v>insert into ins_premium_det (premium_rcv_code,assorted_code, rec_amount,premium_rcv_detail_code,remaining_amt, payrec, mode_code,coinsurance_code,class_cd,it_remarks) values</v>
      </c>
      <c r="G311" s="10" t="str">
        <f t="shared" si="18"/>
        <v>('12Mar250017','070000178204','9450',(select max(to_number(i.premium_rcv_detail_code))+1
from ins_premium_det i),'9450','9450','02', '11000003','00','Request by Mr. Saqib Saleem 12-Mar-2025');</v>
      </c>
      <c r="H311" s="11" t="str">
        <f t="shared" si="19"/>
        <v>insert into ins_premium_det (premium_rcv_code,assorted_code, rec_amount,premium_rcv_detail_code,remaining_amt, payrec, mode_code,coinsurance_code,class_cd,it_remarks) values('12Mar250017','070000178204','9450',(select max(to_number(i.premium_rcv_detail_code))+1
from ins_premium_det i),'9450','9450','02', '11000003','00','Request by Mr. Saqib Saleem 12-Mar-2025');</v>
      </c>
    </row>
    <row r="312" spans="1:8" ht="105" x14ac:dyDescent="0.25">
      <c r="A312" s="1" t="s">
        <v>624</v>
      </c>
      <c r="B312" s="1" t="str">
        <f>VLOOKUP(A312,policy!B:C,2,0)</f>
        <v>070000178205</v>
      </c>
      <c r="C312" s="4">
        <v>3750</v>
      </c>
      <c r="D312" s="8">
        <f t="shared" si="17"/>
        <v>3750</v>
      </c>
      <c r="E312" s="12" t="s">
        <v>821</v>
      </c>
      <c r="F312" s="9" t="str">
        <f t="shared" si="16"/>
        <v>insert into ins_premium_det (premium_rcv_code,assorted_code, rec_amount,premium_rcv_detail_code,remaining_amt, payrec, mode_code,coinsurance_code,class_cd,it_remarks) values</v>
      </c>
      <c r="G312" s="10" t="str">
        <f t="shared" si="18"/>
        <v>('12Mar250017','070000178205','3750',(select max(to_number(i.premium_rcv_detail_code))+1
from ins_premium_det i),'3750','3750','02', '11000003','00','Request by Mr. Saqib Saleem 12-Mar-2025');</v>
      </c>
      <c r="H312" s="11" t="str">
        <f t="shared" si="19"/>
        <v>insert into ins_premium_det (premium_rcv_code,assorted_code, rec_amount,premium_rcv_detail_code,remaining_amt, payrec, mode_code,coinsurance_code,class_cd,it_remarks) values('12Mar250017','070000178205','3750',(select max(to_number(i.premium_rcv_detail_code))+1
from ins_premium_det i),'3750','3750','02', '11000003','00','Request by Mr. Saqib Saleem 12-Mar-2025');</v>
      </c>
    </row>
    <row r="313" spans="1:8" ht="105" x14ac:dyDescent="0.25">
      <c r="A313" s="1" t="s">
        <v>625</v>
      </c>
      <c r="B313" s="1" t="str">
        <f>VLOOKUP(A313,policy!B:C,2,0)</f>
        <v>070000178206</v>
      </c>
      <c r="C313" s="4">
        <v>5550</v>
      </c>
      <c r="D313" s="8">
        <f t="shared" si="17"/>
        <v>5550</v>
      </c>
      <c r="E313" s="12" t="s">
        <v>821</v>
      </c>
      <c r="F313" s="9" t="str">
        <f t="shared" si="16"/>
        <v>insert into ins_premium_det (premium_rcv_code,assorted_code, rec_amount,premium_rcv_detail_code,remaining_amt, payrec, mode_code,coinsurance_code,class_cd,it_remarks) values</v>
      </c>
      <c r="G313" s="10" t="str">
        <f t="shared" si="18"/>
        <v>('12Mar250017','070000178206','5550',(select max(to_number(i.premium_rcv_detail_code))+1
from ins_premium_det i),'5550','5550','02', '11000003','00','Request by Mr. Saqib Saleem 12-Mar-2025');</v>
      </c>
      <c r="H313" s="11" t="str">
        <f t="shared" si="19"/>
        <v>insert into ins_premium_det (premium_rcv_code,assorted_code, rec_amount,premium_rcv_detail_code,remaining_amt, payrec, mode_code,coinsurance_code,class_cd,it_remarks) values('12Mar250017','070000178206','5550',(select max(to_number(i.premium_rcv_detail_code))+1
from ins_premium_det i),'5550','5550','02', '11000003','00','Request by Mr. Saqib Saleem 12-Mar-2025');</v>
      </c>
    </row>
    <row r="314" spans="1:8" ht="105" x14ac:dyDescent="0.25">
      <c r="A314" s="1" t="s">
        <v>626</v>
      </c>
      <c r="B314" s="1" t="str">
        <f>VLOOKUP(A314,policy!B:C,2,0)</f>
        <v>070000178207</v>
      </c>
      <c r="C314" s="4">
        <v>7950</v>
      </c>
      <c r="D314" s="8">
        <f t="shared" si="17"/>
        <v>7950</v>
      </c>
      <c r="E314" s="12" t="s">
        <v>821</v>
      </c>
      <c r="F314" s="9" t="str">
        <f t="shared" si="16"/>
        <v>insert into ins_premium_det (premium_rcv_code,assorted_code, rec_amount,premium_rcv_detail_code,remaining_amt, payrec, mode_code,coinsurance_code,class_cd,it_remarks) values</v>
      </c>
      <c r="G314" s="10" t="str">
        <f t="shared" si="18"/>
        <v>('12Mar250017','070000178207','7950',(select max(to_number(i.premium_rcv_detail_code))+1
from ins_premium_det i),'7950','7950','02', '11000003','00','Request by Mr. Saqib Saleem 12-Mar-2025');</v>
      </c>
      <c r="H314" s="11" t="str">
        <f t="shared" si="19"/>
        <v>insert into ins_premium_det (premium_rcv_code,assorted_code, rec_amount,premium_rcv_detail_code,remaining_amt, payrec, mode_code,coinsurance_code,class_cd,it_remarks) values('12Mar250017','070000178207','7950',(select max(to_number(i.premium_rcv_detail_code))+1
from ins_premium_det i),'7950','7950','02', '11000003','00','Request by Mr. Saqib Saleem 12-Mar-2025');</v>
      </c>
    </row>
    <row r="315" spans="1:8" ht="105" x14ac:dyDescent="0.25">
      <c r="A315" s="1" t="s">
        <v>627</v>
      </c>
      <c r="B315" s="1" t="str">
        <f>VLOOKUP(A315,policy!B:C,2,0)</f>
        <v>070000178208</v>
      </c>
      <c r="C315" s="4">
        <v>4200</v>
      </c>
      <c r="D315" s="8">
        <f t="shared" si="17"/>
        <v>4200</v>
      </c>
      <c r="E315" s="12" t="s">
        <v>821</v>
      </c>
      <c r="F315" s="9" t="str">
        <f t="shared" si="16"/>
        <v>insert into ins_premium_det (premium_rcv_code,assorted_code, rec_amount,premium_rcv_detail_code,remaining_amt, payrec, mode_code,coinsurance_code,class_cd,it_remarks) values</v>
      </c>
      <c r="G315" s="10" t="str">
        <f t="shared" si="18"/>
        <v>('12Mar250017','070000178208','4200',(select max(to_number(i.premium_rcv_detail_code))+1
from ins_premium_det i),'4200','4200','02', '11000003','00','Request by Mr. Saqib Saleem 12-Mar-2025');</v>
      </c>
      <c r="H315" s="11" t="str">
        <f t="shared" si="19"/>
        <v>insert into ins_premium_det (premium_rcv_code,assorted_code, rec_amount,premium_rcv_detail_code,remaining_amt, payrec, mode_code,coinsurance_code,class_cd,it_remarks) values('12Mar250017','070000178208','4200',(select max(to_number(i.premium_rcv_detail_code))+1
from ins_premium_det i),'4200','4200','02', '11000003','00','Request by Mr. Saqib Saleem 12-Mar-2025');</v>
      </c>
    </row>
    <row r="316" spans="1:8" ht="105" x14ac:dyDescent="0.25">
      <c r="A316" s="1" t="s">
        <v>628</v>
      </c>
      <c r="B316" s="1" t="str">
        <f>VLOOKUP(A316,policy!B:C,2,0)</f>
        <v>070000178209</v>
      </c>
      <c r="C316" s="4">
        <v>6000</v>
      </c>
      <c r="D316" s="8">
        <f t="shared" si="17"/>
        <v>6000</v>
      </c>
      <c r="E316" s="12" t="s">
        <v>821</v>
      </c>
      <c r="F316" s="9" t="str">
        <f t="shared" si="16"/>
        <v>insert into ins_premium_det (premium_rcv_code,assorted_code, rec_amount,premium_rcv_detail_code,remaining_amt, payrec, mode_code,coinsurance_code,class_cd,it_remarks) values</v>
      </c>
      <c r="G316" s="10" t="str">
        <f t="shared" si="18"/>
        <v>('12Mar250017','070000178209','6000',(select max(to_number(i.premium_rcv_detail_code))+1
from ins_premium_det i),'6000','6000','02', '11000003','00','Request by Mr. Saqib Saleem 12-Mar-2025');</v>
      </c>
      <c r="H316" s="11" t="str">
        <f t="shared" si="19"/>
        <v>insert into ins_premium_det (premium_rcv_code,assorted_code, rec_amount,premium_rcv_detail_code,remaining_amt, payrec, mode_code,coinsurance_code,class_cd,it_remarks) values('12Mar250017','070000178209','6000',(select max(to_number(i.premium_rcv_detail_code))+1
from ins_premium_det i),'6000','6000','02', '11000003','00','Request by Mr. Saqib Saleem 12-Mar-2025');</v>
      </c>
    </row>
    <row r="317" spans="1:8" ht="105" x14ac:dyDescent="0.25">
      <c r="A317" s="1" t="s">
        <v>629</v>
      </c>
      <c r="B317" s="1" t="str">
        <f>VLOOKUP(A317,policy!B:C,2,0)</f>
        <v>070000178210</v>
      </c>
      <c r="C317" s="4">
        <v>4351</v>
      </c>
      <c r="D317" s="8">
        <f t="shared" si="17"/>
        <v>4351</v>
      </c>
      <c r="E317" s="12" t="s">
        <v>821</v>
      </c>
      <c r="F317" s="9" t="str">
        <f t="shared" si="16"/>
        <v>insert into ins_premium_det (premium_rcv_code,assorted_code, rec_amount,premium_rcv_detail_code,remaining_amt, payrec, mode_code,coinsurance_code,class_cd,it_remarks) values</v>
      </c>
      <c r="G317" s="10" t="str">
        <f t="shared" si="18"/>
        <v>('12Mar250017','070000178210','4351',(select max(to_number(i.premium_rcv_detail_code))+1
from ins_premium_det i),'4351','4351','02', '11000003','00','Request by Mr. Saqib Saleem 12-Mar-2025');</v>
      </c>
      <c r="H317" s="11" t="str">
        <f t="shared" si="19"/>
        <v>insert into ins_premium_det (premium_rcv_code,assorted_code, rec_amount,premium_rcv_detail_code,remaining_amt, payrec, mode_code,coinsurance_code,class_cd,it_remarks) values('12Mar250017','070000178210','4351',(select max(to_number(i.premium_rcv_detail_code))+1
from ins_premium_det i),'4351','4351','02', '11000003','00','Request by Mr. Saqib Saleem 12-Mar-2025');</v>
      </c>
    </row>
    <row r="318" spans="1:8" ht="105" x14ac:dyDescent="0.25">
      <c r="A318" s="1" t="s">
        <v>630</v>
      </c>
      <c r="B318" s="1" t="str">
        <f>VLOOKUP(A318,policy!B:C,2,0)</f>
        <v>070000178211</v>
      </c>
      <c r="C318" s="4">
        <v>750</v>
      </c>
      <c r="D318" s="8">
        <f t="shared" si="17"/>
        <v>750</v>
      </c>
      <c r="E318" s="12" t="s">
        <v>821</v>
      </c>
      <c r="F318" s="9" t="str">
        <f t="shared" si="16"/>
        <v>insert into ins_premium_det (premium_rcv_code,assorted_code, rec_amount,premium_rcv_detail_code,remaining_amt, payrec, mode_code,coinsurance_code,class_cd,it_remarks) values</v>
      </c>
      <c r="G318" s="10" t="str">
        <f t="shared" si="18"/>
        <v>('12Mar250017','070000178211','750',(select max(to_number(i.premium_rcv_detail_code))+1
from ins_premium_det i),'750','750','02', '11000003','00','Request by Mr. Saqib Saleem 12-Mar-2025');</v>
      </c>
      <c r="H318" s="11" t="str">
        <f t="shared" si="19"/>
        <v>insert into ins_premium_det (premium_rcv_code,assorted_code, rec_amount,premium_rcv_detail_code,remaining_amt, payrec, mode_code,coinsurance_code,class_cd,it_remarks) values('12Mar250017','070000178211','750',(select max(to_number(i.premium_rcv_detail_code))+1
from ins_premium_det i),'750','750','02', '11000003','00','Request by Mr. Saqib Saleem 12-Mar-2025');</v>
      </c>
    </row>
    <row r="319" spans="1:8" ht="105" x14ac:dyDescent="0.25">
      <c r="A319" s="1" t="s">
        <v>631</v>
      </c>
      <c r="B319" s="1" t="str">
        <f>VLOOKUP(A319,policy!B:C,2,0)</f>
        <v>070000178212</v>
      </c>
      <c r="C319" s="4">
        <v>3900</v>
      </c>
      <c r="D319" s="8">
        <f t="shared" si="17"/>
        <v>3900</v>
      </c>
      <c r="E319" s="12" t="s">
        <v>821</v>
      </c>
      <c r="F319" s="9" t="str">
        <f t="shared" si="16"/>
        <v>insert into ins_premium_det (premium_rcv_code,assorted_code, rec_amount,premium_rcv_detail_code,remaining_amt, payrec, mode_code,coinsurance_code,class_cd,it_remarks) values</v>
      </c>
      <c r="G319" s="10" t="str">
        <f t="shared" si="18"/>
        <v>('12Mar250017','070000178212','3900',(select max(to_number(i.premium_rcv_detail_code))+1
from ins_premium_det i),'3900','3900','02', '11000003','00','Request by Mr. Saqib Saleem 12-Mar-2025');</v>
      </c>
      <c r="H319" s="11" t="str">
        <f t="shared" si="19"/>
        <v>insert into ins_premium_det (premium_rcv_code,assorted_code, rec_amount,premium_rcv_detail_code,remaining_amt, payrec, mode_code,coinsurance_code,class_cd,it_remarks) values('12Mar250017','070000178212','3900',(select max(to_number(i.premium_rcv_detail_code))+1
from ins_premium_det i),'3900','3900','02', '11000003','00','Request by Mr. Saqib Saleem 12-Mar-2025');</v>
      </c>
    </row>
    <row r="320" spans="1:8" ht="105" x14ac:dyDescent="0.25">
      <c r="A320" s="1" t="s">
        <v>632</v>
      </c>
      <c r="B320" s="1" t="str">
        <f>VLOOKUP(A320,policy!B:C,2,0)</f>
        <v>070000178213</v>
      </c>
      <c r="C320" s="4">
        <v>3150</v>
      </c>
      <c r="D320" s="8">
        <f t="shared" si="17"/>
        <v>3150</v>
      </c>
      <c r="E320" s="12" t="s">
        <v>821</v>
      </c>
      <c r="F320" s="9" t="str">
        <f t="shared" si="16"/>
        <v>insert into ins_premium_det (premium_rcv_code,assorted_code, rec_amount,premium_rcv_detail_code,remaining_amt, payrec, mode_code,coinsurance_code,class_cd,it_remarks) values</v>
      </c>
      <c r="G320" s="10" t="str">
        <f t="shared" si="18"/>
        <v>('12Mar250017','070000178213','3150',(select max(to_number(i.premium_rcv_detail_code))+1
from ins_premium_det i),'3150','3150','02', '11000003','00','Request by Mr. Saqib Saleem 12-Mar-2025');</v>
      </c>
      <c r="H320" s="11" t="str">
        <f t="shared" si="19"/>
        <v>insert into ins_premium_det (premium_rcv_code,assorted_code, rec_amount,premium_rcv_detail_code,remaining_amt, payrec, mode_code,coinsurance_code,class_cd,it_remarks) values('12Mar250017','070000178213','3150',(select max(to_number(i.premium_rcv_detail_code))+1
from ins_premium_det i),'3150','3150','02', '11000003','00','Request by Mr. Saqib Saleem 12-Mar-2025');</v>
      </c>
    </row>
    <row r="321" spans="1:8" ht="105" x14ac:dyDescent="0.25">
      <c r="A321" s="1" t="s">
        <v>633</v>
      </c>
      <c r="B321" s="1" t="str">
        <f>VLOOKUP(A321,policy!B:C,2,0)</f>
        <v>070000178214</v>
      </c>
      <c r="C321" s="4">
        <v>4351</v>
      </c>
      <c r="D321" s="8">
        <f t="shared" si="17"/>
        <v>4351</v>
      </c>
      <c r="E321" s="12" t="s">
        <v>821</v>
      </c>
      <c r="F321" s="9" t="str">
        <f t="shared" si="16"/>
        <v>insert into ins_premium_det (premium_rcv_code,assorted_code, rec_amount,premium_rcv_detail_code,remaining_amt, payrec, mode_code,coinsurance_code,class_cd,it_remarks) values</v>
      </c>
      <c r="G321" s="10" t="str">
        <f t="shared" si="18"/>
        <v>('12Mar250017','070000178214','4351',(select max(to_number(i.premium_rcv_detail_code))+1
from ins_premium_det i),'4351','4351','02', '11000003','00','Request by Mr. Saqib Saleem 12-Mar-2025');</v>
      </c>
      <c r="H321" s="11" t="str">
        <f t="shared" si="19"/>
        <v>insert into ins_premium_det (premium_rcv_code,assorted_code, rec_amount,premium_rcv_detail_code,remaining_amt, payrec, mode_code,coinsurance_code,class_cd,it_remarks) values('12Mar250017','070000178214','4351',(select max(to_number(i.premium_rcv_detail_code))+1
from ins_premium_det i),'4351','4351','02', '11000003','00','Request by Mr. Saqib Saleem 12-Mar-2025');</v>
      </c>
    </row>
    <row r="322" spans="1:8" ht="105" x14ac:dyDescent="0.25">
      <c r="A322" s="1" t="s">
        <v>634</v>
      </c>
      <c r="B322" s="1" t="str">
        <f>VLOOKUP(A322,policy!B:C,2,0)</f>
        <v>070000178215</v>
      </c>
      <c r="C322" s="4">
        <v>2250</v>
      </c>
      <c r="D322" s="8">
        <f t="shared" si="17"/>
        <v>2250</v>
      </c>
      <c r="E322" s="12" t="s">
        <v>821</v>
      </c>
      <c r="F322" s="9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10" t="str">
        <f t="shared" si="18"/>
        <v>('12Mar250017','070000178215','2250',(select max(to_number(i.premium_rcv_detail_code))+1
from ins_premium_det i),'2250','2250','02', '11000003','00','Request by Mr. Saqib Saleem 12-Mar-2025');</v>
      </c>
      <c r="H322" s="11" t="str">
        <f t="shared" si="19"/>
        <v>insert into ins_premium_det (premium_rcv_code,assorted_code, rec_amount,premium_rcv_detail_code,remaining_amt, payrec, mode_code,coinsurance_code,class_cd,it_remarks) values('12Mar250017','070000178215','2250',(select max(to_number(i.premium_rcv_detail_code))+1
from ins_premium_det i),'2250','2250','02', '11000003','00','Request by Mr. Saqib Saleem 12-Mar-2025');</v>
      </c>
    </row>
    <row r="323" spans="1:8" ht="105" x14ac:dyDescent="0.25">
      <c r="A323" s="1" t="s">
        <v>635</v>
      </c>
      <c r="B323" s="1" t="str">
        <f>VLOOKUP(A323,policy!B:C,2,0)</f>
        <v>070000178216</v>
      </c>
      <c r="C323" s="4">
        <v>2100</v>
      </c>
      <c r="D323" s="8">
        <f t="shared" ref="D323:D386" si="21">ROUND(C323,0)</f>
        <v>2100</v>
      </c>
      <c r="E323" s="12" t="s">
        <v>821</v>
      </c>
      <c r="F323" s="9" t="str">
        <f t="shared" si="20"/>
        <v>insert into ins_premium_det (premium_rcv_code,assorted_code, rec_amount,premium_rcv_detail_code,remaining_amt, payrec, mode_code,coinsurance_code,class_cd,it_remarks) values</v>
      </c>
      <c r="G323" s="10" t="str">
        <f t="shared" ref="G323:G386" si="22">"('"&amp;E323&amp;"','"&amp;B323&amp;"','"&amp;D323&amp;"',(select max(to_number(i.premium_rcv_detail_code))+1
from ins_premium_det i),'"&amp;D323&amp;"','"&amp;D323&amp;"','02', '11000003','00','Request by Mr. Saqib Saleem 12-Mar-2025');"</f>
        <v>('12Mar250017','070000178216','2100',(select max(to_number(i.premium_rcv_detail_code))+1
from ins_premium_det i),'2100','2100','02', '11000003','00','Request by Mr. Saqib Saleem 12-Mar-2025');</v>
      </c>
      <c r="H323" s="11" t="str">
        <f t="shared" ref="H323:H386" si="23">F323&amp;G323</f>
        <v>insert into ins_premium_det (premium_rcv_code,assorted_code, rec_amount,premium_rcv_detail_code,remaining_amt, payrec, mode_code,coinsurance_code,class_cd,it_remarks) values('12Mar250017','070000178216','2100',(select max(to_number(i.premium_rcv_detail_code))+1
from ins_premium_det i),'2100','2100','02', '11000003','00','Request by Mr. Saqib Saleem 12-Mar-2025');</v>
      </c>
    </row>
    <row r="324" spans="1:8" ht="105" x14ac:dyDescent="0.25">
      <c r="A324" s="1" t="s">
        <v>636</v>
      </c>
      <c r="B324" s="1" t="str">
        <f>VLOOKUP(A324,policy!B:C,2,0)</f>
        <v>070000178217</v>
      </c>
      <c r="C324" s="4">
        <v>1351</v>
      </c>
      <c r="D324" s="8">
        <f t="shared" si="21"/>
        <v>1351</v>
      </c>
      <c r="E324" s="12" t="s">
        <v>821</v>
      </c>
      <c r="F324" s="9" t="str">
        <f t="shared" si="20"/>
        <v>insert into ins_premium_det (premium_rcv_code,assorted_code, rec_amount,premium_rcv_detail_code,remaining_amt, payrec, mode_code,coinsurance_code,class_cd,it_remarks) values</v>
      </c>
      <c r="G324" s="10" t="str">
        <f t="shared" si="22"/>
        <v>('12Mar250017','070000178217','1351',(select max(to_number(i.premium_rcv_detail_code))+1
from ins_premium_det i),'1351','1351','02', '11000003','00','Request by Mr. Saqib Saleem 12-Mar-2025');</v>
      </c>
      <c r="H324" s="11" t="str">
        <f t="shared" si="23"/>
        <v>insert into ins_premium_det (premium_rcv_code,assorted_code, rec_amount,premium_rcv_detail_code,remaining_amt, payrec, mode_code,coinsurance_code,class_cd,it_remarks) values('12Mar250017','070000178217','1351',(select max(to_number(i.premium_rcv_detail_code))+1
from ins_premium_det i),'1351','1351','02', '11000003','00','Request by Mr. Saqib Saleem 12-Mar-2025');</v>
      </c>
    </row>
    <row r="325" spans="1:8" ht="105" x14ac:dyDescent="0.25">
      <c r="A325" s="1" t="s">
        <v>637</v>
      </c>
      <c r="B325" s="1" t="str">
        <f>VLOOKUP(A325,policy!B:C,2,0)</f>
        <v>070000178218</v>
      </c>
      <c r="C325" s="4">
        <v>1351</v>
      </c>
      <c r="D325" s="8">
        <f t="shared" si="21"/>
        <v>1351</v>
      </c>
      <c r="E325" s="12" t="s">
        <v>821</v>
      </c>
      <c r="F325" s="9" t="str">
        <f t="shared" si="20"/>
        <v>insert into ins_premium_det (premium_rcv_code,assorted_code, rec_amount,premium_rcv_detail_code,remaining_amt, payrec, mode_code,coinsurance_code,class_cd,it_remarks) values</v>
      </c>
      <c r="G325" s="10" t="str">
        <f t="shared" si="22"/>
        <v>('12Mar250017','070000178218','1351',(select max(to_number(i.premium_rcv_detail_code))+1
from ins_premium_det i),'1351','1351','02', '11000003','00','Request by Mr. Saqib Saleem 12-Mar-2025');</v>
      </c>
      <c r="H325" s="11" t="str">
        <f t="shared" si="23"/>
        <v>insert into ins_premium_det (premium_rcv_code,assorted_code, rec_amount,premium_rcv_detail_code,remaining_amt, payrec, mode_code,coinsurance_code,class_cd,it_remarks) values('12Mar250017','070000178218','1351',(select max(to_number(i.premium_rcv_detail_code))+1
from ins_premium_det i),'1351','1351','02', '11000003','00','Request by Mr. Saqib Saleem 12-Mar-2025');</v>
      </c>
    </row>
    <row r="326" spans="1:8" ht="105" x14ac:dyDescent="0.25">
      <c r="A326" s="1" t="s">
        <v>638</v>
      </c>
      <c r="B326" s="1" t="str">
        <f>VLOOKUP(A326,policy!B:C,2,0)</f>
        <v>070000178219</v>
      </c>
      <c r="C326" s="4">
        <v>2100</v>
      </c>
      <c r="D326" s="8">
        <f t="shared" si="21"/>
        <v>2100</v>
      </c>
      <c r="E326" s="12" t="s">
        <v>821</v>
      </c>
      <c r="F326" s="9" t="str">
        <f t="shared" si="20"/>
        <v>insert into ins_premium_det (premium_rcv_code,assorted_code, rec_amount,premium_rcv_detail_code,remaining_amt, payrec, mode_code,coinsurance_code,class_cd,it_remarks) values</v>
      </c>
      <c r="G326" s="10" t="str">
        <f t="shared" si="22"/>
        <v>('12Mar250017','070000178219','2100',(select max(to_number(i.premium_rcv_detail_code))+1
from ins_premium_det i),'2100','2100','02', '11000003','00','Request by Mr. Saqib Saleem 12-Mar-2025');</v>
      </c>
      <c r="H326" s="11" t="str">
        <f t="shared" si="23"/>
        <v>insert into ins_premium_det (premium_rcv_code,assorted_code, rec_amount,premium_rcv_detail_code,remaining_amt, payrec, mode_code,coinsurance_code,class_cd,it_remarks) values('12Mar250017','070000178219','2100',(select max(to_number(i.premium_rcv_detail_code))+1
from ins_premium_det i),'2100','2100','02', '11000003','00','Request by Mr. Saqib Saleem 12-Mar-2025');</v>
      </c>
    </row>
    <row r="327" spans="1:8" ht="105" x14ac:dyDescent="0.25">
      <c r="A327" s="1" t="s">
        <v>639</v>
      </c>
      <c r="B327" s="1" t="str">
        <f>VLOOKUP(A327,policy!B:C,2,0)</f>
        <v>070000178220</v>
      </c>
      <c r="C327" s="4">
        <v>3599</v>
      </c>
      <c r="D327" s="8">
        <f t="shared" si="21"/>
        <v>3599</v>
      </c>
      <c r="E327" s="12" t="s">
        <v>821</v>
      </c>
      <c r="F327" s="9" t="str">
        <f t="shared" si="20"/>
        <v>insert into ins_premium_det (premium_rcv_code,assorted_code, rec_amount,premium_rcv_detail_code,remaining_amt, payrec, mode_code,coinsurance_code,class_cd,it_remarks) values</v>
      </c>
      <c r="G327" s="10" t="str">
        <f t="shared" si="22"/>
        <v>('12Mar250017','070000178220','3599',(select max(to_number(i.premium_rcv_detail_code))+1
from ins_premium_det i),'3599','3599','02', '11000003','00','Request by Mr. Saqib Saleem 12-Mar-2025');</v>
      </c>
      <c r="H327" s="11" t="str">
        <f t="shared" si="23"/>
        <v>insert into ins_premium_det (premium_rcv_code,assorted_code, rec_amount,premium_rcv_detail_code,remaining_amt, payrec, mode_code,coinsurance_code,class_cd,it_remarks) values('12Mar250017','070000178220','3599',(select max(to_number(i.premium_rcv_detail_code))+1
from ins_premium_det i),'3599','3599','02', '11000003','00','Request by Mr. Saqib Saleem 12-Mar-2025');</v>
      </c>
    </row>
    <row r="328" spans="1:8" ht="105" x14ac:dyDescent="0.25">
      <c r="A328" s="1" t="s">
        <v>640</v>
      </c>
      <c r="B328" s="1" t="str">
        <f>VLOOKUP(A328,policy!B:C,2,0)</f>
        <v>070000178221</v>
      </c>
      <c r="C328" s="4">
        <v>2100</v>
      </c>
      <c r="D328" s="8">
        <f t="shared" si="21"/>
        <v>2100</v>
      </c>
      <c r="E328" s="12" t="s">
        <v>821</v>
      </c>
      <c r="F328" s="9" t="str">
        <f t="shared" si="20"/>
        <v>insert into ins_premium_det (premium_rcv_code,assorted_code, rec_amount,premium_rcv_detail_code,remaining_amt, payrec, mode_code,coinsurance_code,class_cd,it_remarks) values</v>
      </c>
      <c r="G328" s="10" t="str">
        <f t="shared" si="22"/>
        <v>('12Mar250017','070000178221','2100',(select max(to_number(i.premium_rcv_detail_code))+1
from ins_premium_det i),'2100','2100','02', '11000003','00','Request by Mr. Saqib Saleem 12-Mar-2025');</v>
      </c>
      <c r="H328" s="11" t="str">
        <f t="shared" si="23"/>
        <v>insert into ins_premium_det (premium_rcv_code,assorted_code, rec_amount,premium_rcv_detail_code,remaining_amt, payrec, mode_code,coinsurance_code,class_cd,it_remarks) values('12Mar250017','070000178221','2100',(select max(to_number(i.premium_rcv_detail_code))+1
from ins_premium_det i),'2100','2100','02', '11000003','00','Request by Mr. Saqib Saleem 12-Mar-2025');</v>
      </c>
    </row>
    <row r="329" spans="1:8" ht="105" x14ac:dyDescent="0.25">
      <c r="A329" s="1" t="s">
        <v>641</v>
      </c>
      <c r="B329" s="1" t="str">
        <f>VLOOKUP(A329,policy!B:C,2,0)</f>
        <v>070000178222</v>
      </c>
      <c r="C329" s="4">
        <v>9300</v>
      </c>
      <c r="D329" s="8">
        <f t="shared" si="21"/>
        <v>9300</v>
      </c>
      <c r="E329" s="12" t="s">
        <v>821</v>
      </c>
      <c r="F329" s="9" t="str">
        <f t="shared" si="20"/>
        <v>insert into ins_premium_det (premium_rcv_code,assorted_code, rec_amount,premium_rcv_detail_code,remaining_amt, payrec, mode_code,coinsurance_code,class_cd,it_remarks) values</v>
      </c>
      <c r="G329" s="10" t="str">
        <f t="shared" si="22"/>
        <v>('12Mar250017','070000178222','9300',(select max(to_number(i.premium_rcv_detail_code))+1
from ins_premium_det i),'9300','9300','02', '11000003','00','Request by Mr. Saqib Saleem 12-Mar-2025');</v>
      </c>
      <c r="H329" s="11" t="str">
        <f t="shared" si="23"/>
        <v>insert into ins_premium_det (premium_rcv_code,assorted_code, rec_amount,premium_rcv_detail_code,remaining_amt, payrec, mode_code,coinsurance_code,class_cd,it_remarks) values('12Mar250017','070000178222','9300',(select max(to_number(i.premium_rcv_detail_code))+1
from ins_premium_det i),'9300','9300','02', '11000003','00','Request by Mr. Saqib Saleem 12-Mar-2025');</v>
      </c>
    </row>
    <row r="330" spans="1:8" ht="105" x14ac:dyDescent="0.25">
      <c r="A330" s="1" t="s">
        <v>642</v>
      </c>
      <c r="B330" s="1" t="str">
        <f>VLOOKUP(A330,policy!B:C,2,0)</f>
        <v>070000178223</v>
      </c>
      <c r="C330" s="4">
        <v>1950</v>
      </c>
      <c r="D330" s="8">
        <f t="shared" si="21"/>
        <v>1950</v>
      </c>
      <c r="E330" s="12" t="s">
        <v>821</v>
      </c>
      <c r="F330" s="9" t="str">
        <f t="shared" si="20"/>
        <v>insert into ins_premium_det (premium_rcv_code,assorted_code, rec_amount,premium_rcv_detail_code,remaining_amt, payrec, mode_code,coinsurance_code,class_cd,it_remarks) values</v>
      </c>
      <c r="G330" s="10" t="str">
        <f t="shared" si="22"/>
        <v>('12Mar250017','070000178223','1950',(select max(to_number(i.premium_rcv_detail_code))+1
from ins_premium_det i),'1950','1950','02', '11000003','00','Request by Mr. Saqib Saleem 12-Mar-2025');</v>
      </c>
      <c r="H330" s="11" t="str">
        <f t="shared" si="23"/>
        <v>insert into ins_premium_det (premium_rcv_code,assorted_code, rec_amount,premium_rcv_detail_code,remaining_amt, payrec, mode_code,coinsurance_code,class_cd,it_remarks) values('12Mar250017','070000178223','1950',(select max(to_number(i.premium_rcv_detail_code))+1
from ins_premium_det i),'1950','1950','02', '11000003','00','Request by Mr. Saqib Saleem 12-Mar-2025');</v>
      </c>
    </row>
    <row r="331" spans="1:8" ht="105" x14ac:dyDescent="0.25">
      <c r="A331" s="1" t="s">
        <v>643</v>
      </c>
      <c r="B331" s="1" t="str">
        <f>VLOOKUP(A331,policy!B:C,2,0)</f>
        <v>070000178224</v>
      </c>
      <c r="C331" s="4">
        <v>4050</v>
      </c>
      <c r="D331" s="8">
        <f t="shared" si="21"/>
        <v>4050</v>
      </c>
      <c r="E331" s="12" t="s">
        <v>821</v>
      </c>
      <c r="F331" s="9" t="str">
        <f t="shared" si="20"/>
        <v>insert into ins_premium_det (premium_rcv_code,assorted_code, rec_amount,premium_rcv_detail_code,remaining_amt, payrec, mode_code,coinsurance_code,class_cd,it_remarks) values</v>
      </c>
      <c r="G331" s="10" t="str">
        <f t="shared" si="22"/>
        <v>('12Mar250017','070000178224','4050',(select max(to_number(i.premium_rcv_detail_code))+1
from ins_premium_det i),'4050','4050','02', '11000003','00','Request by Mr. Saqib Saleem 12-Mar-2025');</v>
      </c>
      <c r="H331" s="11" t="str">
        <f t="shared" si="23"/>
        <v>insert into ins_premium_det (premium_rcv_code,assorted_code, rec_amount,premium_rcv_detail_code,remaining_amt, payrec, mode_code,coinsurance_code,class_cd,it_remarks) values('12Mar250017','070000178224','4050',(select max(to_number(i.premium_rcv_detail_code))+1
from ins_premium_det i),'4050','4050','02', '11000003','00','Request by Mr. Saqib Saleem 12-Mar-2025');</v>
      </c>
    </row>
    <row r="332" spans="1:8" ht="105" x14ac:dyDescent="0.25">
      <c r="A332" s="1" t="s">
        <v>644</v>
      </c>
      <c r="B332" s="1" t="str">
        <f>VLOOKUP(A332,policy!B:C,2,0)</f>
        <v>070000178225</v>
      </c>
      <c r="C332" s="4">
        <v>3000</v>
      </c>
      <c r="D332" s="8">
        <f t="shared" si="21"/>
        <v>3000</v>
      </c>
      <c r="E332" s="12" t="s">
        <v>821</v>
      </c>
      <c r="F332" s="9" t="str">
        <f t="shared" si="20"/>
        <v>insert into ins_premium_det (premium_rcv_code,assorted_code, rec_amount,premium_rcv_detail_code,remaining_amt, payrec, mode_code,coinsurance_code,class_cd,it_remarks) values</v>
      </c>
      <c r="G332" s="10" t="str">
        <f t="shared" si="22"/>
        <v>('12Mar250017','070000178225','3000',(select max(to_number(i.premium_rcv_detail_code))+1
from ins_premium_det i),'3000','3000','02', '11000003','00','Request by Mr. Saqib Saleem 12-Mar-2025');</v>
      </c>
      <c r="H332" s="11" t="str">
        <f t="shared" si="23"/>
        <v>insert into ins_premium_det (premium_rcv_code,assorted_code, rec_amount,premium_rcv_detail_code,remaining_amt, payrec, mode_code,coinsurance_code,class_cd,it_remarks) values('12Mar250017','070000178225','3000',(select max(to_number(i.premium_rcv_detail_code))+1
from ins_premium_det i),'3000','3000','02', '11000003','00','Request by Mr. Saqib Saleem 12-Mar-2025');</v>
      </c>
    </row>
    <row r="333" spans="1:8" ht="105" x14ac:dyDescent="0.25">
      <c r="A333" s="1" t="s">
        <v>645</v>
      </c>
      <c r="B333" s="1" t="str">
        <f>VLOOKUP(A333,policy!B:C,2,0)</f>
        <v>070000178226</v>
      </c>
      <c r="C333" s="4">
        <v>3900</v>
      </c>
      <c r="D333" s="8">
        <f t="shared" si="21"/>
        <v>3900</v>
      </c>
      <c r="E333" s="12" t="s">
        <v>821</v>
      </c>
      <c r="F333" s="9" t="str">
        <f t="shared" si="20"/>
        <v>insert into ins_premium_det (premium_rcv_code,assorted_code, rec_amount,premium_rcv_detail_code,remaining_amt, payrec, mode_code,coinsurance_code,class_cd,it_remarks) values</v>
      </c>
      <c r="G333" s="10" t="str">
        <f t="shared" si="22"/>
        <v>('12Mar250017','070000178226','3900',(select max(to_number(i.premium_rcv_detail_code))+1
from ins_premium_det i),'3900','3900','02', '11000003','00','Request by Mr. Saqib Saleem 12-Mar-2025');</v>
      </c>
      <c r="H333" s="11" t="str">
        <f t="shared" si="23"/>
        <v>insert into ins_premium_det (premium_rcv_code,assorted_code, rec_amount,premium_rcv_detail_code,remaining_amt, payrec, mode_code,coinsurance_code,class_cd,it_remarks) values('12Mar250017','070000178226','3900',(select max(to_number(i.premium_rcv_detail_code))+1
from ins_premium_det i),'3900','3900','02', '11000003','00','Request by Mr. Saqib Saleem 12-Mar-2025');</v>
      </c>
    </row>
    <row r="334" spans="1:8" ht="105" x14ac:dyDescent="0.25">
      <c r="A334" s="1" t="s">
        <v>646</v>
      </c>
      <c r="B334" s="1" t="str">
        <f>VLOOKUP(A334,policy!B:C,2,0)</f>
        <v>070000178227</v>
      </c>
      <c r="C334" s="4">
        <v>3150</v>
      </c>
      <c r="D334" s="8">
        <f t="shared" si="21"/>
        <v>3150</v>
      </c>
      <c r="E334" s="12" t="s">
        <v>821</v>
      </c>
      <c r="F334" s="9" t="str">
        <f t="shared" si="20"/>
        <v>insert into ins_premium_det (premium_rcv_code,assorted_code, rec_amount,premium_rcv_detail_code,remaining_amt, payrec, mode_code,coinsurance_code,class_cd,it_remarks) values</v>
      </c>
      <c r="G334" s="10" t="str">
        <f t="shared" si="22"/>
        <v>('12Mar250017','070000178227','3150',(select max(to_number(i.premium_rcv_detail_code))+1
from ins_premium_det i),'3150','3150','02', '11000003','00','Request by Mr. Saqib Saleem 12-Mar-2025');</v>
      </c>
      <c r="H334" s="11" t="str">
        <f t="shared" si="23"/>
        <v>insert into ins_premium_det (premium_rcv_code,assorted_code, rec_amount,premium_rcv_detail_code,remaining_amt, payrec, mode_code,coinsurance_code,class_cd,it_remarks) values('12Mar250017','070000178227','3150',(select max(to_number(i.premium_rcv_detail_code))+1
from ins_premium_det i),'3150','3150','02', '11000003','00','Request by Mr. Saqib Saleem 12-Mar-2025');</v>
      </c>
    </row>
    <row r="335" spans="1:8" ht="105" x14ac:dyDescent="0.25">
      <c r="A335" s="1" t="s">
        <v>647</v>
      </c>
      <c r="B335" s="1" t="str">
        <f>VLOOKUP(A335,policy!B:C,2,0)</f>
        <v>070000178228</v>
      </c>
      <c r="C335" s="4">
        <v>2250</v>
      </c>
      <c r="D335" s="8">
        <f t="shared" si="21"/>
        <v>2250</v>
      </c>
      <c r="E335" s="12" t="s">
        <v>821</v>
      </c>
      <c r="F335" s="9" t="str">
        <f t="shared" si="20"/>
        <v>insert into ins_premium_det (premium_rcv_code,assorted_code, rec_amount,premium_rcv_detail_code,remaining_amt, payrec, mode_code,coinsurance_code,class_cd,it_remarks) values</v>
      </c>
      <c r="G335" s="10" t="str">
        <f t="shared" si="22"/>
        <v>('12Mar250017','070000178228','2250',(select max(to_number(i.premium_rcv_detail_code))+1
from ins_premium_det i),'2250','2250','02', '11000003','00','Request by Mr. Saqib Saleem 12-Mar-2025');</v>
      </c>
      <c r="H335" s="11" t="str">
        <f t="shared" si="23"/>
        <v>insert into ins_premium_det (premium_rcv_code,assorted_code, rec_amount,premium_rcv_detail_code,remaining_amt, payrec, mode_code,coinsurance_code,class_cd,it_remarks) values('12Mar250017','070000178228','2250',(select max(to_number(i.premium_rcv_detail_code))+1
from ins_premium_det i),'2250','2250','02', '11000003','00','Request by Mr. Saqib Saleem 12-Mar-2025');</v>
      </c>
    </row>
    <row r="336" spans="1:8" ht="105" x14ac:dyDescent="0.25">
      <c r="A336" s="1" t="s">
        <v>648</v>
      </c>
      <c r="B336" s="1" t="str">
        <f>VLOOKUP(A336,policy!B:C,2,0)</f>
        <v>070000178229</v>
      </c>
      <c r="C336" s="4">
        <v>1950</v>
      </c>
      <c r="D336" s="8">
        <f t="shared" si="21"/>
        <v>1950</v>
      </c>
      <c r="E336" s="12" t="s">
        <v>821</v>
      </c>
      <c r="F336" s="9" t="str">
        <f t="shared" si="20"/>
        <v>insert into ins_premium_det (premium_rcv_code,assorted_code, rec_amount,premium_rcv_detail_code,remaining_amt, payrec, mode_code,coinsurance_code,class_cd,it_remarks) values</v>
      </c>
      <c r="G336" s="10" t="str">
        <f t="shared" si="22"/>
        <v>('12Mar250017','070000178229','1950',(select max(to_number(i.premium_rcv_detail_code))+1
from ins_premium_det i),'1950','1950','02', '11000003','00','Request by Mr. Saqib Saleem 12-Mar-2025');</v>
      </c>
      <c r="H336" s="11" t="str">
        <f t="shared" si="23"/>
        <v>insert into ins_premium_det (premium_rcv_code,assorted_code, rec_amount,premium_rcv_detail_code,remaining_amt, payrec, mode_code,coinsurance_code,class_cd,it_remarks) values('12Mar250017','070000178229','1950',(select max(to_number(i.premium_rcv_detail_code))+1
from ins_premium_det i),'1950','1950','02', '11000003','00','Request by Mr. Saqib Saleem 12-Mar-2025');</v>
      </c>
    </row>
    <row r="337" spans="1:8" ht="105" x14ac:dyDescent="0.25">
      <c r="A337" s="1" t="s">
        <v>649</v>
      </c>
      <c r="B337" s="1" t="str">
        <f>VLOOKUP(A337,policy!B:C,2,0)</f>
        <v>070000178230</v>
      </c>
      <c r="C337" s="4">
        <v>3599</v>
      </c>
      <c r="D337" s="8">
        <f t="shared" si="21"/>
        <v>3599</v>
      </c>
      <c r="E337" s="12" t="s">
        <v>821</v>
      </c>
      <c r="F337" s="9" t="str">
        <f t="shared" si="20"/>
        <v>insert into ins_premium_det (premium_rcv_code,assorted_code, rec_amount,premium_rcv_detail_code,remaining_amt, payrec, mode_code,coinsurance_code,class_cd,it_remarks) values</v>
      </c>
      <c r="G337" s="10" t="str">
        <f t="shared" si="22"/>
        <v>('12Mar250017','070000178230','3599',(select max(to_number(i.premium_rcv_detail_code))+1
from ins_premium_det i),'3599','3599','02', '11000003','00','Request by Mr. Saqib Saleem 12-Mar-2025');</v>
      </c>
      <c r="H337" s="11" t="str">
        <f t="shared" si="23"/>
        <v>insert into ins_premium_det (premium_rcv_code,assorted_code, rec_amount,premium_rcv_detail_code,remaining_amt, payrec, mode_code,coinsurance_code,class_cd,it_remarks) values('12Mar250017','070000178230','3599',(select max(to_number(i.premium_rcv_detail_code))+1
from ins_premium_det i),'3599','3599','02', '11000003','00','Request by Mr. Saqib Saleem 12-Mar-2025');</v>
      </c>
    </row>
    <row r="338" spans="1:8" ht="105" x14ac:dyDescent="0.25">
      <c r="A338" s="1" t="s">
        <v>650</v>
      </c>
      <c r="B338" s="1" t="str">
        <f>VLOOKUP(A338,policy!B:C,2,0)</f>
        <v>070000178231</v>
      </c>
      <c r="C338" s="4">
        <v>3599</v>
      </c>
      <c r="D338" s="8">
        <f t="shared" si="21"/>
        <v>3599</v>
      </c>
      <c r="E338" s="12" t="s">
        <v>821</v>
      </c>
      <c r="F338" s="9" t="str">
        <f t="shared" si="20"/>
        <v>insert into ins_premium_det (premium_rcv_code,assorted_code, rec_amount,premium_rcv_detail_code,remaining_amt, payrec, mode_code,coinsurance_code,class_cd,it_remarks) values</v>
      </c>
      <c r="G338" s="10" t="str">
        <f t="shared" si="22"/>
        <v>('12Mar250017','070000178231','3599',(select max(to_number(i.premium_rcv_detail_code))+1
from ins_premium_det i),'3599','3599','02', '11000003','00','Request by Mr. Saqib Saleem 12-Mar-2025');</v>
      </c>
      <c r="H338" s="11" t="str">
        <f t="shared" si="23"/>
        <v>insert into ins_premium_det (premium_rcv_code,assorted_code, rec_amount,premium_rcv_detail_code,remaining_amt, payrec, mode_code,coinsurance_code,class_cd,it_remarks) values('12Mar250017','070000178231','3599',(select max(to_number(i.premium_rcv_detail_code))+1
from ins_premium_det i),'3599','3599','02', '11000003','00','Request by Mr. Saqib Saleem 12-Mar-2025');</v>
      </c>
    </row>
    <row r="339" spans="1:8" ht="105" x14ac:dyDescent="0.25">
      <c r="A339" s="1" t="s">
        <v>651</v>
      </c>
      <c r="B339" s="1" t="str">
        <f>VLOOKUP(A339,policy!B:C,2,0)</f>
        <v>070000178232</v>
      </c>
      <c r="C339" s="4">
        <v>4200</v>
      </c>
      <c r="D339" s="8">
        <f t="shared" si="21"/>
        <v>4200</v>
      </c>
      <c r="E339" s="12" t="s">
        <v>821</v>
      </c>
      <c r="F339" s="9" t="str">
        <f t="shared" si="20"/>
        <v>insert into ins_premium_det (premium_rcv_code,assorted_code, rec_amount,premium_rcv_detail_code,remaining_amt, payrec, mode_code,coinsurance_code,class_cd,it_remarks) values</v>
      </c>
      <c r="G339" s="10" t="str">
        <f t="shared" si="22"/>
        <v>('12Mar250017','070000178232','4200',(select max(to_number(i.premium_rcv_detail_code))+1
from ins_premium_det i),'4200','4200','02', '11000003','00','Request by Mr. Saqib Saleem 12-Mar-2025');</v>
      </c>
      <c r="H339" s="11" t="str">
        <f t="shared" si="23"/>
        <v>insert into ins_premium_det (premium_rcv_code,assorted_code, rec_amount,premium_rcv_detail_code,remaining_amt, payrec, mode_code,coinsurance_code,class_cd,it_remarks) values('12Mar250017','070000178232','4200',(select max(to_number(i.premium_rcv_detail_code))+1
from ins_premium_det i),'4200','4200','02', '11000003','00','Request by Mr. Saqib Saleem 12-Mar-2025');</v>
      </c>
    </row>
    <row r="340" spans="1:8" ht="105" x14ac:dyDescent="0.25">
      <c r="A340" s="1" t="s">
        <v>652</v>
      </c>
      <c r="B340" s="1" t="str">
        <f>VLOOKUP(A340,policy!B:C,2,0)</f>
        <v>070000178233</v>
      </c>
      <c r="C340" s="4">
        <v>4800</v>
      </c>
      <c r="D340" s="8">
        <f t="shared" si="21"/>
        <v>4800</v>
      </c>
      <c r="E340" s="12" t="s">
        <v>821</v>
      </c>
      <c r="F340" s="9" t="str">
        <f t="shared" si="20"/>
        <v>insert into ins_premium_det (premium_rcv_code,assorted_code, rec_amount,premium_rcv_detail_code,remaining_amt, payrec, mode_code,coinsurance_code,class_cd,it_remarks) values</v>
      </c>
      <c r="G340" s="10" t="str">
        <f t="shared" si="22"/>
        <v>('12Mar250017','070000178233','4800',(select max(to_number(i.premium_rcv_detail_code))+1
from ins_premium_det i),'4800','4800','02', '11000003','00','Request by Mr. Saqib Saleem 12-Mar-2025');</v>
      </c>
      <c r="H340" s="11" t="str">
        <f t="shared" si="23"/>
        <v>insert into ins_premium_det (premium_rcv_code,assorted_code, rec_amount,premium_rcv_detail_code,remaining_amt, payrec, mode_code,coinsurance_code,class_cd,it_remarks) values('12Mar250017','070000178233','4800',(select max(to_number(i.premium_rcv_detail_code))+1
from ins_premium_det i),'4800','4800','02', '11000003','00','Request by Mr. Saqib Saleem 12-Mar-2025');</v>
      </c>
    </row>
    <row r="341" spans="1:8" ht="105" x14ac:dyDescent="0.25">
      <c r="A341" s="1" t="s">
        <v>653</v>
      </c>
      <c r="B341" s="1" t="str">
        <f>VLOOKUP(A341,policy!B:C,2,0)</f>
        <v>070000178234</v>
      </c>
      <c r="C341" s="4">
        <v>5400</v>
      </c>
      <c r="D341" s="8">
        <f t="shared" si="21"/>
        <v>5400</v>
      </c>
      <c r="E341" s="12" t="s">
        <v>821</v>
      </c>
      <c r="F341" s="9" t="str">
        <f t="shared" si="20"/>
        <v>insert into ins_premium_det (premium_rcv_code,assorted_code, rec_amount,premium_rcv_detail_code,remaining_amt, payrec, mode_code,coinsurance_code,class_cd,it_remarks) values</v>
      </c>
      <c r="G341" s="10" t="str">
        <f t="shared" si="22"/>
        <v>('12Mar250017','070000178234','5400',(select max(to_number(i.premium_rcv_detail_code))+1
from ins_premium_det i),'5400','5400','02', '11000003','00','Request by Mr. Saqib Saleem 12-Mar-2025');</v>
      </c>
      <c r="H341" s="11" t="str">
        <f t="shared" si="23"/>
        <v>insert into ins_premium_det (premium_rcv_code,assorted_code, rec_amount,premium_rcv_detail_code,remaining_amt, payrec, mode_code,coinsurance_code,class_cd,it_remarks) values('12Mar250017','070000178234','5400',(select max(to_number(i.premium_rcv_detail_code))+1
from ins_premium_det i),'5400','5400','02', '11000003','00','Request by Mr. Saqib Saleem 12-Mar-2025');</v>
      </c>
    </row>
    <row r="342" spans="1:8" ht="105" x14ac:dyDescent="0.25">
      <c r="A342" s="1" t="s">
        <v>654</v>
      </c>
      <c r="B342" s="1" t="str">
        <f>VLOOKUP(A342,policy!B:C,2,0)</f>
        <v>070000178235</v>
      </c>
      <c r="C342" s="4">
        <v>6899</v>
      </c>
      <c r="D342" s="8">
        <f t="shared" si="21"/>
        <v>6899</v>
      </c>
      <c r="E342" s="12" t="s">
        <v>821</v>
      </c>
      <c r="F342" s="9" t="str">
        <f t="shared" si="20"/>
        <v>insert into ins_premium_det (premium_rcv_code,assorted_code, rec_amount,premium_rcv_detail_code,remaining_amt, payrec, mode_code,coinsurance_code,class_cd,it_remarks) values</v>
      </c>
      <c r="G342" s="10" t="str">
        <f t="shared" si="22"/>
        <v>('12Mar250017','070000178235','6899',(select max(to_number(i.premium_rcv_detail_code))+1
from ins_premium_det i),'6899','6899','02', '11000003','00','Request by Mr. Saqib Saleem 12-Mar-2025');</v>
      </c>
      <c r="H342" s="11" t="str">
        <f t="shared" si="23"/>
        <v>insert into ins_premium_det (premium_rcv_code,assorted_code, rec_amount,premium_rcv_detail_code,remaining_amt, payrec, mode_code,coinsurance_code,class_cd,it_remarks) values('12Mar250017','070000178235','6899',(select max(to_number(i.premium_rcv_detail_code))+1
from ins_premium_det i),'6899','6899','02', '11000003','00','Request by Mr. Saqib Saleem 12-Mar-2025');</v>
      </c>
    </row>
    <row r="343" spans="1:8" ht="105" x14ac:dyDescent="0.25">
      <c r="A343" s="1" t="s">
        <v>655</v>
      </c>
      <c r="B343" s="1" t="str">
        <f>VLOOKUP(A343,policy!B:C,2,0)</f>
        <v>070000178236</v>
      </c>
      <c r="C343" s="4">
        <v>3750</v>
      </c>
      <c r="D343" s="8">
        <f t="shared" si="21"/>
        <v>3750</v>
      </c>
      <c r="E343" s="12" t="s">
        <v>821</v>
      </c>
      <c r="F343" s="9" t="str">
        <f t="shared" si="20"/>
        <v>insert into ins_premium_det (premium_rcv_code,assorted_code, rec_amount,premium_rcv_detail_code,remaining_amt, payrec, mode_code,coinsurance_code,class_cd,it_remarks) values</v>
      </c>
      <c r="G343" s="10" t="str">
        <f t="shared" si="22"/>
        <v>('12Mar250017','070000178236','3750',(select max(to_number(i.premium_rcv_detail_code))+1
from ins_premium_det i),'3750','3750','02', '11000003','00','Request by Mr. Saqib Saleem 12-Mar-2025');</v>
      </c>
      <c r="H343" s="11" t="str">
        <f t="shared" si="23"/>
        <v>insert into ins_premium_det (premium_rcv_code,assorted_code, rec_amount,premium_rcv_detail_code,remaining_amt, payrec, mode_code,coinsurance_code,class_cd,it_remarks) values('12Mar250017','070000178236','3750',(select max(to_number(i.premium_rcv_detail_code))+1
from ins_premium_det i),'3750','3750','02', '11000003','00','Request by Mr. Saqib Saleem 12-Mar-2025');</v>
      </c>
    </row>
    <row r="344" spans="1:8" ht="105" x14ac:dyDescent="0.25">
      <c r="A344" s="1" t="s">
        <v>656</v>
      </c>
      <c r="B344" s="1" t="str">
        <f>VLOOKUP(A344,policy!B:C,2,0)</f>
        <v>070000178237</v>
      </c>
      <c r="C344" s="4">
        <v>2250</v>
      </c>
      <c r="D344" s="8">
        <f t="shared" si="21"/>
        <v>2250</v>
      </c>
      <c r="E344" s="12" t="s">
        <v>821</v>
      </c>
      <c r="F344" s="9" t="str">
        <f t="shared" si="20"/>
        <v>insert into ins_premium_det (premium_rcv_code,assorted_code, rec_amount,premium_rcv_detail_code,remaining_amt, payrec, mode_code,coinsurance_code,class_cd,it_remarks) values</v>
      </c>
      <c r="G344" s="10" t="str">
        <f t="shared" si="22"/>
        <v>('12Mar250017','070000178237','2250',(select max(to_number(i.premium_rcv_detail_code))+1
from ins_premium_det i),'2250','2250','02', '11000003','00','Request by Mr. Saqib Saleem 12-Mar-2025');</v>
      </c>
      <c r="H344" s="11" t="str">
        <f t="shared" si="23"/>
        <v>insert into ins_premium_det (premium_rcv_code,assorted_code, rec_amount,premium_rcv_detail_code,remaining_amt, payrec, mode_code,coinsurance_code,class_cd,it_remarks) values('12Mar250017','070000178237','2250',(select max(to_number(i.premium_rcv_detail_code))+1
from ins_premium_det i),'2250','2250','02', '11000003','00','Request by Mr. Saqib Saleem 12-Mar-2025');</v>
      </c>
    </row>
    <row r="345" spans="1:8" ht="105" x14ac:dyDescent="0.25">
      <c r="A345" s="1" t="s">
        <v>657</v>
      </c>
      <c r="B345" s="1" t="str">
        <f>VLOOKUP(A345,policy!B:C,2,0)</f>
        <v>070000178238</v>
      </c>
      <c r="C345" s="4">
        <v>3750</v>
      </c>
      <c r="D345" s="8">
        <f t="shared" si="21"/>
        <v>3750</v>
      </c>
      <c r="E345" s="12" t="s">
        <v>821</v>
      </c>
      <c r="F345" s="9" t="str">
        <f t="shared" si="20"/>
        <v>insert into ins_premium_det (premium_rcv_code,assorted_code, rec_amount,premium_rcv_detail_code,remaining_amt, payrec, mode_code,coinsurance_code,class_cd,it_remarks) values</v>
      </c>
      <c r="G345" s="10" t="str">
        <f t="shared" si="22"/>
        <v>('12Mar250017','070000178238','3750',(select max(to_number(i.premium_rcv_detail_code))+1
from ins_premium_det i),'3750','3750','02', '11000003','00','Request by Mr. Saqib Saleem 12-Mar-2025');</v>
      </c>
      <c r="H345" s="11" t="str">
        <f t="shared" si="23"/>
        <v>insert into ins_premium_det (premium_rcv_code,assorted_code, rec_amount,premium_rcv_detail_code,remaining_amt, payrec, mode_code,coinsurance_code,class_cd,it_remarks) values('12Mar250017','070000178238','3750',(select max(to_number(i.premium_rcv_detail_code))+1
from ins_premium_det i),'3750','3750','02', '11000003','00','Request by Mr. Saqib Saleem 12-Mar-2025');</v>
      </c>
    </row>
    <row r="346" spans="1:8" ht="105" x14ac:dyDescent="0.25">
      <c r="A346" s="1" t="s">
        <v>658</v>
      </c>
      <c r="B346" s="1" t="str">
        <f>VLOOKUP(A346,policy!B:C,2,0)</f>
        <v>070000178239</v>
      </c>
      <c r="C346" s="4">
        <v>1500</v>
      </c>
      <c r="D346" s="8">
        <f t="shared" si="21"/>
        <v>1500</v>
      </c>
      <c r="E346" s="12" t="s">
        <v>821</v>
      </c>
      <c r="F346" s="9" t="str">
        <f t="shared" si="20"/>
        <v>insert into ins_premium_det (premium_rcv_code,assorted_code, rec_amount,premium_rcv_detail_code,remaining_amt, payrec, mode_code,coinsurance_code,class_cd,it_remarks) values</v>
      </c>
      <c r="G346" s="10" t="str">
        <f t="shared" si="22"/>
        <v>('12Mar250017','070000178239','1500',(select max(to_number(i.premium_rcv_detail_code))+1
from ins_premium_det i),'1500','1500','02', '11000003','00','Request by Mr. Saqib Saleem 12-Mar-2025');</v>
      </c>
      <c r="H346" s="11" t="str">
        <f t="shared" si="23"/>
        <v>insert into ins_premium_det (premium_rcv_code,assorted_code, rec_amount,premium_rcv_detail_code,remaining_amt, payrec, mode_code,coinsurance_code,class_cd,it_remarks) values('12Mar250017','070000178239','1500',(select max(to_number(i.premium_rcv_detail_code))+1
from ins_premium_det i),'1500','1500','02', '11000003','00','Request by Mr. Saqib Saleem 12-Mar-2025');</v>
      </c>
    </row>
    <row r="347" spans="1:8" ht="105" x14ac:dyDescent="0.25">
      <c r="A347" s="1" t="s">
        <v>659</v>
      </c>
      <c r="B347" s="1" t="str">
        <f>VLOOKUP(A347,policy!B:C,2,0)</f>
        <v>070000178240</v>
      </c>
      <c r="C347" s="4">
        <v>3750</v>
      </c>
      <c r="D347" s="8">
        <f t="shared" si="21"/>
        <v>3750</v>
      </c>
      <c r="E347" s="12" t="s">
        <v>821</v>
      </c>
      <c r="F347" s="9" t="str">
        <f t="shared" si="20"/>
        <v>insert into ins_premium_det (premium_rcv_code,assorted_code, rec_amount,premium_rcv_detail_code,remaining_amt, payrec, mode_code,coinsurance_code,class_cd,it_remarks) values</v>
      </c>
      <c r="G347" s="10" t="str">
        <f t="shared" si="22"/>
        <v>('12Mar250017','070000178240','3750',(select max(to_number(i.premium_rcv_detail_code))+1
from ins_premium_det i),'3750','3750','02', '11000003','00','Request by Mr. Saqib Saleem 12-Mar-2025');</v>
      </c>
      <c r="H347" s="11" t="str">
        <f t="shared" si="23"/>
        <v>insert into ins_premium_det (premium_rcv_code,assorted_code, rec_amount,premium_rcv_detail_code,remaining_amt, payrec, mode_code,coinsurance_code,class_cd,it_remarks) values('12Mar250017','070000178240','3750',(select max(to_number(i.premium_rcv_detail_code))+1
from ins_premium_det i),'3750','3750','02', '11000003','00','Request by Mr. Saqib Saleem 12-Mar-2025');</v>
      </c>
    </row>
    <row r="348" spans="1:8" ht="105" x14ac:dyDescent="0.25">
      <c r="A348" s="1" t="s">
        <v>660</v>
      </c>
      <c r="B348" s="1" t="str">
        <f>VLOOKUP(A348,policy!B:C,2,0)</f>
        <v>070000178241</v>
      </c>
      <c r="C348" s="4">
        <v>1801</v>
      </c>
      <c r="D348" s="8">
        <f t="shared" si="21"/>
        <v>1801</v>
      </c>
      <c r="E348" s="12" t="s">
        <v>821</v>
      </c>
      <c r="F348" s="9" t="str">
        <f t="shared" si="20"/>
        <v>insert into ins_premium_det (premium_rcv_code,assorted_code, rec_amount,premium_rcv_detail_code,remaining_amt, payrec, mode_code,coinsurance_code,class_cd,it_remarks) values</v>
      </c>
      <c r="G348" s="10" t="str">
        <f t="shared" si="22"/>
        <v>('12Mar250017','070000178241','1801',(select max(to_number(i.premium_rcv_detail_code))+1
from ins_premium_det i),'1801','1801','02', '11000003','00','Request by Mr. Saqib Saleem 12-Mar-2025');</v>
      </c>
      <c r="H348" s="11" t="str">
        <f t="shared" si="23"/>
        <v>insert into ins_premium_det (premium_rcv_code,assorted_code, rec_amount,premium_rcv_detail_code,remaining_amt, payrec, mode_code,coinsurance_code,class_cd,it_remarks) values('12Mar250017','070000178241','1801',(select max(to_number(i.premium_rcv_detail_code))+1
from ins_premium_det i),'1801','1801','02', '11000003','00','Request by Mr. Saqib Saleem 12-Mar-2025');</v>
      </c>
    </row>
    <row r="349" spans="1:8" ht="105" x14ac:dyDescent="0.25">
      <c r="A349" s="1" t="s">
        <v>661</v>
      </c>
      <c r="B349" s="1" t="str">
        <f>VLOOKUP(A349,policy!B:C,2,0)</f>
        <v>070000178242</v>
      </c>
      <c r="C349" s="4">
        <v>3000</v>
      </c>
      <c r="D349" s="8">
        <f t="shared" si="21"/>
        <v>3000</v>
      </c>
      <c r="E349" s="12" t="s">
        <v>821</v>
      </c>
      <c r="F349" s="9" t="str">
        <f t="shared" si="20"/>
        <v>insert into ins_premium_det (premium_rcv_code,assorted_code, rec_amount,premium_rcv_detail_code,remaining_amt, payrec, mode_code,coinsurance_code,class_cd,it_remarks) values</v>
      </c>
      <c r="G349" s="10" t="str">
        <f t="shared" si="22"/>
        <v>('12Mar250017','070000178242','3000',(select max(to_number(i.premium_rcv_detail_code))+1
from ins_premium_det i),'3000','3000','02', '11000003','00','Request by Mr. Saqib Saleem 12-Mar-2025');</v>
      </c>
      <c r="H349" s="11" t="str">
        <f t="shared" si="23"/>
        <v>insert into ins_premium_det (premium_rcv_code,assorted_code, rec_amount,premium_rcv_detail_code,remaining_amt, payrec, mode_code,coinsurance_code,class_cd,it_remarks) values('12Mar250017','070000178242','3000',(select max(to_number(i.premium_rcv_detail_code))+1
from ins_premium_det i),'3000','3000','02', '11000003','00','Request by Mr. Saqib Saleem 12-Mar-2025');</v>
      </c>
    </row>
    <row r="350" spans="1:8" ht="105" x14ac:dyDescent="0.25">
      <c r="A350" s="1" t="s">
        <v>662</v>
      </c>
      <c r="B350" s="1" t="str">
        <f>VLOOKUP(A350,policy!B:C,2,0)</f>
        <v>070000178243</v>
      </c>
      <c r="C350" s="4">
        <v>2250</v>
      </c>
      <c r="D350" s="8">
        <f t="shared" si="21"/>
        <v>2250</v>
      </c>
      <c r="E350" s="12" t="s">
        <v>821</v>
      </c>
      <c r="F350" s="9" t="str">
        <f t="shared" si="20"/>
        <v>insert into ins_premium_det (premium_rcv_code,assorted_code, rec_amount,premium_rcv_detail_code,remaining_amt, payrec, mode_code,coinsurance_code,class_cd,it_remarks) values</v>
      </c>
      <c r="G350" s="10" t="str">
        <f t="shared" si="22"/>
        <v>('12Mar250017','070000178243','2250',(select max(to_number(i.premium_rcv_detail_code))+1
from ins_premium_det i),'2250','2250','02', '11000003','00','Request by Mr. Saqib Saleem 12-Mar-2025');</v>
      </c>
      <c r="H350" s="11" t="str">
        <f t="shared" si="23"/>
        <v>insert into ins_premium_det (premium_rcv_code,assorted_code, rec_amount,premium_rcv_detail_code,remaining_amt, payrec, mode_code,coinsurance_code,class_cd,it_remarks) values('12Mar250017','070000178243','2250',(select max(to_number(i.premium_rcv_detail_code))+1
from ins_premium_det i),'2250','2250','02', '11000003','00','Request by Mr. Saqib Saleem 12-Mar-2025');</v>
      </c>
    </row>
    <row r="351" spans="1:8" ht="105" x14ac:dyDescent="0.25">
      <c r="A351" s="1" t="s">
        <v>663</v>
      </c>
      <c r="B351" s="1" t="str">
        <f>VLOOKUP(A351,policy!B:C,2,0)</f>
        <v>070000178244</v>
      </c>
      <c r="C351" s="4">
        <v>1801</v>
      </c>
      <c r="D351" s="8">
        <f t="shared" si="21"/>
        <v>1801</v>
      </c>
      <c r="E351" s="12" t="s">
        <v>821</v>
      </c>
      <c r="F351" s="9" t="str">
        <f t="shared" si="20"/>
        <v>insert into ins_premium_det (premium_rcv_code,assorted_code, rec_amount,premium_rcv_detail_code,remaining_amt, payrec, mode_code,coinsurance_code,class_cd,it_remarks) values</v>
      </c>
      <c r="G351" s="10" t="str">
        <f t="shared" si="22"/>
        <v>('12Mar250017','070000178244','1801',(select max(to_number(i.premium_rcv_detail_code))+1
from ins_premium_det i),'1801','1801','02', '11000003','00','Request by Mr. Saqib Saleem 12-Mar-2025');</v>
      </c>
      <c r="H351" s="11" t="str">
        <f t="shared" si="23"/>
        <v>insert into ins_premium_det (premium_rcv_code,assorted_code, rec_amount,premium_rcv_detail_code,remaining_amt, payrec, mode_code,coinsurance_code,class_cd,it_remarks) values('12Mar250017','070000178244','1801',(select max(to_number(i.premium_rcv_detail_code))+1
from ins_premium_det i),'1801','1801','02', '11000003','00','Request by Mr. Saqib Saleem 12-Mar-2025');</v>
      </c>
    </row>
    <row r="352" spans="1:8" ht="105" x14ac:dyDescent="0.25">
      <c r="A352" s="1" t="s">
        <v>664</v>
      </c>
      <c r="B352" s="1" t="str">
        <f>VLOOKUP(A352,policy!B:C,2,0)</f>
        <v>070000178245</v>
      </c>
      <c r="C352" s="4">
        <v>5849</v>
      </c>
      <c r="D352" s="8">
        <f t="shared" si="21"/>
        <v>5849</v>
      </c>
      <c r="E352" s="12" t="s">
        <v>821</v>
      </c>
      <c r="F352" s="9" t="str">
        <f t="shared" si="20"/>
        <v>insert into ins_premium_det (premium_rcv_code,assorted_code, rec_amount,premium_rcv_detail_code,remaining_amt, payrec, mode_code,coinsurance_code,class_cd,it_remarks) values</v>
      </c>
      <c r="G352" s="10" t="str">
        <f t="shared" si="22"/>
        <v>('12Mar250017','070000178245','5849',(select max(to_number(i.premium_rcv_detail_code))+1
from ins_premium_det i),'5849','5849','02', '11000003','00','Request by Mr. Saqib Saleem 12-Mar-2025');</v>
      </c>
      <c r="H352" s="11" t="str">
        <f t="shared" si="23"/>
        <v>insert into ins_premium_det (premium_rcv_code,assorted_code, rec_amount,premium_rcv_detail_code,remaining_amt, payrec, mode_code,coinsurance_code,class_cd,it_remarks) values('12Mar250017','070000178245','5849',(select max(to_number(i.premium_rcv_detail_code))+1
from ins_premium_det i),'5849','5849','02', '11000003','00','Request by Mr. Saqib Saleem 12-Mar-2025');</v>
      </c>
    </row>
    <row r="353" spans="1:8" ht="105" x14ac:dyDescent="0.25">
      <c r="A353" s="1" t="s">
        <v>665</v>
      </c>
      <c r="B353" s="1" t="str">
        <f>VLOOKUP(A353,policy!B:C,2,0)</f>
        <v>070000178246</v>
      </c>
      <c r="C353" s="4">
        <v>4050</v>
      </c>
      <c r="D353" s="8">
        <f t="shared" si="21"/>
        <v>4050</v>
      </c>
      <c r="E353" s="12" t="s">
        <v>821</v>
      </c>
      <c r="F353" s="9" t="str">
        <f t="shared" si="20"/>
        <v>insert into ins_premium_det (premium_rcv_code,assorted_code, rec_amount,premium_rcv_detail_code,remaining_amt, payrec, mode_code,coinsurance_code,class_cd,it_remarks) values</v>
      </c>
      <c r="G353" s="10" t="str">
        <f t="shared" si="22"/>
        <v>('12Mar250017','070000178246','4050',(select max(to_number(i.premium_rcv_detail_code))+1
from ins_premium_det i),'4050','4050','02', '11000003','00','Request by Mr. Saqib Saleem 12-Mar-2025');</v>
      </c>
      <c r="H353" s="11" t="str">
        <f t="shared" si="23"/>
        <v>insert into ins_premium_det (premium_rcv_code,assorted_code, rec_amount,premium_rcv_detail_code,remaining_amt, payrec, mode_code,coinsurance_code,class_cd,it_remarks) values('12Mar250017','070000178246','4050',(select max(to_number(i.premium_rcv_detail_code))+1
from ins_premium_det i),'4050','4050','02', '11000003','00','Request by Mr. Saqib Saleem 12-Mar-2025');</v>
      </c>
    </row>
    <row r="354" spans="1:8" ht="105" x14ac:dyDescent="0.25">
      <c r="A354" s="1" t="s">
        <v>666</v>
      </c>
      <c r="B354" s="1" t="str">
        <f>VLOOKUP(A354,policy!B:C,2,0)</f>
        <v>070000178247</v>
      </c>
      <c r="C354" s="4">
        <v>4500</v>
      </c>
      <c r="D354" s="8">
        <f t="shared" si="21"/>
        <v>4500</v>
      </c>
      <c r="E354" s="12" t="s">
        <v>821</v>
      </c>
      <c r="F354" s="9" t="str">
        <f t="shared" si="20"/>
        <v>insert into ins_premium_det (premium_rcv_code,assorted_code, rec_amount,premium_rcv_detail_code,remaining_amt, payrec, mode_code,coinsurance_code,class_cd,it_remarks) values</v>
      </c>
      <c r="G354" s="10" t="str">
        <f t="shared" si="22"/>
        <v>('12Mar250017','070000178247','4500',(select max(to_number(i.premium_rcv_detail_code))+1
from ins_premium_det i),'4500','4500','02', '11000003','00','Request by Mr. Saqib Saleem 12-Mar-2025');</v>
      </c>
      <c r="H354" s="11" t="str">
        <f t="shared" si="23"/>
        <v>insert into ins_premium_det (premium_rcv_code,assorted_code, rec_amount,premium_rcv_detail_code,remaining_amt, payrec, mode_code,coinsurance_code,class_cd,it_remarks) values('12Mar250017','070000178247','4500',(select max(to_number(i.premium_rcv_detail_code))+1
from ins_premium_det i),'4500','4500','02', '11000003','00','Request by Mr. Saqib Saleem 12-Mar-2025');</v>
      </c>
    </row>
    <row r="355" spans="1:8" ht="105" x14ac:dyDescent="0.25">
      <c r="A355" s="1" t="s">
        <v>667</v>
      </c>
      <c r="B355" s="1" t="str">
        <f>VLOOKUP(A355,policy!B:C,2,0)</f>
        <v>070000178248</v>
      </c>
      <c r="C355" s="4">
        <v>1649</v>
      </c>
      <c r="D355" s="8">
        <f t="shared" si="21"/>
        <v>1649</v>
      </c>
      <c r="E355" s="12" t="s">
        <v>821</v>
      </c>
      <c r="F355" s="9" t="str">
        <f t="shared" si="20"/>
        <v>insert into ins_premium_det (premium_rcv_code,assorted_code, rec_amount,premium_rcv_detail_code,remaining_amt, payrec, mode_code,coinsurance_code,class_cd,it_remarks) values</v>
      </c>
      <c r="G355" s="10" t="str">
        <f t="shared" si="22"/>
        <v>('12Mar250017','070000178248','1649',(select max(to_number(i.premium_rcv_detail_code))+1
from ins_premium_det i),'1649','1649','02', '11000003','00','Request by Mr. Saqib Saleem 12-Mar-2025');</v>
      </c>
      <c r="H355" s="11" t="str">
        <f t="shared" si="23"/>
        <v>insert into ins_premium_det (premium_rcv_code,assorted_code, rec_amount,premium_rcv_detail_code,remaining_amt, payrec, mode_code,coinsurance_code,class_cd,it_remarks) values('12Mar250017','070000178248','1649',(select max(to_number(i.premium_rcv_detail_code))+1
from ins_premium_det i),'1649','1649','02', '11000003','00','Request by Mr. Saqib Saleem 12-Mar-2025');</v>
      </c>
    </row>
    <row r="356" spans="1:8" ht="105" x14ac:dyDescent="0.25">
      <c r="A356" s="1" t="s">
        <v>668</v>
      </c>
      <c r="B356" s="1" t="str">
        <f>VLOOKUP(A356,policy!B:C,2,0)</f>
        <v>070000178249</v>
      </c>
      <c r="C356" s="4">
        <v>1649</v>
      </c>
      <c r="D356" s="8">
        <f t="shared" si="21"/>
        <v>1649</v>
      </c>
      <c r="E356" s="12" t="s">
        <v>821</v>
      </c>
      <c r="F356" s="9" t="str">
        <f t="shared" si="20"/>
        <v>insert into ins_premium_det (premium_rcv_code,assorted_code, rec_amount,premium_rcv_detail_code,remaining_amt, payrec, mode_code,coinsurance_code,class_cd,it_remarks) values</v>
      </c>
      <c r="G356" s="10" t="str">
        <f t="shared" si="22"/>
        <v>('12Mar250017','070000178249','1649',(select max(to_number(i.premium_rcv_detail_code))+1
from ins_premium_det i),'1649','1649','02', '11000003','00','Request by Mr. Saqib Saleem 12-Mar-2025');</v>
      </c>
      <c r="H356" s="11" t="str">
        <f t="shared" si="23"/>
        <v>insert into ins_premium_det (premium_rcv_code,assorted_code, rec_amount,premium_rcv_detail_code,remaining_amt, payrec, mode_code,coinsurance_code,class_cd,it_remarks) values('12Mar250017','070000178249','1649',(select max(to_number(i.premium_rcv_detail_code))+1
from ins_premium_det i),'1649','1649','02', '11000003','00','Request by Mr. Saqib Saleem 12-Mar-2025');</v>
      </c>
    </row>
    <row r="357" spans="1:8" ht="105" x14ac:dyDescent="0.25">
      <c r="A357" s="1" t="s">
        <v>669</v>
      </c>
      <c r="B357" s="1" t="str">
        <f>VLOOKUP(A357,policy!B:C,2,0)</f>
        <v>070000178250</v>
      </c>
      <c r="C357" s="4">
        <v>1351</v>
      </c>
      <c r="D357" s="8">
        <f t="shared" si="21"/>
        <v>1351</v>
      </c>
      <c r="E357" s="12" t="s">
        <v>821</v>
      </c>
      <c r="F357" s="9" t="str">
        <f t="shared" si="20"/>
        <v>insert into ins_premium_det (premium_rcv_code,assorted_code, rec_amount,premium_rcv_detail_code,remaining_amt, payrec, mode_code,coinsurance_code,class_cd,it_remarks) values</v>
      </c>
      <c r="G357" s="10" t="str">
        <f t="shared" si="22"/>
        <v>('12Mar250017','070000178250','1351',(select max(to_number(i.premium_rcv_detail_code))+1
from ins_premium_det i),'1351','1351','02', '11000003','00','Request by Mr. Saqib Saleem 12-Mar-2025');</v>
      </c>
      <c r="H357" s="11" t="str">
        <f t="shared" si="23"/>
        <v>insert into ins_premium_det (premium_rcv_code,assorted_code, rec_amount,premium_rcv_detail_code,remaining_amt, payrec, mode_code,coinsurance_code,class_cd,it_remarks) values('12Mar250017','070000178250','1351',(select max(to_number(i.premium_rcv_detail_code))+1
from ins_premium_det i),'1351','1351','02', '11000003','00','Request by Mr. Saqib Saleem 12-Mar-2025');</v>
      </c>
    </row>
    <row r="358" spans="1:8" ht="105" x14ac:dyDescent="0.25">
      <c r="A358" s="1" t="s">
        <v>670</v>
      </c>
      <c r="B358" s="1" t="str">
        <f>VLOOKUP(A358,policy!B:C,2,0)</f>
        <v>070000178251</v>
      </c>
      <c r="C358" s="4">
        <v>1500</v>
      </c>
      <c r="D358" s="8">
        <f t="shared" si="21"/>
        <v>1500</v>
      </c>
      <c r="E358" s="12" t="s">
        <v>821</v>
      </c>
      <c r="F358" s="9" t="str">
        <f t="shared" si="20"/>
        <v>insert into ins_premium_det (premium_rcv_code,assorted_code, rec_amount,premium_rcv_detail_code,remaining_amt, payrec, mode_code,coinsurance_code,class_cd,it_remarks) values</v>
      </c>
      <c r="G358" s="10" t="str">
        <f t="shared" si="22"/>
        <v>('12Mar250017','070000178251','1500',(select max(to_number(i.premium_rcv_detail_code))+1
from ins_premium_det i),'1500','1500','02', '11000003','00','Request by Mr. Saqib Saleem 12-Mar-2025');</v>
      </c>
      <c r="H358" s="11" t="str">
        <f t="shared" si="23"/>
        <v>insert into ins_premium_det (premium_rcv_code,assorted_code, rec_amount,premium_rcv_detail_code,remaining_amt, payrec, mode_code,coinsurance_code,class_cd,it_remarks) values('12Mar250017','070000178251','1500',(select max(to_number(i.premium_rcv_detail_code))+1
from ins_premium_det i),'1500','1500','02', '11000003','00','Request by Mr. Saqib Saleem 12-Mar-2025');</v>
      </c>
    </row>
    <row r="359" spans="1:8" ht="105" x14ac:dyDescent="0.25">
      <c r="A359" s="1" t="s">
        <v>671</v>
      </c>
      <c r="B359" s="1" t="str">
        <f>VLOOKUP(A359,policy!B:C,2,0)</f>
        <v>070000178252</v>
      </c>
      <c r="C359" s="4">
        <v>750</v>
      </c>
      <c r="D359" s="8">
        <f t="shared" si="21"/>
        <v>750</v>
      </c>
      <c r="E359" s="12" t="s">
        <v>821</v>
      </c>
      <c r="F359" s="9" t="str">
        <f t="shared" si="20"/>
        <v>insert into ins_premium_det (premium_rcv_code,assorted_code, rec_amount,premium_rcv_detail_code,remaining_amt, payrec, mode_code,coinsurance_code,class_cd,it_remarks) values</v>
      </c>
      <c r="G359" s="10" t="str">
        <f t="shared" si="22"/>
        <v>('12Mar250017','070000178252','750',(select max(to_number(i.premium_rcv_detail_code))+1
from ins_premium_det i),'750','750','02', '11000003','00','Request by Mr. Saqib Saleem 12-Mar-2025');</v>
      </c>
      <c r="H359" s="11" t="str">
        <f t="shared" si="23"/>
        <v>insert into ins_premium_det (premium_rcv_code,assorted_code, rec_amount,premium_rcv_detail_code,remaining_amt, payrec, mode_code,coinsurance_code,class_cd,it_remarks) values('12Mar250017','070000178252','750',(select max(to_number(i.premium_rcv_detail_code))+1
from ins_premium_det i),'750','750','02', '11000003','00','Request by Mr. Saqib Saleem 12-Mar-2025');</v>
      </c>
    </row>
    <row r="360" spans="1:8" ht="105" x14ac:dyDescent="0.25">
      <c r="A360" s="1" t="s">
        <v>672</v>
      </c>
      <c r="B360" s="1" t="str">
        <f>VLOOKUP(A360,policy!B:C,2,0)</f>
        <v>070000178253</v>
      </c>
      <c r="C360" s="4">
        <v>4800</v>
      </c>
      <c r="D360" s="8">
        <f t="shared" si="21"/>
        <v>4800</v>
      </c>
      <c r="E360" s="12" t="s">
        <v>821</v>
      </c>
      <c r="F360" s="9" t="str">
        <f t="shared" si="20"/>
        <v>insert into ins_premium_det (premium_rcv_code,assorted_code, rec_amount,premium_rcv_detail_code,remaining_amt, payrec, mode_code,coinsurance_code,class_cd,it_remarks) values</v>
      </c>
      <c r="G360" s="10" t="str">
        <f t="shared" si="22"/>
        <v>('12Mar250017','070000178253','4800',(select max(to_number(i.premium_rcv_detail_code))+1
from ins_premium_det i),'4800','4800','02', '11000003','00','Request by Mr. Saqib Saleem 12-Mar-2025');</v>
      </c>
      <c r="H360" s="11" t="str">
        <f t="shared" si="23"/>
        <v>insert into ins_premium_det (premium_rcv_code,assorted_code, rec_amount,premium_rcv_detail_code,remaining_amt, payrec, mode_code,coinsurance_code,class_cd,it_remarks) values('12Mar250017','070000178253','4800',(select max(to_number(i.premium_rcv_detail_code))+1
from ins_premium_det i),'4800','4800','02', '11000003','00','Request by Mr. Saqib Saleem 12-Mar-2025');</v>
      </c>
    </row>
    <row r="361" spans="1:8" ht="105" x14ac:dyDescent="0.25">
      <c r="A361" s="1" t="s">
        <v>673</v>
      </c>
      <c r="B361" s="1" t="str">
        <f>VLOOKUP(A361,policy!B:C,2,0)</f>
        <v>070000178254</v>
      </c>
      <c r="C361" s="4">
        <v>5250</v>
      </c>
      <c r="D361" s="8">
        <f t="shared" si="21"/>
        <v>5250</v>
      </c>
      <c r="E361" s="12" t="s">
        <v>821</v>
      </c>
      <c r="F361" s="9" t="str">
        <f t="shared" si="20"/>
        <v>insert into ins_premium_det (premium_rcv_code,assorted_code, rec_amount,premium_rcv_detail_code,remaining_amt, payrec, mode_code,coinsurance_code,class_cd,it_remarks) values</v>
      </c>
      <c r="G361" s="10" t="str">
        <f t="shared" si="22"/>
        <v>('12Mar250017','070000178254','5250',(select max(to_number(i.premium_rcv_detail_code))+1
from ins_premium_det i),'5250','5250','02', '11000003','00','Request by Mr. Saqib Saleem 12-Mar-2025');</v>
      </c>
      <c r="H361" s="11" t="str">
        <f t="shared" si="23"/>
        <v>insert into ins_premium_det (premium_rcv_code,assorted_code, rec_amount,premium_rcv_detail_code,remaining_amt, payrec, mode_code,coinsurance_code,class_cd,it_remarks) values('12Mar250017','070000178254','5250',(select max(to_number(i.premium_rcv_detail_code))+1
from ins_premium_det i),'5250','5250','02', '11000003','00','Request by Mr. Saqib Saleem 12-Mar-2025');</v>
      </c>
    </row>
    <row r="362" spans="1:8" ht="105" x14ac:dyDescent="0.25">
      <c r="A362" s="1" t="s">
        <v>674</v>
      </c>
      <c r="B362" s="1" t="str">
        <f>VLOOKUP(A362,policy!B:C,2,0)</f>
        <v>070000178255</v>
      </c>
      <c r="C362" s="4">
        <v>5550</v>
      </c>
      <c r="D362" s="8">
        <f t="shared" si="21"/>
        <v>5550</v>
      </c>
      <c r="E362" s="12" t="s">
        <v>821</v>
      </c>
      <c r="F362" s="9" t="str">
        <f t="shared" si="20"/>
        <v>insert into ins_premium_det (premium_rcv_code,assorted_code, rec_amount,premium_rcv_detail_code,remaining_amt, payrec, mode_code,coinsurance_code,class_cd,it_remarks) values</v>
      </c>
      <c r="G362" s="10" t="str">
        <f t="shared" si="22"/>
        <v>('12Mar250017','070000178255','5550',(select max(to_number(i.premium_rcv_detail_code))+1
from ins_premium_det i),'5550','5550','02', '11000003','00','Request by Mr. Saqib Saleem 12-Mar-2025');</v>
      </c>
      <c r="H362" s="11" t="str">
        <f t="shared" si="23"/>
        <v>insert into ins_premium_det (premium_rcv_code,assorted_code, rec_amount,premium_rcv_detail_code,remaining_amt, payrec, mode_code,coinsurance_code,class_cd,it_remarks) values('12Mar250017','070000178255','5550',(select max(to_number(i.premium_rcv_detail_code))+1
from ins_premium_det i),'5550','5550','02', '11000003','00','Request by Mr. Saqib Saleem 12-Mar-2025');</v>
      </c>
    </row>
    <row r="363" spans="1:8" ht="105" x14ac:dyDescent="0.25">
      <c r="A363" s="1" t="s">
        <v>675</v>
      </c>
      <c r="B363" s="1" t="str">
        <f>VLOOKUP(A363,policy!B:C,2,0)</f>
        <v>070000178256</v>
      </c>
      <c r="C363" s="4">
        <v>4351</v>
      </c>
      <c r="D363" s="8">
        <f t="shared" si="21"/>
        <v>4351</v>
      </c>
      <c r="E363" s="12" t="s">
        <v>821</v>
      </c>
      <c r="F363" s="9" t="str">
        <f t="shared" si="20"/>
        <v>insert into ins_premium_det (premium_rcv_code,assorted_code, rec_amount,premium_rcv_detail_code,remaining_amt, payrec, mode_code,coinsurance_code,class_cd,it_remarks) values</v>
      </c>
      <c r="G363" s="10" t="str">
        <f t="shared" si="22"/>
        <v>('12Mar250017','070000178256','4351',(select max(to_number(i.premium_rcv_detail_code))+1
from ins_premium_det i),'4351','4351','02', '11000003','00','Request by Mr. Saqib Saleem 12-Mar-2025');</v>
      </c>
      <c r="H363" s="11" t="str">
        <f t="shared" si="23"/>
        <v>insert into ins_premium_det (premium_rcv_code,assorted_code, rec_amount,premium_rcv_detail_code,remaining_amt, payrec, mode_code,coinsurance_code,class_cd,it_remarks) values('12Mar250017','070000178256','4351',(select max(to_number(i.premium_rcv_detail_code))+1
from ins_premium_det i),'4351','4351','02', '11000003','00','Request by Mr. Saqib Saleem 12-Mar-2025');</v>
      </c>
    </row>
    <row r="364" spans="1:8" ht="105" x14ac:dyDescent="0.25">
      <c r="A364" s="1" t="s">
        <v>676</v>
      </c>
      <c r="B364" s="1" t="str">
        <f>VLOOKUP(A364,policy!B:C,2,0)</f>
        <v>070000178257</v>
      </c>
      <c r="C364" s="4">
        <v>4650</v>
      </c>
      <c r="D364" s="8">
        <f t="shared" si="21"/>
        <v>4650</v>
      </c>
      <c r="E364" s="12" t="s">
        <v>821</v>
      </c>
      <c r="F364" s="9" t="str">
        <f t="shared" si="20"/>
        <v>insert into ins_premium_det (premium_rcv_code,assorted_code, rec_amount,premium_rcv_detail_code,remaining_amt, payrec, mode_code,coinsurance_code,class_cd,it_remarks) values</v>
      </c>
      <c r="G364" s="10" t="str">
        <f t="shared" si="22"/>
        <v>('12Mar250017','070000178257','4650',(select max(to_number(i.premium_rcv_detail_code))+1
from ins_premium_det i),'4650','4650','02', '11000003','00','Request by Mr. Saqib Saleem 12-Mar-2025');</v>
      </c>
      <c r="H364" s="11" t="str">
        <f t="shared" si="23"/>
        <v>insert into ins_premium_det (premium_rcv_code,assorted_code, rec_amount,premium_rcv_detail_code,remaining_amt, payrec, mode_code,coinsurance_code,class_cd,it_remarks) values('12Mar250017','070000178257','4650',(select max(to_number(i.premium_rcv_detail_code))+1
from ins_premium_det i),'4650','4650','02', '11000003','00','Request by Mr. Saqib Saleem 12-Mar-2025');</v>
      </c>
    </row>
    <row r="365" spans="1:8" ht="105" x14ac:dyDescent="0.25">
      <c r="A365" s="1" t="s">
        <v>677</v>
      </c>
      <c r="B365" s="1" t="str">
        <f>VLOOKUP(A365,policy!B:C,2,0)</f>
        <v>070000178258</v>
      </c>
      <c r="C365" s="4">
        <v>4950</v>
      </c>
      <c r="D365" s="8">
        <f t="shared" si="21"/>
        <v>4950</v>
      </c>
      <c r="E365" s="12" t="s">
        <v>821</v>
      </c>
      <c r="F365" s="9" t="str">
        <f t="shared" si="20"/>
        <v>insert into ins_premium_det (premium_rcv_code,assorted_code, rec_amount,premium_rcv_detail_code,remaining_amt, payrec, mode_code,coinsurance_code,class_cd,it_remarks) values</v>
      </c>
      <c r="G365" s="10" t="str">
        <f t="shared" si="22"/>
        <v>('12Mar250017','070000178258','4950',(select max(to_number(i.premium_rcv_detail_code))+1
from ins_premium_det i),'4950','4950','02', '11000003','00','Request by Mr. Saqib Saleem 12-Mar-2025');</v>
      </c>
      <c r="H365" s="11" t="str">
        <f t="shared" si="23"/>
        <v>insert into ins_premium_det (premium_rcv_code,assorted_code, rec_amount,premium_rcv_detail_code,remaining_amt, payrec, mode_code,coinsurance_code,class_cd,it_remarks) values('12Mar250017','070000178258','4950',(select max(to_number(i.premium_rcv_detail_code))+1
from ins_premium_det i),'4950','4950','02', '11000003','00','Request by Mr. Saqib Saleem 12-Mar-2025');</v>
      </c>
    </row>
    <row r="366" spans="1:8" ht="105" x14ac:dyDescent="0.25">
      <c r="A366" s="1" t="s">
        <v>678</v>
      </c>
      <c r="B366" s="1" t="str">
        <f>VLOOKUP(A366,policy!B:C,2,0)</f>
        <v>070000178259</v>
      </c>
      <c r="C366" s="4">
        <v>4500</v>
      </c>
      <c r="D366" s="8">
        <f t="shared" si="21"/>
        <v>4500</v>
      </c>
      <c r="E366" s="12" t="s">
        <v>821</v>
      </c>
      <c r="F366" s="9" t="str">
        <f t="shared" si="20"/>
        <v>insert into ins_premium_det (premium_rcv_code,assorted_code, rec_amount,premium_rcv_detail_code,remaining_amt, payrec, mode_code,coinsurance_code,class_cd,it_remarks) values</v>
      </c>
      <c r="G366" s="10" t="str">
        <f t="shared" si="22"/>
        <v>('12Mar250017','070000178259','4500',(select max(to_number(i.premium_rcv_detail_code))+1
from ins_premium_det i),'4500','4500','02', '11000003','00','Request by Mr. Saqib Saleem 12-Mar-2025');</v>
      </c>
      <c r="H366" s="11" t="str">
        <f t="shared" si="23"/>
        <v>insert into ins_premium_det (premium_rcv_code,assorted_code, rec_amount,premium_rcv_detail_code,remaining_amt, payrec, mode_code,coinsurance_code,class_cd,it_remarks) values('12Mar250017','070000178259','4500',(select max(to_number(i.premium_rcv_detail_code))+1
from ins_premium_det i),'4500','4500','02', '11000003','00','Request by Mr. Saqib Saleem 12-Mar-2025');</v>
      </c>
    </row>
    <row r="367" spans="1:8" ht="105" x14ac:dyDescent="0.25">
      <c r="A367" s="1" t="s">
        <v>679</v>
      </c>
      <c r="B367" s="1" t="str">
        <f>VLOOKUP(A367,policy!B:C,2,0)</f>
        <v>070000178260</v>
      </c>
      <c r="C367" s="4">
        <v>1050</v>
      </c>
      <c r="D367" s="8">
        <f t="shared" si="21"/>
        <v>1050</v>
      </c>
      <c r="E367" s="12" t="s">
        <v>821</v>
      </c>
      <c r="F367" s="9" t="str">
        <f t="shared" si="20"/>
        <v>insert into ins_premium_det (premium_rcv_code,assorted_code, rec_amount,premium_rcv_detail_code,remaining_amt, payrec, mode_code,coinsurance_code,class_cd,it_remarks) values</v>
      </c>
      <c r="G367" s="10" t="str">
        <f t="shared" si="22"/>
        <v>('12Mar250017','070000178260','1050',(select max(to_number(i.premium_rcv_detail_code))+1
from ins_premium_det i),'1050','1050','02', '11000003','00','Request by Mr. Saqib Saleem 12-Mar-2025');</v>
      </c>
      <c r="H367" s="11" t="str">
        <f t="shared" si="23"/>
        <v>insert into ins_premium_det (premium_rcv_code,assorted_code, rec_amount,premium_rcv_detail_code,remaining_amt, payrec, mode_code,coinsurance_code,class_cd,it_remarks) values('12Mar250017','070000178260','1050',(select max(to_number(i.premium_rcv_detail_code))+1
from ins_premium_det i),'1050','1050','02', '11000003','00','Request by Mr. Saqib Saleem 12-Mar-2025');</v>
      </c>
    </row>
    <row r="368" spans="1:8" ht="105" x14ac:dyDescent="0.25">
      <c r="A368" s="1" t="s">
        <v>680</v>
      </c>
      <c r="B368" s="1" t="str">
        <f>VLOOKUP(A368,policy!B:C,2,0)</f>
        <v>070000178261</v>
      </c>
      <c r="C368" s="4">
        <v>1500</v>
      </c>
      <c r="D368" s="8">
        <f t="shared" si="21"/>
        <v>1500</v>
      </c>
      <c r="E368" s="12" t="s">
        <v>821</v>
      </c>
      <c r="F368" s="9" t="str">
        <f t="shared" si="20"/>
        <v>insert into ins_premium_det (premium_rcv_code,assorted_code, rec_amount,premium_rcv_detail_code,remaining_amt, payrec, mode_code,coinsurance_code,class_cd,it_remarks) values</v>
      </c>
      <c r="G368" s="10" t="str">
        <f t="shared" si="22"/>
        <v>('12Mar250017','070000178261','1500',(select max(to_number(i.premium_rcv_detail_code))+1
from ins_premium_det i),'1500','1500','02', '11000003','00','Request by Mr. Saqib Saleem 12-Mar-2025');</v>
      </c>
      <c r="H368" s="11" t="str">
        <f t="shared" si="23"/>
        <v>insert into ins_premium_det (premium_rcv_code,assorted_code, rec_amount,premium_rcv_detail_code,remaining_amt, payrec, mode_code,coinsurance_code,class_cd,it_remarks) values('12Mar250017','070000178261','1500',(select max(to_number(i.premium_rcv_detail_code))+1
from ins_premium_det i),'1500','1500','02', '11000003','00','Request by Mr. Saqib Saleem 12-Mar-2025');</v>
      </c>
    </row>
    <row r="369" spans="1:8" ht="105" x14ac:dyDescent="0.25">
      <c r="A369" s="1" t="s">
        <v>681</v>
      </c>
      <c r="B369" s="1" t="str">
        <f>VLOOKUP(A369,policy!B:C,2,0)</f>
        <v>070000178262</v>
      </c>
      <c r="C369" s="4">
        <v>1351</v>
      </c>
      <c r="D369" s="8">
        <f t="shared" si="21"/>
        <v>1351</v>
      </c>
      <c r="E369" s="12" t="s">
        <v>821</v>
      </c>
      <c r="F369" s="9" t="str">
        <f t="shared" si="20"/>
        <v>insert into ins_premium_det (premium_rcv_code,assorted_code, rec_amount,premium_rcv_detail_code,remaining_amt, payrec, mode_code,coinsurance_code,class_cd,it_remarks) values</v>
      </c>
      <c r="G369" s="10" t="str">
        <f t="shared" si="22"/>
        <v>('12Mar250017','070000178262','1351',(select max(to_number(i.premium_rcv_detail_code))+1
from ins_premium_det i),'1351','1351','02', '11000003','00','Request by Mr. Saqib Saleem 12-Mar-2025');</v>
      </c>
      <c r="H369" s="11" t="str">
        <f t="shared" si="23"/>
        <v>insert into ins_premium_det (premium_rcv_code,assorted_code, rec_amount,premium_rcv_detail_code,remaining_amt, payrec, mode_code,coinsurance_code,class_cd,it_remarks) values('12Mar250017','070000178262','1351',(select max(to_number(i.premium_rcv_detail_code))+1
from ins_premium_det i),'1351','1351','02', '11000003','00','Request by Mr. Saqib Saleem 12-Mar-2025');</v>
      </c>
    </row>
    <row r="370" spans="1:8" ht="105" x14ac:dyDescent="0.25">
      <c r="A370" s="1" t="s">
        <v>682</v>
      </c>
      <c r="B370" s="1" t="str">
        <f>VLOOKUP(A370,policy!B:C,2,0)</f>
        <v>070000178263</v>
      </c>
      <c r="C370" s="4">
        <v>1950</v>
      </c>
      <c r="D370" s="8">
        <f t="shared" si="21"/>
        <v>1950</v>
      </c>
      <c r="E370" s="12" t="s">
        <v>821</v>
      </c>
      <c r="F370" s="9" t="str">
        <f t="shared" si="20"/>
        <v>insert into ins_premium_det (premium_rcv_code,assorted_code, rec_amount,premium_rcv_detail_code,remaining_amt, payrec, mode_code,coinsurance_code,class_cd,it_remarks) values</v>
      </c>
      <c r="G370" s="10" t="str">
        <f t="shared" si="22"/>
        <v>('12Mar250017','070000178263','1950',(select max(to_number(i.premium_rcv_detail_code))+1
from ins_premium_det i),'1950','1950','02', '11000003','00','Request by Mr. Saqib Saleem 12-Mar-2025');</v>
      </c>
      <c r="H370" s="11" t="str">
        <f t="shared" si="23"/>
        <v>insert into ins_premium_det (premium_rcv_code,assorted_code, rec_amount,premium_rcv_detail_code,remaining_amt, payrec, mode_code,coinsurance_code,class_cd,it_remarks) values('12Mar250017','070000178263','1950',(select max(to_number(i.premium_rcv_detail_code))+1
from ins_premium_det i),'1950','1950','02', '11000003','00','Request by Mr. Saqib Saleem 12-Mar-2025');</v>
      </c>
    </row>
    <row r="371" spans="1:8" ht="105" x14ac:dyDescent="0.25">
      <c r="A371" s="1" t="s">
        <v>683</v>
      </c>
      <c r="B371" s="1" t="str">
        <f>VLOOKUP(A371,policy!B:C,2,0)</f>
        <v>070000178264</v>
      </c>
      <c r="C371" s="4">
        <v>1050</v>
      </c>
      <c r="D371" s="8">
        <f t="shared" si="21"/>
        <v>1050</v>
      </c>
      <c r="E371" s="12" t="s">
        <v>821</v>
      </c>
      <c r="F371" s="9" t="str">
        <f t="shared" si="20"/>
        <v>insert into ins_premium_det (premium_rcv_code,assorted_code, rec_amount,premium_rcv_detail_code,remaining_amt, payrec, mode_code,coinsurance_code,class_cd,it_remarks) values</v>
      </c>
      <c r="G371" s="10" t="str">
        <f t="shared" si="22"/>
        <v>('12Mar250017','070000178264','1050',(select max(to_number(i.premium_rcv_detail_code))+1
from ins_premium_det i),'1050','1050','02', '11000003','00','Request by Mr. Saqib Saleem 12-Mar-2025');</v>
      </c>
      <c r="H371" s="11" t="str">
        <f t="shared" si="23"/>
        <v>insert into ins_premium_det (premium_rcv_code,assorted_code, rec_amount,premium_rcv_detail_code,remaining_amt, payrec, mode_code,coinsurance_code,class_cd,it_remarks) values('12Mar250017','070000178264','1050',(select max(to_number(i.premium_rcv_detail_code))+1
from ins_premium_det i),'1050','1050','02', '11000003','00','Request by Mr. Saqib Saleem 12-Mar-2025');</v>
      </c>
    </row>
    <row r="372" spans="1:8" ht="105" x14ac:dyDescent="0.25">
      <c r="A372" s="1" t="s">
        <v>684</v>
      </c>
      <c r="B372" s="1" t="str">
        <f>VLOOKUP(A372,policy!B:C,2,0)</f>
        <v>070000178265</v>
      </c>
      <c r="C372" s="4">
        <v>2400</v>
      </c>
      <c r="D372" s="8">
        <f t="shared" si="21"/>
        <v>2400</v>
      </c>
      <c r="E372" s="12" t="s">
        <v>821</v>
      </c>
      <c r="F372" s="9" t="str">
        <f t="shared" si="20"/>
        <v>insert into ins_premium_det (premium_rcv_code,assorted_code, rec_amount,premium_rcv_detail_code,remaining_amt, payrec, mode_code,coinsurance_code,class_cd,it_remarks) values</v>
      </c>
      <c r="G372" s="10" t="str">
        <f t="shared" si="22"/>
        <v>('12Mar250017','070000178265','2400',(select max(to_number(i.premium_rcv_detail_code))+1
from ins_premium_det i),'2400','2400','02', '11000003','00','Request by Mr. Saqib Saleem 12-Mar-2025');</v>
      </c>
      <c r="H372" s="11" t="str">
        <f t="shared" si="23"/>
        <v>insert into ins_premium_det (premium_rcv_code,assorted_code, rec_amount,premium_rcv_detail_code,remaining_amt, payrec, mode_code,coinsurance_code,class_cd,it_remarks) values('12Mar250017','070000178265','2400',(select max(to_number(i.premium_rcv_detail_code))+1
from ins_premium_det i),'2400','2400','02', '11000003','00','Request by Mr. Saqib Saleem 12-Mar-2025');</v>
      </c>
    </row>
    <row r="373" spans="1:8" ht="105" x14ac:dyDescent="0.25">
      <c r="A373" s="1" t="s">
        <v>685</v>
      </c>
      <c r="B373" s="1" t="str">
        <f>VLOOKUP(A373,policy!B:C,2,0)</f>
        <v>070000178266</v>
      </c>
      <c r="C373" s="4">
        <v>2250</v>
      </c>
      <c r="D373" s="8">
        <f t="shared" si="21"/>
        <v>2250</v>
      </c>
      <c r="E373" s="12" t="s">
        <v>821</v>
      </c>
      <c r="F373" s="9" t="str">
        <f t="shared" si="20"/>
        <v>insert into ins_premium_det (premium_rcv_code,assorted_code, rec_amount,premium_rcv_detail_code,remaining_amt, payrec, mode_code,coinsurance_code,class_cd,it_remarks) values</v>
      </c>
      <c r="G373" s="10" t="str">
        <f t="shared" si="22"/>
        <v>('12Mar250017','070000178266','2250',(select max(to_number(i.premium_rcv_detail_code))+1
from ins_premium_det i),'2250','2250','02', '11000003','00','Request by Mr. Saqib Saleem 12-Mar-2025');</v>
      </c>
      <c r="H373" s="11" t="str">
        <f t="shared" si="23"/>
        <v>insert into ins_premium_det (premium_rcv_code,assorted_code, rec_amount,premium_rcv_detail_code,remaining_amt, payrec, mode_code,coinsurance_code,class_cd,it_remarks) values('12Mar250017','070000178266','2250',(select max(to_number(i.premium_rcv_detail_code))+1
from ins_premium_det i),'2250','2250','02', '11000003','00','Request by Mr. Saqib Saleem 12-Mar-2025');</v>
      </c>
    </row>
    <row r="374" spans="1:8" ht="105" x14ac:dyDescent="0.25">
      <c r="A374" s="1" t="s">
        <v>686</v>
      </c>
      <c r="B374" s="1" t="str">
        <f>VLOOKUP(A374,policy!B:C,2,0)</f>
        <v>070000178267</v>
      </c>
      <c r="C374" s="4">
        <v>5101</v>
      </c>
      <c r="D374" s="8">
        <f t="shared" si="21"/>
        <v>5101</v>
      </c>
      <c r="E374" s="12" t="s">
        <v>821</v>
      </c>
      <c r="F374" s="9" t="str">
        <f t="shared" si="20"/>
        <v>insert into ins_premium_det (premium_rcv_code,assorted_code, rec_amount,premium_rcv_detail_code,remaining_amt, payrec, mode_code,coinsurance_code,class_cd,it_remarks) values</v>
      </c>
      <c r="G374" s="10" t="str">
        <f t="shared" si="22"/>
        <v>('12Mar250017','070000178267','5101',(select max(to_number(i.premium_rcv_detail_code))+1
from ins_premium_det i),'5101','5101','02', '11000003','00','Request by Mr. Saqib Saleem 12-Mar-2025');</v>
      </c>
      <c r="H374" s="11" t="str">
        <f t="shared" si="23"/>
        <v>insert into ins_premium_det (premium_rcv_code,assorted_code, rec_amount,premium_rcv_detail_code,remaining_amt, payrec, mode_code,coinsurance_code,class_cd,it_remarks) values('12Mar250017','070000178267','5101',(select max(to_number(i.premium_rcv_detail_code))+1
from ins_premium_det i),'5101','5101','02', '11000003','00','Request by Mr. Saqib Saleem 12-Mar-2025');</v>
      </c>
    </row>
    <row r="375" spans="1:8" ht="105" x14ac:dyDescent="0.25">
      <c r="A375" s="1" t="s">
        <v>687</v>
      </c>
      <c r="B375" s="1" t="str">
        <f>VLOOKUP(A375,policy!B:C,2,0)</f>
        <v>070000178268</v>
      </c>
      <c r="C375" s="4">
        <v>5250</v>
      </c>
      <c r="D375" s="8">
        <f t="shared" si="21"/>
        <v>5250</v>
      </c>
      <c r="E375" s="12" t="s">
        <v>821</v>
      </c>
      <c r="F375" s="9" t="str">
        <f t="shared" si="20"/>
        <v>insert into ins_premium_det (premium_rcv_code,assorted_code, rec_amount,premium_rcv_detail_code,remaining_amt, payrec, mode_code,coinsurance_code,class_cd,it_remarks) values</v>
      </c>
      <c r="G375" s="10" t="str">
        <f t="shared" si="22"/>
        <v>('12Mar250017','070000178268','5250',(select max(to_number(i.premium_rcv_detail_code))+1
from ins_premium_det i),'5250','5250','02', '11000003','00','Request by Mr. Saqib Saleem 12-Mar-2025');</v>
      </c>
      <c r="H375" s="11" t="str">
        <f t="shared" si="23"/>
        <v>insert into ins_premium_det (premium_rcv_code,assorted_code, rec_amount,premium_rcv_detail_code,remaining_amt, payrec, mode_code,coinsurance_code,class_cd,it_remarks) values('12Mar250017','070000178268','5250',(select max(to_number(i.premium_rcv_detail_code))+1
from ins_premium_det i),'5250','5250','02', '11000003','00','Request by Mr. Saqib Saleem 12-Mar-2025');</v>
      </c>
    </row>
    <row r="376" spans="1:8" ht="105" x14ac:dyDescent="0.25">
      <c r="A376" s="1" t="s">
        <v>688</v>
      </c>
      <c r="B376" s="1" t="str">
        <f>VLOOKUP(A376,policy!B:C,2,0)</f>
        <v>070000178269</v>
      </c>
      <c r="C376" s="4">
        <v>4800</v>
      </c>
      <c r="D376" s="8">
        <f t="shared" si="21"/>
        <v>4800</v>
      </c>
      <c r="E376" s="12" t="s">
        <v>821</v>
      </c>
      <c r="F376" s="9" t="str">
        <f t="shared" si="20"/>
        <v>insert into ins_premium_det (premium_rcv_code,assorted_code, rec_amount,premium_rcv_detail_code,remaining_amt, payrec, mode_code,coinsurance_code,class_cd,it_remarks) values</v>
      </c>
      <c r="G376" s="10" t="str">
        <f t="shared" si="22"/>
        <v>('12Mar250017','070000178269','4800',(select max(to_number(i.premium_rcv_detail_code))+1
from ins_premium_det i),'4800','4800','02', '11000003','00','Request by Mr. Saqib Saleem 12-Mar-2025');</v>
      </c>
      <c r="H376" s="11" t="str">
        <f t="shared" si="23"/>
        <v>insert into ins_premium_det (premium_rcv_code,assorted_code, rec_amount,premium_rcv_detail_code,remaining_amt, payrec, mode_code,coinsurance_code,class_cd,it_remarks) values('12Mar250017','070000178269','4800',(select max(to_number(i.premium_rcv_detail_code))+1
from ins_premium_det i),'4800','4800','02', '11000003','00','Request by Mr. Saqib Saleem 12-Mar-2025');</v>
      </c>
    </row>
    <row r="377" spans="1:8" ht="105" x14ac:dyDescent="0.25">
      <c r="A377" s="1" t="s">
        <v>689</v>
      </c>
      <c r="B377" s="1" t="str">
        <f>VLOOKUP(A377,policy!B:C,2,0)</f>
        <v>070000178270</v>
      </c>
      <c r="C377" s="4">
        <v>1500</v>
      </c>
      <c r="D377" s="8">
        <f t="shared" si="21"/>
        <v>1500</v>
      </c>
      <c r="E377" s="12" t="s">
        <v>821</v>
      </c>
      <c r="F377" s="9" t="str">
        <f t="shared" si="20"/>
        <v>insert into ins_premium_det (premium_rcv_code,assorted_code, rec_amount,premium_rcv_detail_code,remaining_amt, payrec, mode_code,coinsurance_code,class_cd,it_remarks) values</v>
      </c>
      <c r="G377" s="10" t="str">
        <f t="shared" si="22"/>
        <v>('12Mar250017','070000178270','1500',(select max(to_number(i.premium_rcv_detail_code))+1
from ins_premium_det i),'1500','1500','02', '11000003','00','Request by Mr. Saqib Saleem 12-Mar-2025');</v>
      </c>
      <c r="H377" s="11" t="str">
        <f t="shared" si="23"/>
        <v>insert into ins_premium_det (premium_rcv_code,assorted_code, rec_amount,premium_rcv_detail_code,remaining_amt, payrec, mode_code,coinsurance_code,class_cd,it_remarks) values('12Mar250017','070000178270','1500',(select max(to_number(i.premium_rcv_detail_code))+1
from ins_premium_det i),'1500','1500','02', '11000003','00','Request by Mr. Saqib Saleem 12-Mar-2025');</v>
      </c>
    </row>
    <row r="378" spans="1:8" ht="105" x14ac:dyDescent="0.25">
      <c r="A378" s="1" t="s">
        <v>690</v>
      </c>
      <c r="B378" s="1" t="str">
        <f>VLOOKUP(A378,policy!B:C,2,0)</f>
        <v>070000178271</v>
      </c>
      <c r="C378" s="4">
        <v>3300</v>
      </c>
      <c r="D378" s="8">
        <f t="shared" si="21"/>
        <v>3300</v>
      </c>
      <c r="E378" s="12" t="s">
        <v>821</v>
      </c>
      <c r="F378" s="9" t="str">
        <f t="shared" si="20"/>
        <v>insert into ins_premium_det (premium_rcv_code,assorted_code, rec_amount,premium_rcv_detail_code,remaining_amt, payrec, mode_code,coinsurance_code,class_cd,it_remarks) values</v>
      </c>
      <c r="G378" s="10" t="str">
        <f t="shared" si="22"/>
        <v>('12Mar250017','070000178271','3300',(select max(to_number(i.premium_rcv_detail_code))+1
from ins_premium_det i),'3300','3300','02', '11000003','00','Request by Mr. Saqib Saleem 12-Mar-2025');</v>
      </c>
      <c r="H378" s="11" t="str">
        <f t="shared" si="23"/>
        <v>insert into ins_premium_det (premium_rcv_code,assorted_code, rec_amount,premium_rcv_detail_code,remaining_amt, payrec, mode_code,coinsurance_code,class_cd,it_remarks) values('12Mar250017','070000178271','3300',(select max(to_number(i.premium_rcv_detail_code))+1
from ins_premium_det i),'3300','3300','02', '11000003','00','Request by Mr. Saqib Saleem 12-Mar-2025');</v>
      </c>
    </row>
    <row r="379" spans="1:8" ht="105" x14ac:dyDescent="0.25">
      <c r="A379" s="1" t="s">
        <v>691</v>
      </c>
      <c r="B379" s="1" t="str">
        <f>VLOOKUP(A379,policy!B:C,2,0)</f>
        <v>070000178272</v>
      </c>
      <c r="C379" s="4">
        <v>1351</v>
      </c>
      <c r="D379" s="8">
        <f t="shared" si="21"/>
        <v>1351</v>
      </c>
      <c r="E379" s="12" t="s">
        <v>821</v>
      </c>
      <c r="F379" s="9" t="str">
        <f t="shared" si="20"/>
        <v>insert into ins_premium_det (premium_rcv_code,assorted_code, rec_amount,premium_rcv_detail_code,remaining_amt, payrec, mode_code,coinsurance_code,class_cd,it_remarks) values</v>
      </c>
      <c r="G379" s="10" t="str">
        <f t="shared" si="22"/>
        <v>('12Mar250017','070000178272','1351',(select max(to_number(i.premium_rcv_detail_code))+1
from ins_premium_det i),'1351','1351','02', '11000003','00','Request by Mr. Saqib Saleem 12-Mar-2025');</v>
      </c>
      <c r="H379" s="11" t="str">
        <f t="shared" si="23"/>
        <v>insert into ins_premium_det (premium_rcv_code,assorted_code, rec_amount,premium_rcv_detail_code,remaining_amt, payrec, mode_code,coinsurance_code,class_cd,it_remarks) values('12Mar250017','070000178272','1351',(select max(to_number(i.premium_rcv_detail_code))+1
from ins_premium_det i),'1351','1351','02', '11000003','00','Request by Mr. Saqib Saleem 12-Mar-2025');</v>
      </c>
    </row>
    <row r="380" spans="1:8" ht="105" x14ac:dyDescent="0.25">
      <c r="A380" s="1" t="s">
        <v>692</v>
      </c>
      <c r="B380" s="1" t="str">
        <f>VLOOKUP(A380,policy!B:C,2,0)</f>
        <v>070000178273</v>
      </c>
      <c r="C380" s="4">
        <v>1649</v>
      </c>
      <c r="D380" s="8">
        <f t="shared" si="21"/>
        <v>1649</v>
      </c>
      <c r="E380" s="12" t="s">
        <v>821</v>
      </c>
      <c r="F380" s="9" t="str">
        <f t="shared" si="20"/>
        <v>insert into ins_premium_det (premium_rcv_code,assorted_code, rec_amount,premium_rcv_detail_code,remaining_amt, payrec, mode_code,coinsurance_code,class_cd,it_remarks) values</v>
      </c>
      <c r="G380" s="10" t="str">
        <f t="shared" si="22"/>
        <v>('12Mar250017','070000178273','1649',(select max(to_number(i.premium_rcv_detail_code))+1
from ins_premium_det i),'1649','1649','02', '11000003','00','Request by Mr. Saqib Saleem 12-Mar-2025');</v>
      </c>
      <c r="H380" s="11" t="str">
        <f t="shared" si="23"/>
        <v>insert into ins_premium_det (premium_rcv_code,assorted_code, rec_amount,premium_rcv_detail_code,remaining_amt, payrec, mode_code,coinsurance_code,class_cd,it_remarks) values('12Mar250017','070000178273','1649',(select max(to_number(i.premium_rcv_detail_code))+1
from ins_premium_det i),'1649','1649','02', '11000003','00','Request by Mr. Saqib Saleem 12-Mar-2025');</v>
      </c>
    </row>
    <row r="381" spans="1:8" ht="105" x14ac:dyDescent="0.25">
      <c r="A381" s="1" t="s">
        <v>693</v>
      </c>
      <c r="B381" s="1" t="str">
        <f>VLOOKUP(A381,policy!B:C,2,0)</f>
        <v>070000178274</v>
      </c>
      <c r="C381" s="4">
        <v>2250</v>
      </c>
      <c r="D381" s="8">
        <f t="shared" si="21"/>
        <v>2250</v>
      </c>
      <c r="E381" s="12" t="s">
        <v>821</v>
      </c>
      <c r="F381" s="9" t="str">
        <f t="shared" si="20"/>
        <v>insert into ins_premium_det (premium_rcv_code,assorted_code, rec_amount,premium_rcv_detail_code,remaining_amt, payrec, mode_code,coinsurance_code,class_cd,it_remarks) values</v>
      </c>
      <c r="G381" s="10" t="str">
        <f t="shared" si="22"/>
        <v>('12Mar250017','070000178274','2250',(select max(to_number(i.premium_rcv_detail_code))+1
from ins_premium_det i),'2250','2250','02', '11000003','00','Request by Mr. Saqib Saleem 12-Mar-2025');</v>
      </c>
      <c r="H381" s="11" t="str">
        <f t="shared" si="23"/>
        <v>insert into ins_premium_det (premium_rcv_code,assorted_code, rec_amount,premium_rcv_detail_code,remaining_amt, payrec, mode_code,coinsurance_code,class_cd,it_remarks) values('12Mar250017','070000178274','2250',(select max(to_number(i.premium_rcv_detail_code))+1
from ins_premium_det i),'2250','2250','02', '11000003','00','Request by Mr. Saqib Saleem 12-Mar-2025');</v>
      </c>
    </row>
    <row r="382" spans="1:8" ht="105" x14ac:dyDescent="0.25">
      <c r="A382" s="1" t="s">
        <v>694</v>
      </c>
      <c r="B382" s="1" t="str">
        <f>VLOOKUP(A382,policy!B:C,2,0)</f>
        <v>070000178275</v>
      </c>
      <c r="C382" s="4">
        <v>2700</v>
      </c>
      <c r="D382" s="8">
        <f t="shared" si="21"/>
        <v>2700</v>
      </c>
      <c r="E382" s="12" t="s">
        <v>821</v>
      </c>
      <c r="F382" s="9" t="str">
        <f t="shared" si="20"/>
        <v>insert into ins_premium_det (premium_rcv_code,assorted_code, rec_amount,premium_rcv_detail_code,remaining_amt, payrec, mode_code,coinsurance_code,class_cd,it_remarks) values</v>
      </c>
      <c r="G382" s="10" t="str">
        <f t="shared" si="22"/>
        <v>('12Mar250017','070000178275','2700',(select max(to_number(i.premium_rcv_detail_code))+1
from ins_premium_det i),'2700','2700','02', '11000003','00','Request by Mr. Saqib Saleem 12-Mar-2025');</v>
      </c>
      <c r="H382" s="11" t="str">
        <f t="shared" si="23"/>
        <v>insert into ins_premium_det (premium_rcv_code,assorted_code, rec_amount,premium_rcv_detail_code,remaining_amt, payrec, mode_code,coinsurance_code,class_cd,it_remarks) values('12Mar250017','070000178275','2700',(select max(to_number(i.premium_rcv_detail_code))+1
from ins_premium_det i),'2700','2700','02', '11000003','00','Request by Mr. Saqib Saleem 12-Mar-2025');</v>
      </c>
    </row>
    <row r="383" spans="1:8" ht="105" x14ac:dyDescent="0.25">
      <c r="A383" s="1" t="s">
        <v>695</v>
      </c>
      <c r="B383" s="1" t="str">
        <f>VLOOKUP(A383,policy!B:C,2,0)</f>
        <v>070000178276</v>
      </c>
      <c r="C383" s="4">
        <v>1649</v>
      </c>
      <c r="D383" s="8">
        <f t="shared" si="21"/>
        <v>1649</v>
      </c>
      <c r="E383" s="12" t="s">
        <v>821</v>
      </c>
      <c r="F383" s="9" t="str">
        <f t="shared" si="20"/>
        <v>insert into ins_premium_det (premium_rcv_code,assorted_code, rec_amount,premium_rcv_detail_code,remaining_amt, payrec, mode_code,coinsurance_code,class_cd,it_remarks) values</v>
      </c>
      <c r="G383" s="10" t="str">
        <f t="shared" si="22"/>
        <v>('12Mar250017','070000178276','1649',(select max(to_number(i.premium_rcv_detail_code))+1
from ins_premium_det i),'1649','1649','02', '11000003','00','Request by Mr. Saqib Saleem 12-Mar-2025');</v>
      </c>
      <c r="H383" s="11" t="str">
        <f t="shared" si="23"/>
        <v>insert into ins_premium_det (premium_rcv_code,assorted_code, rec_amount,premium_rcv_detail_code,remaining_amt, payrec, mode_code,coinsurance_code,class_cd,it_remarks) values('12Mar250017','070000178276','1649',(select max(to_number(i.premium_rcv_detail_code))+1
from ins_premium_det i),'1649','1649','02', '11000003','00','Request by Mr. Saqib Saleem 12-Mar-2025');</v>
      </c>
    </row>
    <row r="384" spans="1:8" ht="105" x14ac:dyDescent="0.25">
      <c r="A384" s="1" t="s">
        <v>696</v>
      </c>
      <c r="B384" s="1" t="str">
        <f>VLOOKUP(A384,policy!B:C,2,0)</f>
        <v>070000178277</v>
      </c>
      <c r="C384" s="4">
        <v>1801</v>
      </c>
      <c r="D384" s="8">
        <f t="shared" si="21"/>
        <v>1801</v>
      </c>
      <c r="E384" s="12" t="s">
        <v>821</v>
      </c>
      <c r="F384" s="9" t="str">
        <f t="shared" si="20"/>
        <v>insert into ins_premium_det (premium_rcv_code,assorted_code, rec_amount,premium_rcv_detail_code,remaining_amt, payrec, mode_code,coinsurance_code,class_cd,it_remarks) values</v>
      </c>
      <c r="G384" s="10" t="str">
        <f t="shared" si="22"/>
        <v>('12Mar250017','070000178277','1801',(select max(to_number(i.premium_rcv_detail_code))+1
from ins_premium_det i),'1801','1801','02', '11000003','00','Request by Mr. Saqib Saleem 12-Mar-2025');</v>
      </c>
      <c r="H384" s="11" t="str">
        <f t="shared" si="23"/>
        <v>insert into ins_premium_det (premium_rcv_code,assorted_code, rec_amount,premium_rcv_detail_code,remaining_amt, payrec, mode_code,coinsurance_code,class_cd,it_remarks) values('12Mar250017','070000178277','1801',(select max(to_number(i.premium_rcv_detail_code))+1
from ins_premium_det i),'1801','1801','02', '11000003','00','Request by Mr. Saqib Saleem 12-Mar-2025');</v>
      </c>
    </row>
    <row r="385" spans="1:8" ht="105" x14ac:dyDescent="0.25">
      <c r="A385" s="1" t="s">
        <v>697</v>
      </c>
      <c r="B385" s="1" t="str">
        <f>VLOOKUP(A385,policy!B:C,2,0)</f>
        <v>070000178278</v>
      </c>
      <c r="C385" s="4">
        <v>4500</v>
      </c>
      <c r="D385" s="8">
        <f t="shared" si="21"/>
        <v>4500</v>
      </c>
      <c r="E385" s="12" t="s">
        <v>821</v>
      </c>
      <c r="F385" s="9" t="str">
        <f t="shared" si="20"/>
        <v>insert into ins_premium_det (premium_rcv_code,assorted_code, rec_amount,premium_rcv_detail_code,remaining_amt, payrec, mode_code,coinsurance_code,class_cd,it_remarks) values</v>
      </c>
      <c r="G385" s="10" t="str">
        <f t="shared" si="22"/>
        <v>('12Mar250017','070000178278','4500',(select max(to_number(i.premium_rcv_detail_code))+1
from ins_premium_det i),'4500','4500','02', '11000003','00','Request by Mr. Saqib Saleem 12-Mar-2025');</v>
      </c>
      <c r="H385" s="11" t="str">
        <f t="shared" si="23"/>
        <v>insert into ins_premium_det (premium_rcv_code,assorted_code, rec_amount,premium_rcv_detail_code,remaining_amt, payrec, mode_code,coinsurance_code,class_cd,it_remarks) values('12Mar250017','070000178278','4500',(select max(to_number(i.premium_rcv_detail_code))+1
from ins_premium_det i),'4500','4500','02', '11000003','00','Request by Mr. Saqib Saleem 12-Mar-2025');</v>
      </c>
    </row>
    <row r="386" spans="1:8" ht="105" x14ac:dyDescent="0.25">
      <c r="A386" s="1" t="s">
        <v>698</v>
      </c>
      <c r="B386" s="1" t="str">
        <f>VLOOKUP(A386,policy!B:C,2,0)</f>
        <v>070000178279</v>
      </c>
      <c r="C386" s="4">
        <v>1649</v>
      </c>
      <c r="D386" s="8">
        <f t="shared" si="21"/>
        <v>1649</v>
      </c>
      <c r="E386" s="12" t="s">
        <v>821</v>
      </c>
      <c r="F386" s="9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10" t="str">
        <f t="shared" si="22"/>
        <v>('12Mar250017','070000178279','1649',(select max(to_number(i.premium_rcv_detail_code))+1
from ins_premium_det i),'1649','1649','02', '11000003','00','Request by Mr. Saqib Saleem 12-Mar-2025');</v>
      </c>
      <c r="H386" s="11" t="str">
        <f t="shared" si="23"/>
        <v>insert into ins_premium_det (premium_rcv_code,assorted_code, rec_amount,premium_rcv_detail_code,remaining_amt, payrec, mode_code,coinsurance_code,class_cd,it_remarks) values('12Mar250017','070000178279','1649',(select max(to_number(i.premium_rcv_detail_code))+1
from ins_premium_det i),'1649','1649','02', '11000003','00','Request by Mr. Saqib Saleem 12-Mar-2025');</v>
      </c>
    </row>
    <row r="387" spans="1:8" ht="105" x14ac:dyDescent="0.25">
      <c r="A387" s="1" t="s">
        <v>699</v>
      </c>
      <c r="B387" s="1" t="str">
        <f>VLOOKUP(A387,policy!B:C,2,0)</f>
        <v>070000178280</v>
      </c>
      <c r="C387" s="4">
        <v>4800</v>
      </c>
      <c r="D387" s="8">
        <f t="shared" ref="D387:D450" si="25">ROUND(C387,0)</f>
        <v>4800</v>
      </c>
      <c r="E387" s="12" t="s">
        <v>821</v>
      </c>
      <c r="F387" s="9" t="str">
        <f t="shared" si="24"/>
        <v>insert into ins_premium_det (premium_rcv_code,assorted_code, rec_amount,premium_rcv_detail_code,remaining_amt, payrec, mode_code,coinsurance_code,class_cd,it_remarks) values</v>
      </c>
      <c r="G387" s="10" t="str">
        <f t="shared" ref="G387:G450" si="26">"('"&amp;E387&amp;"','"&amp;B387&amp;"','"&amp;D387&amp;"',(select max(to_number(i.premium_rcv_detail_code))+1
from ins_premium_det i),'"&amp;D387&amp;"','"&amp;D387&amp;"','02', '11000003','00','Request by Mr. Saqib Saleem 12-Mar-2025');"</f>
        <v>('12Mar250017','070000178280','4800',(select max(to_number(i.premium_rcv_detail_code))+1
from ins_premium_det i),'4800','4800','02', '11000003','00','Request by Mr. Saqib Saleem 12-Mar-2025');</v>
      </c>
      <c r="H387" s="11" t="str">
        <f t="shared" ref="H387:H450" si="27">F387&amp;G387</f>
        <v>insert into ins_premium_det (premium_rcv_code,assorted_code, rec_amount,premium_rcv_detail_code,remaining_amt, payrec, mode_code,coinsurance_code,class_cd,it_remarks) values('12Mar250017','070000178280','4800',(select max(to_number(i.premium_rcv_detail_code))+1
from ins_premium_det i),'4800','4800','02', '11000003','00','Request by Mr. Saqib Saleem 12-Mar-2025');</v>
      </c>
    </row>
    <row r="388" spans="1:8" ht="105" x14ac:dyDescent="0.25">
      <c r="A388" s="1" t="s">
        <v>700</v>
      </c>
      <c r="B388" s="1" t="str">
        <f>VLOOKUP(A388,policy!B:C,2,0)</f>
        <v>070000178281</v>
      </c>
      <c r="C388" s="4">
        <v>2550</v>
      </c>
      <c r="D388" s="8">
        <f t="shared" si="25"/>
        <v>2550</v>
      </c>
      <c r="E388" s="12" t="s">
        <v>821</v>
      </c>
      <c r="F388" s="9" t="str">
        <f t="shared" si="24"/>
        <v>insert into ins_premium_det (premium_rcv_code,assorted_code, rec_amount,premium_rcv_detail_code,remaining_amt, payrec, mode_code,coinsurance_code,class_cd,it_remarks) values</v>
      </c>
      <c r="G388" s="10" t="str">
        <f t="shared" si="26"/>
        <v>('12Mar250017','070000178281','2550',(select max(to_number(i.premium_rcv_detail_code))+1
from ins_premium_det i),'2550','2550','02', '11000003','00','Request by Mr. Saqib Saleem 12-Mar-2025');</v>
      </c>
      <c r="H388" s="11" t="str">
        <f t="shared" si="27"/>
        <v>insert into ins_premium_det (premium_rcv_code,assorted_code, rec_amount,premium_rcv_detail_code,remaining_amt, payrec, mode_code,coinsurance_code,class_cd,it_remarks) values('12Mar250017','070000178281','2550',(select max(to_number(i.premium_rcv_detail_code))+1
from ins_premium_det i),'2550','2550','02', '11000003','00','Request by Mr. Saqib Saleem 12-Mar-2025');</v>
      </c>
    </row>
    <row r="389" spans="1:8" ht="105" x14ac:dyDescent="0.25">
      <c r="A389" s="1" t="s">
        <v>701</v>
      </c>
      <c r="B389" s="1" t="str">
        <f>VLOOKUP(A389,policy!B:C,2,0)</f>
        <v>070000178282</v>
      </c>
      <c r="C389" s="4">
        <v>2851</v>
      </c>
      <c r="D389" s="8">
        <f t="shared" si="25"/>
        <v>2851</v>
      </c>
      <c r="E389" s="12" t="s">
        <v>821</v>
      </c>
      <c r="F389" s="9" t="str">
        <f t="shared" si="24"/>
        <v>insert into ins_premium_det (premium_rcv_code,assorted_code, rec_amount,premium_rcv_detail_code,remaining_amt, payrec, mode_code,coinsurance_code,class_cd,it_remarks) values</v>
      </c>
      <c r="G389" s="10" t="str">
        <f t="shared" si="26"/>
        <v>('12Mar250017','070000178282','2851',(select max(to_number(i.premium_rcv_detail_code))+1
from ins_premium_det i),'2851','2851','02', '11000003','00','Request by Mr. Saqib Saleem 12-Mar-2025');</v>
      </c>
      <c r="H389" s="11" t="str">
        <f t="shared" si="27"/>
        <v>insert into ins_premium_det (premium_rcv_code,assorted_code, rec_amount,premium_rcv_detail_code,remaining_amt, payrec, mode_code,coinsurance_code,class_cd,it_remarks) values('12Mar250017','070000178282','2851',(select max(to_number(i.premium_rcv_detail_code))+1
from ins_premium_det i),'2851','2851','02', '11000003','00','Request by Mr. Saqib Saleem 12-Mar-2025');</v>
      </c>
    </row>
    <row r="390" spans="1:8" ht="105" x14ac:dyDescent="0.25">
      <c r="A390" s="1" t="s">
        <v>702</v>
      </c>
      <c r="B390" s="1" t="str">
        <f>VLOOKUP(A390,policy!B:C,2,0)</f>
        <v>070000178283</v>
      </c>
      <c r="C390" s="4">
        <v>2851</v>
      </c>
      <c r="D390" s="8">
        <f t="shared" si="25"/>
        <v>2851</v>
      </c>
      <c r="E390" s="12" t="s">
        <v>821</v>
      </c>
      <c r="F390" s="9" t="str">
        <f t="shared" si="24"/>
        <v>insert into ins_premium_det (premium_rcv_code,assorted_code, rec_amount,premium_rcv_detail_code,remaining_amt, payrec, mode_code,coinsurance_code,class_cd,it_remarks) values</v>
      </c>
      <c r="G390" s="10" t="str">
        <f t="shared" si="26"/>
        <v>('12Mar250017','070000178283','2851',(select max(to_number(i.premium_rcv_detail_code))+1
from ins_premium_det i),'2851','2851','02', '11000003','00','Request by Mr. Saqib Saleem 12-Mar-2025');</v>
      </c>
      <c r="H390" s="11" t="str">
        <f t="shared" si="27"/>
        <v>insert into ins_premium_det (premium_rcv_code,assorted_code, rec_amount,premium_rcv_detail_code,remaining_amt, payrec, mode_code,coinsurance_code,class_cd,it_remarks) values('12Mar250017','070000178283','2851',(select max(to_number(i.premium_rcv_detail_code))+1
from ins_premium_det i),'2851','2851','02', '11000003','00','Request by Mr. Saqib Saleem 12-Mar-2025');</v>
      </c>
    </row>
    <row r="391" spans="1:8" ht="105" x14ac:dyDescent="0.25">
      <c r="A391" s="1" t="s">
        <v>703</v>
      </c>
      <c r="B391" s="1" t="str">
        <f>VLOOKUP(A391,policy!B:C,2,0)</f>
        <v>070000178284</v>
      </c>
      <c r="C391" s="4">
        <v>3000</v>
      </c>
      <c r="D391" s="8">
        <f t="shared" si="25"/>
        <v>3000</v>
      </c>
      <c r="E391" s="12" t="s">
        <v>821</v>
      </c>
      <c r="F391" s="9" t="str">
        <f t="shared" si="24"/>
        <v>insert into ins_premium_det (premium_rcv_code,assorted_code, rec_amount,premium_rcv_detail_code,remaining_amt, payrec, mode_code,coinsurance_code,class_cd,it_remarks) values</v>
      </c>
      <c r="G391" s="10" t="str">
        <f t="shared" si="26"/>
        <v>('12Mar250017','070000178284','3000',(select max(to_number(i.premium_rcv_detail_code))+1
from ins_premium_det i),'3000','3000','02', '11000003','00','Request by Mr. Saqib Saleem 12-Mar-2025');</v>
      </c>
      <c r="H391" s="11" t="str">
        <f t="shared" si="27"/>
        <v>insert into ins_premium_det (premium_rcv_code,assorted_code, rec_amount,premium_rcv_detail_code,remaining_amt, payrec, mode_code,coinsurance_code,class_cd,it_remarks) values('12Mar250017','070000178284','3000',(select max(to_number(i.premium_rcv_detail_code))+1
from ins_premium_det i),'3000','3000','02', '11000003','00','Request by Mr. Saqib Saleem 12-Mar-2025');</v>
      </c>
    </row>
    <row r="392" spans="1:8" ht="105" x14ac:dyDescent="0.25">
      <c r="A392" s="1" t="s">
        <v>704</v>
      </c>
      <c r="B392" s="1" t="str">
        <f>VLOOKUP(A392,policy!B:C,2,0)</f>
        <v>070000178285</v>
      </c>
      <c r="C392" s="4">
        <v>3900</v>
      </c>
      <c r="D392" s="8">
        <f t="shared" si="25"/>
        <v>3900</v>
      </c>
      <c r="E392" s="12" t="s">
        <v>821</v>
      </c>
      <c r="F392" s="9" t="str">
        <f t="shared" si="24"/>
        <v>insert into ins_premium_det (premium_rcv_code,assorted_code, rec_amount,premium_rcv_detail_code,remaining_amt, payrec, mode_code,coinsurance_code,class_cd,it_remarks) values</v>
      </c>
      <c r="G392" s="10" t="str">
        <f t="shared" si="26"/>
        <v>('12Mar250017','070000178285','3900',(select max(to_number(i.premium_rcv_detail_code))+1
from ins_premium_det i),'3900','3900','02', '11000003','00','Request by Mr. Saqib Saleem 12-Mar-2025');</v>
      </c>
      <c r="H392" s="11" t="str">
        <f t="shared" si="27"/>
        <v>insert into ins_premium_det (premium_rcv_code,assorted_code, rec_amount,premium_rcv_detail_code,remaining_amt, payrec, mode_code,coinsurance_code,class_cd,it_remarks) values('12Mar250017','070000178285','3900',(select max(to_number(i.premium_rcv_detail_code))+1
from ins_premium_det i),'3900','3900','02', '11000003','00','Request by Mr. Saqib Saleem 12-Mar-2025');</v>
      </c>
    </row>
    <row r="393" spans="1:8" ht="105" x14ac:dyDescent="0.25">
      <c r="A393" s="1" t="s">
        <v>705</v>
      </c>
      <c r="B393" s="1" t="str">
        <f>VLOOKUP(A393,policy!B:C,2,0)</f>
        <v>070000178286</v>
      </c>
      <c r="C393" s="4">
        <v>4650</v>
      </c>
      <c r="D393" s="8">
        <f t="shared" si="25"/>
        <v>4650</v>
      </c>
      <c r="E393" s="12" t="s">
        <v>821</v>
      </c>
      <c r="F393" s="9" t="str">
        <f t="shared" si="24"/>
        <v>insert into ins_premium_det (premium_rcv_code,assorted_code, rec_amount,premium_rcv_detail_code,remaining_amt, payrec, mode_code,coinsurance_code,class_cd,it_remarks) values</v>
      </c>
      <c r="G393" s="10" t="str">
        <f t="shared" si="26"/>
        <v>('12Mar250017','070000178286','4650',(select max(to_number(i.premium_rcv_detail_code))+1
from ins_premium_det i),'4650','4650','02', '11000003','00','Request by Mr. Saqib Saleem 12-Mar-2025');</v>
      </c>
      <c r="H393" s="11" t="str">
        <f t="shared" si="27"/>
        <v>insert into ins_premium_det (premium_rcv_code,assorted_code, rec_amount,premium_rcv_detail_code,remaining_amt, payrec, mode_code,coinsurance_code,class_cd,it_remarks) values('12Mar250017','070000178286','4650',(select max(to_number(i.premium_rcv_detail_code))+1
from ins_premium_det i),'4650','4650','02', '11000003','00','Request by Mr. Saqib Saleem 12-Mar-2025');</v>
      </c>
    </row>
    <row r="394" spans="1:8" ht="105" x14ac:dyDescent="0.25">
      <c r="A394" s="1" t="s">
        <v>706</v>
      </c>
      <c r="B394" s="1" t="str">
        <f>VLOOKUP(A394,policy!B:C,2,0)</f>
        <v>070000178287</v>
      </c>
      <c r="C394" s="4">
        <v>3300</v>
      </c>
      <c r="D394" s="8">
        <f t="shared" si="25"/>
        <v>3300</v>
      </c>
      <c r="E394" s="12" t="s">
        <v>821</v>
      </c>
      <c r="F394" s="9" t="str">
        <f t="shared" si="24"/>
        <v>insert into ins_premium_det (premium_rcv_code,assorted_code, rec_amount,premium_rcv_detail_code,remaining_amt, payrec, mode_code,coinsurance_code,class_cd,it_remarks) values</v>
      </c>
      <c r="G394" s="10" t="str">
        <f t="shared" si="26"/>
        <v>('12Mar250017','070000178287','3300',(select max(to_number(i.premium_rcv_detail_code))+1
from ins_premium_det i),'3300','3300','02', '11000003','00','Request by Mr. Saqib Saleem 12-Mar-2025');</v>
      </c>
      <c r="H394" s="11" t="str">
        <f t="shared" si="27"/>
        <v>insert into ins_premium_det (premium_rcv_code,assorted_code, rec_amount,premium_rcv_detail_code,remaining_amt, payrec, mode_code,coinsurance_code,class_cd,it_remarks) values('12Mar250017','070000178287','3300',(select max(to_number(i.premium_rcv_detail_code))+1
from ins_premium_det i),'3300','3300','02', '11000003','00','Request by Mr. Saqib Saleem 12-Mar-2025');</v>
      </c>
    </row>
    <row r="395" spans="1:8" ht="105" x14ac:dyDescent="0.25">
      <c r="A395" s="1" t="s">
        <v>707</v>
      </c>
      <c r="B395" s="1" t="str">
        <f>VLOOKUP(A395,policy!B:C,2,0)</f>
        <v>070000178288</v>
      </c>
      <c r="C395" s="4">
        <v>3000</v>
      </c>
      <c r="D395" s="8">
        <f t="shared" si="25"/>
        <v>3000</v>
      </c>
      <c r="E395" s="12" t="s">
        <v>821</v>
      </c>
      <c r="F395" s="9" t="str">
        <f t="shared" si="24"/>
        <v>insert into ins_premium_det (premium_rcv_code,assorted_code, rec_amount,premium_rcv_detail_code,remaining_amt, payrec, mode_code,coinsurance_code,class_cd,it_remarks) values</v>
      </c>
      <c r="G395" s="10" t="str">
        <f t="shared" si="26"/>
        <v>('12Mar250017','070000178288','3000',(select max(to_number(i.premium_rcv_detail_code))+1
from ins_premium_det i),'3000','3000','02', '11000003','00','Request by Mr. Saqib Saleem 12-Mar-2025');</v>
      </c>
      <c r="H395" s="11" t="str">
        <f t="shared" si="27"/>
        <v>insert into ins_premium_det (premium_rcv_code,assorted_code, rec_amount,premium_rcv_detail_code,remaining_amt, payrec, mode_code,coinsurance_code,class_cd,it_remarks) values('12Mar250017','070000178288','3000',(select max(to_number(i.premium_rcv_detail_code))+1
from ins_premium_det i),'3000','3000','02', '11000003','00','Request by Mr. Saqib Saleem 12-Mar-2025');</v>
      </c>
    </row>
    <row r="396" spans="1:8" ht="105" x14ac:dyDescent="0.25">
      <c r="A396" s="1" t="s">
        <v>708</v>
      </c>
      <c r="B396" s="1" t="str">
        <f>VLOOKUP(A396,policy!B:C,2,0)</f>
        <v>070000178289</v>
      </c>
      <c r="C396" s="4">
        <v>4351</v>
      </c>
      <c r="D396" s="8">
        <f t="shared" si="25"/>
        <v>4351</v>
      </c>
      <c r="E396" s="12" t="s">
        <v>821</v>
      </c>
      <c r="F396" s="9" t="str">
        <f t="shared" si="24"/>
        <v>insert into ins_premium_det (premium_rcv_code,assorted_code, rec_amount,premium_rcv_detail_code,remaining_amt, payrec, mode_code,coinsurance_code,class_cd,it_remarks) values</v>
      </c>
      <c r="G396" s="10" t="str">
        <f t="shared" si="26"/>
        <v>('12Mar250017','070000178289','4351',(select max(to_number(i.premium_rcv_detail_code))+1
from ins_premium_det i),'4351','4351','02', '11000003','00','Request by Mr. Saqib Saleem 12-Mar-2025');</v>
      </c>
      <c r="H396" s="11" t="str">
        <f t="shared" si="27"/>
        <v>insert into ins_premium_det (premium_rcv_code,assorted_code, rec_amount,premium_rcv_detail_code,remaining_amt, payrec, mode_code,coinsurance_code,class_cd,it_remarks) values('12Mar250017','070000178289','4351',(select max(to_number(i.premium_rcv_detail_code))+1
from ins_premium_det i),'4351','4351','02', '11000003','00','Request by Mr. Saqib Saleem 12-Mar-2025');</v>
      </c>
    </row>
    <row r="397" spans="1:8" ht="105" x14ac:dyDescent="0.25">
      <c r="A397" s="1" t="s">
        <v>709</v>
      </c>
      <c r="B397" s="1" t="str">
        <f>VLOOKUP(A397,policy!B:C,2,0)</f>
        <v>070000178290</v>
      </c>
      <c r="C397" s="4">
        <v>1950</v>
      </c>
      <c r="D397" s="8">
        <f t="shared" si="25"/>
        <v>1950</v>
      </c>
      <c r="E397" s="12" t="s">
        <v>821</v>
      </c>
      <c r="F397" s="9" t="str">
        <f t="shared" si="24"/>
        <v>insert into ins_premium_det (premium_rcv_code,assorted_code, rec_amount,premium_rcv_detail_code,remaining_amt, payrec, mode_code,coinsurance_code,class_cd,it_remarks) values</v>
      </c>
      <c r="G397" s="10" t="str">
        <f t="shared" si="26"/>
        <v>('12Mar250017','070000178290','1950',(select max(to_number(i.premium_rcv_detail_code))+1
from ins_premium_det i),'1950','1950','02', '11000003','00','Request by Mr. Saqib Saleem 12-Mar-2025');</v>
      </c>
      <c r="H397" s="11" t="str">
        <f t="shared" si="27"/>
        <v>insert into ins_premium_det (premium_rcv_code,assorted_code, rec_amount,premium_rcv_detail_code,remaining_amt, payrec, mode_code,coinsurance_code,class_cd,it_remarks) values('12Mar250017','070000178290','1950',(select max(to_number(i.premium_rcv_detail_code))+1
from ins_premium_det i),'1950','1950','02', '11000003','00','Request by Mr. Saqib Saleem 12-Mar-2025');</v>
      </c>
    </row>
    <row r="398" spans="1:8" ht="105" x14ac:dyDescent="0.25">
      <c r="A398" s="1" t="s">
        <v>710</v>
      </c>
      <c r="B398" s="1" t="str">
        <f>VLOOKUP(A398,policy!B:C,2,0)</f>
        <v>070000178291</v>
      </c>
      <c r="C398" s="4">
        <v>8700</v>
      </c>
      <c r="D398" s="8">
        <f t="shared" si="25"/>
        <v>8700</v>
      </c>
      <c r="E398" s="12" t="s">
        <v>821</v>
      </c>
      <c r="F398" s="9" t="str">
        <f t="shared" si="24"/>
        <v>insert into ins_premium_det (premium_rcv_code,assorted_code, rec_amount,premium_rcv_detail_code,remaining_amt, payrec, mode_code,coinsurance_code,class_cd,it_remarks) values</v>
      </c>
      <c r="G398" s="10" t="str">
        <f t="shared" si="26"/>
        <v>('12Mar250017','070000178291','8700',(select max(to_number(i.premium_rcv_detail_code))+1
from ins_premium_det i),'8700','8700','02', '11000003','00','Request by Mr. Saqib Saleem 12-Mar-2025');</v>
      </c>
      <c r="H398" s="11" t="str">
        <f t="shared" si="27"/>
        <v>insert into ins_premium_det (premium_rcv_code,assorted_code, rec_amount,premium_rcv_detail_code,remaining_amt, payrec, mode_code,coinsurance_code,class_cd,it_remarks) values('12Mar250017','070000178291','8700',(select max(to_number(i.premium_rcv_detail_code))+1
from ins_premium_det i),'8700','8700','02', '11000003','00','Request by Mr. Saqib Saleem 12-Mar-2025');</v>
      </c>
    </row>
    <row r="399" spans="1:8" ht="105" x14ac:dyDescent="0.25">
      <c r="A399" s="1" t="s">
        <v>711</v>
      </c>
      <c r="B399" s="1" t="str">
        <f>VLOOKUP(A399,policy!B:C,2,0)</f>
        <v>070000178292</v>
      </c>
      <c r="C399" s="4">
        <v>3750</v>
      </c>
      <c r="D399" s="8">
        <f t="shared" si="25"/>
        <v>3750</v>
      </c>
      <c r="E399" s="12" t="s">
        <v>821</v>
      </c>
      <c r="F399" s="9" t="str">
        <f t="shared" si="24"/>
        <v>insert into ins_premium_det (premium_rcv_code,assorted_code, rec_amount,premium_rcv_detail_code,remaining_amt, payrec, mode_code,coinsurance_code,class_cd,it_remarks) values</v>
      </c>
      <c r="G399" s="10" t="str">
        <f t="shared" si="26"/>
        <v>('12Mar250017','070000178292','3750',(select max(to_number(i.premium_rcv_detail_code))+1
from ins_premium_det i),'3750','3750','02', '11000003','00','Request by Mr. Saqib Saleem 12-Mar-2025');</v>
      </c>
      <c r="H399" s="11" t="str">
        <f t="shared" si="27"/>
        <v>insert into ins_premium_det (premium_rcv_code,assorted_code, rec_amount,premium_rcv_detail_code,remaining_amt, payrec, mode_code,coinsurance_code,class_cd,it_remarks) values('12Mar250017','070000178292','3750',(select max(to_number(i.premium_rcv_detail_code))+1
from ins_premium_det i),'3750','3750','02', '11000003','00','Request by Mr. Saqib Saleem 12-Mar-2025');</v>
      </c>
    </row>
    <row r="400" spans="1:8" ht="105" x14ac:dyDescent="0.25">
      <c r="A400" s="1" t="s">
        <v>712</v>
      </c>
      <c r="B400" s="1" t="str">
        <f>VLOOKUP(A400,policy!B:C,2,0)</f>
        <v>070000178293</v>
      </c>
      <c r="C400" s="4">
        <v>3599</v>
      </c>
      <c r="D400" s="8">
        <f t="shared" si="25"/>
        <v>3599</v>
      </c>
      <c r="E400" s="12" t="s">
        <v>821</v>
      </c>
      <c r="F400" s="9" t="str">
        <f t="shared" si="24"/>
        <v>insert into ins_premium_det (premium_rcv_code,assorted_code, rec_amount,premium_rcv_detail_code,remaining_amt, payrec, mode_code,coinsurance_code,class_cd,it_remarks) values</v>
      </c>
      <c r="G400" s="10" t="str">
        <f t="shared" si="26"/>
        <v>('12Mar250017','070000178293','3599',(select max(to_number(i.premium_rcv_detail_code))+1
from ins_premium_det i),'3599','3599','02', '11000003','00','Request by Mr. Saqib Saleem 12-Mar-2025');</v>
      </c>
      <c r="H400" s="11" t="str">
        <f t="shared" si="27"/>
        <v>insert into ins_premium_det (premium_rcv_code,assorted_code, rec_amount,premium_rcv_detail_code,remaining_amt, payrec, mode_code,coinsurance_code,class_cd,it_remarks) values('12Mar250017','070000178293','3599',(select max(to_number(i.premium_rcv_detail_code))+1
from ins_premium_det i),'3599','3599','02', '11000003','00','Request by Mr. Saqib Saleem 12-Mar-2025');</v>
      </c>
    </row>
    <row r="401" spans="1:8" ht="105" x14ac:dyDescent="0.25">
      <c r="A401" s="1" t="s">
        <v>713</v>
      </c>
      <c r="B401" s="1" t="str">
        <f>VLOOKUP(A401,policy!B:C,2,0)</f>
        <v>070000178294</v>
      </c>
      <c r="C401" s="4">
        <v>4050</v>
      </c>
      <c r="D401" s="8">
        <f t="shared" si="25"/>
        <v>4050</v>
      </c>
      <c r="E401" s="12" t="s">
        <v>821</v>
      </c>
      <c r="F401" s="9" t="str">
        <f t="shared" si="24"/>
        <v>insert into ins_premium_det (premium_rcv_code,assorted_code, rec_amount,premium_rcv_detail_code,remaining_amt, payrec, mode_code,coinsurance_code,class_cd,it_remarks) values</v>
      </c>
      <c r="G401" s="10" t="str">
        <f t="shared" si="26"/>
        <v>('12Mar250017','070000178294','4050',(select max(to_number(i.premium_rcv_detail_code))+1
from ins_premium_det i),'4050','4050','02', '11000003','00','Request by Mr. Saqib Saleem 12-Mar-2025');</v>
      </c>
      <c r="H401" s="11" t="str">
        <f t="shared" si="27"/>
        <v>insert into ins_premium_det (premium_rcv_code,assorted_code, rec_amount,premium_rcv_detail_code,remaining_amt, payrec, mode_code,coinsurance_code,class_cd,it_remarks) values('12Mar250017','070000178294','4050',(select max(to_number(i.premium_rcv_detail_code))+1
from ins_premium_det i),'4050','4050','02', '11000003','00','Request by Mr. Saqib Saleem 12-Mar-2025');</v>
      </c>
    </row>
    <row r="402" spans="1:8" ht="105" x14ac:dyDescent="0.25">
      <c r="A402" s="1" t="s">
        <v>714</v>
      </c>
      <c r="B402" s="1" t="str">
        <f>VLOOKUP(A402,policy!B:C,2,0)</f>
        <v>070000178295</v>
      </c>
      <c r="C402" s="4">
        <v>6450</v>
      </c>
      <c r="D402" s="8">
        <f t="shared" si="25"/>
        <v>6450</v>
      </c>
      <c r="E402" s="12" t="s">
        <v>821</v>
      </c>
      <c r="F402" s="9" t="str">
        <f t="shared" si="24"/>
        <v>insert into ins_premium_det (premium_rcv_code,assorted_code, rec_amount,premium_rcv_detail_code,remaining_amt, payrec, mode_code,coinsurance_code,class_cd,it_remarks) values</v>
      </c>
      <c r="G402" s="10" t="str">
        <f t="shared" si="26"/>
        <v>('12Mar250017','070000178295','6450',(select max(to_number(i.premium_rcv_detail_code))+1
from ins_premium_det i),'6450','6450','02', '11000003','00','Request by Mr. Saqib Saleem 12-Mar-2025');</v>
      </c>
      <c r="H402" s="11" t="str">
        <f t="shared" si="27"/>
        <v>insert into ins_premium_det (premium_rcv_code,assorted_code, rec_amount,premium_rcv_detail_code,remaining_amt, payrec, mode_code,coinsurance_code,class_cd,it_remarks) values('12Mar250017','070000178295','6450',(select max(to_number(i.premium_rcv_detail_code))+1
from ins_premium_det i),'6450','6450','02', '11000003','00','Request by Mr. Saqib Saleem 12-Mar-2025');</v>
      </c>
    </row>
    <row r="403" spans="1:8" ht="105" x14ac:dyDescent="0.25">
      <c r="A403" s="1" t="s">
        <v>715</v>
      </c>
      <c r="B403" s="1" t="str">
        <f>VLOOKUP(A403,policy!B:C,2,0)</f>
        <v>070000178296</v>
      </c>
      <c r="C403" s="4">
        <v>5400</v>
      </c>
      <c r="D403" s="8">
        <f t="shared" si="25"/>
        <v>5400</v>
      </c>
      <c r="E403" s="12" t="s">
        <v>821</v>
      </c>
      <c r="F403" s="9" t="str">
        <f t="shared" si="24"/>
        <v>insert into ins_premium_det (premium_rcv_code,assorted_code, rec_amount,premium_rcv_detail_code,remaining_amt, payrec, mode_code,coinsurance_code,class_cd,it_remarks) values</v>
      </c>
      <c r="G403" s="10" t="str">
        <f t="shared" si="26"/>
        <v>('12Mar250017','070000178296','5400',(select max(to_number(i.premium_rcv_detail_code))+1
from ins_premium_det i),'5400','5400','02', '11000003','00','Request by Mr. Saqib Saleem 12-Mar-2025');</v>
      </c>
      <c r="H403" s="11" t="str">
        <f t="shared" si="27"/>
        <v>insert into ins_premium_det (premium_rcv_code,assorted_code, rec_amount,premium_rcv_detail_code,remaining_amt, payrec, mode_code,coinsurance_code,class_cd,it_remarks) values('12Mar250017','070000178296','5400',(select max(to_number(i.premium_rcv_detail_code))+1
from ins_premium_det i),'5400','5400','02', '11000003','00','Request by Mr. Saqib Saleem 12-Mar-2025');</v>
      </c>
    </row>
    <row r="404" spans="1:8" ht="105" x14ac:dyDescent="0.25">
      <c r="A404" s="1" t="s">
        <v>716</v>
      </c>
      <c r="B404" s="1" t="str">
        <f>VLOOKUP(A404,policy!B:C,2,0)</f>
        <v>070000178297</v>
      </c>
      <c r="C404" s="4">
        <v>2400</v>
      </c>
      <c r="D404" s="8">
        <f t="shared" si="25"/>
        <v>2400</v>
      </c>
      <c r="E404" s="12" t="s">
        <v>821</v>
      </c>
      <c r="F404" s="9" t="str">
        <f t="shared" si="24"/>
        <v>insert into ins_premium_det (premium_rcv_code,assorted_code, rec_amount,premium_rcv_detail_code,remaining_amt, payrec, mode_code,coinsurance_code,class_cd,it_remarks) values</v>
      </c>
      <c r="G404" s="10" t="str">
        <f t="shared" si="26"/>
        <v>('12Mar250017','070000178297','2400',(select max(to_number(i.premium_rcv_detail_code))+1
from ins_premium_det i),'2400','2400','02', '11000003','00','Request by Mr. Saqib Saleem 12-Mar-2025');</v>
      </c>
      <c r="H404" s="11" t="str">
        <f t="shared" si="27"/>
        <v>insert into ins_premium_det (premium_rcv_code,assorted_code, rec_amount,premium_rcv_detail_code,remaining_amt, payrec, mode_code,coinsurance_code,class_cd,it_remarks) values('12Mar250017','070000178297','2400',(select max(to_number(i.premium_rcv_detail_code))+1
from ins_premium_det i),'2400','2400','02', '11000003','00','Request by Mr. Saqib Saleem 12-Mar-2025');</v>
      </c>
    </row>
    <row r="405" spans="1:8" ht="105" x14ac:dyDescent="0.25">
      <c r="A405" s="1" t="s">
        <v>717</v>
      </c>
      <c r="B405" s="1" t="str">
        <f>VLOOKUP(A405,policy!B:C,2,0)</f>
        <v>070000178298</v>
      </c>
      <c r="C405" s="4">
        <v>3300</v>
      </c>
      <c r="D405" s="8">
        <f t="shared" si="25"/>
        <v>3300</v>
      </c>
      <c r="E405" s="12" t="s">
        <v>821</v>
      </c>
      <c r="F405" s="9" t="str">
        <f t="shared" si="24"/>
        <v>insert into ins_premium_det (premium_rcv_code,assorted_code, rec_amount,premium_rcv_detail_code,remaining_amt, payrec, mode_code,coinsurance_code,class_cd,it_remarks) values</v>
      </c>
      <c r="G405" s="10" t="str">
        <f t="shared" si="26"/>
        <v>('12Mar250017','070000178298','3300',(select max(to_number(i.premium_rcv_detail_code))+1
from ins_premium_det i),'3300','3300','02', '11000003','00','Request by Mr. Saqib Saleem 12-Mar-2025');</v>
      </c>
      <c r="H405" s="11" t="str">
        <f t="shared" si="27"/>
        <v>insert into ins_premium_det (premium_rcv_code,assorted_code, rec_amount,premium_rcv_detail_code,remaining_amt, payrec, mode_code,coinsurance_code,class_cd,it_remarks) values('12Mar250017','070000178298','3300',(select max(to_number(i.premium_rcv_detail_code))+1
from ins_premium_det i),'3300','3300','02', '11000003','00','Request by Mr. Saqib Saleem 12-Mar-2025');</v>
      </c>
    </row>
    <row r="406" spans="1:8" ht="105" x14ac:dyDescent="0.25">
      <c r="A406" s="1" t="s">
        <v>718</v>
      </c>
      <c r="B406" s="1" t="str">
        <f>VLOOKUP(A406,policy!B:C,2,0)</f>
        <v>070000178299</v>
      </c>
      <c r="C406" s="4">
        <v>6450</v>
      </c>
      <c r="D406" s="8">
        <f t="shared" si="25"/>
        <v>6450</v>
      </c>
      <c r="E406" s="12" t="s">
        <v>821</v>
      </c>
      <c r="F406" s="9" t="str">
        <f t="shared" si="24"/>
        <v>insert into ins_premium_det (premium_rcv_code,assorted_code, rec_amount,premium_rcv_detail_code,remaining_amt, payrec, mode_code,coinsurance_code,class_cd,it_remarks) values</v>
      </c>
      <c r="G406" s="10" t="str">
        <f t="shared" si="26"/>
        <v>('12Mar250017','070000178299','6450',(select max(to_number(i.premium_rcv_detail_code))+1
from ins_premium_det i),'6450','6450','02', '11000003','00','Request by Mr. Saqib Saleem 12-Mar-2025');</v>
      </c>
      <c r="H406" s="11" t="str">
        <f t="shared" si="27"/>
        <v>insert into ins_premium_det (premium_rcv_code,assorted_code, rec_amount,premium_rcv_detail_code,remaining_amt, payrec, mode_code,coinsurance_code,class_cd,it_remarks) values('12Mar250017','070000178299','6450',(select max(to_number(i.premium_rcv_detail_code))+1
from ins_premium_det i),'6450','6450','02', '11000003','00','Request by Mr. Saqib Saleem 12-Mar-2025');</v>
      </c>
    </row>
    <row r="407" spans="1:8" ht="105" x14ac:dyDescent="0.25">
      <c r="A407" s="1" t="s">
        <v>719</v>
      </c>
      <c r="B407" s="1" t="str">
        <f>VLOOKUP(A407,policy!B:C,2,0)</f>
        <v>070000178300</v>
      </c>
      <c r="C407" s="4">
        <v>3450</v>
      </c>
      <c r="D407" s="8">
        <f t="shared" si="25"/>
        <v>3450</v>
      </c>
      <c r="E407" s="12" t="s">
        <v>821</v>
      </c>
      <c r="F407" s="9" t="str">
        <f t="shared" si="24"/>
        <v>insert into ins_premium_det (premium_rcv_code,assorted_code, rec_amount,premium_rcv_detail_code,remaining_amt, payrec, mode_code,coinsurance_code,class_cd,it_remarks) values</v>
      </c>
      <c r="G407" s="10" t="str">
        <f t="shared" si="26"/>
        <v>('12Mar250017','070000178300','3450',(select max(to_number(i.premium_rcv_detail_code))+1
from ins_premium_det i),'3450','3450','02', '11000003','00','Request by Mr. Saqib Saleem 12-Mar-2025');</v>
      </c>
      <c r="H407" s="11" t="str">
        <f t="shared" si="27"/>
        <v>insert into ins_premium_det (premium_rcv_code,assorted_code, rec_amount,premium_rcv_detail_code,remaining_amt, payrec, mode_code,coinsurance_code,class_cd,it_remarks) values('12Mar250017','070000178300','3450',(select max(to_number(i.premium_rcv_detail_code))+1
from ins_premium_det i),'3450','3450','02', '11000003','00','Request by Mr. Saqib Saleem 12-Mar-2025');</v>
      </c>
    </row>
    <row r="408" spans="1:8" ht="105" x14ac:dyDescent="0.25">
      <c r="A408" s="1" t="s">
        <v>720</v>
      </c>
      <c r="B408" s="1" t="str">
        <f>VLOOKUP(A408,policy!B:C,2,0)</f>
        <v>070000178301</v>
      </c>
      <c r="C408" s="4">
        <v>1649</v>
      </c>
      <c r="D408" s="8">
        <f t="shared" si="25"/>
        <v>1649</v>
      </c>
      <c r="E408" s="12" t="s">
        <v>821</v>
      </c>
      <c r="F408" s="9" t="str">
        <f t="shared" si="24"/>
        <v>insert into ins_premium_det (premium_rcv_code,assorted_code, rec_amount,premium_rcv_detail_code,remaining_amt, payrec, mode_code,coinsurance_code,class_cd,it_remarks) values</v>
      </c>
      <c r="G408" s="10" t="str">
        <f t="shared" si="26"/>
        <v>('12Mar250017','070000178301','1649',(select max(to_number(i.premium_rcv_detail_code))+1
from ins_premium_det i),'1649','1649','02', '11000003','00','Request by Mr. Saqib Saleem 12-Mar-2025');</v>
      </c>
      <c r="H408" s="11" t="str">
        <f t="shared" si="27"/>
        <v>insert into ins_premium_det (premium_rcv_code,assorted_code, rec_amount,premium_rcv_detail_code,remaining_amt, payrec, mode_code,coinsurance_code,class_cd,it_remarks) values('12Mar250017','070000178301','1649',(select max(to_number(i.premium_rcv_detail_code))+1
from ins_premium_det i),'1649','1649','02', '11000003','00','Request by Mr. Saqib Saleem 12-Mar-2025');</v>
      </c>
    </row>
    <row r="409" spans="1:8" ht="105" x14ac:dyDescent="0.25">
      <c r="A409" s="1" t="s">
        <v>721</v>
      </c>
      <c r="B409" s="1" t="str">
        <f>VLOOKUP(A409,policy!B:C,2,0)</f>
        <v>070000178302</v>
      </c>
      <c r="C409" s="4">
        <v>7800</v>
      </c>
      <c r="D409" s="8">
        <f t="shared" si="25"/>
        <v>7800</v>
      </c>
      <c r="E409" s="12" t="s">
        <v>821</v>
      </c>
      <c r="F409" s="9" t="str">
        <f t="shared" si="24"/>
        <v>insert into ins_premium_det (premium_rcv_code,assorted_code, rec_amount,premium_rcv_detail_code,remaining_amt, payrec, mode_code,coinsurance_code,class_cd,it_remarks) values</v>
      </c>
      <c r="G409" s="10" t="str">
        <f t="shared" si="26"/>
        <v>('12Mar250017','070000178302','7800',(select max(to_number(i.premium_rcv_detail_code))+1
from ins_premium_det i),'7800','7800','02', '11000003','00','Request by Mr. Saqib Saleem 12-Mar-2025');</v>
      </c>
      <c r="H409" s="11" t="str">
        <f t="shared" si="27"/>
        <v>insert into ins_premium_det (premium_rcv_code,assorted_code, rec_amount,premium_rcv_detail_code,remaining_amt, payrec, mode_code,coinsurance_code,class_cd,it_remarks) values('12Mar250017','070000178302','7800',(select max(to_number(i.premium_rcv_detail_code))+1
from ins_premium_det i),'7800','7800','02', '11000003','00','Request by Mr. Saqib Saleem 12-Mar-2025');</v>
      </c>
    </row>
    <row r="410" spans="1:8" ht="105" x14ac:dyDescent="0.25">
      <c r="A410" s="1" t="s">
        <v>722</v>
      </c>
      <c r="B410" s="1" t="str">
        <f>VLOOKUP(A410,policy!B:C,2,0)</f>
        <v>070000178303</v>
      </c>
      <c r="C410" s="4">
        <v>5700</v>
      </c>
      <c r="D410" s="8">
        <f t="shared" si="25"/>
        <v>5700</v>
      </c>
      <c r="E410" s="12" t="s">
        <v>821</v>
      </c>
      <c r="F410" s="9" t="str">
        <f t="shared" si="24"/>
        <v>insert into ins_premium_det (premium_rcv_code,assorted_code, rec_amount,premium_rcv_detail_code,remaining_amt, payrec, mode_code,coinsurance_code,class_cd,it_remarks) values</v>
      </c>
      <c r="G410" s="10" t="str">
        <f t="shared" si="26"/>
        <v>('12Mar250017','070000178303','5700',(select max(to_number(i.premium_rcv_detail_code))+1
from ins_premium_det i),'5700','5700','02', '11000003','00','Request by Mr. Saqib Saleem 12-Mar-2025');</v>
      </c>
      <c r="H410" s="11" t="str">
        <f t="shared" si="27"/>
        <v>insert into ins_premium_det (premium_rcv_code,assorted_code, rec_amount,premium_rcv_detail_code,remaining_amt, payrec, mode_code,coinsurance_code,class_cd,it_remarks) values('12Mar250017','070000178303','5700',(select max(to_number(i.premium_rcv_detail_code))+1
from ins_premium_det i),'5700','5700','02', '11000003','00','Request by Mr. Saqib Saleem 12-Mar-2025');</v>
      </c>
    </row>
    <row r="411" spans="1:8" ht="105" x14ac:dyDescent="0.25">
      <c r="A411" s="1" t="s">
        <v>723</v>
      </c>
      <c r="B411" s="1" t="str">
        <f>VLOOKUP(A411,policy!B:C,2,0)</f>
        <v>070000178304</v>
      </c>
      <c r="C411" s="4">
        <v>4950</v>
      </c>
      <c r="D411" s="8">
        <f t="shared" si="25"/>
        <v>4950</v>
      </c>
      <c r="E411" s="12" t="s">
        <v>821</v>
      </c>
      <c r="F411" s="9" t="str">
        <f t="shared" si="24"/>
        <v>insert into ins_premium_det (premium_rcv_code,assorted_code, rec_amount,premium_rcv_detail_code,remaining_amt, payrec, mode_code,coinsurance_code,class_cd,it_remarks) values</v>
      </c>
      <c r="G411" s="10" t="str">
        <f t="shared" si="26"/>
        <v>('12Mar250017','070000178304','4950',(select max(to_number(i.premium_rcv_detail_code))+1
from ins_premium_det i),'4950','4950','02', '11000003','00','Request by Mr. Saqib Saleem 12-Mar-2025');</v>
      </c>
      <c r="H411" s="11" t="str">
        <f t="shared" si="27"/>
        <v>insert into ins_premium_det (premium_rcv_code,assorted_code, rec_amount,premium_rcv_detail_code,remaining_amt, payrec, mode_code,coinsurance_code,class_cd,it_remarks) values('12Mar250017','070000178304','4950',(select max(to_number(i.premium_rcv_detail_code))+1
from ins_premium_det i),'4950','4950','02', '11000003','00','Request by Mr. Saqib Saleem 12-Mar-2025');</v>
      </c>
    </row>
    <row r="412" spans="1:8" ht="105" x14ac:dyDescent="0.25">
      <c r="A412" s="1" t="s">
        <v>724</v>
      </c>
      <c r="B412" s="1" t="str">
        <f>VLOOKUP(A412,policy!B:C,2,0)</f>
        <v>070000178305</v>
      </c>
      <c r="C412" s="4">
        <v>3450</v>
      </c>
      <c r="D412" s="8">
        <f t="shared" si="25"/>
        <v>3450</v>
      </c>
      <c r="E412" s="12" t="s">
        <v>821</v>
      </c>
      <c r="F412" s="9" t="str">
        <f t="shared" si="24"/>
        <v>insert into ins_premium_det (premium_rcv_code,assorted_code, rec_amount,premium_rcv_detail_code,remaining_amt, payrec, mode_code,coinsurance_code,class_cd,it_remarks) values</v>
      </c>
      <c r="G412" s="10" t="str">
        <f t="shared" si="26"/>
        <v>('12Mar250017','070000178305','3450',(select max(to_number(i.premium_rcv_detail_code))+1
from ins_premium_det i),'3450','3450','02', '11000003','00','Request by Mr. Saqib Saleem 12-Mar-2025');</v>
      </c>
      <c r="H412" s="11" t="str">
        <f t="shared" si="27"/>
        <v>insert into ins_premium_det (premium_rcv_code,assorted_code, rec_amount,premium_rcv_detail_code,remaining_amt, payrec, mode_code,coinsurance_code,class_cd,it_remarks) values('12Mar250017','070000178305','3450',(select max(to_number(i.premium_rcv_detail_code))+1
from ins_premium_det i),'3450','3450','02', '11000003','00','Request by Mr. Saqib Saleem 12-Mar-2025');</v>
      </c>
    </row>
    <row r="413" spans="1:8" ht="105" x14ac:dyDescent="0.25">
      <c r="A413" s="1" t="s">
        <v>725</v>
      </c>
      <c r="B413" s="1" t="str">
        <f>VLOOKUP(A413,policy!B:C,2,0)</f>
        <v>070000178306</v>
      </c>
      <c r="C413" s="4">
        <v>6000</v>
      </c>
      <c r="D413" s="8">
        <f t="shared" si="25"/>
        <v>6000</v>
      </c>
      <c r="E413" s="12" t="s">
        <v>821</v>
      </c>
      <c r="F413" s="9" t="str">
        <f t="shared" si="24"/>
        <v>insert into ins_premium_det (premium_rcv_code,assorted_code, rec_amount,premium_rcv_detail_code,remaining_amt, payrec, mode_code,coinsurance_code,class_cd,it_remarks) values</v>
      </c>
      <c r="G413" s="10" t="str">
        <f t="shared" si="26"/>
        <v>('12Mar250017','070000178306','6000',(select max(to_number(i.premium_rcv_detail_code))+1
from ins_premium_det i),'6000','6000','02', '11000003','00','Request by Mr. Saqib Saleem 12-Mar-2025');</v>
      </c>
      <c r="H413" s="11" t="str">
        <f t="shared" si="27"/>
        <v>insert into ins_premium_det (premium_rcv_code,assorted_code, rec_amount,premium_rcv_detail_code,remaining_amt, payrec, mode_code,coinsurance_code,class_cd,it_remarks) values('12Mar250017','070000178306','6000',(select max(to_number(i.premium_rcv_detail_code))+1
from ins_premium_det i),'6000','6000','02', '11000003','00','Request by Mr. Saqib Saleem 12-Mar-2025');</v>
      </c>
    </row>
    <row r="414" spans="1:8" ht="105" x14ac:dyDescent="0.25">
      <c r="A414" s="1" t="s">
        <v>726</v>
      </c>
      <c r="B414" s="1" t="str">
        <f>VLOOKUP(A414,policy!B:C,2,0)</f>
        <v>070000178307</v>
      </c>
      <c r="C414" s="4">
        <v>2250</v>
      </c>
      <c r="D414" s="8">
        <f t="shared" si="25"/>
        <v>2250</v>
      </c>
      <c r="E414" s="12" t="s">
        <v>821</v>
      </c>
      <c r="F414" s="9" t="str">
        <f t="shared" si="24"/>
        <v>insert into ins_premium_det (premium_rcv_code,assorted_code, rec_amount,premium_rcv_detail_code,remaining_amt, payrec, mode_code,coinsurance_code,class_cd,it_remarks) values</v>
      </c>
      <c r="G414" s="10" t="str">
        <f t="shared" si="26"/>
        <v>('12Mar250017','070000178307','2250',(select max(to_number(i.premium_rcv_detail_code))+1
from ins_premium_det i),'2250','2250','02', '11000003','00','Request by Mr. Saqib Saleem 12-Mar-2025');</v>
      </c>
      <c r="H414" s="11" t="str">
        <f t="shared" si="27"/>
        <v>insert into ins_premium_det (premium_rcv_code,assorted_code, rec_amount,premium_rcv_detail_code,remaining_amt, payrec, mode_code,coinsurance_code,class_cd,it_remarks) values('12Mar250017','070000178307','2250',(select max(to_number(i.premium_rcv_detail_code))+1
from ins_premium_det i),'2250','2250','02', '11000003','00','Request by Mr. Saqib Saleem 12-Mar-2025');</v>
      </c>
    </row>
    <row r="415" spans="1:8" ht="105" x14ac:dyDescent="0.25">
      <c r="A415" s="1" t="s">
        <v>727</v>
      </c>
      <c r="B415" s="1" t="str">
        <f>VLOOKUP(A415,policy!B:C,2,0)</f>
        <v>070000178308</v>
      </c>
      <c r="C415" s="4">
        <v>1649</v>
      </c>
      <c r="D415" s="8">
        <f t="shared" si="25"/>
        <v>1649</v>
      </c>
      <c r="E415" s="12" t="s">
        <v>821</v>
      </c>
      <c r="F415" s="9" t="str">
        <f t="shared" si="24"/>
        <v>insert into ins_premium_det (premium_rcv_code,assorted_code, rec_amount,premium_rcv_detail_code,remaining_amt, payrec, mode_code,coinsurance_code,class_cd,it_remarks) values</v>
      </c>
      <c r="G415" s="10" t="str">
        <f t="shared" si="26"/>
        <v>('12Mar250017','070000178308','1649',(select max(to_number(i.premium_rcv_detail_code))+1
from ins_premium_det i),'1649','1649','02', '11000003','00','Request by Mr. Saqib Saleem 12-Mar-2025');</v>
      </c>
      <c r="H415" s="11" t="str">
        <f t="shared" si="27"/>
        <v>insert into ins_premium_det (premium_rcv_code,assorted_code, rec_amount,premium_rcv_detail_code,remaining_amt, payrec, mode_code,coinsurance_code,class_cd,it_remarks) values('12Mar250017','070000178308','1649',(select max(to_number(i.premium_rcv_detail_code))+1
from ins_premium_det i),'1649','1649','02', '11000003','00','Request by Mr. Saqib Saleem 12-Mar-2025');</v>
      </c>
    </row>
    <row r="416" spans="1:8" ht="105" x14ac:dyDescent="0.25">
      <c r="A416" s="1" t="s">
        <v>728</v>
      </c>
      <c r="B416" s="1" t="str">
        <f>VLOOKUP(A416,policy!B:C,2,0)</f>
        <v>070000178309</v>
      </c>
      <c r="C416" s="4">
        <v>3300</v>
      </c>
      <c r="D416" s="8">
        <f t="shared" si="25"/>
        <v>3300</v>
      </c>
      <c r="E416" s="12" t="s">
        <v>821</v>
      </c>
      <c r="F416" s="9" t="str">
        <f t="shared" si="24"/>
        <v>insert into ins_premium_det (premium_rcv_code,assorted_code, rec_amount,premium_rcv_detail_code,remaining_amt, payrec, mode_code,coinsurance_code,class_cd,it_remarks) values</v>
      </c>
      <c r="G416" s="10" t="str">
        <f t="shared" si="26"/>
        <v>('12Mar250017','070000178309','3300',(select max(to_number(i.premium_rcv_detail_code))+1
from ins_premium_det i),'3300','3300','02', '11000003','00','Request by Mr. Saqib Saleem 12-Mar-2025');</v>
      </c>
      <c r="H416" s="11" t="str">
        <f t="shared" si="27"/>
        <v>insert into ins_premium_det (premium_rcv_code,assorted_code, rec_amount,premium_rcv_detail_code,remaining_amt, payrec, mode_code,coinsurance_code,class_cd,it_remarks) values('12Mar250017','070000178309','3300',(select max(to_number(i.premium_rcv_detail_code))+1
from ins_premium_det i),'3300','3300','02', '11000003','00','Request by Mr. Saqib Saleem 12-Mar-2025');</v>
      </c>
    </row>
    <row r="417" spans="1:8" ht="105" x14ac:dyDescent="0.25">
      <c r="A417" s="1" t="s">
        <v>729</v>
      </c>
      <c r="B417" s="1" t="str">
        <f>VLOOKUP(A417,policy!B:C,2,0)</f>
        <v>070000178310</v>
      </c>
      <c r="C417" s="4">
        <v>3599</v>
      </c>
      <c r="D417" s="8">
        <f t="shared" si="25"/>
        <v>3599</v>
      </c>
      <c r="E417" s="12" t="s">
        <v>821</v>
      </c>
      <c r="F417" s="9" t="str">
        <f t="shared" si="24"/>
        <v>insert into ins_premium_det (premium_rcv_code,assorted_code, rec_amount,premium_rcv_detail_code,remaining_amt, payrec, mode_code,coinsurance_code,class_cd,it_remarks) values</v>
      </c>
      <c r="G417" s="10" t="str">
        <f t="shared" si="26"/>
        <v>('12Mar250017','070000178310','3599',(select max(to_number(i.premium_rcv_detail_code))+1
from ins_premium_det i),'3599','3599','02', '11000003','00','Request by Mr. Saqib Saleem 12-Mar-2025');</v>
      </c>
      <c r="H417" s="11" t="str">
        <f t="shared" si="27"/>
        <v>insert into ins_premium_det (premium_rcv_code,assorted_code, rec_amount,premium_rcv_detail_code,remaining_amt, payrec, mode_code,coinsurance_code,class_cd,it_remarks) values('12Mar250017','070000178310','3599',(select max(to_number(i.premium_rcv_detail_code))+1
from ins_premium_det i),'3599','3599','02', '11000003','00','Request by Mr. Saqib Saleem 12-Mar-2025');</v>
      </c>
    </row>
    <row r="418" spans="1:8" ht="105" x14ac:dyDescent="0.25">
      <c r="A418" s="1" t="s">
        <v>730</v>
      </c>
      <c r="B418" s="1" t="str">
        <f>VLOOKUP(A418,policy!B:C,2,0)</f>
        <v>070000178311</v>
      </c>
      <c r="C418" s="4">
        <v>3900</v>
      </c>
      <c r="D418" s="8">
        <f t="shared" si="25"/>
        <v>3900</v>
      </c>
      <c r="E418" s="12" t="s">
        <v>821</v>
      </c>
      <c r="F418" s="9" t="str">
        <f t="shared" si="24"/>
        <v>insert into ins_premium_det (premium_rcv_code,assorted_code, rec_amount,premium_rcv_detail_code,remaining_amt, payrec, mode_code,coinsurance_code,class_cd,it_remarks) values</v>
      </c>
      <c r="G418" s="10" t="str">
        <f t="shared" si="26"/>
        <v>('12Mar250017','070000178311','3900',(select max(to_number(i.premium_rcv_detail_code))+1
from ins_premium_det i),'3900','3900','02', '11000003','00','Request by Mr. Saqib Saleem 12-Mar-2025');</v>
      </c>
      <c r="H418" s="11" t="str">
        <f t="shared" si="27"/>
        <v>insert into ins_premium_det (premium_rcv_code,assorted_code, rec_amount,premium_rcv_detail_code,remaining_amt, payrec, mode_code,coinsurance_code,class_cd,it_remarks) values('12Mar250017','070000178311','3900',(select max(to_number(i.premium_rcv_detail_code))+1
from ins_premium_det i),'3900','3900','02', '11000003','00','Request by Mr. Saqib Saleem 12-Mar-2025');</v>
      </c>
    </row>
    <row r="419" spans="1:8" ht="105" x14ac:dyDescent="0.25">
      <c r="A419" s="1" t="s">
        <v>731</v>
      </c>
      <c r="B419" s="1" t="str">
        <f>VLOOKUP(A419,policy!B:C,2,0)</f>
        <v>070000178312</v>
      </c>
      <c r="C419" s="4">
        <v>3599</v>
      </c>
      <c r="D419" s="8">
        <f t="shared" si="25"/>
        <v>3599</v>
      </c>
      <c r="E419" s="12" t="s">
        <v>821</v>
      </c>
      <c r="F419" s="9" t="str">
        <f t="shared" si="24"/>
        <v>insert into ins_premium_det (premium_rcv_code,assorted_code, rec_amount,premium_rcv_detail_code,remaining_amt, payrec, mode_code,coinsurance_code,class_cd,it_remarks) values</v>
      </c>
      <c r="G419" s="10" t="str">
        <f t="shared" si="26"/>
        <v>('12Mar250017','070000178312','3599',(select max(to_number(i.premium_rcv_detail_code))+1
from ins_premium_det i),'3599','3599','02', '11000003','00','Request by Mr. Saqib Saleem 12-Mar-2025');</v>
      </c>
      <c r="H419" s="11" t="str">
        <f t="shared" si="27"/>
        <v>insert into ins_premium_det (premium_rcv_code,assorted_code, rec_amount,premium_rcv_detail_code,remaining_amt, payrec, mode_code,coinsurance_code,class_cd,it_remarks) values('12Mar250017','070000178312','3599',(select max(to_number(i.premium_rcv_detail_code))+1
from ins_premium_det i),'3599','3599','02', '11000003','00','Request by Mr. Saqib Saleem 12-Mar-2025');</v>
      </c>
    </row>
    <row r="420" spans="1:8" ht="105" x14ac:dyDescent="0.25">
      <c r="A420" s="1" t="s">
        <v>732</v>
      </c>
      <c r="B420" s="1" t="str">
        <f>VLOOKUP(A420,policy!B:C,2,0)</f>
        <v>070000178313</v>
      </c>
      <c r="C420" s="4">
        <v>4500</v>
      </c>
      <c r="D420" s="8">
        <f t="shared" si="25"/>
        <v>4500</v>
      </c>
      <c r="E420" s="12" t="s">
        <v>821</v>
      </c>
      <c r="F420" s="9" t="str">
        <f t="shared" si="24"/>
        <v>insert into ins_premium_det (premium_rcv_code,assorted_code, rec_amount,premium_rcv_detail_code,remaining_amt, payrec, mode_code,coinsurance_code,class_cd,it_remarks) values</v>
      </c>
      <c r="G420" s="10" t="str">
        <f t="shared" si="26"/>
        <v>('12Mar250017','070000178313','4500',(select max(to_number(i.premium_rcv_detail_code))+1
from ins_premium_det i),'4500','4500','02', '11000003','00','Request by Mr. Saqib Saleem 12-Mar-2025');</v>
      </c>
      <c r="H420" s="11" t="str">
        <f t="shared" si="27"/>
        <v>insert into ins_premium_det (premium_rcv_code,assorted_code, rec_amount,premium_rcv_detail_code,remaining_amt, payrec, mode_code,coinsurance_code,class_cd,it_remarks) values('12Mar250017','070000178313','4500',(select max(to_number(i.premium_rcv_detail_code))+1
from ins_premium_det i),'4500','4500','02', '11000003','00','Request by Mr. Saqib Saleem 12-Mar-2025');</v>
      </c>
    </row>
    <row r="421" spans="1:8" ht="105" x14ac:dyDescent="0.25">
      <c r="A421" s="1" t="s">
        <v>733</v>
      </c>
      <c r="B421" s="1" t="str">
        <f>VLOOKUP(A421,policy!B:C,2,0)</f>
        <v>070000178314</v>
      </c>
      <c r="C421" s="4">
        <v>3450</v>
      </c>
      <c r="D421" s="8">
        <f t="shared" si="25"/>
        <v>3450</v>
      </c>
      <c r="E421" s="12" t="s">
        <v>821</v>
      </c>
      <c r="F421" s="9" t="str">
        <f t="shared" si="24"/>
        <v>insert into ins_premium_det (premium_rcv_code,assorted_code, rec_amount,premium_rcv_detail_code,remaining_amt, payrec, mode_code,coinsurance_code,class_cd,it_remarks) values</v>
      </c>
      <c r="G421" s="10" t="str">
        <f t="shared" si="26"/>
        <v>('12Mar250017','070000178314','3450',(select max(to_number(i.premium_rcv_detail_code))+1
from ins_premium_det i),'3450','3450','02', '11000003','00','Request by Mr. Saqib Saleem 12-Mar-2025');</v>
      </c>
      <c r="H421" s="11" t="str">
        <f t="shared" si="27"/>
        <v>insert into ins_premium_det (premium_rcv_code,assorted_code, rec_amount,premium_rcv_detail_code,remaining_amt, payrec, mode_code,coinsurance_code,class_cd,it_remarks) values('12Mar250017','070000178314','3450',(select max(to_number(i.premium_rcv_detail_code))+1
from ins_premium_det i),'3450','3450','02', '11000003','00','Request by Mr. Saqib Saleem 12-Mar-2025');</v>
      </c>
    </row>
    <row r="422" spans="1:8" ht="105" x14ac:dyDescent="0.25">
      <c r="A422" s="1" t="s">
        <v>734</v>
      </c>
      <c r="B422" s="1" t="str">
        <f>VLOOKUP(A422,policy!B:C,2,0)</f>
        <v>070000178315</v>
      </c>
      <c r="C422" s="4">
        <v>5250</v>
      </c>
      <c r="D422" s="8">
        <f t="shared" si="25"/>
        <v>5250</v>
      </c>
      <c r="E422" s="12" t="s">
        <v>821</v>
      </c>
      <c r="F422" s="9" t="str">
        <f t="shared" si="24"/>
        <v>insert into ins_premium_det (premium_rcv_code,assorted_code, rec_amount,premium_rcv_detail_code,remaining_amt, payrec, mode_code,coinsurance_code,class_cd,it_remarks) values</v>
      </c>
      <c r="G422" s="10" t="str">
        <f t="shared" si="26"/>
        <v>('12Mar250017','070000178315','5250',(select max(to_number(i.premium_rcv_detail_code))+1
from ins_premium_det i),'5250','5250','02', '11000003','00','Request by Mr. Saqib Saleem 12-Mar-2025');</v>
      </c>
      <c r="H422" s="11" t="str">
        <f t="shared" si="27"/>
        <v>insert into ins_premium_det (premium_rcv_code,assorted_code, rec_amount,premium_rcv_detail_code,remaining_amt, payrec, mode_code,coinsurance_code,class_cd,it_remarks) values('12Mar250017','070000178315','5250',(select max(to_number(i.premium_rcv_detail_code))+1
from ins_premium_det i),'5250','5250','02', '11000003','00','Request by Mr. Saqib Saleem 12-Mar-2025');</v>
      </c>
    </row>
    <row r="423" spans="1:8" ht="105" x14ac:dyDescent="0.25">
      <c r="A423" s="1" t="s">
        <v>735</v>
      </c>
      <c r="B423" s="1" t="str">
        <f>VLOOKUP(A423,policy!B:C,2,0)</f>
        <v>070000178316</v>
      </c>
      <c r="C423" s="4">
        <v>3300</v>
      </c>
      <c r="D423" s="8">
        <f t="shared" si="25"/>
        <v>3300</v>
      </c>
      <c r="E423" s="12" t="s">
        <v>821</v>
      </c>
      <c r="F423" s="9" t="str">
        <f t="shared" si="24"/>
        <v>insert into ins_premium_det (premium_rcv_code,assorted_code, rec_amount,premium_rcv_detail_code,remaining_amt, payrec, mode_code,coinsurance_code,class_cd,it_remarks) values</v>
      </c>
      <c r="G423" s="10" t="str">
        <f t="shared" si="26"/>
        <v>('12Mar250017','070000178316','3300',(select max(to_number(i.premium_rcv_detail_code))+1
from ins_premium_det i),'3300','3300','02', '11000003','00','Request by Mr. Saqib Saleem 12-Mar-2025');</v>
      </c>
      <c r="H423" s="11" t="str">
        <f t="shared" si="27"/>
        <v>insert into ins_premium_det (premium_rcv_code,assorted_code, rec_amount,premium_rcv_detail_code,remaining_amt, payrec, mode_code,coinsurance_code,class_cd,it_remarks) values('12Mar250017','070000178316','3300',(select max(to_number(i.premium_rcv_detail_code))+1
from ins_premium_det i),'3300','3300','02', '11000003','00','Request by Mr. Saqib Saleem 12-Mar-2025');</v>
      </c>
    </row>
    <row r="424" spans="1:8" ht="105" x14ac:dyDescent="0.25">
      <c r="A424" s="1" t="s">
        <v>736</v>
      </c>
      <c r="B424" s="1" t="str">
        <f>VLOOKUP(A424,policy!B:C,2,0)</f>
        <v>070000178317</v>
      </c>
      <c r="C424" s="4">
        <v>4500</v>
      </c>
      <c r="D424" s="8">
        <f t="shared" si="25"/>
        <v>4500</v>
      </c>
      <c r="E424" s="12" t="s">
        <v>821</v>
      </c>
      <c r="F424" s="9" t="str">
        <f t="shared" si="24"/>
        <v>insert into ins_premium_det (premium_rcv_code,assorted_code, rec_amount,premium_rcv_detail_code,remaining_amt, payrec, mode_code,coinsurance_code,class_cd,it_remarks) values</v>
      </c>
      <c r="G424" s="10" t="str">
        <f t="shared" si="26"/>
        <v>('12Mar250017','070000178317','4500',(select max(to_number(i.premium_rcv_detail_code))+1
from ins_premium_det i),'4500','4500','02', '11000003','00','Request by Mr. Saqib Saleem 12-Mar-2025');</v>
      </c>
      <c r="H424" s="11" t="str">
        <f t="shared" si="27"/>
        <v>insert into ins_premium_det (premium_rcv_code,assorted_code, rec_amount,premium_rcv_detail_code,remaining_amt, payrec, mode_code,coinsurance_code,class_cd,it_remarks) values('12Mar250017','070000178317','4500',(select max(to_number(i.premium_rcv_detail_code))+1
from ins_premium_det i),'4500','4500','02', '11000003','00','Request by Mr. Saqib Saleem 12-Mar-2025');</v>
      </c>
    </row>
    <row r="425" spans="1:8" ht="105" x14ac:dyDescent="0.25">
      <c r="A425" s="1" t="s">
        <v>737</v>
      </c>
      <c r="B425" s="1" t="str">
        <f>VLOOKUP(A425,policy!B:C,2,0)</f>
        <v>070000178318</v>
      </c>
      <c r="C425" s="4">
        <v>3000</v>
      </c>
      <c r="D425" s="8">
        <f t="shared" si="25"/>
        <v>3000</v>
      </c>
      <c r="E425" s="12" t="s">
        <v>821</v>
      </c>
      <c r="F425" s="9" t="str">
        <f t="shared" si="24"/>
        <v>insert into ins_premium_det (premium_rcv_code,assorted_code, rec_amount,premium_rcv_detail_code,remaining_amt, payrec, mode_code,coinsurance_code,class_cd,it_remarks) values</v>
      </c>
      <c r="G425" s="10" t="str">
        <f t="shared" si="26"/>
        <v>('12Mar250017','070000178318','3000',(select max(to_number(i.premium_rcv_detail_code))+1
from ins_premium_det i),'3000','3000','02', '11000003','00','Request by Mr. Saqib Saleem 12-Mar-2025');</v>
      </c>
      <c r="H425" s="11" t="str">
        <f t="shared" si="27"/>
        <v>insert into ins_premium_det (premium_rcv_code,assorted_code, rec_amount,premium_rcv_detail_code,remaining_amt, payrec, mode_code,coinsurance_code,class_cd,it_remarks) values('12Mar250017','070000178318','3000',(select max(to_number(i.premium_rcv_detail_code))+1
from ins_premium_det i),'3000','3000','02', '11000003','00','Request by Mr. Saqib Saleem 12-Mar-2025');</v>
      </c>
    </row>
    <row r="426" spans="1:8" ht="105" x14ac:dyDescent="0.25">
      <c r="A426" s="1" t="s">
        <v>738</v>
      </c>
      <c r="B426" s="1" t="str">
        <f>VLOOKUP(A426,policy!B:C,2,0)</f>
        <v>070000178319</v>
      </c>
      <c r="C426" s="4">
        <v>3450</v>
      </c>
      <c r="D426" s="8">
        <f t="shared" si="25"/>
        <v>3450</v>
      </c>
      <c r="E426" s="12" t="s">
        <v>821</v>
      </c>
      <c r="F426" s="9" t="str">
        <f t="shared" si="24"/>
        <v>insert into ins_premium_det (premium_rcv_code,assorted_code, rec_amount,premium_rcv_detail_code,remaining_amt, payrec, mode_code,coinsurance_code,class_cd,it_remarks) values</v>
      </c>
      <c r="G426" s="10" t="str">
        <f t="shared" si="26"/>
        <v>('12Mar250017','070000178319','3450',(select max(to_number(i.premium_rcv_detail_code))+1
from ins_premium_det i),'3450','3450','02', '11000003','00','Request by Mr. Saqib Saleem 12-Mar-2025');</v>
      </c>
      <c r="H426" s="11" t="str">
        <f t="shared" si="27"/>
        <v>insert into ins_premium_det (premium_rcv_code,assorted_code, rec_amount,premium_rcv_detail_code,remaining_amt, payrec, mode_code,coinsurance_code,class_cd,it_remarks) values('12Mar250017','070000178319','3450',(select max(to_number(i.premium_rcv_detail_code))+1
from ins_premium_det i),'3450','3450','02', '11000003','00','Request by Mr. Saqib Saleem 12-Mar-2025');</v>
      </c>
    </row>
    <row r="427" spans="1:8" ht="105" x14ac:dyDescent="0.25">
      <c r="A427" s="1" t="s">
        <v>740</v>
      </c>
      <c r="B427" s="1" t="str">
        <f>VLOOKUP(A427,policy!B:C,2,0)</f>
        <v>070000178320</v>
      </c>
      <c r="C427" s="4">
        <v>4351</v>
      </c>
      <c r="D427" s="8">
        <f t="shared" si="25"/>
        <v>4351</v>
      </c>
      <c r="E427" s="12" t="s">
        <v>821</v>
      </c>
      <c r="F427" s="9" t="str">
        <f t="shared" si="24"/>
        <v>insert into ins_premium_det (premium_rcv_code,assorted_code, rec_amount,premium_rcv_detail_code,remaining_amt, payrec, mode_code,coinsurance_code,class_cd,it_remarks) values</v>
      </c>
      <c r="G427" s="10" t="str">
        <f t="shared" si="26"/>
        <v>('12Mar250017','070000178320','4351',(select max(to_number(i.premium_rcv_detail_code))+1
from ins_premium_det i),'4351','4351','02', '11000003','00','Request by Mr. Saqib Saleem 12-Mar-2025');</v>
      </c>
      <c r="H427" s="11" t="str">
        <f t="shared" si="27"/>
        <v>insert into ins_premium_det (premium_rcv_code,assorted_code, rec_amount,premium_rcv_detail_code,remaining_amt, payrec, mode_code,coinsurance_code,class_cd,it_remarks) values('12Mar250017','070000178320','4351',(select max(to_number(i.premium_rcv_detail_code))+1
from ins_premium_det i),'4351','4351','02', '11000003','00','Request by Mr. Saqib Saleem 12-Mar-2025');</v>
      </c>
    </row>
    <row r="428" spans="1:8" ht="105" x14ac:dyDescent="0.25">
      <c r="A428" s="1" t="s">
        <v>741</v>
      </c>
      <c r="B428" s="1" t="str">
        <f>VLOOKUP(A428,policy!B:C,2,0)</f>
        <v>070000178321</v>
      </c>
      <c r="C428" s="4">
        <v>4500</v>
      </c>
      <c r="D428" s="8">
        <f t="shared" si="25"/>
        <v>4500</v>
      </c>
      <c r="E428" s="12" t="s">
        <v>821</v>
      </c>
      <c r="F428" s="9" t="str">
        <f t="shared" si="24"/>
        <v>insert into ins_premium_det (premium_rcv_code,assorted_code, rec_amount,premium_rcv_detail_code,remaining_amt, payrec, mode_code,coinsurance_code,class_cd,it_remarks) values</v>
      </c>
      <c r="G428" s="10" t="str">
        <f t="shared" si="26"/>
        <v>('12Mar250017','070000178321','4500',(select max(to_number(i.premium_rcv_detail_code))+1
from ins_premium_det i),'4500','4500','02', '11000003','00','Request by Mr. Saqib Saleem 12-Mar-2025');</v>
      </c>
      <c r="H428" s="11" t="str">
        <f t="shared" si="27"/>
        <v>insert into ins_premium_det (premium_rcv_code,assorted_code, rec_amount,premium_rcv_detail_code,remaining_amt, payrec, mode_code,coinsurance_code,class_cd,it_remarks) values('12Mar250017','070000178321','4500',(select max(to_number(i.premium_rcv_detail_code))+1
from ins_premium_det i),'4500','4500','02', '11000003','00','Request by Mr. Saqib Saleem 12-Mar-2025');</v>
      </c>
    </row>
    <row r="429" spans="1:8" ht="105" x14ac:dyDescent="0.25">
      <c r="A429" s="1" t="s">
        <v>742</v>
      </c>
      <c r="B429" s="1" t="str">
        <f>VLOOKUP(A429,policy!B:C,2,0)</f>
        <v>070000178322</v>
      </c>
      <c r="C429" s="4">
        <v>3450</v>
      </c>
      <c r="D429" s="8">
        <f t="shared" si="25"/>
        <v>3450</v>
      </c>
      <c r="E429" s="12" t="s">
        <v>821</v>
      </c>
      <c r="F429" s="9" t="str">
        <f t="shared" si="24"/>
        <v>insert into ins_premium_det (premium_rcv_code,assorted_code, rec_amount,premium_rcv_detail_code,remaining_amt, payrec, mode_code,coinsurance_code,class_cd,it_remarks) values</v>
      </c>
      <c r="G429" s="10" t="str">
        <f t="shared" si="26"/>
        <v>('12Mar250017','070000178322','3450',(select max(to_number(i.premium_rcv_detail_code))+1
from ins_premium_det i),'3450','3450','02', '11000003','00','Request by Mr. Saqib Saleem 12-Mar-2025');</v>
      </c>
      <c r="H429" s="11" t="str">
        <f t="shared" si="27"/>
        <v>insert into ins_premium_det (premium_rcv_code,assorted_code, rec_amount,premium_rcv_detail_code,remaining_amt, payrec, mode_code,coinsurance_code,class_cd,it_remarks) values('12Mar250017','070000178322','3450',(select max(to_number(i.premium_rcv_detail_code))+1
from ins_premium_det i),'3450','3450','02', '11000003','00','Request by Mr. Saqib Saleem 12-Mar-2025');</v>
      </c>
    </row>
    <row r="430" spans="1:8" ht="105" x14ac:dyDescent="0.25">
      <c r="A430" s="1" t="s">
        <v>743</v>
      </c>
      <c r="B430" s="1" t="str">
        <f>VLOOKUP(A430,policy!B:C,2,0)</f>
        <v>070000178323</v>
      </c>
      <c r="C430" s="4">
        <v>7501</v>
      </c>
      <c r="D430" s="8">
        <f t="shared" si="25"/>
        <v>7501</v>
      </c>
      <c r="E430" s="12" t="s">
        <v>821</v>
      </c>
      <c r="F430" s="9" t="str">
        <f t="shared" si="24"/>
        <v>insert into ins_premium_det (premium_rcv_code,assorted_code, rec_amount,premium_rcv_detail_code,remaining_amt, payrec, mode_code,coinsurance_code,class_cd,it_remarks) values</v>
      </c>
      <c r="G430" s="10" t="str">
        <f t="shared" si="26"/>
        <v>('12Mar250017','070000178323','7501',(select max(to_number(i.premium_rcv_detail_code))+1
from ins_premium_det i),'7501','7501','02', '11000003','00','Request by Mr. Saqib Saleem 12-Mar-2025');</v>
      </c>
      <c r="H430" s="11" t="str">
        <f t="shared" si="27"/>
        <v>insert into ins_premium_det (premium_rcv_code,assorted_code, rec_amount,premium_rcv_detail_code,remaining_amt, payrec, mode_code,coinsurance_code,class_cd,it_remarks) values('12Mar250017','070000178323','7501',(select max(to_number(i.premium_rcv_detail_code))+1
from ins_premium_det i),'7501','7501','02', '11000003','00','Request by Mr. Saqib Saleem 12-Mar-2025');</v>
      </c>
    </row>
    <row r="431" spans="1:8" ht="105" x14ac:dyDescent="0.25">
      <c r="A431" s="1" t="s">
        <v>744</v>
      </c>
      <c r="B431" s="1" t="str">
        <f>VLOOKUP(A431,policy!B:C,2,0)</f>
        <v>070000178324</v>
      </c>
      <c r="C431" s="4">
        <v>3300</v>
      </c>
      <c r="D431" s="8">
        <f t="shared" si="25"/>
        <v>3300</v>
      </c>
      <c r="E431" s="12" t="s">
        <v>821</v>
      </c>
      <c r="F431" s="9" t="str">
        <f t="shared" si="24"/>
        <v>insert into ins_premium_det (premium_rcv_code,assorted_code, rec_amount,premium_rcv_detail_code,remaining_amt, payrec, mode_code,coinsurance_code,class_cd,it_remarks) values</v>
      </c>
      <c r="G431" s="10" t="str">
        <f t="shared" si="26"/>
        <v>('12Mar250017','070000178324','3300',(select max(to_number(i.premium_rcv_detail_code))+1
from ins_premium_det i),'3300','3300','02', '11000003','00','Request by Mr. Saqib Saleem 12-Mar-2025');</v>
      </c>
      <c r="H431" s="11" t="str">
        <f t="shared" si="27"/>
        <v>insert into ins_premium_det (premium_rcv_code,assorted_code, rec_amount,premium_rcv_detail_code,remaining_amt, payrec, mode_code,coinsurance_code,class_cd,it_remarks) values('12Mar250017','070000178324','3300',(select max(to_number(i.premium_rcv_detail_code))+1
from ins_premium_det i),'3300','3300','02', '11000003','00','Request by Mr. Saqib Saleem 12-Mar-2025');</v>
      </c>
    </row>
    <row r="432" spans="1:8" ht="105" x14ac:dyDescent="0.25">
      <c r="A432" s="1" t="s">
        <v>745</v>
      </c>
      <c r="B432" s="1" t="str">
        <f>VLOOKUP(A432,policy!B:C,2,0)</f>
        <v>070000178325</v>
      </c>
      <c r="C432" s="4">
        <v>1649</v>
      </c>
      <c r="D432" s="8">
        <f t="shared" si="25"/>
        <v>1649</v>
      </c>
      <c r="E432" s="12" t="s">
        <v>821</v>
      </c>
      <c r="F432" s="9" t="str">
        <f t="shared" si="24"/>
        <v>insert into ins_premium_det (premium_rcv_code,assorted_code, rec_amount,premium_rcv_detail_code,remaining_amt, payrec, mode_code,coinsurance_code,class_cd,it_remarks) values</v>
      </c>
      <c r="G432" s="10" t="str">
        <f t="shared" si="26"/>
        <v>('12Mar250017','070000178325','1649',(select max(to_number(i.premium_rcv_detail_code))+1
from ins_premium_det i),'1649','1649','02', '11000003','00','Request by Mr. Saqib Saleem 12-Mar-2025');</v>
      </c>
      <c r="H432" s="11" t="str">
        <f t="shared" si="27"/>
        <v>insert into ins_premium_det (premium_rcv_code,assorted_code, rec_amount,premium_rcv_detail_code,remaining_amt, payrec, mode_code,coinsurance_code,class_cd,it_remarks) values('12Mar250017','070000178325','1649',(select max(to_number(i.premium_rcv_detail_code))+1
from ins_premium_det i),'1649','1649','02', '11000003','00','Request by Mr. Saqib Saleem 12-Mar-2025');</v>
      </c>
    </row>
    <row r="433" spans="1:8" ht="105" x14ac:dyDescent="0.25">
      <c r="A433" s="1" t="s">
        <v>746</v>
      </c>
      <c r="B433" s="1" t="str">
        <f>VLOOKUP(A433,policy!B:C,2,0)</f>
        <v>070000178326</v>
      </c>
      <c r="C433" s="4">
        <v>3900</v>
      </c>
      <c r="D433" s="8">
        <f t="shared" si="25"/>
        <v>3900</v>
      </c>
      <c r="E433" s="12" t="s">
        <v>821</v>
      </c>
      <c r="F433" s="9" t="str">
        <f t="shared" si="24"/>
        <v>insert into ins_premium_det (premium_rcv_code,assorted_code, rec_amount,premium_rcv_detail_code,remaining_amt, payrec, mode_code,coinsurance_code,class_cd,it_remarks) values</v>
      </c>
      <c r="G433" s="10" t="str">
        <f t="shared" si="26"/>
        <v>('12Mar250017','070000178326','3900',(select max(to_number(i.premium_rcv_detail_code))+1
from ins_premium_det i),'3900','3900','02', '11000003','00','Request by Mr. Saqib Saleem 12-Mar-2025');</v>
      </c>
      <c r="H433" s="11" t="str">
        <f t="shared" si="27"/>
        <v>insert into ins_premium_det (premium_rcv_code,assorted_code, rec_amount,premium_rcv_detail_code,remaining_amt, payrec, mode_code,coinsurance_code,class_cd,it_remarks) values('12Mar250017','070000178326','3900',(select max(to_number(i.premium_rcv_detail_code))+1
from ins_premium_det i),'3900','3900','02', '11000003','00','Request by Mr. Saqib Saleem 12-Mar-2025');</v>
      </c>
    </row>
    <row r="434" spans="1:8" ht="105" x14ac:dyDescent="0.25">
      <c r="A434" s="1" t="s">
        <v>747</v>
      </c>
      <c r="B434" s="1" t="str">
        <f>VLOOKUP(A434,policy!B:C,2,0)</f>
        <v>070000178327</v>
      </c>
      <c r="C434" s="4">
        <v>5250</v>
      </c>
      <c r="D434" s="8">
        <f t="shared" si="25"/>
        <v>5250</v>
      </c>
      <c r="E434" s="12" t="s">
        <v>821</v>
      </c>
      <c r="F434" s="9" t="str">
        <f t="shared" si="24"/>
        <v>insert into ins_premium_det (premium_rcv_code,assorted_code, rec_amount,premium_rcv_detail_code,remaining_amt, payrec, mode_code,coinsurance_code,class_cd,it_remarks) values</v>
      </c>
      <c r="G434" s="10" t="str">
        <f t="shared" si="26"/>
        <v>('12Mar250017','070000178327','5250',(select max(to_number(i.premium_rcv_detail_code))+1
from ins_premium_det i),'5250','5250','02', '11000003','00','Request by Mr. Saqib Saleem 12-Mar-2025');</v>
      </c>
      <c r="H434" s="11" t="str">
        <f t="shared" si="27"/>
        <v>insert into ins_premium_det (premium_rcv_code,assorted_code, rec_amount,premium_rcv_detail_code,remaining_amt, payrec, mode_code,coinsurance_code,class_cd,it_remarks) values('12Mar250017','070000178327','5250',(select max(to_number(i.premium_rcv_detail_code))+1
from ins_premium_det i),'5250','5250','02', '11000003','00','Request by Mr. Saqib Saleem 12-Mar-2025');</v>
      </c>
    </row>
    <row r="435" spans="1:8" ht="105" x14ac:dyDescent="0.25">
      <c r="A435" s="1" t="s">
        <v>748</v>
      </c>
      <c r="B435" s="1" t="str">
        <f>VLOOKUP(A435,policy!B:C,2,0)</f>
        <v>070000178328</v>
      </c>
      <c r="C435" s="4">
        <v>6750</v>
      </c>
      <c r="D435" s="8">
        <f t="shared" si="25"/>
        <v>6750</v>
      </c>
      <c r="E435" s="12" t="s">
        <v>821</v>
      </c>
      <c r="F435" s="9" t="str">
        <f t="shared" si="24"/>
        <v>insert into ins_premium_det (premium_rcv_code,assorted_code, rec_amount,premium_rcv_detail_code,remaining_amt, payrec, mode_code,coinsurance_code,class_cd,it_remarks) values</v>
      </c>
      <c r="G435" s="10" t="str">
        <f t="shared" si="26"/>
        <v>('12Mar250017','070000178328','6750',(select max(to_number(i.premium_rcv_detail_code))+1
from ins_premium_det i),'6750','6750','02', '11000003','00','Request by Mr. Saqib Saleem 12-Mar-2025');</v>
      </c>
      <c r="H435" s="11" t="str">
        <f t="shared" si="27"/>
        <v>insert into ins_premium_det (premium_rcv_code,assorted_code, rec_amount,premium_rcv_detail_code,remaining_amt, payrec, mode_code,coinsurance_code,class_cd,it_remarks) values('12Mar250017','070000178328','6750',(select max(to_number(i.premium_rcv_detail_code))+1
from ins_premium_det i),'6750','6750','02', '11000003','00','Request by Mr. Saqib Saleem 12-Mar-2025');</v>
      </c>
    </row>
    <row r="436" spans="1:8" ht="105" x14ac:dyDescent="0.25">
      <c r="A436" s="1" t="s">
        <v>749</v>
      </c>
      <c r="B436" s="1" t="str">
        <f>VLOOKUP(A436,policy!B:C,2,0)</f>
        <v>070000178329</v>
      </c>
      <c r="C436" s="4">
        <v>5250</v>
      </c>
      <c r="D436" s="8">
        <f t="shared" si="25"/>
        <v>5250</v>
      </c>
      <c r="E436" s="12" t="s">
        <v>821</v>
      </c>
      <c r="F436" s="9" t="str">
        <f t="shared" si="24"/>
        <v>insert into ins_premium_det (premium_rcv_code,assorted_code, rec_amount,premium_rcv_detail_code,remaining_amt, payrec, mode_code,coinsurance_code,class_cd,it_remarks) values</v>
      </c>
      <c r="G436" s="10" t="str">
        <f t="shared" si="26"/>
        <v>('12Mar250017','070000178329','5250',(select max(to_number(i.premium_rcv_detail_code))+1
from ins_premium_det i),'5250','5250','02', '11000003','00','Request by Mr. Saqib Saleem 12-Mar-2025');</v>
      </c>
      <c r="H436" s="11" t="str">
        <f t="shared" si="27"/>
        <v>insert into ins_premium_det (premium_rcv_code,assorted_code, rec_amount,premium_rcv_detail_code,remaining_amt, payrec, mode_code,coinsurance_code,class_cd,it_remarks) values('12Mar250017','070000178329','5250',(select max(to_number(i.premium_rcv_detail_code))+1
from ins_premium_det i),'5250','5250','02', '11000003','00','Request by Mr. Saqib Saleem 12-Mar-2025');</v>
      </c>
    </row>
    <row r="437" spans="1:8" ht="105" x14ac:dyDescent="0.25">
      <c r="A437" s="1" t="s">
        <v>750</v>
      </c>
      <c r="B437" s="1" t="str">
        <f>VLOOKUP(A437,policy!B:C,2,0)</f>
        <v>070000178330</v>
      </c>
      <c r="C437" s="4">
        <v>3599</v>
      </c>
      <c r="D437" s="8">
        <f t="shared" si="25"/>
        <v>3599</v>
      </c>
      <c r="E437" s="12" t="s">
        <v>821</v>
      </c>
      <c r="F437" s="9" t="str">
        <f t="shared" si="24"/>
        <v>insert into ins_premium_det (premium_rcv_code,assorted_code, rec_amount,premium_rcv_detail_code,remaining_amt, payrec, mode_code,coinsurance_code,class_cd,it_remarks) values</v>
      </c>
      <c r="G437" s="10" t="str">
        <f t="shared" si="26"/>
        <v>('12Mar250017','070000178330','3599',(select max(to_number(i.premium_rcv_detail_code))+1
from ins_premium_det i),'3599','3599','02', '11000003','00','Request by Mr. Saqib Saleem 12-Mar-2025');</v>
      </c>
      <c r="H437" s="11" t="str">
        <f t="shared" si="27"/>
        <v>insert into ins_premium_det (premium_rcv_code,assorted_code, rec_amount,premium_rcv_detail_code,remaining_amt, payrec, mode_code,coinsurance_code,class_cd,it_remarks) values('12Mar250017','070000178330','3599',(select max(to_number(i.premium_rcv_detail_code))+1
from ins_premium_det i),'3599','3599','02', '11000003','00','Request by Mr. Saqib Saleem 12-Mar-2025');</v>
      </c>
    </row>
    <row r="438" spans="1:8" ht="105" x14ac:dyDescent="0.25">
      <c r="A438" s="1" t="s">
        <v>751</v>
      </c>
      <c r="B438" s="1" t="str">
        <f>VLOOKUP(A438,policy!B:C,2,0)</f>
        <v>070000178331</v>
      </c>
      <c r="C438" s="4">
        <v>5700</v>
      </c>
      <c r="D438" s="8">
        <f t="shared" si="25"/>
        <v>5700</v>
      </c>
      <c r="E438" s="12" t="s">
        <v>821</v>
      </c>
      <c r="F438" s="9" t="str">
        <f t="shared" si="24"/>
        <v>insert into ins_premium_det (premium_rcv_code,assorted_code, rec_amount,premium_rcv_detail_code,remaining_amt, payrec, mode_code,coinsurance_code,class_cd,it_remarks) values</v>
      </c>
      <c r="G438" s="10" t="str">
        <f t="shared" si="26"/>
        <v>('12Mar250017','070000178331','5700',(select max(to_number(i.premium_rcv_detail_code))+1
from ins_premium_det i),'5700','5700','02', '11000003','00','Request by Mr. Saqib Saleem 12-Mar-2025');</v>
      </c>
      <c r="H438" s="11" t="str">
        <f t="shared" si="27"/>
        <v>insert into ins_premium_det (premium_rcv_code,assorted_code, rec_amount,premium_rcv_detail_code,remaining_amt, payrec, mode_code,coinsurance_code,class_cd,it_remarks) values('12Mar250017','070000178331','5700',(select max(to_number(i.premium_rcv_detail_code))+1
from ins_premium_det i),'5700','5700','02', '11000003','00','Request by Mr. Saqib Saleem 12-Mar-2025');</v>
      </c>
    </row>
    <row r="439" spans="1:8" ht="105" x14ac:dyDescent="0.25">
      <c r="A439" s="1" t="s">
        <v>752</v>
      </c>
      <c r="B439" s="1" t="str">
        <f>VLOOKUP(A439,policy!B:C,2,0)</f>
        <v>070000178332</v>
      </c>
      <c r="C439" s="4">
        <v>2250</v>
      </c>
      <c r="D439" s="8">
        <f t="shared" si="25"/>
        <v>2250</v>
      </c>
      <c r="E439" s="12" t="s">
        <v>821</v>
      </c>
      <c r="F439" s="9" t="str">
        <f t="shared" si="24"/>
        <v>insert into ins_premium_det (premium_rcv_code,assorted_code, rec_amount,premium_rcv_detail_code,remaining_amt, payrec, mode_code,coinsurance_code,class_cd,it_remarks) values</v>
      </c>
      <c r="G439" s="10" t="str">
        <f t="shared" si="26"/>
        <v>('12Mar250017','070000178332','2250',(select max(to_number(i.premium_rcv_detail_code))+1
from ins_premium_det i),'2250','2250','02', '11000003','00','Request by Mr. Saqib Saleem 12-Mar-2025');</v>
      </c>
      <c r="H439" s="11" t="str">
        <f t="shared" si="27"/>
        <v>insert into ins_premium_det (premium_rcv_code,assorted_code, rec_amount,premium_rcv_detail_code,remaining_amt, payrec, mode_code,coinsurance_code,class_cd,it_remarks) values('12Mar250017','070000178332','2250',(select max(to_number(i.premium_rcv_detail_code))+1
from ins_premium_det i),'2250','2250','02', '11000003','00','Request by Mr. Saqib Saleem 12-Mar-2025');</v>
      </c>
    </row>
    <row r="440" spans="1:8" ht="105" x14ac:dyDescent="0.25">
      <c r="A440" s="1" t="s">
        <v>753</v>
      </c>
      <c r="B440" s="1" t="str">
        <f>VLOOKUP(A440,policy!B:C,2,0)</f>
        <v>070000178333</v>
      </c>
      <c r="C440" s="4">
        <v>2851</v>
      </c>
      <c r="D440" s="8">
        <f t="shared" si="25"/>
        <v>2851</v>
      </c>
      <c r="E440" s="12" t="s">
        <v>821</v>
      </c>
      <c r="F440" s="9" t="str">
        <f t="shared" si="24"/>
        <v>insert into ins_premium_det (premium_rcv_code,assorted_code, rec_amount,premium_rcv_detail_code,remaining_amt, payrec, mode_code,coinsurance_code,class_cd,it_remarks) values</v>
      </c>
      <c r="G440" s="10" t="str">
        <f t="shared" si="26"/>
        <v>('12Mar250017','070000178333','2851',(select max(to_number(i.premium_rcv_detail_code))+1
from ins_premium_det i),'2851','2851','02', '11000003','00','Request by Mr. Saqib Saleem 12-Mar-2025');</v>
      </c>
      <c r="H440" s="11" t="str">
        <f t="shared" si="27"/>
        <v>insert into ins_premium_det (premium_rcv_code,assorted_code, rec_amount,premium_rcv_detail_code,remaining_amt, payrec, mode_code,coinsurance_code,class_cd,it_remarks) values('12Mar250017','070000178333','2851',(select max(to_number(i.premium_rcv_detail_code))+1
from ins_premium_det i),'2851','2851','02', '11000003','00','Request by Mr. Saqib Saleem 12-Mar-2025');</v>
      </c>
    </row>
    <row r="441" spans="1:8" ht="105" x14ac:dyDescent="0.25">
      <c r="A441" s="1" t="s">
        <v>754</v>
      </c>
      <c r="B441" s="1" t="str">
        <f>VLOOKUP(A441,policy!B:C,2,0)</f>
        <v>070000178334</v>
      </c>
      <c r="C441" s="4">
        <v>4200</v>
      </c>
      <c r="D441" s="8">
        <f t="shared" si="25"/>
        <v>4200</v>
      </c>
      <c r="E441" s="12" t="s">
        <v>821</v>
      </c>
      <c r="F441" s="9" t="str">
        <f t="shared" si="24"/>
        <v>insert into ins_premium_det (premium_rcv_code,assorted_code, rec_amount,premium_rcv_detail_code,remaining_amt, payrec, mode_code,coinsurance_code,class_cd,it_remarks) values</v>
      </c>
      <c r="G441" s="10" t="str">
        <f t="shared" si="26"/>
        <v>('12Mar250017','070000178334','4200',(select max(to_number(i.premium_rcv_detail_code))+1
from ins_premium_det i),'4200','4200','02', '11000003','00','Request by Mr. Saqib Saleem 12-Mar-2025');</v>
      </c>
      <c r="H441" s="11" t="str">
        <f t="shared" si="27"/>
        <v>insert into ins_premium_det (premium_rcv_code,assorted_code, rec_amount,premium_rcv_detail_code,remaining_amt, payrec, mode_code,coinsurance_code,class_cd,it_remarks) values('12Mar250017','070000178334','4200',(select max(to_number(i.premium_rcv_detail_code))+1
from ins_premium_det i),'4200','4200','02', '11000003','00','Request by Mr. Saqib Saleem 12-Mar-2025');</v>
      </c>
    </row>
    <row r="442" spans="1:8" ht="105" x14ac:dyDescent="0.25">
      <c r="A442" s="1" t="s">
        <v>755</v>
      </c>
      <c r="B442" s="1" t="str">
        <f>VLOOKUP(A442,policy!B:C,2,0)</f>
        <v>070000178335</v>
      </c>
      <c r="C442" s="4">
        <v>4500</v>
      </c>
      <c r="D442" s="8">
        <f t="shared" si="25"/>
        <v>4500</v>
      </c>
      <c r="E442" s="12" t="s">
        <v>821</v>
      </c>
      <c r="F442" s="9" t="str">
        <f t="shared" si="24"/>
        <v>insert into ins_premium_det (premium_rcv_code,assorted_code, rec_amount,premium_rcv_detail_code,remaining_amt, payrec, mode_code,coinsurance_code,class_cd,it_remarks) values</v>
      </c>
      <c r="G442" s="10" t="str">
        <f t="shared" si="26"/>
        <v>('12Mar250017','070000178335','4500',(select max(to_number(i.premium_rcv_detail_code))+1
from ins_premium_det i),'4500','4500','02', '11000003','00','Request by Mr. Saqib Saleem 12-Mar-2025');</v>
      </c>
      <c r="H442" s="11" t="str">
        <f t="shared" si="27"/>
        <v>insert into ins_premium_det (premium_rcv_code,assorted_code, rec_amount,premium_rcv_detail_code,remaining_amt, payrec, mode_code,coinsurance_code,class_cd,it_remarks) values('12Mar250017','070000178335','4500',(select max(to_number(i.premium_rcv_detail_code))+1
from ins_premium_det i),'4500','4500','02', '11000003','00','Request by Mr. Saqib Saleem 12-Mar-2025');</v>
      </c>
    </row>
    <row r="443" spans="1:8" ht="105" x14ac:dyDescent="0.25">
      <c r="A443" s="1" t="s">
        <v>756</v>
      </c>
      <c r="B443" s="1" t="str">
        <f>VLOOKUP(A443,policy!B:C,2,0)</f>
        <v>070000178336</v>
      </c>
      <c r="C443" s="4">
        <v>4200</v>
      </c>
      <c r="D443" s="8">
        <f t="shared" si="25"/>
        <v>4200</v>
      </c>
      <c r="E443" s="12" t="s">
        <v>821</v>
      </c>
      <c r="F443" s="9" t="str">
        <f t="shared" si="24"/>
        <v>insert into ins_premium_det (premium_rcv_code,assorted_code, rec_amount,premium_rcv_detail_code,remaining_amt, payrec, mode_code,coinsurance_code,class_cd,it_remarks) values</v>
      </c>
      <c r="G443" s="10" t="str">
        <f t="shared" si="26"/>
        <v>('12Mar250017','070000178336','4200',(select max(to_number(i.premium_rcv_detail_code))+1
from ins_premium_det i),'4200','4200','02', '11000003','00','Request by Mr. Saqib Saleem 12-Mar-2025');</v>
      </c>
      <c r="H443" s="11" t="str">
        <f t="shared" si="27"/>
        <v>insert into ins_premium_det (premium_rcv_code,assorted_code, rec_amount,premium_rcv_detail_code,remaining_amt, payrec, mode_code,coinsurance_code,class_cd,it_remarks) values('12Mar250017','070000178336','4200',(select max(to_number(i.premium_rcv_detail_code))+1
from ins_premium_det i),'4200','4200','02', '11000003','00','Request by Mr. Saqib Saleem 12-Mar-2025');</v>
      </c>
    </row>
    <row r="444" spans="1:8" ht="105" x14ac:dyDescent="0.25">
      <c r="A444" s="1" t="s">
        <v>757</v>
      </c>
      <c r="B444" s="1" t="str">
        <f>VLOOKUP(A444,policy!B:C,2,0)</f>
        <v>070000178337</v>
      </c>
      <c r="C444" s="4">
        <v>4200</v>
      </c>
      <c r="D444" s="8">
        <f t="shared" si="25"/>
        <v>4200</v>
      </c>
      <c r="E444" s="12" t="s">
        <v>821</v>
      </c>
      <c r="F444" s="9" t="str">
        <f t="shared" si="24"/>
        <v>insert into ins_premium_det (premium_rcv_code,assorted_code, rec_amount,premium_rcv_detail_code,remaining_amt, payrec, mode_code,coinsurance_code,class_cd,it_remarks) values</v>
      </c>
      <c r="G444" s="10" t="str">
        <f t="shared" si="26"/>
        <v>('12Mar250017','070000178337','4200',(select max(to_number(i.premium_rcv_detail_code))+1
from ins_premium_det i),'4200','4200','02', '11000003','00','Request by Mr. Saqib Saleem 12-Mar-2025');</v>
      </c>
      <c r="H444" s="11" t="str">
        <f t="shared" si="27"/>
        <v>insert into ins_premium_det (premium_rcv_code,assorted_code, rec_amount,premium_rcv_detail_code,remaining_amt, payrec, mode_code,coinsurance_code,class_cd,it_remarks) values('12Mar250017','070000178337','4200',(select max(to_number(i.premium_rcv_detail_code))+1
from ins_premium_det i),'4200','4200','02', '11000003','00','Request by Mr. Saqib Saleem 12-Mar-2025');</v>
      </c>
    </row>
    <row r="445" spans="1:8" ht="105" x14ac:dyDescent="0.25">
      <c r="A445" s="1" t="s">
        <v>758</v>
      </c>
      <c r="B445" s="1" t="str">
        <f>VLOOKUP(A445,policy!B:C,2,0)</f>
        <v>070000178338</v>
      </c>
      <c r="C445" s="4">
        <v>4200</v>
      </c>
      <c r="D445" s="8">
        <f t="shared" si="25"/>
        <v>4200</v>
      </c>
      <c r="E445" s="12" t="s">
        <v>821</v>
      </c>
      <c r="F445" s="9" t="str">
        <f t="shared" si="24"/>
        <v>insert into ins_premium_det (premium_rcv_code,assorted_code, rec_amount,premium_rcv_detail_code,remaining_amt, payrec, mode_code,coinsurance_code,class_cd,it_remarks) values</v>
      </c>
      <c r="G445" s="10" t="str">
        <f t="shared" si="26"/>
        <v>('12Mar250017','070000178338','4200',(select max(to_number(i.premium_rcv_detail_code))+1
from ins_premium_det i),'4200','4200','02', '11000003','00','Request by Mr. Saqib Saleem 12-Mar-2025');</v>
      </c>
      <c r="H445" s="11" t="str">
        <f t="shared" si="27"/>
        <v>insert into ins_premium_det (premium_rcv_code,assorted_code, rec_amount,premium_rcv_detail_code,remaining_amt, payrec, mode_code,coinsurance_code,class_cd,it_remarks) values('12Mar250017','070000178338','4200',(select max(to_number(i.premium_rcv_detail_code))+1
from ins_premium_det i),'4200','4200','02', '11000003','00','Request by Mr. Saqib Saleem 12-Mar-2025');</v>
      </c>
    </row>
    <row r="446" spans="1:8" ht="105" x14ac:dyDescent="0.25">
      <c r="A446" s="1" t="s">
        <v>759</v>
      </c>
      <c r="B446" s="1" t="str">
        <f>VLOOKUP(A446,policy!B:C,2,0)</f>
        <v>070000178339</v>
      </c>
      <c r="C446" s="4">
        <v>3300</v>
      </c>
      <c r="D446" s="8">
        <f t="shared" si="25"/>
        <v>3300</v>
      </c>
      <c r="E446" s="12" t="s">
        <v>821</v>
      </c>
      <c r="F446" s="9" t="str">
        <f t="shared" si="24"/>
        <v>insert into ins_premium_det (premium_rcv_code,assorted_code, rec_amount,premium_rcv_detail_code,remaining_amt, payrec, mode_code,coinsurance_code,class_cd,it_remarks) values</v>
      </c>
      <c r="G446" s="10" t="str">
        <f t="shared" si="26"/>
        <v>('12Mar250017','070000178339','3300',(select max(to_number(i.premium_rcv_detail_code))+1
from ins_premium_det i),'3300','3300','02', '11000003','00','Request by Mr. Saqib Saleem 12-Mar-2025');</v>
      </c>
      <c r="H446" s="11" t="str">
        <f t="shared" si="27"/>
        <v>insert into ins_premium_det (premium_rcv_code,assorted_code, rec_amount,premium_rcv_detail_code,remaining_amt, payrec, mode_code,coinsurance_code,class_cd,it_remarks) values('12Mar250017','070000178339','3300',(select max(to_number(i.premium_rcv_detail_code))+1
from ins_premium_det i),'3300','3300','02', '11000003','00','Request by Mr. Saqib Saleem 12-Mar-2025');</v>
      </c>
    </row>
    <row r="447" spans="1:8" ht="105" x14ac:dyDescent="0.25">
      <c r="A447" s="1" t="s">
        <v>760</v>
      </c>
      <c r="B447" s="1" t="str">
        <f>VLOOKUP(A447,policy!B:C,2,0)</f>
        <v>070000178340</v>
      </c>
      <c r="C447" s="4">
        <v>4200</v>
      </c>
      <c r="D447" s="8">
        <f t="shared" si="25"/>
        <v>4200</v>
      </c>
      <c r="E447" s="12" t="s">
        <v>821</v>
      </c>
      <c r="F447" s="9" t="str">
        <f t="shared" si="24"/>
        <v>insert into ins_premium_det (premium_rcv_code,assorted_code, rec_amount,premium_rcv_detail_code,remaining_amt, payrec, mode_code,coinsurance_code,class_cd,it_remarks) values</v>
      </c>
      <c r="G447" s="10" t="str">
        <f t="shared" si="26"/>
        <v>('12Mar250017','070000178340','4200',(select max(to_number(i.premium_rcv_detail_code))+1
from ins_premium_det i),'4200','4200','02', '11000003','00','Request by Mr. Saqib Saleem 12-Mar-2025');</v>
      </c>
      <c r="H447" s="11" t="str">
        <f t="shared" si="27"/>
        <v>insert into ins_premium_det (premium_rcv_code,assorted_code, rec_amount,premium_rcv_detail_code,remaining_amt, payrec, mode_code,coinsurance_code,class_cd,it_remarks) values('12Mar250017','070000178340','4200',(select max(to_number(i.premium_rcv_detail_code))+1
from ins_premium_det i),'4200','4200','02', '11000003','00','Request by Mr. Saqib Saleem 12-Mar-2025');</v>
      </c>
    </row>
    <row r="448" spans="1:8" ht="105" x14ac:dyDescent="0.25">
      <c r="A448" s="1" t="s">
        <v>762</v>
      </c>
      <c r="B448" s="1" t="str">
        <f>VLOOKUP(A448,policy!B:C,2,0)</f>
        <v>070000178341</v>
      </c>
      <c r="C448" s="4">
        <v>6300</v>
      </c>
      <c r="D448" s="8">
        <f t="shared" si="25"/>
        <v>6300</v>
      </c>
      <c r="E448" s="12" t="s">
        <v>821</v>
      </c>
      <c r="F448" s="9" t="str">
        <f t="shared" si="24"/>
        <v>insert into ins_premium_det (premium_rcv_code,assorted_code, rec_amount,premium_rcv_detail_code,remaining_amt, payrec, mode_code,coinsurance_code,class_cd,it_remarks) values</v>
      </c>
      <c r="G448" s="10" t="str">
        <f t="shared" si="26"/>
        <v>('12Mar250017','070000178341','6300',(select max(to_number(i.premium_rcv_detail_code))+1
from ins_premium_det i),'6300','6300','02', '11000003','00','Request by Mr. Saqib Saleem 12-Mar-2025');</v>
      </c>
      <c r="H448" s="11" t="str">
        <f t="shared" si="27"/>
        <v>insert into ins_premium_det (premium_rcv_code,assorted_code, rec_amount,premium_rcv_detail_code,remaining_amt, payrec, mode_code,coinsurance_code,class_cd,it_remarks) values('12Mar250017','070000178341','6300',(select max(to_number(i.premium_rcv_detail_code))+1
from ins_premium_det i),'6300','6300','02', '11000003','00','Request by Mr. Saqib Saleem 12-Mar-2025');</v>
      </c>
    </row>
    <row r="449" spans="1:8" ht="105" x14ac:dyDescent="0.25">
      <c r="A449" s="1" t="s">
        <v>763</v>
      </c>
      <c r="B449" s="1" t="str">
        <f>VLOOKUP(A449,policy!B:C,2,0)</f>
        <v>070000178342</v>
      </c>
      <c r="C449" s="4">
        <v>3150</v>
      </c>
      <c r="D449" s="8">
        <f t="shared" si="25"/>
        <v>3150</v>
      </c>
      <c r="E449" s="12" t="s">
        <v>821</v>
      </c>
      <c r="F449" s="9" t="str">
        <f t="shared" si="24"/>
        <v>insert into ins_premium_det (premium_rcv_code,assorted_code, rec_amount,premium_rcv_detail_code,remaining_amt, payrec, mode_code,coinsurance_code,class_cd,it_remarks) values</v>
      </c>
      <c r="G449" s="10" t="str">
        <f t="shared" si="26"/>
        <v>('12Mar250017','070000178342','3150',(select max(to_number(i.premium_rcv_detail_code))+1
from ins_premium_det i),'3150','3150','02', '11000003','00','Request by Mr. Saqib Saleem 12-Mar-2025');</v>
      </c>
      <c r="H449" s="11" t="str">
        <f t="shared" si="27"/>
        <v>insert into ins_premium_det (premium_rcv_code,assorted_code, rec_amount,premium_rcv_detail_code,remaining_amt, payrec, mode_code,coinsurance_code,class_cd,it_remarks) values('12Mar250017','070000178342','3150',(select max(to_number(i.premium_rcv_detail_code))+1
from ins_premium_det i),'3150','3150','02', '11000003','00','Request by Mr. Saqib Saleem 12-Mar-2025');</v>
      </c>
    </row>
    <row r="450" spans="1:8" ht="105" x14ac:dyDescent="0.25">
      <c r="A450" s="1" t="s">
        <v>764</v>
      </c>
      <c r="B450" s="1" t="str">
        <f>VLOOKUP(A450,policy!B:C,2,0)</f>
        <v>070000178343</v>
      </c>
      <c r="C450" s="4">
        <v>2400</v>
      </c>
      <c r="D450" s="8">
        <f t="shared" si="25"/>
        <v>2400</v>
      </c>
      <c r="E450" s="12" t="s">
        <v>821</v>
      </c>
      <c r="F450" s="9" t="str">
        <f t="shared" ref="F450:F500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10" t="str">
        <f t="shared" si="26"/>
        <v>('12Mar250017','070000178343','2400',(select max(to_number(i.premium_rcv_detail_code))+1
from ins_premium_det i),'2400','2400','02', '11000003','00','Request by Mr. Saqib Saleem 12-Mar-2025');</v>
      </c>
      <c r="H450" s="11" t="str">
        <f t="shared" si="27"/>
        <v>insert into ins_premium_det (premium_rcv_code,assorted_code, rec_amount,premium_rcv_detail_code,remaining_amt, payrec, mode_code,coinsurance_code,class_cd,it_remarks) values('12Mar250017','070000178343','2400',(select max(to_number(i.premium_rcv_detail_code))+1
from ins_premium_det i),'2400','2400','02', '11000003','00','Request by Mr. Saqib Saleem 12-Mar-2025');</v>
      </c>
    </row>
    <row r="451" spans="1:8" ht="105" x14ac:dyDescent="0.25">
      <c r="A451" s="1" t="s">
        <v>765</v>
      </c>
      <c r="B451" s="1" t="str">
        <f>VLOOKUP(A451,policy!B:C,2,0)</f>
        <v>070000178344</v>
      </c>
      <c r="C451" s="4">
        <v>2250</v>
      </c>
      <c r="D451" s="8">
        <f t="shared" ref="D451:D500" si="29">ROUND(C451,0)</f>
        <v>2250</v>
      </c>
      <c r="E451" s="12" t="s">
        <v>821</v>
      </c>
      <c r="F451" s="9" t="str">
        <f t="shared" si="28"/>
        <v>insert into ins_premium_det (premium_rcv_code,assorted_code, rec_amount,premium_rcv_detail_code,remaining_amt, payrec, mode_code,coinsurance_code,class_cd,it_remarks) values</v>
      </c>
      <c r="G451" s="10" t="str">
        <f t="shared" ref="G451:G500" si="30">"('"&amp;E451&amp;"','"&amp;B451&amp;"','"&amp;D451&amp;"',(select max(to_number(i.premium_rcv_detail_code))+1
from ins_premium_det i),'"&amp;D451&amp;"','"&amp;D451&amp;"','02', '11000003','00','Request by Mr. Saqib Saleem 12-Mar-2025');"</f>
        <v>('12Mar250017','070000178344','2250',(select max(to_number(i.premium_rcv_detail_code))+1
from ins_premium_det i),'2250','2250','02', '11000003','00','Request by Mr. Saqib Saleem 12-Mar-2025');</v>
      </c>
      <c r="H451" s="11" t="str">
        <f t="shared" ref="H451:H500" si="31">F451&amp;G451</f>
        <v>insert into ins_premium_det (premium_rcv_code,assorted_code, rec_amount,premium_rcv_detail_code,remaining_amt, payrec, mode_code,coinsurance_code,class_cd,it_remarks) values('12Mar250017','070000178344','2250',(select max(to_number(i.premium_rcv_detail_code))+1
from ins_premium_det i),'2250','2250','02', '11000003','00','Request by Mr. Saqib Saleem 12-Mar-2025');</v>
      </c>
    </row>
    <row r="452" spans="1:8" ht="105" x14ac:dyDescent="0.25">
      <c r="A452" s="1" t="s">
        <v>766</v>
      </c>
      <c r="B452" s="1" t="str">
        <f>VLOOKUP(A452,policy!B:C,2,0)</f>
        <v>070000178345</v>
      </c>
      <c r="C452" s="4">
        <v>5250</v>
      </c>
      <c r="D452" s="8">
        <f t="shared" si="29"/>
        <v>5250</v>
      </c>
      <c r="E452" s="12" t="s">
        <v>821</v>
      </c>
      <c r="F452" s="9" t="str">
        <f t="shared" si="28"/>
        <v>insert into ins_premium_det (premium_rcv_code,assorted_code, rec_amount,premium_rcv_detail_code,remaining_amt, payrec, mode_code,coinsurance_code,class_cd,it_remarks) values</v>
      </c>
      <c r="G452" s="10" t="str">
        <f t="shared" si="30"/>
        <v>('12Mar250017','070000178345','5250',(select max(to_number(i.premium_rcv_detail_code))+1
from ins_premium_det i),'5250','5250','02', '11000003','00','Request by Mr. Saqib Saleem 12-Mar-2025');</v>
      </c>
      <c r="H452" s="11" t="str">
        <f t="shared" si="31"/>
        <v>insert into ins_premium_det (premium_rcv_code,assorted_code, rec_amount,premium_rcv_detail_code,remaining_amt, payrec, mode_code,coinsurance_code,class_cd,it_remarks) values('12Mar250017','070000178345','5250',(select max(to_number(i.premium_rcv_detail_code))+1
from ins_premium_det i),'5250','5250','02', '11000003','00','Request by Mr. Saqib Saleem 12-Mar-2025');</v>
      </c>
    </row>
    <row r="453" spans="1:8" ht="105" x14ac:dyDescent="0.25">
      <c r="A453" s="1" t="s">
        <v>767</v>
      </c>
      <c r="B453" s="1" t="str">
        <f>VLOOKUP(A453,policy!B:C,2,0)</f>
        <v>070000178346</v>
      </c>
      <c r="C453" s="4">
        <v>4500</v>
      </c>
      <c r="D453" s="8">
        <f t="shared" si="29"/>
        <v>4500</v>
      </c>
      <c r="E453" s="12" t="s">
        <v>821</v>
      </c>
      <c r="F453" s="9" t="str">
        <f t="shared" si="28"/>
        <v>insert into ins_premium_det (premium_rcv_code,assorted_code, rec_amount,premium_rcv_detail_code,remaining_amt, payrec, mode_code,coinsurance_code,class_cd,it_remarks) values</v>
      </c>
      <c r="G453" s="10" t="str">
        <f t="shared" si="30"/>
        <v>('12Mar250017','070000178346','4500',(select max(to_number(i.premium_rcv_detail_code))+1
from ins_premium_det i),'4500','4500','02', '11000003','00','Request by Mr. Saqib Saleem 12-Mar-2025');</v>
      </c>
      <c r="H453" s="11" t="str">
        <f t="shared" si="31"/>
        <v>insert into ins_premium_det (premium_rcv_code,assorted_code, rec_amount,premium_rcv_detail_code,remaining_amt, payrec, mode_code,coinsurance_code,class_cd,it_remarks) values('12Mar250017','070000178346','4500',(select max(to_number(i.premium_rcv_detail_code))+1
from ins_premium_det i),'4500','4500','02', '11000003','00','Request by Mr. Saqib Saleem 12-Mar-2025');</v>
      </c>
    </row>
    <row r="454" spans="1:8" ht="105" x14ac:dyDescent="0.25">
      <c r="A454" s="1" t="s">
        <v>768</v>
      </c>
      <c r="B454" s="1" t="str">
        <f>VLOOKUP(A454,policy!B:C,2,0)</f>
        <v>070000178347</v>
      </c>
      <c r="C454" s="4">
        <v>4500</v>
      </c>
      <c r="D454" s="8">
        <f t="shared" si="29"/>
        <v>4500</v>
      </c>
      <c r="E454" s="12" t="s">
        <v>821</v>
      </c>
      <c r="F454" s="9" t="str">
        <f t="shared" si="28"/>
        <v>insert into ins_premium_det (premium_rcv_code,assorted_code, rec_amount,premium_rcv_detail_code,remaining_amt, payrec, mode_code,coinsurance_code,class_cd,it_remarks) values</v>
      </c>
      <c r="G454" s="10" t="str">
        <f t="shared" si="30"/>
        <v>('12Mar250017','070000178347','4500',(select max(to_number(i.premium_rcv_detail_code))+1
from ins_premium_det i),'4500','4500','02', '11000003','00','Request by Mr. Saqib Saleem 12-Mar-2025');</v>
      </c>
      <c r="H454" s="11" t="str">
        <f t="shared" si="31"/>
        <v>insert into ins_premium_det (premium_rcv_code,assorted_code, rec_amount,premium_rcv_detail_code,remaining_amt, payrec, mode_code,coinsurance_code,class_cd,it_remarks) values('12Mar250017','070000178347','4500',(select max(to_number(i.premium_rcv_detail_code))+1
from ins_premium_det i),'4500','4500','02', '11000003','00','Request by Mr. Saqib Saleem 12-Mar-2025');</v>
      </c>
    </row>
    <row r="455" spans="1:8" ht="105" x14ac:dyDescent="0.25">
      <c r="A455" s="1" t="s">
        <v>769</v>
      </c>
      <c r="B455" s="1" t="str">
        <f>VLOOKUP(A455,policy!B:C,2,0)</f>
        <v>070000178348</v>
      </c>
      <c r="C455" s="4">
        <v>450</v>
      </c>
      <c r="D455" s="8">
        <f t="shared" si="29"/>
        <v>450</v>
      </c>
      <c r="E455" s="12" t="s">
        <v>821</v>
      </c>
      <c r="F455" s="9" t="str">
        <f t="shared" si="28"/>
        <v>insert into ins_premium_det (premium_rcv_code,assorted_code, rec_amount,premium_rcv_detail_code,remaining_amt, payrec, mode_code,coinsurance_code,class_cd,it_remarks) values</v>
      </c>
      <c r="G455" s="10" t="str">
        <f t="shared" si="30"/>
        <v>('12Mar250017','070000178348','450',(select max(to_number(i.premium_rcv_detail_code))+1
from ins_premium_det i),'450','450','02', '11000003','00','Request by Mr. Saqib Saleem 12-Mar-2025');</v>
      </c>
      <c r="H455" s="11" t="str">
        <f t="shared" si="31"/>
        <v>insert into ins_premium_det (premium_rcv_code,assorted_code, rec_amount,premium_rcv_detail_code,remaining_amt, payrec, mode_code,coinsurance_code,class_cd,it_remarks) values('12Mar250017','070000178348','450',(select max(to_number(i.premium_rcv_detail_code))+1
from ins_premium_det i),'450','450','02', '11000003','00','Request by Mr. Saqib Saleem 12-Mar-2025');</v>
      </c>
    </row>
    <row r="456" spans="1:8" ht="105" x14ac:dyDescent="0.25">
      <c r="A456" s="1" t="s">
        <v>770</v>
      </c>
      <c r="B456" s="1" t="str">
        <f>VLOOKUP(A456,policy!B:C,2,0)</f>
        <v>070000178349</v>
      </c>
      <c r="C456" s="4">
        <v>18000</v>
      </c>
      <c r="D456" s="8">
        <f t="shared" si="29"/>
        <v>18000</v>
      </c>
      <c r="E456" s="12" t="s">
        <v>821</v>
      </c>
      <c r="F456" s="9" t="str">
        <f t="shared" si="28"/>
        <v>insert into ins_premium_det (premium_rcv_code,assorted_code, rec_amount,premium_rcv_detail_code,remaining_amt, payrec, mode_code,coinsurance_code,class_cd,it_remarks) values</v>
      </c>
      <c r="G456" s="10" t="str">
        <f t="shared" si="30"/>
        <v>('12Mar250017','070000178349','18000',(select max(to_number(i.premium_rcv_detail_code))+1
from ins_premium_det i),'18000','18000','02', '11000003','00','Request by Mr. Saqib Saleem 12-Mar-2025');</v>
      </c>
      <c r="H456" s="11" t="str">
        <f t="shared" si="31"/>
        <v>insert into ins_premium_det (premium_rcv_code,assorted_code, rec_amount,premium_rcv_detail_code,remaining_amt, payrec, mode_code,coinsurance_code,class_cd,it_remarks) values('12Mar250017','070000178349','18000',(select max(to_number(i.premium_rcv_detail_code))+1
from ins_premium_det i),'18000','18000','02', '11000003','00','Request by Mr. Saqib Saleem 12-Mar-2025');</v>
      </c>
    </row>
    <row r="457" spans="1:8" ht="105" x14ac:dyDescent="0.25">
      <c r="A457" s="1" t="s">
        <v>771</v>
      </c>
      <c r="B457" s="1" t="str">
        <f>VLOOKUP(A457,policy!B:C,2,0)</f>
        <v>070000178350</v>
      </c>
      <c r="C457" s="4">
        <v>5550</v>
      </c>
      <c r="D457" s="8">
        <f t="shared" si="29"/>
        <v>5550</v>
      </c>
      <c r="E457" s="12" t="s">
        <v>821</v>
      </c>
      <c r="F457" s="9" t="str">
        <f t="shared" si="28"/>
        <v>insert into ins_premium_det (premium_rcv_code,assorted_code, rec_amount,premium_rcv_detail_code,remaining_amt, payrec, mode_code,coinsurance_code,class_cd,it_remarks) values</v>
      </c>
      <c r="G457" s="10" t="str">
        <f t="shared" si="30"/>
        <v>('12Mar250017','070000178350','5550',(select max(to_number(i.premium_rcv_detail_code))+1
from ins_premium_det i),'5550','5550','02', '11000003','00','Request by Mr. Saqib Saleem 12-Mar-2025');</v>
      </c>
      <c r="H457" s="11" t="str">
        <f t="shared" si="31"/>
        <v>insert into ins_premium_det (premium_rcv_code,assorted_code, rec_amount,premium_rcv_detail_code,remaining_amt, payrec, mode_code,coinsurance_code,class_cd,it_remarks) values('12Mar250017','070000178350','5550',(select max(to_number(i.premium_rcv_detail_code))+1
from ins_premium_det i),'5550','5550','02', '11000003','00','Request by Mr. Saqib Saleem 12-Mar-2025');</v>
      </c>
    </row>
    <row r="458" spans="1:8" ht="105" x14ac:dyDescent="0.25">
      <c r="A458" s="1" t="s">
        <v>772</v>
      </c>
      <c r="B458" s="1" t="str">
        <f>VLOOKUP(A458,policy!B:C,2,0)</f>
        <v>070000178351</v>
      </c>
      <c r="C458" s="4">
        <v>4500</v>
      </c>
      <c r="D458" s="8">
        <f t="shared" si="29"/>
        <v>4500</v>
      </c>
      <c r="E458" s="12" t="s">
        <v>821</v>
      </c>
      <c r="F458" s="9" t="str">
        <f t="shared" si="28"/>
        <v>insert into ins_premium_det (premium_rcv_code,assorted_code, rec_amount,premium_rcv_detail_code,remaining_amt, payrec, mode_code,coinsurance_code,class_cd,it_remarks) values</v>
      </c>
      <c r="G458" s="10" t="str">
        <f t="shared" si="30"/>
        <v>('12Mar250017','070000178351','4500',(select max(to_number(i.premium_rcv_detail_code))+1
from ins_premium_det i),'4500','4500','02', '11000003','00','Request by Mr. Saqib Saleem 12-Mar-2025');</v>
      </c>
      <c r="H458" s="11" t="str">
        <f t="shared" si="31"/>
        <v>insert into ins_premium_det (premium_rcv_code,assorted_code, rec_amount,premium_rcv_detail_code,remaining_amt, payrec, mode_code,coinsurance_code,class_cd,it_remarks) values('12Mar250017','070000178351','4500',(select max(to_number(i.premium_rcv_detail_code))+1
from ins_premium_det i),'4500','4500','02', '11000003','00','Request by Mr. Saqib Saleem 12-Mar-2025');</v>
      </c>
    </row>
    <row r="459" spans="1:8" ht="105" x14ac:dyDescent="0.25">
      <c r="A459" s="1" t="s">
        <v>773</v>
      </c>
      <c r="B459" s="1" t="str">
        <f>VLOOKUP(A459,policy!B:C,2,0)</f>
        <v>070000178352</v>
      </c>
      <c r="C459" s="4">
        <v>4950</v>
      </c>
      <c r="D459" s="8">
        <f t="shared" si="29"/>
        <v>4950</v>
      </c>
      <c r="E459" s="12" t="s">
        <v>821</v>
      </c>
      <c r="F459" s="9" t="str">
        <f t="shared" si="28"/>
        <v>insert into ins_premium_det (premium_rcv_code,assorted_code, rec_amount,premium_rcv_detail_code,remaining_amt, payrec, mode_code,coinsurance_code,class_cd,it_remarks) values</v>
      </c>
      <c r="G459" s="10" t="str">
        <f t="shared" si="30"/>
        <v>('12Mar250017','070000178352','4950',(select max(to_number(i.premium_rcv_detail_code))+1
from ins_premium_det i),'4950','4950','02', '11000003','00','Request by Mr. Saqib Saleem 12-Mar-2025');</v>
      </c>
      <c r="H459" s="11" t="str">
        <f t="shared" si="31"/>
        <v>insert into ins_premium_det (premium_rcv_code,assorted_code, rec_amount,premium_rcv_detail_code,remaining_amt, payrec, mode_code,coinsurance_code,class_cd,it_remarks) values('12Mar250017','070000178352','4950',(select max(to_number(i.premium_rcv_detail_code))+1
from ins_premium_det i),'4950','4950','02', '11000003','00','Request by Mr. Saqib Saleem 12-Mar-2025');</v>
      </c>
    </row>
    <row r="460" spans="1:8" ht="105" x14ac:dyDescent="0.25">
      <c r="A460" s="1" t="s">
        <v>774</v>
      </c>
      <c r="B460" s="1" t="str">
        <f>VLOOKUP(A460,policy!B:C,2,0)</f>
        <v>070000178353</v>
      </c>
      <c r="C460" s="4">
        <v>4351</v>
      </c>
      <c r="D460" s="8">
        <f t="shared" si="29"/>
        <v>4351</v>
      </c>
      <c r="E460" s="12" t="s">
        <v>821</v>
      </c>
      <c r="F460" s="9" t="str">
        <f t="shared" si="28"/>
        <v>insert into ins_premium_det (premium_rcv_code,assorted_code, rec_amount,premium_rcv_detail_code,remaining_amt, payrec, mode_code,coinsurance_code,class_cd,it_remarks) values</v>
      </c>
      <c r="G460" s="10" t="str">
        <f t="shared" si="30"/>
        <v>('12Mar250017','070000178353','4351',(select max(to_number(i.premium_rcv_detail_code))+1
from ins_premium_det i),'4351','4351','02', '11000003','00','Request by Mr. Saqib Saleem 12-Mar-2025');</v>
      </c>
      <c r="H460" s="11" t="str">
        <f t="shared" si="31"/>
        <v>insert into ins_premium_det (premium_rcv_code,assorted_code, rec_amount,premium_rcv_detail_code,remaining_amt, payrec, mode_code,coinsurance_code,class_cd,it_remarks) values('12Mar250017','070000178353','4351',(select max(to_number(i.premium_rcv_detail_code))+1
from ins_premium_det i),'4351','4351','02', '11000003','00','Request by Mr. Saqib Saleem 12-Mar-2025');</v>
      </c>
    </row>
    <row r="461" spans="1:8" ht="105" x14ac:dyDescent="0.25">
      <c r="A461" s="1" t="s">
        <v>775</v>
      </c>
      <c r="B461" s="1" t="str">
        <f>VLOOKUP(A461,policy!B:C,2,0)</f>
        <v>070000178354</v>
      </c>
      <c r="C461" s="4">
        <v>5101</v>
      </c>
      <c r="D461" s="8">
        <f t="shared" si="29"/>
        <v>5101</v>
      </c>
      <c r="E461" s="12" t="s">
        <v>821</v>
      </c>
      <c r="F461" s="9" t="str">
        <f t="shared" si="28"/>
        <v>insert into ins_premium_det (premium_rcv_code,assorted_code, rec_amount,premium_rcv_detail_code,remaining_amt, payrec, mode_code,coinsurance_code,class_cd,it_remarks) values</v>
      </c>
      <c r="G461" s="10" t="str">
        <f t="shared" si="30"/>
        <v>('12Mar250017','070000178354','5101',(select max(to_number(i.premium_rcv_detail_code))+1
from ins_premium_det i),'5101','5101','02', '11000003','00','Request by Mr. Saqib Saleem 12-Mar-2025');</v>
      </c>
      <c r="H461" s="11" t="str">
        <f t="shared" si="31"/>
        <v>insert into ins_premium_det (premium_rcv_code,assorted_code, rec_amount,premium_rcv_detail_code,remaining_amt, payrec, mode_code,coinsurance_code,class_cd,it_remarks) values('12Mar250017','070000178354','5101',(select max(to_number(i.premium_rcv_detail_code))+1
from ins_premium_det i),'5101','5101','02', '11000003','00','Request by Mr. Saqib Saleem 12-Mar-2025');</v>
      </c>
    </row>
    <row r="462" spans="1:8" ht="105" x14ac:dyDescent="0.25">
      <c r="A462" s="1" t="s">
        <v>776</v>
      </c>
      <c r="B462" s="1" t="str">
        <f>VLOOKUP(A462,policy!B:C,2,0)</f>
        <v>070000178355</v>
      </c>
      <c r="C462" s="4">
        <v>4050</v>
      </c>
      <c r="D462" s="8">
        <f t="shared" si="29"/>
        <v>4050</v>
      </c>
      <c r="E462" s="12" t="s">
        <v>821</v>
      </c>
      <c r="F462" s="9" t="str">
        <f t="shared" si="28"/>
        <v>insert into ins_premium_det (premium_rcv_code,assorted_code, rec_amount,premium_rcv_detail_code,remaining_amt, payrec, mode_code,coinsurance_code,class_cd,it_remarks) values</v>
      </c>
      <c r="G462" s="10" t="str">
        <f t="shared" si="30"/>
        <v>('12Mar250017','070000178355','4050',(select max(to_number(i.premium_rcv_detail_code))+1
from ins_premium_det i),'4050','4050','02', '11000003','00','Request by Mr. Saqib Saleem 12-Mar-2025');</v>
      </c>
      <c r="H462" s="11" t="str">
        <f t="shared" si="31"/>
        <v>insert into ins_premium_det (premium_rcv_code,assorted_code, rec_amount,premium_rcv_detail_code,remaining_amt, payrec, mode_code,coinsurance_code,class_cd,it_remarks) values('12Mar250017','070000178355','4050',(select max(to_number(i.premium_rcv_detail_code))+1
from ins_premium_det i),'4050','4050','02', '11000003','00','Request by Mr. Saqib Saleem 12-Mar-2025');</v>
      </c>
    </row>
    <row r="463" spans="1:8" ht="105" x14ac:dyDescent="0.25">
      <c r="A463" s="1" t="s">
        <v>777</v>
      </c>
      <c r="B463" s="1" t="str">
        <f>VLOOKUP(A463,policy!B:C,2,0)</f>
        <v>070000178356</v>
      </c>
      <c r="C463" s="4">
        <v>3750</v>
      </c>
      <c r="D463" s="8">
        <f t="shared" si="29"/>
        <v>3750</v>
      </c>
      <c r="E463" s="12" t="s">
        <v>821</v>
      </c>
      <c r="F463" s="9" t="str">
        <f t="shared" si="28"/>
        <v>insert into ins_premium_det (premium_rcv_code,assorted_code, rec_amount,premium_rcv_detail_code,remaining_amt, payrec, mode_code,coinsurance_code,class_cd,it_remarks) values</v>
      </c>
      <c r="G463" s="10" t="str">
        <f t="shared" si="30"/>
        <v>('12Mar250017','070000178356','3750',(select max(to_number(i.premium_rcv_detail_code))+1
from ins_premium_det i),'3750','3750','02', '11000003','00','Request by Mr. Saqib Saleem 12-Mar-2025');</v>
      </c>
      <c r="H463" s="11" t="str">
        <f t="shared" si="31"/>
        <v>insert into ins_premium_det (premium_rcv_code,assorted_code, rec_amount,premium_rcv_detail_code,remaining_amt, payrec, mode_code,coinsurance_code,class_cd,it_remarks) values('12Mar250017','070000178356','3750',(select max(to_number(i.premium_rcv_detail_code))+1
from ins_premium_det i),'3750','3750','02', '11000003','00','Request by Mr. Saqib Saleem 12-Mar-2025');</v>
      </c>
    </row>
    <row r="464" spans="1:8" ht="105" x14ac:dyDescent="0.25">
      <c r="A464" s="1" t="s">
        <v>778</v>
      </c>
      <c r="B464" s="1" t="str">
        <f>VLOOKUP(A464,policy!B:C,2,0)</f>
        <v>070000178357</v>
      </c>
      <c r="C464" s="4">
        <v>4351</v>
      </c>
      <c r="D464" s="8">
        <f t="shared" si="29"/>
        <v>4351</v>
      </c>
      <c r="E464" s="12" t="s">
        <v>821</v>
      </c>
      <c r="F464" s="9" t="str">
        <f t="shared" si="28"/>
        <v>insert into ins_premium_det (premium_rcv_code,assorted_code, rec_amount,premium_rcv_detail_code,remaining_amt, payrec, mode_code,coinsurance_code,class_cd,it_remarks) values</v>
      </c>
      <c r="G464" s="10" t="str">
        <f t="shared" si="30"/>
        <v>('12Mar250017','070000178357','4351',(select max(to_number(i.premium_rcv_detail_code))+1
from ins_premium_det i),'4351','4351','02', '11000003','00','Request by Mr. Saqib Saleem 12-Mar-2025');</v>
      </c>
      <c r="H464" s="11" t="str">
        <f t="shared" si="31"/>
        <v>insert into ins_premium_det (premium_rcv_code,assorted_code, rec_amount,premium_rcv_detail_code,remaining_amt, payrec, mode_code,coinsurance_code,class_cd,it_remarks) values('12Mar250017','070000178357','4351',(select max(to_number(i.premium_rcv_detail_code))+1
from ins_premium_det i),'4351','4351','02', '11000003','00','Request by Mr. Saqib Saleem 12-Mar-2025');</v>
      </c>
    </row>
    <row r="465" spans="1:8" ht="105" x14ac:dyDescent="0.25">
      <c r="A465" s="1" t="s">
        <v>779</v>
      </c>
      <c r="B465" s="1" t="str">
        <f>VLOOKUP(A465,policy!B:C,2,0)</f>
        <v>070000178358</v>
      </c>
      <c r="C465" s="4">
        <v>3750</v>
      </c>
      <c r="D465" s="8">
        <f t="shared" si="29"/>
        <v>3750</v>
      </c>
      <c r="E465" s="12" t="s">
        <v>821</v>
      </c>
      <c r="F465" s="9" t="str">
        <f t="shared" si="28"/>
        <v>insert into ins_premium_det (premium_rcv_code,assorted_code, rec_amount,premium_rcv_detail_code,remaining_amt, payrec, mode_code,coinsurance_code,class_cd,it_remarks) values</v>
      </c>
      <c r="G465" s="10" t="str">
        <f t="shared" si="30"/>
        <v>('12Mar250017','070000178358','3750',(select max(to_number(i.premium_rcv_detail_code))+1
from ins_premium_det i),'3750','3750','02', '11000003','00','Request by Mr. Saqib Saleem 12-Mar-2025');</v>
      </c>
      <c r="H465" s="11" t="str">
        <f t="shared" si="31"/>
        <v>insert into ins_premium_det (premium_rcv_code,assorted_code, rec_amount,premium_rcv_detail_code,remaining_amt, payrec, mode_code,coinsurance_code,class_cd,it_remarks) values('12Mar250017','070000178358','3750',(select max(to_number(i.premium_rcv_detail_code))+1
from ins_premium_det i),'3750','3750','02', '11000003','00','Request by Mr. Saqib Saleem 12-Mar-2025');</v>
      </c>
    </row>
    <row r="466" spans="1:8" ht="105" x14ac:dyDescent="0.25">
      <c r="A466" s="1" t="s">
        <v>780</v>
      </c>
      <c r="B466" s="1" t="str">
        <f>VLOOKUP(A466,policy!B:C,2,0)</f>
        <v>070000178359</v>
      </c>
      <c r="C466" s="4">
        <v>4950</v>
      </c>
      <c r="D466" s="8">
        <f t="shared" si="29"/>
        <v>4950</v>
      </c>
      <c r="E466" s="12" t="s">
        <v>821</v>
      </c>
      <c r="F466" s="9" t="str">
        <f t="shared" si="28"/>
        <v>insert into ins_premium_det (premium_rcv_code,assorted_code, rec_amount,premium_rcv_detail_code,remaining_amt, payrec, mode_code,coinsurance_code,class_cd,it_remarks) values</v>
      </c>
      <c r="G466" s="10" t="str">
        <f t="shared" si="30"/>
        <v>('12Mar250017','070000178359','4950',(select max(to_number(i.premium_rcv_detail_code))+1
from ins_premium_det i),'4950','4950','02', '11000003','00','Request by Mr. Saqib Saleem 12-Mar-2025');</v>
      </c>
      <c r="H466" s="11" t="str">
        <f t="shared" si="31"/>
        <v>insert into ins_premium_det (premium_rcv_code,assorted_code, rec_amount,premium_rcv_detail_code,remaining_amt, payrec, mode_code,coinsurance_code,class_cd,it_remarks) values('12Mar250017','070000178359','4950',(select max(to_number(i.premium_rcv_detail_code))+1
from ins_premium_det i),'4950','4950','02', '11000003','00','Request by Mr. Saqib Saleem 12-Mar-2025');</v>
      </c>
    </row>
    <row r="467" spans="1:8" ht="105" x14ac:dyDescent="0.25">
      <c r="A467" s="1" t="s">
        <v>781</v>
      </c>
      <c r="B467" s="1" t="str">
        <f>VLOOKUP(A467,policy!B:C,2,0)</f>
        <v>070000178360</v>
      </c>
      <c r="C467" s="4">
        <v>3000</v>
      </c>
      <c r="D467" s="8">
        <f t="shared" si="29"/>
        <v>3000</v>
      </c>
      <c r="E467" s="12" t="s">
        <v>821</v>
      </c>
      <c r="F467" s="9" t="str">
        <f t="shared" si="28"/>
        <v>insert into ins_premium_det (premium_rcv_code,assorted_code, rec_amount,premium_rcv_detail_code,remaining_amt, payrec, mode_code,coinsurance_code,class_cd,it_remarks) values</v>
      </c>
      <c r="G467" s="10" t="str">
        <f t="shared" si="30"/>
        <v>('12Mar250017','070000178360','3000',(select max(to_number(i.premium_rcv_detail_code))+1
from ins_premium_det i),'3000','3000','02', '11000003','00','Request by Mr. Saqib Saleem 12-Mar-2025');</v>
      </c>
      <c r="H467" s="11" t="str">
        <f t="shared" si="31"/>
        <v>insert into ins_premium_det (premium_rcv_code,assorted_code, rec_amount,premium_rcv_detail_code,remaining_amt, payrec, mode_code,coinsurance_code,class_cd,it_remarks) values('12Mar250017','070000178360','3000',(select max(to_number(i.premium_rcv_detail_code))+1
from ins_premium_det i),'3000','3000','02', '11000003','00','Request by Mr. Saqib Saleem 12-Mar-2025');</v>
      </c>
    </row>
    <row r="468" spans="1:8" ht="105" x14ac:dyDescent="0.25">
      <c r="A468" s="1" t="s">
        <v>782</v>
      </c>
      <c r="B468" s="1" t="str">
        <f>VLOOKUP(A468,policy!B:C,2,0)</f>
        <v>070000178361</v>
      </c>
      <c r="C468" s="4">
        <v>2700</v>
      </c>
      <c r="D468" s="8">
        <f t="shared" si="29"/>
        <v>2700</v>
      </c>
      <c r="E468" s="12" t="s">
        <v>821</v>
      </c>
      <c r="F468" s="9" t="str">
        <f t="shared" si="28"/>
        <v>insert into ins_premium_det (premium_rcv_code,assorted_code, rec_amount,premium_rcv_detail_code,remaining_amt, payrec, mode_code,coinsurance_code,class_cd,it_remarks) values</v>
      </c>
      <c r="G468" s="10" t="str">
        <f t="shared" si="30"/>
        <v>('12Mar250017','070000178361','2700',(select max(to_number(i.premium_rcv_detail_code))+1
from ins_premium_det i),'2700','2700','02', '11000003','00','Request by Mr. Saqib Saleem 12-Mar-2025');</v>
      </c>
      <c r="H468" s="11" t="str">
        <f t="shared" si="31"/>
        <v>insert into ins_premium_det (premium_rcv_code,assorted_code, rec_amount,premium_rcv_detail_code,remaining_amt, payrec, mode_code,coinsurance_code,class_cd,it_remarks) values('12Mar250017','070000178361','2700',(select max(to_number(i.premium_rcv_detail_code))+1
from ins_premium_det i),'2700','2700','02', '11000003','00','Request by Mr. Saqib Saleem 12-Mar-2025');</v>
      </c>
    </row>
    <row r="469" spans="1:8" ht="105" x14ac:dyDescent="0.25">
      <c r="A469" s="1" t="s">
        <v>783</v>
      </c>
      <c r="B469" s="1" t="str">
        <f>VLOOKUP(A469,policy!B:C,2,0)</f>
        <v>070000178362</v>
      </c>
      <c r="C469" s="4">
        <v>3450</v>
      </c>
      <c r="D469" s="8">
        <f t="shared" si="29"/>
        <v>3450</v>
      </c>
      <c r="E469" s="12" t="s">
        <v>821</v>
      </c>
      <c r="F469" s="9" t="str">
        <f t="shared" si="28"/>
        <v>insert into ins_premium_det (premium_rcv_code,assorted_code, rec_amount,premium_rcv_detail_code,remaining_amt, payrec, mode_code,coinsurance_code,class_cd,it_remarks) values</v>
      </c>
      <c r="G469" s="10" t="str">
        <f t="shared" si="30"/>
        <v>('12Mar250017','070000178362','3450',(select max(to_number(i.premium_rcv_detail_code))+1
from ins_premium_det i),'3450','3450','02', '11000003','00','Request by Mr. Saqib Saleem 12-Mar-2025');</v>
      </c>
      <c r="H469" s="11" t="str">
        <f t="shared" si="31"/>
        <v>insert into ins_premium_det (premium_rcv_code,assorted_code, rec_amount,premium_rcv_detail_code,remaining_amt, payrec, mode_code,coinsurance_code,class_cd,it_remarks) values('12Mar250017','070000178362','3450',(select max(to_number(i.premium_rcv_detail_code))+1
from ins_premium_det i),'3450','3450','02', '11000003','00','Request by Mr. Saqib Saleem 12-Mar-2025');</v>
      </c>
    </row>
    <row r="470" spans="1:8" ht="105" x14ac:dyDescent="0.25">
      <c r="A470" s="1" t="s">
        <v>784</v>
      </c>
      <c r="B470" s="1" t="str">
        <f>VLOOKUP(A470,policy!B:C,2,0)</f>
        <v>070000178363</v>
      </c>
      <c r="C470" s="4">
        <v>2550</v>
      </c>
      <c r="D470" s="8">
        <f t="shared" si="29"/>
        <v>2550</v>
      </c>
      <c r="E470" s="12" t="s">
        <v>821</v>
      </c>
      <c r="F470" s="9" t="str">
        <f t="shared" si="28"/>
        <v>insert into ins_premium_det (premium_rcv_code,assorted_code, rec_amount,premium_rcv_detail_code,remaining_amt, payrec, mode_code,coinsurance_code,class_cd,it_remarks) values</v>
      </c>
      <c r="G470" s="10" t="str">
        <f t="shared" si="30"/>
        <v>('12Mar250017','070000178363','2550',(select max(to_number(i.premium_rcv_detail_code))+1
from ins_premium_det i),'2550','2550','02', '11000003','00','Request by Mr. Saqib Saleem 12-Mar-2025');</v>
      </c>
      <c r="H470" s="11" t="str">
        <f t="shared" si="31"/>
        <v>insert into ins_premium_det (premium_rcv_code,assorted_code, rec_amount,premium_rcv_detail_code,remaining_amt, payrec, mode_code,coinsurance_code,class_cd,it_remarks) values('12Mar250017','070000178363','2550',(select max(to_number(i.premium_rcv_detail_code))+1
from ins_premium_det i),'2550','2550','02', '11000003','00','Request by Mr. Saqib Saleem 12-Mar-2025');</v>
      </c>
    </row>
    <row r="471" spans="1:8" ht="105" x14ac:dyDescent="0.25">
      <c r="A471" s="1" t="s">
        <v>785</v>
      </c>
      <c r="B471" s="1" t="str">
        <f>VLOOKUP(A471,policy!B:C,2,0)</f>
        <v>070000178364</v>
      </c>
      <c r="C471" s="4">
        <v>6150</v>
      </c>
      <c r="D471" s="8">
        <f t="shared" si="29"/>
        <v>6150</v>
      </c>
      <c r="E471" s="12" t="s">
        <v>821</v>
      </c>
      <c r="F471" s="9" t="str">
        <f t="shared" si="28"/>
        <v>insert into ins_premium_det (premium_rcv_code,assorted_code, rec_amount,premium_rcv_detail_code,remaining_amt, payrec, mode_code,coinsurance_code,class_cd,it_remarks) values</v>
      </c>
      <c r="G471" s="10" t="str">
        <f t="shared" si="30"/>
        <v>('12Mar250017','070000178364','6150',(select max(to_number(i.premium_rcv_detail_code))+1
from ins_premium_det i),'6150','6150','02', '11000003','00','Request by Mr. Saqib Saleem 12-Mar-2025');</v>
      </c>
      <c r="H471" s="11" t="str">
        <f t="shared" si="31"/>
        <v>insert into ins_premium_det (premium_rcv_code,assorted_code, rec_amount,premium_rcv_detail_code,remaining_amt, payrec, mode_code,coinsurance_code,class_cd,it_remarks) values('12Mar250017','070000178364','6150',(select max(to_number(i.premium_rcv_detail_code))+1
from ins_premium_det i),'6150','6150','02', '11000003','00','Request by Mr. Saqib Saleem 12-Mar-2025');</v>
      </c>
    </row>
    <row r="472" spans="1:8" ht="105" x14ac:dyDescent="0.25">
      <c r="A472" s="1" t="s">
        <v>786</v>
      </c>
      <c r="B472" s="1" t="str">
        <f>VLOOKUP(A472,policy!B:C,2,0)</f>
        <v>070000178365</v>
      </c>
      <c r="C472" s="4">
        <v>5849</v>
      </c>
      <c r="D472" s="8">
        <f t="shared" si="29"/>
        <v>5849</v>
      </c>
      <c r="E472" s="12" t="s">
        <v>821</v>
      </c>
      <c r="F472" s="9" t="str">
        <f t="shared" si="28"/>
        <v>insert into ins_premium_det (premium_rcv_code,assorted_code, rec_amount,premium_rcv_detail_code,remaining_amt, payrec, mode_code,coinsurance_code,class_cd,it_remarks) values</v>
      </c>
      <c r="G472" s="10" t="str">
        <f t="shared" si="30"/>
        <v>('12Mar250017','070000178365','5849',(select max(to_number(i.premium_rcv_detail_code))+1
from ins_premium_det i),'5849','5849','02', '11000003','00','Request by Mr. Saqib Saleem 12-Mar-2025');</v>
      </c>
      <c r="H472" s="11" t="str">
        <f t="shared" si="31"/>
        <v>insert into ins_premium_det (premium_rcv_code,assorted_code, rec_amount,premium_rcv_detail_code,remaining_amt, payrec, mode_code,coinsurance_code,class_cd,it_remarks) values('12Mar250017','070000178365','5849',(select max(to_number(i.premium_rcv_detail_code))+1
from ins_premium_det i),'5849','5849','02', '11000003','00','Request by Mr. Saqib Saleem 12-Mar-2025');</v>
      </c>
    </row>
    <row r="473" spans="1:8" ht="105" x14ac:dyDescent="0.25">
      <c r="A473" s="1" t="s">
        <v>787</v>
      </c>
      <c r="B473" s="1" t="str">
        <f>VLOOKUP(A473,policy!B:C,2,0)</f>
        <v>070000178366</v>
      </c>
      <c r="C473" s="4">
        <v>2550</v>
      </c>
      <c r="D473" s="8">
        <f t="shared" si="29"/>
        <v>2550</v>
      </c>
      <c r="E473" s="12" t="s">
        <v>821</v>
      </c>
      <c r="F473" s="9" t="str">
        <f t="shared" si="28"/>
        <v>insert into ins_premium_det (premium_rcv_code,assorted_code, rec_amount,premium_rcv_detail_code,remaining_amt, payrec, mode_code,coinsurance_code,class_cd,it_remarks) values</v>
      </c>
      <c r="G473" s="10" t="str">
        <f t="shared" si="30"/>
        <v>('12Mar250017','070000178366','2550',(select max(to_number(i.premium_rcv_detail_code))+1
from ins_premium_det i),'2550','2550','02', '11000003','00','Request by Mr. Saqib Saleem 12-Mar-2025');</v>
      </c>
      <c r="H473" s="11" t="str">
        <f t="shared" si="31"/>
        <v>insert into ins_premium_det (premium_rcv_code,assorted_code, rec_amount,premium_rcv_detail_code,remaining_amt, payrec, mode_code,coinsurance_code,class_cd,it_remarks) values('12Mar250017','070000178366','2550',(select max(to_number(i.premium_rcv_detail_code))+1
from ins_premium_det i),'2550','2550','02', '11000003','00','Request by Mr. Saqib Saleem 12-Mar-2025');</v>
      </c>
    </row>
    <row r="474" spans="1:8" ht="105" x14ac:dyDescent="0.25">
      <c r="A474" s="1" t="s">
        <v>788</v>
      </c>
      <c r="B474" s="1" t="str">
        <f>VLOOKUP(A474,policy!B:C,2,0)</f>
        <v>070000178367</v>
      </c>
      <c r="C474" s="4">
        <v>2700</v>
      </c>
      <c r="D474" s="8">
        <f t="shared" si="29"/>
        <v>2700</v>
      </c>
      <c r="E474" s="12" t="s">
        <v>821</v>
      </c>
      <c r="F474" s="9" t="str">
        <f t="shared" si="28"/>
        <v>insert into ins_premium_det (premium_rcv_code,assorted_code, rec_amount,premium_rcv_detail_code,remaining_amt, payrec, mode_code,coinsurance_code,class_cd,it_remarks) values</v>
      </c>
      <c r="G474" s="10" t="str">
        <f t="shared" si="30"/>
        <v>('12Mar250017','070000178367','2700',(select max(to_number(i.premium_rcv_detail_code))+1
from ins_premium_det i),'2700','2700','02', '11000003','00','Request by Mr. Saqib Saleem 12-Mar-2025');</v>
      </c>
      <c r="H474" s="11" t="str">
        <f t="shared" si="31"/>
        <v>insert into ins_premium_det (premium_rcv_code,assorted_code, rec_amount,premium_rcv_detail_code,remaining_amt, payrec, mode_code,coinsurance_code,class_cd,it_remarks) values('12Mar250017','070000178367','2700',(select max(to_number(i.premium_rcv_detail_code))+1
from ins_premium_det i),'2700','2700','02', '11000003','00','Request by Mr. Saqib Saleem 12-Mar-2025');</v>
      </c>
    </row>
    <row r="475" spans="1:8" ht="105" x14ac:dyDescent="0.25">
      <c r="A475" s="1" t="s">
        <v>789</v>
      </c>
      <c r="B475" s="1" t="str">
        <f>VLOOKUP(A475,policy!B:C,2,0)</f>
        <v>070000178368</v>
      </c>
      <c r="C475" s="4">
        <v>3000</v>
      </c>
      <c r="D475" s="8">
        <f t="shared" si="29"/>
        <v>3000</v>
      </c>
      <c r="E475" s="12" t="s">
        <v>821</v>
      </c>
      <c r="F475" s="9" t="str">
        <f t="shared" si="28"/>
        <v>insert into ins_premium_det (premium_rcv_code,assorted_code, rec_amount,premium_rcv_detail_code,remaining_amt, payrec, mode_code,coinsurance_code,class_cd,it_remarks) values</v>
      </c>
      <c r="G475" s="10" t="str">
        <f t="shared" si="30"/>
        <v>('12Mar250017','070000178368','3000',(select max(to_number(i.premium_rcv_detail_code))+1
from ins_premium_det i),'3000','3000','02', '11000003','00','Request by Mr. Saqib Saleem 12-Mar-2025');</v>
      </c>
      <c r="H475" s="11" t="str">
        <f t="shared" si="31"/>
        <v>insert into ins_premium_det (premium_rcv_code,assorted_code, rec_amount,premium_rcv_detail_code,remaining_amt, payrec, mode_code,coinsurance_code,class_cd,it_remarks) values('12Mar250017','070000178368','3000',(select max(to_number(i.premium_rcv_detail_code))+1
from ins_premium_det i),'3000','3000','02', '11000003','00','Request by Mr. Saqib Saleem 12-Mar-2025');</v>
      </c>
    </row>
    <row r="476" spans="1:8" ht="105" x14ac:dyDescent="0.25">
      <c r="A476" s="1" t="s">
        <v>790</v>
      </c>
      <c r="B476" s="1" t="str">
        <f>VLOOKUP(A476,policy!B:C,2,0)</f>
        <v>070000178369</v>
      </c>
      <c r="C476" s="4">
        <v>3150</v>
      </c>
      <c r="D476" s="8">
        <f t="shared" si="29"/>
        <v>3150</v>
      </c>
      <c r="E476" s="12" t="s">
        <v>821</v>
      </c>
      <c r="F476" s="9" t="str">
        <f t="shared" si="28"/>
        <v>insert into ins_premium_det (premium_rcv_code,assorted_code, rec_amount,premium_rcv_detail_code,remaining_amt, payrec, mode_code,coinsurance_code,class_cd,it_remarks) values</v>
      </c>
      <c r="G476" s="10" t="str">
        <f t="shared" si="30"/>
        <v>('12Mar250017','070000178369','3150',(select max(to_number(i.premium_rcv_detail_code))+1
from ins_premium_det i),'3150','3150','02', '11000003','00','Request by Mr. Saqib Saleem 12-Mar-2025');</v>
      </c>
      <c r="H476" s="11" t="str">
        <f t="shared" si="31"/>
        <v>insert into ins_premium_det (premium_rcv_code,assorted_code, rec_amount,premium_rcv_detail_code,remaining_amt, payrec, mode_code,coinsurance_code,class_cd,it_remarks) values('12Mar250017','070000178369','3150',(select max(to_number(i.premium_rcv_detail_code))+1
from ins_premium_det i),'3150','3150','02', '11000003','00','Request by Mr. Saqib Saleem 12-Mar-2025');</v>
      </c>
    </row>
    <row r="477" spans="1:8" ht="105" x14ac:dyDescent="0.25">
      <c r="A477" s="1" t="s">
        <v>791</v>
      </c>
      <c r="B477" s="1" t="str">
        <f>VLOOKUP(A477,policy!B:C,2,0)</f>
        <v>070000178370</v>
      </c>
      <c r="C477" s="4">
        <v>1649</v>
      </c>
      <c r="D477" s="8">
        <f t="shared" si="29"/>
        <v>1649</v>
      </c>
      <c r="E477" s="12" t="s">
        <v>821</v>
      </c>
      <c r="F477" s="9" t="str">
        <f t="shared" si="28"/>
        <v>insert into ins_premium_det (premium_rcv_code,assorted_code, rec_amount,premium_rcv_detail_code,remaining_amt, payrec, mode_code,coinsurance_code,class_cd,it_remarks) values</v>
      </c>
      <c r="G477" s="10" t="str">
        <f t="shared" si="30"/>
        <v>('12Mar250017','070000178370','1649',(select max(to_number(i.premium_rcv_detail_code))+1
from ins_premium_det i),'1649','1649','02', '11000003','00','Request by Mr. Saqib Saleem 12-Mar-2025');</v>
      </c>
      <c r="H477" s="11" t="str">
        <f t="shared" si="31"/>
        <v>insert into ins_premium_det (premium_rcv_code,assorted_code, rec_amount,premium_rcv_detail_code,remaining_amt, payrec, mode_code,coinsurance_code,class_cd,it_remarks) values('12Mar250017','070000178370','1649',(select max(to_number(i.premium_rcv_detail_code))+1
from ins_premium_det i),'1649','1649','02', '11000003','00','Request by Mr. Saqib Saleem 12-Mar-2025');</v>
      </c>
    </row>
    <row r="478" spans="1:8" ht="105" x14ac:dyDescent="0.25">
      <c r="A478" s="1" t="s">
        <v>792</v>
      </c>
      <c r="B478" s="1" t="str">
        <f>VLOOKUP(A478,policy!B:C,2,0)</f>
        <v>070000178371</v>
      </c>
      <c r="C478" s="4">
        <v>2100</v>
      </c>
      <c r="D478" s="8">
        <f t="shared" si="29"/>
        <v>2100</v>
      </c>
      <c r="E478" s="12" t="s">
        <v>821</v>
      </c>
      <c r="F478" s="9" t="str">
        <f t="shared" si="28"/>
        <v>insert into ins_premium_det (premium_rcv_code,assorted_code, rec_amount,premium_rcv_detail_code,remaining_amt, payrec, mode_code,coinsurance_code,class_cd,it_remarks) values</v>
      </c>
      <c r="G478" s="10" t="str">
        <f t="shared" si="30"/>
        <v>('12Mar250017','070000178371','2100',(select max(to_number(i.premium_rcv_detail_code))+1
from ins_premium_det i),'2100','2100','02', '11000003','00','Request by Mr. Saqib Saleem 12-Mar-2025');</v>
      </c>
      <c r="H478" s="11" t="str">
        <f t="shared" si="31"/>
        <v>insert into ins_premium_det (premium_rcv_code,assorted_code, rec_amount,premium_rcv_detail_code,remaining_amt, payrec, mode_code,coinsurance_code,class_cd,it_remarks) values('12Mar250017','070000178371','2100',(select max(to_number(i.premium_rcv_detail_code))+1
from ins_premium_det i),'2100','2100','02', '11000003','00','Request by Mr. Saqib Saleem 12-Mar-2025');</v>
      </c>
    </row>
    <row r="479" spans="1:8" ht="105" x14ac:dyDescent="0.25">
      <c r="A479" s="1" t="s">
        <v>793</v>
      </c>
      <c r="B479" s="1" t="str">
        <f>VLOOKUP(A479,policy!B:C,2,0)</f>
        <v>070000178372</v>
      </c>
      <c r="C479" s="4">
        <v>3150</v>
      </c>
      <c r="D479" s="8">
        <f t="shared" si="29"/>
        <v>3150</v>
      </c>
      <c r="E479" s="12" t="s">
        <v>821</v>
      </c>
      <c r="F479" s="9" t="str">
        <f t="shared" si="28"/>
        <v>insert into ins_premium_det (premium_rcv_code,assorted_code, rec_amount,premium_rcv_detail_code,remaining_amt, payrec, mode_code,coinsurance_code,class_cd,it_remarks) values</v>
      </c>
      <c r="G479" s="10" t="str">
        <f t="shared" si="30"/>
        <v>('12Mar250017','070000178372','3150',(select max(to_number(i.premium_rcv_detail_code))+1
from ins_premium_det i),'3150','3150','02', '11000003','00','Request by Mr. Saqib Saleem 12-Mar-2025');</v>
      </c>
      <c r="H479" s="11" t="str">
        <f t="shared" si="31"/>
        <v>insert into ins_premium_det (premium_rcv_code,assorted_code, rec_amount,premium_rcv_detail_code,remaining_amt, payrec, mode_code,coinsurance_code,class_cd,it_remarks) values('12Mar250017','070000178372','3150',(select max(to_number(i.premium_rcv_detail_code))+1
from ins_premium_det i),'3150','3150','02', '11000003','00','Request by Mr. Saqib Saleem 12-Mar-2025');</v>
      </c>
    </row>
    <row r="480" spans="1:8" ht="105" x14ac:dyDescent="0.25">
      <c r="A480" s="1" t="s">
        <v>794</v>
      </c>
      <c r="B480" s="1" t="str">
        <f>VLOOKUP(A480,policy!B:C,2,0)</f>
        <v>070000178373</v>
      </c>
      <c r="C480" s="4">
        <v>4650</v>
      </c>
      <c r="D480" s="8">
        <f t="shared" si="29"/>
        <v>4650</v>
      </c>
      <c r="E480" s="12" t="s">
        <v>821</v>
      </c>
      <c r="F480" s="9" t="str">
        <f t="shared" si="28"/>
        <v>insert into ins_premium_det (premium_rcv_code,assorted_code, rec_amount,premium_rcv_detail_code,remaining_amt, payrec, mode_code,coinsurance_code,class_cd,it_remarks) values</v>
      </c>
      <c r="G480" s="10" t="str">
        <f t="shared" si="30"/>
        <v>('12Mar250017','070000178373','4650',(select max(to_number(i.premium_rcv_detail_code))+1
from ins_premium_det i),'4650','4650','02', '11000003','00','Request by Mr. Saqib Saleem 12-Mar-2025');</v>
      </c>
      <c r="H480" s="11" t="str">
        <f t="shared" si="31"/>
        <v>insert into ins_premium_det (premium_rcv_code,assorted_code, rec_amount,premium_rcv_detail_code,remaining_amt, payrec, mode_code,coinsurance_code,class_cd,it_remarks) values('12Mar250017','070000178373','4650',(select max(to_number(i.premium_rcv_detail_code))+1
from ins_premium_det i),'4650','4650','02', '11000003','00','Request by Mr. Saqib Saleem 12-Mar-2025');</v>
      </c>
    </row>
    <row r="481" spans="1:8" ht="105" x14ac:dyDescent="0.25">
      <c r="A481" s="1" t="s">
        <v>795</v>
      </c>
      <c r="B481" s="1" t="str">
        <f>VLOOKUP(A481,policy!B:C,2,0)</f>
        <v>070000178374</v>
      </c>
      <c r="C481" s="4">
        <v>3150</v>
      </c>
      <c r="D481" s="8">
        <f t="shared" si="29"/>
        <v>3150</v>
      </c>
      <c r="E481" s="12" t="s">
        <v>821</v>
      </c>
      <c r="F481" s="9" t="str">
        <f t="shared" si="28"/>
        <v>insert into ins_premium_det (premium_rcv_code,assorted_code, rec_amount,premium_rcv_detail_code,remaining_amt, payrec, mode_code,coinsurance_code,class_cd,it_remarks) values</v>
      </c>
      <c r="G481" s="10" t="str">
        <f t="shared" si="30"/>
        <v>('12Mar250017','070000178374','3150',(select max(to_number(i.premium_rcv_detail_code))+1
from ins_premium_det i),'3150','3150','02', '11000003','00','Request by Mr. Saqib Saleem 12-Mar-2025');</v>
      </c>
      <c r="H481" s="11" t="str">
        <f t="shared" si="31"/>
        <v>insert into ins_premium_det (premium_rcv_code,assorted_code, rec_amount,premium_rcv_detail_code,remaining_amt, payrec, mode_code,coinsurance_code,class_cd,it_remarks) values('12Mar250017','070000178374','3150',(select max(to_number(i.premium_rcv_detail_code))+1
from ins_premium_det i),'3150','3150','02', '11000003','00','Request by Mr. Saqib Saleem 12-Mar-2025');</v>
      </c>
    </row>
    <row r="482" spans="1:8" ht="105" x14ac:dyDescent="0.25">
      <c r="A482" s="1" t="s">
        <v>796</v>
      </c>
      <c r="B482" s="1" t="str">
        <f>VLOOKUP(A482,policy!B:C,2,0)</f>
        <v>070000178375</v>
      </c>
      <c r="C482" s="4">
        <v>3000</v>
      </c>
      <c r="D482" s="8">
        <f t="shared" si="29"/>
        <v>3000</v>
      </c>
      <c r="E482" s="12" t="s">
        <v>821</v>
      </c>
      <c r="F482" s="9" t="str">
        <f t="shared" si="28"/>
        <v>insert into ins_premium_det (premium_rcv_code,assorted_code, rec_amount,premium_rcv_detail_code,remaining_amt, payrec, mode_code,coinsurance_code,class_cd,it_remarks) values</v>
      </c>
      <c r="G482" s="10" t="str">
        <f t="shared" si="30"/>
        <v>('12Mar250017','070000178375','3000',(select max(to_number(i.premium_rcv_detail_code))+1
from ins_premium_det i),'3000','3000','02', '11000003','00','Request by Mr. Saqib Saleem 12-Mar-2025');</v>
      </c>
      <c r="H482" s="11" t="str">
        <f t="shared" si="31"/>
        <v>insert into ins_premium_det (premium_rcv_code,assorted_code, rec_amount,premium_rcv_detail_code,remaining_amt, payrec, mode_code,coinsurance_code,class_cd,it_remarks) values('12Mar250017','070000178375','3000',(select max(to_number(i.premium_rcv_detail_code))+1
from ins_premium_det i),'3000','3000','02', '11000003','00','Request by Mr. Saqib Saleem 12-Mar-2025');</v>
      </c>
    </row>
    <row r="483" spans="1:8" ht="105" x14ac:dyDescent="0.25">
      <c r="A483" s="1" t="s">
        <v>797</v>
      </c>
      <c r="B483" s="1" t="str">
        <f>VLOOKUP(A483,policy!B:C,2,0)</f>
        <v>070000178376</v>
      </c>
      <c r="C483" s="4">
        <v>4950</v>
      </c>
      <c r="D483" s="8">
        <f t="shared" si="29"/>
        <v>4950</v>
      </c>
      <c r="E483" s="12" t="s">
        <v>821</v>
      </c>
      <c r="F483" s="9" t="str">
        <f t="shared" si="28"/>
        <v>insert into ins_premium_det (premium_rcv_code,assorted_code, rec_amount,premium_rcv_detail_code,remaining_amt, payrec, mode_code,coinsurance_code,class_cd,it_remarks) values</v>
      </c>
      <c r="G483" s="10" t="str">
        <f t="shared" si="30"/>
        <v>('12Mar250017','070000178376','4950',(select max(to_number(i.premium_rcv_detail_code))+1
from ins_premium_det i),'4950','4950','02', '11000003','00','Request by Mr. Saqib Saleem 12-Mar-2025');</v>
      </c>
      <c r="H483" s="11" t="str">
        <f t="shared" si="31"/>
        <v>insert into ins_premium_det (premium_rcv_code,assorted_code, rec_amount,premium_rcv_detail_code,remaining_amt, payrec, mode_code,coinsurance_code,class_cd,it_remarks) values('12Mar250017','070000178376','4950',(select max(to_number(i.premium_rcv_detail_code))+1
from ins_premium_det i),'4950','4950','02', '11000003','00','Request by Mr. Saqib Saleem 12-Mar-2025');</v>
      </c>
    </row>
    <row r="484" spans="1:8" ht="105" x14ac:dyDescent="0.25">
      <c r="A484" s="1" t="s">
        <v>798</v>
      </c>
      <c r="B484" s="1" t="str">
        <f>VLOOKUP(A484,policy!B:C,2,0)</f>
        <v>070000178377</v>
      </c>
      <c r="C484" s="4">
        <v>4050</v>
      </c>
      <c r="D484" s="8">
        <f t="shared" si="29"/>
        <v>4050</v>
      </c>
      <c r="E484" s="12" t="s">
        <v>821</v>
      </c>
      <c r="F484" s="9" t="str">
        <f t="shared" si="28"/>
        <v>insert into ins_premium_det (premium_rcv_code,assorted_code, rec_amount,premium_rcv_detail_code,remaining_amt, payrec, mode_code,coinsurance_code,class_cd,it_remarks) values</v>
      </c>
      <c r="G484" s="10" t="str">
        <f t="shared" si="30"/>
        <v>('12Mar250017','070000178377','4050',(select max(to_number(i.premium_rcv_detail_code))+1
from ins_premium_det i),'4050','4050','02', '11000003','00','Request by Mr. Saqib Saleem 12-Mar-2025');</v>
      </c>
      <c r="H484" s="11" t="str">
        <f t="shared" si="31"/>
        <v>insert into ins_premium_det (premium_rcv_code,assorted_code, rec_amount,premium_rcv_detail_code,remaining_amt, payrec, mode_code,coinsurance_code,class_cd,it_remarks) values('12Mar250017','070000178377','4050',(select max(to_number(i.premium_rcv_detail_code))+1
from ins_premium_det i),'4050','4050','02', '11000003','00','Request by Mr. Saqib Saleem 12-Mar-2025');</v>
      </c>
    </row>
    <row r="485" spans="1:8" ht="105" x14ac:dyDescent="0.25">
      <c r="A485" s="1" t="s">
        <v>799</v>
      </c>
      <c r="B485" s="1" t="str">
        <f>VLOOKUP(A485,policy!B:C,2,0)</f>
        <v>070000178378</v>
      </c>
      <c r="C485" s="4">
        <v>3300</v>
      </c>
      <c r="D485" s="8">
        <f t="shared" si="29"/>
        <v>3300</v>
      </c>
      <c r="E485" s="12" t="s">
        <v>821</v>
      </c>
      <c r="F485" s="9" t="str">
        <f t="shared" si="28"/>
        <v>insert into ins_premium_det (premium_rcv_code,assorted_code, rec_amount,premium_rcv_detail_code,remaining_amt, payrec, mode_code,coinsurance_code,class_cd,it_remarks) values</v>
      </c>
      <c r="G485" s="10" t="str">
        <f t="shared" si="30"/>
        <v>('12Mar250017','070000178378','3300',(select max(to_number(i.premium_rcv_detail_code))+1
from ins_premium_det i),'3300','3300','02', '11000003','00','Request by Mr. Saqib Saleem 12-Mar-2025');</v>
      </c>
      <c r="H485" s="11" t="str">
        <f t="shared" si="31"/>
        <v>insert into ins_premium_det (premium_rcv_code,assorted_code, rec_amount,premium_rcv_detail_code,remaining_amt, payrec, mode_code,coinsurance_code,class_cd,it_remarks) values('12Mar250017','070000178378','3300',(select max(to_number(i.premium_rcv_detail_code))+1
from ins_premium_det i),'3300','3300','02', '11000003','00','Request by Mr. Saqib Saleem 12-Mar-2025');</v>
      </c>
    </row>
    <row r="486" spans="1:8" ht="105" x14ac:dyDescent="0.25">
      <c r="A486" s="1" t="s">
        <v>800</v>
      </c>
      <c r="B486" s="1" t="str">
        <f>VLOOKUP(A486,policy!B:C,2,0)</f>
        <v>070000178379</v>
      </c>
      <c r="C486" s="4">
        <v>2851</v>
      </c>
      <c r="D486" s="8">
        <f t="shared" si="29"/>
        <v>2851</v>
      </c>
      <c r="E486" s="12" t="s">
        <v>821</v>
      </c>
      <c r="F486" s="9" t="str">
        <f t="shared" si="28"/>
        <v>insert into ins_premium_det (premium_rcv_code,assorted_code, rec_amount,premium_rcv_detail_code,remaining_amt, payrec, mode_code,coinsurance_code,class_cd,it_remarks) values</v>
      </c>
      <c r="G486" s="10" t="str">
        <f t="shared" si="30"/>
        <v>('12Mar250017','070000178379','2851',(select max(to_number(i.premium_rcv_detail_code))+1
from ins_premium_det i),'2851','2851','02', '11000003','00','Request by Mr. Saqib Saleem 12-Mar-2025');</v>
      </c>
      <c r="H486" s="11" t="str">
        <f t="shared" si="31"/>
        <v>insert into ins_premium_det (premium_rcv_code,assorted_code, rec_amount,premium_rcv_detail_code,remaining_amt, payrec, mode_code,coinsurance_code,class_cd,it_remarks) values('12Mar250017','070000178379','2851',(select max(to_number(i.premium_rcv_detail_code))+1
from ins_premium_det i),'2851','2851','02', '11000003','00','Request by Mr. Saqib Saleem 12-Mar-2025');</v>
      </c>
    </row>
    <row r="487" spans="1:8" ht="105" x14ac:dyDescent="0.25">
      <c r="A487" s="1" t="s">
        <v>801</v>
      </c>
      <c r="B487" s="1" t="str">
        <f>VLOOKUP(A487,policy!B:C,2,0)</f>
        <v>070000178380</v>
      </c>
      <c r="C487" s="4">
        <v>2400</v>
      </c>
      <c r="D487" s="8">
        <f t="shared" si="29"/>
        <v>2400</v>
      </c>
      <c r="E487" s="12" t="s">
        <v>821</v>
      </c>
      <c r="F487" s="9" t="str">
        <f t="shared" si="28"/>
        <v>insert into ins_premium_det (premium_rcv_code,assorted_code, rec_amount,premium_rcv_detail_code,remaining_amt, payrec, mode_code,coinsurance_code,class_cd,it_remarks) values</v>
      </c>
      <c r="G487" s="10" t="str">
        <f t="shared" si="30"/>
        <v>('12Mar250017','070000178380','2400',(select max(to_number(i.premium_rcv_detail_code))+1
from ins_premium_det i),'2400','2400','02', '11000003','00','Request by Mr. Saqib Saleem 12-Mar-2025');</v>
      </c>
      <c r="H487" s="11" t="str">
        <f t="shared" si="31"/>
        <v>insert into ins_premium_det (premium_rcv_code,assorted_code, rec_amount,premium_rcv_detail_code,remaining_amt, payrec, mode_code,coinsurance_code,class_cd,it_remarks) values('12Mar250017','070000178380','2400',(select max(to_number(i.premium_rcv_detail_code))+1
from ins_premium_det i),'2400','2400','02', '11000003','00','Request by Mr. Saqib Saleem 12-Mar-2025');</v>
      </c>
    </row>
    <row r="488" spans="1:8" ht="105" x14ac:dyDescent="0.25">
      <c r="A488" s="1" t="s">
        <v>802</v>
      </c>
      <c r="B488" s="1" t="str">
        <f>VLOOKUP(A488,policy!B:C,2,0)</f>
        <v>070000178381</v>
      </c>
      <c r="C488" s="4">
        <v>3150</v>
      </c>
      <c r="D488" s="8">
        <f t="shared" si="29"/>
        <v>3150</v>
      </c>
      <c r="E488" s="12" t="s">
        <v>821</v>
      </c>
      <c r="F488" s="9" t="str">
        <f t="shared" si="28"/>
        <v>insert into ins_premium_det (premium_rcv_code,assorted_code, rec_amount,premium_rcv_detail_code,remaining_amt, payrec, mode_code,coinsurance_code,class_cd,it_remarks) values</v>
      </c>
      <c r="G488" s="10" t="str">
        <f t="shared" si="30"/>
        <v>('12Mar250017','070000178381','3150',(select max(to_number(i.premium_rcv_detail_code))+1
from ins_premium_det i),'3150','3150','02', '11000003','00','Request by Mr. Saqib Saleem 12-Mar-2025');</v>
      </c>
      <c r="H488" s="11" t="str">
        <f t="shared" si="31"/>
        <v>insert into ins_premium_det (premium_rcv_code,assorted_code, rec_amount,premium_rcv_detail_code,remaining_amt, payrec, mode_code,coinsurance_code,class_cd,it_remarks) values('12Mar250017','070000178381','3150',(select max(to_number(i.premium_rcv_detail_code))+1
from ins_premium_det i),'3150','3150','02', '11000003','00','Request by Mr. Saqib Saleem 12-Mar-2025');</v>
      </c>
    </row>
    <row r="489" spans="1:8" ht="105" x14ac:dyDescent="0.25">
      <c r="A489" s="1" t="s">
        <v>803</v>
      </c>
      <c r="B489" s="1" t="str">
        <f>VLOOKUP(A489,policy!B:C,2,0)</f>
        <v>070000178382</v>
      </c>
      <c r="C489" s="4">
        <v>2700</v>
      </c>
      <c r="D489" s="8">
        <f t="shared" si="29"/>
        <v>2700</v>
      </c>
      <c r="E489" s="12" t="s">
        <v>821</v>
      </c>
      <c r="F489" s="9" t="str">
        <f t="shared" si="28"/>
        <v>insert into ins_premium_det (premium_rcv_code,assorted_code, rec_amount,premium_rcv_detail_code,remaining_amt, payrec, mode_code,coinsurance_code,class_cd,it_remarks) values</v>
      </c>
      <c r="G489" s="10" t="str">
        <f t="shared" si="30"/>
        <v>('12Mar250017','070000178382','2700',(select max(to_number(i.premium_rcv_detail_code))+1
from ins_premium_det i),'2700','2700','02', '11000003','00','Request by Mr. Saqib Saleem 12-Mar-2025');</v>
      </c>
      <c r="H489" s="11" t="str">
        <f t="shared" si="31"/>
        <v>insert into ins_premium_det (premium_rcv_code,assorted_code, rec_amount,premium_rcv_detail_code,remaining_amt, payrec, mode_code,coinsurance_code,class_cd,it_remarks) values('12Mar250017','070000178382','2700',(select max(to_number(i.premium_rcv_detail_code))+1
from ins_premium_det i),'2700','2700','02', '11000003','00','Request by Mr. Saqib Saleem 12-Mar-2025');</v>
      </c>
    </row>
    <row r="490" spans="1:8" ht="105" x14ac:dyDescent="0.25">
      <c r="A490" s="1" t="s">
        <v>804</v>
      </c>
      <c r="B490" s="1" t="str">
        <f>VLOOKUP(A490,policy!B:C,2,0)</f>
        <v>070000178383</v>
      </c>
      <c r="C490" s="4">
        <v>5400</v>
      </c>
      <c r="D490" s="8">
        <f t="shared" si="29"/>
        <v>5400</v>
      </c>
      <c r="E490" s="12" t="s">
        <v>821</v>
      </c>
      <c r="F490" s="9" t="str">
        <f t="shared" si="28"/>
        <v>insert into ins_premium_det (premium_rcv_code,assorted_code, rec_amount,premium_rcv_detail_code,remaining_amt, payrec, mode_code,coinsurance_code,class_cd,it_remarks) values</v>
      </c>
      <c r="G490" s="10" t="str">
        <f t="shared" si="30"/>
        <v>('12Mar250017','070000178383','5400',(select max(to_number(i.premium_rcv_detail_code))+1
from ins_premium_det i),'5400','5400','02', '11000003','00','Request by Mr. Saqib Saleem 12-Mar-2025');</v>
      </c>
      <c r="H490" s="11" t="str">
        <f t="shared" si="31"/>
        <v>insert into ins_premium_det (premium_rcv_code,assorted_code, rec_amount,premium_rcv_detail_code,remaining_amt, payrec, mode_code,coinsurance_code,class_cd,it_remarks) values('12Mar250017','070000178383','5400',(select max(to_number(i.premium_rcv_detail_code))+1
from ins_premium_det i),'5400','5400','02', '11000003','00','Request by Mr. Saqib Saleem 12-Mar-2025');</v>
      </c>
    </row>
    <row r="491" spans="1:8" ht="105" x14ac:dyDescent="0.25">
      <c r="A491" s="1" t="s">
        <v>805</v>
      </c>
      <c r="B491" s="1" t="str">
        <f>VLOOKUP(A491,policy!B:C,2,0)</f>
        <v>070000178384</v>
      </c>
      <c r="C491" s="4">
        <v>3300</v>
      </c>
      <c r="D491" s="8">
        <f t="shared" si="29"/>
        <v>3300</v>
      </c>
      <c r="E491" s="12" t="s">
        <v>821</v>
      </c>
      <c r="F491" s="9" t="str">
        <f t="shared" si="28"/>
        <v>insert into ins_premium_det (premium_rcv_code,assorted_code, rec_amount,premium_rcv_detail_code,remaining_amt, payrec, mode_code,coinsurance_code,class_cd,it_remarks) values</v>
      </c>
      <c r="G491" s="10" t="str">
        <f t="shared" si="30"/>
        <v>('12Mar250017','070000178384','3300',(select max(to_number(i.premium_rcv_detail_code))+1
from ins_premium_det i),'3300','3300','02', '11000003','00','Request by Mr. Saqib Saleem 12-Mar-2025');</v>
      </c>
      <c r="H491" s="11" t="str">
        <f t="shared" si="31"/>
        <v>insert into ins_premium_det (premium_rcv_code,assorted_code, rec_amount,premium_rcv_detail_code,remaining_amt, payrec, mode_code,coinsurance_code,class_cd,it_remarks) values('12Mar250017','070000178384','3300',(select max(to_number(i.premium_rcv_detail_code))+1
from ins_premium_det i),'3300','3300','02', '11000003','00','Request by Mr. Saqib Saleem 12-Mar-2025');</v>
      </c>
    </row>
    <row r="492" spans="1:8" ht="105" x14ac:dyDescent="0.25">
      <c r="A492" s="1" t="s">
        <v>806</v>
      </c>
      <c r="B492" s="1" t="str">
        <f>VLOOKUP(A492,policy!B:C,2,0)</f>
        <v>070000178385</v>
      </c>
      <c r="C492" s="4">
        <v>3150</v>
      </c>
      <c r="D492" s="8">
        <f t="shared" si="29"/>
        <v>3150</v>
      </c>
      <c r="E492" s="12" t="s">
        <v>821</v>
      </c>
      <c r="F492" s="9" t="str">
        <f t="shared" si="28"/>
        <v>insert into ins_premium_det (premium_rcv_code,assorted_code, rec_amount,premium_rcv_detail_code,remaining_amt, payrec, mode_code,coinsurance_code,class_cd,it_remarks) values</v>
      </c>
      <c r="G492" s="10" t="str">
        <f t="shared" si="30"/>
        <v>('12Mar250017','070000178385','3150',(select max(to_number(i.premium_rcv_detail_code))+1
from ins_premium_det i),'3150','3150','02', '11000003','00','Request by Mr. Saqib Saleem 12-Mar-2025');</v>
      </c>
      <c r="H492" s="11" t="str">
        <f t="shared" si="31"/>
        <v>insert into ins_premium_det (premium_rcv_code,assorted_code, rec_amount,premium_rcv_detail_code,remaining_amt, payrec, mode_code,coinsurance_code,class_cd,it_remarks) values('12Mar250017','070000178385','3150',(select max(to_number(i.premium_rcv_detail_code))+1
from ins_premium_det i),'3150','3150','02', '11000003','00','Request by Mr. Saqib Saleem 12-Mar-2025');</v>
      </c>
    </row>
    <row r="493" spans="1:8" ht="105" x14ac:dyDescent="0.25">
      <c r="A493" s="1" t="s">
        <v>807</v>
      </c>
      <c r="B493" s="1" t="str">
        <f>VLOOKUP(A493,policy!B:C,2,0)</f>
        <v>070000178386</v>
      </c>
      <c r="C493" s="4">
        <v>5101</v>
      </c>
      <c r="D493" s="8">
        <f t="shared" si="29"/>
        <v>5101</v>
      </c>
      <c r="E493" s="12" t="s">
        <v>821</v>
      </c>
      <c r="F493" s="9" t="str">
        <f t="shared" si="28"/>
        <v>insert into ins_premium_det (premium_rcv_code,assorted_code, rec_amount,premium_rcv_detail_code,remaining_amt, payrec, mode_code,coinsurance_code,class_cd,it_remarks) values</v>
      </c>
      <c r="G493" s="10" t="str">
        <f t="shared" si="30"/>
        <v>('12Mar250017','070000178386','5101',(select max(to_number(i.premium_rcv_detail_code))+1
from ins_premium_det i),'5101','5101','02', '11000003','00','Request by Mr. Saqib Saleem 12-Mar-2025');</v>
      </c>
      <c r="H493" s="11" t="str">
        <f t="shared" si="31"/>
        <v>insert into ins_premium_det (premium_rcv_code,assorted_code, rec_amount,premium_rcv_detail_code,remaining_amt, payrec, mode_code,coinsurance_code,class_cd,it_remarks) values('12Mar250017','070000178386','5101',(select max(to_number(i.premium_rcv_detail_code))+1
from ins_premium_det i),'5101','5101','02', '11000003','00','Request by Mr. Saqib Saleem 12-Mar-2025');</v>
      </c>
    </row>
    <row r="494" spans="1:8" ht="105" x14ac:dyDescent="0.25">
      <c r="A494" s="1" t="s">
        <v>808</v>
      </c>
      <c r="B494" s="1" t="str">
        <f>VLOOKUP(A494,policy!B:C,2,0)</f>
        <v>070000178387</v>
      </c>
      <c r="C494" s="4">
        <v>14549</v>
      </c>
      <c r="D494" s="8">
        <f t="shared" si="29"/>
        <v>14549</v>
      </c>
      <c r="E494" s="12" t="s">
        <v>821</v>
      </c>
      <c r="F494" s="9" t="str">
        <f t="shared" si="28"/>
        <v>insert into ins_premium_det (premium_rcv_code,assorted_code, rec_amount,premium_rcv_detail_code,remaining_amt, payrec, mode_code,coinsurance_code,class_cd,it_remarks) values</v>
      </c>
      <c r="G494" s="10" t="str">
        <f t="shared" si="30"/>
        <v>('12Mar250017','070000178387','14549',(select max(to_number(i.premium_rcv_detail_code))+1
from ins_premium_det i),'14549','14549','02', '11000003','00','Request by Mr. Saqib Saleem 12-Mar-2025');</v>
      </c>
      <c r="H494" s="11" t="str">
        <f t="shared" si="31"/>
        <v>insert into ins_premium_det (premium_rcv_code,assorted_code, rec_amount,premium_rcv_detail_code,remaining_amt, payrec, mode_code,coinsurance_code,class_cd,it_remarks) values('12Mar250017','070000178387','14549',(select max(to_number(i.premium_rcv_detail_code))+1
from ins_premium_det i),'14549','14549','02', '11000003','00','Request by Mr. Saqib Saleem 12-Mar-2025');</v>
      </c>
    </row>
    <row r="495" spans="1:8" ht="105" x14ac:dyDescent="0.25">
      <c r="A495" s="1" t="s">
        <v>809</v>
      </c>
      <c r="B495" s="1" t="str">
        <f>VLOOKUP(A495,policy!B:C,2,0)</f>
        <v>070000178388</v>
      </c>
      <c r="C495" s="4">
        <v>14400</v>
      </c>
      <c r="D495" s="8">
        <f t="shared" si="29"/>
        <v>14400</v>
      </c>
      <c r="E495" s="12" t="s">
        <v>821</v>
      </c>
      <c r="F495" s="9" t="str">
        <f t="shared" si="28"/>
        <v>insert into ins_premium_det (premium_rcv_code,assorted_code, rec_amount,premium_rcv_detail_code,remaining_amt, payrec, mode_code,coinsurance_code,class_cd,it_remarks) values</v>
      </c>
      <c r="G495" s="10" t="str">
        <f t="shared" si="30"/>
        <v>('12Mar250017','070000178388','14400',(select max(to_number(i.premium_rcv_detail_code))+1
from ins_premium_det i),'14400','14400','02', '11000003','00','Request by Mr. Saqib Saleem 12-Mar-2025');</v>
      </c>
      <c r="H495" s="11" t="str">
        <f t="shared" si="31"/>
        <v>insert into ins_premium_det (premium_rcv_code,assorted_code, rec_amount,premium_rcv_detail_code,remaining_amt, payrec, mode_code,coinsurance_code,class_cd,it_remarks) values('12Mar250017','070000178388','14400',(select max(to_number(i.premium_rcv_detail_code))+1
from ins_premium_det i),'14400','14400','02', '11000003','00','Request by Mr. Saqib Saleem 12-Mar-2025');</v>
      </c>
    </row>
    <row r="496" spans="1:8" ht="105" x14ac:dyDescent="0.25">
      <c r="A496" s="1" t="s">
        <v>811</v>
      </c>
      <c r="B496" s="1" t="str">
        <f>VLOOKUP(A496,policy!B:C,2,0)</f>
        <v>070000178389</v>
      </c>
      <c r="C496" s="4">
        <v>4800</v>
      </c>
      <c r="D496" s="8">
        <f t="shared" si="29"/>
        <v>4800</v>
      </c>
      <c r="E496" s="12" t="s">
        <v>821</v>
      </c>
      <c r="F496" s="9" t="str">
        <f t="shared" si="28"/>
        <v>insert into ins_premium_det (premium_rcv_code,assorted_code, rec_amount,premium_rcv_detail_code,remaining_amt, payrec, mode_code,coinsurance_code,class_cd,it_remarks) values</v>
      </c>
      <c r="G496" s="10" t="str">
        <f t="shared" si="30"/>
        <v>('12Mar250017','070000178389','4800',(select max(to_number(i.premium_rcv_detail_code))+1
from ins_premium_det i),'4800','4800','02', '11000003','00','Request by Mr. Saqib Saleem 12-Mar-2025');</v>
      </c>
      <c r="H496" s="11" t="str">
        <f t="shared" si="31"/>
        <v>insert into ins_premium_det (premium_rcv_code,assorted_code, rec_amount,premium_rcv_detail_code,remaining_amt, payrec, mode_code,coinsurance_code,class_cd,it_remarks) values('12Mar250017','070000178389','4800',(select max(to_number(i.premium_rcv_detail_code))+1
from ins_premium_det i),'4800','4800','02', '11000003','00','Request by Mr. Saqib Saleem 12-Mar-2025');</v>
      </c>
    </row>
    <row r="497" spans="1:8" ht="105" x14ac:dyDescent="0.25">
      <c r="A497" s="1" t="s">
        <v>812</v>
      </c>
      <c r="B497" s="1" t="str">
        <f>VLOOKUP(A497,policy!B:C,2,0)</f>
        <v>070000178390</v>
      </c>
      <c r="C497" s="4">
        <v>3150</v>
      </c>
      <c r="D497" s="8">
        <f t="shared" si="29"/>
        <v>3150</v>
      </c>
      <c r="E497" s="12" t="s">
        <v>821</v>
      </c>
      <c r="F497" s="9" t="str">
        <f t="shared" si="28"/>
        <v>insert into ins_premium_det (premium_rcv_code,assorted_code, rec_amount,premium_rcv_detail_code,remaining_amt, payrec, mode_code,coinsurance_code,class_cd,it_remarks) values</v>
      </c>
      <c r="G497" s="10" t="str">
        <f t="shared" si="30"/>
        <v>('12Mar250017','070000178390','3150',(select max(to_number(i.premium_rcv_detail_code))+1
from ins_premium_det i),'3150','3150','02', '11000003','00','Request by Mr. Saqib Saleem 12-Mar-2025');</v>
      </c>
      <c r="H497" s="11" t="str">
        <f t="shared" si="31"/>
        <v>insert into ins_premium_det (premium_rcv_code,assorted_code, rec_amount,premium_rcv_detail_code,remaining_amt, payrec, mode_code,coinsurance_code,class_cd,it_remarks) values('12Mar250017','070000178390','3150',(select max(to_number(i.premium_rcv_detail_code))+1
from ins_premium_det i),'3150','3150','02', '11000003','00','Request by Mr. Saqib Saleem 12-Mar-2025');</v>
      </c>
    </row>
    <row r="498" spans="1:8" ht="105" x14ac:dyDescent="0.25">
      <c r="A498" s="1" t="s">
        <v>813</v>
      </c>
      <c r="B498" s="1" t="str">
        <f>VLOOKUP(A498,policy!B:C,2,0)</f>
        <v>070000178391</v>
      </c>
      <c r="C498" s="4">
        <v>15301</v>
      </c>
      <c r="D498" s="8">
        <f t="shared" si="29"/>
        <v>15301</v>
      </c>
      <c r="E498" s="12" t="s">
        <v>821</v>
      </c>
      <c r="F498" s="9" t="str">
        <f t="shared" si="28"/>
        <v>insert into ins_premium_det (premium_rcv_code,assorted_code, rec_amount,premium_rcv_detail_code,remaining_amt, payrec, mode_code,coinsurance_code,class_cd,it_remarks) values</v>
      </c>
      <c r="G498" s="10" t="str">
        <f t="shared" si="30"/>
        <v>('12Mar250017','070000178391','15301',(select max(to_number(i.premium_rcv_detail_code))+1
from ins_premium_det i),'15301','15301','02', '11000003','00','Request by Mr. Saqib Saleem 12-Mar-2025');</v>
      </c>
      <c r="H498" s="11" t="str">
        <f t="shared" si="31"/>
        <v>insert into ins_premium_det (premium_rcv_code,assorted_code, rec_amount,premium_rcv_detail_code,remaining_amt, payrec, mode_code,coinsurance_code,class_cd,it_remarks) values('12Mar250017','070000178391','15301',(select max(to_number(i.premium_rcv_detail_code))+1
from ins_premium_det i),'15301','15301','02', '11000003','00','Request by Mr. Saqib Saleem 12-Mar-2025');</v>
      </c>
    </row>
    <row r="499" spans="1:8" ht="105" x14ac:dyDescent="0.25">
      <c r="A499" s="1" t="s">
        <v>814</v>
      </c>
      <c r="B499" s="1" t="str">
        <f>VLOOKUP(A499,policy!B:C,2,0)</f>
        <v>070000178392</v>
      </c>
      <c r="C499" s="4">
        <v>15000</v>
      </c>
      <c r="D499" s="8">
        <f t="shared" si="29"/>
        <v>15000</v>
      </c>
      <c r="E499" s="12" t="s">
        <v>821</v>
      </c>
      <c r="F499" s="9" t="str">
        <f t="shared" si="28"/>
        <v>insert into ins_premium_det (premium_rcv_code,assorted_code, rec_amount,premium_rcv_detail_code,remaining_amt, payrec, mode_code,coinsurance_code,class_cd,it_remarks) values</v>
      </c>
      <c r="G499" s="10" t="str">
        <f t="shared" si="30"/>
        <v>('12Mar250017','070000178392','15000',(select max(to_number(i.premium_rcv_detail_code))+1
from ins_premium_det i),'15000','15000','02', '11000003','00','Request by Mr. Saqib Saleem 12-Mar-2025');</v>
      </c>
      <c r="H499" s="11" t="str">
        <f t="shared" si="31"/>
        <v>insert into ins_premium_det (premium_rcv_code,assorted_code, rec_amount,premium_rcv_detail_code,remaining_amt, payrec, mode_code,coinsurance_code,class_cd,it_remarks) values('12Mar250017','070000178392','15000',(select max(to_number(i.premium_rcv_detail_code))+1
from ins_premium_det i),'15000','15000','02', '11000003','00','Request by Mr. Saqib Saleem 12-Mar-2025');</v>
      </c>
    </row>
    <row r="500" spans="1:8" ht="105" x14ac:dyDescent="0.25">
      <c r="A500" s="1" t="s">
        <v>816</v>
      </c>
      <c r="B500" s="1" t="str">
        <f>VLOOKUP(A500,policy!B:C,2,0)</f>
        <v>070000178393</v>
      </c>
      <c r="C500" s="4">
        <v>8250</v>
      </c>
      <c r="D500" s="8">
        <f t="shared" si="29"/>
        <v>8250</v>
      </c>
      <c r="E500" s="12" t="s">
        <v>821</v>
      </c>
      <c r="F500" s="9" t="str">
        <f t="shared" si="28"/>
        <v>insert into ins_premium_det (premium_rcv_code,assorted_code, rec_amount,premium_rcv_detail_code,remaining_amt, payrec, mode_code,coinsurance_code,class_cd,it_remarks) values</v>
      </c>
      <c r="G500" s="10" t="str">
        <f t="shared" si="30"/>
        <v>('12Mar250017','070000178393','8250',(select max(to_number(i.premium_rcv_detail_code))+1
from ins_premium_det i),'8250','8250','02', '11000003','00','Request by Mr. Saqib Saleem 12-Mar-2025');</v>
      </c>
      <c r="H500" s="11" t="str">
        <f t="shared" si="31"/>
        <v>insert into ins_premium_det (premium_rcv_code,assorted_code, rec_amount,premium_rcv_detail_code,remaining_amt, payrec, mode_code,coinsurance_code,class_cd,it_remarks) values('12Mar250017','070000178393','8250',(select max(to_number(i.premium_rcv_detail_code))+1
from ins_premium_det i),'8250','8250','02', '11000003','00','Request by Mr. Saqib Saleem 12-Mar-2025');</v>
      </c>
    </row>
  </sheetData>
  <conditionalFormatting sqref="A1">
    <cfRule type="duplicateValues" dxfId="3" priority="1"/>
  </conditionalFormatting>
  <conditionalFormatting sqref="A2:B2 B3:B500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251D-ED36-4F17-8435-5D5D4B636DB9}">
  <dimension ref="A1:E499"/>
  <sheetViews>
    <sheetView workbookViewId="0">
      <selection activeCell="H8" sqref="H8"/>
    </sheetView>
  </sheetViews>
  <sheetFormatPr defaultRowHeight="15" x14ac:dyDescent="0.25"/>
  <cols>
    <col min="1" max="1" width="31.140625" bestFit="1" customWidth="1"/>
  </cols>
  <sheetData>
    <row r="1" spans="1:5" x14ac:dyDescent="0.25">
      <c r="A1" s="1" t="s">
        <v>26</v>
      </c>
      <c r="B1" t="s">
        <v>817</v>
      </c>
      <c r="D1">
        <v>3095</v>
      </c>
      <c r="E1" t="str">
        <f>"ia.assorted_string like '%"&amp;D1&amp;B1&amp;"%' or"</f>
        <v>ia.assorted_string like '%3095-03-2025%' or</v>
      </c>
    </row>
    <row r="2" spans="1:5" x14ac:dyDescent="0.25">
      <c r="A2" s="1" t="s">
        <v>33</v>
      </c>
      <c r="B2" t="s">
        <v>817</v>
      </c>
      <c r="D2">
        <v>3096</v>
      </c>
      <c r="E2" t="str">
        <f t="shared" ref="E2:E65" si="0">"ia.assorted_string like '%"&amp;D2&amp;B2&amp;"%' or"</f>
        <v>ia.assorted_string like '%3096-03-2025%' or</v>
      </c>
    </row>
    <row r="3" spans="1:5" x14ac:dyDescent="0.25">
      <c r="A3" s="1" t="s">
        <v>35</v>
      </c>
      <c r="B3" t="s">
        <v>817</v>
      </c>
      <c r="D3">
        <v>3097</v>
      </c>
      <c r="E3" t="str">
        <f t="shared" si="0"/>
        <v>ia.assorted_string like '%3097-03-2025%' or</v>
      </c>
    </row>
    <row r="4" spans="1:5" x14ac:dyDescent="0.25">
      <c r="A4" s="1" t="s">
        <v>37</v>
      </c>
      <c r="B4" t="s">
        <v>817</v>
      </c>
      <c r="D4">
        <v>3098</v>
      </c>
      <c r="E4" t="str">
        <f t="shared" si="0"/>
        <v>ia.assorted_string like '%3098-03-2025%' or</v>
      </c>
    </row>
    <row r="5" spans="1:5" x14ac:dyDescent="0.25">
      <c r="A5" s="1" t="s">
        <v>39</v>
      </c>
      <c r="B5" t="s">
        <v>817</v>
      </c>
      <c r="D5">
        <v>3099</v>
      </c>
      <c r="E5" t="str">
        <f t="shared" si="0"/>
        <v>ia.assorted_string like '%3099-03-2025%' or</v>
      </c>
    </row>
    <row r="6" spans="1:5" x14ac:dyDescent="0.25">
      <c r="A6" s="1" t="s">
        <v>41</v>
      </c>
      <c r="B6" t="s">
        <v>817</v>
      </c>
      <c r="D6">
        <v>3100</v>
      </c>
      <c r="E6" t="str">
        <f t="shared" si="0"/>
        <v>ia.assorted_string like '%3100-03-2025%' or</v>
      </c>
    </row>
    <row r="7" spans="1:5" x14ac:dyDescent="0.25">
      <c r="A7" s="1" t="s">
        <v>43</v>
      </c>
      <c r="B7" t="s">
        <v>817</v>
      </c>
      <c r="D7">
        <v>3101</v>
      </c>
      <c r="E7" t="str">
        <f t="shared" si="0"/>
        <v>ia.assorted_string like '%3101-03-2025%' or</v>
      </c>
    </row>
    <row r="8" spans="1:5" x14ac:dyDescent="0.25">
      <c r="A8" s="1" t="s">
        <v>45</v>
      </c>
      <c r="B8" t="s">
        <v>817</v>
      </c>
      <c r="D8">
        <v>3102</v>
      </c>
      <c r="E8" t="str">
        <f t="shared" si="0"/>
        <v>ia.assorted_string like '%3102-03-2025%' or</v>
      </c>
    </row>
    <row r="9" spans="1:5" x14ac:dyDescent="0.25">
      <c r="A9" s="1" t="s">
        <v>47</v>
      </c>
      <c r="B9" t="s">
        <v>817</v>
      </c>
      <c r="D9">
        <v>3103</v>
      </c>
      <c r="E9" t="str">
        <f t="shared" si="0"/>
        <v>ia.assorted_string like '%3103-03-2025%' or</v>
      </c>
    </row>
    <row r="10" spans="1:5" x14ac:dyDescent="0.25">
      <c r="A10" s="1" t="s">
        <v>49</v>
      </c>
      <c r="B10" t="s">
        <v>817</v>
      </c>
      <c r="D10">
        <v>3104</v>
      </c>
      <c r="E10" t="str">
        <f t="shared" si="0"/>
        <v>ia.assorted_string like '%3104-03-2025%' or</v>
      </c>
    </row>
    <row r="11" spans="1:5" x14ac:dyDescent="0.25">
      <c r="A11" s="1" t="s">
        <v>51</v>
      </c>
      <c r="B11" t="s">
        <v>817</v>
      </c>
      <c r="D11">
        <v>3105</v>
      </c>
      <c r="E11" t="str">
        <f t="shared" si="0"/>
        <v>ia.assorted_string like '%3105-03-2025%' or</v>
      </c>
    </row>
    <row r="12" spans="1:5" x14ac:dyDescent="0.25">
      <c r="A12" s="1" t="s">
        <v>53</v>
      </c>
      <c r="B12" t="s">
        <v>817</v>
      </c>
      <c r="D12">
        <v>3106</v>
      </c>
      <c r="E12" t="str">
        <f t="shared" si="0"/>
        <v>ia.assorted_string like '%3106-03-2025%' or</v>
      </c>
    </row>
    <row r="13" spans="1:5" x14ac:dyDescent="0.25">
      <c r="A13" s="1" t="s">
        <v>55</v>
      </c>
      <c r="B13" t="s">
        <v>817</v>
      </c>
      <c r="D13">
        <v>3107</v>
      </c>
      <c r="E13" t="str">
        <f t="shared" si="0"/>
        <v>ia.assorted_string like '%3107-03-2025%' or</v>
      </c>
    </row>
    <row r="14" spans="1:5" x14ac:dyDescent="0.25">
      <c r="A14" s="1" t="s">
        <v>57</v>
      </c>
      <c r="B14" t="s">
        <v>817</v>
      </c>
      <c r="D14">
        <v>3108</v>
      </c>
      <c r="E14" t="str">
        <f t="shared" si="0"/>
        <v>ia.assorted_string like '%3108-03-2025%' or</v>
      </c>
    </row>
    <row r="15" spans="1:5" x14ac:dyDescent="0.25">
      <c r="A15" s="1" t="s">
        <v>59</v>
      </c>
      <c r="B15" t="s">
        <v>817</v>
      </c>
      <c r="D15">
        <v>3109</v>
      </c>
      <c r="E15" t="str">
        <f t="shared" si="0"/>
        <v>ia.assorted_string like '%3109-03-2025%' or</v>
      </c>
    </row>
    <row r="16" spans="1:5" x14ac:dyDescent="0.25">
      <c r="A16" s="1" t="s">
        <v>61</v>
      </c>
      <c r="B16" t="s">
        <v>817</v>
      </c>
      <c r="D16">
        <v>3110</v>
      </c>
      <c r="E16" t="str">
        <f t="shared" si="0"/>
        <v>ia.assorted_string like '%3110-03-2025%' or</v>
      </c>
    </row>
    <row r="17" spans="1:5" x14ac:dyDescent="0.25">
      <c r="A17" s="1" t="s">
        <v>63</v>
      </c>
      <c r="B17" t="s">
        <v>817</v>
      </c>
      <c r="D17">
        <v>3111</v>
      </c>
      <c r="E17" t="str">
        <f t="shared" si="0"/>
        <v>ia.assorted_string like '%3111-03-2025%' or</v>
      </c>
    </row>
    <row r="18" spans="1:5" x14ac:dyDescent="0.25">
      <c r="A18" s="1" t="s">
        <v>65</v>
      </c>
      <c r="B18" t="s">
        <v>817</v>
      </c>
      <c r="D18">
        <v>3112</v>
      </c>
      <c r="E18" t="str">
        <f t="shared" si="0"/>
        <v>ia.assorted_string like '%3112-03-2025%' or</v>
      </c>
    </row>
    <row r="19" spans="1:5" x14ac:dyDescent="0.25">
      <c r="A19" s="1" t="s">
        <v>67</v>
      </c>
      <c r="B19" t="s">
        <v>817</v>
      </c>
      <c r="D19">
        <v>3113</v>
      </c>
      <c r="E19" t="str">
        <f t="shared" si="0"/>
        <v>ia.assorted_string like '%3113-03-2025%' or</v>
      </c>
    </row>
    <row r="20" spans="1:5" x14ac:dyDescent="0.25">
      <c r="A20" s="1" t="s">
        <v>69</v>
      </c>
      <c r="B20" t="s">
        <v>817</v>
      </c>
      <c r="D20">
        <v>3114</v>
      </c>
      <c r="E20" t="str">
        <f t="shared" si="0"/>
        <v>ia.assorted_string like '%3114-03-2025%' or</v>
      </c>
    </row>
    <row r="21" spans="1:5" x14ac:dyDescent="0.25">
      <c r="A21" s="1" t="s">
        <v>71</v>
      </c>
      <c r="B21" t="s">
        <v>817</v>
      </c>
      <c r="D21">
        <v>3115</v>
      </c>
      <c r="E21" t="str">
        <f t="shared" si="0"/>
        <v>ia.assorted_string like '%3115-03-2025%' or</v>
      </c>
    </row>
    <row r="22" spans="1:5" x14ac:dyDescent="0.25">
      <c r="A22" s="1" t="s">
        <v>73</v>
      </c>
      <c r="B22" t="s">
        <v>817</v>
      </c>
      <c r="D22">
        <v>3116</v>
      </c>
      <c r="E22" t="str">
        <f t="shared" si="0"/>
        <v>ia.assorted_string like '%3116-03-2025%' or</v>
      </c>
    </row>
    <row r="23" spans="1:5" x14ac:dyDescent="0.25">
      <c r="A23" s="1" t="s">
        <v>75</v>
      </c>
      <c r="B23" t="s">
        <v>817</v>
      </c>
      <c r="D23">
        <v>3117</v>
      </c>
      <c r="E23" t="str">
        <f t="shared" si="0"/>
        <v>ia.assorted_string like '%3117-03-2025%' or</v>
      </c>
    </row>
    <row r="24" spans="1:5" x14ac:dyDescent="0.25">
      <c r="A24" s="1" t="s">
        <v>77</v>
      </c>
      <c r="B24" t="s">
        <v>817</v>
      </c>
      <c r="D24">
        <v>3118</v>
      </c>
      <c r="E24" t="str">
        <f t="shared" si="0"/>
        <v>ia.assorted_string like '%3118-03-2025%' or</v>
      </c>
    </row>
    <row r="25" spans="1:5" x14ac:dyDescent="0.25">
      <c r="A25" s="1" t="s">
        <v>79</v>
      </c>
      <c r="B25" t="s">
        <v>817</v>
      </c>
      <c r="D25">
        <v>3119</v>
      </c>
      <c r="E25" t="str">
        <f t="shared" si="0"/>
        <v>ia.assorted_string like '%3119-03-2025%' or</v>
      </c>
    </row>
    <row r="26" spans="1:5" x14ac:dyDescent="0.25">
      <c r="A26" s="1" t="s">
        <v>81</v>
      </c>
      <c r="B26" t="s">
        <v>817</v>
      </c>
      <c r="D26">
        <v>3120</v>
      </c>
      <c r="E26" t="str">
        <f t="shared" si="0"/>
        <v>ia.assorted_string like '%3120-03-2025%' or</v>
      </c>
    </row>
    <row r="27" spans="1:5" x14ac:dyDescent="0.25">
      <c r="A27" s="1" t="s">
        <v>83</v>
      </c>
      <c r="B27" t="s">
        <v>817</v>
      </c>
      <c r="D27">
        <v>3121</v>
      </c>
      <c r="E27" t="str">
        <f t="shared" si="0"/>
        <v>ia.assorted_string like '%3121-03-2025%' or</v>
      </c>
    </row>
    <row r="28" spans="1:5" x14ac:dyDescent="0.25">
      <c r="A28" s="1" t="s">
        <v>85</v>
      </c>
      <c r="B28" t="s">
        <v>817</v>
      </c>
      <c r="D28">
        <v>3122</v>
      </c>
      <c r="E28" t="str">
        <f t="shared" si="0"/>
        <v>ia.assorted_string like '%3122-03-2025%' or</v>
      </c>
    </row>
    <row r="29" spans="1:5" x14ac:dyDescent="0.25">
      <c r="A29" s="1" t="s">
        <v>87</v>
      </c>
      <c r="B29" t="s">
        <v>817</v>
      </c>
      <c r="D29">
        <v>3123</v>
      </c>
      <c r="E29" t="str">
        <f t="shared" si="0"/>
        <v>ia.assorted_string like '%3123-03-2025%' or</v>
      </c>
    </row>
    <row r="30" spans="1:5" x14ac:dyDescent="0.25">
      <c r="A30" s="1" t="s">
        <v>89</v>
      </c>
      <c r="B30" t="s">
        <v>817</v>
      </c>
      <c r="D30">
        <v>3124</v>
      </c>
      <c r="E30" t="str">
        <f t="shared" si="0"/>
        <v>ia.assorted_string like '%3124-03-2025%' or</v>
      </c>
    </row>
    <row r="31" spans="1:5" x14ac:dyDescent="0.25">
      <c r="A31" s="1" t="s">
        <v>91</v>
      </c>
      <c r="B31" t="s">
        <v>817</v>
      </c>
      <c r="D31">
        <v>3125</v>
      </c>
      <c r="E31" t="str">
        <f t="shared" si="0"/>
        <v>ia.assorted_string like '%3125-03-2025%' or</v>
      </c>
    </row>
    <row r="32" spans="1:5" x14ac:dyDescent="0.25">
      <c r="A32" s="1" t="s">
        <v>93</v>
      </c>
      <c r="B32" t="s">
        <v>817</v>
      </c>
      <c r="D32">
        <v>3126</v>
      </c>
      <c r="E32" t="str">
        <f t="shared" si="0"/>
        <v>ia.assorted_string like '%3126-03-2025%' or</v>
      </c>
    </row>
    <row r="33" spans="1:5" x14ac:dyDescent="0.25">
      <c r="A33" s="1" t="s">
        <v>95</v>
      </c>
      <c r="B33" t="s">
        <v>817</v>
      </c>
      <c r="D33">
        <v>3127</v>
      </c>
      <c r="E33" t="str">
        <f t="shared" si="0"/>
        <v>ia.assorted_string like '%3127-03-2025%' or</v>
      </c>
    </row>
    <row r="34" spans="1:5" x14ac:dyDescent="0.25">
      <c r="A34" s="1" t="s">
        <v>97</v>
      </c>
      <c r="B34" t="s">
        <v>817</v>
      </c>
      <c r="D34">
        <v>3128</v>
      </c>
      <c r="E34" t="str">
        <f t="shared" si="0"/>
        <v>ia.assorted_string like '%3128-03-2025%' or</v>
      </c>
    </row>
    <row r="35" spans="1:5" x14ac:dyDescent="0.25">
      <c r="A35" s="1" t="s">
        <v>99</v>
      </c>
      <c r="B35" t="s">
        <v>817</v>
      </c>
      <c r="D35">
        <v>3129</v>
      </c>
      <c r="E35" t="str">
        <f t="shared" si="0"/>
        <v>ia.assorted_string like '%3129-03-2025%' or</v>
      </c>
    </row>
    <row r="36" spans="1:5" x14ac:dyDescent="0.25">
      <c r="A36" s="1" t="s">
        <v>101</v>
      </c>
      <c r="B36" t="s">
        <v>817</v>
      </c>
      <c r="D36">
        <v>3130</v>
      </c>
      <c r="E36" t="str">
        <f t="shared" si="0"/>
        <v>ia.assorted_string like '%3130-03-2025%' or</v>
      </c>
    </row>
    <row r="37" spans="1:5" x14ac:dyDescent="0.25">
      <c r="A37" s="1" t="s">
        <v>103</v>
      </c>
      <c r="B37" t="s">
        <v>817</v>
      </c>
      <c r="D37">
        <v>3131</v>
      </c>
      <c r="E37" t="str">
        <f t="shared" si="0"/>
        <v>ia.assorted_string like '%3131-03-2025%' or</v>
      </c>
    </row>
    <row r="38" spans="1:5" x14ac:dyDescent="0.25">
      <c r="A38" s="1" t="s">
        <v>105</v>
      </c>
      <c r="B38" t="s">
        <v>817</v>
      </c>
      <c r="D38">
        <v>3132</v>
      </c>
      <c r="E38" t="str">
        <f t="shared" si="0"/>
        <v>ia.assorted_string like '%3132-03-2025%' or</v>
      </c>
    </row>
    <row r="39" spans="1:5" x14ac:dyDescent="0.25">
      <c r="A39" s="1" t="s">
        <v>107</v>
      </c>
      <c r="B39" t="s">
        <v>817</v>
      </c>
      <c r="D39">
        <v>3133</v>
      </c>
      <c r="E39" t="str">
        <f t="shared" si="0"/>
        <v>ia.assorted_string like '%3133-03-2025%' or</v>
      </c>
    </row>
    <row r="40" spans="1:5" x14ac:dyDescent="0.25">
      <c r="A40" s="1" t="s">
        <v>109</v>
      </c>
      <c r="B40" t="s">
        <v>817</v>
      </c>
      <c r="D40">
        <v>3134</v>
      </c>
      <c r="E40" t="str">
        <f t="shared" si="0"/>
        <v>ia.assorted_string like '%3134-03-2025%' or</v>
      </c>
    </row>
    <row r="41" spans="1:5" x14ac:dyDescent="0.25">
      <c r="A41" s="1" t="s">
        <v>111</v>
      </c>
      <c r="B41" t="s">
        <v>817</v>
      </c>
      <c r="D41">
        <v>3135</v>
      </c>
      <c r="E41" t="str">
        <f t="shared" si="0"/>
        <v>ia.assorted_string like '%3135-03-2025%' or</v>
      </c>
    </row>
    <row r="42" spans="1:5" x14ac:dyDescent="0.25">
      <c r="A42" s="1" t="s">
        <v>113</v>
      </c>
      <c r="B42" t="s">
        <v>817</v>
      </c>
      <c r="D42">
        <v>3136</v>
      </c>
      <c r="E42" t="str">
        <f t="shared" si="0"/>
        <v>ia.assorted_string like '%3136-03-2025%' or</v>
      </c>
    </row>
    <row r="43" spans="1:5" x14ac:dyDescent="0.25">
      <c r="A43" s="1" t="s">
        <v>115</v>
      </c>
      <c r="B43" t="s">
        <v>817</v>
      </c>
      <c r="D43">
        <v>3137</v>
      </c>
      <c r="E43" t="str">
        <f t="shared" si="0"/>
        <v>ia.assorted_string like '%3137-03-2025%' or</v>
      </c>
    </row>
    <row r="44" spans="1:5" x14ac:dyDescent="0.25">
      <c r="A44" s="1" t="s">
        <v>117</v>
      </c>
      <c r="B44" t="s">
        <v>817</v>
      </c>
      <c r="D44">
        <v>3138</v>
      </c>
      <c r="E44" t="str">
        <f t="shared" si="0"/>
        <v>ia.assorted_string like '%3138-03-2025%' or</v>
      </c>
    </row>
    <row r="45" spans="1:5" x14ac:dyDescent="0.25">
      <c r="A45" s="1" t="s">
        <v>119</v>
      </c>
      <c r="B45" t="s">
        <v>817</v>
      </c>
      <c r="D45">
        <v>3139</v>
      </c>
      <c r="E45" t="str">
        <f t="shared" si="0"/>
        <v>ia.assorted_string like '%3139-03-2025%' or</v>
      </c>
    </row>
    <row r="46" spans="1:5" x14ac:dyDescent="0.25">
      <c r="A46" s="1" t="s">
        <v>121</v>
      </c>
      <c r="B46" t="s">
        <v>817</v>
      </c>
      <c r="D46">
        <v>3140</v>
      </c>
      <c r="E46" t="str">
        <f t="shared" si="0"/>
        <v>ia.assorted_string like '%3140-03-2025%' or</v>
      </c>
    </row>
    <row r="47" spans="1:5" x14ac:dyDescent="0.25">
      <c r="A47" s="1" t="s">
        <v>123</v>
      </c>
      <c r="B47" t="s">
        <v>817</v>
      </c>
      <c r="D47">
        <v>3141</v>
      </c>
      <c r="E47" t="str">
        <f t="shared" si="0"/>
        <v>ia.assorted_string like '%3141-03-2025%' or</v>
      </c>
    </row>
    <row r="48" spans="1:5" x14ac:dyDescent="0.25">
      <c r="A48" s="1" t="s">
        <v>125</v>
      </c>
      <c r="B48" t="s">
        <v>817</v>
      </c>
      <c r="D48">
        <v>3142</v>
      </c>
      <c r="E48" t="str">
        <f t="shared" si="0"/>
        <v>ia.assorted_string like '%3142-03-2025%' or</v>
      </c>
    </row>
    <row r="49" spans="1:5" x14ac:dyDescent="0.25">
      <c r="A49" s="1" t="s">
        <v>127</v>
      </c>
      <c r="B49" t="s">
        <v>817</v>
      </c>
      <c r="D49">
        <v>3143</v>
      </c>
      <c r="E49" t="str">
        <f t="shared" si="0"/>
        <v>ia.assorted_string like '%3143-03-2025%' or</v>
      </c>
    </row>
    <row r="50" spans="1:5" x14ac:dyDescent="0.25">
      <c r="A50" s="1" t="s">
        <v>129</v>
      </c>
      <c r="B50" t="s">
        <v>817</v>
      </c>
      <c r="D50">
        <v>3144</v>
      </c>
      <c r="E50" t="str">
        <f t="shared" si="0"/>
        <v>ia.assorted_string like '%3144-03-2025%' or</v>
      </c>
    </row>
    <row r="51" spans="1:5" x14ac:dyDescent="0.25">
      <c r="A51" s="1" t="s">
        <v>131</v>
      </c>
      <c r="B51" t="s">
        <v>817</v>
      </c>
      <c r="D51">
        <v>3145</v>
      </c>
      <c r="E51" t="str">
        <f t="shared" si="0"/>
        <v>ia.assorted_string like '%3145-03-2025%' or</v>
      </c>
    </row>
    <row r="52" spans="1:5" x14ac:dyDescent="0.25">
      <c r="A52" s="1" t="s">
        <v>133</v>
      </c>
      <c r="B52" t="s">
        <v>817</v>
      </c>
      <c r="D52">
        <v>3146</v>
      </c>
      <c r="E52" t="str">
        <f t="shared" si="0"/>
        <v>ia.assorted_string like '%3146-03-2025%' or</v>
      </c>
    </row>
    <row r="53" spans="1:5" x14ac:dyDescent="0.25">
      <c r="A53" s="1" t="s">
        <v>135</v>
      </c>
      <c r="B53" t="s">
        <v>817</v>
      </c>
      <c r="D53">
        <v>3147</v>
      </c>
      <c r="E53" t="str">
        <f t="shared" si="0"/>
        <v>ia.assorted_string like '%3147-03-2025%' or</v>
      </c>
    </row>
    <row r="54" spans="1:5" x14ac:dyDescent="0.25">
      <c r="A54" s="1" t="s">
        <v>137</v>
      </c>
      <c r="B54" t="s">
        <v>817</v>
      </c>
      <c r="D54">
        <v>3148</v>
      </c>
      <c r="E54" t="str">
        <f t="shared" si="0"/>
        <v>ia.assorted_string like '%3148-03-2025%' or</v>
      </c>
    </row>
    <row r="55" spans="1:5" x14ac:dyDescent="0.25">
      <c r="A55" s="1" t="s">
        <v>139</v>
      </c>
      <c r="B55" t="s">
        <v>817</v>
      </c>
      <c r="D55">
        <v>3149</v>
      </c>
      <c r="E55" t="str">
        <f t="shared" si="0"/>
        <v>ia.assorted_string like '%3149-03-2025%' or</v>
      </c>
    </row>
    <row r="56" spans="1:5" x14ac:dyDescent="0.25">
      <c r="A56" s="1" t="s">
        <v>141</v>
      </c>
      <c r="B56" t="s">
        <v>817</v>
      </c>
      <c r="D56">
        <v>3150</v>
      </c>
      <c r="E56" t="str">
        <f t="shared" si="0"/>
        <v>ia.assorted_string like '%3150-03-2025%' or</v>
      </c>
    </row>
    <row r="57" spans="1:5" x14ac:dyDescent="0.25">
      <c r="A57" s="1" t="s">
        <v>143</v>
      </c>
      <c r="B57" t="s">
        <v>817</v>
      </c>
      <c r="D57">
        <v>3151</v>
      </c>
      <c r="E57" t="str">
        <f t="shared" si="0"/>
        <v>ia.assorted_string like '%3151-03-2025%' or</v>
      </c>
    </row>
    <row r="58" spans="1:5" x14ac:dyDescent="0.25">
      <c r="A58" s="1" t="s">
        <v>145</v>
      </c>
      <c r="B58" t="s">
        <v>817</v>
      </c>
      <c r="D58">
        <v>3152</v>
      </c>
      <c r="E58" t="str">
        <f t="shared" si="0"/>
        <v>ia.assorted_string like '%3152-03-2025%' or</v>
      </c>
    </row>
    <row r="59" spans="1:5" x14ac:dyDescent="0.25">
      <c r="A59" s="1" t="s">
        <v>147</v>
      </c>
      <c r="B59" t="s">
        <v>817</v>
      </c>
      <c r="D59">
        <v>3153</v>
      </c>
      <c r="E59" t="str">
        <f t="shared" si="0"/>
        <v>ia.assorted_string like '%3153-03-2025%' or</v>
      </c>
    </row>
    <row r="60" spans="1:5" x14ac:dyDescent="0.25">
      <c r="A60" s="1" t="s">
        <v>149</v>
      </c>
      <c r="B60" t="s">
        <v>817</v>
      </c>
      <c r="D60">
        <v>3154</v>
      </c>
      <c r="E60" t="str">
        <f t="shared" si="0"/>
        <v>ia.assorted_string like '%3154-03-2025%' or</v>
      </c>
    </row>
    <row r="61" spans="1:5" x14ac:dyDescent="0.25">
      <c r="A61" s="1" t="s">
        <v>151</v>
      </c>
      <c r="B61" t="s">
        <v>817</v>
      </c>
      <c r="D61">
        <v>3155</v>
      </c>
      <c r="E61" t="str">
        <f t="shared" si="0"/>
        <v>ia.assorted_string like '%3155-03-2025%' or</v>
      </c>
    </row>
    <row r="62" spans="1:5" x14ac:dyDescent="0.25">
      <c r="A62" s="1" t="s">
        <v>153</v>
      </c>
      <c r="B62" t="s">
        <v>817</v>
      </c>
      <c r="D62">
        <v>3156</v>
      </c>
      <c r="E62" t="str">
        <f t="shared" si="0"/>
        <v>ia.assorted_string like '%3156-03-2025%' or</v>
      </c>
    </row>
    <row r="63" spans="1:5" x14ac:dyDescent="0.25">
      <c r="A63" s="1" t="s">
        <v>155</v>
      </c>
      <c r="B63" t="s">
        <v>817</v>
      </c>
      <c r="D63">
        <v>3157</v>
      </c>
      <c r="E63" t="str">
        <f t="shared" si="0"/>
        <v>ia.assorted_string like '%3157-03-2025%' or</v>
      </c>
    </row>
    <row r="64" spans="1:5" x14ac:dyDescent="0.25">
      <c r="A64" s="1" t="s">
        <v>157</v>
      </c>
      <c r="B64" t="s">
        <v>817</v>
      </c>
      <c r="D64">
        <v>3158</v>
      </c>
      <c r="E64" t="str">
        <f t="shared" si="0"/>
        <v>ia.assorted_string like '%3158-03-2025%' or</v>
      </c>
    </row>
    <row r="65" spans="1:5" x14ac:dyDescent="0.25">
      <c r="A65" s="1" t="s">
        <v>159</v>
      </c>
      <c r="B65" t="s">
        <v>817</v>
      </c>
      <c r="D65">
        <v>3159</v>
      </c>
      <c r="E65" t="str">
        <f t="shared" si="0"/>
        <v>ia.assorted_string like '%3159-03-2025%' or</v>
      </c>
    </row>
    <row r="66" spans="1:5" x14ac:dyDescent="0.25">
      <c r="A66" s="1" t="s">
        <v>161</v>
      </c>
      <c r="B66" t="s">
        <v>817</v>
      </c>
      <c r="D66">
        <v>3160</v>
      </c>
      <c r="E66" t="str">
        <f t="shared" ref="E66:E129" si="1">"ia.assorted_string like '%"&amp;D66&amp;B66&amp;"%' or"</f>
        <v>ia.assorted_string like '%3160-03-2025%' or</v>
      </c>
    </row>
    <row r="67" spans="1:5" x14ac:dyDescent="0.25">
      <c r="A67" s="1" t="s">
        <v>163</v>
      </c>
      <c r="B67" t="s">
        <v>817</v>
      </c>
      <c r="D67">
        <v>3161</v>
      </c>
      <c r="E67" t="str">
        <f t="shared" si="1"/>
        <v>ia.assorted_string like '%3161-03-2025%' or</v>
      </c>
    </row>
    <row r="68" spans="1:5" x14ac:dyDescent="0.25">
      <c r="A68" s="1" t="s">
        <v>165</v>
      </c>
      <c r="B68" t="s">
        <v>817</v>
      </c>
      <c r="D68">
        <v>3162</v>
      </c>
      <c r="E68" t="str">
        <f t="shared" si="1"/>
        <v>ia.assorted_string like '%3162-03-2025%' or</v>
      </c>
    </row>
    <row r="69" spans="1:5" x14ac:dyDescent="0.25">
      <c r="A69" s="1" t="s">
        <v>167</v>
      </c>
      <c r="B69" t="s">
        <v>817</v>
      </c>
      <c r="D69">
        <v>3163</v>
      </c>
      <c r="E69" t="str">
        <f t="shared" si="1"/>
        <v>ia.assorted_string like '%3163-03-2025%' or</v>
      </c>
    </row>
    <row r="70" spans="1:5" x14ac:dyDescent="0.25">
      <c r="A70" s="1" t="s">
        <v>169</v>
      </c>
      <c r="B70" t="s">
        <v>817</v>
      </c>
      <c r="D70">
        <v>3164</v>
      </c>
      <c r="E70" t="str">
        <f t="shared" si="1"/>
        <v>ia.assorted_string like '%3164-03-2025%' or</v>
      </c>
    </row>
    <row r="71" spans="1:5" x14ac:dyDescent="0.25">
      <c r="A71" s="1" t="s">
        <v>171</v>
      </c>
      <c r="B71" t="s">
        <v>817</v>
      </c>
      <c r="D71">
        <v>3165</v>
      </c>
      <c r="E71" t="str">
        <f t="shared" si="1"/>
        <v>ia.assorted_string like '%3165-03-2025%' or</v>
      </c>
    </row>
    <row r="72" spans="1:5" x14ac:dyDescent="0.25">
      <c r="A72" s="1" t="s">
        <v>173</v>
      </c>
      <c r="B72" t="s">
        <v>817</v>
      </c>
      <c r="D72">
        <v>3166</v>
      </c>
      <c r="E72" t="str">
        <f t="shared" si="1"/>
        <v>ia.assorted_string like '%3166-03-2025%' or</v>
      </c>
    </row>
    <row r="73" spans="1:5" x14ac:dyDescent="0.25">
      <c r="A73" s="1" t="s">
        <v>175</v>
      </c>
      <c r="B73" t="s">
        <v>817</v>
      </c>
      <c r="D73">
        <v>3167</v>
      </c>
      <c r="E73" t="str">
        <f t="shared" si="1"/>
        <v>ia.assorted_string like '%3167-03-2025%' or</v>
      </c>
    </row>
    <row r="74" spans="1:5" x14ac:dyDescent="0.25">
      <c r="A74" s="1" t="s">
        <v>177</v>
      </c>
      <c r="B74" t="s">
        <v>817</v>
      </c>
      <c r="D74">
        <v>3168</v>
      </c>
      <c r="E74" t="str">
        <f t="shared" si="1"/>
        <v>ia.assorted_string like '%3168-03-2025%' or</v>
      </c>
    </row>
    <row r="75" spans="1:5" x14ac:dyDescent="0.25">
      <c r="A75" s="1" t="s">
        <v>179</v>
      </c>
      <c r="B75" t="s">
        <v>817</v>
      </c>
      <c r="D75">
        <v>3169</v>
      </c>
      <c r="E75" t="str">
        <f t="shared" si="1"/>
        <v>ia.assorted_string like '%3169-03-2025%' or</v>
      </c>
    </row>
    <row r="76" spans="1:5" x14ac:dyDescent="0.25">
      <c r="A76" s="1" t="s">
        <v>181</v>
      </c>
      <c r="B76" t="s">
        <v>817</v>
      </c>
      <c r="D76">
        <v>3170</v>
      </c>
      <c r="E76" t="str">
        <f t="shared" si="1"/>
        <v>ia.assorted_string like '%3170-03-2025%' or</v>
      </c>
    </row>
    <row r="77" spans="1:5" x14ac:dyDescent="0.25">
      <c r="A77" s="1" t="s">
        <v>183</v>
      </c>
      <c r="B77" t="s">
        <v>817</v>
      </c>
      <c r="D77">
        <v>3171</v>
      </c>
      <c r="E77" t="str">
        <f t="shared" si="1"/>
        <v>ia.assorted_string like '%3171-03-2025%' or</v>
      </c>
    </row>
    <row r="78" spans="1:5" x14ac:dyDescent="0.25">
      <c r="A78" s="1" t="s">
        <v>185</v>
      </c>
      <c r="B78" t="s">
        <v>817</v>
      </c>
      <c r="D78">
        <v>3172</v>
      </c>
      <c r="E78" t="str">
        <f t="shared" si="1"/>
        <v>ia.assorted_string like '%3172-03-2025%' or</v>
      </c>
    </row>
    <row r="79" spans="1:5" x14ac:dyDescent="0.25">
      <c r="A79" s="1" t="s">
        <v>187</v>
      </c>
      <c r="B79" t="s">
        <v>817</v>
      </c>
      <c r="D79">
        <v>3173</v>
      </c>
      <c r="E79" t="str">
        <f t="shared" si="1"/>
        <v>ia.assorted_string like '%3173-03-2025%' or</v>
      </c>
    </row>
    <row r="80" spans="1:5" x14ac:dyDescent="0.25">
      <c r="A80" s="1" t="s">
        <v>189</v>
      </c>
      <c r="B80" t="s">
        <v>817</v>
      </c>
      <c r="D80">
        <v>3174</v>
      </c>
      <c r="E80" t="str">
        <f t="shared" si="1"/>
        <v>ia.assorted_string like '%3174-03-2025%' or</v>
      </c>
    </row>
    <row r="81" spans="1:5" x14ac:dyDescent="0.25">
      <c r="A81" s="1" t="s">
        <v>191</v>
      </c>
      <c r="B81" t="s">
        <v>817</v>
      </c>
      <c r="D81">
        <v>3175</v>
      </c>
      <c r="E81" t="str">
        <f t="shared" si="1"/>
        <v>ia.assorted_string like '%3175-03-2025%' or</v>
      </c>
    </row>
    <row r="82" spans="1:5" x14ac:dyDescent="0.25">
      <c r="A82" s="1" t="s">
        <v>193</v>
      </c>
      <c r="B82" t="s">
        <v>817</v>
      </c>
      <c r="D82">
        <v>3176</v>
      </c>
      <c r="E82" t="str">
        <f t="shared" si="1"/>
        <v>ia.assorted_string like '%3176-03-2025%' or</v>
      </c>
    </row>
    <row r="83" spans="1:5" x14ac:dyDescent="0.25">
      <c r="A83" s="1" t="s">
        <v>195</v>
      </c>
      <c r="B83" t="s">
        <v>817</v>
      </c>
      <c r="D83">
        <v>3177</v>
      </c>
      <c r="E83" t="str">
        <f t="shared" si="1"/>
        <v>ia.assorted_string like '%3177-03-2025%' or</v>
      </c>
    </row>
    <row r="84" spans="1:5" x14ac:dyDescent="0.25">
      <c r="A84" s="1" t="s">
        <v>197</v>
      </c>
      <c r="B84" t="s">
        <v>817</v>
      </c>
      <c r="D84">
        <v>3178</v>
      </c>
      <c r="E84" t="str">
        <f t="shared" si="1"/>
        <v>ia.assorted_string like '%3178-03-2025%' or</v>
      </c>
    </row>
    <row r="85" spans="1:5" x14ac:dyDescent="0.25">
      <c r="A85" s="1" t="s">
        <v>199</v>
      </c>
      <c r="B85" t="s">
        <v>817</v>
      </c>
      <c r="D85">
        <v>3179</v>
      </c>
      <c r="E85" t="str">
        <f t="shared" si="1"/>
        <v>ia.assorted_string like '%3179-03-2025%' or</v>
      </c>
    </row>
    <row r="86" spans="1:5" x14ac:dyDescent="0.25">
      <c r="A86" s="1" t="s">
        <v>201</v>
      </c>
      <c r="B86" t="s">
        <v>817</v>
      </c>
      <c r="D86">
        <v>3180</v>
      </c>
      <c r="E86" t="str">
        <f t="shared" si="1"/>
        <v>ia.assorted_string like '%3180-03-2025%' or</v>
      </c>
    </row>
    <row r="87" spans="1:5" x14ac:dyDescent="0.25">
      <c r="A87" s="1" t="s">
        <v>203</v>
      </c>
      <c r="B87" t="s">
        <v>817</v>
      </c>
      <c r="D87">
        <v>3181</v>
      </c>
      <c r="E87" t="str">
        <f t="shared" si="1"/>
        <v>ia.assorted_string like '%3181-03-2025%' or</v>
      </c>
    </row>
    <row r="88" spans="1:5" x14ac:dyDescent="0.25">
      <c r="A88" s="1" t="s">
        <v>205</v>
      </c>
      <c r="B88" t="s">
        <v>817</v>
      </c>
      <c r="D88">
        <v>3182</v>
      </c>
      <c r="E88" t="str">
        <f t="shared" si="1"/>
        <v>ia.assorted_string like '%3182-03-2025%' or</v>
      </c>
    </row>
    <row r="89" spans="1:5" x14ac:dyDescent="0.25">
      <c r="A89" s="1" t="s">
        <v>207</v>
      </c>
      <c r="B89" t="s">
        <v>817</v>
      </c>
      <c r="D89">
        <v>3183</v>
      </c>
      <c r="E89" t="str">
        <f t="shared" si="1"/>
        <v>ia.assorted_string like '%3183-03-2025%' or</v>
      </c>
    </row>
    <row r="90" spans="1:5" x14ac:dyDescent="0.25">
      <c r="A90" s="1" t="s">
        <v>209</v>
      </c>
      <c r="B90" t="s">
        <v>817</v>
      </c>
      <c r="D90">
        <v>3184</v>
      </c>
      <c r="E90" t="str">
        <f t="shared" si="1"/>
        <v>ia.assorted_string like '%3184-03-2025%' or</v>
      </c>
    </row>
    <row r="91" spans="1:5" x14ac:dyDescent="0.25">
      <c r="A91" s="1" t="s">
        <v>211</v>
      </c>
      <c r="B91" t="s">
        <v>817</v>
      </c>
      <c r="D91">
        <v>3185</v>
      </c>
      <c r="E91" t="str">
        <f t="shared" si="1"/>
        <v>ia.assorted_string like '%3185-03-2025%' or</v>
      </c>
    </row>
    <row r="92" spans="1:5" x14ac:dyDescent="0.25">
      <c r="A92" s="1" t="s">
        <v>213</v>
      </c>
      <c r="B92" t="s">
        <v>817</v>
      </c>
      <c r="D92">
        <v>3186</v>
      </c>
      <c r="E92" t="str">
        <f t="shared" si="1"/>
        <v>ia.assorted_string like '%3186-03-2025%' or</v>
      </c>
    </row>
    <row r="93" spans="1:5" x14ac:dyDescent="0.25">
      <c r="A93" s="1" t="s">
        <v>215</v>
      </c>
      <c r="B93" t="s">
        <v>817</v>
      </c>
      <c r="D93">
        <v>3187</v>
      </c>
      <c r="E93" t="str">
        <f t="shared" si="1"/>
        <v>ia.assorted_string like '%3187-03-2025%' or</v>
      </c>
    </row>
    <row r="94" spans="1:5" x14ac:dyDescent="0.25">
      <c r="A94" s="1" t="s">
        <v>217</v>
      </c>
      <c r="B94" t="s">
        <v>817</v>
      </c>
      <c r="D94">
        <v>3188</v>
      </c>
      <c r="E94" t="str">
        <f t="shared" si="1"/>
        <v>ia.assorted_string like '%3188-03-2025%' or</v>
      </c>
    </row>
    <row r="95" spans="1:5" x14ac:dyDescent="0.25">
      <c r="A95" s="1" t="s">
        <v>219</v>
      </c>
      <c r="B95" t="s">
        <v>817</v>
      </c>
      <c r="D95">
        <v>3189</v>
      </c>
      <c r="E95" t="str">
        <f t="shared" si="1"/>
        <v>ia.assorted_string like '%3189-03-2025%' or</v>
      </c>
    </row>
    <row r="96" spans="1:5" x14ac:dyDescent="0.25">
      <c r="A96" s="1" t="s">
        <v>221</v>
      </c>
      <c r="B96" t="s">
        <v>817</v>
      </c>
      <c r="D96">
        <v>3190</v>
      </c>
      <c r="E96" t="str">
        <f t="shared" si="1"/>
        <v>ia.assorted_string like '%3190-03-2025%' or</v>
      </c>
    </row>
    <row r="97" spans="1:5" x14ac:dyDescent="0.25">
      <c r="A97" s="1" t="s">
        <v>223</v>
      </c>
      <c r="B97" t="s">
        <v>817</v>
      </c>
      <c r="D97">
        <v>3191</v>
      </c>
      <c r="E97" t="str">
        <f t="shared" si="1"/>
        <v>ia.assorted_string like '%3191-03-2025%' or</v>
      </c>
    </row>
    <row r="98" spans="1:5" x14ac:dyDescent="0.25">
      <c r="A98" s="1" t="s">
        <v>225</v>
      </c>
      <c r="B98" t="s">
        <v>817</v>
      </c>
      <c r="D98">
        <v>3192</v>
      </c>
      <c r="E98" t="str">
        <f t="shared" si="1"/>
        <v>ia.assorted_string like '%3192-03-2025%' or</v>
      </c>
    </row>
    <row r="99" spans="1:5" x14ac:dyDescent="0.25">
      <c r="A99" s="1" t="s">
        <v>227</v>
      </c>
      <c r="B99" t="s">
        <v>817</v>
      </c>
      <c r="D99">
        <v>3193</v>
      </c>
      <c r="E99" t="str">
        <f t="shared" si="1"/>
        <v>ia.assorted_string like '%3193-03-2025%' or</v>
      </c>
    </row>
    <row r="100" spans="1:5" x14ac:dyDescent="0.25">
      <c r="A100" s="1" t="s">
        <v>229</v>
      </c>
      <c r="B100" t="s">
        <v>817</v>
      </c>
      <c r="D100">
        <v>3194</v>
      </c>
      <c r="E100" t="str">
        <f t="shared" si="1"/>
        <v>ia.assorted_string like '%3194-03-2025%' or</v>
      </c>
    </row>
    <row r="101" spans="1:5" x14ac:dyDescent="0.25">
      <c r="A101" s="1" t="s">
        <v>231</v>
      </c>
      <c r="B101" t="s">
        <v>817</v>
      </c>
      <c r="D101">
        <v>3195</v>
      </c>
      <c r="E101" t="str">
        <f t="shared" si="1"/>
        <v>ia.assorted_string like '%3195-03-2025%' or</v>
      </c>
    </row>
    <row r="102" spans="1:5" x14ac:dyDescent="0.25">
      <c r="A102" s="1" t="s">
        <v>233</v>
      </c>
      <c r="B102" t="s">
        <v>817</v>
      </c>
      <c r="D102">
        <v>3196</v>
      </c>
      <c r="E102" t="str">
        <f t="shared" si="1"/>
        <v>ia.assorted_string like '%3196-03-2025%' or</v>
      </c>
    </row>
    <row r="103" spans="1:5" x14ac:dyDescent="0.25">
      <c r="A103" s="1" t="s">
        <v>235</v>
      </c>
      <c r="B103" t="s">
        <v>817</v>
      </c>
      <c r="D103">
        <v>3197</v>
      </c>
      <c r="E103" t="str">
        <f t="shared" si="1"/>
        <v>ia.assorted_string like '%3197-03-2025%' or</v>
      </c>
    </row>
    <row r="104" spans="1:5" x14ac:dyDescent="0.25">
      <c r="A104" s="1" t="s">
        <v>237</v>
      </c>
      <c r="B104" t="s">
        <v>817</v>
      </c>
      <c r="D104">
        <v>3198</v>
      </c>
      <c r="E104" t="str">
        <f t="shared" si="1"/>
        <v>ia.assorted_string like '%3198-03-2025%' or</v>
      </c>
    </row>
    <row r="105" spans="1:5" x14ac:dyDescent="0.25">
      <c r="A105" s="1" t="s">
        <v>239</v>
      </c>
      <c r="B105" t="s">
        <v>817</v>
      </c>
      <c r="D105">
        <v>3199</v>
      </c>
      <c r="E105" t="str">
        <f t="shared" si="1"/>
        <v>ia.assorted_string like '%3199-03-2025%' or</v>
      </c>
    </row>
    <row r="106" spans="1:5" x14ac:dyDescent="0.25">
      <c r="A106" s="1" t="s">
        <v>241</v>
      </c>
      <c r="B106" t="s">
        <v>817</v>
      </c>
      <c r="D106">
        <v>3200</v>
      </c>
      <c r="E106" t="str">
        <f t="shared" si="1"/>
        <v>ia.assorted_string like '%3200-03-2025%' or</v>
      </c>
    </row>
    <row r="107" spans="1:5" x14ac:dyDescent="0.25">
      <c r="A107" s="1" t="s">
        <v>243</v>
      </c>
      <c r="B107" t="s">
        <v>817</v>
      </c>
      <c r="D107">
        <v>3201</v>
      </c>
      <c r="E107" t="str">
        <f t="shared" si="1"/>
        <v>ia.assorted_string like '%3201-03-2025%' or</v>
      </c>
    </row>
    <row r="108" spans="1:5" x14ac:dyDescent="0.25">
      <c r="A108" s="1" t="s">
        <v>245</v>
      </c>
      <c r="B108" t="s">
        <v>817</v>
      </c>
      <c r="D108">
        <v>3202</v>
      </c>
      <c r="E108" t="str">
        <f t="shared" si="1"/>
        <v>ia.assorted_string like '%3202-03-2025%' or</v>
      </c>
    </row>
    <row r="109" spans="1:5" x14ac:dyDescent="0.25">
      <c r="A109" s="1" t="s">
        <v>247</v>
      </c>
      <c r="B109" t="s">
        <v>817</v>
      </c>
      <c r="D109">
        <v>3203</v>
      </c>
      <c r="E109" t="str">
        <f t="shared" si="1"/>
        <v>ia.assorted_string like '%3203-03-2025%' or</v>
      </c>
    </row>
    <row r="110" spans="1:5" x14ac:dyDescent="0.25">
      <c r="A110" s="1" t="s">
        <v>249</v>
      </c>
      <c r="B110" t="s">
        <v>817</v>
      </c>
      <c r="D110">
        <v>3204</v>
      </c>
      <c r="E110" t="str">
        <f t="shared" si="1"/>
        <v>ia.assorted_string like '%3204-03-2025%' or</v>
      </c>
    </row>
    <row r="111" spans="1:5" x14ac:dyDescent="0.25">
      <c r="A111" s="1" t="s">
        <v>251</v>
      </c>
      <c r="B111" t="s">
        <v>817</v>
      </c>
      <c r="D111">
        <v>3205</v>
      </c>
      <c r="E111" t="str">
        <f t="shared" si="1"/>
        <v>ia.assorted_string like '%3205-03-2025%' or</v>
      </c>
    </row>
    <row r="112" spans="1:5" x14ac:dyDescent="0.25">
      <c r="A112" s="1" t="s">
        <v>253</v>
      </c>
      <c r="B112" t="s">
        <v>817</v>
      </c>
      <c r="D112">
        <v>3206</v>
      </c>
      <c r="E112" t="str">
        <f t="shared" si="1"/>
        <v>ia.assorted_string like '%3206-03-2025%' or</v>
      </c>
    </row>
    <row r="113" spans="1:5" x14ac:dyDescent="0.25">
      <c r="A113" s="1" t="s">
        <v>255</v>
      </c>
      <c r="B113" t="s">
        <v>817</v>
      </c>
      <c r="D113">
        <v>3207</v>
      </c>
      <c r="E113" t="str">
        <f t="shared" si="1"/>
        <v>ia.assorted_string like '%3207-03-2025%' or</v>
      </c>
    </row>
    <row r="114" spans="1:5" x14ac:dyDescent="0.25">
      <c r="A114" s="1" t="s">
        <v>257</v>
      </c>
      <c r="B114" t="s">
        <v>817</v>
      </c>
      <c r="D114">
        <v>3208</v>
      </c>
      <c r="E114" t="str">
        <f t="shared" si="1"/>
        <v>ia.assorted_string like '%3208-03-2025%' or</v>
      </c>
    </row>
    <row r="115" spans="1:5" x14ac:dyDescent="0.25">
      <c r="A115" s="1" t="s">
        <v>259</v>
      </c>
      <c r="B115" t="s">
        <v>817</v>
      </c>
      <c r="D115">
        <v>3209</v>
      </c>
      <c r="E115" t="str">
        <f t="shared" si="1"/>
        <v>ia.assorted_string like '%3209-03-2025%' or</v>
      </c>
    </row>
    <row r="116" spans="1:5" x14ac:dyDescent="0.25">
      <c r="A116" s="1" t="s">
        <v>261</v>
      </c>
      <c r="B116" t="s">
        <v>817</v>
      </c>
      <c r="D116">
        <v>3210</v>
      </c>
      <c r="E116" t="str">
        <f t="shared" si="1"/>
        <v>ia.assorted_string like '%3210-03-2025%' or</v>
      </c>
    </row>
    <row r="117" spans="1:5" x14ac:dyDescent="0.25">
      <c r="A117" s="1" t="s">
        <v>263</v>
      </c>
      <c r="B117" t="s">
        <v>817</v>
      </c>
      <c r="D117">
        <v>3211</v>
      </c>
      <c r="E117" t="str">
        <f t="shared" si="1"/>
        <v>ia.assorted_string like '%3211-03-2025%' or</v>
      </c>
    </row>
    <row r="118" spans="1:5" x14ac:dyDescent="0.25">
      <c r="A118" s="1" t="s">
        <v>265</v>
      </c>
      <c r="B118" t="s">
        <v>817</v>
      </c>
      <c r="D118">
        <v>3212</v>
      </c>
      <c r="E118" t="str">
        <f t="shared" si="1"/>
        <v>ia.assorted_string like '%3212-03-2025%' or</v>
      </c>
    </row>
    <row r="119" spans="1:5" x14ac:dyDescent="0.25">
      <c r="A119" s="1" t="s">
        <v>267</v>
      </c>
      <c r="B119" t="s">
        <v>817</v>
      </c>
      <c r="D119">
        <v>3213</v>
      </c>
      <c r="E119" t="str">
        <f t="shared" si="1"/>
        <v>ia.assorted_string like '%3213-03-2025%' or</v>
      </c>
    </row>
    <row r="120" spans="1:5" x14ac:dyDescent="0.25">
      <c r="A120" s="1" t="s">
        <v>269</v>
      </c>
      <c r="B120" t="s">
        <v>817</v>
      </c>
      <c r="D120">
        <v>3214</v>
      </c>
      <c r="E120" t="str">
        <f t="shared" si="1"/>
        <v>ia.assorted_string like '%3214-03-2025%' or</v>
      </c>
    </row>
    <row r="121" spans="1:5" x14ac:dyDescent="0.25">
      <c r="A121" s="1" t="s">
        <v>271</v>
      </c>
      <c r="B121" t="s">
        <v>817</v>
      </c>
      <c r="D121">
        <v>3215</v>
      </c>
      <c r="E121" t="str">
        <f t="shared" si="1"/>
        <v>ia.assorted_string like '%3215-03-2025%' or</v>
      </c>
    </row>
    <row r="122" spans="1:5" x14ac:dyDescent="0.25">
      <c r="A122" s="1" t="s">
        <v>273</v>
      </c>
      <c r="B122" t="s">
        <v>817</v>
      </c>
      <c r="D122">
        <v>3216</v>
      </c>
      <c r="E122" t="str">
        <f t="shared" si="1"/>
        <v>ia.assorted_string like '%3216-03-2025%' or</v>
      </c>
    </row>
    <row r="123" spans="1:5" x14ac:dyDescent="0.25">
      <c r="A123" s="1" t="s">
        <v>275</v>
      </c>
      <c r="B123" t="s">
        <v>817</v>
      </c>
      <c r="D123">
        <v>3217</v>
      </c>
      <c r="E123" t="str">
        <f t="shared" si="1"/>
        <v>ia.assorted_string like '%3217-03-2025%' or</v>
      </c>
    </row>
    <row r="124" spans="1:5" x14ac:dyDescent="0.25">
      <c r="A124" s="1" t="s">
        <v>277</v>
      </c>
      <c r="B124" t="s">
        <v>817</v>
      </c>
      <c r="D124">
        <v>3218</v>
      </c>
      <c r="E124" t="str">
        <f t="shared" si="1"/>
        <v>ia.assorted_string like '%3218-03-2025%' or</v>
      </c>
    </row>
    <row r="125" spans="1:5" x14ac:dyDescent="0.25">
      <c r="A125" s="1" t="s">
        <v>279</v>
      </c>
      <c r="B125" t="s">
        <v>817</v>
      </c>
      <c r="D125">
        <v>3219</v>
      </c>
      <c r="E125" t="str">
        <f t="shared" si="1"/>
        <v>ia.assorted_string like '%3219-03-2025%' or</v>
      </c>
    </row>
    <row r="126" spans="1:5" x14ac:dyDescent="0.25">
      <c r="A126" s="1" t="s">
        <v>281</v>
      </c>
      <c r="B126" t="s">
        <v>817</v>
      </c>
      <c r="D126">
        <v>3220</v>
      </c>
      <c r="E126" t="str">
        <f t="shared" si="1"/>
        <v>ia.assorted_string like '%3220-03-2025%' or</v>
      </c>
    </row>
    <row r="127" spans="1:5" x14ac:dyDescent="0.25">
      <c r="A127" s="1" t="s">
        <v>283</v>
      </c>
      <c r="B127" t="s">
        <v>817</v>
      </c>
      <c r="D127">
        <v>3221</v>
      </c>
      <c r="E127" t="str">
        <f t="shared" si="1"/>
        <v>ia.assorted_string like '%3221-03-2025%' or</v>
      </c>
    </row>
    <row r="128" spans="1:5" x14ac:dyDescent="0.25">
      <c r="A128" s="1" t="s">
        <v>285</v>
      </c>
      <c r="B128" t="s">
        <v>817</v>
      </c>
      <c r="D128">
        <v>3222</v>
      </c>
      <c r="E128" t="str">
        <f t="shared" si="1"/>
        <v>ia.assorted_string like '%3222-03-2025%' or</v>
      </c>
    </row>
    <row r="129" spans="1:5" x14ac:dyDescent="0.25">
      <c r="A129" s="1" t="s">
        <v>287</v>
      </c>
      <c r="B129" t="s">
        <v>817</v>
      </c>
      <c r="D129">
        <v>3223</v>
      </c>
      <c r="E129" t="str">
        <f t="shared" si="1"/>
        <v>ia.assorted_string like '%3223-03-2025%' or</v>
      </c>
    </row>
    <row r="130" spans="1:5" x14ac:dyDescent="0.25">
      <c r="A130" s="1" t="s">
        <v>289</v>
      </c>
      <c r="B130" t="s">
        <v>817</v>
      </c>
      <c r="D130">
        <v>3224</v>
      </c>
      <c r="E130" t="str">
        <f t="shared" ref="E130:E193" si="2">"ia.assorted_string like '%"&amp;D130&amp;B130&amp;"%' or"</f>
        <v>ia.assorted_string like '%3224-03-2025%' or</v>
      </c>
    </row>
    <row r="131" spans="1:5" x14ac:dyDescent="0.25">
      <c r="A131" s="1" t="s">
        <v>291</v>
      </c>
      <c r="B131" t="s">
        <v>817</v>
      </c>
      <c r="D131">
        <v>3225</v>
      </c>
      <c r="E131" t="str">
        <f t="shared" si="2"/>
        <v>ia.assorted_string like '%3225-03-2025%' or</v>
      </c>
    </row>
    <row r="132" spans="1:5" x14ac:dyDescent="0.25">
      <c r="A132" s="1" t="s">
        <v>293</v>
      </c>
      <c r="B132" t="s">
        <v>817</v>
      </c>
      <c r="D132">
        <v>3226</v>
      </c>
      <c r="E132" t="str">
        <f t="shared" si="2"/>
        <v>ia.assorted_string like '%3226-03-2025%' or</v>
      </c>
    </row>
    <row r="133" spans="1:5" x14ac:dyDescent="0.25">
      <c r="A133" s="1" t="s">
        <v>295</v>
      </c>
      <c r="B133" t="s">
        <v>817</v>
      </c>
      <c r="D133">
        <v>3227</v>
      </c>
      <c r="E133" t="str">
        <f t="shared" si="2"/>
        <v>ia.assorted_string like '%3227-03-2025%' or</v>
      </c>
    </row>
    <row r="134" spans="1:5" x14ac:dyDescent="0.25">
      <c r="A134" s="1" t="s">
        <v>297</v>
      </c>
      <c r="B134" t="s">
        <v>817</v>
      </c>
      <c r="D134">
        <v>3228</v>
      </c>
      <c r="E134" t="str">
        <f t="shared" si="2"/>
        <v>ia.assorted_string like '%3228-03-2025%' or</v>
      </c>
    </row>
    <row r="135" spans="1:5" x14ac:dyDescent="0.25">
      <c r="A135" s="1" t="s">
        <v>299</v>
      </c>
      <c r="B135" t="s">
        <v>817</v>
      </c>
      <c r="D135">
        <v>3229</v>
      </c>
      <c r="E135" t="str">
        <f t="shared" si="2"/>
        <v>ia.assorted_string like '%3229-03-2025%' or</v>
      </c>
    </row>
    <row r="136" spans="1:5" x14ac:dyDescent="0.25">
      <c r="A136" s="1" t="s">
        <v>301</v>
      </c>
      <c r="B136" t="s">
        <v>817</v>
      </c>
      <c r="D136">
        <v>3230</v>
      </c>
      <c r="E136" t="str">
        <f t="shared" si="2"/>
        <v>ia.assorted_string like '%3230-03-2025%' or</v>
      </c>
    </row>
    <row r="137" spans="1:5" x14ac:dyDescent="0.25">
      <c r="A137" s="1" t="s">
        <v>303</v>
      </c>
      <c r="B137" t="s">
        <v>817</v>
      </c>
      <c r="D137">
        <v>3231</v>
      </c>
      <c r="E137" t="str">
        <f t="shared" si="2"/>
        <v>ia.assorted_string like '%3231-03-2025%' or</v>
      </c>
    </row>
    <row r="138" spans="1:5" x14ac:dyDescent="0.25">
      <c r="A138" s="1" t="s">
        <v>305</v>
      </c>
      <c r="B138" t="s">
        <v>817</v>
      </c>
      <c r="D138">
        <v>3232</v>
      </c>
      <c r="E138" t="str">
        <f t="shared" si="2"/>
        <v>ia.assorted_string like '%3232-03-2025%' or</v>
      </c>
    </row>
    <row r="139" spans="1:5" x14ac:dyDescent="0.25">
      <c r="A139" s="1" t="s">
        <v>307</v>
      </c>
      <c r="B139" t="s">
        <v>817</v>
      </c>
      <c r="D139">
        <v>3233</v>
      </c>
      <c r="E139" t="str">
        <f t="shared" si="2"/>
        <v>ia.assorted_string like '%3233-03-2025%' or</v>
      </c>
    </row>
    <row r="140" spans="1:5" x14ac:dyDescent="0.25">
      <c r="A140" s="1" t="s">
        <v>309</v>
      </c>
      <c r="B140" t="s">
        <v>817</v>
      </c>
      <c r="D140">
        <v>3234</v>
      </c>
      <c r="E140" t="str">
        <f t="shared" si="2"/>
        <v>ia.assorted_string like '%3234-03-2025%' or</v>
      </c>
    </row>
    <row r="141" spans="1:5" x14ac:dyDescent="0.25">
      <c r="A141" s="1" t="s">
        <v>311</v>
      </c>
      <c r="B141" t="s">
        <v>817</v>
      </c>
      <c r="D141">
        <v>3235</v>
      </c>
      <c r="E141" t="str">
        <f t="shared" si="2"/>
        <v>ia.assorted_string like '%3235-03-2025%' or</v>
      </c>
    </row>
    <row r="142" spans="1:5" x14ac:dyDescent="0.25">
      <c r="A142" s="1" t="s">
        <v>313</v>
      </c>
      <c r="B142" t="s">
        <v>817</v>
      </c>
      <c r="D142">
        <v>3236</v>
      </c>
      <c r="E142" t="str">
        <f t="shared" si="2"/>
        <v>ia.assorted_string like '%3236-03-2025%' or</v>
      </c>
    </row>
    <row r="143" spans="1:5" x14ac:dyDescent="0.25">
      <c r="A143" s="1" t="s">
        <v>315</v>
      </c>
      <c r="B143" t="s">
        <v>817</v>
      </c>
      <c r="D143">
        <v>3237</v>
      </c>
      <c r="E143" t="str">
        <f t="shared" si="2"/>
        <v>ia.assorted_string like '%3237-03-2025%' or</v>
      </c>
    </row>
    <row r="144" spans="1:5" x14ac:dyDescent="0.25">
      <c r="A144" s="1" t="s">
        <v>317</v>
      </c>
      <c r="B144" t="s">
        <v>817</v>
      </c>
      <c r="D144">
        <v>3238</v>
      </c>
      <c r="E144" t="str">
        <f t="shared" si="2"/>
        <v>ia.assorted_string like '%3238-03-2025%' or</v>
      </c>
    </row>
    <row r="145" spans="1:5" x14ac:dyDescent="0.25">
      <c r="A145" s="1" t="s">
        <v>319</v>
      </c>
      <c r="B145" t="s">
        <v>817</v>
      </c>
      <c r="D145">
        <v>3239</v>
      </c>
      <c r="E145" t="str">
        <f t="shared" si="2"/>
        <v>ia.assorted_string like '%3239-03-2025%' or</v>
      </c>
    </row>
    <row r="146" spans="1:5" x14ac:dyDescent="0.25">
      <c r="A146" s="1" t="s">
        <v>321</v>
      </c>
      <c r="B146" t="s">
        <v>817</v>
      </c>
      <c r="D146">
        <v>3240</v>
      </c>
      <c r="E146" t="str">
        <f t="shared" si="2"/>
        <v>ia.assorted_string like '%3240-03-2025%' or</v>
      </c>
    </row>
    <row r="147" spans="1:5" x14ac:dyDescent="0.25">
      <c r="A147" s="1" t="s">
        <v>323</v>
      </c>
      <c r="B147" t="s">
        <v>817</v>
      </c>
      <c r="D147">
        <v>3241</v>
      </c>
      <c r="E147" t="str">
        <f t="shared" si="2"/>
        <v>ia.assorted_string like '%3241-03-2025%' or</v>
      </c>
    </row>
    <row r="148" spans="1:5" x14ac:dyDescent="0.25">
      <c r="A148" s="1" t="s">
        <v>325</v>
      </c>
      <c r="B148" t="s">
        <v>817</v>
      </c>
      <c r="D148">
        <v>3242</v>
      </c>
      <c r="E148" t="str">
        <f t="shared" si="2"/>
        <v>ia.assorted_string like '%3242-03-2025%' or</v>
      </c>
    </row>
    <row r="149" spans="1:5" x14ac:dyDescent="0.25">
      <c r="A149" s="1" t="s">
        <v>327</v>
      </c>
      <c r="B149" t="s">
        <v>817</v>
      </c>
      <c r="D149">
        <v>3243</v>
      </c>
      <c r="E149" t="str">
        <f t="shared" si="2"/>
        <v>ia.assorted_string like '%3243-03-2025%' or</v>
      </c>
    </row>
    <row r="150" spans="1:5" x14ac:dyDescent="0.25">
      <c r="A150" s="1" t="s">
        <v>329</v>
      </c>
      <c r="B150" t="s">
        <v>817</v>
      </c>
      <c r="D150">
        <v>3244</v>
      </c>
      <c r="E150" t="str">
        <f t="shared" si="2"/>
        <v>ia.assorted_string like '%3244-03-2025%' or</v>
      </c>
    </row>
    <row r="151" spans="1:5" x14ac:dyDescent="0.25">
      <c r="A151" s="1" t="s">
        <v>331</v>
      </c>
      <c r="B151" t="s">
        <v>817</v>
      </c>
      <c r="D151">
        <v>3245</v>
      </c>
      <c r="E151" t="str">
        <f t="shared" si="2"/>
        <v>ia.assorted_string like '%3245-03-2025%' or</v>
      </c>
    </row>
    <row r="152" spans="1:5" x14ac:dyDescent="0.25">
      <c r="A152" s="1" t="s">
        <v>333</v>
      </c>
      <c r="B152" t="s">
        <v>817</v>
      </c>
      <c r="D152">
        <v>3246</v>
      </c>
      <c r="E152" t="str">
        <f t="shared" si="2"/>
        <v>ia.assorted_string like '%3246-03-2025%' or</v>
      </c>
    </row>
    <row r="153" spans="1:5" x14ac:dyDescent="0.25">
      <c r="A153" s="1" t="s">
        <v>335</v>
      </c>
      <c r="B153" t="s">
        <v>817</v>
      </c>
      <c r="D153">
        <v>3247</v>
      </c>
      <c r="E153" t="str">
        <f t="shared" si="2"/>
        <v>ia.assorted_string like '%3247-03-2025%' or</v>
      </c>
    </row>
    <row r="154" spans="1:5" x14ac:dyDescent="0.25">
      <c r="A154" s="1" t="s">
        <v>337</v>
      </c>
      <c r="B154" t="s">
        <v>817</v>
      </c>
      <c r="D154">
        <v>3248</v>
      </c>
      <c r="E154" t="str">
        <f t="shared" si="2"/>
        <v>ia.assorted_string like '%3248-03-2025%' or</v>
      </c>
    </row>
    <row r="155" spans="1:5" x14ac:dyDescent="0.25">
      <c r="A155" s="1" t="s">
        <v>339</v>
      </c>
      <c r="B155" t="s">
        <v>817</v>
      </c>
      <c r="D155">
        <v>3249</v>
      </c>
      <c r="E155" t="str">
        <f t="shared" si="2"/>
        <v>ia.assorted_string like '%3249-03-2025%' or</v>
      </c>
    </row>
    <row r="156" spans="1:5" x14ac:dyDescent="0.25">
      <c r="A156" s="1" t="s">
        <v>341</v>
      </c>
      <c r="B156" t="s">
        <v>817</v>
      </c>
      <c r="D156">
        <v>3250</v>
      </c>
      <c r="E156" t="str">
        <f t="shared" si="2"/>
        <v>ia.assorted_string like '%3250-03-2025%' or</v>
      </c>
    </row>
    <row r="157" spans="1:5" x14ac:dyDescent="0.25">
      <c r="A157" s="1" t="s">
        <v>343</v>
      </c>
      <c r="B157" t="s">
        <v>817</v>
      </c>
      <c r="D157">
        <v>3251</v>
      </c>
      <c r="E157" t="str">
        <f t="shared" si="2"/>
        <v>ia.assorted_string like '%3251-03-2025%' or</v>
      </c>
    </row>
    <row r="158" spans="1:5" x14ac:dyDescent="0.25">
      <c r="A158" s="1" t="s">
        <v>345</v>
      </c>
      <c r="B158" t="s">
        <v>817</v>
      </c>
      <c r="D158">
        <v>3252</v>
      </c>
      <c r="E158" t="str">
        <f t="shared" si="2"/>
        <v>ia.assorted_string like '%3252-03-2025%' or</v>
      </c>
    </row>
    <row r="159" spans="1:5" x14ac:dyDescent="0.25">
      <c r="A159" s="1" t="s">
        <v>347</v>
      </c>
      <c r="B159" t="s">
        <v>817</v>
      </c>
      <c r="D159">
        <v>3253</v>
      </c>
      <c r="E159" t="str">
        <f t="shared" si="2"/>
        <v>ia.assorted_string like '%3253-03-2025%' or</v>
      </c>
    </row>
    <row r="160" spans="1:5" x14ac:dyDescent="0.25">
      <c r="A160" s="1" t="s">
        <v>349</v>
      </c>
      <c r="B160" t="s">
        <v>817</v>
      </c>
      <c r="D160">
        <v>3254</v>
      </c>
      <c r="E160" t="str">
        <f t="shared" si="2"/>
        <v>ia.assorted_string like '%3254-03-2025%' or</v>
      </c>
    </row>
    <row r="161" spans="1:5" x14ac:dyDescent="0.25">
      <c r="A161" s="1" t="s">
        <v>351</v>
      </c>
      <c r="B161" t="s">
        <v>817</v>
      </c>
      <c r="D161">
        <v>3255</v>
      </c>
      <c r="E161" t="str">
        <f t="shared" si="2"/>
        <v>ia.assorted_string like '%3255-03-2025%' or</v>
      </c>
    </row>
    <row r="162" spans="1:5" x14ac:dyDescent="0.25">
      <c r="A162" s="1" t="s">
        <v>353</v>
      </c>
      <c r="B162" t="s">
        <v>817</v>
      </c>
      <c r="D162">
        <v>3256</v>
      </c>
      <c r="E162" t="str">
        <f t="shared" si="2"/>
        <v>ia.assorted_string like '%3256-03-2025%' or</v>
      </c>
    </row>
    <row r="163" spans="1:5" x14ac:dyDescent="0.25">
      <c r="A163" s="1" t="s">
        <v>355</v>
      </c>
      <c r="B163" t="s">
        <v>817</v>
      </c>
      <c r="D163">
        <v>3257</v>
      </c>
      <c r="E163" t="str">
        <f t="shared" si="2"/>
        <v>ia.assorted_string like '%3257-03-2025%' or</v>
      </c>
    </row>
    <row r="164" spans="1:5" x14ac:dyDescent="0.25">
      <c r="A164" s="1" t="s">
        <v>357</v>
      </c>
      <c r="B164" t="s">
        <v>817</v>
      </c>
      <c r="D164">
        <v>3258</v>
      </c>
      <c r="E164" t="str">
        <f t="shared" si="2"/>
        <v>ia.assorted_string like '%3258-03-2025%' or</v>
      </c>
    </row>
    <row r="165" spans="1:5" x14ac:dyDescent="0.25">
      <c r="A165" s="1" t="s">
        <v>359</v>
      </c>
      <c r="B165" t="s">
        <v>817</v>
      </c>
      <c r="D165">
        <v>3259</v>
      </c>
      <c r="E165" t="str">
        <f t="shared" si="2"/>
        <v>ia.assorted_string like '%3259-03-2025%' or</v>
      </c>
    </row>
    <row r="166" spans="1:5" x14ac:dyDescent="0.25">
      <c r="A166" s="1" t="s">
        <v>361</v>
      </c>
      <c r="B166" t="s">
        <v>817</v>
      </c>
      <c r="D166">
        <v>3260</v>
      </c>
      <c r="E166" t="str">
        <f t="shared" si="2"/>
        <v>ia.assorted_string like '%3260-03-2025%' or</v>
      </c>
    </row>
    <row r="167" spans="1:5" x14ac:dyDescent="0.25">
      <c r="A167" s="1" t="s">
        <v>363</v>
      </c>
      <c r="B167" t="s">
        <v>817</v>
      </c>
      <c r="D167">
        <v>3261</v>
      </c>
      <c r="E167" t="str">
        <f t="shared" si="2"/>
        <v>ia.assorted_string like '%3261-03-2025%' or</v>
      </c>
    </row>
    <row r="168" spans="1:5" x14ac:dyDescent="0.25">
      <c r="A168" s="1" t="s">
        <v>365</v>
      </c>
      <c r="B168" t="s">
        <v>817</v>
      </c>
      <c r="D168">
        <v>3262</v>
      </c>
      <c r="E168" t="str">
        <f t="shared" si="2"/>
        <v>ia.assorted_string like '%3262-03-2025%' or</v>
      </c>
    </row>
    <row r="169" spans="1:5" x14ac:dyDescent="0.25">
      <c r="A169" s="1" t="s">
        <v>367</v>
      </c>
      <c r="B169" t="s">
        <v>817</v>
      </c>
      <c r="D169">
        <v>3263</v>
      </c>
      <c r="E169" t="str">
        <f t="shared" si="2"/>
        <v>ia.assorted_string like '%3263-03-2025%' or</v>
      </c>
    </row>
    <row r="170" spans="1:5" x14ac:dyDescent="0.25">
      <c r="A170" s="1" t="s">
        <v>369</v>
      </c>
      <c r="B170" t="s">
        <v>817</v>
      </c>
      <c r="D170">
        <v>3264</v>
      </c>
      <c r="E170" t="str">
        <f t="shared" si="2"/>
        <v>ia.assorted_string like '%3264-03-2025%' or</v>
      </c>
    </row>
    <row r="171" spans="1:5" x14ac:dyDescent="0.25">
      <c r="A171" s="1" t="s">
        <v>371</v>
      </c>
      <c r="B171" t="s">
        <v>817</v>
      </c>
      <c r="D171">
        <v>3265</v>
      </c>
      <c r="E171" t="str">
        <f t="shared" si="2"/>
        <v>ia.assorted_string like '%3265-03-2025%' or</v>
      </c>
    </row>
    <row r="172" spans="1:5" x14ac:dyDescent="0.25">
      <c r="A172" s="1" t="s">
        <v>373</v>
      </c>
      <c r="B172" t="s">
        <v>817</v>
      </c>
      <c r="D172">
        <v>3266</v>
      </c>
      <c r="E172" t="str">
        <f t="shared" si="2"/>
        <v>ia.assorted_string like '%3266-03-2025%' or</v>
      </c>
    </row>
    <row r="173" spans="1:5" x14ac:dyDescent="0.25">
      <c r="A173" s="1" t="s">
        <v>375</v>
      </c>
      <c r="B173" t="s">
        <v>817</v>
      </c>
      <c r="D173">
        <v>3267</v>
      </c>
      <c r="E173" t="str">
        <f t="shared" si="2"/>
        <v>ia.assorted_string like '%3267-03-2025%' or</v>
      </c>
    </row>
    <row r="174" spans="1:5" x14ac:dyDescent="0.25">
      <c r="A174" s="1" t="s">
        <v>377</v>
      </c>
      <c r="B174" t="s">
        <v>817</v>
      </c>
      <c r="D174">
        <v>3268</v>
      </c>
      <c r="E174" t="str">
        <f t="shared" si="2"/>
        <v>ia.assorted_string like '%3268-03-2025%' or</v>
      </c>
    </row>
    <row r="175" spans="1:5" x14ac:dyDescent="0.25">
      <c r="A175" s="1" t="s">
        <v>379</v>
      </c>
      <c r="B175" t="s">
        <v>817</v>
      </c>
      <c r="D175">
        <v>3269</v>
      </c>
      <c r="E175" t="str">
        <f t="shared" si="2"/>
        <v>ia.assorted_string like '%3269-03-2025%' or</v>
      </c>
    </row>
    <row r="176" spans="1:5" x14ac:dyDescent="0.25">
      <c r="A176" s="1" t="s">
        <v>380</v>
      </c>
      <c r="B176" t="s">
        <v>817</v>
      </c>
      <c r="D176">
        <v>3270</v>
      </c>
      <c r="E176" t="str">
        <f t="shared" si="2"/>
        <v>ia.assorted_string like '%3270-03-2025%' or</v>
      </c>
    </row>
    <row r="177" spans="1:5" x14ac:dyDescent="0.25">
      <c r="A177" s="1" t="s">
        <v>382</v>
      </c>
      <c r="B177" t="s">
        <v>817</v>
      </c>
      <c r="D177">
        <v>3271</v>
      </c>
      <c r="E177" t="str">
        <f t="shared" si="2"/>
        <v>ia.assorted_string like '%3271-03-2025%' or</v>
      </c>
    </row>
    <row r="178" spans="1:5" x14ac:dyDescent="0.25">
      <c r="A178" s="1" t="s">
        <v>384</v>
      </c>
      <c r="B178" t="s">
        <v>817</v>
      </c>
      <c r="D178">
        <v>3272</v>
      </c>
      <c r="E178" t="str">
        <f t="shared" si="2"/>
        <v>ia.assorted_string like '%3272-03-2025%' or</v>
      </c>
    </row>
    <row r="179" spans="1:5" x14ac:dyDescent="0.25">
      <c r="A179" s="1" t="s">
        <v>386</v>
      </c>
      <c r="B179" t="s">
        <v>817</v>
      </c>
      <c r="D179">
        <v>3273</v>
      </c>
      <c r="E179" t="str">
        <f t="shared" si="2"/>
        <v>ia.assorted_string like '%3273-03-2025%' or</v>
      </c>
    </row>
    <row r="180" spans="1:5" x14ac:dyDescent="0.25">
      <c r="A180" s="1" t="s">
        <v>388</v>
      </c>
      <c r="B180" t="s">
        <v>817</v>
      </c>
      <c r="D180">
        <v>3274</v>
      </c>
      <c r="E180" t="str">
        <f t="shared" si="2"/>
        <v>ia.assorted_string like '%3274-03-2025%' or</v>
      </c>
    </row>
    <row r="181" spans="1:5" x14ac:dyDescent="0.25">
      <c r="A181" s="1" t="s">
        <v>390</v>
      </c>
      <c r="B181" t="s">
        <v>817</v>
      </c>
      <c r="D181">
        <v>3275</v>
      </c>
      <c r="E181" t="str">
        <f t="shared" si="2"/>
        <v>ia.assorted_string like '%3275-03-2025%' or</v>
      </c>
    </row>
    <row r="182" spans="1:5" x14ac:dyDescent="0.25">
      <c r="A182" s="1" t="s">
        <v>392</v>
      </c>
      <c r="B182" t="s">
        <v>817</v>
      </c>
      <c r="D182">
        <v>3276</v>
      </c>
      <c r="E182" t="str">
        <f t="shared" si="2"/>
        <v>ia.assorted_string like '%3276-03-2025%' or</v>
      </c>
    </row>
    <row r="183" spans="1:5" x14ac:dyDescent="0.25">
      <c r="A183" s="1" t="s">
        <v>394</v>
      </c>
      <c r="B183" t="s">
        <v>817</v>
      </c>
      <c r="D183">
        <v>3277</v>
      </c>
      <c r="E183" t="str">
        <f t="shared" si="2"/>
        <v>ia.assorted_string like '%3277-03-2025%' or</v>
      </c>
    </row>
    <row r="184" spans="1:5" x14ac:dyDescent="0.25">
      <c r="A184" s="1" t="s">
        <v>396</v>
      </c>
      <c r="B184" t="s">
        <v>817</v>
      </c>
      <c r="D184">
        <v>3278</v>
      </c>
      <c r="E184" t="str">
        <f t="shared" si="2"/>
        <v>ia.assorted_string like '%3278-03-2025%' or</v>
      </c>
    </row>
    <row r="185" spans="1:5" x14ac:dyDescent="0.25">
      <c r="A185" s="1" t="s">
        <v>398</v>
      </c>
      <c r="B185" t="s">
        <v>817</v>
      </c>
      <c r="D185">
        <v>3279</v>
      </c>
      <c r="E185" t="str">
        <f t="shared" si="2"/>
        <v>ia.assorted_string like '%3279-03-2025%' or</v>
      </c>
    </row>
    <row r="186" spans="1:5" x14ac:dyDescent="0.25">
      <c r="A186" s="1" t="s">
        <v>400</v>
      </c>
      <c r="B186" t="s">
        <v>817</v>
      </c>
      <c r="D186">
        <v>3280</v>
      </c>
      <c r="E186" t="str">
        <f t="shared" si="2"/>
        <v>ia.assorted_string like '%3280-03-2025%' or</v>
      </c>
    </row>
    <row r="187" spans="1:5" x14ac:dyDescent="0.25">
      <c r="A187" s="1" t="s">
        <v>402</v>
      </c>
      <c r="B187" t="s">
        <v>817</v>
      </c>
      <c r="D187">
        <v>3281</v>
      </c>
      <c r="E187" t="str">
        <f t="shared" si="2"/>
        <v>ia.assorted_string like '%3281-03-2025%' or</v>
      </c>
    </row>
    <row r="188" spans="1:5" x14ac:dyDescent="0.25">
      <c r="A188" s="1" t="s">
        <v>404</v>
      </c>
      <c r="B188" t="s">
        <v>817</v>
      </c>
      <c r="D188">
        <v>3282</v>
      </c>
      <c r="E188" t="str">
        <f t="shared" si="2"/>
        <v>ia.assorted_string like '%3282-03-2025%' or</v>
      </c>
    </row>
    <row r="189" spans="1:5" x14ac:dyDescent="0.25">
      <c r="A189" s="1" t="s">
        <v>406</v>
      </c>
      <c r="B189" t="s">
        <v>817</v>
      </c>
      <c r="D189">
        <v>3283</v>
      </c>
      <c r="E189" t="str">
        <f t="shared" si="2"/>
        <v>ia.assorted_string like '%3283-03-2025%' or</v>
      </c>
    </row>
    <row r="190" spans="1:5" x14ac:dyDescent="0.25">
      <c r="A190" s="1" t="s">
        <v>408</v>
      </c>
      <c r="B190" t="s">
        <v>817</v>
      </c>
      <c r="D190">
        <v>3284</v>
      </c>
      <c r="E190" t="str">
        <f t="shared" si="2"/>
        <v>ia.assorted_string like '%3284-03-2025%' or</v>
      </c>
    </row>
    <row r="191" spans="1:5" x14ac:dyDescent="0.25">
      <c r="A191" s="1" t="s">
        <v>410</v>
      </c>
      <c r="B191" t="s">
        <v>817</v>
      </c>
      <c r="D191">
        <v>3285</v>
      </c>
      <c r="E191" t="str">
        <f t="shared" si="2"/>
        <v>ia.assorted_string like '%3285-03-2025%' or</v>
      </c>
    </row>
    <row r="192" spans="1:5" x14ac:dyDescent="0.25">
      <c r="A192" s="1" t="s">
        <v>412</v>
      </c>
      <c r="B192" t="s">
        <v>817</v>
      </c>
      <c r="D192">
        <v>3286</v>
      </c>
      <c r="E192" t="str">
        <f t="shared" si="2"/>
        <v>ia.assorted_string like '%3286-03-2025%' or</v>
      </c>
    </row>
    <row r="193" spans="1:5" x14ac:dyDescent="0.25">
      <c r="A193" s="1" t="s">
        <v>414</v>
      </c>
      <c r="B193" t="s">
        <v>817</v>
      </c>
      <c r="D193">
        <v>3287</v>
      </c>
      <c r="E193" t="str">
        <f t="shared" si="2"/>
        <v>ia.assorted_string like '%3287-03-2025%' or</v>
      </c>
    </row>
    <row r="194" spans="1:5" x14ac:dyDescent="0.25">
      <c r="A194" s="1" t="s">
        <v>416</v>
      </c>
      <c r="B194" t="s">
        <v>817</v>
      </c>
      <c r="D194">
        <v>3288</v>
      </c>
      <c r="E194" t="str">
        <f t="shared" ref="E194:E257" si="3">"ia.assorted_string like '%"&amp;D194&amp;B194&amp;"%' or"</f>
        <v>ia.assorted_string like '%3288-03-2025%' or</v>
      </c>
    </row>
    <row r="195" spans="1:5" x14ac:dyDescent="0.25">
      <c r="A195" s="1" t="s">
        <v>418</v>
      </c>
      <c r="B195" t="s">
        <v>817</v>
      </c>
      <c r="D195">
        <v>3289</v>
      </c>
      <c r="E195" t="str">
        <f t="shared" si="3"/>
        <v>ia.assorted_string like '%3289-03-2025%' or</v>
      </c>
    </row>
    <row r="196" spans="1:5" x14ac:dyDescent="0.25">
      <c r="A196" s="1" t="s">
        <v>420</v>
      </c>
      <c r="B196" t="s">
        <v>817</v>
      </c>
      <c r="D196">
        <v>3290</v>
      </c>
      <c r="E196" t="str">
        <f t="shared" si="3"/>
        <v>ia.assorted_string like '%3290-03-2025%' or</v>
      </c>
    </row>
    <row r="197" spans="1:5" x14ac:dyDescent="0.25">
      <c r="A197" s="1" t="s">
        <v>422</v>
      </c>
      <c r="B197" t="s">
        <v>817</v>
      </c>
      <c r="D197">
        <v>3291</v>
      </c>
      <c r="E197" t="str">
        <f t="shared" si="3"/>
        <v>ia.assorted_string like '%3291-03-2025%' or</v>
      </c>
    </row>
    <row r="198" spans="1:5" x14ac:dyDescent="0.25">
      <c r="A198" s="1" t="s">
        <v>424</v>
      </c>
      <c r="B198" t="s">
        <v>817</v>
      </c>
      <c r="D198">
        <v>3292</v>
      </c>
      <c r="E198" t="str">
        <f t="shared" si="3"/>
        <v>ia.assorted_string like '%3292-03-2025%' or</v>
      </c>
    </row>
    <row r="199" spans="1:5" x14ac:dyDescent="0.25">
      <c r="A199" s="1" t="s">
        <v>426</v>
      </c>
      <c r="B199" t="s">
        <v>817</v>
      </c>
      <c r="D199">
        <v>3293</v>
      </c>
      <c r="E199" t="str">
        <f t="shared" si="3"/>
        <v>ia.assorted_string like '%3293-03-2025%' or</v>
      </c>
    </row>
    <row r="200" spans="1:5" x14ac:dyDescent="0.25">
      <c r="A200" s="1" t="s">
        <v>428</v>
      </c>
      <c r="B200" t="s">
        <v>817</v>
      </c>
      <c r="D200">
        <v>3294</v>
      </c>
      <c r="E200" t="str">
        <f t="shared" si="3"/>
        <v>ia.assorted_string like '%3294-03-2025%' or</v>
      </c>
    </row>
    <row r="201" spans="1:5" x14ac:dyDescent="0.25">
      <c r="A201" s="1" t="s">
        <v>430</v>
      </c>
      <c r="B201" t="s">
        <v>817</v>
      </c>
      <c r="D201">
        <v>3295</v>
      </c>
      <c r="E201" t="str">
        <f t="shared" si="3"/>
        <v>ia.assorted_string like '%3295-03-2025%' or</v>
      </c>
    </row>
    <row r="202" spans="1:5" x14ac:dyDescent="0.25">
      <c r="A202" s="1" t="s">
        <v>432</v>
      </c>
      <c r="B202" t="s">
        <v>817</v>
      </c>
      <c r="D202">
        <v>3296</v>
      </c>
      <c r="E202" t="str">
        <f t="shared" si="3"/>
        <v>ia.assorted_string like '%3296-03-2025%' or</v>
      </c>
    </row>
    <row r="203" spans="1:5" x14ac:dyDescent="0.25">
      <c r="A203" s="1" t="s">
        <v>434</v>
      </c>
      <c r="B203" t="s">
        <v>817</v>
      </c>
      <c r="D203">
        <v>3297</v>
      </c>
      <c r="E203" t="str">
        <f t="shared" si="3"/>
        <v>ia.assorted_string like '%3297-03-2025%' or</v>
      </c>
    </row>
    <row r="204" spans="1:5" x14ac:dyDescent="0.25">
      <c r="A204" s="1" t="s">
        <v>436</v>
      </c>
      <c r="B204" t="s">
        <v>817</v>
      </c>
      <c r="D204">
        <v>3298</v>
      </c>
      <c r="E204" t="str">
        <f t="shared" si="3"/>
        <v>ia.assorted_string like '%3298-03-2025%' or</v>
      </c>
    </row>
    <row r="205" spans="1:5" x14ac:dyDescent="0.25">
      <c r="A205" s="1" t="s">
        <v>438</v>
      </c>
      <c r="B205" t="s">
        <v>817</v>
      </c>
      <c r="D205">
        <v>3299</v>
      </c>
      <c r="E205" t="str">
        <f t="shared" si="3"/>
        <v>ia.assorted_string like '%3299-03-2025%' or</v>
      </c>
    </row>
    <row r="206" spans="1:5" x14ac:dyDescent="0.25">
      <c r="A206" s="1" t="s">
        <v>440</v>
      </c>
      <c r="B206" t="s">
        <v>817</v>
      </c>
      <c r="D206">
        <v>3300</v>
      </c>
      <c r="E206" t="str">
        <f t="shared" si="3"/>
        <v>ia.assorted_string like '%3300-03-2025%' or</v>
      </c>
    </row>
    <row r="207" spans="1:5" x14ac:dyDescent="0.25">
      <c r="A207" s="1" t="s">
        <v>442</v>
      </c>
      <c r="B207" t="s">
        <v>817</v>
      </c>
      <c r="D207">
        <v>3301</v>
      </c>
      <c r="E207" t="str">
        <f t="shared" si="3"/>
        <v>ia.assorted_string like '%3301-03-2025%' or</v>
      </c>
    </row>
    <row r="208" spans="1:5" x14ac:dyDescent="0.25">
      <c r="A208" s="1" t="s">
        <v>444</v>
      </c>
      <c r="B208" t="s">
        <v>817</v>
      </c>
      <c r="D208">
        <v>3302</v>
      </c>
      <c r="E208" t="str">
        <f t="shared" si="3"/>
        <v>ia.assorted_string like '%3302-03-2025%' or</v>
      </c>
    </row>
    <row r="209" spans="1:5" x14ac:dyDescent="0.25">
      <c r="A209" s="1" t="s">
        <v>446</v>
      </c>
      <c r="B209" t="s">
        <v>817</v>
      </c>
      <c r="D209">
        <v>3303</v>
      </c>
      <c r="E209" t="str">
        <f t="shared" si="3"/>
        <v>ia.assorted_string like '%3303-03-2025%' or</v>
      </c>
    </row>
    <row r="210" spans="1:5" x14ac:dyDescent="0.25">
      <c r="A210" s="1" t="s">
        <v>448</v>
      </c>
      <c r="B210" t="s">
        <v>817</v>
      </c>
      <c r="D210">
        <v>3304</v>
      </c>
      <c r="E210" t="str">
        <f t="shared" si="3"/>
        <v>ia.assorted_string like '%3304-03-2025%' or</v>
      </c>
    </row>
    <row r="211" spans="1:5" x14ac:dyDescent="0.25">
      <c r="A211" s="1" t="s">
        <v>450</v>
      </c>
      <c r="B211" t="s">
        <v>817</v>
      </c>
      <c r="D211">
        <v>3305</v>
      </c>
      <c r="E211" t="str">
        <f t="shared" si="3"/>
        <v>ia.assorted_string like '%3305-03-2025%' or</v>
      </c>
    </row>
    <row r="212" spans="1:5" x14ac:dyDescent="0.25">
      <c r="A212" s="1" t="s">
        <v>452</v>
      </c>
      <c r="B212" t="s">
        <v>817</v>
      </c>
      <c r="D212">
        <v>3306</v>
      </c>
      <c r="E212" t="str">
        <f t="shared" si="3"/>
        <v>ia.assorted_string like '%3306-03-2025%' or</v>
      </c>
    </row>
    <row r="213" spans="1:5" x14ac:dyDescent="0.25">
      <c r="A213" s="1" t="s">
        <v>454</v>
      </c>
      <c r="B213" t="s">
        <v>817</v>
      </c>
      <c r="D213">
        <v>3307</v>
      </c>
      <c r="E213" t="str">
        <f t="shared" si="3"/>
        <v>ia.assorted_string like '%3307-03-2025%' or</v>
      </c>
    </row>
    <row r="214" spans="1:5" x14ac:dyDescent="0.25">
      <c r="A214" s="1" t="s">
        <v>456</v>
      </c>
      <c r="B214" t="s">
        <v>817</v>
      </c>
      <c r="D214">
        <v>3308</v>
      </c>
      <c r="E214" t="str">
        <f t="shared" si="3"/>
        <v>ia.assorted_string like '%3308-03-2025%' or</v>
      </c>
    </row>
    <row r="215" spans="1:5" x14ac:dyDescent="0.25">
      <c r="A215" s="1" t="s">
        <v>458</v>
      </c>
      <c r="B215" t="s">
        <v>817</v>
      </c>
      <c r="D215">
        <v>3309</v>
      </c>
      <c r="E215" t="str">
        <f t="shared" si="3"/>
        <v>ia.assorted_string like '%3309-03-2025%' or</v>
      </c>
    </row>
    <row r="216" spans="1:5" x14ac:dyDescent="0.25">
      <c r="A216" s="1" t="s">
        <v>460</v>
      </c>
      <c r="B216" t="s">
        <v>817</v>
      </c>
      <c r="D216">
        <v>3310</v>
      </c>
      <c r="E216" t="str">
        <f t="shared" si="3"/>
        <v>ia.assorted_string like '%3310-03-2025%' or</v>
      </c>
    </row>
    <row r="217" spans="1:5" x14ac:dyDescent="0.25">
      <c r="A217" s="1" t="s">
        <v>462</v>
      </c>
      <c r="B217" t="s">
        <v>817</v>
      </c>
      <c r="D217">
        <v>3311</v>
      </c>
      <c r="E217" t="str">
        <f t="shared" si="3"/>
        <v>ia.assorted_string like '%3311-03-2025%' or</v>
      </c>
    </row>
    <row r="218" spans="1:5" x14ac:dyDescent="0.25">
      <c r="A218" s="1" t="s">
        <v>464</v>
      </c>
      <c r="B218" t="s">
        <v>817</v>
      </c>
      <c r="D218">
        <v>3312</v>
      </c>
      <c r="E218" t="str">
        <f t="shared" si="3"/>
        <v>ia.assorted_string like '%3312-03-2025%' or</v>
      </c>
    </row>
    <row r="219" spans="1:5" x14ac:dyDescent="0.25">
      <c r="A219" s="1" t="s">
        <v>465</v>
      </c>
      <c r="B219" t="s">
        <v>817</v>
      </c>
      <c r="D219">
        <v>3313</v>
      </c>
      <c r="E219" t="str">
        <f t="shared" si="3"/>
        <v>ia.assorted_string like '%3313-03-2025%' or</v>
      </c>
    </row>
    <row r="220" spans="1:5" x14ac:dyDescent="0.25">
      <c r="A220" s="1" t="s">
        <v>466</v>
      </c>
      <c r="B220" t="s">
        <v>817</v>
      </c>
      <c r="D220">
        <v>3314</v>
      </c>
      <c r="E220" t="str">
        <f t="shared" si="3"/>
        <v>ia.assorted_string like '%3314-03-2025%' or</v>
      </c>
    </row>
    <row r="221" spans="1:5" x14ac:dyDescent="0.25">
      <c r="A221" s="1" t="s">
        <v>468</v>
      </c>
      <c r="B221" t="s">
        <v>817</v>
      </c>
      <c r="D221">
        <v>3315</v>
      </c>
      <c r="E221" t="str">
        <f t="shared" si="3"/>
        <v>ia.assorted_string like '%3315-03-2025%' or</v>
      </c>
    </row>
    <row r="222" spans="1:5" x14ac:dyDescent="0.25">
      <c r="A222" s="1" t="s">
        <v>470</v>
      </c>
      <c r="B222" t="s">
        <v>817</v>
      </c>
      <c r="D222">
        <v>3316</v>
      </c>
      <c r="E222" t="str">
        <f t="shared" si="3"/>
        <v>ia.assorted_string like '%3316-03-2025%' or</v>
      </c>
    </row>
    <row r="223" spans="1:5" x14ac:dyDescent="0.25">
      <c r="A223" s="1" t="s">
        <v>472</v>
      </c>
      <c r="B223" t="s">
        <v>817</v>
      </c>
      <c r="D223">
        <v>3317</v>
      </c>
      <c r="E223" t="str">
        <f t="shared" si="3"/>
        <v>ia.assorted_string like '%3317-03-2025%' or</v>
      </c>
    </row>
    <row r="224" spans="1:5" x14ac:dyDescent="0.25">
      <c r="A224" s="1" t="s">
        <v>474</v>
      </c>
      <c r="B224" t="s">
        <v>817</v>
      </c>
      <c r="D224">
        <v>3318</v>
      </c>
      <c r="E224" t="str">
        <f t="shared" si="3"/>
        <v>ia.assorted_string like '%3318-03-2025%' or</v>
      </c>
    </row>
    <row r="225" spans="1:5" x14ac:dyDescent="0.25">
      <c r="A225" s="1" t="s">
        <v>476</v>
      </c>
      <c r="B225" t="s">
        <v>817</v>
      </c>
      <c r="D225">
        <v>3319</v>
      </c>
      <c r="E225" t="str">
        <f t="shared" si="3"/>
        <v>ia.assorted_string like '%3319-03-2025%' or</v>
      </c>
    </row>
    <row r="226" spans="1:5" x14ac:dyDescent="0.25">
      <c r="A226" s="1" t="s">
        <v>478</v>
      </c>
      <c r="B226" t="s">
        <v>817</v>
      </c>
      <c r="D226">
        <v>3320</v>
      </c>
      <c r="E226" t="str">
        <f t="shared" si="3"/>
        <v>ia.assorted_string like '%3320-03-2025%' or</v>
      </c>
    </row>
    <row r="227" spans="1:5" x14ac:dyDescent="0.25">
      <c r="A227" s="1" t="s">
        <v>480</v>
      </c>
      <c r="B227" t="s">
        <v>817</v>
      </c>
      <c r="D227">
        <v>3321</v>
      </c>
      <c r="E227" t="str">
        <f t="shared" si="3"/>
        <v>ia.assorted_string like '%3321-03-2025%' or</v>
      </c>
    </row>
    <row r="228" spans="1:5" x14ac:dyDescent="0.25">
      <c r="A228" s="1" t="s">
        <v>482</v>
      </c>
      <c r="B228" t="s">
        <v>817</v>
      </c>
      <c r="D228">
        <v>3322</v>
      </c>
      <c r="E228" t="str">
        <f t="shared" si="3"/>
        <v>ia.assorted_string like '%3322-03-2025%' or</v>
      </c>
    </row>
    <row r="229" spans="1:5" x14ac:dyDescent="0.25">
      <c r="A229" s="1" t="s">
        <v>484</v>
      </c>
      <c r="B229" t="s">
        <v>817</v>
      </c>
      <c r="D229">
        <v>3323</v>
      </c>
      <c r="E229" t="str">
        <f t="shared" si="3"/>
        <v>ia.assorted_string like '%3323-03-2025%' or</v>
      </c>
    </row>
    <row r="230" spans="1:5" x14ac:dyDescent="0.25">
      <c r="A230" s="1" t="s">
        <v>486</v>
      </c>
      <c r="B230" t="s">
        <v>817</v>
      </c>
      <c r="D230">
        <v>3324</v>
      </c>
      <c r="E230" t="str">
        <f t="shared" si="3"/>
        <v>ia.assorted_string like '%3324-03-2025%' or</v>
      </c>
    </row>
    <row r="231" spans="1:5" x14ac:dyDescent="0.25">
      <c r="A231" s="1" t="s">
        <v>488</v>
      </c>
      <c r="B231" t="s">
        <v>817</v>
      </c>
      <c r="D231">
        <v>3325</v>
      </c>
      <c r="E231" t="str">
        <f t="shared" si="3"/>
        <v>ia.assorted_string like '%3325-03-2025%' or</v>
      </c>
    </row>
    <row r="232" spans="1:5" x14ac:dyDescent="0.25">
      <c r="A232" s="1" t="s">
        <v>490</v>
      </c>
      <c r="B232" t="s">
        <v>817</v>
      </c>
      <c r="D232">
        <v>3326</v>
      </c>
      <c r="E232" t="str">
        <f t="shared" si="3"/>
        <v>ia.assorted_string like '%3326-03-2025%' or</v>
      </c>
    </row>
    <row r="233" spans="1:5" x14ac:dyDescent="0.25">
      <c r="A233" s="1" t="s">
        <v>492</v>
      </c>
      <c r="B233" t="s">
        <v>817</v>
      </c>
      <c r="D233">
        <v>3327</v>
      </c>
      <c r="E233" t="str">
        <f t="shared" si="3"/>
        <v>ia.assorted_string like '%3327-03-2025%' or</v>
      </c>
    </row>
    <row r="234" spans="1:5" x14ac:dyDescent="0.25">
      <c r="A234" s="1" t="s">
        <v>494</v>
      </c>
      <c r="B234" t="s">
        <v>817</v>
      </c>
      <c r="D234">
        <v>3328</v>
      </c>
      <c r="E234" t="str">
        <f t="shared" si="3"/>
        <v>ia.assorted_string like '%3328-03-2025%' or</v>
      </c>
    </row>
    <row r="235" spans="1:5" x14ac:dyDescent="0.25">
      <c r="A235" s="1" t="s">
        <v>496</v>
      </c>
      <c r="B235" t="s">
        <v>817</v>
      </c>
      <c r="D235">
        <v>3329</v>
      </c>
      <c r="E235" t="str">
        <f t="shared" si="3"/>
        <v>ia.assorted_string like '%3329-03-2025%' or</v>
      </c>
    </row>
    <row r="236" spans="1:5" x14ac:dyDescent="0.25">
      <c r="A236" s="1" t="s">
        <v>498</v>
      </c>
      <c r="B236" t="s">
        <v>817</v>
      </c>
      <c r="D236">
        <v>3330</v>
      </c>
      <c r="E236" t="str">
        <f t="shared" si="3"/>
        <v>ia.assorted_string like '%3330-03-2025%' or</v>
      </c>
    </row>
    <row r="237" spans="1:5" x14ac:dyDescent="0.25">
      <c r="A237" s="1" t="s">
        <v>500</v>
      </c>
      <c r="B237" t="s">
        <v>817</v>
      </c>
      <c r="D237">
        <v>3331</v>
      </c>
      <c r="E237" t="str">
        <f t="shared" si="3"/>
        <v>ia.assorted_string like '%3331-03-2025%' or</v>
      </c>
    </row>
    <row r="238" spans="1:5" x14ac:dyDescent="0.25">
      <c r="A238" s="1" t="s">
        <v>502</v>
      </c>
      <c r="B238" t="s">
        <v>817</v>
      </c>
      <c r="D238">
        <v>3332</v>
      </c>
      <c r="E238" t="str">
        <f t="shared" si="3"/>
        <v>ia.assorted_string like '%3332-03-2025%' or</v>
      </c>
    </row>
    <row r="239" spans="1:5" x14ac:dyDescent="0.25">
      <c r="A239" s="1" t="s">
        <v>504</v>
      </c>
      <c r="B239" t="s">
        <v>817</v>
      </c>
      <c r="D239">
        <v>3333</v>
      </c>
      <c r="E239" t="str">
        <f t="shared" si="3"/>
        <v>ia.assorted_string like '%3333-03-2025%' or</v>
      </c>
    </row>
    <row r="240" spans="1:5" x14ac:dyDescent="0.25">
      <c r="A240" s="1" t="s">
        <v>506</v>
      </c>
      <c r="B240" t="s">
        <v>817</v>
      </c>
      <c r="D240">
        <v>3334</v>
      </c>
      <c r="E240" t="str">
        <f t="shared" si="3"/>
        <v>ia.assorted_string like '%3334-03-2025%' or</v>
      </c>
    </row>
    <row r="241" spans="1:5" x14ac:dyDescent="0.25">
      <c r="A241" s="1" t="s">
        <v>508</v>
      </c>
      <c r="B241" t="s">
        <v>817</v>
      </c>
      <c r="D241">
        <v>3335</v>
      </c>
      <c r="E241" t="str">
        <f t="shared" si="3"/>
        <v>ia.assorted_string like '%3335-03-2025%' or</v>
      </c>
    </row>
    <row r="242" spans="1:5" x14ac:dyDescent="0.25">
      <c r="A242" s="1" t="s">
        <v>510</v>
      </c>
      <c r="B242" t="s">
        <v>817</v>
      </c>
      <c r="D242">
        <v>3336</v>
      </c>
      <c r="E242" t="str">
        <f t="shared" si="3"/>
        <v>ia.assorted_string like '%3336-03-2025%' or</v>
      </c>
    </row>
    <row r="243" spans="1:5" x14ac:dyDescent="0.25">
      <c r="A243" s="1" t="s">
        <v>512</v>
      </c>
      <c r="B243" t="s">
        <v>817</v>
      </c>
      <c r="D243">
        <v>3337</v>
      </c>
      <c r="E243" t="str">
        <f t="shared" si="3"/>
        <v>ia.assorted_string like '%3337-03-2025%' or</v>
      </c>
    </row>
    <row r="244" spans="1:5" x14ac:dyDescent="0.25">
      <c r="A244" s="1" t="s">
        <v>514</v>
      </c>
      <c r="B244" t="s">
        <v>817</v>
      </c>
      <c r="D244">
        <v>3338</v>
      </c>
      <c r="E244" t="str">
        <f t="shared" si="3"/>
        <v>ia.assorted_string like '%3338-03-2025%' or</v>
      </c>
    </row>
    <row r="245" spans="1:5" x14ac:dyDescent="0.25">
      <c r="A245" s="1" t="s">
        <v>516</v>
      </c>
      <c r="B245" t="s">
        <v>817</v>
      </c>
      <c r="D245">
        <v>3339</v>
      </c>
      <c r="E245" t="str">
        <f t="shared" si="3"/>
        <v>ia.assorted_string like '%3339-03-2025%' or</v>
      </c>
    </row>
    <row r="246" spans="1:5" x14ac:dyDescent="0.25">
      <c r="A246" s="1" t="s">
        <v>518</v>
      </c>
      <c r="B246" t="s">
        <v>817</v>
      </c>
      <c r="D246">
        <v>3340</v>
      </c>
      <c r="E246" t="str">
        <f t="shared" si="3"/>
        <v>ia.assorted_string like '%3340-03-2025%' or</v>
      </c>
    </row>
    <row r="247" spans="1:5" x14ac:dyDescent="0.25">
      <c r="A247" s="1" t="s">
        <v>520</v>
      </c>
      <c r="B247" t="s">
        <v>817</v>
      </c>
      <c r="D247">
        <v>3341</v>
      </c>
      <c r="E247" t="str">
        <f t="shared" si="3"/>
        <v>ia.assorted_string like '%3341-03-2025%' or</v>
      </c>
    </row>
    <row r="248" spans="1:5" x14ac:dyDescent="0.25">
      <c r="A248" s="1" t="s">
        <v>522</v>
      </c>
      <c r="B248" t="s">
        <v>817</v>
      </c>
      <c r="D248">
        <v>3342</v>
      </c>
      <c r="E248" t="str">
        <f t="shared" si="3"/>
        <v>ia.assorted_string like '%3342-03-2025%' or</v>
      </c>
    </row>
    <row r="249" spans="1:5" x14ac:dyDescent="0.25">
      <c r="A249" s="1" t="s">
        <v>524</v>
      </c>
      <c r="B249" t="s">
        <v>817</v>
      </c>
      <c r="D249">
        <v>3343</v>
      </c>
      <c r="E249" t="str">
        <f t="shared" si="3"/>
        <v>ia.assorted_string like '%3343-03-2025%' or</v>
      </c>
    </row>
    <row r="250" spans="1:5" x14ac:dyDescent="0.25">
      <c r="A250" s="1" t="s">
        <v>526</v>
      </c>
      <c r="B250" t="s">
        <v>817</v>
      </c>
      <c r="D250">
        <v>3344</v>
      </c>
      <c r="E250" t="str">
        <f t="shared" si="3"/>
        <v>ia.assorted_string like '%3344-03-2025%' or</v>
      </c>
    </row>
    <row r="251" spans="1:5" x14ac:dyDescent="0.25">
      <c r="A251" s="1" t="s">
        <v>528</v>
      </c>
      <c r="B251" t="s">
        <v>817</v>
      </c>
      <c r="D251">
        <v>3345</v>
      </c>
      <c r="E251" t="str">
        <f t="shared" si="3"/>
        <v>ia.assorted_string like '%3345-03-2025%' or</v>
      </c>
    </row>
    <row r="252" spans="1:5" x14ac:dyDescent="0.25">
      <c r="A252" s="1" t="s">
        <v>530</v>
      </c>
      <c r="B252" t="s">
        <v>817</v>
      </c>
      <c r="D252">
        <v>3346</v>
      </c>
      <c r="E252" t="str">
        <f t="shared" si="3"/>
        <v>ia.assorted_string like '%3346-03-2025%' or</v>
      </c>
    </row>
    <row r="253" spans="1:5" x14ac:dyDescent="0.25">
      <c r="A253" s="1" t="s">
        <v>532</v>
      </c>
      <c r="B253" t="s">
        <v>817</v>
      </c>
      <c r="D253">
        <v>3347</v>
      </c>
      <c r="E253" t="str">
        <f t="shared" si="3"/>
        <v>ia.assorted_string like '%3347-03-2025%' or</v>
      </c>
    </row>
    <row r="254" spans="1:5" x14ac:dyDescent="0.25">
      <c r="A254" s="1" t="s">
        <v>534</v>
      </c>
      <c r="B254" t="s">
        <v>817</v>
      </c>
      <c r="D254">
        <v>3348</v>
      </c>
      <c r="E254" t="str">
        <f t="shared" si="3"/>
        <v>ia.assorted_string like '%3348-03-2025%' or</v>
      </c>
    </row>
    <row r="255" spans="1:5" x14ac:dyDescent="0.25">
      <c r="A255" s="1" t="s">
        <v>536</v>
      </c>
      <c r="B255" t="s">
        <v>817</v>
      </c>
      <c r="D255">
        <v>3349</v>
      </c>
      <c r="E255" t="str">
        <f t="shared" si="3"/>
        <v>ia.assorted_string like '%3349-03-2025%' or</v>
      </c>
    </row>
    <row r="256" spans="1:5" x14ac:dyDescent="0.25">
      <c r="A256" s="1" t="s">
        <v>538</v>
      </c>
      <c r="B256" t="s">
        <v>817</v>
      </c>
      <c r="D256">
        <v>3350</v>
      </c>
      <c r="E256" t="str">
        <f t="shared" si="3"/>
        <v>ia.assorted_string like '%3350-03-2025%' or</v>
      </c>
    </row>
    <row r="257" spans="1:5" x14ac:dyDescent="0.25">
      <c r="A257" s="1" t="s">
        <v>540</v>
      </c>
      <c r="B257" t="s">
        <v>817</v>
      </c>
      <c r="D257">
        <v>3351</v>
      </c>
      <c r="E257" t="str">
        <f t="shared" si="3"/>
        <v>ia.assorted_string like '%3351-03-2025%' or</v>
      </c>
    </row>
    <row r="258" spans="1:5" x14ac:dyDescent="0.25">
      <c r="A258" s="1" t="s">
        <v>541</v>
      </c>
      <c r="B258" t="s">
        <v>817</v>
      </c>
      <c r="D258">
        <v>3352</v>
      </c>
      <c r="E258" t="str">
        <f t="shared" ref="E258:E321" si="4">"ia.assorted_string like '%"&amp;D258&amp;B258&amp;"%' or"</f>
        <v>ia.assorted_string like '%3352-03-2025%' or</v>
      </c>
    </row>
    <row r="259" spans="1:5" x14ac:dyDescent="0.25">
      <c r="A259" s="1" t="s">
        <v>543</v>
      </c>
      <c r="B259" t="s">
        <v>817</v>
      </c>
      <c r="D259">
        <v>3353</v>
      </c>
      <c r="E259" t="str">
        <f t="shared" si="4"/>
        <v>ia.assorted_string like '%3353-03-2025%' or</v>
      </c>
    </row>
    <row r="260" spans="1:5" x14ac:dyDescent="0.25">
      <c r="A260" s="1" t="s">
        <v>545</v>
      </c>
      <c r="B260" t="s">
        <v>817</v>
      </c>
      <c r="D260">
        <v>3354</v>
      </c>
      <c r="E260" t="str">
        <f t="shared" si="4"/>
        <v>ia.assorted_string like '%3354-03-2025%' or</v>
      </c>
    </row>
    <row r="261" spans="1:5" x14ac:dyDescent="0.25">
      <c r="A261" s="1" t="s">
        <v>547</v>
      </c>
      <c r="B261" t="s">
        <v>817</v>
      </c>
      <c r="D261">
        <v>3355</v>
      </c>
      <c r="E261" t="str">
        <f t="shared" si="4"/>
        <v>ia.assorted_string like '%3355-03-2025%' or</v>
      </c>
    </row>
    <row r="262" spans="1:5" x14ac:dyDescent="0.25">
      <c r="A262" s="1" t="s">
        <v>549</v>
      </c>
      <c r="B262" t="s">
        <v>817</v>
      </c>
      <c r="D262">
        <v>3356</v>
      </c>
      <c r="E262" t="str">
        <f t="shared" si="4"/>
        <v>ia.assorted_string like '%3356-03-2025%' or</v>
      </c>
    </row>
    <row r="263" spans="1:5" x14ac:dyDescent="0.25">
      <c r="A263" s="1" t="s">
        <v>551</v>
      </c>
      <c r="B263" t="s">
        <v>817</v>
      </c>
      <c r="D263">
        <v>3357</v>
      </c>
      <c r="E263" t="str">
        <f t="shared" si="4"/>
        <v>ia.assorted_string like '%3357-03-2025%' or</v>
      </c>
    </row>
    <row r="264" spans="1:5" x14ac:dyDescent="0.25">
      <c r="A264" s="1" t="s">
        <v>553</v>
      </c>
      <c r="B264" t="s">
        <v>817</v>
      </c>
      <c r="D264">
        <v>3358</v>
      </c>
      <c r="E264" t="str">
        <f t="shared" si="4"/>
        <v>ia.assorted_string like '%3358-03-2025%' or</v>
      </c>
    </row>
    <row r="265" spans="1:5" x14ac:dyDescent="0.25">
      <c r="A265" s="1" t="s">
        <v>555</v>
      </c>
      <c r="B265" t="s">
        <v>817</v>
      </c>
      <c r="D265">
        <v>3359</v>
      </c>
      <c r="E265" t="str">
        <f t="shared" si="4"/>
        <v>ia.assorted_string like '%3359-03-2025%' or</v>
      </c>
    </row>
    <row r="266" spans="1:5" x14ac:dyDescent="0.25">
      <c r="A266" s="1" t="s">
        <v>557</v>
      </c>
      <c r="B266" t="s">
        <v>817</v>
      </c>
      <c r="D266">
        <v>3360</v>
      </c>
      <c r="E266" t="str">
        <f t="shared" si="4"/>
        <v>ia.assorted_string like '%3360-03-2025%' or</v>
      </c>
    </row>
    <row r="267" spans="1:5" x14ac:dyDescent="0.25">
      <c r="A267" s="1" t="s">
        <v>559</v>
      </c>
      <c r="B267" t="s">
        <v>817</v>
      </c>
      <c r="D267">
        <v>3361</v>
      </c>
      <c r="E267" t="str">
        <f t="shared" si="4"/>
        <v>ia.assorted_string like '%3361-03-2025%' or</v>
      </c>
    </row>
    <row r="268" spans="1:5" x14ac:dyDescent="0.25">
      <c r="A268" s="1" t="s">
        <v>561</v>
      </c>
      <c r="B268" t="s">
        <v>817</v>
      </c>
      <c r="D268">
        <v>3362</v>
      </c>
      <c r="E268" t="str">
        <f t="shared" si="4"/>
        <v>ia.assorted_string like '%3362-03-2025%' or</v>
      </c>
    </row>
    <row r="269" spans="1:5" x14ac:dyDescent="0.25">
      <c r="A269" s="1" t="s">
        <v>562</v>
      </c>
      <c r="B269" t="s">
        <v>817</v>
      </c>
      <c r="D269">
        <v>3363</v>
      </c>
      <c r="E269" t="str">
        <f t="shared" si="4"/>
        <v>ia.assorted_string like '%3363-03-2025%' or</v>
      </c>
    </row>
    <row r="270" spans="1:5" x14ac:dyDescent="0.25">
      <c r="A270" s="1" t="s">
        <v>564</v>
      </c>
      <c r="B270" t="s">
        <v>817</v>
      </c>
      <c r="D270">
        <v>3364</v>
      </c>
      <c r="E270" t="str">
        <f t="shared" si="4"/>
        <v>ia.assorted_string like '%3364-03-2025%' or</v>
      </c>
    </row>
    <row r="271" spans="1:5" x14ac:dyDescent="0.25">
      <c r="A271" s="1" t="s">
        <v>566</v>
      </c>
      <c r="B271" t="s">
        <v>817</v>
      </c>
      <c r="D271">
        <v>3365</v>
      </c>
      <c r="E271" t="str">
        <f t="shared" si="4"/>
        <v>ia.assorted_string like '%3365-03-2025%' or</v>
      </c>
    </row>
    <row r="272" spans="1:5" x14ac:dyDescent="0.25">
      <c r="A272" s="1" t="s">
        <v>568</v>
      </c>
      <c r="B272" t="s">
        <v>817</v>
      </c>
      <c r="D272">
        <v>3366</v>
      </c>
      <c r="E272" t="str">
        <f t="shared" si="4"/>
        <v>ia.assorted_string like '%3366-03-2025%' or</v>
      </c>
    </row>
    <row r="273" spans="1:5" x14ac:dyDescent="0.25">
      <c r="A273" s="1" t="s">
        <v>569</v>
      </c>
      <c r="B273" t="s">
        <v>817</v>
      </c>
      <c r="D273">
        <v>3367</v>
      </c>
      <c r="E273" t="str">
        <f t="shared" si="4"/>
        <v>ia.assorted_string like '%3367-03-2025%' or</v>
      </c>
    </row>
    <row r="274" spans="1:5" x14ac:dyDescent="0.25">
      <c r="A274" s="1" t="s">
        <v>571</v>
      </c>
      <c r="B274" t="s">
        <v>817</v>
      </c>
      <c r="D274">
        <v>3368</v>
      </c>
      <c r="E274" t="str">
        <f t="shared" si="4"/>
        <v>ia.assorted_string like '%3368-03-2025%' or</v>
      </c>
    </row>
    <row r="275" spans="1:5" x14ac:dyDescent="0.25">
      <c r="A275" s="1" t="s">
        <v>573</v>
      </c>
      <c r="B275" t="s">
        <v>817</v>
      </c>
      <c r="D275">
        <v>3369</v>
      </c>
      <c r="E275" t="str">
        <f t="shared" si="4"/>
        <v>ia.assorted_string like '%3369-03-2025%' or</v>
      </c>
    </row>
    <row r="276" spans="1:5" x14ac:dyDescent="0.25">
      <c r="A276" s="1" t="s">
        <v>575</v>
      </c>
      <c r="B276" t="s">
        <v>817</v>
      </c>
      <c r="D276">
        <v>3370</v>
      </c>
      <c r="E276" t="str">
        <f t="shared" si="4"/>
        <v>ia.assorted_string like '%3370-03-2025%' or</v>
      </c>
    </row>
    <row r="277" spans="1:5" x14ac:dyDescent="0.25">
      <c r="A277" s="1" t="s">
        <v>577</v>
      </c>
      <c r="B277" t="s">
        <v>817</v>
      </c>
      <c r="D277">
        <v>3371</v>
      </c>
      <c r="E277" t="str">
        <f t="shared" si="4"/>
        <v>ia.assorted_string like '%3371-03-2025%' or</v>
      </c>
    </row>
    <row r="278" spans="1:5" x14ac:dyDescent="0.25">
      <c r="A278" s="1" t="s">
        <v>579</v>
      </c>
      <c r="B278" t="s">
        <v>817</v>
      </c>
      <c r="D278">
        <v>3372</v>
      </c>
      <c r="E278" t="str">
        <f t="shared" si="4"/>
        <v>ia.assorted_string like '%3372-03-2025%' or</v>
      </c>
    </row>
    <row r="279" spans="1:5" x14ac:dyDescent="0.25">
      <c r="A279" s="1" t="s">
        <v>580</v>
      </c>
      <c r="B279" t="s">
        <v>817</v>
      </c>
      <c r="D279">
        <v>3373</v>
      </c>
      <c r="E279" t="str">
        <f t="shared" si="4"/>
        <v>ia.assorted_string like '%3373-03-2025%' or</v>
      </c>
    </row>
    <row r="280" spans="1:5" x14ac:dyDescent="0.25">
      <c r="A280" s="1" t="s">
        <v>582</v>
      </c>
      <c r="B280" t="s">
        <v>817</v>
      </c>
      <c r="D280">
        <v>3374</v>
      </c>
      <c r="E280" t="str">
        <f t="shared" si="4"/>
        <v>ia.assorted_string like '%3374-03-2025%' or</v>
      </c>
    </row>
    <row r="281" spans="1:5" x14ac:dyDescent="0.25">
      <c r="A281" s="1" t="s">
        <v>584</v>
      </c>
      <c r="B281" t="s">
        <v>817</v>
      </c>
      <c r="D281">
        <v>3375</v>
      </c>
      <c r="E281" t="str">
        <f t="shared" si="4"/>
        <v>ia.assorted_string like '%3375-03-2025%' or</v>
      </c>
    </row>
    <row r="282" spans="1:5" x14ac:dyDescent="0.25">
      <c r="A282" s="1" t="s">
        <v>586</v>
      </c>
      <c r="B282" t="s">
        <v>817</v>
      </c>
      <c r="D282">
        <v>3376</v>
      </c>
      <c r="E282" t="str">
        <f t="shared" si="4"/>
        <v>ia.assorted_string like '%3376-03-2025%' or</v>
      </c>
    </row>
    <row r="283" spans="1:5" x14ac:dyDescent="0.25">
      <c r="A283" s="1" t="s">
        <v>588</v>
      </c>
      <c r="B283" t="s">
        <v>817</v>
      </c>
      <c r="D283">
        <v>3377</v>
      </c>
      <c r="E283" t="str">
        <f t="shared" si="4"/>
        <v>ia.assorted_string like '%3377-03-2025%' or</v>
      </c>
    </row>
    <row r="284" spans="1:5" x14ac:dyDescent="0.25">
      <c r="A284" s="1" t="s">
        <v>590</v>
      </c>
      <c r="B284" t="s">
        <v>817</v>
      </c>
      <c r="D284">
        <v>3378</v>
      </c>
      <c r="E284" t="str">
        <f t="shared" si="4"/>
        <v>ia.assorted_string like '%3378-03-2025%' or</v>
      </c>
    </row>
    <row r="285" spans="1:5" x14ac:dyDescent="0.25">
      <c r="A285" s="1" t="s">
        <v>592</v>
      </c>
      <c r="B285" t="s">
        <v>817</v>
      </c>
      <c r="D285">
        <v>3379</v>
      </c>
      <c r="E285" t="str">
        <f t="shared" si="4"/>
        <v>ia.assorted_string like '%3379-03-2025%' or</v>
      </c>
    </row>
    <row r="286" spans="1:5" x14ac:dyDescent="0.25">
      <c r="A286" s="1" t="s">
        <v>594</v>
      </c>
      <c r="B286" t="s">
        <v>817</v>
      </c>
      <c r="D286">
        <v>3380</v>
      </c>
      <c r="E286" t="str">
        <f t="shared" si="4"/>
        <v>ia.assorted_string like '%3380-03-2025%' or</v>
      </c>
    </row>
    <row r="287" spans="1:5" x14ac:dyDescent="0.25">
      <c r="A287" s="1" t="s">
        <v>596</v>
      </c>
      <c r="B287" t="s">
        <v>817</v>
      </c>
      <c r="D287">
        <v>3381</v>
      </c>
      <c r="E287" t="str">
        <f t="shared" si="4"/>
        <v>ia.assorted_string like '%3381-03-2025%' or</v>
      </c>
    </row>
    <row r="288" spans="1:5" x14ac:dyDescent="0.25">
      <c r="A288" s="1" t="s">
        <v>598</v>
      </c>
      <c r="B288" t="s">
        <v>817</v>
      </c>
      <c r="D288">
        <v>3382</v>
      </c>
      <c r="E288" t="str">
        <f t="shared" si="4"/>
        <v>ia.assorted_string like '%3382-03-2025%' or</v>
      </c>
    </row>
    <row r="289" spans="1:5" x14ac:dyDescent="0.25">
      <c r="A289" s="1" t="s">
        <v>600</v>
      </c>
      <c r="B289" t="s">
        <v>817</v>
      </c>
      <c r="D289">
        <v>3383</v>
      </c>
      <c r="E289" t="str">
        <f t="shared" si="4"/>
        <v>ia.assorted_string like '%3383-03-2025%' or</v>
      </c>
    </row>
    <row r="290" spans="1:5" x14ac:dyDescent="0.25">
      <c r="A290" s="1" t="s">
        <v>602</v>
      </c>
      <c r="B290" t="s">
        <v>817</v>
      </c>
      <c r="D290">
        <v>3384</v>
      </c>
      <c r="E290" t="str">
        <f t="shared" si="4"/>
        <v>ia.assorted_string like '%3384-03-2025%' or</v>
      </c>
    </row>
    <row r="291" spans="1:5" x14ac:dyDescent="0.25">
      <c r="A291" s="1" t="s">
        <v>604</v>
      </c>
      <c r="B291" t="s">
        <v>817</v>
      </c>
      <c r="D291">
        <v>3385</v>
      </c>
      <c r="E291" t="str">
        <f t="shared" si="4"/>
        <v>ia.assorted_string like '%3385-03-2025%' or</v>
      </c>
    </row>
    <row r="292" spans="1:5" x14ac:dyDescent="0.25">
      <c r="A292" s="1" t="s">
        <v>605</v>
      </c>
      <c r="B292" t="s">
        <v>817</v>
      </c>
      <c r="D292">
        <v>3386</v>
      </c>
      <c r="E292" t="str">
        <f t="shared" si="4"/>
        <v>ia.assorted_string like '%3386-03-2025%' or</v>
      </c>
    </row>
    <row r="293" spans="1:5" x14ac:dyDescent="0.25">
      <c r="A293" s="1" t="s">
        <v>606</v>
      </c>
      <c r="B293" t="s">
        <v>817</v>
      </c>
      <c r="D293">
        <v>3387</v>
      </c>
      <c r="E293" t="str">
        <f t="shared" si="4"/>
        <v>ia.assorted_string like '%3387-03-2025%' or</v>
      </c>
    </row>
    <row r="294" spans="1:5" x14ac:dyDescent="0.25">
      <c r="A294" s="1" t="s">
        <v>607</v>
      </c>
      <c r="B294" t="s">
        <v>817</v>
      </c>
      <c r="D294">
        <v>3388</v>
      </c>
      <c r="E294" t="str">
        <f t="shared" si="4"/>
        <v>ia.assorted_string like '%3388-03-2025%' or</v>
      </c>
    </row>
    <row r="295" spans="1:5" x14ac:dyDescent="0.25">
      <c r="A295" s="1" t="s">
        <v>608</v>
      </c>
      <c r="B295" t="s">
        <v>817</v>
      </c>
      <c r="D295">
        <v>3389</v>
      </c>
      <c r="E295" t="str">
        <f t="shared" si="4"/>
        <v>ia.assorted_string like '%3389-03-2025%' or</v>
      </c>
    </row>
    <row r="296" spans="1:5" x14ac:dyDescent="0.25">
      <c r="A296" s="1" t="s">
        <v>609</v>
      </c>
      <c r="B296" t="s">
        <v>817</v>
      </c>
      <c r="D296">
        <v>3390</v>
      </c>
      <c r="E296" t="str">
        <f t="shared" si="4"/>
        <v>ia.assorted_string like '%3390-03-2025%' or</v>
      </c>
    </row>
    <row r="297" spans="1:5" x14ac:dyDescent="0.25">
      <c r="A297" s="1" t="s">
        <v>610</v>
      </c>
      <c r="B297" t="s">
        <v>817</v>
      </c>
      <c r="D297">
        <v>3391</v>
      </c>
      <c r="E297" t="str">
        <f t="shared" si="4"/>
        <v>ia.assorted_string like '%3391-03-2025%' or</v>
      </c>
    </row>
    <row r="298" spans="1:5" x14ac:dyDescent="0.25">
      <c r="A298" s="1" t="s">
        <v>611</v>
      </c>
      <c r="B298" t="s">
        <v>817</v>
      </c>
      <c r="D298">
        <v>3392</v>
      </c>
      <c r="E298" t="str">
        <f t="shared" si="4"/>
        <v>ia.assorted_string like '%3392-03-2025%' or</v>
      </c>
    </row>
    <row r="299" spans="1:5" x14ac:dyDescent="0.25">
      <c r="A299" s="1" t="s">
        <v>612</v>
      </c>
      <c r="B299" t="s">
        <v>817</v>
      </c>
      <c r="D299">
        <v>3393</v>
      </c>
      <c r="E299" t="str">
        <f t="shared" si="4"/>
        <v>ia.assorted_string like '%3393-03-2025%' or</v>
      </c>
    </row>
    <row r="300" spans="1:5" x14ac:dyDescent="0.25">
      <c r="A300" s="1" t="s">
        <v>613</v>
      </c>
      <c r="B300" t="s">
        <v>817</v>
      </c>
      <c r="D300">
        <v>3394</v>
      </c>
      <c r="E300" t="str">
        <f t="shared" si="4"/>
        <v>ia.assorted_string like '%3394-03-2025%' or</v>
      </c>
    </row>
    <row r="301" spans="1:5" x14ac:dyDescent="0.25">
      <c r="A301" s="1" t="s">
        <v>614</v>
      </c>
      <c r="B301" t="s">
        <v>817</v>
      </c>
      <c r="D301">
        <v>3395</v>
      </c>
      <c r="E301" t="str">
        <f t="shared" si="4"/>
        <v>ia.assorted_string like '%3395-03-2025%' or</v>
      </c>
    </row>
    <row r="302" spans="1:5" x14ac:dyDescent="0.25">
      <c r="A302" s="1" t="s">
        <v>615</v>
      </c>
      <c r="B302" t="s">
        <v>817</v>
      </c>
      <c r="D302">
        <v>3396</v>
      </c>
      <c r="E302" t="str">
        <f t="shared" si="4"/>
        <v>ia.assorted_string like '%3396-03-2025%' or</v>
      </c>
    </row>
    <row r="303" spans="1:5" x14ac:dyDescent="0.25">
      <c r="A303" s="1" t="s">
        <v>616</v>
      </c>
      <c r="B303" t="s">
        <v>817</v>
      </c>
      <c r="D303">
        <v>3397</v>
      </c>
      <c r="E303" t="str">
        <f t="shared" si="4"/>
        <v>ia.assorted_string like '%3397-03-2025%' or</v>
      </c>
    </row>
    <row r="304" spans="1:5" x14ac:dyDescent="0.25">
      <c r="A304" s="1" t="s">
        <v>617</v>
      </c>
      <c r="B304" t="s">
        <v>817</v>
      </c>
      <c r="D304">
        <v>3398</v>
      </c>
      <c r="E304" t="str">
        <f t="shared" si="4"/>
        <v>ia.assorted_string like '%3398-03-2025%' or</v>
      </c>
    </row>
    <row r="305" spans="1:5" x14ac:dyDescent="0.25">
      <c r="A305" s="1" t="s">
        <v>618</v>
      </c>
      <c r="B305" t="s">
        <v>817</v>
      </c>
      <c r="D305">
        <v>3399</v>
      </c>
      <c r="E305" t="str">
        <f t="shared" si="4"/>
        <v>ia.assorted_string like '%3399-03-2025%' or</v>
      </c>
    </row>
    <row r="306" spans="1:5" x14ac:dyDescent="0.25">
      <c r="A306" s="1" t="s">
        <v>619</v>
      </c>
      <c r="B306" t="s">
        <v>817</v>
      </c>
      <c r="D306">
        <v>3400</v>
      </c>
      <c r="E306" t="str">
        <f t="shared" si="4"/>
        <v>ia.assorted_string like '%3400-03-2025%' or</v>
      </c>
    </row>
    <row r="307" spans="1:5" x14ac:dyDescent="0.25">
      <c r="A307" s="1" t="s">
        <v>620</v>
      </c>
      <c r="B307" t="s">
        <v>817</v>
      </c>
      <c r="D307">
        <v>3401</v>
      </c>
      <c r="E307" t="str">
        <f t="shared" si="4"/>
        <v>ia.assorted_string like '%3401-03-2025%' or</v>
      </c>
    </row>
    <row r="308" spans="1:5" x14ac:dyDescent="0.25">
      <c r="A308" s="1" t="s">
        <v>621</v>
      </c>
      <c r="B308" t="s">
        <v>817</v>
      </c>
      <c r="D308">
        <v>3402</v>
      </c>
      <c r="E308" t="str">
        <f t="shared" si="4"/>
        <v>ia.assorted_string like '%3402-03-2025%' or</v>
      </c>
    </row>
    <row r="309" spans="1:5" x14ac:dyDescent="0.25">
      <c r="A309" s="1" t="s">
        <v>622</v>
      </c>
      <c r="B309" t="s">
        <v>817</v>
      </c>
      <c r="D309">
        <v>3403</v>
      </c>
      <c r="E309" t="str">
        <f t="shared" si="4"/>
        <v>ia.assorted_string like '%3403-03-2025%' or</v>
      </c>
    </row>
    <row r="310" spans="1:5" x14ac:dyDescent="0.25">
      <c r="A310" s="1" t="s">
        <v>623</v>
      </c>
      <c r="B310" t="s">
        <v>817</v>
      </c>
      <c r="D310">
        <v>3404</v>
      </c>
      <c r="E310" t="str">
        <f t="shared" si="4"/>
        <v>ia.assorted_string like '%3404-03-2025%' or</v>
      </c>
    </row>
    <row r="311" spans="1:5" x14ac:dyDescent="0.25">
      <c r="A311" s="1" t="s">
        <v>624</v>
      </c>
      <c r="B311" t="s">
        <v>817</v>
      </c>
      <c r="D311">
        <v>3405</v>
      </c>
      <c r="E311" t="str">
        <f t="shared" si="4"/>
        <v>ia.assorted_string like '%3405-03-2025%' or</v>
      </c>
    </row>
    <row r="312" spans="1:5" x14ac:dyDescent="0.25">
      <c r="A312" s="1" t="s">
        <v>625</v>
      </c>
      <c r="B312" t="s">
        <v>817</v>
      </c>
      <c r="D312">
        <v>3406</v>
      </c>
      <c r="E312" t="str">
        <f t="shared" si="4"/>
        <v>ia.assorted_string like '%3406-03-2025%' or</v>
      </c>
    </row>
    <row r="313" spans="1:5" x14ac:dyDescent="0.25">
      <c r="A313" s="1" t="s">
        <v>626</v>
      </c>
      <c r="B313" t="s">
        <v>817</v>
      </c>
      <c r="D313">
        <v>3407</v>
      </c>
      <c r="E313" t="str">
        <f t="shared" si="4"/>
        <v>ia.assorted_string like '%3407-03-2025%' or</v>
      </c>
    </row>
    <row r="314" spans="1:5" x14ac:dyDescent="0.25">
      <c r="A314" s="1" t="s">
        <v>627</v>
      </c>
      <c r="B314" t="s">
        <v>817</v>
      </c>
      <c r="D314">
        <v>3408</v>
      </c>
      <c r="E314" t="str">
        <f t="shared" si="4"/>
        <v>ia.assorted_string like '%3408-03-2025%' or</v>
      </c>
    </row>
    <row r="315" spans="1:5" x14ac:dyDescent="0.25">
      <c r="A315" s="1" t="s">
        <v>628</v>
      </c>
      <c r="B315" t="s">
        <v>817</v>
      </c>
      <c r="D315">
        <v>3409</v>
      </c>
      <c r="E315" t="str">
        <f t="shared" si="4"/>
        <v>ia.assorted_string like '%3409-03-2025%' or</v>
      </c>
    </row>
    <row r="316" spans="1:5" x14ac:dyDescent="0.25">
      <c r="A316" s="1" t="s">
        <v>629</v>
      </c>
      <c r="B316" t="s">
        <v>817</v>
      </c>
      <c r="D316">
        <v>3410</v>
      </c>
      <c r="E316" t="str">
        <f t="shared" si="4"/>
        <v>ia.assorted_string like '%3410-03-2025%' or</v>
      </c>
    </row>
    <row r="317" spans="1:5" x14ac:dyDescent="0.25">
      <c r="A317" s="1" t="s">
        <v>630</v>
      </c>
      <c r="B317" t="s">
        <v>817</v>
      </c>
      <c r="D317">
        <v>3411</v>
      </c>
      <c r="E317" t="str">
        <f t="shared" si="4"/>
        <v>ia.assorted_string like '%3411-03-2025%' or</v>
      </c>
    </row>
    <row r="318" spans="1:5" x14ac:dyDescent="0.25">
      <c r="A318" s="1" t="s">
        <v>631</v>
      </c>
      <c r="B318" t="s">
        <v>817</v>
      </c>
      <c r="D318">
        <v>3412</v>
      </c>
      <c r="E318" t="str">
        <f t="shared" si="4"/>
        <v>ia.assorted_string like '%3412-03-2025%' or</v>
      </c>
    </row>
    <row r="319" spans="1:5" x14ac:dyDescent="0.25">
      <c r="A319" s="1" t="s">
        <v>632</v>
      </c>
      <c r="B319" t="s">
        <v>817</v>
      </c>
      <c r="D319">
        <v>3413</v>
      </c>
      <c r="E319" t="str">
        <f t="shared" si="4"/>
        <v>ia.assorted_string like '%3413-03-2025%' or</v>
      </c>
    </row>
    <row r="320" spans="1:5" x14ac:dyDescent="0.25">
      <c r="A320" s="1" t="s">
        <v>633</v>
      </c>
      <c r="B320" t="s">
        <v>817</v>
      </c>
      <c r="D320">
        <v>3414</v>
      </c>
      <c r="E320" t="str">
        <f t="shared" si="4"/>
        <v>ia.assorted_string like '%3414-03-2025%' or</v>
      </c>
    </row>
    <row r="321" spans="1:5" x14ac:dyDescent="0.25">
      <c r="A321" s="1" t="s">
        <v>634</v>
      </c>
      <c r="B321" t="s">
        <v>817</v>
      </c>
      <c r="D321">
        <v>3415</v>
      </c>
      <c r="E321" t="str">
        <f t="shared" si="4"/>
        <v>ia.assorted_string like '%3415-03-2025%' or</v>
      </c>
    </row>
    <row r="322" spans="1:5" x14ac:dyDescent="0.25">
      <c r="A322" s="1" t="s">
        <v>635</v>
      </c>
      <c r="B322" t="s">
        <v>817</v>
      </c>
      <c r="D322">
        <v>3416</v>
      </c>
      <c r="E322" t="str">
        <f t="shared" ref="E322:E385" si="5">"ia.assorted_string like '%"&amp;D322&amp;B322&amp;"%' or"</f>
        <v>ia.assorted_string like '%3416-03-2025%' or</v>
      </c>
    </row>
    <row r="323" spans="1:5" x14ac:dyDescent="0.25">
      <c r="A323" s="1" t="s">
        <v>636</v>
      </c>
      <c r="B323" t="s">
        <v>817</v>
      </c>
      <c r="D323">
        <v>3417</v>
      </c>
      <c r="E323" t="str">
        <f t="shared" si="5"/>
        <v>ia.assorted_string like '%3417-03-2025%' or</v>
      </c>
    </row>
    <row r="324" spans="1:5" x14ac:dyDescent="0.25">
      <c r="A324" s="1" t="s">
        <v>637</v>
      </c>
      <c r="B324" t="s">
        <v>817</v>
      </c>
      <c r="D324">
        <v>3418</v>
      </c>
      <c r="E324" t="str">
        <f t="shared" si="5"/>
        <v>ia.assorted_string like '%3418-03-2025%' or</v>
      </c>
    </row>
    <row r="325" spans="1:5" x14ac:dyDescent="0.25">
      <c r="A325" s="1" t="s">
        <v>638</v>
      </c>
      <c r="B325" t="s">
        <v>817</v>
      </c>
      <c r="D325">
        <v>3419</v>
      </c>
      <c r="E325" t="str">
        <f t="shared" si="5"/>
        <v>ia.assorted_string like '%3419-03-2025%' or</v>
      </c>
    </row>
    <row r="326" spans="1:5" x14ac:dyDescent="0.25">
      <c r="A326" s="1" t="s">
        <v>639</v>
      </c>
      <c r="B326" t="s">
        <v>817</v>
      </c>
      <c r="D326">
        <v>3420</v>
      </c>
      <c r="E326" t="str">
        <f t="shared" si="5"/>
        <v>ia.assorted_string like '%3420-03-2025%' or</v>
      </c>
    </row>
    <row r="327" spans="1:5" x14ac:dyDescent="0.25">
      <c r="A327" s="1" t="s">
        <v>640</v>
      </c>
      <c r="B327" t="s">
        <v>817</v>
      </c>
      <c r="D327">
        <v>3421</v>
      </c>
      <c r="E327" t="str">
        <f t="shared" si="5"/>
        <v>ia.assorted_string like '%3421-03-2025%' or</v>
      </c>
    </row>
    <row r="328" spans="1:5" x14ac:dyDescent="0.25">
      <c r="A328" s="1" t="s">
        <v>641</v>
      </c>
      <c r="B328" t="s">
        <v>817</v>
      </c>
      <c r="D328">
        <v>3422</v>
      </c>
      <c r="E328" t="str">
        <f t="shared" si="5"/>
        <v>ia.assorted_string like '%3422-03-2025%' or</v>
      </c>
    </row>
    <row r="329" spans="1:5" x14ac:dyDescent="0.25">
      <c r="A329" s="1" t="s">
        <v>642</v>
      </c>
      <c r="B329" t="s">
        <v>817</v>
      </c>
      <c r="D329">
        <v>3423</v>
      </c>
      <c r="E329" t="str">
        <f t="shared" si="5"/>
        <v>ia.assorted_string like '%3423-03-2025%' or</v>
      </c>
    </row>
    <row r="330" spans="1:5" x14ac:dyDescent="0.25">
      <c r="A330" s="1" t="s">
        <v>643</v>
      </c>
      <c r="B330" t="s">
        <v>817</v>
      </c>
      <c r="D330">
        <v>3424</v>
      </c>
      <c r="E330" t="str">
        <f t="shared" si="5"/>
        <v>ia.assorted_string like '%3424-03-2025%' or</v>
      </c>
    </row>
    <row r="331" spans="1:5" x14ac:dyDescent="0.25">
      <c r="A331" s="1" t="s">
        <v>644</v>
      </c>
      <c r="B331" t="s">
        <v>817</v>
      </c>
      <c r="D331">
        <v>3425</v>
      </c>
      <c r="E331" t="str">
        <f t="shared" si="5"/>
        <v>ia.assorted_string like '%3425-03-2025%' or</v>
      </c>
    </row>
    <row r="332" spans="1:5" x14ac:dyDescent="0.25">
      <c r="A332" s="1" t="s">
        <v>645</v>
      </c>
      <c r="B332" t="s">
        <v>817</v>
      </c>
      <c r="D332">
        <v>3426</v>
      </c>
      <c r="E332" t="str">
        <f t="shared" si="5"/>
        <v>ia.assorted_string like '%3426-03-2025%' or</v>
      </c>
    </row>
    <row r="333" spans="1:5" x14ac:dyDescent="0.25">
      <c r="A333" s="1" t="s">
        <v>646</v>
      </c>
      <c r="B333" t="s">
        <v>817</v>
      </c>
      <c r="D333">
        <v>3427</v>
      </c>
      <c r="E333" t="str">
        <f t="shared" si="5"/>
        <v>ia.assorted_string like '%3427-03-2025%' or</v>
      </c>
    </row>
    <row r="334" spans="1:5" x14ac:dyDescent="0.25">
      <c r="A334" s="1" t="s">
        <v>647</v>
      </c>
      <c r="B334" t="s">
        <v>817</v>
      </c>
      <c r="D334">
        <v>3428</v>
      </c>
      <c r="E334" t="str">
        <f t="shared" si="5"/>
        <v>ia.assorted_string like '%3428-03-2025%' or</v>
      </c>
    </row>
    <row r="335" spans="1:5" x14ac:dyDescent="0.25">
      <c r="A335" s="1" t="s">
        <v>648</v>
      </c>
      <c r="B335" t="s">
        <v>817</v>
      </c>
      <c r="D335">
        <v>3429</v>
      </c>
      <c r="E335" t="str">
        <f t="shared" si="5"/>
        <v>ia.assorted_string like '%3429-03-2025%' or</v>
      </c>
    </row>
    <row r="336" spans="1:5" x14ac:dyDescent="0.25">
      <c r="A336" s="1" t="s">
        <v>649</v>
      </c>
      <c r="B336" t="s">
        <v>817</v>
      </c>
      <c r="D336">
        <v>3430</v>
      </c>
      <c r="E336" t="str">
        <f t="shared" si="5"/>
        <v>ia.assorted_string like '%3430-03-2025%' or</v>
      </c>
    </row>
    <row r="337" spans="1:5" x14ac:dyDescent="0.25">
      <c r="A337" s="1" t="s">
        <v>650</v>
      </c>
      <c r="B337" t="s">
        <v>817</v>
      </c>
      <c r="D337">
        <v>3431</v>
      </c>
      <c r="E337" t="str">
        <f t="shared" si="5"/>
        <v>ia.assorted_string like '%3431-03-2025%' or</v>
      </c>
    </row>
    <row r="338" spans="1:5" x14ac:dyDescent="0.25">
      <c r="A338" s="1" t="s">
        <v>651</v>
      </c>
      <c r="B338" t="s">
        <v>817</v>
      </c>
      <c r="D338">
        <v>3432</v>
      </c>
      <c r="E338" t="str">
        <f t="shared" si="5"/>
        <v>ia.assorted_string like '%3432-03-2025%' or</v>
      </c>
    </row>
    <row r="339" spans="1:5" x14ac:dyDescent="0.25">
      <c r="A339" s="1" t="s">
        <v>652</v>
      </c>
      <c r="B339" t="s">
        <v>817</v>
      </c>
      <c r="D339">
        <v>3433</v>
      </c>
      <c r="E339" t="str">
        <f t="shared" si="5"/>
        <v>ia.assorted_string like '%3433-03-2025%' or</v>
      </c>
    </row>
    <row r="340" spans="1:5" x14ac:dyDescent="0.25">
      <c r="A340" s="1" t="s">
        <v>653</v>
      </c>
      <c r="B340" t="s">
        <v>817</v>
      </c>
      <c r="D340">
        <v>3434</v>
      </c>
      <c r="E340" t="str">
        <f t="shared" si="5"/>
        <v>ia.assorted_string like '%3434-03-2025%' or</v>
      </c>
    </row>
    <row r="341" spans="1:5" x14ac:dyDescent="0.25">
      <c r="A341" s="1" t="s">
        <v>654</v>
      </c>
      <c r="B341" t="s">
        <v>817</v>
      </c>
      <c r="D341">
        <v>3435</v>
      </c>
      <c r="E341" t="str">
        <f t="shared" si="5"/>
        <v>ia.assorted_string like '%3435-03-2025%' or</v>
      </c>
    </row>
    <row r="342" spans="1:5" x14ac:dyDescent="0.25">
      <c r="A342" s="1" t="s">
        <v>655</v>
      </c>
      <c r="B342" t="s">
        <v>817</v>
      </c>
      <c r="D342">
        <v>3436</v>
      </c>
      <c r="E342" t="str">
        <f t="shared" si="5"/>
        <v>ia.assorted_string like '%3436-03-2025%' or</v>
      </c>
    </row>
    <row r="343" spans="1:5" x14ac:dyDescent="0.25">
      <c r="A343" s="1" t="s">
        <v>656</v>
      </c>
      <c r="B343" t="s">
        <v>817</v>
      </c>
      <c r="D343">
        <v>3437</v>
      </c>
      <c r="E343" t="str">
        <f t="shared" si="5"/>
        <v>ia.assorted_string like '%3437-03-2025%' or</v>
      </c>
    </row>
    <row r="344" spans="1:5" x14ac:dyDescent="0.25">
      <c r="A344" s="1" t="s">
        <v>657</v>
      </c>
      <c r="B344" t="s">
        <v>817</v>
      </c>
      <c r="D344">
        <v>3438</v>
      </c>
      <c r="E344" t="str">
        <f t="shared" si="5"/>
        <v>ia.assorted_string like '%3438-03-2025%' or</v>
      </c>
    </row>
    <row r="345" spans="1:5" x14ac:dyDescent="0.25">
      <c r="A345" s="1" t="s">
        <v>658</v>
      </c>
      <c r="B345" t="s">
        <v>817</v>
      </c>
      <c r="D345">
        <v>3439</v>
      </c>
      <c r="E345" t="str">
        <f t="shared" si="5"/>
        <v>ia.assorted_string like '%3439-03-2025%' or</v>
      </c>
    </row>
    <row r="346" spans="1:5" x14ac:dyDescent="0.25">
      <c r="A346" s="1" t="s">
        <v>659</v>
      </c>
      <c r="B346" t="s">
        <v>817</v>
      </c>
      <c r="D346">
        <v>3440</v>
      </c>
      <c r="E346" t="str">
        <f t="shared" si="5"/>
        <v>ia.assorted_string like '%3440-03-2025%' or</v>
      </c>
    </row>
    <row r="347" spans="1:5" x14ac:dyDescent="0.25">
      <c r="A347" s="1" t="s">
        <v>660</v>
      </c>
      <c r="B347" t="s">
        <v>817</v>
      </c>
      <c r="D347">
        <v>3441</v>
      </c>
      <c r="E347" t="str">
        <f t="shared" si="5"/>
        <v>ia.assorted_string like '%3441-03-2025%' or</v>
      </c>
    </row>
    <row r="348" spans="1:5" x14ac:dyDescent="0.25">
      <c r="A348" s="1" t="s">
        <v>661</v>
      </c>
      <c r="B348" t="s">
        <v>817</v>
      </c>
      <c r="D348">
        <v>3442</v>
      </c>
      <c r="E348" t="str">
        <f t="shared" si="5"/>
        <v>ia.assorted_string like '%3442-03-2025%' or</v>
      </c>
    </row>
    <row r="349" spans="1:5" x14ac:dyDescent="0.25">
      <c r="A349" s="1" t="s">
        <v>662</v>
      </c>
      <c r="B349" t="s">
        <v>817</v>
      </c>
      <c r="D349">
        <v>3443</v>
      </c>
      <c r="E349" t="str">
        <f t="shared" si="5"/>
        <v>ia.assorted_string like '%3443-03-2025%' or</v>
      </c>
    </row>
    <row r="350" spans="1:5" x14ac:dyDescent="0.25">
      <c r="A350" s="1" t="s">
        <v>663</v>
      </c>
      <c r="B350" t="s">
        <v>817</v>
      </c>
      <c r="D350">
        <v>3444</v>
      </c>
      <c r="E350" t="str">
        <f t="shared" si="5"/>
        <v>ia.assorted_string like '%3444-03-2025%' or</v>
      </c>
    </row>
    <row r="351" spans="1:5" x14ac:dyDescent="0.25">
      <c r="A351" s="1" t="s">
        <v>664</v>
      </c>
      <c r="B351" t="s">
        <v>817</v>
      </c>
      <c r="D351">
        <v>3445</v>
      </c>
      <c r="E351" t="str">
        <f t="shared" si="5"/>
        <v>ia.assorted_string like '%3445-03-2025%' or</v>
      </c>
    </row>
    <row r="352" spans="1:5" x14ac:dyDescent="0.25">
      <c r="A352" s="1" t="s">
        <v>665</v>
      </c>
      <c r="B352" t="s">
        <v>817</v>
      </c>
      <c r="D352">
        <v>3446</v>
      </c>
      <c r="E352" t="str">
        <f t="shared" si="5"/>
        <v>ia.assorted_string like '%3446-03-2025%' or</v>
      </c>
    </row>
    <row r="353" spans="1:5" x14ac:dyDescent="0.25">
      <c r="A353" s="1" t="s">
        <v>666</v>
      </c>
      <c r="B353" t="s">
        <v>817</v>
      </c>
      <c r="D353">
        <v>3447</v>
      </c>
      <c r="E353" t="str">
        <f t="shared" si="5"/>
        <v>ia.assorted_string like '%3447-03-2025%' or</v>
      </c>
    </row>
    <row r="354" spans="1:5" x14ac:dyDescent="0.25">
      <c r="A354" s="1" t="s">
        <v>667</v>
      </c>
      <c r="B354" t="s">
        <v>817</v>
      </c>
      <c r="D354">
        <v>3448</v>
      </c>
      <c r="E354" t="str">
        <f t="shared" si="5"/>
        <v>ia.assorted_string like '%3448-03-2025%' or</v>
      </c>
    </row>
    <row r="355" spans="1:5" x14ac:dyDescent="0.25">
      <c r="A355" s="1" t="s">
        <v>668</v>
      </c>
      <c r="B355" t="s">
        <v>817</v>
      </c>
      <c r="D355">
        <v>3449</v>
      </c>
      <c r="E355" t="str">
        <f t="shared" si="5"/>
        <v>ia.assorted_string like '%3449-03-2025%' or</v>
      </c>
    </row>
    <row r="356" spans="1:5" x14ac:dyDescent="0.25">
      <c r="A356" s="1" t="s">
        <v>669</v>
      </c>
      <c r="B356" t="s">
        <v>817</v>
      </c>
      <c r="D356">
        <v>3450</v>
      </c>
      <c r="E356" t="str">
        <f t="shared" si="5"/>
        <v>ia.assorted_string like '%3450-03-2025%' or</v>
      </c>
    </row>
    <row r="357" spans="1:5" x14ac:dyDescent="0.25">
      <c r="A357" s="1" t="s">
        <v>670</v>
      </c>
      <c r="B357" t="s">
        <v>817</v>
      </c>
      <c r="D357">
        <v>3451</v>
      </c>
      <c r="E357" t="str">
        <f t="shared" si="5"/>
        <v>ia.assorted_string like '%3451-03-2025%' or</v>
      </c>
    </row>
    <row r="358" spans="1:5" x14ac:dyDescent="0.25">
      <c r="A358" s="1" t="s">
        <v>671</v>
      </c>
      <c r="B358" t="s">
        <v>817</v>
      </c>
      <c r="D358">
        <v>3452</v>
      </c>
      <c r="E358" t="str">
        <f t="shared" si="5"/>
        <v>ia.assorted_string like '%3452-03-2025%' or</v>
      </c>
    </row>
    <row r="359" spans="1:5" x14ac:dyDescent="0.25">
      <c r="A359" s="1" t="s">
        <v>672</v>
      </c>
      <c r="B359" t="s">
        <v>817</v>
      </c>
      <c r="D359">
        <v>3453</v>
      </c>
      <c r="E359" t="str">
        <f t="shared" si="5"/>
        <v>ia.assorted_string like '%3453-03-2025%' or</v>
      </c>
    </row>
    <row r="360" spans="1:5" x14ac:dyDescent="0.25">
      <c r="A360" s="1" t="s">
        <v>673</v>
      </c>
      <c r="B360" t="s">
        <v>817</v>
      </c>
      <c r="D360">
        <v>3454</v>
      </c>
      <c r="E360" t="str">
        <f t="shared" si="5"/>
        <v>ia.assorted_string like '%3454-03-2025%' or</v>
      </c>
    </row>
    <row r="361" spans="1:5" x14ac:dyDescent="0.25">
      <c r="A361" s="1" t="s">
        <v>674</v>
      </c>
      <c r="B361" t="s">
        <v>817</v>
      </c>
      <c r="D361">
        <v>3455</v>
      </c>
      <c r="E361" t="str">
        <f t="shared" si="5"/>
        <v>ia.assorted_string like '%3455-03-2025%' or</v>
      </c>
    </row>
    <row r="362" spans="1:5" x14ac:dyDescent="0.25">
      <c r="A362" s="1" t="s">
        <v>675</v>
      </c>
      <c r="B362" t="s">
        <v>817</v>
      </c>
      <c r="D362">
        <v>3456</v>
      </c>
      <c r="E362" t="str">
        <f t="shared" si="5"/>
        <v>ia.assorted_string like '%3456-03-2025%' or</v>
      </c>
    </row>
    <row r="363" spans="1:5" x14ac:dyDescent="0.25">
      <c r="A363" s="1" t="s">
        <v>676</v>
      </c>
      <c r="B363" t="s">
        <v>817</v>
      </c>
      <c r="D363">
        <v>3457</v>
      </c>
      <c r="E363" t="str">
        <f t="shared" si="5"/>
        <v>ia.assorted_string like '%3457-03-2025%' or</v>
      </c>
    </row>
    <row r="364" spans="1:5" x14ac:dyDescent="0.25">
      <c r="A364" s="1" t="s">
        <v>677</v>
      </c>
      <c r="B364" t="s">
        <v>817</v>
      </c>
      <c r="D364">
        <v>3458</v>
      </c>
      <c r="E364" t="str">
        <f t="shared" si="5"/>
        <v>ia.assorted_string like '%3458-03-2025%' or</v>
      </c>
    </row>
    <row r="365" spans="1:5" x14ac:dyDescent="0.25">
      <c r="A365" s="1" t="s">
        <v>678</v>
      </c>
      <c r="B365" t="s">
        <v>817</v>
      </c>
      <c r="D365">
        <v>3459</v>
      </c>
      <c r="E365" t="str">
        <f t="shared" si="5"/>
        <v>ia.assorted_string like '%3459-03-2025%' or</v>
      </c>
    </row>
    <row r="366" spans="1:5" x14ac:dyDescent="0.25">
      <c r="A366" s="1" t="s">
        <v>679</v>
      </c>
      <c r="B366" t="s">
        <v>817</v>
      </c>
      <c r="D366">
        <v>3460</v>
      </c>
      <c r="E366" t="str">
        <f t="shared" si="5"/>
        <v>ia.assorted_string like '%3460-03-2025%' or</v>
      </c>
    </row>
    <row r="367" spans="1:5" x14ac:dyDescent="0.25">
      <c r="A367" s="1" t="s">
        <v>680</v>
      </c>
      <c r="B367" t="s">
        <v>817</v>
      </c>
      <c r="D367">
        <v>3461</v>
      </c>
      <c r="E367" t="str">
        <f t="shared" si="5"/>
        <v>ia.assorted_string like '%3461-03-2025%' or</v>
      </c>
    </row>
    <row r="368" spans="1:5" x14ac:dyDescent="0.25">
      <c r="A368" s="1" t="s">
        <v>681</v>
      </c>
      <c r="B368" t="s">
        <v>817</v>
      </c>
      <c r="D368">
        <v>3462</v>
      </c>
      <c r="E368" t="str">
        <f t="shared" si="5"/>
        <v>ia.assorted_string like '%3462-03-2025%' or</v>
      </c>
    </row>
    <row r="369" spans="1:5" x14ac:dyDescent="0.25">
      <c r="A369" s="1" t="s">
        <v>682</v>
      </c>
      <c r="B369" t="s">
        <v>817</v>
      </c>
      <c r="D369">
        <v>3463</v>
      </c>
      <c r="E369" t="str">
        <f t="shared" si="5"/>
        <v>ia.assorted_string like '%3463-03-2025%' or</v>
      </c>
    </row>
    <row r="370" spans="1:5" x14ac:dyDescent="0.25">
      <c r="A370" s="1" t="s">
        <v>683</v>
      </c>
      <c r="B370" t="s">
        <v>817</v>
      </c>
      <c r="D370">
        <v>3464</v>
      </c>
      <c r="E370" t="str">
        <f t="shared" si="5"/>
        <v>ia.assorted_string like '%3464-03-2025%' or</v>
      </c>
    </row>
    <row r="371" spans="1:5" x14ac:dyDescent="0.25">
      <c r="A371" s="1" t="s">
        <v>684</v>
      </c>
      <c r="B371" t="s">
        <v>817</v>
      </c>
      <c r="D371">
        <v>3465</v>
      </c>
      <c r="E371" t="str">
        <f t="shared" si="5"/>
        <v>ia.assorted_string like '%3465-03-2025%' or</v>
      </c>
    </row>
    <row r="372" spans="1:5" x14ac:dyDescent="0.25">
      <c r="A372" s="1" t="s">
        <v>685</v>
      </c>
      <c r="B372" t="s">
        <v>817</v>
      </c>
      <c r="D372">
        <v>3466</v>
      </c>
      <c r="E372" t="str">
        <f t="shared" si="5"/>
        <v>ia.assorted_string like '%3466-03-2025%' or</v>
      </c>
    </row>
    <row r="373" spans="1:5" x14ac:dyDescent="0.25">
      <c r="A373" s="1" t="s">
        <v>686</v>
      </c>
      <c r="B373" t="s">
        <v>817</v>
      </c>
      <c r="D373">
        <v>3467</v>
      </c>
      <c r="E373" t="str">
        <f t="shared" si="5"/>
        <v>ia.assorted_string like '%3467-03-2025%' or</v>
      </c>
    </row>
    <row r="374" spans="1:5" x14ac:dyDescent="0.25">
      <c r="A374" s="1" t="s">
        <v>687</v>
      </c>
      <c r="B374" t="s">
        <v>817</v>
      </c>
      <c r="D374">
        <v>3468</v>
      </c>
      <c r="E374" t="str">
        <f t="shared" si="5"/>
        <v>ia.assorted_string like '%3468-03-2025%' or</v>
      </c>
    </row>
    <row r="375" spans="1:5" x14ac:dyDescent="0.25">
      <c r="A375" s="1" t="s">
        <v>688</v>
      </c>
      <c r="B375" t="s">
        <v>817</v>
      </c>
      <c r="D375">
        <v>3469</v>
      </c>
      <c r="E375" t="str">
        <f t="shared" si="5"/>
        <v>ia.assorted_string like '%3469-03-2025%' or</v>
      </c>
    </row>
    <row r="376" spans="1:5" x14ac:dyDescent="0.25">
      <c r="A376" s="1" t="s">
        <v>689</v>
      </c>
      <c r="B376" t="s">
        <v>817</v>
      </c>
      <c r="D376">
        <v>3470</v>
      </c>
      <c r="E376" t="str">
        <f t="shared" si="5"/>
        <v>ia.assorted_string like '%3470-03-2025%' or</v>
      </c>
    </row>
    <row r="377" spans="1:5" x14ac:dyDescent="0.25">
      <c r="A377" s="1" t="s">
        <v>690</v>
      </c>
      <c r="B377" t="s">
        <v>817</v>
      </c>
      <c r="D377">
        <v>3471</v>
      </c>
      <c r="E377" t="str">
        <f t="shared" si="5"/>
        <v>ia.assorted_string like '%3471-03-2025%' or</v>
      </c>
    </row>
    <row r="378" spans="1:5" x14ac:dyDescent="0.25">
      <c r="A378" s="1" t="s">
        <v>691</v>
      </c>
      <c r="B378" t="s">
        <v>817</v>
      </c>
      <c r="D378">
        <v>3472</v>
      </c>
      <c r="E378" t="str">
        <f t="shared" si="5"/>
        <v>ia.assorted_string like '%3472-03-2025%' or</v>
      </c>
    </row>
    <row r="379" spans="1:5" x14ac:dyDescent="0.25">
      <c r="A379" s="1" t="s">
        <v>692</v>
      </c>
      <c r="B379" t="s">
        <v>817</v>
      </c>
      <c r="D379">
        <v>3473</v>
      </c>
      <c r="E379" t="str">
        <f t="shared" si="5"/>
        <v>ia.assorted_string like '%3473-03-2025%' or</v>
      </c>
    </row>
    <row r="380" spans="1:5" x14ac:dyDescent="0.25">
      <c r="A380" s="1" t="s">
        <v>693</v>
      </c>
      <c r="B380" t="s">
        <v>817</v>
      </c>
      <c r="D380">
        <v>3474</v>
      </c>
      <c r="E380" t="str">
        <f t="shared" si="5"/>
        <v>ia.assorted_string like '%3474-03-2025%' or</v>
      </c>
    </row>
    <row r="381" spans="1:5" x14ac:dyDescent="0.25">
      <c r="A381" s="1" t="s">
        <v>694</v>
      </c>
      <c r="B381" t="s">
        <v>817</v>
      </c>
      <c r="D381">
        <v>3475</v>
      </c>
      <c r="E381" t="str">
        <f t="shared" si="5"/>
        <v>ia.assorted_string like '%3475-03-2025%' or</v>
      </c>
    </row>
    <row r="382" spans="1:5" x14ac:dyDescent="0.25">
      <c r="A382" s="1" t="s">
        <v>695</v>
      </c>
      <c r="B382" t="s">
        <v>817</v>
      </c>
      <c r="D382">
        <v>3476</v>
      </c>
      <c r="E382" t="str">
        <f t="shared" si="5"/>
        <v>ia.assorted_string like '%3476-03-2025%' or</v>
      </c>
    </row>
    <row r="383" spans="1:5" x14ac:dyDescent="0.25">
      <c r="A383" s="1" t="s">
        <v>696</v>
      </c>
      <c r="B383" t="s">
        <v>817</v>
      </c>
      <c r="D383">
        <v>3477</v>
      </c>
      <c r="E383" t="str">
        <f t="shared" si="5"/>
        <v>ia.assorted_string like '%3477-03-2025%' or</v>
      </c>
    </row>
    <row r="384" spans="1:5" x14ac:dyDescent="0.25">
      <c r="A384" s="1" t="s">
        <v>697</v>
      </c>
      <c r="B384" t="s">
        <v>817</v>
      </c>
      <c r="D384">
        <v>3478</v>
      </c>
      <c r="E384" t="str">
        <f t="shared" si="5"/>
        <v>ia.assorted_string like '%3478-03-2025%' or</v>
      </c>
    </row>
    <row r="385" spans="1:5" x14ac:dyDescent="0.25">
      <c r="A385" s="1" t="s">
        <v>698</v>
      </c>
      <c r="B385" t="s">
        <v>817</v>
      </c>
      <c r="D385">
        <v>3479</v>
      </c>
      <c r="E385" t="str">
        <f t="shared" si="5"/>
        <v>ia.assorted_string like '%3479-03-2025%' or</v>
      </c>
    </row>
    <row r="386" spans="1:5" x14ac:dyDescent="0.25">
      <c r="A386" s="1" t="s">
        <v>699</v>
      </c>
      <c r="B386" t="s">
        <v>817</v>
      </c>
      <c r="D386">
        <v>3480</v>
      </c>
      <c r="E386" t="str">
        <f t="shared" ref="E386:E449" si="6">"ia.assorted_string like '%"&amp;D386&amp;B386&amp;"%' or"</f>
        <v>ia.assorted_string like '%3480-03-2025%' or</v>
      </c>
    </row>
    <row r="387" spans="1:5" x14ac:dyDescent="0.25">
      <c r="A387" s="1" t="s">
        <v>700</v>
      </c>
      <c r="B387" t="s">
        <v>817</v>
      </c>
      <c r="D387">
        <v>3481</v>
      </c>
      <c r="E387" t="str">
        <f t="shared" si="6"/>
        <v>ia.assorted_string like '%3481-03-2025%' or</v>
      </c>
    </row>
    <row r="388" spans="1:5" x14ac:dyDescent="0.25">
      <c r="A388" s="1" t="s">
        <v>701</v>
      </c>
      <c r="B388" t="s">
        <v>817</v>
      </c>
      <c r="D388">
        <v>3482</v>
      </c>
      <c r="E388" t="str">
        <f t="shared" si="6"/>
        <v>ia.assorted_string like '%3482-03-2025%' or</v>
      </c>
    </row>
    <row r="389" spans="1:5" x14ac:dyDescent="0.25">
      <c r="A389" s="1" t="s">
        <v>702</v>
      </c>
      <c r="B389" t="s">
        <v>817</v>
      </c>
      <c r="D389">
        <v>3483</v>
      </c>
      <c r="E389" t="str">
        <f t="shared" si="6"/>
        <v>ia.assorted_string like '%3483-03-2025%' or</v>
      </c>
    </row>
    <row r="390" spans="1:5" x14ac:dyDescent="0.25">
      <c r="A390" s="1" t="s">
        <v>703</v>
      </c>
      <c r="B390" t="s">
        <v>817</v>
      </c>
      <c r="D390">
        <v>3484</v>
      </c>
      <c r="E390" t="str">
        <f t="shared" si="6"/>
        <v>ia.assorted_string like '%3484-03-2025%' or</v>
      </c>
    </row>
    <row r="391" spans="1:5" x14ac:dyDescent="0.25">
      <c r="A391" s="1" t="s">
        <v>704</v>
      </c>
      <c r="B391" t="s">
        <v>817</v>
      </c>
      <c r="D391">
        <v>3485</v>
      </c>
      <c r="E391" t="str">
        <f t="shared" si="6"/>
        <v>ia.assorted_string like '%3485-03-2025%' or</v>
      </c>
    </row>
    <row r="392" spans="1:5" x14ac:dyDescent="0.25">
      <c r="A392" s="1" t="s">
        <v>705</v>
      </c>
      <c r="B392" t="s">
        <v>817</v>
      </c>
      <c r="D392">
        <v>3486</v>
      </c>
      <c r="E392" t="str">
        <f t="shared" si="6"/>
        <v>ia.assorted_string like '%3486-03-2025%' or</v>
      </c>
    </row>
    <row r="393" spans="1:5" x14ac:dyDescent="0.25">
      <c r="A393" s="1" t="s">
        <v>706</v>
      </c>
      <c r="B393" t="s">
        <v>817</v>
      </c>
      <c r="D393">
        <v>3487</v>
      </c>
      <c r="E393" t="str">
        <f t="shared" si="6"/>
        <v>ia.assorted_string like '%3487-03-2025%' or</v>
      </c>
    </row>
    <row r="394" spans="1:5" x14ac:dyDescent="0.25">
      <c r="A394" s="1" t="s">
        <v>707</v>
      </c>
      <c r="B394" t="s">
        <v>817</v>
      </c>
      <c r="D394">
        <v>3488</v>
      </c>
      <c r="E394" t="str">
        <f t="shared" si="6"/>
        <v>ia.assorted_string like '%3488-03-2025%' or</v>
      </c>
    </row>
    <row r="395" spans="1:5" x14ac:dyDescent="0.25">
      <c r="A395" s="1" t="s">
        <v>708</v>
      </c>
      <c r="B395" t="s">
        <v>817</v>
      </c>
      <c r="D395">
        <v>3489</v>
      </c>
      <c r="E395" t="str">
        <f t="shared" si="6"/>
        <v>ia.assorted_string like '%3489-03-2025%' or</v>
      </c>
    </row>
    <row r="396" spans="1:5" x14ac:dyDescent="0.25">
      <c r="A396" s="1" t="s">
        <v>709</v>
      </c>
      <c r="B396" t="s">
        <v>817</v>
      </c>
      <c r="D396">
        <v>3490</v>
      </c>
      <c r="E396" t="str">
        <f t="shared" si="6"/>
        <v>ia.assorted_string like '%3490-03-2025%' or</v>
      </c>
    </row>
    <row r="397" spans="1:5" x14ac:dyDescent="0.25">
      <c r="A397" s="1" t="s">
        <v>710</v>
      </c>
      <c r="B397" t="s">
        <v>817</v>
      </c>
      <c r="D397">
        <v>3491</v>
      </c>
      <c r="E397" t="str">
        <f t="shared" si="6"/>
        <v>ia.assorted_string like '%3491-03-2025%' or</v>
      </c>
    </row>
    <row r="398" spans="1:5" x14ac:dyDescent="0.25">
      <c r="A398" s="1" t="s">
        <v>711</v>
      </c>
      <c r="B398" t="s">
        <v>817</v>
      </c>
      <c r="D398">
        <v>3492</v>
      </c>
      <c r="E398" t="str">
        <f t="shared" si="6"/>
        <v>ia.assorted_string like '%3492-03-2025%' or</v>
      </c>
    </row>
    <row r="399" spans="1:5" x14ac:dyDescent="0.25">
      <c r="A399" s="1" t="s">
        <v>712</v>
      </c>
      <c r="B399" t="s">
        <v>817</v>
      </c>
      <c r="D399">
        <v>3493</v>
      </c>
      <c r="E399" t="str">
        <f t="shared" si="6"/>
        <v>ia.assorted_string like '%3493-03-2025%' or</v>
      </c>
    </row>
    <row r="400" spans="1:5" x14ac:dyDescent="0.25">
      <c r="A400" s="1" t="s">
        <v>713</v>
      </c>
      <c r="B400" t="s">
        <v>817</v>
      </c>
      <c r="D400">
        <v>3494</v>
      </c>
      <c r="E400" t="str">
        <f t="shared" si="6"/>
        <v>ia.assorted_string like '%3494-03-2025%' or</v>
      </c>
    </row>
    <row r="401" spans="1:5" x14ac:dyDescent="0.25">
      <c r="A401" s="1" t="s">
        <v>714</v>
      </c>
      <c r="B401" t="s">
        <v>817</v>
      </c>
      <c r="D401">
        <v>3495</v>
      </c>
      <c r="E401" t="str">
        <f t="shared" si="6"/>
        <v>ia.assorted_string like '%3495-03-2025%' or</v>
      </c>
    </row>
    <row r="402" spans="1:5" x14ac:dyDescent="0.25">
      <c r="A402" s="1" t="s">
        <v>715</v>
      </c>
      <c r="B402" t="s">
        <v>817</v>
      </c>
      <c r="D402">
        <v>3496</v>
      </c>
      <c r="E402" t="str">
        <f t="shared" si="6"/>
        <v>ia.assorted_string like '%3496-03-2025%' or</v>
      </c>
    </row>
    <row r="403" spans="1:5" x14ac:dyDescent="0.25">
      <c r="A403" s="1" t="s">
        <v>716</v>
      </c>
      <c r="B403" t="s">
        <v>817</v>
      </c>
      <c r="D403">
        <v>3497</v>
      </c>
      <c r="E403" t="str">
        <f t="shared" si="6"/>
        <v>ia.assorted_string like '%3497-03-2025%' or</v>
      </c>
    </row>
    <row r="404" spans="1:5" x14ac:dyDescent="0.25">
      <c r="A404" s="1" t="s">
        <v>717</v>
      </c>
      <c r="B404" t="s">
        <v>817</v>
      </c>
      <c r="D404">
        <v>3498</v>
      </c>
      <c r="E404" t="str">
        <f t="shared" si="6"/>
        <v>ia.assorted_string like '%3498-03-2025%' or</v>
      </c>
    </row>
    <row r="405" spans="1:5" x14ac:dyDescent="0.25">
      <c r="A405" s="1" t="s">
        <v>718</v>
      </c>
      <c r="B405" t="s">
        <v>817</v>
      </c>
      <c r="D405">
        <v>3499</v>
      </c>
      <c r="E405" t="str">
        <f t="shared" si="6"/>
        <v>ia.assorted_string like '%3499-03-2025%' or</v>
      </c>
    </row>
    <row r="406" spans="1:5" x14ac:dyDescent="0.25">
      <c r="A406" s="1" t="s">
        <v>719</v>
      </c>
      <c r="B406" t="s">
        <v>817</v>
      </c>
      <c r="D406">
        <v>3500</v>
      </c>
      <c r="E406" t="str">
        <f t="shared" si="6"/>
        <v>ia.assorted_string like '%3500-03-2025%' or</v>
      </c>
    </row>
    <row r="407" spans="1:5" x14ac:dyDescent="0.25">
      <c r="A407" s="1" t="s">
        <v>720</v>
      </c>
      <c r="B407" t="s">
        <v>817</v>
      </c>
      <c r="D407">
        <v>3501</v>
      </c>
      <c r="E407" t="str">
        <f t="shared" si="6"/>
        <v>ia.assorted_string like '%3501-03-2025%' or</v>
      </c>
    </row>
    <row r="408" spans="1:5" x14ac:dyDescent="0.25">
      <c r="A408" s="1" t="s">
        <v>721</v>
      </c>
      <c r="B408" t="s">
        <v>817</v>
      </c>
      <c r="D408">
        <v>3502</v>
      </c>
      <c r="E408" t="str">
        <f t="shared" si="6"/>
        <v>ia.assorted_string like '%3502-03-2025%' or</v>
      </c>
    </row>
    <row r="409" spans="1:5" x14ac:dyDescent="0.25">
      <c r="A409" s="1" t="s">
        <v>722</v>
      </c>
      <c r="B409" t="s">
        <v>817</v>
      </c>
      <c r="D409">
        <v>3503</v>
      </c>
      <c r="E409" t="str">
        <f t="shared" si="6"/>
        <v>ia.assorted_string like '%3503-03-2025%' or</v>
      </c>
    </row>
    <row r="410" spans="1:5" x14ac:dyDescent="0.25">
      <c r="A410" s="1" t="s">
        <v>723</v>
      </c>
      <c r="B410" t="s">
        <v>817</v>
      </c>
      <c r="D410">
        <v>3504</v>
      </c>
      <c r="E410" t="str">
        <f t="shared" si="6"/>
        <v>ia.assorted_string like '%3504-03-2025%' or</v>
      </c>
    </row>
    <row r="411" spans="1:5" x14ac:dyDescent="0.25">
      <c r="A411" s="1" t="s">
        <v>724</v>
      </c>
      <c r="B411" t="s">
        <v>817</v>
      </c>
      <c r="D411">
        <v>3505</v>
      </c>
      <c r="E411" t="str">
        <f t="shared" si="6"/>
        <v>ia.assorted_string like '%3505-03-2025%' or</v>
      </c>
    </row>
    <row r="412" spans="1:5" x14ac:dyDescent="0.25">
      <c r="A412" s="1" t="s">
        <v>725</v>
      </c>
      <c r="B412" t="s">
        <v>817</v>
      </c>
      <c r="D412">
        <v>3506</v>
      </c>
      <c r="E412" t="str">
        <f t="shared" si="6"/>
        <v>ia.assorted_string like '%3506-03-2025%' or</v>
      </c>
    </row>
    <row r="413" spans="1:5" x14ac:dyDescent="0.25">
      <c r="A413" s="1" t="s">
        <v>726</v>
      </c>
      <c r="B413" t="s">
        <v>817</v>
      </c>
      <c r="D413">
        <v>3507</v>
      </c>
      <c r="E413" t="str">
        <f t="shared" si="6"/>
        <v>ia.assorted_string like '%3507-03-2025%' or</v>
      </c>
    </row>
    <row r="414" spans="1:5" x14ac:dyDescent="0.25">
      <c r="A414" s="1" t="s">
        <v>727</v>
      </c>
      <c r="B414" t="s">
        <v>817</v>
      </c>
      <c r="D414">
        <v>3508</v>
      </c>
      <c r="E414" t="str">
        <f t="shared" si="6"/>
        <v>ia.assorted_string like '%3508-03-2025%' or</v>
      </c>
    </row>
    <row r="415" spans="1:5" x14ac:dyDescent="0.25">
      <c r="A415" s="1" t="s">
        <v>728</v>
      </c>
      <c r="B415" t="s">
        <v>817</v>
      </c>
      <c r="D415">
        <v>3509</v>
      </c>
      <c r="E415" t="str">
        <f t="shared" si="6"/>
        <v>ia.assorted_string like '%3509-03-2025%' or</v>
      </c>
    </row>
    <row r="416" spans="1:5" x14ac:dyDescent="0.25">
      <c r="A416" s="1" t="s">
        <v>729</v>
      </c>
      <c r="B416" t="s">
        <v>817</v>
      </c>
      <c r="D416">
        <v>3510</v>
      </c>
      <c r="E416" t="str">
        <f t="shared" si="6"/>
        <v>ia.assorted_string like '%3510-03-2025%' or</v>
      </c>
    </row>
    <row r="417" spans="1:5" x14ac:dyDescent="0.25">
      <c r="A417" s="1" t="s">
        <v>730</v>
      </c>
      <c r="B417" t="s">
        <v>817</v>
      </c>
      <c r="D417">
        <v>3511</v>
      </c>
      <c r="E417" t="str">
        <f t="shared" si="6"/>
        <v>ia.assorted_string like '%3511-03-2025%' or</v>
      </c>
    </row>
    <row r="418" spans="1:5" x14ac:dyDescent="0.25">
      <c r="A418" s="1" t="s">
        <v>731</v>
      </c>
      <c r="B418" t="s">
        <v>817</v>
      </c>
      <c r="D418">
        <v>3512</v>
      </c>
      <c r="E418" t="str">
        <f t="shared" si="6"/>
        <v>ia.assorted_string like '%3512-03-2025%' or</v>
      </c>
    </row>
    <row r="419" spans="1:5" x14ac:dyDescent="0.25">
      <c r="A419" s="1" t="s">
        <v>732</v>
      </c>
      <c r="B419" t="s">
        <v>817</v>
      </c>
      <c r="D419">
        <v>3513</v>
      </c>
      <c r="E419" t="str">
        <f t="shared" si="6"/>
        <v>ia.assorted_string like '%3513-03-2025%' or</v>
      </c>
    </row>
    <row r="420" spans="1:5" x14ac:dyDescent="0.25">
      <c r="A420" s="1" t="s">
        <v>733</v>
      </c>
      <c r="B420" t="s">
        <v>817</v>
      </c>
      <c r="D420">
        <v>3514</v>
      </c>
      <c r="E420" t="str">
        <f t="shared" si="6"/>
        <v>ia.assorted_string like '%3514-03-2025%' or</v>
      </c>
    </row>
    <row r="421" spans="1:5" x14ac:dyDescent="0.25">
      <c r="A421" s="1" t="s">
        <v>734</v>
      </c>
      <c r="B421" t="s">
        <v>817</v>
      </c>
      <c r="D421">
        <v>3515</v>
      </c>
      <c r="E421" t="str">
        <f t="shared" si="6"/>
        <v>ia.assorted_string like '%3515-03-2025%' or</v>
      </c>
    </row>
    <row r="422" spans="1:5" x14ac:dyDescent="0.25">
      <c r="A422" s="1" t="s">
        <v>735</v>
      </c>
      <c r="B422" t="s">
        <v>817</v>
      </c>
      <c r="D422">
        <v>3516</v>
      </c>
      <c r="E422" t="str">
        <f t="shared" si="6"/>
        <v>ia.assorted_string like '%3516-03-2025%' or</v>
      </c>
    </row>
    <row r="423" spans="1:5" x14ac:dyDescent="0.25">
      <c r="A423" s="1" t="s">
        <v>736</v>
      </c>
      <c r="B423" t="s">
        <v>817</v>
      </c>
      <c r="D423">
        <v>3517</v>
      </c>
      <c r="E423" t="str">
        <f t="shared" si="6"/>
        <v>ia.assorted_string like '%3517-03-2025%' or</v>
      </c>
    </row>
    <row r="424" spans="1:5" x14ac:dyDescent="0.25">
      <c r="A424" s="1" t="s">
        <v>737</v>
      </c>
      <c r="B424" t="s">
        <v>817</v>
      </c>
      <c r="D424">
        <v>3518</v>
      </c>
      <c r="E424" t="str">
        <f t="shared" si="6"/>
        <v>ia.assorted_string like '%3518-03-2025%' or</v>
      </c>
    </row>
    <row r="425" spans="1:5" x14ac:dyDescent="0.25">
      <c r="A425" s="1" t="s">
        <v>738</v>
      </c>
      <c r="B425" t="s">
        <v>817</v>
      </c>
      <c r="D425">
        <v>3519</v>
      </c>
      <c r="E425" t="str">
        <f t="shared" si="6"/>
        <v>ia.assorted_string like '%3519-03-2025%' or</v>
      </c>
    </row>
    <row r="426" spans="1:5" x14ac:dyDescent="0.25">
      <c r="A426" s="1" t="s">
        <v>740</v>
      </c>
      <c r="B426" t="s">
        <v>817</v>
      </c>
      <c r="D426">
        <v>3520</v>
      </c>
      <c r="E426" t="str">
        <f t="shared" si="6"/>
        <v>ia.assorted_string like '%3520-03-2025%' or</v>
      </c>
    </row>
    <row r="427" spans="1:5" x14ac:dyDescent="0.25">
      <c r="A427" s="1" t="s">
        <v>741</v>
      </c>
      <c r="B427" t="s">
        <v>817</v>
      </c>
      <c r="D427">
        <v>3521</v>
      </c>
      <c r="E427" t="str">
        <f t="shared" si="6"/>
        <v>ia.assorted_string like '%3521-03-2025%' or</v>
      </c>
    </row>
    <row r="428" spans="1:5" x14ac:dyDescent="0.25">
      <c r="A428" s="1" t="s">
        <v>742</v>
      </c>
      <c r="B428" t="s">
        <v>817</v>
      </c>
      <c r="D428">
        <v>3522</v>
      </c>
      <c r="E428" t="str">
        <f t="shared" si="6"/>
        <v>ia.assorted_string like '%3522-03-2025%' or</v>
      </c>
    </row>
    <row r="429" spans="1:5" x14ac:dyDescent="0.25">
      <c r="A429" s="1" t="s">
        <v>743</v>
      </c>
      <c r="B429" t="s">
        <v>817</v>
      </c>
      <c r="D429">
        <v>3523</v>
      </c>
      <c r="E429" t="str">
        <f t="shared" si="6"/>
        <v>ia.assorted_string like '%3523-03-2025%' or</v>
      </c>
    </row>
    <row r="430" spans="1:5" x14ac:dyDescent="0.25">
      <c r="A430" s="1" t="s">
        <v>744</v>
      </c>
      <c r="B430" t="s">
        <v>817</v>
      </c>
      <c r="D430">
        <v>3524</v>
      </c>
      <c r="E430" t="str">
        <f t="shared" si="6"/>
        <v>ia.assorted_string like '%3524-03-2025%' or</v>
      </c>
    </row>
    <row r="431" spans="1:5" x14ac:dyDescent="0.25">
      <c r="A431" s="1" t="s">
        <v>745</v>
      </c>
      <c r="B431" t="s">
        <v>817</v>
      </c>
      <c r="D431">
        <v>3525</v>
      </c>
      <c r="E431" t="str">
        <f t="shared" si="6"/>
        <v>ia.assorted_string like '%3525-03-2025%' or</v>
      </c>
    </row>
    <row r="432" spans="1:5" x14ac:dyDescent="0.25">
      <c r="A432" s="1" t="s">
        <v>746</v>
      </c>
      <c r="B432" t="s">
        <v>817</v>
      </c>
      <c r="D432">
        <v>3526</v>
      </c>
      <c r="E432" t="str">
        <f t="shared" si="6"/>
        <v>ia.assorted_string like '%3526-03-2025%' or</v>
      </c>
    </row>
    <row r="433" spans="1:5" x14ac:dyDescent="0.25">
      <c r="A433" s="1" t="s">
        <v>747</v>
      </c>
      <c r="B433" t="s">
        <v>817</v>
      </c>
      <c r="D433">
        <v>3527</v>
      </c>
      <c r="E433" t="str">
        <f t="shared" si="6"/>
        <v>ia.assorted_string like '%3527-03-2025%' or</v>
      </c>
    </row>
    <row r="434" spans="1:5" x14ac:dyDescent="0.25">
      <c r="A434" s="1" t="s">
        <v>748</v>
      </c>
      <c r="B434" t="s">
        <v>817</v>
      </c>
      <c r="D434">
        <v>3528</v>
      </c>
      <c r="E434" t="str">
        <f t="shared" si="6"/>
        <v>ia.assorted_string like '%3528-03-2025%' or</v>
      </c>
    </row>
    <row r="435" spans="1:5" x14ac:dyDescent="0.25">
      <c r="A435" s="1" t="s">
        <v>749</v>
      </c>
      <c r="B435" t="s">
        <v>817</v>
      </c>
      <c r="D435">
        <v>3529</v>
      </c>
      <c r="E435" t="str">
        <f t="shared" si="6"/>
        <v>ia.assorted_string like '%3529-03-2025%' or</v>
      </c>
    </row>
    <row r="436" spans="1:5" x14ac:dyDescent="0.25">
      <c r="A436" s="1" t="s">
        <v>750</v>
      </c>
      <c r="B436" t="s">
        <v>817</v>
      </c>
      <c r="D436">
        <v>3530</v>
      </c>
      <c r="E436" t="str">
        <f t="shared" si="6"/>
        <v>ia.assorted_string like '%3530-03-2025%' or</v>
      </c>
    </row>
    <row r="437" spans="1:5" x14ac:dyDescent="0.25">
      <c r="A437" s="1" t="s">
        <v>751</v>
      </c>
      <c r="B437" t="s">
        <v>817</v>
      </c>
      <c r="D437">
        <v>3531</v>
      </c>
      <c r="E437" t="str">
        <f t="shared" si="6"/>
        <v>ia.assorted_string like '%3531-03-2025%' or</v>
      </c>
    </row>
    <row r="438" spans="1:5" x14ac:dyDescent="0.25">
      <c r="A438" s="1" t="s">
        <v>752</v>
      </c>
      <c r="B438" t="s">
        <v>817</v>
      </c>
      <c r="D438">
        <v>3532</v>
      </c>
      <c r="E438" t="str">
        <f t="shared" si="6"/>
        <v>ia.assorted_string like '%3532-03-2025%' or</v>
      </c>
    </row>
    <row r="439" spans="1:5" x14ac:dyDescent="0.25">
      <c r="A439" s="1" t="s">
        <v>753</v>
      </c>
      <c r="B439" t="s">
        <v>817</v>
      </c>
      <c r="D439">
        <v>3533</v>
      </c>
      <c r="E439" t="str">
        <f t="shared" si="6"/>
        <v>ia.assorted_string like '%3533-03-2025%' or</v>
      </c>
    </row>
    <row r="440" spans="1:5" x14ac:dyDescent="0.25">
      <c r="A440" s="1" t="s">
        <v>754</v>
      </c>
      <c r="B440" t="s">
        <v>817</v>
      </c>
      <c r="D440">
        <v>3534</v>
      </c>
      <c r="E440" t="str">
        <f t="shared" si="6"/>
        <v>ia.assorted_string like '%3534-03-2025%' or</v>
      </c>
    </row>
    <row r="441" spans="1:5" x14ac:dyDescent="0.25">
      <c r="A441" s="1" t="s">
        <v>755</v>
      </c>
      <c r="B441" t="s">
        <v>817</v>
      </c>
      <c r="D441">
        <v>3535</v>
      </c>
      <c r="E441" t="str">
        <f t="shared" si="6"/>
        <v>ia.assorted_string like '%3535-03-2025%' or</v>
      </c>
    </row>
    <row r="442" spans="1:5" x14ac:dyDescent="0.25">
      <c r="A442" s="1" t="s">
        <v>756</v>
      </c>
      <c r="B442" t="s">
        <v>817</v>
      </c>
      <c r="D442">
        <v>3536</v>
      </c>
      <c r="E442" t="str">
        <f t="shared" si="6"/>
        <v>ia.assorted_string like '%3536-03-2025%' or</v>
      </c>
    </row>
    <row r="443" spans="1:5" x14ac:dyDescent="0.25">
      <c r="A443" s="1" t="s">
        <v>757</v>
      </c>
      <c r="B443" t="s">
        <v>817</v>
      </c>
      <c r="D443">
        <v>3537</v>
      </c>
      <c r="E443" t="str">
        <f t="shared" si="6"/>
        <v>ia.assorted_string like '%3537-03-2025%' or</v>
      </c>
    </row>
    <row r="444" spans="1:5" x14ac:dyDescent="0.25">
      <c r="A444" s="1" t="s">
        <v>758</v>
      </c>
      <c r="B444" t="s">
        <v>817</v>
      </c>
      <c r="D444">
        <v>3538</v>
      </c>
      <c r="E444" t="str">
        <f t="shared" si="6"/>
        <v>ia.assorted_string like '%3538-03-2025%' or</v>
      </c>
    </row>
    <row r="445" spans="1:5" x14ac:dyDescent="0.25">
      <c r="A445" s="1" t="s">
        <v>759</v>
      </c>
      <c r="B445" t="s">
        <v>817</v>
      </c>
      <c r="D445">
        <v>3539</v>
      </c>
      <c r="E445" t="str">
        <f t="shared" si="6"/>
        <v>ia.assorted_string like '%3539-03-2025%' or</v>
      </c>
    </row>
    <row r="446" spans="1:5" x14ac:dyDescent="0.25">
      <c r="A446" s="1" t="s">
        <v>760</v>
      </c>
      <c r="B446" t="s">
        <v>817</v>
      </c>
      <c r="D446">
        <v>3540</v>
      </c>
      <c r="E446" t="str">
        <f t="shared" si="6"/>
        <v>ia.assorted_string like '%3540-03-2025%' or</v>
      </c>
    </row>
    <row r="447" spans="1:5" x14ac:dyDescent="0.25">
      <c r="A447" s="1" t="s">
        <v>762</v>
      </c>
      <c r="B447" t="s">
        <v>817</v>
      </c>
      <c r="D447">
        <v>3541</v>
      </c>
      <c r="E447" t="str">
        <f t="shared" si="6"/>
        <v>ia.assorted_string like '%3541-03-2025%' or</v>
      </c>
    </row>
    <row r="448" spans="1:5" x14ac:dyDescent="0.25">
      <c r="A448" s="1" t="s">
        <v>763</v>
      </c>
      <c r="B448" t="s">
        <v>817</v>
      </c>
      <c r="D448">
        <v>3542</v>
      </c>
      <c r="E448" t="str">
        <f t="shared" si="6"/>
        <v>ia.assorted_string like '%3542-03-2025%' or</v>
      </c>
    </row>
    <row r="449" spans="1:5" x14ac:dyDescent="0.25">
      <c r="A449" s="1" t="s">
        <v>764</v>
      </c>
      <c r="B449" t="s">
        <v>817</v>
      </c>
      <c r="D449">
        <v>3543</v>
      </c>
      <c r="E449" t="str">
        <f t="shared" si="6"/>
        <v>ia.assorted_string like '%3543-03-2025%' or</v>
      </c>
    </row>
    <row r="450" spans="1:5" x14ac:dyDescent="0.25">
      <c r="A450" s="1" t="s">
        <v>765</v>
      </c>
      <c r="B450" t="s">
        <v>817</v>
      </c>
      <c r="D450">
        <v>3544</v>
      </c>
      <c r="E450" t="str">
        <f t="shared" ref="E450:E499" si="7">"ia.assorted_string like '%"&amp;D450&amp;B450&amp;"%' or"</f>
        <v>ia.assorted_string like '%3544-03-2025%' or</v>
      </c>
    </row>
    <row r="451" spans="1:5" x14ac:dyDescent="0.25">
      <c r="A451" s="1" t="s">
        <v>766</v>
      </c>
      <c r="B451" t="s">
        <v>817</v>
      </c>
      <c r="D451">
        <v>3545</v>
      </c>
      <c r="E451" t="str">
        <f t="shared" si="7"/>
        <v>ia.assorted_string like '%3545-03-2025%' or</v>
      </c>
    </row>
    <row r="452" spans="1:5" x14ac:dyDescent="0.25">
      <c r="A452" s="1" t="s">
        <v>767</v>
      </c>
      <c r="B452" t="s">
        <v>817</v>
      </c>
      <c r="D452">
        <v>3546</v>
      </c>
      <c r="E452" t="str">
        <f t="shared" si="7"/>
        <v>ia.assorted_string like '%3546-03-2025%' or</v>
      </c>
    </row>
    <row r="453" spans="1:5" x14ac:dyDescent="0.25">
      <c r="A453" s="1" t="s">
        <v>768</v>
      </c>
      <c r="B453" t="s">
        <v>817</v>
      </c>
      <c r="D453">
        <v>3547</v>
      </c>
      <c r="E453" t="str">
        <f t="shared" si="7"/>
        <v>ia.assorted_string like '%3547-03-2025%' or</v>
      </c>
    </row>
    <row r="454" spans="1:5" x14ac:dyDescent="0.25">
      <c r="A454" s="1" t="s">
        <v>769</v>
      </c>
      <c r="B454" t="s">
        <v>817</v>
      </c>
      <c r="D454">
        <v>3548</v>
      </c>
      <c r="E454" t="str">
        <f t="shared" si="7"/>
        <v>ia.assorted_string like '%3548-03-2025%' or</v>
      </c>
    </row>
    <row r="455" spans="1:5" x14ac:dyDescent="0.25">
      <c r="A455" s="1" t="s">
        <v>770</v>
      </c>
      <c r="B455" t="s">
        <v>817</v>
      </c>
      <c r="D455">
        <v>3549</v>
      </c>
      <c r="E455" t="str">
        <f t="shared" si="7"/>
        <v>ia.assorted_string like '%3549-03-2025%' or</v>
      </c>
    </row>
    <row r="456" spans="1:5" x14ac:dyDescent="0.25">
      <c r="A456" s="1" t="s">
        <v>771</v>
      </c>
      <c r="B456" t="s">
        <v>817</v>
      </c>
      <c r="D456">
        <v>3550</v>
      </c>
      <c r="E456" t="str">
        <f t="shared" si="7"/>
        <v>ia.assorted_string like '%3550-03-2025%' or</v>
      </c>
    </row>
    <row r="457" spans="1:5" x14ac:dyDescent="0.25">
      <c r="A457" s="1" t="s">
        <v>772</v>
      </c>
      <c r="B457" t="s">
        <v>817</v>
      </c>
      <c r="D457">
        <v>3551</v>
      </c>
      <c r="E457" t="str">
        <f t="shared" si="7"/>
        <v>ia.assorted_string like '%3551-03-2025%' or</v>
      </c>
    </row>
    <row r="458" spans="1:5" x14ac:dyDescent="0.25">
      <c r="A458" s="1" t="s">
        <v>773</v>
      </c>
      <c r="B458" t="s">
        <v>817</v>
      </c>
      <c r="D458">
        <v>3552</v>
      </c>
      <c r="E458" t="str">
        <f t="shared" si="7"/>
        <v>ia.assorted_string like '%3552-03-2025%' or</v>
      </c>
    </row>
    <row r="459" spans="1:5" x14ac:dyDescent="0.25">
      <c r="A459" s="1" t="s">
        <v>774</v>
      </c>
      <c r="B459" t="s">
        <v>817</v>
      </c>
      <c r="D459">
        <v>3553</v>
      </c>
      <c r="E459" t="str">
        <f t="shared" si="7"/>
        <v>ia.assorted_string like '%3553-03-2025%' or</v>
      </c>
    </row>
    <row r="460" spans="1:5" x14ac:dyDescent="0.25">
      <c r="A460" s="1" t="s">
        <v>775</v>
      </c>
      <c r="B460" t="s">
        <v>817</v>
      </c>
      <c r="D460">
        <v>3554</v>
      </c>
      <c r="E460" t="str">
        <f t="shared" si="7"/>
        <v>ia.assorted_string like '%3554-03-2025%' or</v>
      </c>
    </row>
    <row r="461" spans="1:5" x14ac:dyDescent="0.25">
      <c r="A461" s="1" t="s">
        <v>776</v>
      </c>
      <c r="B461" t="s">
        <v>817</v>
      </c>
      <c r="D461">
        <v>3555</v>
      </c>
      <c r="E461" t="str">
        <f t="shared" si="7"/>
        <v>ia.assorted_string like '%3555-03-2025%' or</v>
      </c>
    </row>
    <row r="462" spans="1:5" x14ac:dyDescent="0.25">
      <c r="A462" s="1" t="s">
        <v>777</v>
      </c>
      <c r="B462" t="s">
        <v>817</v>
      </c>
      <c r="D462">
        <v>3556</v>
      </c>
      <c r="E462" t="str">
        <f t="shared" si="7"/>
        <v>ia.assorted_string like '%3556-03-2025%' or</v>
      </c>
    </row>
    <row r="463" spans="1:5" x14ac:dyDescent="0.25">
      <c r="A463" s="1" t="s">
        <v>778</v>
      </c>
      <c r="B463" t="s">
        <v>817</v>
      </c>
      <c r="D463">
        <v>3557</v>
      </c>
      <c r="E463" t="str">
        <f t="shared" si="7"/>
        <v>ia.assorted_string like '%3557-03-2025%' or</v>
      </c>
    </row>
    <row r="464" spans="1:5" x14ac:dyDescent="0.25">
      <c r="A464" s="1" t="s">
        <v>779</v>
      </c>
      <c r="B464" t="s">
        <v>817</v>
      </c>
      <c r="D464">
        <v>3558</v>
      </c>
      <c r="E464" t="str">
        <f t="shared" si="7"/>
        <v>ia.assorted_string like '%3558-03-2025%' or</v>
      </c>
    </row>
    <row r="465" spans="1:5" x14ac:dyDescent="0.25">
      <c r="A465" s="1" t="s">
        <v>780</v>
      </c>
      <c r="B465" t="s">
        <v>817</v>
      </c>
      <c r="D465">
        <v>3559</v>
      </c>
      <c r="E465" t="str">
        <f t="shared" si="7"/>
        <v>ia.assorted_string like '%3559-03-2025%' or</v>
      </c>
    </row>
    <row r="466" spans="1:5" x14ac:dyDescent="0.25">
      <c r="A466" s="1" t="s">
        <v>781</v>
      </c>
      <c r="B466" t="s">
        <v>817</v>
      </c>
      <c r="D466">
        <v>3560</v>
      </c>
      <c r="E466" t="str">
        <f t="shared" si="7"/>
        <v>ia.assorted_string like '%3560-03-2025%' or</v>
      </c>
    </row>
    <row r="467" spans="1:5" x14ac:dyDescent="0.25">
      <c r="A467" s="1" t="s">
        <v>782</v>
      </c>
      <c r="B467" t="s">
        <v>817</v>
      </c>
      <c r="D467">
        <v>3561</v>
      </c>
      <c r="E467" t="str">
        <f t="shared" si="7"/>
        <v>ia.assorted_string like '%3561-03-2025%' or</v>
      </c>
    </row>
    <row r="468" spans="1:5" x14ac:dyDescent="0.25">
      <c r="A468" s="1" t="s">
        <v>783</v>
      </c>
      <c r="B468" t="s">
        <v>817</v>
      </c>
      <c r="D468">
        <v>3562</v>
      </c>
      <c r="E468" t="str">
        <f t="shared" si="7"/>
        <v>ia.assorted_string like '%3562-03-2025%' or</v>
      </c>
    </row>
    <row r="469" spans="1:5" x14ac:dyDescent="0.25">
      <c r="A469" s="1" t="s">
        <v>784</v>
      </c>
      <c r="B469" t="s">
        <v>817</v>
      </c>
      <c r="D469">
        <v>3563</v>
      </c>
      <c r="E469" t="str">
        <f t="shared" si="7"/>
        <v>ia.assorted_string like '%3563-03-2025%' or</v>
      </c>
    </row>
    <row r="470" spans="1:5" x14ac:dyDescent="0.25">
      <c r="A470" s="1" t="s">
        <v>785</v>
      </c>
      <c r="B470" t="s">
        <v>817</v>
      </c>
      <c r="D470">
        <v>3564</v>
      </c>
      <c r="E470" t="str">
        <f t="shared" si="7"/>
        <v>ia.assorted_string like '%3564-03-2025%' or</v>
      </c>
    </row>
    <row r="471" spans="1:5" x14ac:dyDescent="0.25">
      <c r="A471" s="1" t="s">
        <v>786</v>
      </c>
      <c r="B471" t="s">
        <v>817</v>
      </c>
      <c r="D471">
        <v>3565</v>
      </c>
      <c r="E471" t="str">
        <f t="shared" si="7"/>
        <v>ia.assorted_string like '%3565-03-2025%' or</v>
      </c>
    </row>
    <row r="472" spans="1:5" x14ac:dyDescent="0.25">
      <c r="A472" s="1" t="s">
        <v>787</v>
      </c>
      <c r="B472" t="s">
        <v>817</v>
      </c>
      <c r="D472">
        <v>3566</v>
      </c>
      <c r="E472" t="str">
        <f t="shared" si="7"/>
        <v>ia.assorted_string like '%3566-03-2025%' or</v>
      </c>
    </row>
    <row r="473" spans="1:5" x14ac:dyDescent="0.25">
      <c r="A473" s="1" t="s">
        <v>788</v>
      </c>
      <c r="B473" t="s">
        <v>817</v>
      </c>
      <c r="D473">
        <v>3567</v>
      </c>
      <c r="E473" t="str">
        <f t="shared" si="7"/>
        <v>ia.assorted_string like '%3567-03-2025%' or</v>
      </c>
    </row>
    <row r="474" spans="1:5" x14ac:dyDescent="0.25">
      <c r="A474" s="1" t="s">
        <v>789</v>
      </c>
      <c r="B474" t="s">
        <v>817</v>
      </c>
      <c r="D474">
        <v>3568</v>
      </c>
      <c r="E474" t="str">
        <f t="shared" si="7"/>
        <v>ia.assorted_string like '%3568-03-2025%' or</v>
      </c>
    </row>
    <row r="475" spans="1:5" x14ac:dyDescent="0.25">
      <c r="A475" s="1" t="s">
        <v>790</v>
      </c>
      <c r="B475" t="s">
        <v>817</v>
      </c>
      <c r="D475">
        <v>3569</v>
      </c>
      <c r="E475" t="str">
        <f t="shared" si="7"/>
        <v>ia.assorted_string like '%3569-03-2025%' or</v>
      </c>
    </row>
    <row r="476" spans="1:5" x14ac:dyDescent="0.25">
      <c r="A476" s="1" t="s">
        <v>791</v>
      </c>
      <c r="B476" t="s">
        <v>817</v>
      </c>
      <c r="D476">
        <v>3570</v>
      </c>
      <c r="E476" t="str">
        <f t="shared" si="7"/>
        <v>ia.assorted_string like '%3570-03-2025%' or</v>
      </c>
    </row>
    <row r="477" spans="1:5" x14ac:dyDescent="0.25">
      <c r="A477" s="1" t="s">
        <v>792</v>
      </c>
      <c r="B477" t="s">
        <v>817</v>
      </c>
      <c r="D477">
        <v>3571</v>
      </c>
      <c r="E477" t="str">
        <f t="shared" si="7"/>
        <v>ia.assorted_string like '%3571-03-2025%' or</v>
      </c>
    </row>
    <row r="478" spans="1:5" x14ac:dyDescent="0.25">
      <c r="A478" s="1" t="s">
        <v>793</v>
      </c>
      <c r="B478" t="s">
        <v>817</v>
      </c>
      <c r="D478">
        <v>3572</v>
      </c>
      <c r="E478" t="str">
        <f t="shared" si="7"/>
        <v>ia.assorted_string like '%3572-03-2025%' or</v>
      </c>
    </row>
    <row r="479" spans="1:5" x14ac:dyDescent="0.25">
      <c r="A479" s="1" t="s">
        <v>794</v>
      </c>
      <c r="B479" t="s">
        <v>817</v>
      </c>
      <c r="D479">
        <v>3573</v>
      </c>
      <c r="E479" t="str">
        <f t="shared" si="7"/>
        <v>ia.assorted_string like '%3573-03-2025%' or</v>
      </c>
    </row>
    <row r="480" spans="1:5" x14ac:dyDescent="0.25">
      <c r="A480" s="1" t="s">
        <v>795</v>
      </c>
      <c r="B480" t="s">
        <v>817</v>
      </c>
      <c r="D480">
        <v>3574</v>
      </c>
      <c r="E480" t="str">
        <f t="shared" si="7"/>
        <v>ia.assorted_string like '%3574-03-2025%' or</v>
      </c>
    </row>
    <row r="481" spans="1:5" x14ac:dyDescent="0.25">
      <c r="A481" s="1" t="s">
        <v>796</v>
      </c>
      <c r="B481" t="s">
        <v>817</v>
      </c>
      <c r="D481">
        <v>3575</v>
      </c>
      <c r="E481" t="str">
        <f t="shared" si="7"/>
        <v>ia.assorted_string like '%3575-03-2025%' or</v>
      </c>
    </row>
    <row r="482" spans="1:5" x14ac:dyDescent="0.25">
      <c r="A482" s="1" t="s">
        <v>797</v>
      </c>
      <c r="B482" t="s">
        <v>817</v>
      </c>
      <c r="D482">
        <v>3576</v>
      </c>
      <c r="E482" t="str">
        <f t="shared" si="7"/>
        <v>ia.assorted_string like '%3576-03-2025%' or</v>
      </c>
    </row>
    <row r="483" spans="1:5" x14ac:dyDescent="0.25">
      <c r="A483" s="1" t="s">
        <v>798</v>
      </c>
      <c r="B483" t="s">
        <v>817</v>
      </c>
      <c r="D483">
        <v>3577</v>
      </c>
      <c r="E483" t="str">
        <f t="shared" si="7"/>
        <v>ia.assorted_string like '%3577-03-2025%' or</v>
      </c>
    </row>
    <row r="484" spans="1:5" x14ac:dyDescent="0.25">
      <c r="A484" s="1" t="s">
        <v>799</v>
      </c>
      <c r="B484" t="s">
        <v>817</v>
      </c>
      <c r="D484">
        <v>3578</v>
      </c>
      <c r="E484" t="str">
        <f t="shared" si="7"/>
        <v>ia.assorted_string like '%3578-03-2025%' or</v>
      </c>
    </row>
    <row r="485" spans="1:5" x14ac:dyDescent="0.25">
      <c r="A485" s="1" t="s">
        <v>800</v>
      </c>
      <c r="B485" t="s">
        <v>817</v>
      </c>
      <c r="D485">
        <v>3579</v>
      </c>
      <c r="E485" t="str">
        <f t="shared" si="7"/>
        <v>ia.assorted_string like '%3579-03-2025%' or</v>
      </c>
    </row>
    <row r="486" spans="1:5" x14ac:dyDescent="0.25">
      <c r="A486" s="1" t="s">
        <v>801</v>
      </c>
      <c r="B486" t="s">
        <v>817</v>
      </c>
      <c r="D486">
        <v>3580</v>
      </c>
      <c r="E486" t="str">
        <f t="shared" si="7"/>
        <v>ia.assorted_string like '%3580-03-2025%' or</v>
      </c>
    </row>
    <row r="487" spans="1:5" x14ac:dyDescent="0.25">
      <c r="A487" s="1" t="s">
        <v>802</v>
      </c>
      <c r="B487" t="s">
        <v>817</v>
      </c>
      <c r="D487">
        <v>3581</v>
      </c>
      <c r="E487" t="str">
        <f t="shared" si="7"/>
        <v>ia.assorted_string like '%3581-03-2025%' or</v>
      </c>
    </row>
    <row r="488" spans="1:5" x14ac:dyDescent="0.25">
      <c r="A488" s="1" t="s">
        <v>803</v>
      </c>
      <c r="B488" t="s">
        <v>817</v>
      </c>
      <c r="D488">
        <v>3582</v>
      </c>
      <c r="E488" t="str">
        <f t="shared" si="7"/>
        <v>ia.assorted_string like '%3582-03-2025%' or</v>
      </c>
    </row>
    <row r="489" spans="1:5" x14ac:dyDescent="0.25">
      <c r="A489" s="1" t="s">
        <v>804</v>
      </c>
      <c r="B489" t="s">
        <v>817</v>
      </c>
      <c r="D489">
        <v>3583</v>
      </c>
      <c r="E489" t="str">
        <f t="shared" si="7"/>
        <v>ia.assorted_string like '%3583-03-2025%' or</v>
      </c>
    </row>
    <row r="490" spans="1:5" x14ac:dyDescent="0.25">
      <c r="A490" s="1" t="s">
        <v>805</v>
      </c>
      <c r="B490" t="s">
        <v>817</v>
      </c>
      <c r="D490">
        <v>3584</v>
      </c>
      <c r="E490" t="str">
        <f t="shared" si="7"/>
        <v>ia.assorted_string like '%3584-03-2025%' or</v>
      </c>
    </row>
    <row r="491" spans="1:5" x14ac:dyDescent="0.25">
      <c r="A491" s="1" t="s">
        <v>806</v>
      </c>
      <c r="B491" t="s">
        <v>817</v>
      </c>
      <c r="D491">
        <v>3585</v>
      </c>
      <c r="E491" t="str">
        <f t="shared" si="7"/>
        <v>ia.assorted_string like '%3585-03-2025%' or</v>
      </c>
    </row>
    <row r="492" spans="1:5" x14ac:dyDescent="0.25">
      <c r="A492" s="1" t="s">
        <v>807</v>
      </c>
      <c r="B492" t="s">
        <v>817</v>
      </c>
      <c r="D492">
        <v>3586</v>
      </c>
      <c r="E492" t="str">
        <f t="shared" si="7"/>
        <v>ia.assorted_string like '%3586-03-2025%' or</v>
      </c>
    </row>
    <row r="493" spans="1:5" x14ac:dyDescent="0.25">
      <c r="A493" s="1" t="s">
        <v>808</v>
      </c>
      <c r="B493" t="s">
        <v>817</v>
      </c>
      <c r="D493">
        <v>3587</v>
      </c>
      <c r="E493" t="str">
        <f t="shared" si="7"/>
        <v>ia.assorted_string like '%3587-03-2025%' or</v>
      </c>
    </row>
    <row r="494" spans="1:5" x14ac:dyDescent="0.25">
      <c r="A494" s="1" t="s">
        <v>809</v>
      </c>
      <c r="B494" t="s">
        <v>817</v>
      </c>
      <c r="D494">
        <v>3588</v>
      </c>
      <c r="E494" t="str">
        <f t="shared" si="7"/>
        <v>ia.assorted_string like '%3588-03-2025%' or</v>
      </c>
    </row>
    <row r="495" spans="1:5" x14ac:dyDescent="0.25">
      <c r="A495" s="1" t="s">
        <v>811</v>
      </c>
      <c r="B495" t="s">
        <v>817</v>
      </c>
      <c r="D495">
        <v>3589</v>
      </c>
      <c r="E495" t="str">
        <f t="shared" si="7"/>
        <v>ia.assorted_string like '%3589-03-2025%' or</v>
      </c>
    </row>
    <row r="496" spans="1:5" x14ac:dyDescent="0.25">
      <c r="A496" s="1" t="s">
        <v>812</v>
      </c>
      <c r="B496" t="s">
        <v>817</v>
      </c>
      <c r="D496">
        <v>3590</v>
      </c>
      <c r="E496" t="str">
        <f t="shared" si="7"/>
        <v>ia.assorted_string like '%3590-03-2025%' or</v>
      </c>
    </row>
    <row r="497" spans="1:5" x14ac:dyDescent="0.25">
      <c r="A497" s="1" t="s">
        <v>813</v>
      </c>
      <c r="B497" t="s">
        <v>817</v>
      </c>
      <c r="D497">
        <v>3591</v>
      </c>
      <c r="E497" t="str">
        <f t="shared" si="7"/>
        <v>ia.assorted_string like '%3591-03-2025%' or</v>
      </c>
    </row>
    <row r="498" spans="1:5" x14ac:dyDescent="0.25">
      <c r="A498" s="1" t="s">
        <v>814</v>
      </c>
      <c r="B498" t="s">
        <v>817</v>
      </c>
      <c r="D498">
        <v>3592</v>
      </c>
      <c r="E498" t="str">
        <f t="shared" si="7"/>
        <v>ia.assorted_string like '%3592-03-2025%' or</v>
      </c>
    </row>
    <row r="499" spans="1:5" x14ac:dyDescent="0.25">
      <c r="A499" s="1" t="s">
        <v>816</v>
      </c>
      <c r="B499" t="s">
        <v>817</v>
      </c>
      <c r="D499">
        <v>3593</v>
      </c>
      <c r="E499" t="str">
        <f t="shared" si="7"/>
        <v>ia.assorted_string like '%3593-03-2025%'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9761-1DD8-4743-8F6E-EA1CD1B3B2FC}">
  <dimension ref="A1:C629"/>
  <sheetViews>
    <sheetView workbookViewId="0">
      <selection activeCell="C10" sqref="C10"/>
    </sheetView>
  </sheetViews>
  <sheetFormatPr defaultColWidth="7.85546875" defaultRowHeight="15" x14ac:dyDescent="0.25"/>
  <cols>
    <col min="1" max="1" width="3.140625" customWidth="1"/>
    <col min="2" max="2" width="33.28515625" customWidth="1"/>
    <col min="3" max="3" width="14" customWidth="1"/>
  </cols>
  <sheetData>
    <row r="1" spans="1:3" s="13" customFormat="1" ht="12" x14ac:dyDescent="0.2">
      <c r="A1" s="13" t="s">
        <v>822</v>
      </c>
      <c r="B1" s="13" t="s">
        <v>823</v>
      </c>
      <c r="C1" s="13" t="s">
        <v>824</v>
      </c>
    </row>
    <row r="2" spans="1:3" x14ac:dyDescent="0.25">
      <c r="A2">
        <v>1</v>
      </c>
      <c r="B2" t="s">
        <v>81</v>
      </c>
      <c r="C2" t="s">
        <v>825</v>
      </c>
    </row>
    <row r="3" spans="1:3" x14ac:dyDescent="0.25">
      <c r="A3">
        <v>2</v>
      </c>
      <c r="B3" t="s">
        <v>97</v>
      </c>
      <c r="C3" t="s">
        <v>826</v>
      </c>
    </row>
    <row r="4" spans="1:3" x14ac:dyDescent="0.25">
      <c r="A4">
        <v>3</v>
      </c>
      <c r="B4" t="s">
        <v>111</v>
      </c>
      <c r="C4" t="s">
        <v>827</v>
      </c>
    </row>
    <row r="5" spans="1:3" x14ac:dyDescent="0.25">
      <c r="A5">
        <v>4</v>
      </c>
      <c r="B5" t="s">
        <v>113</v>
      </c>
      <c r="C5" t="s">
        <v>828</v>
      </c>
    </row>
    <row r="6" spans="1:3" x14ac:dyDescent="0.25">
      <c r="A6">
        <v>5</v>
      </c>
      <c r="B6" t="s">
        <v>131</v>
      </c>
      <c r="C6" t="s">
        <v>829</v>
      </c>
    </row>
    <row r="7" spans="1:3" x14ac:dyDescent="0.25">
      <c r="A7">
        <v>6</v>
      </c>
      <c r="B7" t="s">
        <v>145</v>
      </c>
      <c r="C7" t="s">
        <v>830</v>
      </c>
    </row>
    <row r="8" spans="1:3" x14ac:dyDescent="0.25">
      <c r="A8">
        <v>7</v>
      </c>
      <c r="B8" t="s">
        <v>161</v>
      </c>
      <c r="C8" t="s">
        <v>831</v>
      </c>
    </row>
    <row r="9" spans="1:3" x14ac:dyDescent="0.25">
      <c r="A9">
        <v>8</v>
      </c>
      <c r="B9" t="s">
        <v>189</v>
      </c>
      <c r="C9" t="s">
        <v>832</v>
      </c>
    </row>
    <row r="10" spans="1:3" x14ac:dyDescent="0.25">
      <c r="A10">
        <v>9</v>
      </c>
      <c r="B10" t="s">
        <v>203</v>
      </c>
      <c r="C10" t="s">
        <v>833</v>
      </c>
    </row>
    <row r="11" spans="1:3" x14ac:dyDescent="0.25">
      <c r="A11">
        <v>10</v>
      </c>
      <c r="B11" t="s">
        <v>217</v>
      </c>
      <c r="C11" t="s">
        <v>834</v>
      </c>
    </row>
    <row r="12" spans="1:3" x14ac:dyDescent="0.25">
      <c r="A12">
        <v>11</v>
      </c>
      <c r="B12" t="s">
        <v>231</v>
      </c>
      <c r="C12" t="s">
        <v>835</v>
      </c>
    </row>
    <row r="13" spans="1:3" x14ac:dyDescent="0.25">
      <c r="A13">
        <v>12</v>
      </c>
      <c r="B13" t="s">
        <v>271</v>
      </c>
      <c r="C13" t="s">
        <v>836</v>
      </c>
    </row>
    <row r="14" spans="1:3" x14ac:dyDescent="0.25">
      <c r="A14">
        <v>13</v>
      </c>
      <c r="B14" t="s">
        <v>289</v>
      </c>
      <c r="C14" t="s">
        <v>837</v>
      </c>
    </row>
    <row r="15" spans="1:3" x14ac:dyDescent="0.25">
      <c r="A15">
        <v>14</v>
      </c>
      <c r="B15" t="s">
        <v>303</v>
      </c>
      <c r="C15" t="s">
        <v>838</v>
      </c>
    </row>
    <row r="16" spans="1:3" x14ac:dyDescent="0.25">
      <c r="A16">
        <v>15</v>
      </c>
      <c r="B16" t="s">
        <v>331</v>
      </c>
      <c r="C16" t="s">
        <v>839</v>
      </c>
    </row>
    <row r="17" spans="1:3" x14ac:dyDescent="0.25">
      <c r="A17">
        <v>16</v>
      </c>
      <c r="B17" t="s">
        <v>345</v>
      </c>
      <c r="C17" t="s">
        <v>840</v>
      </c>
    </row>
    <row r="18" spans="1:3" x14ac:dyDescent="0.25">
      <c r="A18">
        <v>17</v>
      </c>
      <c r="B18" t="s">
        <v>359</v>
      </c>
      <c r="C18" t="s">
        <v>841</v>
      </c>
    </row>
    <row r="19" spans="1:3" x14ac:dyDescent="0.25">
      <c r="A19">
        <v>18</v>
      </c>
      <c r="B19" t="s">
        <v>373</v>
      </c>
      <c r="C19" t="s">
        <v>842</v>
      </c>
    </row>
    <row r="20" spans="1:3" x14ac:dyDescent="0.25">
      <c r="A20">
        <v>19</v>
      </c>
      <c r="B20" t="s">
        <v>400</v>
      </c>
      <c r="C20" t="s">
        <v>843</v>
      </c>
    </row>
    <row r="21" spans="1:3" x14ac:dyDescent="0.25">
      <c r="A21">
        <v>20</v>
      </c>
      <c r="B21" t="s">
        <v>414</v>
      </c>
      <c r="C21" t="s">
        <v>844</v>
      </c>
    </row>
    <row r="22" spans="1:3" x14ac:dyDescent="0.25">
      <c r="A22">
        <v>21</v>
      </c>
      <c r="B22" t="s">
        <v>428</v>
      </c>
      <c r="C22" t="s">
        <v>845</v>
      </c>
    </row>
    <row r="23" spans="1:3" x14ac:dyDescent="0.25">
      <c r="A23">
        <v>22</v>
      </c>
      <c r="B23" t="s">
        <v>456</v>
      </c>
      <c r="C23" t="s">
        <v>846</v>
      </c>
    </row>
    <row r="24" spans="1:3" x14ac:dyDescent="0.25">
      <c r="A24">
        <v>23</v>
      </c>
      <c r="B24" t="s">
        <v>468</v>
      </c>
      <c r="C24" t="s">
        <v>847</v>
      </c>
    </row>
    <row r="25" spans="1:3" x14ac:dyDescent="0.25">
      <c r="A25">
        <v>24</v>
      </c>
      <c r="B25" t="s">
        <v>482</v>
      </c>
      <c r="C25" t="s">
        <v>848</v>
      </c>
    </row>
    <row r="26" spans="1:3" x14ac:dyDescent="0.25">
      <c r="A26">
        <v>25</v>
      </c>
      <c r="B26" t="s">
        <v>496</v>
      </c>
      <c r="C26" t="s">
        <v>849</v>
      </c>
    </row>
    <row r="27" spans="1:3" x14ac:dyDescent="0.25">
      <c r="A27">
        <v>26</v>
      </c>
      <c r="B27" t="s">
        <v>510</v>
      </c>
      <c r="C27" t="s">
        <v>850</v>
      </c>
    </row>
    <row r="28" spans="1:3" x14ac:dyDescent="0.25">
      <c r="A28">
        <v>27</v>
      </c>
      <c r="B28" t="s">
        <v>524</v>
      </c>
      <c r="C28" t="s">
        <v>851</v>
      </c>
    </row>
    <row r="29" spans="1:3" x14ac:dyDescent="0.25">
      <c r="A29">
        <v>28</v>
      </c>
      <c r="B29" t="s">
        <v>538</v>
      </c>
      <c r="C29" t="s">
        <v>852</v>
      </c>
    </row>
    <row r="30" spans="1:3" x14ac:dyDescent="0.25">
      <c r="A30">
        <v>29</v>
      </c>
      <c r="B30" t="s">
        <v>551</v>
      </c>
      <c r="C30" t="s">
        <v>853</v>
      </c>
    </row>
    <row r="31" spans="1:3" x14ac:dyDescent="0.25">
      <c r="A31">
        <v>30</v>
      </c>
      <c r="B31" t="s">
        <v>564</v>
      </c>
      <c r="C31" t="s">
        <v>854</v>
      </c>
    </row>
    <row r="32" spans="1:3" x14ac:dyDescent="0.25">
      <c r="A32">
        <v>31</v>
      </c>
      <c r="B32" t="s">
        <v>577</v>
      </c>
      <c r="C32" t="s">
        <v>855</v>
      </c>
    </row>
    <row r="33" spans="1:3" x14ac:dyDescent="0.25">
      <c r="A33">
        <v>32</v>
      </c>
      <c r="B33" t="s">
        <v>590</v>
      </c>
      <c r="C33" t="s">
        <v>856</v>
      </c>
    </row>
    <row r="34" spans="1:3" x14ac:dyDescent="0.25">
      <c r="A34">
        <v>33</v>
      </c>
      <c r="B34" t="s">
        <v>594</v>
      </c>
      <c r="C34" t="s">
        <v>857</v>
      </c>
    </row>
    <row r="35" spans="1:3" x14ac:dyDescent="0.25">
      <c r="A35">
        <v>34</v>
      </c>
      <c r="B35" t="s">
        <v>596</v>
      </c>
      <c r="C35" t="s">
        <v>858</v>
      </c>
    </row>
    <row r="36" spans="1:3" x14ac:dyDescent="0.25">
      <c r="A36">
        <v>35</v>
      </c>
      <c r="B36" t="s">
        <v>598</v>
      </c>
      <c r="C36" t="s">
        <v>859</v>
      </c>
    </row>
    <row r="37" spans="1:3" x14ac:dyDescent="0.25">
      <c r="A37">
        <v>36</v>
      </c>
      <c r="B37" t="s">
        <v>602</v>
      </c>
      <c r="C37" t="s">
        <v>860</v>
      </c>
    </row>
    <row r="38" spans="1:3" x14ac:dyDescent="0.25">
      <c r="A38">
        <v>37</v>
      </c>
      <c r="B38" t="s">
        <v>604</v>
      </c>
      <c r="C38" t="s">
        <v>861</v>
      </c>
    </row>
    <row r="39" spans="1:3" x14ac:dyDescent="0.25">
      <c r="A39">
        <v>38</v>
      </c>
      <c r="B39" t="s">
        <v>605</v>
      </c>
      <c r="C39" t="s">
        <v>862</v>
      </c>
    </row>
    <row r="40" spans="1:3" x14ac:dyDescent="0.25">
      <c r="A40">
        <v>39</v>
      </c>
      <c r="B40" t="s">
        <v>606</v>
      </c>
      <c r="C40" t="s">
        <v>863</v>
      </c>
    </row>
    <row r="41" spans="1:3" x14ac:dyDescent="0.25">
      <c r="A41">
        <v>40</v>
      </c>
      <c r="B41" t="s">
        <v>608</v>
      </c>
      <c r="C41" t="s">
        <v>864</v>
      </c>
    </row>
    <row r="42" spans="1:3" x14ac:dyDescent="0.25">
      <c r="A42">
        <v>41</v>
      </c>
      <c r="B42" t="s">
        <v>609</v>
      </c>
      <c r="C42" t="s">
        <v>865</v>
      </c>
    </row>
    <row r="43" spans="1:3" x14ac:dyDescent="0.25">
      <c r="A43">
        <v>42</v>
      </c>
      <c r="B43" t="s">
        <v>610</v>
      </c>
      <c r="C43" t="s">
        <v>866</v>
      </c>
    </row>
    <row r="44" spans="1:3" x14ac:dyDescent="0.25">
      <c r="A44">
        <v>43</v>
      </c>
      <c r="B44" t="s">
        <v>612</v>
      </c>
      <c r="C44" t="s">
        <v>867</v>
      </c>
    </row>
    <row r="45" spans="1:3" x14ac:dyDescent="0.25">
      <c r="A45">
        <v>44</v>
      </c>
      <c r="B45" t="s">
        <v>613</v>
      </c>
      <c r="C45" t="s">
        <v>868</v>
      </c>
    </row>
    <row r="46" spans="1:3" x14ac:dyDescent="0.25">
      <c r="A46">
        <v>45</v>
      </c>
      <c r="B46" t="s">
        <v>614</v>
      </c>
      <c r="C46" t="s">
        <v>869</v>
      </c>
    </row>
    <row r="47" spans="1:3" x14ac:dyDescent="0.25">
      <c r="A47">
        <v>46</v>
      </c>
      <c r="B47" t="s">
        <v>615</v>
      </c>
      <c r="C47" t="s">
        <v>870</v>
      </c>
    </row>
    <row r="48" spans="1:3" x14ac:dyDescent="0.25">
      <c r="A48">
        <v>47</v>
      </c>
      <c r="B48" t="s">
        <v>616</v>
      </c>
      <c r="C48" t="s">
        <v>871</v>
      </c>
    </row>
    <row r="49" spans="1:3" x14ac:dyDescent="0.25">
      <c r="A49">
        <v>48</v>
      </c>
      <c r="B49" t="s">
        <v>617</v>
      </c>
      <c r="C49" t="s">
        <v>872</v>
      </c>
    </row>
    <row r="50" spans="1:3" x14ac:dyDescent="0.25">
      <c r="A50">
        <v>49</v>
      </c>
      <c r="B50" t="s">
        <v>618</v>
      </c>
      <c r="C50" t="s">
        <v>873</v>
      </c>
    </row>
    <row r="51" spans="1:3" x14ac:dyDescent="0.25">
      <c r="A51">
        <v>50</v>
      </c>
      <c r="B51" t="s">
        <v>619</v>
      </c>
      <c r="C51" t="s">
        <v>874</v>
      </c>
    </row>
    <row r="52" spans="1:3" x14ac:dyDescent="0.25">
      <c r="A52">
        <v>51</v>
      </c>
      <c r="B52" t="s">
        <v>620</v>
      </c>
      <c r="C52" t="s">
        <v>875</v>
      </c>
    </row>
    <row r="53" spans="1:3" x14ac:dyDescent="0.25">
      <c r="A53">
        <v>52</v>
      </c>
      <c r="B53" t="s">
        <v>621</v>
      </c>
      <c r="C53" t="s">
        <v>876</v>
      </c>
    </row>
    <row r="54" spans="1:3" x14ac:dyDescent="0.25">
      <c r="A54">
        <v>53</v>
      </c>
      <c r="B54" t="s">
        <v>622</v>
      </c>
      <c r="C54" t="s">
        <v>877</v>
      </c>
    </row>
    <row r="55" spans="1:3" x14ac:dyDescent="0.25">
      <c r="A55">
        <v>54</v>
      </c>
      <c r="B55" t="s">
        <v>624</v>
      </c>
      <c r="C55" t="s">
        <v>878</v>
      </c>
    </row>
    <row r="56" spans="1:3" x14ac:dyDescent="0.25">
      <c r="A56">
        <v>55</v>
      </c>
      <c r="B56" t="s">
        <v>625</v>
      </c>
      <c r="C56" t="s">
        <v>879</v>
      </c>
    </row>
    <row r="57" spans="1:3" x14ac:dyDescent="0.25">
      <c r="A57">
        <v>56</v>
      </c>
      <c r="B57" t="s">
        <v>626</v>
      </c>
      <c r="C57" t="s">
        <v>880</v>
      </c>
    </row>
    <row r="58" spans="1:3" x14ac:dyDescent="0.25">
      <c r="A58">
        <v>57</v>
      </c>
      <c r="B58" t="s">
        <v>628</v>
      </c>
      <c r="C58" t="s">
        <v>881</v>
      </c>
    </row>
    <row r="59" spans="1:3" x14ac:dyDescent="0.25">
      <c r="A59">
        <v>58</v>
      </c>
      <c r="B59" t="s">
        <v>629</v>
      </c>
      <c r="C59" t="s">
        <v>882</v>
      </c>
    </row>
    <row r="60" spans="1:3" x14ac:dyDescent="0.25">
      <c r="A60">
        <v>59</v>
      </c>
      <c r="B60" t="s">
        <v>630</v>
      </c>
      <c r="C60" t="s">
        <v>883</v>
      </c>
    </row>
    <row r="61" spans="1:3" x14ac:dyDescent="0.25">
      <c r="A61">
        <v>60</v>
      </c>
      <c r="B61" t="s">
        <v>631</v>
      </c>
      <c r="C61" t="s">
        <v>884</v>
      </c>
    </row>
    <row r="62" spans="1:3" x14ac:dyDescent="0.25">
      <c r="A62">
        <v>61</v>
      </c>
      <c r="B62" t="s">
        <v>633</v>
      </c>
      <c r="C62" t="s">
        <v>885</v>
      </c>
    </row>
    <row r="63" spans="1:3" x14ac:dyDescent="0.25">
      <c r="A63">
        <v>62</v>
      </c>
      <c r="B63" t="s">
        <v>634</v>
      </c>
      <c r="C63" t="s">
        <v>886</v>
      </c>
    </row>
    <row r="64" spans="1:3" x14ac:dyDescent="0.25">
      <c r="A64">
        <v>63</v>
      </c>
      <c r="B64" t="s">
        <v>635</v>
      </c>
      <c r="C64" t="s">
        <v>887</v>
      </c>
    </row>
    <row r="65" spans="1:3" x14ac:dyDescent="0.25">
      <c r="A65">
        <v>64</v>
      </c>
      <c r="B65" t="s">
        <v>637</v>
      </c>
      <c r="C65" t="s">
        <v>888</v>
      </c>
    </row>
    <row r="66" spans="1:3" x14ac:dyDescent="0.25">
      <c r="A66">
        <v>65</v>
      </c>
      <c r="B66" t="s">
        <v>638</v>
      </c>
      <c r="C66" t="s">
        <v>889</v>
      </c>
    </row>
    <row r="67" spans="1:3" x14ac:dyDescent="0.25">
      <c r="A67">
        <v>66</v>
      </c>
      <c r="B67" t="s">
        <v>639</v>
      </c>
      <c r="C67" t="s">
        <v>890</v>
      </c>
    </row>
    <row r="68" spans="1:3" x14ac:dyDescent="0.25">
      <c r="A68">
        <v>67</v>
      </c>
      <c r="B68" t="s">
        <v>640</v>
      </c>
      <c r="C68" t="s">
        <v>891</v>
      </c>
    </row>
    <row r="69" spans="1:3" x14ac:dyDescent="0.25">
      <c r="A69">
        <v>68</v>
      </c>
      <c r="B69" t="s">
        <v>641</v>
      </c>
      <c r="C69" t="s">
        <v>892</v>
      </c>
    </row>
    <row r="70" spans="1:3" x14ac:dyDescent="0.25">
      <c r="A70">
        <v>69</v>
      </c>
      <c r="B70" t="s">
        <v>642</v>
      </c>
      <c r="C70" t="s">
        <v>893</v>
      </c>
    </row>
    <row r="71" spans="1:3" x14ac:dyDescent="0.25">
      <c r="A71">
        <v>70</v>
      </c>
      <c r="B71" t="s">
        <v>643</v>
      </c>
      <c r="C71" t="s">
        <v>894</v>
      </c>
    </row>
    <row r="72" spans="1:3" x14ac:dyDescent="0.25">
      <c r="A72">
        <v>71</v>
      </c>
      <c r="B72" t="s">
        <v>644</v>
      </c>
      <c r="C72" t="s">
        <v>895</v>
      </c>
    </row>
    <row r="73" spans="1:3" x14ac:dyDescent="0.25">
      <c r="A73">
        <v>72</v>
      </c>
      <c r="B73" t="s">
        <v>645</v>
      </c>
      <c r="C73" t="s">
        <v>896</v>
      </c>
    </row>
    <row r="74" spans="1:3" x14ac:dyDescent="0.25">
      <c r="A74">
        <v>73</v>
      </c>
      <c r="B74" t="s">
        <v>646</v>
      </c>
      <c r="C74" t="s">
        <v>897</v>
      </c>
    </row>
    <row r="75" spans="1:3" x14ac:dyDescent="0.25">
      <c r="A75">
        <v>74</v>
      </c>
      <c r="B75" t="s">
        <v>647</v>
      </c>
      <c r="C75" t="s">
        <v>898</v>
      </c>
    </row>
    <row r="76" spans="1:3" x14ac:dyDescent="0.25">
      <c r="A76">
        <v>75</v>
      </c>
      <c r="B76" t="s">
        <v>649</v>
      </c>
      <c r="C76" t="s">
        <v>899</v>
      </c>
    </row>
    <row r="77" spans="1:3" x14ac:dyDescent="0.25">
      <c r="A77">
        <v>76</v>
      </c>
      <c r="B77" t="s">
        <v>650</v>
      </c>
      <c r="C77" t="s">
        <v>900</v>
      </c>
    </row>
    <row r="78" spans="1:3" x14ac:dyDescent="0.25">
      <c r="A78">
        <v>77</v>
      </c>
      <c r="B78" t="s">
        <v>651</v>
      </c>
      <c r="C78" t="s">
        <v>901</v>
      </c>
    </row>
    <row r="79" spans="1:3" x14ac:dyDescent="0.25">
      <c r="A79">
        <v>78</v>
      </c>
      <c r="B79" t="s">
        <v>653</v>
      </c>
      <c r="C79" t="s">
        <v>902</v>
      </c>
    </row>
    <row r="80" spans="1:3" x14ac:dyDescent="0.25">
      <c r="A80">
        <v>79</v>
      </c>
      <c r="B80" t="s">
        <v>654</v>
      </c>
      <c r="C80" t="s">
        <v>903</v>
      </c>
    </row>
    <row r="81" spans="1:3" x14ac:dyDescent="0.25">
      <c r="A81">
        <v>80</v>
      </c>
      <c r="B81" t="s">
        <v>655</v>
      </c>
      <c r="C81" t="s">
        <v>904</v>
      </c>
    </row>
    <row r="82" spans="1:3" x14ac:dyDescent="0.25">
      <c r="A82">
        <v>81</v>
      </c>
      <c r="B82" t="s">
        <v>656</v>
      </c>
      <c r="C82" t="s">
        <v>905</v>
      </c>
    </row>
    <row r="83" spans="1:3" x14ac:dyDescent="0.25">
      <c r="A83">
        <v>82</v>
      </c>
      <c r="B83" t="s">
        <v>658</v>
      </c>
      <c r="C83" t="s">
        <v>906</v>
      </c>
    </row>
    <row r="84" spans="1:3" x14ac:dyDescent="0.25">
      <c r="A84">
        <v>83</v>
      </c>
      <c r="B84" t="s">
        <v>659</v>
      </c>
      <c r="C84" t="s">
        <v>907</v>
      </c>
    </row>
    <row r="85" spans="1:3" x14ac:dyDescent="0.25">
      <c r="A85">
        <v>84</v>
      </c>
      <c r="B85" t="s">
        <v>660</v>
      </c>
      <c r="C85" t="s">
        <v>908</v>
      </c>
    </row>
    <row r="86" spans="1:3" x14ac:dyDescent="0.25">
      <c r="A86">
        <v>85</v>
      </c>
      <c r="B86" t="s">
        <v>662</v>
      </c>
      <c r="C86" t="s">
        <v>909</v>
      </c>
    </row>
    <row r="87" spans="1:3" x14ac:dyDescent="0.25">
      <c r="A87">
        <v>86</v>
      </c>
      <c r="B87" t="s">
        <v>663</v>
      </c>
      <c r="C87" t="s">
        <v>910</v>
      </c>
    </row>
    <row r="88" spans="1:3" x14ac:dyDescent="0.25">
      <c r="A88">
        <v>87</v>
      </c>
      <c r="B88" t="s">
        <v>664</v>
      </c>
      <c r="C88" t="s">
        <v>911</v>
      </c>
    </row>
    <row r="89" spans="1:3" x14ac:dyDescent="0.25">
      <c r="A89">
        <v>88</v>
      </c>
      <c r="B89" t="s">
        <v>665</v>
      </c>
      <c r="C89" t="s">
        <v>912</v>
      </c>
    </row>
    <row r="90" spans="1:3" x14ac:dyDescent="0.25">
      <c r="A90">
        <v>89</v>
      </c>
      <c r="B90" t="s">
        <v>666</v>
      </c>
      <c r="C90" t="s">
        <v>913</v>
      </c>
    </row>
    <row r="91" spans="1:3" x14ac:dyDescent="0.25">
      <c r="A91">
        <v>90</v>
      </c>
      <c r="B91" t="s">
        <v>667</v>
      </c>
      <c r="C91" t="s">
        <v>914</v>
      </c>
    </row>
    <row r="92" spans="1:3" x14ac:dyDescent="0.25">
      <c r="A92">
        <v>91</v>
      </c>
      <c r="B92" t="s">
        <v>668</v>
      </c>
      <c r="C92" t="s">
        <v>915</v>
      </c>
    </row>
    <row r="93" spans="1:3" x14ac:dyDescent="0.25">
      <c r="A93">
        <v>92</v>
      </c>
      <c r="B93" t="s">
        <v>669</v>
      </c>
      <c r="C93" t="s">
        <v>916</v>
      </c>
    </row>
    <row r="94" spans="1:3" x14ac:dyDescent="0.25">
      <c r="A94">
        <v>93</v>
      </c>
      <c r="B94" t="s">
        <v>671</v>
      </c>
      <c r="C94" t="s">
        <v>917</v>
      </c>
    </row>
    <row r="95" spans="1:3" x14ac:dyDescent="0.25">
      <c r="A95">
        <v>94</v>
      </c>
      <c r="B95" t="s">
        <v>672</v>
      </c>
      <c r="C95" t="s">
        <v>918</v>
      </c>
    </row>
    <row r="96" spans="1:3" x14ac:dyDescent="0.25">
      <c r="A96">
        <v>95</v>
      </c>
      <c r="B96" t="s">
        <v>673</v>
      </c>
      <c r="C96" t="s">
        <v>919</v>
      </c>
    </row>
    <row r="97" spans="1:3" x14ac:dyDescent="0.25">
      <c r="A97">
        <v>96</v>
      </c>
      <c r="B97" t="s">
        <v>674</v>
      </c>
      <c r="C97" t="s">
        <v>920</v>
      </c>
    </row>
    <row r="98" spans="1:3" x14ac:dyDescent="0.25">
      <c r="A98">
        <v>97</v>
      </c>
      <c r="B98" t="s">
        <v>676</v>
      </c>
      <c r="C98" t="s">
        <v>921</v>
      </c>
    </row>
    <row r="99" spans="1:3" x14ac:dyDescent="0.25">
      <c r="A99">
        <v>98</v>
      </c>
      <c r="B99" t="s">
        <v>677</v>
      </c>
      <c r="C99" t="s">
        <v>922</v>
      </c>
    </row>
    <row r="100" spans="1:3" x14ac:dyDescent="0.25">
      <c r="A100">
        <v>99</v>
      </c>
      <c r="B100" t="s">
        <v>678</v>
      </c>
      <c r="C100" t="s">
        <v>923</v>
      </c>
    </row>
    <row r="101" spans="1:3" x14ac:dyDescent="0.25">
      <c r="A101">
        <v>100</v>
      </c>
      <c r="B101" t="s">
        <v>680</v>
      </c>
      <c r="C101" t="s">
        <v>924</v>
      </c>
    </row>
    <row r="102" spans="1:3" x14ac:dyDescent="0.25">
      <c r="A102">
        <v>101</v>
      </c>
      <c r="B102" t="s">
        <v>681</v>
      </c>
      <c r="C102" t="s">
        <v>925</v>
      </c>
    </row>
    <row r="103" spans="1:3" x14ac:dyDescent="0.25">
      <c r="A103">
        <v>102</v>
      </c>
      <c r="B103" t="s">
        <v>682</v>
      </c>
      <c r="C103" t="s">
        <v>926</v>
      </c>
    </row>
    <row r="104" spans="1:3" x14ac:dyDescent="0.25">
      <c r="A104">
        <v>103</v>
      </c>
      <c r="B104" t="s">
        <v>683</v>
      </c>
      <c r="C104" t="s">
        <v>927</v>
      </c>
    </row>
    <row r="105" spans="1:3" x14ac:dyDescent="0.25">
      <c r="A105">
        <v>104</v>
      </c>
      <c r="B105" t="s">
        <v>928</v>
      </c>
      <c r="C105" t="s">
        <v>929</v>
      </c>
    </row>
    <row r="106" spans="1:3" x14ac:dyDescent="0.25">
      <c r="A106">
        <v>105</v>
      </c>
      <c r="B106" t="s">
        <v>684</v>
      </c>
      <c r="C106" t="s">
        <v>930</v>
      </c>
    </row>
    <row r="107" spans="1:3" x14ac:dyDescent="0.25">
      <c r="A107">
        <v>106</v>
      </c>
      <c r="B107" t="s">
        <v>685</v>
      </c>
      <c r="C107" t="s">
        <v>931</v>
      </c>
    </row>
    <row r="108" spans="1:3" x14ac:dyDescent="0.25">
      <c r="A108">
        <v>107</v>
      </c>
      <c r="B108" t="s">
        <v>686</v>
      </c>
      <c r="C108" t="s">
        <v>932</v>
      </c>
    </row>
    <row r="109" spans="1:3" x14ac:dyDescent="0.25">
      <c r="A109">
        <v>108</v>
      </c>
      <c r="B109" t="s">
        <v>687</v>
      </c>
      <c r="C109" t="s">
        <v>933</v>
      </c>
    </row>
    <row r="110" spans="1:3" x14ac:dyDescent="0.25">
      <c r="A110">
        <v>109</v>
      </c>
      <c r="B110" t="s">
        <v>688</v>
      </c>
      <c r="C110" t="s">
        <v>934</v>
      </c>
    </row>
    <row r="111" spans="1:3" x14ac:dyDescent="0.25">
      <c r="A111">
        <v>110</v>
      </c>
      <c r="B111" t="s">
        <v>689</v>
      </c>
      <c r="C111" t="s">
        <v>935</v>
      </c>
    </row>
    <row r="112" spans="1:3" x14ac:dyDescent="0.25">
      <c r="A112">
        <v>111</v>
      </c>
      <c r="B112" t="s">
        <v>690</v>
      </c>
      <c r="C112" t="s">
        <v>936</v>
      </c>
    </row>
    <row r="113" spans="1:3" x14ac:dyDescent="0.25">
      <c r="A113">
        <v>112</v>
      </c>
      <c r="B113" t="s">
        <v>691</v>
      </c>
      <c r="C113" t="s">
        <v>937</v>
      </c>
    </row>
    <row r="114" spans="1:3" x14ac:dyDescent="0.25">
      <c r="A114">
        <v>113</v>
      </c>
      <c r="B114" t="s">
        <v>175</v>
      </c>
      <c r="C114" t="s">
        <v>938</v>
      </c>
    </row>
    <row r="115" spans="1:3" x14ac:dyDescent="0.25">
      <c r="A115">
        <v>114</v>
      </c>
      <c r="B115" t="s">
        <v>257</v>
      </c>
      <c r="C115" t="s">
        <v>939</v>
      </c>
    </row>
    <row r="116" spans="1:3" x14ac:dyDescent="0.25">
      <c r="A116">
        <v>115</v>
      </c>
      <c r="B116" t="s">
        <v>317</v>
      </c>
      <c r="C116" t="s">
        <v>940</v>
      </c>
    </row>
    <row r="117" spans="1:3" x14ac:dyDescent="0.25">
      <c r="A117">
        <v>116</v>
      </c>
      <c r="B117" t="s">
        <v>386</v>
      </c>
      <c r="C117" t="s">
        <v>941</v>
      </c>
    </row>
    <row r="118" spans="1:3" x14ac:dyDescent="0.25">
      <c r="A118">
        <v>117</v>
      </c>
      <c r="B118" t="s">
        <v>442</v>
      </c>
      <c r="C118" t="s">
        <v>942</v>
      </c>
    </row>
    <row r="119" spans="1:3" x14ac:dyDescent="0.25">
      <c r="A119">
        <v>118</v>
      </c>
      <c r="B119" t="s">
        <v>592</v>
      </c>
      <c r="C119" t="s">
        <v>943</v>
      </c>
    </row>
    <row r="120" spans="1:3" x14ac:dyDescent="0.25">
      <c r="A120">
        <v>119</v>
      </c>
      <c r="B120" t="s">
        <v>600</v>
      </c>
      <c r="C120" t="s">
        <v>944</v>
      </c>
    </row>
    <row r="121" spans="1:3" x14ac:dyDescent="0.25">
      <c r="A121">
        <v>120</v>
      </c>
      <c r="B121" t="s">
        <v>607</v>
      </c>
      <c r="C121" t="s">
        <v>945</v>
      </c>
    </row>
    <row r="122" spans="1:3" x14ac:dyDescent="0.25">
      <c r="A122">
        <v>121</v>
      </c>
      <c r="B122" t="s">
        <v>611</v>
      </c>
      <c r="C122" t="s">
        <v>946</v>
      </c>
    </row>
    <row r="123" spans="1:3" x14ac:dyDescent="0.25">
      <c r="A123">
        <v>122</v>
      </c>
      <c r="B123" t="s">
        <v>623</v>
      </c>
      <c r="C123" t="s">
        <v>947</v>
      </c>
    </row>
    <row r="124" spans="1:3" x14ac:dyDescent="0.25">
      <c r="A124">
        <v>123</v>
      </c>
      <c r="B124" t="s">
        <v>627</v>
      </c>
      <c r="C124" t="s">
        <v>948</v>
      </c>
    </row>
    <row r="125" spans="1:3" x14ac:dyDescent="0.25">
      <c r="A125">
        <v>124</v>
      </c>
      <c r="B125" t="s">
        <v>632</v>
      </c>
      <c r="C125" t="s">
        <v>949</v>
      </c>
    </row>
    <row r="126" spans="1:3" x14ac:dyDescent="0.25">
      <c r="A126">
        <v>125</v>
      </c>
      <c r="B126" t="s">
        <v>636</v>
      </c>
      <c r="C126" t="s">
        <v>950</v>
      </c>
    </row>
    <row r="127" spans="1:3" x14ac:dyDescent="0.25">
      <c r="A127">
        <v>126</v>
      </c>
      <c r="B127" t="s">
        <v>648</v>
      </c>
      <c r="C127" t="s">
        <v>951</v>
      </c>
    </row>
    <row r="128" spans="1:3" x14ac:dyDescent="0.25">
      <c r="A128">
        <v>127</v>
      </c>
      <c r="B128" t="s">
        <v>652</v>
      </c>
      <c r="C128" t="s">
        <v>952</v>
      </c>
    </row>
    <row r="129" spans="1:3" x14ac:dyDescent="0.25">
      <c r="A129">
        <v>128</v>
      </c>
      <c r="B129" t="s">
        <v>657</v>
      </c>
      <c r="C129" t="s">
        <v>953</v>
      </c>
    </row>
    <row r="130" spans="1:3" x14ac:dyDescent="0.25">
      <c r="A130">
        <v>129</v>
      </c>
      <c r="B130" t="s">
        <v>661</v>
      </c>
      <c r="C130" t="s">
        <v>954</v>
      </c>
    </row>
    <row r="131" spans="1:3" x14ac:dyDescent="0.25">
      <c r="A131">
        <v>130</v>
      </c>
      <c r="B131" t="s">
        <v>670</v>
      </c>
      <c r="C131" t="s">
        <v>955</v>
      </c>
    </row>
    <row r="132" spans="1:3" x14ac:dyDescent="0.25">
      <c r="A132">
        <v>131</v>
      </c>
      <c r="B132" t="s">
        <v>675</v>
      </c>
      <c r="C132" t="s">
        <v>956</v>
      </c>
    </row>
    <row r="133" spans="1:3" x14ac:dyDescent="0.25">
      <c r="A133">
        <v>132</v>
      </c>
      <c r="B133" t="s">
        <v>679</v>
      </c>
      <c r="C133" t="s">
        <v>957</v>
      </c>
    </row>
    <row r="134" spans="1:3" x14ac:dyDescent="0.25">
      <c r="A134">
        <v>133</v>
      </c>
      <c r="B134" t="s">
        <v>958</v>
      </c>
      <c r="C134" t="s">
        <v>959</v>
      </c>
    </row>
    <row r="135" spans="1:3" x14ac:dyDescent="0.25">
      <c r="A135">
        <v>134</v>
      </c>
      <c r="B135" t="s">
        <v>960</v>
      </c>
      <c r="C135" t="s">
        <v>961</v>
      </c>
    </row>
    <row r="136" spans="1:3" x14ac:dyDescent="0.25">
      <c r="A136">
        <v>135</v>
      </c>
      <c r="B136" t="s">
        <v>962</v>
      </c>
      <c r="C136" t="s">
        <v>963</v>
      </c>
    </row>
    <row r="137" spans="1:3" x14ac:dyDescent="0.25">
      <c r="A137">
        <v>136</v>
      </c>
      <c r="B137" t="s">
        <v>964</v>
      </c>
      <c r="C137" t="s">
        <v>965</v>
      </c>
    </row>
    <row r="138" spans="1:3" x14ac:dyDescent="0.25">
      <c r="A138">
        <v>137</v>
      </c>
      <c r="B138" t="s">
        <v>966</v>
      </c>
      <c r="C138" t="s">
        <v>967</v>
      </c>
    </row>
    <row r="139" spans="1:3" x14ac:dyDescent="0.25">
      <c r="A139">
        <v>138</v>
      </c>
      <c r="B139" t="s">
        <v>968</v>
      </c>
      <c r="C139" t="s">
        <v>969</v>
      </c>
    </row>
    <row r="140" spans="1:3" x14ac:dyDescent="0.25">
      <c r="A140">
        <v>139</v>
      </c>
      <c r="B140" t="s">
        <v>970</v>
      </c>
      <c r="C140" t="s">
        <v>971</v>
      </c>
    </row>
    <row r="141" spans="1:3" x14ac:dyDescent="0.25">
      <c r="A141">
        <v>140</v>
      </c>
      <c r="B141" t="s">
        <v>972</v>
      </c>
      <c r="C141" t="s">
        <v>973</v>
      </c>
    </row>
    <row r="142" spans="1:3" x14ac:dyDescent="0.25">
      <c r="A142">
        <v>141</v>
      </c>
      <c r="B142" t="s">
        <v>974</v>
      </c>
      <c r="C142" t="s">
        <v>975</v>
      </c>
    </row>
    <row r="143" spans="1:3" x14ac:dyDescent="0.25">
      <c r="A143">
        <v>142</v>
      </c>
      <c r="B143" t="s">
        <v>976</v>
      </c>
      <c r="C143" t="s">
        <v>977</v>
      </c>
    </row>
    <row r="144" spans="1:3" x14ac:dyDescent="0.25">
      <c r="A144">
        <v>143</v>
      </c>
      <c r="B144" t="s">
        <v>978</v>
      </c>
      <c r="C144" t="s">
        <v>979</v>
      </c>
    </row>
    <row r="145" spans="1:3" x14ac:dyDescent="0.25">
      <c r="A145">
        <v>144</v>
      </c>
      <c r="B145" t="s">
        <v>980</v>
      </c>
      <c r="C145" t="s">
        <v>981</v>
      </c>
    </row>
    <row r="146" spans="1:3" x14ac:dyDescent="0.25">
      <c r="A146">
        <v>145</v>
      </c>
      <c r="B146" t="s">
        <v>982</v>
      </c>
      <c r="C146" t="s">
        <v>983</v>
      </c>
    </row>
    <row r="147" spans="1:3" x14ac:dyDescent="0.25">
      <c r="A147">
        <v>146</v>
      </c>
      <c r="B147" t="s">
        <v>984</v>
      </c>
      <c r="C147" t="s">
        <v>985</v>
      </c>
    </row>
    <row r="148" spans="1:3" x14ac:dyDescent="0.25">
      <c r="A148">
        <v>147</v>
      </c>
      <c r="B148" t="s">
        <v>986</v>
      </c>
      <c r="C148" t="s">
        <v>987</v>
      </c>
    </row>
    <row r="149" spans="1:3" x14ac:dyDescent="0.25">
      <c r="A149">
        <v>148</v>
      </c>
      <c r="B149" t="s">
        <v>988</v>
      </c>
      <c r="C149" t="s">
        <v>989</v>
      </c>
    </row>
    <row r="150" spans="1:3" x14ac:dyDescent="0.25">
      <c r="A150">
        <v>149</v>
      </c>
      <c r="B150" t="s">
        <v>990</v>
      </c>
      <c r="C150" t="s">
        <v>991</v>
      </c>
    </row>
    <row r="151" spans="1:3" x14ac:dyDescent="0.25">
      <c r="A151">
        <v>150</v>
      </c>
      <c r="B151" t="s">
        <v>992</v>
      </c>
      <c r="C151" t="s">
        <v>993</v>
      </c>
    </row>
    <row r="152" spans="1:3" x14ac:dyDescent="0.25">
      <c r="A152">
        <v>151</v>
      </c>
      <c r="B152" t="s">
        <v>994</v>
      </c>
      <c r="C152" t="s">
        <v>995</v>
      </c>
    </row>
    <row r="153" spans="1:3" x14ac:dyDescent="0.25">
      <c r="A153">
        <v>152</v>
      </c>
      <c r="B153" t="s">
        <v>996</v>
      </c>
      <c r="C153" t="s">
        <v>997</v>
      </c>
    </row>
    <row r="154" spans="1:3" x14ac:dyDescent="0.25">
      <c r="A154">
        <v>153</v>
      </c>
      <c r="B154" t="s">
        <v>998</v>
      </c>
      <c r="C154" t="s">
        <v>999</v>
      </c>
    </row>
    <row r="155" spans="1:3" x14ac:dyDescent="0.25">
      <c r="A155">
        <v>154</v>
      </c>
      <c r="B155" t="s">
        <v>1000</v>
      </c>
      <c r="C155" t="s">
        <v>1001</v>
      </c>
    </row>
    <row r="156" spans="1:3" x14ac:dyDescent="0.25">
      <c r="A156">
        <v>155</v>
      </c>
      <c r="B156" t="s">
        <v>1002</v>
      </c>
      <c r="C156" t="s">
        <v>1003</v>
      </c>
    </row>
    <row r="157" spans="1:3" x14ac:dyDescent="0.25">
      <c r="A157">
        <v>156</v>
      </c>
      <c r="B157" t="s">
        <v>1004</v>
      </c>
      <c r="C157" t="s">
        <v>1005</v>
      </c>
    </row>
    <row r="158" spans="1:3" x14ac:dyDescent="0.25">
      <c r="A158">
        <v>157</v>
      </c>
      <c r="B158" t="s">
        <v>1006</v>
      </c>
      <c r="C158" t="s">
        <v>1007</v>
      </c>
    </row>
    <row r="159" spans="1:3" x14ac:dyDescent="0.25">
      <c r="A159">
        <v>158</v>
      </c>
      <c r="B159" t="s">
        <v>1008</v>
      </c>
      <c r="C159" t="s">
        <v>1009</v>
      </c>
    </row>
    <row r="160" spans="1:3" x14ac:dyDescent="0.25">
      <c r="A160">
        <v>159</v>
      </c>
      <c r="B160" t="s">
        <v>1010</v>
      </c>
      <c r="C160" t="s">
        <v>1011</v>
      </c>
    </row>
    <row r="161" spans="1:3" x14ac:dyDescent="0.25">
      <c r="A161">
        <v>160</v>
      </c>
      <c r="B161" t="s">
        <v>39</v>
      </c>
      <c r="C161" t="s">
        <v>1012</v>
      </c>
    </row>
    <row r="162" spans="1:3" x14ac:dyDescent="0.25">
      <c r="A162">
        <v>161</v>
      </c>
      <c r="B162" t="s">
        <v>53</v>
      </c>
      <c r="C162" t="s">
        <v>1013</v>
      </c>
    </row>
    <row r="163" spans="1:3" x14ac:dyDescent="0.25">
      <c r="A163">
        <v>162</v>
      </c>
      <c r="B163" t="s">
        <v>67</v>
      </c>
      <c r="C163" t="s">
        <v>1014</v>
      </c>
    </row>
    <row r="164" spans="1:3" x14ac:dyDescent="0.25">
      <c r="A164">
        <v>163</v>
      </c>
      <c r="B164" t="s">
        <v>1015</v>
      </c>
      <c r="C164" t="s">
        <v>1016</v>
      </c>
    </row>
    <row r="165" spans="1:3" x14ac:dyDescent="0.25">
      <c r="A165">
        <v>164</v>
      </c>
      <c r="B165" t="s">
        <v>1017</v>
      </c>
      <c r="C165" t="s">
        <v>1018</v>
      </c>
    </row>
    <row r="166" spans="1:3" x14ac:dyDescent="0.25">
      <c r="A166">
        <v>165</v>
      </c>
      <c r="B166" t="s">
        <v>1019</v>
      </c>
      <c r="C166" t="s">
        <v>1020</v>
      </c>
    </row>
    <row r="167" spans="1:3" x14ac:dyDescent="0.25">
      <c r="A167">
        <v>166</v>
      </c>
      <c r="B167" t="s">
        <v>1021</v>
      </c>
      <c r="C167" t="s">
        <v>1022</v>
      </c>
    </row>
    <row r="168" spans="1:3" x14ac:dyDescent="0.25">
      <c r="A168">
        <v>167</v>
      </c>
      <c r="B168" t="s">
        <v>1023</v>
      </c>
      <c r="C168" t="s">
        <v>1024</v>
      </c>
    </row>
    <row r="169" spans="1:3" x14ac:dyDescent="0.25">
      <c r="A169">
        <v>168</v>
      </c>
      <c r="B169" t="s">
        <v>1025</v>
      </c>
      <c r="C169" t="s">
        <v>1026</v>
      </c>
    </row>
    <row r="170" spans="1:3" x14ac:dyDescent="0.25">
      <c r="A170">
        <v>169</v>
      </c>
      <c r="B170" t="s">
        <v>1027</v>
      </c>
      <c r="C170" t="s">
        <v>1028</v>
      </c>
    </row>
    <row r="171" spans="1:3" x14ac:dyDescent="0.25">
      <c r="A171">
        <v>170</v>
      </c>
      <c r="B171" t="s">
        <v>1029</v>
      </c>
      <c r="C171" t="s">
        <v>1030</v>
      </c>
    </row>
    <row r="172" spans="1:3" x14ac:dyDescent="0.25">
      <c r="A172">
        <v>171</v>
      </c>
      <c r="B172" t="s">
        <v>1031</v>
      </c>
      <c r="C172" t="s">
        <v>1032</v>
      </c>
    </row>
    <row r="173" spans="1:3" x14ac:dyDescent="0.25">
      <c r="A173">
        <v>172</v>
      </c>
      <c r="B173" t="s">
        <v>1033</v>
      </c>
      <c r="C173" t="s">
        <v>1034</v>
      </c>
    </row>
    <row r="174" spans="1:3" x14ac:dyDescent="0.25">
      <c r="A174">
        <v>173</v>
      </c>
      <c r="B174" t="s">
        <v>1035</v>
      </c>
      <c r="C174" t="s">
        <v>1036</v>
      </c>
    </row>
    <row r="175" spans="1:3" x14ac:dyDescent="0.25">
      <c r="A175">
        <v>174</v>
      </c>
      <c r="B175" t="s">
        <v>1037</v>
      </c>
      <c r="C175" t="s">
        <v>1038</v>
      </c>
    </row>
    <row r="176" spans="1:3" x14ac:dyDescent="0.25">
      <c r="A176">
        <v>175</v>
      </c>
      <c r="B176" t="s">
        <v>1039</v>
      </c>
      <c r="C176" t="s">
        <v>1040</v>
      </c>
    </row>
    <row r="177" spans="1:3" x14ac:dyDescent="0.25">
      <c r="A177">
        <v>176</v>
      </c>
      <c r="B177" t="s">
        <v>1041</v>
      </c>
      <c r="C177" t="s">
        <v>1042</v>
      </c>
    </row>
    <row r="178" spans="1:3" x14ac:dyDescent="0.25">
      <c r="A178">
        <v>177</v>
      </c>
      <c r="B178" t="s">
        <v>1043</v>
      </c>
      <c r="C178" t="s">
        <v>1044</v>
      </c>
    </row>
    <row r="179" spans="1:3" x14ac:dyDescent="0.25">
      <c r="A179">
        <v>178</v>
      </c>
      <c r="B179" t="s">
        <v>1045</v>
      </c>
      <c r="C179" t="s">
        <v>1046</v>
      </c>
    </row>
    <row r="180" spans="1:3" x14ac:dyDescent="0.25">
      <c r="A180">
        <v>179</v>
      </c>
      <c r="B180" t="s">
        <v>1047</v>
      </c>
      <c r="C180" t="s">
        <v>1048</v>
      </c>
    </row>
    <row r="181" spans="1:3" x14ac:dyDescent="0.25">
      <c r="A181">
        <v>180</v>
      </c>
      <c r="B181" t="s">
        <v>1049</v>
      </c>
      <c r="C181" t="s">
        <v>1050</v>
      </c>
    </row>
    <row r="182" spans="1:3" x14ac:dyDescent="0.25">
      <c r="A182">
        <v>181</v>
      </c>
      <c r="B182" t="s">
        <v>1051</v>
      </c>
      <c r="C182" t="s">
        <v>1052</v>
      </c>
    </row>
    <row r="183" spans="1:3" x14ac:dyDescent="0.25">
      <c r="A183">
        <v>182</v>
      </c>
      <c r="B183" t="s">
        <v>1053</v>
      </c>
      <c r="C183" t="s">
        <v>1054</v>
      </c>
    </row>
    <row r="184" spans="1:3" x14ac:dyDescent="0.25">
      <c r="A184">
        <v>183</v>
      </c>
      <c r="B184" t="s">
        <v>1055</v>
      </c>
      <c r="C184" t="s">
        <v>1056</v>
      </c>
    </row>
    <row r="185" spans="1:3" x14ac:dyDescent="0.25">
      <c r="A185">
        <v>184</v>
      </c>
      <c r="B185" t="s">
        <v>1057</v>
      </c>
      <c r="C185" t="s">
        <v>1058</v>
      </c>
    </row>
    <row r="186" spans="1:3" x14ac:dyDescent="0.25">
      <c r="A186">
        <v>185</v>
      </c>
      <c r="B186" t="s">
        <v>1059</v>
      </c>
      <c r="C186" t="s">
        <v>1060</v>
      </c>
    </row>
    <row r="187" spans="1:3" x14ac:dyDescent="0.25">
      <c r="A187">
        <v>186</v>
      </c>
      <c r="B187" t="s">
        <v>1061</v>
      </c>
      <c r="C187" t="s">
        <v>1062</v>
      </c>
    </row>
    <row r="188" spans="1:3" x14ac:dyDescent="0.25">
      <c r="A188">
        <v>187</v>
      </c>
      <c r="B188" t="s">
        <v>1063</v>
      </c>
      <c r="C188" t="s">
        <v>1064</v>
      </c>
    </row>
    <row r="189" spans="1:3" x14ac:dyDescent="0.25">
      <c r="A189">
        <v>188</v>
      </c>
      <c r="B189" t="s">
        <v>1065</v>
      </c>
      <c r="C189" t="s">
        <v>1066</v>
      </c>
    </row>
    <row r="190" spans="1:3" x14ac:dyDescent="0.25">
      <c r="A190">
        <v>189</v>
      </c>
      <c r="B190" t="s">
        <v>1067</v>
      </c>
      <c r="C190" t="s">
        <v>1068</v>
      </c>
    </row>
    <row r="191" spans="1:3" x14ac:dyDescent="0.25">
      <c r="A191">
        <v>190</v>
      </c>
      <c r="B191" t="s">
        <v>1069</v>
      </c>
      <c r="C191" t="s">
        <v>1070</v>
      </c>
    </row>
    <row r="192" spans="1:3" x14ac:dyDescent="0.25">
      <c r="A192">
        <v>191</v>
      </c>
      <c r="B192" t="s">
        <v>1071</v>
      </c>
      <c r="C192" t="s">
        <v>1072</v>
      </c>
    </row>
    <row r="193" spans="1:3" x14ac:dyDescent="0.25">
      <c r="A193">
        <v>192</v>
      </c>
      <c r="B193" t="s">
        <v>1073</v>
      </c>
      <c r="C193" t="s">
        <v>1074</v>
      </c>
    </row>
    <row r="194" spans="1:3" x14ac:dyDescent="0.25">
      <c r="A194">
        <v>193</v>
      </c>
      <c r="B194" t="s">
        <v>1075</v>
      </c>
      <c r="C194" t="s">
        <v>1076</v>
      </c>
    </row>
    <row r="195" spans="1:3" x14ac:dyDescent="0.25">
      <c r="A195">
        <v>194</v>
      </c>
      <c r="B195" t="s">
        <v>1077</v>
      </c>
      <c r="C195" t="s">
        <v>1078</v>
      </c>
    </row>
    <row r="196" spans="1:3" x14ac:dyDescent="0.25">
      <c r="A196">
        <v>195</v>
      </c>
      <c r="B196" t="s">
        <v>1079</v>
      </c>
      <c r="C196" t="s">
        <v>1080</v>
      </c>
    </row>
    <row r="197" spans="1:3" x14ac:dyDescent="0.25">
      <c r="A197">
        <v>196</v>
      </c>
      <c r="B197" t="s">
        <v>1081</v>
      </c>
      <c r="C197" t="s">
        <v>1082</v>
      </c>
    </row>
    <row r="198" spans="1:3" x14ac:dyDescent="0.25">
      <c r="A198">
        <v>197</v>
      </c>
      <c r="B198" t="s">
        <v>1083</v>
      </c>
      <c r="C198" t="s">
        <v>1084</v>
      </c>
    </row>
    <row r="199" spans="1:3" x14ac:dyDescent="0.25">
      <c r="A199">
        <v>198</v>
      </c>
      <c r="B199" t="s">
        <v>1085</v>
      </c>
      <c r="C199" t="s">
        <v>1086</v>
      </c>
    </row>
    <row r="200" spans="1:3" x14ac:dyDescent="0.25">
      <c r="A200">
        <v>199</v>
      </c>
      <c r="B200" t="s">
        <v>1087</v>
      </c>
      <c r="C200" t="s">
        <v>1088</v>
      </c>
    </row>
    <row r="201" spans="1:3" x14ac:dyDescent="0.25">
      <c r="A201">
        <v>200</v>
      </c>
      <c r="B201" t="s">
        <v>51</v>
      </c>
      <c r="C201" t="s">
        <v>1089</v>
      </c>
    </row>
    <row r="202" spans="1:3" x14ac:dyDescent="0.25">
      <c r="A202">
        <v>201</v>
      </c>
      <c r="B202" t="s">
        <v>65</v>
      </c>
      <c r="C202" t="s">
        <v>1090</v>
      </c>
    </row>
    <row r="203" spans="1:3" x14ac:dyDescent="0.25">
      <c r="A203">
        <v>202</v>
      </c>
      <c r="B203" t="s">
        <v>79</v>
      </c>
      <c r="C203" t="s">
        <v>1091</v>
      </c>
    </row>
    <row r="204" spans="1:3" x14ac:dyDescent="0.25">
      <c r="A204">
        <v>203</v>
      </c>
      <c r="B204" t="s">
        <v>95</v>
      </c>
      <c r="C204" t="s">
        <v>1092</v>
      </c>
    </row>
    <row r="205" spans="1:3" x14ac:dyDescent="0.25">
      <c r="A205">
        <v>204</v>
      </c>
      <c r="B205" t="s">
        <v>109</v>
      </c>
      <c r="C205" t="s">
        <v>1093</v>
      </c>
    </row>
    <row r="206" spans="1:3" x14ac:dyDescent="0.25">
      <c r="A206">
        <v>205</v>
      </c>
      <c r="B206" t="s">
        <v>127</v>
      </c>
      <c r="C206" t="s">
        <v>1094</v>
      </c>
    </row>
    <row r="207" spans="1:3" x14ac:dyDescent="0.25">
      <c r="A207">
        <v>206</v>
      </c>
      <c r="B207" t="s">
        <v>141</v>
      </c>
      <c r="C207" t="s">
        <v>1095</v>
      </c>
    </row>
    <row r="208" spans="1:3" x14ac:dyDescent="0.25">
      <c r="A208">
        <v>207</v>
      </c>
      <c r="B208" t="s">
        <v>157</v>
      </c>
      <c r="C208" t="s">
        <v>1096</v>
      </c>
    </row>
    <row r="209" spans="1:3" x14ac:dyDescent="0.25">
      <c r="A209">
        <v>208</v>
      </c>
      <c r="B209" t="s">
        <v>171</v>
      </c>
      <c r="C209" t="s">
        <v>1097</v>
      </c>
    </row>
    <row r="210" spans="1:3" x14ac:dyDescent="0.25">
      <c r="A210">
        <v>209</v>
      </c>
      <c r="B210" t="s">
        <v>185</v>
      </c>
      <c r="C210" t="s">
        <v>1098</v>
      </c>
    </row>
    <row r="211" spans="1:3" x14ac:dyDescent="0.25">
      <c r="A211">
        <v>210</v>
      </c>
      <c r="B211" t="s">
        <v>199</v>
      </c>
      <c r="C211" t="s">
        <v>1099</v>
      </c>
    </row>
    <row r="212" spans="1:3" x14ac:dyDescent="0.25">
      <c r="A212">
        <v>211</v>
      </c>
      <c r="B212" t="s">
        <v>213</v>
      </c>
      <c r="C212" t="s">
        <v>1100</v>
      </c>
    </row>
    <row r="213" spans="1:3" x14ac:dyDescent="0.25">
      <c r="A213">
        <v>212</v>
      </c>
      <c r="B213" t="s">
        <v>227</v>
      </c>
      <c r="C213" t="s">
        <v>1101</v>
      </c>
    </row>
    <row r="214" spans="1:3" x14ac:dyDescent="0.25">
      <c r="A214">
        <v>213</v>
      </c>
      <c r="B214" t="s">
        <v>241</v>
      </c>
      <c r="C214" t="s">
        <v>1102</v>
      </c>
    </row>
    <row r="215" spans="1:3" x14ac:dyDescent="0.25">
      <c r="A215">
        <v>214</v>
      </c>
      <c r="B215" t="s">
        <v>255</v>
      </c>
      <c r="C215" t="s">
        <v>1103</v>
      </c>
    </row>
    <row r="216" spans="1:3" x14ac:dyDescent="0.25">
      <c r="A216">
        <v>215</v>
      </c>
      <c r="B216" t="s">
        <v>269</v>
      </c>
      <c r="C216" t="s">
        <v>1104</v>
      </c>
    </row>
    <row r="217" spans="1:3" x14ac:dyDescent="0.25">
      <c r="A217">
        <v>216</v>
      </c>
      <c r="B217" t="s">
        <v>287</v>
      </c>
      <c r="C217" t="s">
        <v>1105</v>
      </c>
    </row>
    <row r="218" spans="1:3" x14ac:dyDescent="0.25">
      <c r="A218">
        <v>217</v>
      </c>
      <c r="B218" t="s">
        <v>315</v>
      </c>
      <c r="C218" t="s">
        <v>1106</v>
      </c>
    </row>
    <row r="219" spans="1:3" x14ac:dyDescent="0.25">
      <c r="A219">
        <v>218</v>
      </c>
      <c r="B219" t="s">
        <v>329</v>
      </c>
      <c r="C219" t="s">
        <v>1107</v>
      </c>
    </row>
    <row r="220" spans="1:3" x14ac:dyDescent="0.25">
      <c r="A220">
        <v>219</v>
      </c>
      <c r="B220" t="s">
        <v>343</v>
      </c>
      <c r="C220" t="s">
        <v>1108</v>
      </c>
    </row>
    <row r="221" spans="1:3" x14ac:dyDescent="0.25">
      <c r="A221">
        <v>220</v>
      </c>
      <c r="B221" t="s">
        <v>357</v>
      </c>
      <c r="C221" t="s">
        <v>1109</v>
      </c>
    </row>
    <row r="222" spans="1:3" x14ac:dyDescent="0.25">
      <c r="A222">
        <v>221</v>
      </c>
      <c r="B222" t="s">
        <v>384</v>
      </c>
      <c r="C222" t="s">
        <v>1110</v>
      </c>
    </row>
    <row r="223" spans="1:3" x14ac:dyDescent="0.25">
      <c r="A223">
        <v>222</v>
      </c>
      <c r="B223" t="s">
        <v>398</v>
      </c>
      <c r="C223" t="s">
        <v>1111</v>
      </c>
    </row>
    <row r="224" spans="1:3" x14ac:dyDescent="0.25">
      <c r="A224">
        <v>223</v>
      </c>
      <c r="B224" t="s">
        <v>412</v>
      </c>
      <c r="C224" t="s">
        <v>1112</v>
      </c>
    </row>
    <row r="225" spans="1:3" x14ac:dyDescent="0.25">
      <c r="A225">
        <v>224</v>
      </c>
      <c r="B225" t="s">
        <v>426</v>
      </c>
      <c r="C225" t="s">
        <v>1113</v>
      </c>
    </row>
    <row r="226" spans="1:3" x14ac:dyDescent="0.25">
      <c r="A226">
        <v>225</v>
      </c>
      <c r="B226" t="s">
        <v>454</v>
      </c>
      <c r="C226" t="s">
        <v>1114</v>
      </c>
    </row>
    <row r="227" spans="1:3" x14ac:dyDescent="0.25">
      <c r="A227">
        <v>226</v>
      </c>
      <c r="B227" t="s">
        <v>466</v>
      </c>
      <c r="C227" t="s">
        <v>1115</v>
      </c>
    </row>
    <row r="228" spans="1:3" x14ac:dyDescent="0.25">
      <c r="A228">
        <v>227</v>
      </c>
      <c r="B228" t="s">
        <v>480</v>
      </c>
      <c r="C228" t="s">
        <v>1116</v>
      </c>
    </row>
    <row r="229" spans="1:3" x14ac:dyDescent="0.25">
      <c r="A229">
        <v>228</v>
      </c>
      <c r="B229" t="s">
        <v>508</v>
      </c>
      <c r="C229" t="s">
        <v>1117</v>
      </c>
    </row>
    <row r="230" spans="1:3" x14ac:dyDescent="0.25">
      <c r="A230">
        <v>229</v>
      </c>
      <c r="B230" t="s">
        <v>522</v>
      </c>
      <c r="C230" t="s">
        <v>1118</v>
      </c>
    </row>
    <row r="231" spans="1:3" x14ac:dyDescent="0.25">
      <c r="A231">
        <v>230</v>
      </c>
      <c r="B231" t="s">
        <v>536</v>
      </c>
      <c r="C231" t="s">
        <v>1119</v>
      </c>
    </row>
    <row r="232" spans="1:3" x14ac:dyDescent="0.25">
      <c r="A232">
        <v>231</v>
      </c>
      <c r="B232" t="s">
        <v>549</v>
      </c>
      <c r="C232" t="s">
        <v>1120</v>
      </c>
    </row>
    <row r="233" spans="1:3" x14ac:dyDescent="0.25">
      <c r="A233">
        <v>232</v>
      </c>
      <c r="B233" t="s">
        <v>562</v>
      </c>
      <c r="C233" t="s">
        <v>1121</v>
      </c>
    </row>
    <row r="234" spans="1:3" x14ac:dyDescent="0.25">
      <c r="A234">
        <v>233</v>
      </c>
      <c r="B234" t="s">
        <v>575</v>
      </c>
      <c r="C234" t="s">
        <v>1122</v>
      </c>
    </row>
    <row r="235" spans="1:3" x14ac:dyDescent="0.25">
      <c r="A235">
        <v>234</v>
      </c>
      <c r="B235" t="s">
        <v>588</v>
      </c>
      <c r="C235" t="s">
        <v>1123</v>
      </c>
    </row>
    <row r="236" spans="1:3" x14ac:dyDescent="0.25">
      <c r="A236">
        <v>235</v>
      </c>
      <c r="B236" t="s">
        <v>1124</v>
      </c>
      <c r="C236" t="s">
        <v>1125</v>
      </c>
    </row>
    <row r="237" spans="1:3" x14ac:dyDescent="0.25">
      <c r="A237">
        <v>236</v>
      </c>
      <c r="B237" t="s">
        <v>301</v>
      </c>
      <c r="C237" t="s">
        <v>1126</v>
      </c>
    </row>
    <row r="238" spans="1:3" x14ac:dyDescent="0.25">
      <c r="A238">
        <v>237</v>
      </c>
      <c r="B238" t="s">
        <v>371</v>
      </c>
      <c r="C238" t="s">
        <v>1127</v>
      </c>
    </row>
    <row r="239" spans="1:3" x14ac:dyDescent="0.25">
      <c r="A239">
        <v>238</v>
      </c>
      <c r="B239" t="s">
        <v>440</v>
      </c>
      <c r="C239" t="s">
        <v>1128</v>
      </c>
    </row>
    <row r="240" spans="1:3" x14ac:dyDescent="0.25">
      <c r="A240">
        <v>239</v>
      </c>
      <c r="B240" t="s">
        <v>494</v>
      </c>
      <c r="C240" t="s">
        <v>1129</v>
      </c>
    </row>
    <row r="241" spans="1:3" x14ac:dyDescent="0.25">
      <c r="A241">
        <v>240</v>
      </c>
      <c r="B241" t="s">
        <v>1130</v>
      </c>
      <c r="C241" t="s">
        <v>1131</v>
      </c>
    </row>
    <row r="242" spans="1:3" x14ac:dyDescent="0.25">
      <c r="A242">
        <v>241</v>
      </c>
      <c r="B242" t="s">
        <v>1132</v>
      </c>
      <c r="C242" t="s">
        <v>1133</v>
      </c>
    </row>
    <row r="243" spans="1:3" x14ac:dyDescent="0.25">
      <c r="A243">
        <v>242</v>
      </c>
      <c r="B243" t="s">
        <v>1134</v>
      </c>
      <c r="C243" t="s">
        <v>1135</v>
      </c>
    </row>
    <row r="244" spans="1:3" x14ac:dyDescent="0.25">
      <c r="A244">
        <v>243</v>
      </c>
      <c r="B244" t="s">
        <v>1136</v>
      </c>
      <c r="C244" t="s">
        <v>1137</v>
      </c>
    </row>
    <row r="245" spans="1:3" x14ac:dyDescent="0.25">
      <c r="A245">
        <v>244</v>
      </c>
      <c r="B245" t="s">
        <v>1138</v>
      </c>
      <c r="C245" t="s">
        <v>1139</v>
      </c>
    </row>
    <row r="246" spans="1:3" x14ac:dyDescent="0.25">
      <c r="A246">
        <v>245</v>
      </c>
      <c r="B246" t="s">
        <v>1140</v>
      </c>
      <c r="C246" t="s">
        <v>1141</v>
      </c>
    </row>
    <row r="247" spans="1:3" x14ac:dyDescent="0.25">
      <c r="A247">
        <v>246</v>
      </c>
      <c r="B247" t="s">
        <v>1142</v>
      </c>
      <c r="C247" t="s">
        <v>1143</v>
      </c>
    </row>
    <row r="248" spans="1:3" x14ac:dyDescent="0.25">
      <c r="A248">
        <v>247</v>
      </c>
      <c r="B248" t="s">
        <v>1144</v>
      </c>
      <c r="C248" t="s">
        <v>1145</v>
      </c>
    </row>
    <row r="249" spans="1:3" x14ac:dyDescent="0.25">
      <c r="A249">
        <v>248</v>
      </c>
      <c r="B249" t="s">
        <v>1146</v>
      </c>
      <c r="C249" t="s">
        <v>1147</v>
      </c>
    </row>
    <row r="250" spans="1:3" x14ac:dyDescent="0.25">
      <c r="A250">
        <v>249</v>
      </c>
      <c r="B250" t="s">
        <v>1148</v>
      </c>
      <c r="C250" t="s">
        <v>1149</v>
      </c>
    </row>
    <row r="251" spans="1:3" x14ac:dyDescent="0.25">
      <c r="A251">
        <v>250</v>
      </c>
      <c r="B251" t="s">
        <v>1150</v>
      </c>
      <c r="C251" t="s">
        <v>1151</v>
      </c>
    </row>
    <row r="252" spans="1:3" x14ac:dyDescent="0.25">
      <c r="A252">
        <v>251</v>
      </c>
      <c r="B252" t="s">
        <v>1152</v>
      </c>
      <c r="C252" t="s">
        <v>1153</v>
      </c>
    </row>
    <row r="253" spans="1:3" x14ac:dyDescent="0.25">
      <c r="A253">
        <v>252</v>
      </c>
      <c r="B253" t="s">
        <v>1154</v>
      </c>
      <c r="C253" t="s">
        <v>1155</v>
      </c>
    </row>
    <row r="254" spans="1:3" x14ac:dyDescent="0.25">
      <c r="A254">
        <v>253</v>
      </c>
      <c r="B254" t="s">
        <v>1156</v>
      </c>
      <c r="C254" t="s">
        <v>1157</v>
      </c>
    </row>
    <row r="255" spans="1:3" x14ac:dyDescent="0.25">
      <c r="A255">
        <v>254</v>
      </c>
      <c r="B255" t="s">
        <v>1158</v>
      </c>
      <c r="C255" t="s">
        <v>1159</v>
      </c>
    </row>
    <row r="256" spans="1:3" x14ac:dyDescent="0.25">
      <c r="A256">
        <v>255</v>
      </c>
      <c r="B256" t="s">
        <v>1160</v>
      </c>
      <c r="C256" t="s">
        <v>1161</v>
      </c>
    </row>
    <row r="257" spans="1:3" x14ac:dyDescent="0.25">
      <c r="A257">
        <v>256</v>
      </c>
      <c r="B257" t="s">
        <v>1162</v>
      </c>
      <c r="C257" t="s">
        <v>1163</v>
      </c>
    </row>
    <row r="258" spans="1:3" x14ac:dyDescent="0.25">
      <c r="A258">
        <v>257</v>
      </c>
      <c r="B258" t="s">
        <v>1164</v>
      </c>
      <c r="C258" t="s">
        <v>1165</v>
      </c>
    </row>
    <row r="259" spans="1:3" x14ac:dyDescent="0.25">
      <c r="A259">
        <v>258</v>
      </c>
      <c r="B259" t="s">
        <v>1166</v>
      </c>
      <c r="C259" t="s">
        <v>1167</v>
      </c>
    </row>
    <row r="260" spans="1:3" x14ac:dyDescent="0.25">
      <c r="A260">
        <v>259</v>
      </c>
      <c r="B260" t="s">
        <v>1168</v>
      </c>
      <c r="C260" t="s">
        <v>1169</v>
      </c>
    </row>
    <row r="261" spans="1:3" x14ac:dyDescent="0.25">
      <c r="A261">
        <v>260</v>
      </c>
      <c r="B261" t="s">
        <v>1170</v>
      </c>
      <c r="C261" t="s">
        <v>1171</v>
      </c>
    </row>
    <row r="262" spans="1:3" x14ac:dyDescent="0.25">
      <c r="A262">
        <v>261</v>
      </c>
      <c r="B262" t="s">
        <v>1172</v>
      </c>
      <c r="C262" t="s">
        <v>1173</v>
      </c>
    </row>
    <row r="263" spans="1:3" x14ac:dyDescent="0.25">
      <c r="A263">
        <v>262</v>
      </c>
      <c r="B263" t="s">
        <v>1174</v>
      </c>
      <c r="C263" t="s">
        <v>1175</v>
      </c>
    </row>
    <row r="264" spans="1:3" x14ac:dyDescent="0.25">
      <c r="A264">
        <v>263</v>
      </c>
      <c r="B264" t="s">
        <v>1176</v>
      </c>
      <c r="C264" t="s">
        <v>1177</v>
      </c>
    </row>
    <row r="265" spans="1:3" x14ac:dyDescent="0.25">
      <c r="A265">
        <v>264</v>
      </c>
      <c r="B265" t="s">
        <v>1178</v>
      </c>
      <c r="C265" t="s">
        <v>1179</v>
      </c>
    </row>
    <row r="266" spans="1:3" x14ac:dyDescent="0.25">
      <c r="A266">
        <v>265</v>
      </c>
      <c r="B266" t="s">
        <v>1180</v>
      </c>
      <c r="C266" t="s">
        <v>1181</v>
      </c>
    </row>
    <row r="267" spans="1:3" x14ac:dyDescent="0.25">
      <c r="A267">
        <v>266</v>
      </c>
      <c r="B267" t="s">
        <v>1182</v>
      </c>
      <c r="C267" t="s">
        <v>1183</v>
      </c>
    </row>
    <row r="268" spans="1:3" x14ac:dyDescent="0.25">
      <c r="A268">
        <v>267</v>
      </c>
      <c r="B268" t="s">
        <v>1184</v>
      </c>
      <c r="C268" t="s">
        <v>1185</v>
      </c>
    </row>
    <row r="269" spans="1:3" x14ac:dyDescent="0.25">
      <c r="A269">
        <v>268</v>
      </c>
      <c r="B269" t="s">
        <v>1186</v>
      </c>
      <c r="C269" t="s">
        <v>1187</v>
      </c>
    </row>
    <row r="270" spans="1:3" x14ac:dyDescent="0.25">
      <c r="A270">
        <v>269</v>
      </c>
      <c r="B270" t="s">
        <v>1188</v>
      </c>
      <c r="C270" t="s">
        <v>1189</v>
      </c>
    </row>
    <row r="271" spans="1:3" x14ac:dyDescent="0.25">
      <c r="A271">
        <v>270</v>
      </c>
      <c r="B271" t="s">
        <v>1190</v>
      </c>
      <c r="C271" t="s">
        <v>1191</v>
      </c>
    </row>
    <row r="272" spans="1:3" x14ac:dyDescent="0.25">
      <c r="A272">
        <v>271</v>
      </c>
      <c r="B272" t="s">
        <v>1192</v>
      </c>
      <c r="C272" t="s">
        <v>1193</v>
      </c>
    </row>
    <row r="273" spans="1:3" x14ac:dyDescent="0.25">
      <c r="A273">
        <v>272</v>
      </c>
      <c r="B273" t="s">
        <v>1194</v>
      </c>
      <c r="C273" t="s">
        <v>1195</v>
      </c>
    </row>
    <row r="274" spans="1:3" x14ac:dyDescent="0.25">
      <c r="A274">
        <v>273</v>
      </c>
      <c r="B274" t="s">
        <v>1196</v>
      </c>
      <c r="C274" t="s">
        <v>1197</v>
      </c>
    </row>
    <row r="275" spans="1:3" x14ac:dyDescent="0.25">
      <c r="A275">
        <v>274</v>
      </c>
      <c r="B275" t="s">
        <v>1198</v>
      </c>
      <c r="C275" t="s">
        <v>1199</v>
      </c>
    </row>
    <row r="276" spans="1:3" x14ac:dyDescent="0.25">
      <c r="A276">
        <v>275</v>
      </c>
      <c r="B276" t="s">
        <v>1200</v>
      </c>
      <c r="C276" t="s">
        <v>1201</v>
      </c>
    </row>
    <row r="277" spans="1:3" x14ac:dyDescent="0.25">
      <c r="A277">
        <v>276</v>
      </c>
      <c r="B277" t="s">
        <v>1202</v>
      </c>
      <c r="C277" t="s">
        <v>1203</v>
      </c>
    </row>
    <row r="278" spans="1:3" x14ac:dyDescent="0.25">
      <c r="A278">
        <v>277</v>
      </c>
      <c r="B278" t="s">
        <v>1204</v>
      </c>
      <c r="C278" t="s">
        <v>1205</v>
      </c>
    </row>
    <row r="279" spans="1:3" x14ac:dyDescent="0.25">
      <c r="A279">
        <v>278</v>
      </c>
      <c r="B279" t="s">
        <v>1206</v>
      </c>
      <c r="C279" t="s">
        <v>1207</v>
      </c>
    </row>
    <row r="280" spans="1:3" x14ac:dyDescent="0.25">
      <c r="A280">
        <v>279</v>
      </c>
      <c r="B280" t="s">
        <v>1208</v>
      </c>
      <c r="C280" t="s">
        <v>1209</v>
      </c>
    </row>
    <row r="281" spans="1:3" x14ac:dyDescent="0.25">
      <c r="A281">
        <v>280</v>
      </c>
      <c r="B281" t="s">
        <v>1210</v>
      </c>
      <c r="C281" t="s">
        <v>1211</v>
      </c>
    </row>
    <row r="282" spans="1:3" x14ac:dyDescent="0.25">
      <c r="A282">
        <v>281</v>
      </c>
      <c r="B282" t="s">
        <v>1212</v>
      </c>
      <c r="C282" t="s">
        <v>1213</v>
      </c>
    </row>
    <row r="283" spans="1:3" x14ac:dyDescent="0.25">
      <c r="A283">
        <v>282</v>
      </c>
      <c r="B283" t="s">
        <v>1214</v>
      </c>
      <c r="C283" t="s">
        <v>1215</v>
      </c>
    </row>
    <row r="284" spans="1:3" x14ac:dyDescent="0.25">
      <c r="A284">
        <v>283</v>
      </c>
      <c r="B284" t="s">
        <v>1216</v>
      </c>
      <c r="C284" t="s">
        <v>1217</v>
      </c>
    </row>
    <row r="285" spans="1:3" x14ac:dyDescent="0.25">
      <c r="A285">
        <v>284</v>
      </c>
      <c r="B285" t="s">
        <v>1218</v>
      </c>
      <c r="C285" t="s">
        <v>1219</v>
      </c>
    </row>
    <row r="286" spans="1:3" x14ac:dyDescent="0.25">
      <c r="A286">
        <v>285</v>
      </c>
      <c r="B286" t="s">
        <v>1220</v>
      </c>
      <c r="C286" t="s">
        <v>1221</v>
      </c>
    </row>
    <row r="287" spans="1:3" x14ac:dyDescent="0.25">
      <c r="A287">
        <v>286</v>
      </c>
      <c r="B287" t="s">
        <v>1222</v>
      </c>
      <c r="C287" t="s">
        <v>1223</v>
      </c>
    </row>
    <row r="288" spans="1:3" x14ac:dyDescent="0.25">
      <c r="A288">
        <v>287</v>
      </c>
      <c r="B288" t="s">
        <v>1224</v>
      </c>
      <c r="C288" t="s">
        <v>1225</v>
      </c>
    </row>
    <row r="289" spans="1:3" x14ac:dyDescent="0.25">
      <c r="A289">
        <v>288</v>
      </c>
      <c r="B289" t="s">
        <v>1226</v>
      </c>
      <c r="C289" t="s">
        <v>1227</v>
      </c>
    </row>
    <row r="290" spans="1:3" x14ac:dyDescent="0.25">
      <c r="A290">
        <v>289</v>
      </c>
      <c r="B290" t="s">
        <v>1228</v>
      </c>
      <c r="C290" t="s">
        <v>1229</v>
      </c>
    </row>
    <row r="291" spans="1:3" x14ac:dyDescent="0.25">
      <c r="A291">
        <v>290</v>
      </c>
      <c r="B291" t="s">
        <v>143</v>
      </c>
      <c r="C291" t="s">
        <v>1230</v>
      </c>
    </row>
    <row r="292" spans="1:3" x14ac:dyDescent="0.25">
      <c r="A292">
        <v>291</v>
      </c>
      <c r="B292" t="s">
        <v>215</v>
      </c>
      <c r="C292" t="s">
        <v>1231</v>
      </c>
    </row>
    <row r="293" spans="1:3" x14ac:dyDescent="0.25">
      <c r="A293">
        <v>292</v>
      </c>
      <c r="B293" t="s">
        <v>247</v>
      </c>
      <c r="C293" t="s">
        <v>1232</v>
      </c>
    </row>
    <row r="294" spans="1:3" x14ac:dyDescent="0.25">
      <c r="A294">
        <v>293</v>
      </c>
      <c r="B294" t="s">
        <v>309</v>
      </c>
      <c r="C294" t="s">
        <v>1233</v>
      </c>
    </row>
    <row r="295" spans="1:3" x14ac:dyDescent="0.25">
      <c r="A295">
        <v>294</v>
      </c>
      <c r="B295" t="s">
        <v>1234</v>
      </c>
      <c r="C295" t="s">
        <v>1235</v>
      </c>
    </row>
    <row r="296" spans="1:3" x14ac:dyDescent="0.25">
      <c r="A296">
        <v>295</v>
      </c>
      <c r="B296" t="s">
        <v>26</v>
      </c>
      <c r="C296" t="s">
        <v>1236</v>
      </c>
    </row>
    <row r="297" spans="1:3" x14ac:dyDescent="0.25">
      <c r="A297">
        <v>296</v>
      </c>
      <c r="B297" t="s">
        <v>49</v>
      </c>
      <c r="C297" t="s">
        <v>1237</v>
      </c>
    </row>
    <row r="298" spans="1:3" x14ac:dyDescent="0.25">
      <c r="A298">
        <v>297</v>
      </c>
      <c r="B298" t="s">
        <v>63</v>
      </c>
      <c r="C298" t="s">
        <v>1238</v>
      </c>
    </row>
    <row r="299" spans="1:3" x14ac:dyDescent="0.25">
      <c r="A299">
        <v>298</v>
      </c>
      <c r="B299" t="s">
        <v>77</v>
      </c>
      <c r="C299" t="s">
        <v>1239</v>
      </c>
    </row>
    <row r="300" spans="1:3" x14ac:dyDescent="0.25">
      <c r="A300">
        <v>299</v>
      </c>
      <c r="B300" t="s">
        <v>93</v>
      </c>
      <c r="C300" t="s">
        <v>1240</v>
      </c>
    </row>
    <row r="301" spans="1:3" x14ac:dyDescent="0.25">
      <c r="A301">
        <v>300</v>
      </c>
      <c r="B301" t="s">
        <v>107</v>
      </c>
      <c r="C301" t="s">
        <v>1241</v>
      </c>
    </row>
    <row r="302" spans="1:3" x14ac:dyDescent="0.25">
      <c r="A302">
        <v>301</v>
      </c>
      <c r="B302" t="s">
        <v>129</v>
      </c>
      <c r="C302" t="s">
        <v>1242</v>
      </c>
    </row>
    <row r="303" spans="1:3" x14ac:dyDescent="0.25">
      <c r="A303">
        <v>302</v>
      </c>
      <c r="B303" t="s">
        <v>159</v>
      </c>
      <c r="C303" t="s">
        <v>1243</v>
      </c>
    </row>
    <row r="304" spans="1:3" x14ac:dyDescent="0.25">
      <c r="A304">
        <v>303</v>
      </c>
      <c r="B304" t="s">
        <v>173</v>
      </c>
      <c r="C304" t="s">
        <v>1244</v>
      </c>
    </row>
    <row r="305" spans="1:3" x14ac:dyDescent="0.25">
      <c r="A305">
        <v>304</v>
      </c>
      <c r="B305" t="s">
        <v>187</v>
      </c>
      <c r="C305" t="s">
        <v>1245</v>
      </c>
    </row>
    <row r="306" spans="1:3" x14ac:dyDescent="0.25">
      <c r="A306">
        <v>305</v>
      </c>
      <c r="B306" t="s">
        <v>201</v>
      </c>
      <c r="C306" t="s">
        <v>1246</v>
      </c>
    </row>
    <row r="307" spans="1:3" x14ac:dyDescent="0.25">
      <c r="A307">
        <v>306</v>
      </c>
      <c r="B307" t="s">
        <v>229</v>
      </c>
      <c r="C307" t="s">
        <v>1247</v>
      </c>
    </row>
    <row r="308" spans="1:3" x14ac:dyDescent="0.25">
      <c r="A308">
        <v>307</v>
      </c>
      <c r="B308" t="s">
        <v>243</v>
      </c>
      <c r="C308" t="s">
        <v>1248</v>
      </c>
    </row>
    <row r="309" spans="1:3" x14ac:dyDescent="0.25">
      <c r="A309">
        <v>308</v>
      </c>
      <c r="B309" t="s">
        <v>245</v>
      </c>
      <c r="C309" t="s">
        <v>1249</v>
      </c>
    </row>
    <row r="310" spans="1:3" x14ac:dyDescent="0.25">
      <c r="A310">
        <v>309</v>
      </c>
      <c r="B310" t="s">
        <v>261</v>
      </c>
      <c r="C310" t="s">
        <v>1250</v>
      </c>
    </row>
    <row r="311" spans="1:3" x14ac:dyDescent="0.25">
      <c r="A311">
        <v>310</v>
      </c>
      <c r="B311" t="s">
        <v>277</v>
      </c>
      <c r="C311" t="s">
        <v>1251</v>
      </c>
    </row>
    <row r="312" spans="1:3" x14ac:dyDescent="0.25">
      <c r="A312">
        <v>311</v>
      </c>
      <c r="B312" t="s">
        <v>281</v>
      </c>
      <c r="C312" t="s">
        <v>1252</v>
      </c>
    </row>
    <row r="313" spans="1:3" x14ac:dyDescent="0.25">
      <c r="A313">
        <v>312</v>
      </c>
      <c r="B313" t="s">
        <v>295</v>
      </c>
      <c r="C313" t="s">
        <v>1253</v>
      </c>
    </row>
    <row r="314" spans="1:3" x14ac:dyDescent="0.25">
      <c r="A314">
        <v>313</v>
      </c>
      <c r="B314" t="s">
        <v>323</v>
      </c>
      <c r="C314" t="s">
        <v>1254</v>
      </c>
    </row>
    <row r="315" spans="1:3" x14ac:dyDescent="0.25">
      <c r="A315">
        <v>314</v>
      </c>
      <c r="B315" t="s">
        <v>337</v>
      </c>
      <c r="C315" t="s">
        <v>1255</v>
      </c>
    </row>
    <row r="316" spans="1:3" x14ac:dyDescent="0.25">
      <c r="A316">
        <v>315</v>
      </c>
      <c r="B316" t="s">
        <v>351</v>
      </c>
      <c r="C316" t="s">
        <v>1256</v>
      </c>
    </row>
    <row r="317" spans="1:3" x14ac:dyDescent="0.25">
      <c r="A317">
        <v>316</v>
      </c>
      <c r="B317" t="s">
        <v>379</v>
      </c>
      <c r="C317" t="s">
        <v>1257</v>
      </c>
    </row>
    <row r="318" spans="1:3" x14ac:dyDescent="0.25">
      <c r="A318">
        <v>317</v>
      </c>
      <c r="B318" t="s">
        <v>392</v>
      </c>
      <c r="C318" t="s">
        <v>1258</v>
      </c>
    </row>
    <row r="319" spans="1:3" x14ac:dyDescent="0.25">
      <c r="A319">
        <v>318</v>
      </c>
      <c r="B319" t="s">
        <v>406</v>
      </c>
      <c r="C319" t="s">
        <v>1259</v>
      </c>
    </row>
    <row r="320" spans="1:3" x14ac:dyDescent="0.25">
      <c r="A320">
        <v>319</v>
      </c>
      <c r="B320" t="s">
        <v>420</v>
      </c>
      <c r="C320" t="s">
        <v>1260</v>
      </c>
    </row>
    <row r="321" spans="1:3" x14ac:dyDescent="0.25">
      <c r="A321">
        <v>320</v>
      </c>
      <c r="B321" t="s">
        <v>434</v>
      </c>
      <c r="C321" t="s">
        <v>1261</v>
      </c>
    </row>
    <row r="322" spans="1:3" x14ac:dyDescent="0.25">
      <c r="A322">
        <v>321</v>
      </c>
      <c r="B322" t="s">
        <v>448</v>
      </c>
      <c r="C322" t="s">
        <v>1262</v>
      </c>
    </row>
    <row r="323" spans="1:3" x14ac:dyDescent="0.25">
      <c r="A323">
        <v>322</v>
      </c>
      <c r="B323" t="s">
        <v>462</v>
      </c>
      <c r="C323" t="s">
        <v>1263</v>
      </c>
    </row>
    <row r="324" spans="1:3" x14ac:dyDescent="0.25">
      <c r="A324">
        <v>323</v>
      </c>
      <c r="B324" t="s">
        <v>474</v>
      </c>
      <c r="C324" t="s">
        <v>1264</v>
      </c>
    </row>
    <row r="325" spans="1:3" x14ac:dyDescent="0.25">
      <c r="A325">
        <v>324</v>
      </c>
      <c r="B325" t="s">
        <v>488</v>
      </c>
      <c r="C325" t="s">
        <v>1265</v>
      </c>
    </row>
    <row r="326" spans="1:3" x14ac:dyDescent="0.25">
      <c r="A326">
        <v>325</v>
      </c>
      <c r="B326" t="s">
        <v>502</v>
      </c>
      <c r="C326" t="s">
        <v>1266</v>
      </c>
    </row>
    <row r="327" spans="1:3" x14ac:dyDescent="0.25">
      <c r="A327">
        <v>326</v>
      </c>
      <c r="B327" t="s">
        <v>516</v>
      </c>
      <c r="C327" t="s">
        <v>1267</v>
      </c>
    </row>
    <row r="328" spans="1:3" x14ac:dyDescent="0.25">
      <c r="A328">
        <v>327</v>
      </c>
      <c r="B328" t="s">
        <v>530</v>
      </c>
      <c r="C328" t="s">
        <v>1268</v>
      </c>
    </row>
    <row r="329" spans="1:3" x14ac:dyDescent="0.25">
      <c r="A329">
        <v>328</v>
      </c>
      <c r="B329" t="s">
        <v>543</v>
      </c>
      <c r="C329" t="s">
        <v>1269</v>
      </c>
    </row>
    <row r="330" spans="1:3" x14ac:dyDescent="0.25">
      <c r="A330">
        <v>329</v>
      </c>
      <c r="B330" t="s">
        <v>557</v>
      </c>
      <c r="C330" t="s">
        <v>1270</v>
      </c>
    </row>
    <row r="331" spans="1:3" x14ac:dyDescent="0.25">
      <c r="A331">
        <v>330</v>
      </c>
      <c r="B331" t="s">
        <v>569</v>
      </c>
      <c r="C331" t="s">
        <v>1271</v>
      </c>
    </row>
    <row r="332" spans="1:3" x14ac:dyDescent="0.25">
      <c r="A332">
        <v>331</v>
      </c>
      <c r="B332" t="s">
        <v>582</v>
      </c>
      <c r="C332" t="s">
        <v>1272</v>
      </c>
    </row>
    <row r="333" spans="1:3" x14ac:dyDescent="0.25">
      <c r="A333">
        <v>332</v>
      </c>
      <c r="B333" t="s">
        <v>365</v>
      </c>
      <c r="C333" t="s">
        <v>1273</v>
      </c>
    </row>
    <row r="334" spans="1:3" x14ac:dyDescent="0.25">
      <c r="A334">
        <v>333</v>
      </c>
      <c r="B334" t="s">
        <v>1274</v>
      </c>
      <c r="C334" t="s">
        <v>1275</v>
      </c>
    </row>
    <row r="335" spans="1:3" x14ac:dyDescent="0.25">
      <c r="A335">
        <v>334</v>
      </c>
      <c r="B335" t="s">
        <v>1276</v>
      </c>
      <c r="C335" t="s">
        <v>1277</v>
      </c>
    </row>
    <row r="336" spans="1:3" x14ac:dyDescent="0.25">
      <c r="A336">
        <v>335</v>
      </c>
      <c r="B336" t="s">
        <v>1278</v>
      </c>
      <c r="C336" t="s">
        <v>1279</v>
      </c>
    </row>
    <row r="337" spans="1:3" x14ac:dyDescent="0.25">
      <c r="A337">
        <v>336</v>
      </c>
      <c r="B337" t="s">
        <v>1280</v>
      </c>
      <c r="C337" t="s">
        <v>1281</v>
      </c>
    </row>
    <row r="338" spans="1:3" x14ac:dyDescent="0.25">
      <c r="A338">
        <v>337</v>
      </c>
      <c r="B338" t="s">
        <v>1282</v>
      </c>
      <c r="C338" t="s">
        <v>1283</v>
      </c>
    </row>
    <row r="339" spans="1:3" x14ac:dyDescent="0.25">
      <c r="A339">
        <v>338</v>
      </c>
      <c r="B339" t="s">
        <v>1284</v>
      </c>
      <c r="C339" t="s">
        <v>1285</v>
      </c>
    </row>
    <row r="340" spans="1:3" x14ac:dyDescent="0.25">
      <c r="A340">
        <v>339</v>
      </c>
      <c r="B340" t="s">
        <v>205</v>
      </c>
      <c r="C340" t="s">
        <v>1286</v>
      </c>
    </row>
    <row r="341" spans="1:3" x14ac:dyDescent="0.25">
      <c r="A341">
        <v>340</v>
      </c>
      <c r="B341" t="s">
        <v>273</v>
      </c>
      <c r="C341" t="s">
        <v>1287</v>
      </c>
    </row>
    <row r="342" spans="1:3" x14ac:dyDescent="0.25">
      <c r="A342">
        <v>341</v>
      </c>
      <c r="B342" t="s">
        <v>333</v>
      </c>
      <c r="C342" t="s">
        <v>1288</v>
      </c>
    </row>
    <row r="343" spans="1:3" x14ac:dyDescent="0.25">
      <c r="A343">
        <v>342</v>
      </c>
      <c r="B343" t="s">
        <v>388</v>
      </c>
      <c r="C343" t="s">
        <v>1289</v>
      </c>
    </row>
    <row r="344" spans="1:3" x14ac:dyDescent="0.25">
      <c r="A344">
        <v>343</v>
      </c>
      <c r="B344" t="s">
        <v>45</v>
      </c>
      <c r="C344" t="s">
        <v>1290</v>
      </c>
    </row>
    <row r="345" spans="1:3" x14ac:dyDescent="0.25">
      <c r="A345">
        <v>344</v>
      </c>
      <c r="B345" t="s">
        <v>59</v>
      </c>
      <c r="C345" t="s">
        <v>1291</v>
      </c>
    </row>
    <row r="346" spans="1:3" x14ac:dyDescent="0.25">
      <c r="A346">
        <v>345</v>
      </c>
      <c r="B346" t="s">
        <v>73</v>
      </c>
      <c r="C346" t="s">
        <v>1292</v>
      </c>
    </row>
    <row r="347" spans="1:3" x14ac:dyDescent="0.25">
      <c r="A347">
        <v>346</v>
      </c>
      <c r="B347" t="s">
        <v>89</v>
      </c>
      <c r="C347" t="s">
        <v>1293</v>
      </c>
    </row>
    <row r="348" spans="1:3" x14ac:dyDescent="0.25">
      <c r="A348">
        <v>347</v>
      </c>
      <c r="B348" t="s">
        <v>103</v>
      </c>
      <c r="C348" t="s">
        <v>1294</v>
      </c>
    </row>
    <row r="349" spans="1:3" x14ac:dyDescent="0.25">
      <c r="A349">
        <v>348</v>
      </c>
      <c r="B349" t="s">
        <v>119</v>
      </c>
      <c r="C349" t="s">
        <v>1295</v>
      </c>
    </row>
    <row r="350" spans="1:3" x14ac:dyDescent="0.25">
      <c r="A350">
        <v>349</v>
      </c>
      <c r="B350" t="s">
        <v>133</v>
      </c>
      <c r="C350" t="s">
        <v>1296</v>
      </c>
    </row>
    <row r="351" spans="1:3" x14ac:dyDescent="0.25">
      <c r="A351">
        <v>350</v>
      </c>
      <c r="B351" t="s">
        <v>147</v>
      </c>
      <c r="C351" t="s">
        <v>1297</v>
      </c>
    </row>
    <row r="352" spans="1:3" x14ac:dyDescent="0.25">
      <c r="A352">
        <v>351</v>
      </c>
      <c r="B352" t="s">
        <v>163</v>
      </c>
      <c r="C352" t="s">
        <v>1298</v>
      </c>
    </row>
    <row r="353" spans="1:3" x14ac:dyDescent="0.25">
      <c r="A353">
        <v>352</v>
      </c>
      <c r="B353" t="s">
        <v>177</v>
      </c>
      <c r="C353" t="s">
        <v>1299</v>
      </c>
    </row>
    <row r="354" spans="1:3" x14ac:dyDescent="0.25">
      <c r="A354">
        <v>353</v>
      </c>
      <c r="B354" t="s">
        <v>191</v>
      </c>
      <c r="C354" t="s">
        <v>1300</v>
      </c>
    </row>
    <row r="355" spans="1:3" x14ac:dyDescent="0.25">
      <c r="A355">
        <v>354</v>
      </c>
      <c r="B355" t="s">
        <v>219</v>
      </c>
      <c r="C355" t="s">
        <v>1301</v>
      </c>
    </row>
    <row r="356" spans="1:3" x14ac:dyDescent="0.25">
      <c r="A356">
        <v>355</v>
      </c>
      <c r="B356" t="s">
        <v>233</v>
      </c>
      <c r="C356" t="s">
        <v>1302</v>
      </c>
    </row>
    <row r="357" spans="1:3" x14ac:dyDescent="0.25">
      <c r="A357">
        <v>356</v>
      </c>
      <c r="B357" t="s">
        <v>259</v>
      </c>
      <c r="C357" t="s">
        <v>1303</v>
      </c>
    </row>
    <row r="358" spans="1:3" x14ac:dyDescent="0.25">
      <c r="A358">
        <v>357</v>
      </c>
      <c r="B358" t="s">
        <v>275</v>
      </c>
      <c r="C358" t="s">
        <v>1304</v>
      </c>
    </row>
    <row r="359" spans="1:3" x14ac:dyDescent="0.25">
      <c r="A359">
        <v>358</v>
      </c>
      <c r="B359" t="s">
        <v>291</v>
      </c>
      <c r="C359" t="s">
        <v>1305</v>
      </c>
    </row>
    <row r="360" spans="1:3" x14ac:dyDescent="0.25">
      <c r="A360">
        <v>359</v>
      </c>
      <c r="B360" t="s">
        <v>305</v>
      </c>
      <c r="C360" t="s">
        <v>1306</v>
      </c>
    </row>
    <row r="361" spans="1:3" x14ac:dyDescent="0.25">
      <c r="A361">
        <v>360</v>
      </c>
      <c r="B361" t="s">
        <v>319</v>
      </c>
      <c r="C361" t="s">
        <v>1307</v>
      </c>
    </row>
    <row r="362" spans="1:3" x14ac:dyDescent="0.25">
      <c r="A362">
        <v>361</v>
      </c>
      <c r="B362" t="s">
        <v>347</v>
      </c>
      <c r="C362" t="s">
        <v>1308</v>
      </c>
    </row>
    <row r="363" spans="1:3" x14ac:dyDescent="0.25">
      <c r="A363">
        <v>362</v>
      </c>
      <c r="B363" t="s">
        <v>361</v>
      </c>
      <c r="C363" t="s">
        <v>1309</v>
      </c>
    </row>
    <row r="364" spans="1:3" x14ac:dyDescent="0.25">
      <c r="A364">
        <v>363</v>
      </c>
      <c r="B364" t="s">
        <v>375</v>
      </c>
      <c r="C364" t="s">
        <v>1310</v>
      </c>
    </row>
    <row r="365" spans="1:3" x14ac:dyDescent="0.25">
      <c r="A365">
        <v>364</v>
      </c>
      <c r="B365" t="s">
        <v>402</v>
      </c>
      <c r="C365" t="s">
        <v>1311</v>
      </c>
    </row>
    <row r="366" spans="1:3" x14ac:dyDescent="0.25">
      <c r="A366">
        <v>365</v>
      </c>
      <c r="B366" t="s">
        <v>416</v>
      </c>
      <c r="C366" t="s">
        <v>1312</v>
      </c>
    </row>
    <row r="367" spans="1:3" x14ac:dyDescent="0.25">
      <c r="A367">
        <v>366</v>
      </c>
      <c r="B367" t="s">
        <v>430</v>
      </c>
      <c r="C367" t="s">
        <v>1313</v>
      </c>
    </row>
    <row r="368" spans="1:3" x14ac:dyDescent="0.25">
      <c r="A368">
        <v>367</v>
      </c>
      <c r="B368" t="s">
        <v>444</v>
      </c>
      <c r="C368" t="s">
        <v>1314</v>
      </c>
    </row>
    <row r="369" spans="1:3" x14ac:dyDescent="0.25">
      <c r="A369">
        <v>368</v>
      </c>
      <c r="B369" t="s">
        <v>458</v>
      </c>
      <c r="C369" t="s">
        <v>1315</v>
      </c>
    </row>
    <row r="370" spans="1:3" x14ac:dyDescent="0.25">
      <c r="A370">
        <v>369</v>
      </c>
      <c r="B370" t="s">
        <v>470</v>
      </c>
      <c r="C370" t="s">
        <v>1316</v>
      </c>
    </row>
    <row r="371" spans="1:3" x14ac:dyDescent="0.25">
      <c r="A371">
        <v>370</v>
      </c>
      <c r="B371" t="s">
        <v>484</v>
      </c>
      <c r="C371" t="s">
        <v>1317</v>
      </c>
    </row>
    <row r="372" spans="1:3" x14ac:dyDescent="0.25">
      <c r="A372">
        <v>371</v>
      </c>
      <c r="B372" t="s">
        <v>498</v>
      </c>
      <c r="C372" t="s">
        <v>1318</v>
      </c>
    </row>
    <row r="373" spans="1:3" x14ac:dyDescent="0.25">
      <c r="A373">
        <v>372</v>
      </c>
      <c r="B373" t="s">
        <v>512</v>
      </c>
      <c r="C373" t="s">
        <v>1319</v>
      </c>
    </row>
    <row r="374" spans="1:3" x14ac:dyDescent="0.25">
      <c r="A374">
        <v>373</v>
      </c>
      <c r="B374" t="s">
        <v>526</v>
      </c>
      <c r="C374" t="s">
        <v>1320</v>
      </c>
    </row>
    <row r="375" spans="1:3" x14ac:dyDescent="0.25">
      <c r="A375">
        <v>374</v>
      </c>
      <c r="B375" t="s">
        <v>540</v>
      </c>
      <c r="C375" t="s">
        <v>1321</v>
      </c>
    </row>
    <row r="376" spans="1:3" x14ac:dyDescent="0.25">
      <c r="A376">
        <v>375</v>
      </c>
      <c r="B376" t="s">
        <v>553</v>
      </c>
      <c r="C376" t="s">
        <v>1322</v>
      </c>
    </row>
    <row r="377" spans="1:3" x14ac:dyDescent="0.25">
      <c r="A377">
        <v>376</v>
      </c>
      <c r="B377" t="s">
        <v>566</v>
      </c>
      <c r="C377" t="s">
        <v>1323</v>
      </c>
    </row>
    <row r="378" spans="1:3" x14ac:dyDescent="0.25">
      <c r="A378">
        <v>377</v>
      </c>
      <c r="B378" t="s">
        <v>579</v>
      </c>
      <c r="C378" t="s">
        <v>1324</v>
      </c>
    </row>
    <row r="379" spans="1:3" x14ac:dyDescent="0.25">
      <c r="A379">
        <v>378</v>
      </c>
      <c r="B379" t="s">
        <v>355</v>
      </c>
      <c r="C379" t="s">
        <v>1325</v>
      </c>
    </row>
    <row r="380" spans="1:3" x14ac:dyDescent="0.25">
      <c r="A380">
        <v>379</v>
      </c>
      <c r="B380" t="s">
        <v>369</v>
      </c>
      <c r="C380" t="s">
        <v>1326</v>
      </c>
    </row>
    <row r="381" spans="1:3" x14ac:dyDescent="0.25">
      <c r="A381">
        <v>380</v>
      </c>
      <c r="B381" t="s">
        <v>382</v>
      </c>
      <c r="C381" t="s">
        <v>1327</v>
      </c>
    </row>
    <row r="382" spans="1:3" x14ac:dyDescent="0.25">
      <c r="A382">
        <v>381</v>
      </c>
      <c r="B382" t="s">
        <v>396</v>
      </c>
      <c r="C382" t="s">
        <v>1328</v>
      </c>
    </row>
    <row r="383" spans="1:3" x14ac:dyDescent="0.25">
      <c r="A383">
        <v>382</v>
      </c>
      <c r="B383" t="s">
        <v>410</v>
      </c>
      <c r="C383" t="s">
        <v>1329</v>
      </c>
    </row>
    <row r="384" spans="1:3" x14ac:dyDescent="0.25">
      <c r="A384">
        <v>383</v>
      </c>
      <c r="B384" t="s">
        <v>424</v>
      </c>
      <c r="C384" t="s">
        <v>1330</v>
      </c>
    </row>
    <row r="385" spans="1:3" x14ac:dyDescent="0.25">
      <c r="A385">
        <v>384</v>
      </c>
      <c r="B385" t="s">
        <v>438</v>
      </c>
      <c r="C385" t="s">
        <v>1331</v>
      </c>
    </row>
    <row r="386" spans="1:3" x14ac:dyDescent="0.25">
      <c r="A386">
        <v>385</v>
      </c>
      <c r="B386" t="s">
        <v>452</v>
      </c>
      <c r="C386" t="s">
        <v>1332</v>
      </c>
    </row>
    <row r="387" spans="1:3" x14ac:dyDescent="0.25">
      <c r="A387">
        <v>386</v>
      </c>
      <c r="B387" t="s">
        <v>465</v>
      </c>
      <c r="C387" t="s">
        <v>1333</v>
      </c>
    </row>
    <row r="388" spans="1:3" x14ac:dyDescent="0.25">
      <c r="A388">
        <v>387</v>
      </c>
      <c r="B388" t="s">
        <v>478</v>
      </c>
      <c r="C388" t="s">
        <v>1334</v>
      </c>
    </row>
    <row r="389" spans="1:3" x14ac:dyDescent="0.25">
      <c r="A389">
        <v>388</v>
      </c>
      <c r="B389" t="s">
        <v>492</v>
      </c>
      <c r="C389" t="s">
        <v>1335</v>
      </c>
    </row>
    <row r="390" spans="1:3" x14ac:dyDescent="0.25">
      <c r="A390">
        <v>389</v>
      </c>
      <c r="B390" t="s">
        <v>506</v>
      </c>
      <c r="C390" t="s">
        <v>1336</v>
      </c>
    </row>
    <row r="391" spans="1:3" x14ac:dyDescent="0.25">
      <c r="A391">
        <v>390</v>
      </c>
      <c r="B391" t="s">
        <v>520</v>
      </c>
      <c r="C391" t="s">
        <v>1337</v>
      </c>
    </row>
    <row r="392" spans="1:3" x14ac:dyDescent="0.25">
      <c r="A392">
        <v>391</v>
      </c>
      <c r="B392" t="s">
        <v>534</v>
      </c>
      <c r="C392" t="s">
        <v>1338</v>
      </c>
    </row>
    <row r="393" spans="1:3" x14ac:dyDescent="0.25">
      <c r="A393">
        <v>392</v>
      </c>
      <c r="B393" t="s">
        <v>547</v>
      </c>
      <c r="C393" t="s">
        <v>1339</v>
      </c>
    </row>
    <row r="394" spans="1:3" x14ac:dyDescent="0.25">
      <c r="A394">
        <v>393</v>
      </c>
      <c r="B394" t="s">
        <v>561</v>
      </c>
      <c r="C394" t="s">
        <v>1340</v>
      </c>
    </row>
    <row r="395" spans="1:3" x14ac:dyDescent="0.25">
      <c r="A395">
        <v>394</v>
      </c>
      <c r="B395" t="s">
        <v>573</v>
      </c>
      <c r="C395" t="s">
        <v>1341</v>
      </c>
    </row>
    <row r="396" spans="1:3" x14ac:dyDescent="0.25">
      <c r="A396">
        <v>395</v>
      </c>
      <c r="B396" t="s">
        <v>586</v>
      </c>
      <c r="C396" t="s">
        <v>1342</v>
      </c>
    </row>
    <row r="397" spans="1:3" x14ac:dyDescent="0.25">
      <c r="A397">
        <v>396</v>
      </c>
      <c r="B397" t="s">
        <v>101</v>
      </c>
      <c r="C397" t="s">
        <v>1343</v>
      </c>
    </row>
    <row r="398" spans="1:3" x14ac:dyDescent="0.25">
      <c r="A398">
        <v>397</v>
      </c>
      <c r="B398" t="s">
        <v>153</v>
      </c>
      <c r="C398" t="s">
        <v>1344</v>
      </c>
    </row>
    <row r="399" spans="1:3" x14ac:dyDescent="0.25">
      <c r="A399">
        <v>398</v>
      </c>
      <c r="B399" t="s">
        <v>155</v>
      </c>
      <c r="C399" t="s">
        <v>1345</v>
      </c>
    </row>
    <row r="400" spans="1:3" x14ac:dyDescent="0.25">
      <c r="A400">
        <v>399</v>
      </c>
      <c r="B400" t="s">
        <v>209</v>
      </c>
      <c r="C400" t="s">
        <v>1346</v>
      </c>
    </row>
    <row r="401" spans="1:3" x14ac:dyDescent="0.25">
      <c r="A401">
        <v>400</v>
      </c>
      <c r="B401" t="s">
        <v>225</v>
      </c>
      <c r="C401" t="s">
        <v>1347</v>
      </c>
    </row>
    <row r="402" spans="1:3" x14ac:dyDescent="0.25">
      <c r="A402">
        <v>401</v>
      </c>
      <c r="B402" t="s">
        <v>1348</v>
      </c>
      <c r="C402" t="s">
        <v>1349</v>
      </c>
    </row>
    <row r="403" spans="1:3" x14ac:dyDescent="0.25">
      <c r="A403">
        <v>402</v>
      </c>
      <c r="B403" t="s">
        <v>1350</v>
      </c>
      <c r="C403" t="s">
        <v>1351</v>
      </c>
    </row>
    <row r="404" spans="1:3" x14ac:dyDescent="0.25">
      <c r="A404">
        <v>403</v>
      </c>
      <c r="B404" t="s">
        <v>279</v>
      </c>
      <c r="C404" t="s">
        <v>1352</v>
      </c>
    </row>
    <row r="405" spans="1:3" x14ac:dyDescent="0.25">
      <c r="A405">
        <v>404</v>
      </c>
      <c r="B405" t="s">
        <v>285</v>
      </c>
      <c r="C405" t="s">
        <v>1353</v>
      </c>
    </row>
    <row r="406" spans="1:3" x14ac:dyDescent="0.25">
      <c r="A406">
        <v>405</v>
      </c>
      <c r="B406" t="s">
        <v>341</v>
      </c>
      <c r="C406" t="s">
        <v>1354</v>
      </c>
    </row>
    <row r="407" spans="1:3" x14ac:dyDescent="0.25">
      <c r="A407">
        <v>406</v>
      </c>
      <c r="B407" t="s">
        <v>349</v>
      </c>
      <c r="C407" t="s">
        <v>1355</v>
      </c>
    </row>
    <row r="408" spans="1:3" x14ac:dyDescent="0.25">
      <c r="A408">
        <v>407</v>
      </c>
      <c r="B408" t="s">
        <v>404</v>
      </c>
      <c r="C408" t="s">
        <v>1356</v>
      </c>
    </row>
    <row r="409" spans="1:3" x14ac:dyDescent="0.25">
      <c r="A409">
        <v>408</v>
      </c>
      <c r="B409" t="s">
        <v>1357</v>
      </c>
      <c r="C409" t="s">
        <v>1358</v>
      </c>
    </row>
    <row r="410" spans="1:3" x14ac:dyDescent="0.25">
      <c r="A410">
        <v>409</v>
      </c>
      <c r="B410" t="s">
        <v>47</v>
      </c>
      <c r="C410" t="s">
        <v>1359</v>
      </c>
    </row>
    <row r="411" spans="1:3" x14ac:dyDescent="0.25">
      <c r="A411">
        <v>410</v>
      </c>
      <c r="B411" t="s">
        <v>61</v>
      </c>
      <c r="C411" t="s">
        <v>1360</v>
      </c>
    </row>
    <row r="412" spans="1:3" x14ac:dyDescent="0.25">
      <c r="A412">
        <v>411</v>
      </c>
      <c r="B412" t="s">
        <v>75</v>
      </c>
      <c r="C412" t="s">
        <v>1361</v>
      </c>
    </row>
    <row r="413" spans="1:3" x14ac:dyDescent="0.25">
      <c r="A413">
        <v>412</v>
      </c>
      <c r="B413" t="s">
        <v>91</v>
      </c>
      <c r="C413" t="s">
        <v>1362</v>
      </c>
    </row>
    <row r="414" spans="1:3" x14ac:dyDescent="0.25">
      <c r="A414">
        <v>413</v>
      </c>
      <c r="B414" t="s">
        <v>105</v>
      </c>
      <c r="C414" t="s">
        <v>1363</v>
      </c>
    </row>
    <row r="415" spans="1:3" x14ac:dyDescent="0.25">
      <c r="A415">
        <v>414</v>
      </c>
      <c r="B415" t="s">
        <v>125</v>
      </c>
      <c r="C415" t="s">
        <v>1364</v>
      </c>
    </row>
    <row r="416" spans="1:3" x14ac:dyDescent="0.25">
      <c r="A416">
        <v>415</v>
      </c>
      <c r="B416" t="s">
        <v>139</v>
      </c>
      <c r="C416" t="s">
        <v>1365</v>
      </c>
    </row>
    <row r="417" spans="1:3" x14ac:dyDescent="0.25">
      <c r="A417">
        <v>416</v>
      </c>
      <c r="B417" t="s">
        <v>169</v>
      </c>
      <c r="C417" t="s">
        <v>1366</v>
      </c>
    </row>
    <row r="418" spans="1:3" x14ac:dyDescent="0.25">
      <c r="A418">
        <v>417</v>
      </c>
      <c r="B418" t="s">
        <v>183</v>
      </c>
      <c r="C418" t="s">
        <v>1367</v>
      </c>
    </row>
    <row r="419" spans="1:3" x14ac:dyDescent="0.25">
      <c r="A419">
        <v>418</v>
      </c>
      <c r="B419" t="s">
        <v>197</v>
      </c>
      <c r="C419" t="s">
        <v>1368</v>
      </c>
    </row>
    <row r="420" spans="1:3" x14ac:dyDescent="0.25">
      <c r="A420">
        <v>419</v>
      </c>
      <c r="B420" t="s">
        <v>211</v>
      </c>
      <c r="C420" t="s">
        <v>1369</v>
      </c>
    </row>
    <row r="421" spans="1:3" x14ac:dyDescent="0.25">
      <c r="A421">
        <v>420</v>
      </c>
      <c r="B421" t="s">
        <v>239</v>
      </c>
      <c r="C421" t="s">
        <v>1370</v>
      </c>
    </row>
    <row r="422" spans="1:3" x14ac:dyDescent="0.25">
      <c r="A422">
        <v>421</v>
      </c>
      <c r="B422" t="s">
        <v>253</v>
      </c>
      <c r="C422" t="s">
        <v>1371</v>
      </c>
    </row>
    <row r="423" spans="1:3" x14ac:dyDescent="0.25">
      <c r="A423">
        <v>422</v>
      </c>
      <c r="B423" t="s">
        <v>267</v>
      </c>
      <c r="C423" t="s">
        <v>1372</v>
      </c>
    </row>
    <row r="424" spans="1:3" x14ac:dyDescent="0.25">
      <c r="A424">
        <v>423</v>
      </c>
      <c r="B424" t="s">
        <v>293</v>
      </c>
      <c r="C424" t="s">
        <v>1373</v>
      </c>
    </row>
    <row r="425" spans="1:3" x14ac:dyDescent="0.25">
      <c r="A425">
        <v>424</v>
      </c>
      <c r="B425" t="s">
        <v>307</v>
      </c>
      <c r="C425" t="s">
        <v>1374</v>
      </c>
    </row>
    <row r="426" spans="1:3" x14ac:dyDescent="0.25">
      <c r="A426">
        <v>425</v>
      </c>
      <c r="B426" t="s">
        <v>321</v>
      </c>
      <c r="C426" t="s">
        <v>1375</v>
      </c>
    </row>
    <row r="427" spans="1:3" x14ac:dyDescent="0.25">
      <c r="A427">
        <v>426</v>
      </c>
      <c r="B427" t="s">
        <v>335</v>
      </c>
      <c r="C427" t="s">
        <v>1376</v>
      </c>
    </row>
    <row r="428" spans="1:3" x14ac:dyDescent="0.25">
      <c r="A428">
        <v>427</v>
      </c>
      <c r="B428" t="s">
        <v>363</v>
      </c>
      <c r="C428" t="s">
        <v>1377</v>
      </c>
    </row>
    <row r="429" spans="1:3" x14ac:dyDescent="0.25">
      <c r="A429">
        <v>428</v>
      </c>
      <c r="B429" t="s">
        <v>377</v>
      </c>
      <c r="C429" t="s">
        <v>1378</v>
      </c>
    </row>
    <row r="430" spans="1:3" x14ac:dyDescent="0.25">
      <c r="A430">
        <v>429</v>
      </c>
      <c r="B430" t="s">
        <v>390</v>
      </c>
      <c r="C430" t="s">
        <v>1379</v>
      </c>
    </row>
    <row r="431" spans="1:3" x14ac:dyDescent="0.25">
      <c r="A431">
        <v>430</v>
      </c>
      <c r="B431" t="s">
        <v>33</v>
      </c>
      <c r="C431" t="s">
        <v>1380</v>
      </c>
    </row>
    <row r="432" spans="1:3" x14ac:dyDescent="0.25">
      <c r="A432">
        <v>431</v>
      </c>
      <c r="B432" t="s">
        <v>35</v>
      </c>
      <c r="C432" t="s">
        <v>1381</v>
      </c>
    </row>
    <row r="433" spans="1:3" x14ac:dyDescent="0.25">
      <c r="A433">
        <v>432</v>
      </c>
      <c r="B433" t="s">
        <v>41</v>
      </c>
      <c r="C433" t="s">
        <v>1382</v>
      </c>
    </row>
    <row r="434" spans="1:3" x14ac:dyDescent="0.25">
      <c r="A434">
        <v>433</v>
      </c>
      <c r="B434" t="s">
        <v>55</v>
      </c>
      <c r="C434" t="s">
        <v>1383</v>
      </c>
    </row>
    <row r="435" spans="1:3" x14ac:dyDescent="0.25">
      <c r="A435">
        <v>434</v>
      </c>
      <c r="B435" t="s">
        <v>69</v>
      </c>
      <c r="C435" t="s">
        <v>1384</v>
      </c>
    </row>
    <row r="436" spans="1:3" x14ac:dyDescent="0.25">
      <c r="A436">
        <v>435</v>
      </c>
      <c r="B436" t="s">
        <v>83</v>
      </c>
      <c r="C436" t="s">
        <v>1385</v>
      </c>
    </row>
    <row r="437" spans="1:3" x14ac:dyDescent="0.25">
      <c r="A437">
        <v>436</v>
      </c>
      <c r="B437" t="s">
        <v>87</v>
      </c>
      <c r="C437" t="s">
        <v>1386</v>
      </c>
    </row>
    <row r="438" spans="1:3" x14ac:dyDescent="0.25">
      <c r="A438">
        <v>437</v>
      </c>
      <c r="B438" t="s">
        <v>117</v>
      </c>
      <c r="C438" t="s">
        <v>1387</v>
      </c>
    </row>
    <row r="439" spans="1:3" x14ac:dyDescent="0.25">
      <c r="A439">
        <v>438</v>
      </c>
      <c r="B439" t="s">
        <v>123</v>
      </c>
      <c r="C439" t="s">
        <v>1388</v>
      </c>
    </row>
    <row r="440" spans="1:3" x14ac:dyDescent="0.25">
      <c r="A440">
        <v>439</v>
      </c>
      <c r="B440" t="s">
        <v>137</v>
      </c>
      <c r="C440" t="s">
        <v>1389</v>
      </c>
    </row>
    <row r="441" spans="1:3" x14ac:dyDescent="0.25">
      <c r="A441">
        <v>440</v>
      </c>
      <c r="B441" t="s">
        <v>151</v>
      </c>
      <c r="C441" t="s">
        <v>1390</v>
      </c>
    </row>
    <row r="442" spans="1:3" x14ac:dyDescent="0.25">
      <c r="A442">
        <v>441</v>
      </c>
      <c r="B442" t="s">
        <v>167</v>
      </c>
      <c r="C442" t="s">
        <v>1391</v>
      </c>
    </row>
    <row r="443" spans="1:3" x14ac:dyDescent="0.25">
      <c r="A443">
        <v>442</v>
      </c>
      <c r="B443" t="s">
        <v>181</v>
      </c>
      <c r="C443" t="s">
        <v>1392</v>
      </c>
    </row>
    <row r="444" spans="1:3" x14ac:dyDescent="0.25">
      <c r="A444">
        <v>443</v>
      </c>
      <c r="B444" t="s">
        <v>195</v>
      </c>
      <c r="C444" t="s">
        <v>1393</v>
      </c>
    </row>
    <row r="445" spans="1:3" x14ac:dyDescent="0.25">
      <c r="A445">
        <v>444</v>
      </c>
      <c r="B445" t="s">
        <v>223</v>
      </c>
      <c r="C445" t="s">
        <v>1394</v>
      </c>
    </row>
    <row r="446" spans="1:3" x14ac:dyDescent="0.25">
      <c r="A446">
        <v>445</v>
      </c>
      <c r="B446" t="s">
        <v>237</v>
      </c>
      <c r="C446" t="s">
        <v>1395</v>
      </c>
    </row>
    <row r="447" spans="1:3" x14ac:dyDescent="0.25">
      <c r="A447">
        <v>446</v>
      </c>
      <c r="B447" t="s">
        <v>251</v>
      </c>
      <c r="C447" t="s">
        <v>1396</v>
      </c>
    </row>
    <row r="448" spans="1:3" x14ac:dyDescent="0.25">
      <c r="A448">
        <v>447</v>
      </c>
      <c r="B448" t="s">
        <v>265</v>
      </c>
      <c r="C448" t="s">
        <v>1397</v>
      </c>
    </row>
    <row r="449" spans="1:3" x14ac:dyDescent="0.25">
      <c r="A449">
        <v>448</v>
      </c>
      <c r="B449" t="s">
        <v>299</v>
      </c>
      <c r="C449" t="s">
        <v>1398</v>
      </c>
    </row>
    <row r="450" spans="1:3" x14ac:dyDescent="0.25">
      <c r="A450">
        <v>449</v>
      </c>
      <c r="B450" t="s">
        <v>313</v>
      </c>
      <c r="C450" t="s">
        <v>1399</v>
      </c>
    </row>
    <row r="451" spans="1:3" x14ac:dyDescent="0.25">
      <c r="A451">
        <v>450</v>
      </c>
      <c r="B451" t="s">
        <v>327</v>
      </c>
      <c r="C451" t="s">
        <v>1400</v>
      </c>
    </row>
    <row r="452" spans="1:3" x14ac:dyDescent="0.25">
      <c r="A452">
        <v>451</v>
      </c>
      <c r="B452" t="s">
        <v>418</v>
      </c>
      <c r="C452" t="s">
        <v>1401</v>
      </c>
    </row>
    <row r="453" spans="1:3" x14ac:dyDescent="0.25">
      <c r="A453">
        <v>452</v>
      </c>
      <c r="B453" t="s">
        <v>432</v>
      </c>
      <c r="C453" t="s">
        <v>1402</v>
      </c>
    </row>
    <row r="454" spans="1:3" x14ac:dyDescent="0.25">
      <c r="A454">
        <v>453</v>
      </c>
      <c r="B454" t="s">
        <v>446</v>
      </c>
      <c r="C454" t="s">
        <v>1403</v>
      </c>
    </row>
    <row r="455" spans="1:3" x14ac:dyDescent="0.25">
      <c r="A455">
        <v>454</v>
      </c>
      <c r="B455" t="s">
        <v>460</v>
      </c>
      <c r="C455" t="s">
        <v>1404</v>
      </c>
    </row>
    <row r="456" spans="1:3" x14ac:dyDescent="0.25">
      <c r="A456">
        <v>455</v>
      </c>
      <c r="B456" t="s">
        <v>472</v>
      </c>
      <c r="C456" t="s">
        <v>1405</v>
      </c>
    </row>
    <row r="457" spans="1:3" x14ac:dyDescent="0.25">
      <c r="A457">
        <v>456</v>
      </c>
      <c r="B457" t="s">
        <v>486</v>
      </c>
      <c r="C457" t="s">
        <v>1406</v>
      </c>
    </row>
    <row r="458" spans="1:3" x14ac:dyDescent="0.25">
      <c r="A458">
        <v>457</v>
      </c>
      <c r="B458" t="s">
        <v>500</v>
      </c>
      <c r="C458" t="s">
        <v>1407</v>
      </c>
    </row>
    <row r="459" spans="1:3" x14ac:dyDescent="0.25">
      <c r="A459">
        <v>458</v>
      </c>
      <c r="B459" t="s">
        <v>514</v>
      </c>
      <c r="C459" t="s">
        <v>1408</v>
      </c>
    </row>
    <row r="460" spans="1:3" x14ac:dyDescent="0.25">
      <c r="A460">
        <v>459</v>
      </c>
      <c r="B460" t="s">
        <v>528</v>
      </c>
      <c r="C460" t="s">
        <v>1409</v>
      </c>
    </row>
    <row r="461" spans="1:3" x14ac:dyDescent="0.25">
      <c r="A461">
        <v>460</v>
      </c>
      <c r="B461" t="s">
        <v>541</v>
      </c>
      <c r="C461" t="s">
        <v>1410</v>
      </c>
    </row>
    <row r="462" spans="1:3" x14ac:dyDescent="0.25">
      <c r="A462">
        <v>461</v>
      </c>
      <c r="B462" t="s">
        <v>555</v>
      </c>
      <c r="C462" t="s">
        <v>1411</v>
      </c>
    </row>
    <row r="463" spans="1:3" x14ac:dyDescent="0.25">
      <c r="A463">
        <v>462</v>
      </c>
      <c r="B463" t="s">
        <v>568</v>
      </c>
      <c r="C463" t="s">
        <v>1412</v>
      </c>
    </row>
    <row r="464" spans="1:3" x14ac:dyDescent="0.25">
      <c r="A464">
        <v>463</v>
      </c>
      <c r="B464" t="s">
        <v>580</v>
      </c>
      <c r="C464" t="s">
        <v>1413</v>
      </c>
    </row>
    <row r="465" spans="1:3" x14ac:dyDescent="0.25">
      <c r="A465">
        <v>464</v>
      </c>
      <c r="B465" t="s">
        <v>804</v>
      </c>
      <c r="C465" t="s">
        <v>1414</v>
      </c>
    </row>
    <row r="466" spans="1:3" x14ac:dyDescent="0.25">
      <c r="A466">
        <v>465</v>
      </c>
      <c r="B466" t="s">
        <v>805</v>
      </c>
      <c r="C466" t="s">
        <v>1415</v>
      </c>
    </row>
    <row r="467" spans="1:3" x14ac:dyDescent="0.25">
      <c r="A467">
        <v>466</v>
      </c>
      <c r="B467" t="s">
        <v>806</v>
      </c>
      <c r="C467" t="s">
        <v>1416</v>
      </c>
    </row>
    <row r="468" spans="1:3" x14ac:dyDescent="0.25">
      <c r="A468">
        <v>467</v>
      </c>
      <c r="B468" t="s">
        <v>807</v>
      </c>
      <c r="C468" t="s">
        <v>1417</v>
      </c>
    </row>
    <row r="469" spans="1:3" x14ac:dyDescent="0.25">
      <c r="A469">
        <v>468</v>
      </c>
      <c r="B469" t="s">
        <v>808</v>
      </c>
      <c r="C469" t="s">
        <v>1418</v>
      </c>
    </row>
    <row r="470" spans="1:3" x14ac:dyDescent="0.25">
      <c r="A470">
        <v>469</v>
      </c>
      <c r="B470" t="s">
        <v>809</v>
      </c>
      <c r="C470" t="s">
        <v>1419</v>
      </c>
    </row>
    <row r="471" spans="1:3" x14ac:dyDescent="0.25">
      <c r="A471">
        <v>470</v>
      </c>
      <c r="B471" t="s">
        <v>811</v>
      </c>
      <c r="C471" t="s">
        <v>1420</v>
      </c>
    </row>
    <row r="472" spans="1:3" x14ac:dyDescent="0.25">
      <c r="A472">
        <v>471</v>
      </c>
      <c r="B472" t="s">
        <v>812</v>
      </c>
      <c r="C472" t="s">
        <v>1421</v>
      </c>
    </row>
    <row r="473" spans="1:3" x14ac:dyDescent="0.25">
      <c r="A473">
        <v>472</v>
      </c>
      <c r="B473" t="s">
        <v>813</v>
      </c>
      <c r="C473" t="s">
        <v>1422</v>
      </c>
    </row>
    <row r="474" spans="1:3" x14ac:dyDescent="0.25">
      <c r="A474">
        <v>473</v>
      </c>
      <c r="B474" t="s">
        <v>814</v>
      </c>
      <c r="C474" t="s">
        <v>1423</v>
      </c>
    </row>
    <row r="475" spans="1:3" x14ac:dyDescent="0.25">
      <c r="A475">
        <v>474</v>
      </c>
      <c r="B475" t="s">
        <v>816</v>
      </c>
      <c r="C475" t="s">
        <v>1424</v>
      </c>
    </row>
    <row r="476" spans="1:3" x14ac:dyDescent="0.25">
      <c r="A476">
        <v>475</v>
      </c>
      <c r="B476" t="s">
        <v>179</v>
      </c>
      <c r="C476" t="s">
        <v>1425</v>
      </c>
    </row>
    <row r="477" spans="1:3" x14ac:dyDescent="0.25">
      <c r="A477">
        <v>476</v>
      </c>
      <c r="B477" t="s">
        <v>235</v>
      </c>
      <c r="C477" t="s">
        <v>1426</v>
      </c>
    </row>
    <row r="478" spans="1:3" x14ac:dyDescent="0.25">
      <c r="A478">
        <v>477</v>
      </c>
      <c r="B478" t="s">
        <v>584</v>
      </c>
      <c r="C478" t="s">
        <v>1427</v>
      </c>
    </row>
    <row r="479" spans="1:3" x14ac:dyDescent="0.25">
      <c r="A479">
        <v>478</v>
      </c>
      <c r="B479" t="s">
        <v>696</v>
      </c>
      <c r="C479" t="s">
        <v>1428</v>
      </c>
    </row>
    <row r="480" spans="1:3" x14ac:dyDescent="0.25">
      <c r="A480">
        <v>479</v>
      </c>
      <c r="B480" t="s">
        <v>700</v>
      </c>
      <c r="C480" t="s">
        <v>1429</v>
      </c>
    </row>
    <row r="481" spans="1:3" x14ac:dyDescent="0.25">
      <c r="A481">
        <v>480</v>
      </c>
      <c r="B481" t="s">
        <v>712</v>
      </c>
      <c r="C481" t="s">
        <v>1430</v>
      </c>
    </row>
    <row r="482" spans="1:3" x14ac:dyDescent="0.25">
      <c r="A482">
        <v>481</v>
      </c>
      <c r="B482" t="s">
        <v>716</v>
      </c>
      <c r="C482" t="s">
        <v>1431</v>
      </c>
    </row>
    <row r="483" spans="1:3" x14ac:dyDescent="0.25">
      <c r="A483">
        <v>482</v>
      </c>
      <c r="B483" t="s">
        <v>721</v>
      </c>
      <c r="C483" t="s">
        <v>1432</v>
      </c>
    </row>
    <row r="484" spans="1:3" x14ac:dyDescent="0.25">
      <c r="A484">
        <v>483</v>
      </c>
      <c r="B484" t="s">
        <v>725</v>
      </c>
      <c r="C484" t="s">
        <v>1433</v>
      </c>
    </row>
    <row r="485" spans="1:3" x14ac:dyDescent="0.25">
      <c r="A485">
        <v>484</v>
      </c>
      <c r="B485" t="s">
        <v>737</v>
      </c>
      <c r="C485" t="s">
        <v>1434</v>
      </c>
    </row>
    <row r="486" spans="1:3" x14ac:dyDescent="0.25">
      <c r="A486">
        <v>485</v>
      </c>
      <c r="B486" t="s">
        <v>772</v>
      </c>
      <c r="C486" t="s">
        <v>1435</v>
      </c>
    </row>
    <row r="487" spans="1:3" x14ac:dyDescent="0.25">
      <c r="A487">
        <v>486</v>
      </c>
      <c r="B487" t="s">
        <v>777</v>
      </c>
      <c r="C487" t="s">
        <v>1436</v>
      </c>
    </row>
    <row r="488" spans="1:3" x14ac:dyDescent="0.25">
      <c r="A488">
        <v>487</v>
      </c>
      <c r="B488" t="s">
        <v>785</v>
      </c>
      <c r="C488" t="s">
        <v>1437</v>
      </c>
    </row>
    <row r="489" spans="1:3" x14ac:dyDescent="0.25">
      <c r="A489">
        <v>488</v>
      </c>
      <c r="B489" t="s">
        <v>790</v>
      </c>
      <c r="C489" t="s">
        <v>1438</v>
      </c>
    </row>
    <row r="490" spans="1:3" x14ac:dyDescent="0.25">
      <c r="A490">
        <v>489</v>
      </c>
      <c r="B490" t="s">
        <v>794</v>
      </c>
      <c r="C490" t="s">
        <v>1439</v>
      </c>
    </row>
    <row r="491" spans="1:3" x14ac:dyDescent="0.25">
      <c r="A491">
        <v>490</v>
      </c>
      <c r="B491" t="s">
        <v>799</v>
      </c>
      <c r="C491" t="s">
        <v>1440</v>
      </c>
    </row>
    <row r="492" spans="1:3" x14ac:dyDescent="0.25">
      <c r="A492">
        <v>491</v>
      </c>
      <c r="B492" t="s">
        <v>803</v>
      </c>
      <c r="C492" t="s">
        <v>1441</v>
      </c>
    </row>
    <row r="493" spans="1:3" x14ac:dyDescent="0.25">
      <c r="A493">
        <v>492</v>
      </c>
      <c r="B493" t="s">
        <v>311</v>
      </c>
      <c r="C493" t="s">
        <v>1442</v>
      </c>
    </row>
    <row r="494" spans="1:3" x14ac:dyDescent="0.25">
      <c r="A494">
        <v>493</v>
      </c>
      <c r="B494" t="s">
        <v>532</v>
      </c>
      <c r="C494" t="s">
        <v>1443</v>
      </c>
    </row>
    <row r="495" spans="1:3" x14ac:dyDescent="0.25">
      <c r="A495">
        <v>494</v>
      </c>
      <c r="B495" t="s">
        <v>367</v>
      </c>
      <c r="C495" t="s">
        <v>1444</v>
      </c>
    </row>
    <row r="496" spans="1:3" x14ac:dyDescent="0.25">
      <c r="A496">
        <v>495</v>
      </c>
      <c r="B496" t="s">
        <v>742</v>
      </c>
      <c r="C496" t="s">
        <v>1445</v>
      </c>
    </row>
    <row r="497" spans="1:3" x14ac:dyDescent="0.25">
      <c r="A497">
        <v>496</v>
      </c>
      <c r="B497" t="s">
        <v>747</v>
      </c>
      <c r="C497" t="s">
        <v>1446</v>
      </c>
    </row>
    <row r="498" spans="1:3" x14ac:dyDescent="0.25">
      <c r="A498">
        <v>497</v>
      </c>
      <c r="B498" t="s">
        <v>751</v>
      </c>
      <c r="C498" t="s">
        <v>1447</v>
      </c>
    </row>
    <row r="499" spans="1:3" x14ac:dyDescent="0.25">
      <c r="A499">
        <v>498</v>
      </c>
      <c r="B499" t="s">
        <v>763</v>
      </c>
      <c r="C499" t="s">
        <v>1448</v>
      </c>
    </row>
    <row r="500" spans="1:3" x14ac:dyDescent="0.25">
      <c r="A500">
        <v>499</v>
      </c>
      <c r="B500" t="s">
        <v>768</v>
      </c>
      <c r="C500" t="s">
        <v>1449</v>
      </c>
    </row>
    <row r="501" spans="1:3" x14ac:dyDescent="0.25">
      <c r="A501">
        <v>500</v>
      </c>
      <c r="B501" t="s">
        <v>1450</v>
      </c>
      <c r="C501" t="s">
        <v>1451</v>
      </c>
    </row>
    <row r="502" spans="1:3" x14ac:dyDescent="0.25">
      <c r="A502">
        <v>501</v>
      </c>
      <c r="B502" t="s">
        <v>37</v>
      </c>
      <c r="C502" t="s">
        <v>1452</v>
      </c>
    </row>
    <row r="503" spans="1:3" x14ac:dyDescent="0.25">
      <c r="A503">
        <v>502</v>
      </c>
      <c r="B503" t="s">
        <v>43</v>
      </c>
      <c r="C503" t="s">
        <v>1453</v>
      </c>
    </row>
    <row r="504" spans="1:3" x14ac:dyDescent="0.25">
      <c r="A504">
        <v>503</v>
      </c>
      <c r="B504" t="s">
        <v>57</v>
      </c>
      <c r="C504" t="s">
        <v>1454</v>
      </c>
    </row>
    <row r="505" spans="1:3" x14ac:dyDescent="0.25">
      <c r="A505">
        <v>504</v>
      </c>
      <c r="B505" t="s">
        <v>71</v>
      </c>
      <c r="C505" t="s">
        <v>1455</v>
      </c>
    </row>
    <row r="506" spans="1:3" x14ac:dyDescent="0.25">
      <c r="A506">
        <v>505</v>
      </c>
      <c r="B506" t="s">
        <v>85</v>
      </c>
      <c r="C506" t="s">
        <v>1456</v>
      </c>
    </row>
    <row r="507" spans="1:3" x14ac:dyDescent="0.25">
      <c r="A507">
        <v>506</v>
      </c>
      <c r="B507" t="s">
        <v>99</v>
      </c>
      <c r="C507" t="s">
        <v>1457</v>
      </c>
    </row>
    <row r="508" spans="1:3" x14ac:dyDescent="0.25">
      <c r="A508">
        <v>507</v>
      </c>
      <c r="B508" t="s">
        <v>115</v>
      </c>
      <c r="C508" t="s">
        <v>1458</v>
      </c>
    </row>
    <row r="509" spans="1:3" x14ac:dyDescent="0.25">
      <c r="A509">
        <v>508</v>
      </c>
      <c r="B509" t="s">
        <v>121</v>
      </c>
      <c r="C509" t="s">
        <v>1459</v>
      </c>
    </row>
    <row r="510" spans="1:3" x14ac:dyDescent="0.25">
      <c r="A510">
        <v>509</v>
      </c>
      <c r="B510" t="s">
        <v>135</v>
      </c>
      <c r="C510" t="s">
        <v>1460</v>
      </c>
    </row>
    <row r="511" spans="1:3" x14ac:dyDescent="0.25">
      <c r="A511">
        <v>510</v>
      </c>
      <c r="B511" t="s">
        <v>149</v>
      </c>
      <c r="C511" t="s">
        <v>1461</v>
      </c>
    </row>
    <row r="512" spans="1:3" x14ac:dyDescent="0.25">
      <c r="A512">
        <v>511</v>
      </c>
      <c r="B512" t="s">
        <v>165</v>
      </c>
      <c r="C512" t="s">
        <v>1462</v>
      </c>
    </row>
    <row r="513" spans="1:3" x14ac:dyDescent="0.25">
      <c r="A513">
        <v>512</v>
      </c>
      <c r="B513" t="s">
        <v>193</v>
      </c>
      <c r="C513" t="s">
        <v>1463</v>
      </c>
    </row>
    <row r="514" spans="1:3" x14ac:dyDescent="0.25">
      <c r="A514">
        <v>513</v>
      </c>
      <c r="B514" t="s">
        <v>207</v>
      </c>
      <c r="C514" t="s">
        <v>1464</v>
      </c>
    </row>
    <row r="515" spans="1:3" x14ac:dyDescent="0.25">
      <c r="A515">
        <v>514</v>
      </c>
      <c r="B515" t="s">
        <v>221</v>
      </c>
      <c r="C515" t="s">
        <v>1465</v>
      </c>
    </row>
    <row r="516" spans="1:3" x14ac:dyDescent="0.25">
      <c r="A516">
        <v>515</v>
      </c>
      <c r="B516" t="s">
        <v>249</v>
      </c>
      <c r="C516" t="s">
        <v>1466</v>
      </c>
    </row>
    <row r="517" spans="1:3" x14ac:dyDescent="0.25">
      <c r="A517">
        <v>516</v>
      </c>
      <c r="B517" t="s">
        <v>263</v>
      </c>
      <c r="C517" t="s">
        <v>1467</v>
      </c>
    </row>
    <row r="518" spans="1:3" x14ac:dyDescent="0.25">
      <c r="A518">
        <v>517</v>
      </c>
      <c r="B518" t="s">
        <v>283</v>
      </c>
      <c r="C518" t="s">
        <v>1468</v>
      </c>
    </row>
    <row r="519" spans="1:3" x14ac:dyDescent="0.25">
      <c r="A519">
        <v>518</v>
      </c>
      <c r="B519" t="s">
        <v>297</v>
      </c>
      <c r="C519" t="s">
        <v>1469</v>
      </c>
    </row>
    <row r="520" spans="1:3" x14ac:dyDescent="0.25">
      <c r="A520">
        <v>519</v>
      </c>
      <c r="B520" t="s">
        <v>325</v>
      </c>
      <c r="C520" t="s">
        <v>1470</v>
      </c>
    </row>
    <row r="521" spans="1:3" x14ac:dyDescent="0.25">
      <c r="A521">
        <v>520</v>
      </c>
      <c r="B521" t="s">
        <v>339</v>
      </c>
      <c r="C521" t="s">
        <v>1471</v>
      </c>
    </row>
    <row r="522" spans="1:3" x14ac:dyDescent="0.25">
      <c r="A522">
        <v>521</v>
      </c>
      <c r="B522" t="s">
        <v>353</v>
      </c>
      <c r="C522" t="s">
        <v>1472</v>
      </c>
    </row>
    <row r="523" spans="1:3" x14ac:dyDescent="0.25">
      <c r="A523">
        <v>522</v>
      </c>
      <c r="B523" t="s">
        <v>380</v>
      </c>
      <c r="C523" t="s">
        <v>1473</v>
      </c>
    </row>
    <row r="524" spans="1:3" x14ac:dyDescent="0.25">
      <c r="A524">
        <v>523</v>
      </c>
      <c r="B524" t="s">
        <v>394</v>
      </c>
      <c r="C524" t="s">
        <v>1474</v>
      </c>
    </row>
    <row r="525" spans="1:3" x14ac:dyDescent="0.25">
      <c r="A525">
        <v>524</v>
      </c>
      <c r="B525" t="s">
        <v>408</v>
      </c>
      <c r="C525" t="s">
        <v>1475</v>
      </c>
    </row>
    <row r="526" spans="1:3" x14ac:dyDescent="0.25">
      <c r="A526">
        <v>525</v>
      </c>
      <c r="B526" t="s">
        <v>422</v>
      </c>
      <c r="C526" t="s">
        <v>1476</v>
      </c>
    </row>
    <row r="527" spans="1:3" x14ac:dyDescent="0.25">
      <c r="A527">
        <v>526</v>
      </c>
      <c r="B527" t="s">
        <v>436</v>
      </c>
      <c r="C527" t="s">
        <v>1477</v>
      </c>
    </row>
    <row r="528" spans="1:3" x14ac:dyDescent="0.25">
      <c r="A528">
        <v>527</v>
      </c>
      <c r="B528" t="s">
        <v>450</v>
      </c>
      <c r="C528" t="s">
        <v>1478</v>
      </c>
    </row>
    <row r="529" spans="1:3" x14ac:dyDescent="0.25">
      <c r="A529">
        <v>528</v>
      </c>
      <c r="B529" t="s">
        <v>464</v>
      </c>
      <c r="C529" t="s">
        <v>1479</v>
      </c>
    </row>
    <row r="530" spans="1:3" x14ac:dyDescent="0.25">
      <c r="A530">
        <v>529</v>
      </c>
      <c r="B530" t="s">
        <v>476</v>
      </c>
      <c r="C530" t="s">
        <v>1480</v>
      </c>
    </row>
    <row r="531" spans="1:3" x14ac:dyDescent="0.25">
      <c r="A531">
        <v>530</v>
      </c>
      <c r="B531" t="s">
        <v>490</v>
      </c>
      <c r="C531" t="s">
        <v>1481</v>
      </c>
    </row>
    <row r="532" spans="1:3" x14ac:dyDescent="0.25">
      <c r="A532">
        <v>531</v>
      </c>
      <c r="B532" t="s">
        <v>504</v>
      </c>
      <c r="C532" t="s">
        <v>1482</v>
      </c>
    </row>
    <row r="533" spans="1:3" x14ac:dyDescent="0.25">
      <c r="A533">
        <v>532</v>
      </c>
      <c r="B533" t="s">
        <v>518</v>
      </c>
      <c r="C533" t="s">
        <v>1483</v>
      </c>
    </row>
    <row r="534" spans="1:3" x14ac:dyDescent="0.25">
      <c r="A534">
        <v>533</v>
      </c>
      <c r="B534" t="s">
        <v>545</v>
      </c>
      <c r="C534" t="s">
        <v>1484</v>
      </c>
    </row>
    <row r="535" spans="1:3" x14ac:dyDescent="0.25">
      <c r="A535">
        <v>534</v>
      </c>
      <c r="B535" t="s">
        <v>559</v>
      </c>
      <c r="C535" t="s">
        <v>1485</v>
      </c>
    </row>
    <row r="536" spans="1:3" x14ac:dyDescent="0.25">
      <c r="A536">
        <v>535</v>
      </c>
      <c r="B536" t="s">
        <v>571</v>
      </c>
      <c r="C536" t="s">
        <v>1486</v>
      </c>
    </row>
    <row r="537" spans="1:3" x14ac:dyDescent="0.25">
      <c r="A537">
        <v>536</v>
      </c>
      <c r="B537" t="s">
        <v>692</v>
      </c>
      <c r="C537" t="s">
        <v>1487</v>
      </c>
    </row>
    <row r="538" spans="1:3" x14ac:dyDescent="0.25">
      <c r="A538">
        <v>537</v>
      </c>
      <c r="B538" t="s">
        <v>693</v>
      </c>
      <c r="C538" t="s">
        <v>1488</v>
      </c>
    </row>
    <row r="539" spans="1:3" x14ac:dyDescent="0.25">
      <c r="A539">
        <v>538</v>
      </c>
      <c r="B539" t="s">
        <v>694</v>
      </c>
      <c r="C539" t="s">
        <v>1489</v>
      </c>
    </row>
    <row r="540" spans="1:3" x14ac:dyDescent="0.25">
      <c r="A540">
        <v>539</v>
      </c>
      <c r="B540" t="s">
        <v>695</v>
      </c>
      <c r="C540" t="s">
        <v>1490</v>
      </c>
    </row>
    <row r="541" spans="1:3" x14ac:dyDescent="0.25">
      <c r="A541">
        <v>540</v>
      </c>
      <c r="B541" t="s">
        <v>697</v>
      </c>
      <c r="C541" t="s">
        <v>1491</v>
      </c>
    </row>
    <row r="542" spans="1:3" x14ac:dyDescent="0.25">
      <c r="A542">
        <v>541</v>
      </c>
      <c r="B542" t="s">
        <v>698</v>
      </c>
      <c r="C542" t="s">
        <v>1492</v>
      </c>
    </row>
    <row r="543" spans="1:3" x14ac:dyDescent="0.25">
      <c r="A543">
        <v>542</v>
      </c>
      <c r="B543" t="s">
        <v>699</v>
      </c>
      <c r="C543" t="s">
        <v>1493</v>
      </c>
    </row>
    <row r="544" spans="1:3" x14ac:dyDescent="0.25">
      <c r="A544">
        <v>543</v>
      </c>
      <c r="B544" t="s">
        <v>701</v>
      </c>
      <c r="C544" t="s">
        <v>1494</v>
      </c>
    </row>
    <row r="545" spans="1:3" x14ac:dyDescent="0.25">
      <c r="A545">
        <v>544</v>
      </c>
      <c r="B545" t="s">
        <v>702</v>
      </c>
      <c r="C545" t="s">
        <v>1495</v>
      </c>
    </row>
    <row r="546" spans="1:3" x14ac:dyDescent="0.25">
      <c r="A546">
        <v>545</v>
      </c>
      <c r="B546" t="s">
        <v>703</v>
      </c>
      <c r="C546" t="s">
        <v>1496</v>
      </c>
    </row>
    <row r="547" spans="1:3" x14ac:dyDescent="0.25">
      <c r="A547">
        <v>546</v>
      </c>
      <c r="B547" t="s">
        <v>704</v>
      </c>
      <c r="C547" t="s">
        <v>1497</v>
      </c>
    </row>
    <row r="548" spans="1:3" x14ac:dyDescent="0.25">
      <c r="A548">
        <v>547</v>
      </c>
      <c r="B548" t="s">
        <v>705</v>
      </c>
      <c r="C548" t="s">
        <v>1498</v>
      </c>
    </row>
    <row r="549" spans="1:3" x14ac:dyDescent="0.25">
      <c r="A549">
        <v>548</v>
      </c>
      <c r="B549" t="s">
        <v>706</v>
      </c>
      <c r="C549" t="s">
        <v>1499</v>
      </c>
    </row>
    <row r="550" spans="1:3" x14ac:dyDescent="0.25">
      <c r="A550">
        <v>549</v>
      </c>
      <c r="B550" t="s">
        <v>707</v>
      </c>
      <c r="C550" t="s">
        <v>1500</v>
      </c>
    </row>
    <row r="551" spans="1:3" x14ac:dyDescent="0.25">
      <c r="A551">
        <v>550</v>
      </c>
      <c r="B551" t="s">
        <v>708</v>
      </c>
      <c r="C551" t="s">
        <v>1501</v>
      </c>
    </row>
    <row r="552" spans="1:3" x14ac:dyDescent="0.25">
      <c r="A552">
        <v>551</v>
      </c>
      <c r="B552" t="s">
        <v>709</v>
      </c>
      <c r="C552" t="s">
        <v>1502</v>
      </c>
    </row>
    <row r="553" spans="1:3" x14ac:dyDescent="0.25">
      <c r="A553">
        <v>552</v>
      </c>
      <c r="B553" t="s">
        <v>710</v>
      </c>
      <c r="C553" t="s">
        <v>1503</v>
      </c>
    </row>
    <row r="554" spans="1:3" x14ac:dyDescent="0.25">
      <c r="A554">
        <v>553</v>
      </c>
      <c r="B554" t="s">
        <v>711</v>
      </c>
      <c r="C554" t="s">
        <v>1504</v>
      </c>
    </row>
    <row r="555" spans="1:3" x14ac:dyDescent="0.25">
      <c r="A555">
        <v>554</v>
      </c>
      <c r="B555" t="s">
        <v>713</v>
      </c>
      <c r="C555" t="s">
        <v>1505</v>
      </c>
    </row>
    <row r="556" spans="1:3" x14ac:dyDescent="0.25">
      <c r="A556">
        <v>555</v>
      </c>
      <c r="B556" t="s">
        <v>714</v>
      </c>
      <c r="C556" t="s">
        <v>1506</v>
      </c>
    </row>
    <row r="557" spans="1:3" x14ac:dyDescent="0.25">
      <c r="A557">
        <v>556</v>
      </c>
      <c r="B557" t="s">
        <v>715</v>
      </c>
      <c r="C557" t="s">
        <v>1507</v>
      </c>
    </row>
    <row r="558" spans="1:3" x14ac:dyDescent="0.25">
      <c r="A558">
        <v>557</v>
      </c>
      <c r="B558" t="s">
        <v>717</v>
      </c>
      <c r="C558" t="s">
        <v>1508</v>
      </c>
    </row>
    <row r="559" spans="1:3" x14ac:dyDescent="0.25">
      <c r="A559">
        <v>558</v>
      </c>
      <c r="B559" t="s">
        <v>718</v>
      </c>
      <c r="C559" t="s">
        <v>1509</v>
      </c>
    </row>
    <row r="560" spans="1:3" x14ac:dyDescent="0.25">
      <c r="A560">
        <v>559</v>
      </c>
      <c r="B560" t="s">
        <v>719</v>
      </c>
      <c r="C560" t="s">
        <v>1510</v>
      </c>
    </row>
    <row r="561" spans="1:3" x14ac:dyDescent="0.25">
      <c r="A561">
        <v>560</v>
      </c>
      <c r="B561" t="s">
        <v>720</v>
      </c>
      <c r="C561" t="s">
        <v>1511</v>
      </c>
    </row>
    <row r="562" spans="1:3" x14ac:dyDescent="0.25">
      <c r="A562">
        <v>561</v>
      </c>
      <c r="B562" t="s">
        <v>722</v>
      </c>
      <c r="C562" t="s">
        <v>1512</v>
      </c>
    </row>
    <row r="563" spans="1:3" x14ac:dyDescent="0.25">
      <c r="A563">
        <v>562</v>
      </c>
      <c r="B563" t="s">
        <v>723</v>
      </c>
      <c r="C563" t="s">
        <v>1513</v>
      </c>
    </row>
    <row r="564" spans="1:3" x14ac:dyDescent="0.25">
      <c r="A564">
        <v>563</v>
      </c>
      <c r="B564" t="s">
        <v>724</v>
      </c>
      <c r="C564" t="s">
        <v>1514</v>
      </c>
    </row>
    <row r="565" spans="1:3" x14ac:dyDescent="0.25">
      <c r="A565">
        <v>564</v>
      </c>
      <c r="B565" t="s">
        <v>726</v>
      </c>
      <c r="C565" t="s">
        <v>1515</v>
      </c>
    </row>
    <row r="566" spans="1:3" x14ac:dyDescent="0.25">
      <c r="A566">
        <v>565</v>
      </c>
      <c r="B566" t="s">
        <v>727</v>
      </c>
      <c r="C566" t="s">
        <v>1516</v>
      </c>
    </row>
    <row r="567" spans="1:3" x14ac:dyDescent="0.25">
      <c r="A567">
        <v>566</v>
      </c>
      <c r="B567" t="s">
        <v>728</v>
      </c>
      <c r="C567" t="s">
        <v>1517</v>
      </c>
    </row>
    <row r="568" spans="1:3" x14ac:dyDescent="0.25">
      <c r="A568">
        <v>567</v>
      </c>
      <c r="B568" t="s">
        <v>729</v>
      </c>
      <c r="C568" t="s">
        <v>1518</v>
      </c>
    </row>
    <row r="569" spans="1:3" x14ac:dyDescent="0.25">
      <c r="A569">
        <v>568</v>
      </c>
      <c r="B569" t="s">
        <v>730</v>
      </c>
      <c r="C569" t="s">
        <v>1519</v>
      </c>
    </row>
    <row r="570" spans="1:3" x14ac:dyDescent="0.25">
      <c r="A570">
        <v>569</v>
      </c>
      <c r="B570" t="s">
        <v>731</v>
      </c>
      <c r="C570" t="s">
        <v>1520</v>
      </c>
    </row>
    <row r="571" spans="1:3" x14ac:dyDescent="0.25">
      <c r="A571">
        <v>570</v>
      </c>
      <c r="B571" t="s">
        <v>732</v>
      </c>
      <c r="C571" t="s">
        <v>1521</v>
      </c>
    </row>
    <row r="572" spans="1:3" x14ac:dyDescent="0.25">
      <c r="A572">
        <v>571</v>
      </c>
      <c r="B572" t="s">
        <v>733</v>
      </c>
      <c r="C572" t="s">
        <v>1522</v>
      </c>
    </row>
    <row r="573" spans="1:3" x14ac:dyDescent="0.25">
      <c r="A573">
        <v>572</v>
      </c>
      <c r="B573" t="s">
        <v>734</v>
      </c>
      <c r="C573" t="s">
        <v>1523</v>
      </c>
    </row>
    <row r="574" spans="1:3" x14ac:dyDescent="0.25">
      <c r="A574">
        <v>573</v>
      </c>
      <c r="B574" t="s">
        <v>735</v>
      </c>
      <c r="C574" t="s">
        <v>1524</v>
      </c>
    </row>
    <row r="575" spans="1:3" x14ac:dyDescent="0.25">
      <c r="A575">
        <v>574</v>
      </c>
      <c r="B575" t="s">
        <v>736</v>
      </c>
      <c r="C575" t="s">
        <v>1525</v>
      </c>
    </row>
    <row r="576" spans="1:3" x14ac:dyDescent="0.25">
      <c r="A576">
        <v>575</v>
      </c>
      <c r="B576" t="s">
        <v>738</v>
      </c>
      <c r="C576" t="s">
        <v>1526</v>
      </c>
    </row>
    <row r="577" spans="1:3" x14ac:dyDescent="0.25">
      <c r="A577">
        <v>576</v>
      </c>
      <c r="B577" t="s">
        <v>740</v>
      </c>
      <c r="C577" t="s">
        <v>1527</v>
      </c>
    </row>
    <row r="578" spans="1:3" x14ac:dyDescent="0.25">
      <c r="A578">
        <v>577</v>
      </c>
      <c r="B578" t="s">
        <v>741</v>
      </c>
      <c r="C578" t="s">
        <v>1528</v>
      </c>
    </row>
    <row r="579" spans="1:3" x14ac:dyDescent="0.25">
      <c r="A579">
        <v>578</v>
      </c>
      <c r="B579" t="s">
        <v>743</v>
      </c>
      <c r="C579" t="s">
        <v>1529</v>
      </c>
    </row>
    <row r="580" spans="1:3" x14ac:dyDescent="0.25">
      <c r="A580">
        <v>579</v>
      </c>
      <c r="B580" t="s">
        <v>744</v>
      </c>
      <c r="C580" t="s">
        <v>1530</v>
      </c>
    </row>
    <row r="581" spans="1:3" x14ac:dyDescent="0.25">
      <c r="A581">
        <v>580</v>
      </c>
      <c r="B581" t="s">
        <v>745</v>
      </c>
      <c r="C581" t="s">
        <v>1531</v>
      </c>
    </row>
    <row r="582" spans="1:3" x14ac:dyDescent="0.25">
      <c r="A582">
        <v>581</v>
      </c>
      <c r="B582" t="s">
        <v>746</v>
      </c>
      <c r="C582" t="s">
        <v>1532</v>
      </c>
    </row>
    <row r="583" spans="1:3" x14ac:dyDescent="0.25">
      <c r="A583">
        <v>582</v>
      </c>
      <c r="B583" t="s">
        <v>748</v>
      </c>
      <c r="C583" t="s">
        <v>1533</v>
      </c>
    </row>
    <row r="584" spans="1:3" x14ac:dyDescent="0.25">
      <c r="A584">
        <v>583</v>
      </c>
      <c r="B584" t="s">
        <v>749</v>
      </c>
      <c r="C584" t="s">
        <v>1534</v>
      </c>
    </row>
    <row r="585" spans="1:3" x14ac:dyDescent="0.25">
      <c r="A585">
        <v>584</v>
      </c>
      <c r="B585" t="s">
        <v>750</v>
      </c>
      <c r="C585" t="s">
        <v>1535</v>
      </c>
    </row>
    <row r="586" spans="1:3" x14ac:dyDescent="0.25">
      <c r="A586">
        <v>585</v>
      </c>
      <c r="B586" t="s">
        <v>752</v>
      </c>
      <c r="C586" t="s">
        <v>1536</v>
      </c>
    </row>
    <row r="587" spans="1:3" x14ac:dyDescent="0.25">
      <c r="A587">
        <v>586</v>
      </c>
      <c r="B587" t="s">
        <v>753</v>
      </c>
      <c r="C587" t="s">
        <v>1537</v>
      </c>
    </row>
    <row r="588" spans="1:3" x14ac:dyDescent="0.25">
      <c r="A588">
        <v>587</v>
      </c>
      <c r="B588" t="s">
        <v>754</v>
      </c>
      <c r="C588" t="s">
        <v>1538</v>
      </c>
    </row>
    <row r="589" spans="1:3" x14ac:dyDescent="0.25">
      <c r="A589">
        <v>588</v>
      </c>
      <c r="B589" t="s">
        <v>755</v>
      </c>
      <c r="C589" t="s">
        <v>1539</v>
      </c>
    </row>
    <row r="590" spans="1:3" x14ac:dyDescent="0.25">
      <c r="A590">
        <v>589</v>
      </c>
      <c r="B590" t="s">
        <v>756</v>
      </c>
      <c r="C590" t="s">
        <v>1540</v>
      </c>
    </row>
    <row r="591" spans="1:3" x14ac:dyDescent="0.25">
      <c r="A591">
        <v>590</v>
      </c>
      <c r="B591" t="s">
        <v>757</v>
      </c>
      <c r="C591" t="s">
        <v>1541</v>
      </c>
    </row>
    <row r="592" spans="1:3" x14ac:dyDescent="0.25">
      <c r="A592">
        <v>591</v>
      </c>
      <c r="B592" t="s">
        <v>758</v>
      </c>
      <c r="C592" t="s">
        <v>1542</v>
      </c>
    </row>
    <row r="593" spans="1:3" x14ac:dyDescent="0.25">
      <c r="A593">
        <v>592</v>
      </c>
      <c r="B593" t="s">
        <v>759</v>
      </c>
      <c r="C593" t="s">
        <v>1543</v>
      </c>
    </row>
    <row r="594" spans="1:3" x14ac:dyDescent="0.25">
      <c r="A594">
        <v>593</v>
      </c>
      <c r="B594" t="s">
        <v>760</v>
      </c>
      <c r="C594" t="s">
        <v>1544</v>
      </c>
    </row>
    <row r="595" spans="1:3" x14ac:dyDescent="0.25">
      <c r="A595">
        <v>594</v>
      </c>
      <c r="B595" t="s">
        <v>762</v>
      </c>
      <c r="C595" t="s">
        <v>1545</v>
      </c>
    </row>
    <row r="596" spans="1:3" x14ac:dyDescent="0.25">
      <c r="A596">
        <v>595</v>
      </c>
      <c r="B596" t="s">
        <v>764</v>
      </c>
      <c r="C596" t="s">
        <v>1546</v>
      </c>
    </row>
    <row r="597" spans="1:3" x14ac:dyDescent="0.25">
      <c r="A597">
        <v>596</v>
      </c>
      <c r="B597" t="s">
        <v>765</v>
      </c>
      <c r="C597" t="s">
        <v>1547</v>
      </c>
    </row>
    <row r="598" spans="1:3" x14ac:dyDescent="0.25">
      <c r="A598">
        <v>597</v>
      </c>
      <c r="B598" t="s">
        <v>766</v>
      </c>
      <c r="C598" t="s">
        <v>1548</v>
      </c>
    </row>
    <row r="599" spans="1:3" x14ac:dyDescent="0.25">
      <c r="A599">
        <v>598</v>
      </c>
      <c r="B599" t="s">
        <v>767</v>
      </c>
      <c r="C599" t="s">
        <v>1549</v>
      </c>
    </row>
    <row r="600" spans="1:3" x14ac:dyDescent="0.25">
      <c r="A600">
        <v>599</v>
      </c>
      <c r="B600" t="s">
        <v>769</v>
      </c>
      <c r="C600" t="s">
        <v>1550</v>
      </c>
    </row>
    <row r="601" spans="1:3" x14ac:dyDescent="0.25">
      <c r="A601">
        <v>600</v>
      </c>
      <c r="B601" t="s">
        <v>770</v>
      </c>
      <c r="C601" t="s">
        <v>1551</v>
      </c>
    </row>
    <row r="602" spans="1:3" x14ac:dyDescent="0.25">
      <c r="A602">
        <v>601</v>
      </c>
      <c r="B602" t="s">
        <v>771</v>
      </c>
      <c r="C602" t="s">
        <v>1552</v>
      </c>
    </row>
    <row r="603" spans="1:3" x14ac:dyDescent="0.25">
      <c r="A603">
        <v>602</v>
      </c>
      <c r="B603" t="s">
        <v>773</v>
      </c>
      <c r="C603" t="s">
        <v>1553</v>
      </c>
    </row>
    <row r="604" spans="1:3" x14ac:dyDescent="0.25">
      <c r="A604">
        <v>603</v>
      </c>
      <c r="B604" t="s">
        <v>774</v>
      </c>
      <c r="C604" t="s">
        <v>1554</v>
      </c>
    </row>
    <row r="605" spans="1:3" x14ac:dyDescent="0.25">
      <c r="A605">
        <v>604</v>
      </c>
      <c r="B605" t="s">
        <v>775</v>
      </c>
      <c r="C605" t="s">
        <v>1555</v>
      </c>
    </row>
    <row r="606" spans="1:3" x14ac:dyDescent="0.25">
      <c r="A606">
        <v>605</v>
      </c>
      <c r="B606" t="s">
        <v>776</v>
      </c>
      <c r="C606" t="s">
        <v>1556</v>
      </c>
    </row>
    <row r="607" spans="1:3" x14ac:dyDescent="0.25">
      <c r="A607">
        <v>606</v>
      </c>
      <c r="B607" t="s">
        <v>778</v>
      </c>
      <c r="C607" t="s">
        <v>1557</v>
      </c>
    </row>
    <row r="608" spans="1:3" x14ac:dyDescent="0.25">
      <c r="A608">
        <v>607</v>
      </c>
      <c r="B608" t="s">
        <v>779</v>
      </c>
      <c r="C608" t="s">
        <v>1558</v>
      </c>
    </row>
    <row r="609" spans="1:3" x14ac:dyDescent="0.25">
      <c r="A609">
        <v>608</v>
      </c>
      <c r="B609" t="s">
        <v>780</v>
      </c>
      <c r="C609" t="s">
        <v>1559</v>
      </c>
    </row>
    <row r="610" spans="1:3" x14ac:dyDescent="0.25">
      <c r="A610">
        <v>609</v>
      </c>
      <c r="B610" t="s">
        <v>781</v>
      </c>
      <c r="C610" t="s">
        <v>1560</v>
      </c>
    </row>
    <row r="611" spans="1:3" x14ac:dyDescent="0.25">
      <c r="A611">
        <v>610</v>
      </c>
      <c r="B611" t="s">
        <v>782</v>
      </c>
      <c r="C611" t="s">
        <v>1561</v>
      </c>
    </row>
    <row r="612" spans="1:3" x14ac:dyDescent="0.25">
      <c r="A612">
        <v>611</v>
      </c>
      <c r="B612" t="s">
        <v>783</v>
      </c>
      <c r="C612" t="s">
        <v>1562</v>
      </c>
    </row>
    <row r="613" spans="1:3" x14ac:dyDescent="0.25">
      <c r="A613">
        <v>612</v>
      </c>
      <c r="B613" t="s">
        <v>784</v>
      </c>
      <c r="C613" t="s">
        <v>1563</v>
      </c>
    </row>
    <row r="614" spans="1:3" x14ac:dyDescent="0.25">
      <c r="A614">
        <v>613</v>
      </c>
      <c r="B614" t="s">
        <v>786</v>
      </c>
      <c r="C614" t="s">
        <v>1564</v>
      </c>
    </row>
    <row r="615" spans="1:3" x14ac:dyDescent="0.25">
      <c r="A615">
        <v>614</v>
      </c>
      <c r="B615" t="s">
        <v>787</v>
      </c>
      <c r="C615" t="s">
        <v>1565</v>
      </c>
    </row>
    <row r="616" spans="1:3" x14ac:dyDescent="0.25">
      <c r="A616">
        <v>615</v>
      </c>
      <c r="B616" t="s">
        <v>788</v>
      </c>
      <c r="C616" t="s">
        <v>1566</v>
      </c>
    </row>
    <row r="617" spans="1:3" x14ac:dyDescent="0.25">
      <c r="A617">
        <v>616</v>
      </c>
      <c r="B617" t="s">
        <v>789</v>
      </c>
      <c r="C617" t="s">
        <v>1567</v>
      </c>
    </row>
    <row r="618" spans="1:3" x14ac:dyDescent="0.25">
      <c r="A618">
        <v>617</v>
      </c>
      <c r="B618" t="s">
        <v>791</v>
      </c>
      <c r="C618" t="s">
        <v>1568</v>
      </c>
    </row>
    <row r="619" spans="1:3" x14ac:dyDescent="0.25">
      <c r="A619">
        <v>618</v>
      </c>
      <c r="B619" t="s">
        <v>792</v>
      </c>
      <c r="C619" t="s">
        <v>1569</v>
      </c>
    </row>
    <row r="620" spans="1:3" x14ac:dyDescent="0.25">
      <c r="A620">
        <v>619</v>
      </c>
      <c r="B620" t="s">
        <v>793</v>
      </c>
      <c r="C620" t="s">
        <v>1570</v>
      </c>
    </row>
    <row r="621" spans="1:3" x14ac:dyDescent="0.25">
      <c r="A621">
        <v>620</v>
      </c>
      <c r="B621" t="s">
        <v>795</v>
      </c>
      <c r="C621" t="s">
        <v>1571</v>
      </c>
    </row>
    <row r="622" spans="1:3" x14ac:dyDescent="0.25">
      <c r="A622">
        <v>621</v>
      </c>
      <c r="B622" t="s">
        <v>796</v>
      </c>
      <c r="C622" t="s">
        <v>1572</v>
      </c>
    </row>
    <row r="623" spans="1:3" x14ac:dyDescent="0.25">
      <c r="A623">
        <v>622</v>
      </c>
      <c r="B623" t="s">
        <v>797</v>
      </c>
      <c r="C623" t="s">
        <v>1573</v>
      </c>
    </row>
    <row r="624" spans="1:3" x14ac:dyDescent="0.25">
      <c r="A624">
        <v>623</v>
      </c>
      <c r="B624" t="s">
        <v>798</v>
      </c>
      <c r="C624" t="s">
        <v>1574</v>
      </c>
    </row>
    <row r="625" spans="1:3" x14ac:dyDescent="0.25">
      <c r="A625">
        <v>624</v>
      </c>
      <c r="B625" t="s">
        <v>800</v>
      </c>
      <c r="C625" t="s">
        <v>1575</v>
      </c>
    </row>
    <row r="626" spans="1:3" x14ac:dyDescent="0.25">
      <c r="A626">
        <v>625</v>
      </c>
      <c r="B626" t="s">
        <v>801</v>
      </c>
      <c r="C626" t="s">
        <v>1576</v>
      </c>
    </row>
    <row r="627" spans="1:3" x14ac:dyDescent="0.25">
      <c r="A627">
        <v>626</v>
      </c>
      <c r="B627" t="s">
        <v>802</v>
      </c>
      <c r="C627" t="s">
        <v>1577</v>
      </c>
    </row>
    <row r="628" spans="1:3" x14ac:dyDescent="0.25">
      <c r="A628">
        <v>627</v>
      </c>
      <c r="B628" t="s">
        <v>1578</v>
      </c>
      <c r="C628" t="s">
        <v>1579</v>
      </c>
    </row>
    <row r="629" spans="1:3" x14ac:dyDescent="0.25">
      <c r="A629">
        <v>628</v>
      </c>
      <c r="B629" t="s">
        <v>1580</v>
      </c>
      <c r="C629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User10</dc:creator>
  <cp:lastModifiedBy>IT User Software</cp:lastModifiedBy>
  <dcterms:created xsi:type="dcterms:W3CDTF">2025-03-11T08:02:34Z</dcterms:created>
  <dcterms:modified xsi:type="dcterms:W3CDTF">2025-03-12T06:56:57Z</dcterms:modified>
</cp:coreProperties>
</file>