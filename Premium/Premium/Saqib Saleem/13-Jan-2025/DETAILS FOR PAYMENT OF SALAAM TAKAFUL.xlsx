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mium\Premium\Saqib Saleem\13-Jan-2025\"/>
    </mc:Choice>
  </mc:AlternateContent>
  <xr:revisionPtr revIDLastSave="0" documentId="13_ncr:1_{BCC400B3-910D-4D29-98EA-F0C5D226441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AYMENT ON MONTH OF DEC-2024" sheetId="1" r:id="rId1"/>
    <sheet name="WORKING" sheetId="4" r:id="rId2"/>
    <sheet name="Sheet1" sheetId="2" r:id="rId3"/>
    <sheet name="POLICY" sheetId="3" r:id="rId4"/>
  </sheets>
  <definedNames>
    <definedName name="_xlnm._FilterDatabase" localSheetId="0" hidden="1">'PAYMENT ON MONTH OF DEC-2024'!$A$1:$M$87</definedName>
    <definedName name="_xlnm._FilterDatabase" localSheetId="2" hidden="1">Sheet1!$H$1:$H$86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D88" i="4"/>
  <c r="C8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2" i="4"/>
  <c r="F2" i="4"/>
  <c r="D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2" i="2"/>
  <c r="H2" i="4" l="1"/>
  <c r="M86" i="1" l="1"/>
  <c r="M11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2" i="1"/>
  <c r="F87" i="1"/>
</calcChain>
</file>

<file path=xl/sharedStrings.xml><?xml version="1.0" encoding="utf-8"?>
<sst xmlns="http://schemas.openxmlformats.org/spreadsheetml/2006/main" count="1381" uniqueCount="697">
  <si>
    <t>Contract No.</t>
  </si>
  <si>
    <t>Customer Name</t>
  </si>
  <si>
    <t>CNIC No.</t>
  </si>
  <si>
    <t>Engine No.</t>
  </si>
  <si>
    <t>Chassis No.</t>
  </si>
  <si>
    <t>Premium</t>
  </si>
  <si>
    <t>ACC Number</t>
  </si>
  <si>
    <t>ACC Branch</t>
  </si>
  <si>
    <t>INSURANCE CO.</t>
  </si>
  <si>
    <t>0006437055</t>
  </si>
  <si>
    <t>106</t>
  </si>
  <si>
    <t>SALAAM TAKAFUL PAKISTAN</t>
  </si>
  <si>
    <t>KAMRAN KHAN</t>
  </si>
  <si>
    <t>MUHAMMAD NAEEM</t>
  </si>
  <si>
    <t>FIDA HUSSAIN</t>
  </si>
  <si>
    <t>45505-0393360-5</t>
  </si>
  <si>
    <t>9976AD1242960001</t>
  </si>
  <si>
    <t>MOIZ KHAN</t>
  </si>
  <si>
    <t>42201-0169202-5</t>
  </si>
  <si>
    <t>1001614</t>
  </si>
  <si>
    <t>9976AD2242560001</t>
  </si>
  <si>
    <t>AZEEM KHITAB</t>
  </si>
  <si>
    <t>37405-3883858-7</t>
  </si>
  <si>
    <t>329164</t>
  </si>
  <si>
    <t>1229026</t>
  </si>
  <si>
    <t>9976AP1243400002</t>
  </si>
  <si>
    <t>MUHAMMAD NAVEED KHAN NIAZI</t>
  </si>
  <si>
    <t>42501-8238002-7</t>
  </si>
  <si>
    <t>6R172159</t>
  </si>
  <si>
    <t>H1072139</t>
  </si>
  <si>
    <t>9976AP1243400003</t>
  </si>
  <si>
    <t>SHAKIR ALI IMTIAZ</t>
  </si>
  <si>
    <t>42401-3221628-7</t>
  </si>
  <si>
    <t>6R121384</t>
  </si>
  <si>
    <t>1021361</t>
  </si>
  <si>
    <t>9976AP1243410005</t>
  </si>
  <si>
    <t>MUHAMMAD AMIR</t>
  </si>
  <si>
    <t>42401-2850195-5</t>
  </si>
  <si>
    <t>327421</t>
  </si>
  <si>
    <t>1227275</t>
  </si>
  <si>
    <t>9976AP1243460001</t>
  </si>
  <si>
    <t>AMAN KHURSHID</t>
  </si>
  <si>
    <t>33102-1789872-3</t>
  </si>
  <si>
    <t>6R329945</t>
  </si>
  <si>
    <t>1229887</t>
  </si>
  <si>
    <t>9976AP1243460003</t>
  </si>
  <si>
    <t>MUHAMMAD AYAZ</t>
  </si>
  <si>
    <t>42201-7932103-7</t>
  </si>
  <si>
    <t>6R215933</t>
  </si>
  <si>
    <t>1115919</t>
  </si>
  <si>
    <t>9976AP1243520002</t>
  </si>
  <si>
    <t>FAYYAZ HUSSAIN FAREEDI</t>
  </si>
  <si>
    <t>42101-1858408-1</t>
  </si>
  <si>
    <t>189960</t>
  </si>
  <si>
    <t>9976AP1243530004</t>
  </si>
  <si>
    <t>SYED WAJAHAT ALI RIZVI</t>
  </si>
  <si>
    <t>42000-0409144-5</t>
  </si>
  <si>
    <t>6R151826</t>
  </si>
  <si>
    <t>1051724</t>
  </si>
  <si>
    <t>9976AP1243540001</t>
  </si>
  <si>
    <t>TARIQ NAWAZ</t>
  </si>
  <si>
    <t>42101-7262025-5</t>
  </si>
  <si>
    <t>51029404</t>
  </si>
  <si>
    <t>046350</t>
  </si>
  <si>
    <t>9976AP1243550001</t>
  </si>
  <si>
    <t>MUHAMMAD SHAFIQ</t>
  </si>
  <si>
    <t>32303-2297524-7</t>
  </si>
  <si>
    <t>17514668</t>
  </si>
  <si>
    <t>9976AP1243580011</t>
  </si>
  <si>
    <t>HASSAN AHMED</t>
  </si>
  <si>
    <t>42401-9848846-3</t>
  </si>
  <si>
    <t>6R329022</t>
  </si>
  <si>
    <t>1228844</t>
  </si>
  <si>
    <t>9976AP1243580012</t>
  </si>
  <si>
    <t>SADIA REHMAN</t>
  </si>
  <si>
    <t>42101-1510216-2</t>
  </si>
  <si>
    <t>6R332443</t>
  </si>
  <si>
    <t>1232469</t>
  </si>
  <si>
    <t>9976AP1243580014</t>
  </si>
  <si>
    <t>MUHAMMAD NASIR</t>
  </si>
  <si>
    <t>35102-1215745-9</t>
  </si>
  <si>
    <t>MH300006</t>
  </si>
  <si>
    <t>9976AP1243610023</t>
  </si>
  <si>
    <t>HAFIZ GHULAM HAIDER</t>
  </si>
  <si>
    <t>35202-0272472-9</t>
  </si>
  <si>
    <t>331660</t>
  </si>
  <si>
    <t>1231678</t>
  </si>
  <si>
    <t>9976AP1243610025</t>
  </si>
  <si>
    <t>WAQAS MEHMOOD QURESHI</t>
  </si>
  <si>
    <t>35201-0794528-1</t>
  </si>
  <si>
    <t>17535821</t>
  </si>
  <si>
    <t>9976AP1243610029</t>
  </si>
  <si>
    <t>MUHAMMAD HAMZA AFTAB</t>
  </si>
  <si>
    <t>42101-6620610-7</t>
  </si>
  <si>
    <t>1009852</t>
  </si>
  <si>
    <t>109878</t>
  </si>
  <si>
    <t>9976AP1243650005</t>
  </si>
  <si>
    <t>MEHBOOB UR REHMAN</t>
  </si>
  <si>
    <t>35201-0436908-1</t>
  </si>
  <si>
    <t>6R186519</t>
  </si>
  <si>
    <t>1086543</t>
  </si>
  <si>
    <t>9976AP1243650006</t>
  </si>
  <si>
    <t>SYED MASOOD HUSSAIN</t>
  </si>
  <si>
    <t>42101-0719485-7</t>
  </si>
  <si>
    <t>6R239515</t>
  </si>
  <si>
    <t>1139464</t>
  </si>
  <si>
    <t>9976AP1243650010</t>
  </si>
  <si>
    <t>MOHIUDDIN ADENI</t>
  </si>
  <si>
    <t>42301-7714905-5</t>
  </si>
  <si>
    <t>Q100340</t>
  </si>
  <si>
    <t>6077827</t>
  </si>
  <si>
    <t>9976AP1243660021</t>
  </si>
  <si>
    <t>IMRAN KHUSHI</t>
  </si>
  <si>
    <t>35202-0785259-7</t>
  </si>
  <si>
    <t>6R121748</t>
  </si>
  <si>
    <t>1021754</t>
  </si>
  <si>
    <t>9976AP1243660030</t>
  </si>
  <si>
    <t>MUHAMMAD HUSSAIN</t>
  </si>
  <si>
    <t>42301-3810257-5</t>
  </si>
  <si>
    <t>162271</t>
  </si>
  <si>
    <t>9976AP1243660031</t>
  </si>
  <si>
    <t>GHULAM HAIDER</t>
  </si>
  <si>
    <t>42201-2029519-7</t>
  </si>
  <si>
    <t>Q355798</t>
  </si>
  <si>
    <t>7054893</t>
  </si>
  <si>
    <t>9976AP1243660037</t>
  </si>
  <si>
    <t>FAYAZ ALI SHAH</t>
  </si>
  <si>
    <t>42501-6850000-1</t>
  </si>
  <si>
    <t>6R211431</t>
  </si>
  <si>
    <t>H1111438</t>
  </si>
  <si>
    <t>9976AP1243660038</t>
  </si>
  <si>
    <t>SHOAIB ANJUM</t>
  </si>
  <si>
    <t>33100-8697725-1</t>
  </si>
  <si>
    <t>179410</t>
  </si>
  <si>
    <t>9976AP1243660041</t>
  </si>
  <si>
    <t>JAWAD AHMED ARAIN</t>
  </si>
  <si>
    <t>42201-7058894-5</t>
  </si>
  <si>
    <t>17527427</t>
  </si>
  <si>
    <t>9976AP2243410002</t>
  </si>
  <si>
    <t>MUHAMMAD DANISH</t>
  </si>
  <si>
    <t>42201-3140726-1</t>
  </si>
  <si>
    <t>148115</t>
  </si>
  <si>
    <t>9976AP2243440001</t>
  </si>
  <si>
    <t>SHAGUFTA SOHAIL</t>
  </si>
  <si>
    <t>42401-4149273-6</t>
  </si>
  <si>
    <t>175436</t>
  </si>
  <si>
    <t>9976AP2243510003</t>
  </si>
  <si>
    <t>MUHAMMAD FAHEEM</t>
  </si>
  <si>
    <t>35201-9010452-3</t>
  </si>
  <si>
    <t>329742</t>
  </si>
  <si>
    <t>1229787</t>
  </si>
  <si>
    <t>9976AP2243550001</t>
  </si>
  <si>
    <t>SANA KHAN</t>
  </si>
  <si>
    <t>37405-8030235-8</t>
  </si>
  <si>
    <t>51029549</t>
  </si>
  <si>
    <t>RR046409</t>
  </si>
  <si>
    <t>9976AP2243610010</t>
  </si>
  <si>
    <t>MUNAWAR ABBAS WAZIR</t>
  </si>
  <si>
    <t>42201-0521303-5</t>
  </si>
  <si>
    <t>221958</t>
  </si>
  <si>
    <t>714431</t>
  </si>
  <si>
    <t>9976AP2243620014</t>
  </si>
  <si>
    <t>SAJID ALI</t>
  </si>
  <si>
    <t>35201-5825733-9</t>
  </si>
  <si>
    <t>1001032</t>
  </si>
  <si>
    <t>9976AP2243660008</t>
  </si>
  <si>
    <t>MAH JABEEN ADIL</t>
  </si>
  <si>
    <t>42101-2502305-4</t>
  </si>
  <si>
    <t>68033</t>
  </si>
  <si>
    <t>9976AP2243660010</t>
  </si>
  <si>
    <t>AMJAD KHAN</t>
  </si>
  <si>
    <t>42201-3581366-5</t>
  </si>
  <si>
    <t>294890</t>
  </si>
  <si>
    <t>9976AP2243660013</t>
  </si>
  <si>
    <t>SYED MUHAMMAD FAZLE TEHAMI</t>
  </si>
  <si>
    <t>35202-8625982-1</t>
  </si>
  <si>
    <t>14807808</t>
  </si>
  <si>
    <t>9976AP2243660014</t>
  </si>
  <si>
    <t>IMRAN SHAFIQUE</t>
  </si>
  <si>
    <t>35202-2563167-5</t>
  </si>
  <si>
    <t>205397</t>
  </si>
  <si>
    <t>9976AP2250020001</t>
  </si>
  <si>
    <t>MIR AHMED WASEEM</t>
  </si>
  <si>
    <t>35202-2928596-5</t>
  </si>
  <si>
    <t>331845</t>
  </si>
  <si>
    <t>997AFRA242420003</t>
  </si>
  <si>
    <t>AMBREEN SHAH NAWAZ</t>
  </si>
  <si>
    <t>41306-9569482-6</t>
  </si>
  <si>
    <t>1023913</t>
  </si>
  <si>
    <t>00206548</t>
  </si>
  <si>
    <t>997AFRA242540002</t>
  </si>
  <si>
    <t>RAJA MUKHTAR ALI</t>
  </si>
  <si>
    <t>37405-1699754-9</t>
  </si>
  <si>
    <t>6R330410</t>
  </si>
  <si>
    <t>1230348</t>
  </si>
  <si>
    <t>997AFRA242670009</t>
  </si>
  <si>
    <t>KARAMAT ALI</t>
  </si>
  <si>
    <t>35202-3859236-3</t>
  </si>
  <si>
    <t>1024540</t>
  </si>
  <si>
    <t>997AFRA242680003</t>
  </si>
  <si>
    <t>MUHAMMAD ZIA UL HAQ</t>
  </si>
  <si>
    <t>34502-3001836-7</t>
  </si>
  <si>
    <t>6R330483</t>
  </si>
  <si>
    <t>1230527</t>
  </si>
  <si>
    <t>997AFRA242710009</t>
  </si>
  <si>
    <t>AAMER AMIN</t>
  </si>
  <si>
    <t>35202-2711564-7</t>
  </si>
  <si>
    <t>1024208</t>
  </si>
  <si>
    <t>997AFRA242710010</t>
  </si>
  <si>
    <t>ZAIN UL ABIDEEN SAGAR</t>
  </si>
  <si>
    <t>35102-1340790-7</t>
  </si>
  <si>
    <t>2A71164</t>
  </si>
  <si>
    <t>7048397</t>
  </si>
  <si>
    <t>997AFRA242740001</t>
  </si>
  <si>
    <t>MUHAMMAD OMAR</t>
  </si>
  <si>
    <t>37405-1369932-5</t>
  </si>
  <si>
    <t>2A71260</t>
  </si>
  <si>
    <t>7048497</t>
  </si>
  <si>
    <t>997AFRA243470001</t>
  </si>
  <si>
    <t>FAREED ALAM CHISHTI</t>
  </si>
  <si>
    <t>33100-2007730-3</t>
  </si>
  <si>
    <t>24458525903</t>
  </si>
  <si>
    <t>57S2012039</t>
  </si>
  <si>
    <t>997AFRR243400003</t>
  </si>
  <si>
    <t>SALMA GHULAM</t>
  </si>
  <si>
    <t>33102-9305309-2</t>
  </si>
  <si>
    <t>7550721</t>
  </si>
  <si>
    <t>997AFRR243400004</t>
  </si>
  <si>
    <t>SHEIKH MUHAMMAD YASIR</t>
  </si>
  <si>
    <t>42000-9560062-1</t>
  </si>
  <si>
    <t>112927</t>
  </si>
  <si>
    <t>997AFRR243410011</t>
  </si>
  <si>
    <t>MUHAMMAD SHEHROZ AHMED</t>
  </si>
  <si>
    <t>42101-3724200-5</t>
  </si>
  <si>
    <t>521109</t>
  </si>
  <si>
    <t>997AFRR243410012</t>
  </si>
  <si>
    <t>ABU HURAIRA</t>
  </si>
  <si>
    <t>42201-5482306-7</t>
  </si>
  <si>
    <t>572324</t>
  </si>
  <si>
    <t>997AFRR243410013</t>
  </si>
  <si>
    <t>SYED KASHAN NASIR</t>
  </si>
  <si>
    <t>45504-1074581-1</t>
  </si>
  <si>
    <t>Q087476</t>
  </si>
  <si>
    <t>6064943</t>
  </si>
  <si>
    <t>997AFRR243440009</t>
  </si>
  <si>
    <t>AMINA JAMIL</t>
  </si>
  <si>
    <t>33100-6848671-0</t>
  </si>
  <si>
    <t>566948</t>
  </si>
  <si>
    <t>997AFRR243510005</t>
  </si>
  <si>
    <t>ALI SHAHZAD</t>
  </si>
  <si>
    <t>35202-1886636-0</t>
  </si>
  <si>
    <t>1029303</t>
  </si>
  <si>
    <t>046141</t>
  </si>
  <si>
    <t>997AFRR243510010</t>
  </si>
  <si>
    <t>SYED SHAHEER SHAHID</t>
  </si>
  <si>
    <t>42101-6774457-1</t>
  </si>
  <si>
    <t>192545</t>
  </si>
  <si>
    <t>997AFRR243520001</t>
  </si>
  <si>
    <t>SHAHRUKH SHAKEEL</t>
  </si>
  <si>
    <t>42201-4728265-5</t>
  </si>
  <si>
    <t>17543384</t>
  </si>
  <si>
    <t>997AFRR243520002</t>
  </si>
  <si>
    <t>MUHAMMAD KHABAB KHAN</t>
  </si>
  <si>
    <t>42501-9675193-7</t>
  </si>
  <si>
    <t>Q083343</t>
  </si>
  <si>
    <t>6060829</t>
  </si>
  <si>
    <t>997AFRR243520003</t>
  </si>
  <si>
    <t>AYAZ AHMED</t>
  </si>
  <si>
    <t>42201-0894422-9</t>
  </si>
  <si>
    <t>513123</t>
  </si>
  <si>
    <t>997AFRR243520004</t>
  </si>
  <si>
    <t>ZIKRAN KHAN</t>
  </si>
  <si>
    <t>42201-7400991-5</t>
  </si>
  <si>
    <t>R329058</t>
  </si>
  <si>
    <t>1228837</t>
  </si>
  <si>
    <t>997AFRR243530010</t>
  </si>
  <si>
    <t>SAJJAD YAMIN</t>
  </si>
  <si>
    <t>35202-8570819-3</t>
  </si>
  <si>
    <t>13041445</t>
  </si>
  <si>
    <t>997AFRR243530013</t>
  </si>
  <si>
    <t>ALI RAZA</t>
  </si>
  <si>
    <t>42201-5421027-7</t>
  </si>
  <si>
    <t>17515690</t>
  </si>
  <si>
    <t>997AFRR243530015</t>
  </si>
  <si>
    <t>ANAYAT ULLAH</t>
  </si>
  <si>
    <t>21706-8691135-9</t>
  </si>
  <si>
    <t>6R312835</t>
  </si>
  <si>
    <t>1212747</t>
  </si>
  <si>
    <t>997AFRR243540003</t>
  </si>
  <si>
    <t>AHMAD NOORANI</t>
  </si>
  <si>
    <t>35202-7531680-3</t>
  </si>
  <si>
    <t>329341</t>
  </si>
  <si>
    <t>1229303</t>
  </si>
  <si>
    <t>997AFRR243550003</t>
  </si>
  <si>
    <t>HAIDER ALI</t>
  </si>
  <si>
    <t>35202-6094321-1</t>
  </si>
  <si>
    <t>6R330748</t>
  </si>
  <si>
    <t>1230763</t>
  </si>
  <si>
    <t>997AFRR243580005</t>
  </si>
  <si>
    <t>MUHAMMAD MUZAMMIL</t>
  </si>
  <si>
    <t>42301-1121074-9</t>
  </si>
  <si>
    <t>6R273178</t>
  </si>
  <si>
    <t>1173122</t>
  </si>
  <si>
    <t>997AFRR243590006</t>
  </si>
  <si>
    <t>DANISH ATIQ</t>
  </si>
  <si>
    <t>42201-4457023-5</t>
  </si>
  <si>
    <t>267447</t>
  </si>
  <si>
    <t>1001150</t>
  </si>
  <si>
    <t>997AFRR243590007</t>
  </si>
  <si>
    <t>42301-8430215-3</t>
  </si>
  <si>
    <t>Q069312</t>
  </si>
  <si>
    <t>6046834</t>
  </si>
  <si>
    <t>997AFRR243590010</t>
  </si>
  <si>
    <t>USAMA BIN TARIQ</t>
  </si>
  <si>
    <t>35202-8374088-9</t>
  </si>
  <si>
    <t>R1000906</t>
  </si>
  <si>
    <t>997AFRR243610018</t>
  </si>
  <si>
    <t>MUHAMMAD RAZA</t>
  </si>
  <si>
    <t>42101-9040033-1</t>
  </si>
  <si>
    <t>Q332692</t>
  </si>
  <si>
    <t>7031802</t>
  </si>
  <si>
    <t>997AFRR243650005</t>
  </si>
  <si>
    <t>ASGHAR ALI</t>
  </si>
  <si>
    <t>45208-6067390-3</t>
  </si>
  <si>
    <t>6R144893</t>
  </si>
  <si>
    <t>1044870</t>
  </si>
  <si>
    <t>997AFRR243650006</t>
  </si>
  <si>
    <t>ATIQ UR REHMAN</t>
  </si>
  <si>
    <t>42401-2012051-3</t>
  </si>
  <si>
    <t>13034881</t>
  </si>
  <si>
    <t>997AFRR243660014</t>
  </si>
  <si>
    <t>MUHAMMAD DANISH SOHAIL KHAN</t>
  </si>
  <si>
    <t>42101-1245038-5</t>
  </si>
  <si>
    <t>6015780</t>
  </si>
  <si>
    <t>997AFRR243660020</t>
  </si>
  <si>
    <t>KASHIF AHMAD</t>
  </si>
  <si>
    <t>35202-3019552-5</t>
  </si>
  <si>
    <t>6R333267</t>
  </si>
  <si>
    <t>NF1AET306H1233212</t>
  </si>
  <si>
    <t>997AFRR243660022</t>
  </si>
  <si>
    <t>AHMAD FARAZI</t>
  </si>
  <si>
    <t>35202-2119170-7</t>
  </si>
  <si>
    <t>6R332403</t>
  </si>
  <si>
    <t>1232242</t>
  </si>
  <si>
    <t>997AFRR243660027</t>
  </si>
  <si>
    <t>SYED FAIZAN ALI</t>
  </si>
  <si>
    <t>42201-1353952-9</t>
  </si>
  <si>
    <t>113040</t>
  </si>
  <si>
    <t>997AFRR243660034</t>
  </si>
  <si>
    <t>MUHAMMAD RAMZAN AKBAR</t>
  </si>
  <si>
    <t>35201-6267681-1</t>
  </si>
  <si>
    <t>2A06721</t>
  </si>
  <si>
    <t>7003645</t>
  </si>
  <si>
    <t>997AFRR243660035</t>
  </si>
  <si>
    <t>RAHAT SALEEM</t>
  </si>
  <si>
    <t>31304-4988255-6</t>
  </si>
  <si>
    <t>L15B71400843</t>
  </si>
  <si>
    <t>NFBFC1666GR004167</t>
  </si>
  <si>
    <t>997AFRR243660036</t>
  </si>
  <si>
    <t>MUHAMMAD JUNAID</t>
  </si>
  <si>
    <t>33102-8811223-3</t>
  </si>
  <si>
    <t>12172769</t>
  </si>
  <si>
    <t>997AFRR243660037</t>
  </si>
  <si>
    <t>MUHAMMAD YAQOOB</t>
  </si>
  <si>
    <t>45101-6353364-1</t>
  </si>
  <si>
    <t>79794662</t>
  </si>
  <si>
    <t>997AFRR243660040</t>
  </si>
  <si>
    <t>SYED ALI ABBAS</t>
  </si>
  <si>
    <t>42201-0715294-9</t>
  </si>
  <si>
    <t>17532601</t>
  </si>
  <si>
    <t>997AFRR243660041</t>
  </si>
  <si>
    <t>MUHAMMAD HAIDER ALI</t>
  </si>
  <si>
    <t>42000-5780820-9</t>
  </si>
  <si>
    <t>Z407311</t>
  </si>
  <si>
    <t>997AFRR250020001</t>
  </si>
  <si>
    <t>6R186501</t>
  </si>
  <si>
    <t>H1086518</t>
  </si>
  <si>
    <t>997APD1243540001</t>
  </si>
  <si>
    <t>35201-8136495-3</t>
  </si>
  <si>
    <t>305768</t>
  </si>
  <si>
    <t>997APD1243620001</t>
  </si>
  <si>
    <t>AHMAD SIKANDAR</t>
  </si>
  <si>
    <t>35202-8584885-7</t>
  </si>
  <si>
    <t>014772</t>
  </si>
  <si>
    <t>997APD2243620003</t>
  </si>
  <si>
    <t>ASAD SALEEM</t>
  </si>
  <si>
    <t>35202-4957929-5</t>
  </si>
  <si>
    <t>6R330607</t>
  </si>
  <si>
    <t>1230624</t>
  </si>
  <si>
    <t>997APD2243650002</t>
  </si>
  <si>
    <t>NAVEED HASSAN</t>
  </si>
  <si>
    <t>35202-6148837-9</t>
  </si>
  <si>
    <t>12917715</t>
  </si>
  <si>
    <t xml:space="preserve">Policy No. </t>
  </si>
  <si>
    <t>NF1ADE17V00101620</t>
  </si>
  <si>
    <t>NF1AETH306H1090016</t>
  </si>
  <si>
    <t>NFBGM1642JR229046</t>
  </si>
  <si>
    <t>NNAQL51AZKP510129</t>
  </si>
  <si>
    <t>NFBGM1645KR256596</t>
  </si>
  <si>
    <t>A1J310PK10062288</t>
  </si>
  <si>
    <t>NKMASE2E6N1002629</t>
  </si>
  <si>
    <t>NFBGM164XKR245190</t>
  </si>
  <si>
    <t>NF1AET306H1048101</t>
  </si>
  <si>
    <t>NF1AET306H1075417</t>
  </si>
  <si>
    <t>NFBRV3852NR00127</t>
  </si>
  <si>
    <t>NF1AET306H1167945</t>
  </si>
  <si>
    <t>NF1AET306H1194931</t>
  </si>
  <si>
    <t>NFBDG1836NR024494</t>
  </si>
  <si>
    <t>A1J310PK10105391</t>
  </si>
  <si>
    <t>NF1AET306H1231876</t>
  </si>
  <si>
    <t>NF1SZC63S00207197</t>
  </si>
  <si>
    <t>NF1SZC63S00206866</t>
  </si>
  <si>
    <t>NZE170R4176373</t>
  </si>
  <si>
    <t>A1J310PK10012926</t>
  </si>
  <si>
    <t>NKMA2ASE5M1004095</t>
  </si>
  <si>
    <t>NZE170R4196754</t>
  </si>
  <si>
    <t>NZE170R-4189909</t>
  </si>
  <si>
    <t>NF1AETH306H1092375</t>
  </si>
  <si>
    <t>NFBGN1648MR267174</t>
  </si>
  <si>
    <t>NZE170R4139302</t>
  </si>
  <si>
    <t>RS413PK10041443</t>
  </si>
  <si>
    <t>NFBGM1640JR230115</t>
  </si>
  <si>
    <t>NF1SZC63S00100903</t>
  </si>
  <si>
    <t>SF410PK10034867</t>
  </si>
  <si>
    <t>Q038255</t>
  </si>
  <si>
    <t>NF1AVK31H10013062</t>
  </si>
  <si>
    <t>PMHJ2813SNN205788</t>
  </si>
  <si>
    <t>NFBGM2661KR246722</t>
  </si>
  <si>
    <t>NFBGM1646KR251827</t>
  </si>
  <si>
    <t>NZE170R-4066064</t>
  </si>
  <si>
    <t>NNAQL51AZPP312067</t>
  </si>
  <si>
    <t>PMHJ2813SLN200915</t>
  </si>
  <si>
    <t>NFBFC6667HR021008</t>
  </si>
  <si>
    <t>KHI/HO/D/MO/PC COMP/C/103276/18/12/2024</t>
  </si>
  <si>
    <t>KHI/HO/D/MO/PC COMP/C/103276/1/12/2024</t>
  </si>
  <si>
    <t>KHI/HO/D/MO/PC COMP/C/103276/6/12/2024</t>
  </si>
  <si>
    <t>KHI/HO/D/MO/PC COMP/C/103276/4/12/2024</t>
  </si>
  <si>
    <t>KHI/HO/D/MO/PC COMP/C/103276/2/12/2024</t>
  </si>
  <si>
    <t>KHI/HO/D/MO/PC COMP/C/103276/12/12/2024</t>
  </si>
  <si>
    <t>KHI/HO/D/MO/PC COMP/C/103276/14/12/2024</t>
  </si>
  <si>
    <t>KHI/HO/D/MO/PC COMP/C/103276/24/12/2024</t>
  </si>
  <si>
    <t>KHI/HO/D/MO/PC COMP/C/103276/25/12/2024</t>
  </si>
  <si>
    <t>KHI/HO/D/MO/PC COMP/C/103276/39/12/2024</t>
  </si>
  <si>
    <t>KHI/HO/D/MO/PC COMP/C/103276/33/12/2024</t>
  </si>
  <si>
    <t>KHI/HO/D/MO/PC COMP/C/103276/36/12/2024</t>
  </si>
  <si>
    <t>KHI/HO/D/MO/PC COMP/C/103276/42/12/2024</t>
  </si>
  <si>
    <t>KHI/HO/D/MO/PC COMP/C/103276/54/12/2024</t>
  </si>
  <si>
    <t>KHI/HO/D/MO/PC COMP/C/103276/46/12/2024</t>
  </si>
  <si>
    <t>KHI/HO/D/MO/PC COMP/C/103276/45/12/2024</t>
  </si>
  <si>
    <t>KHI/HO/D/MO/PC COMP/C/103276/53/12/2024</t>
  </si>
  <si>
    <t>KHI/HO/D/MO/PC COMP/C/103276/61/12/2024</t>
  </si>
  <si>
    <t>KHI/HO/D/MO/PC COMP/C/103276/44/12/2024</t>
  </si>
  <si>
    <t>KHI/HO/D/MO/PC COMP/C/103276/69/12/2024</t>
  </si>
  <si>
    <t>KHI/HO/D/MO/PC COMP/C/103276/68/12/2024</t>
  </si>
  <si>
    <t>KHI/HO/D/MO/PC COMP/C/103276/72/12/2024</t>
  </si>
  <si>
    <t>KHI/HO/D/MO/PC COMP/C/103276/80/12/2024</t>
  </si>
  <si>
    <t>KHI/HO/D/MO/PC COMP/C/103276/81/12/2024</t>
  </si>
  <si>
    <t>KHI/HO/D/MO/PC COMP/C/103276/82/12/2024</t>
  </si>
  <si>
    <t>KHI/HO/D/MO/PC COMP/C/103276/3/12/2024</t>
  </si>
  <si>
    <t>KHI/HO/D/MO/PC COMP/C/103276/10/12/2024</t>
  </si>
  <si>
    <t>KHI/HO/D/MO/PC COMP/C/103276/22/12/2024</t>
  </si>
  <si>
    <t>KHI/HO/D/MO/PC COMP/C/103276/40/12/2024</t>
  </si>
  <si>
    <t>KHI/HO/D/MO/PC COMP/C/103276/56/12/2024</t>
  </si>
  <si>
    <t>KHI/HO/D/MO/PC COMP/C/103276/58/12/2024</t>
  </si>
  <si>
    <t>KHI/HO/D/MO/PC COMP/C/103276/64/12/2024</t>
  </si>
  <si>
    <t>KHI/HO/D/MO/PC COMP/C/103276/75/12/2024</t>
  </si>
  <si>
    <t>KHI/HO/D/MO/PC COMP/C/103276/77/12/2024</t>
  </si>
  <si>
    <t>KHI/HO/D/MO/PC COMP/C/103276/79/12/2024</t>
  </si>
  <si>
    <t>KHI/HO/D/MO/PC COMP/C/103276/67/12/2024</t>
  </si>
  <si>
    <t>KHI/HO/D/MO/PC COMP/C/101257/64/11/2024</t>
  </si>
  <si>
    <t>KHI/HO/D/MO/PC COMP/C/103276/16/12/2024</t>
  </si>
  <si>
    <t>KHI/HO/D/MO/PC COMP/C/103276/52/12/2024</t>
  </si>
  <si>
    <t>KHI/HO/D/MO/PC COMP/C/103276/15/12/2024</t>
  </si>
  <si>
    <t>KHI/HO/D/MO/PC COMP/C/103276/32/12/2024</t>
  </si>
  <si>
    <t>KHI/HO/D/MO/PC COMP/C/103276/34/12/2024</t>
  </si>
  <si>
    <t>KHI/HO/D/MO/PC COMP/C/103276/28/12/2024</t>
  </si>
  <si>
    <t>KHI/HO/D/MO/PC COMP/C/103276/29/12/2024</t>
  </si>
  <si>
    <t>KHI/HO/D/MO/PC COMP/C/101257/51/11/2024</t>
  </si>
  <si>
    <t>KHI/HO/D/MO/PC COMP/C/103276/5/12/2024</t>
  </si>
  <si>
    <t>KHI/HO/D/MO/PC COMP/C/103276/8/12/2024</t>
  </si>
  <si>
    <t>KHI/HO/D/MO/PC COMP/C/103276/9/12/2024</t>
  </si>
  <si>
    <t>KHI/HO/D/MO/PC COMP/C/103276/7/12/2024</t>
  </si>
  <si>
    <t>KHI/HO/D/MO/PC COMP/C/103276/11/12/2024</t>
  </si>
  <si>
    <t>KHI/HO/D/MO/PC COMP/C/103276/20/12/2024</t>
  </si>
  <si>
    <t>KHI/HO/D/MO/PC COMP/C/103276/19/12/2024</t>
  </si>
  <si>
    <t>KHI/HO/D/MO/PC COMP/C/103276/17/12/2024</t>
  </si>
  <si>
    <t>KHI/HO/D/MO/PC COMP/C/103276/26/12/2024</t>
  </si>
  <si>
    <t>KHI/HO/D/MO/PC COMP/C/103276/21/12/2024</t>
  </si>
  <si>
    <t>KHI/HO/D/MO/PC COMP/C/103276/27/12/2024</t>
  </si>
  <si>
    <t>KHI/HO/D/MO/PC COMP/C/103276/23/12/2024</t>
  </si>
  <si>
    <t>KHI/HO/D/MO/PC COMP/C/103276/31/12/2024</t>
  </si>
  <si>
    <t>KHI/HO/D/MO/PC COMP/C/103276/30/12/2024</t>
  </si>
  <si>
    <t>KHI/HO/D/MO/PC COMP/C/103276/37/12/2024</t>
  </si>
  <si>
    <t>KHI/HO/D/MO/PC COMP/C/103276/41/12/2024</t>
  </si>
  <si>
    <t>KHI/HO/D/MO/PC COMP/C/103276/47/12/2024</t>
  </si>
  <si>
    <t>KHI/HO/D/MO/PC COMP/C/103276/50/12/2024</t>
  </si>
  <si>
    <t>KHI/HO/D/MO/PC COMP/C/103276/43/12/2024</t>
  </si>
  <si>
    <t>KHI/HO/D/MO/PC COMP/C/103276/49/12/2024</t>
  </si>
  <si>
    <t>KHI/HO/D/MO/PC COMP/C/103276/57/12/2024</t>
  </si>
  <si>
    <t>KHI/HO/D/MO/PC COMP/C/103276/59/12/2024</t>
  </si>
  <si>
    <t>KHI/HO/D/MO/PC COMP/C/103276/60/12/2024</t>
  </si>
  <si>
    <t>KHI/HO/D/MO/PC COMP/C/103276/65/12/2024</t>
  </si>
  <si>
    <t>KHI/HO/D/MO/PC COMP/C/103276/63/12/2024</t>
  </si>
  <si>
    <t>KHI/HO/D/MO/PC COMP/C/103276/70/12/2024</t>
  </si>
  <si>
    <t>KHI/HO/D/MO/PC COMP/C/103276/73/12/2024</t>
  </si>
  <si>
    <t>KHI/HO/D/MO/PC COMP/C/103276/78/12/2024</t>
  </si>
  <si>
    <t>KHI/HO/D/MO/PC COMP/C/103276/66/12/2024</t>
  </si>
  <si>
    <t>KHI/HO/D/MO/PC COMP/C/103276/76/12/2024</t>
  </si>
  <si>
    <t>KHI/HO/D/MO/PC COMP/C/103276/71/12/2024</t>
  </si>
  <si>
    <t>KHI/HO/D/MO/PC COMP/C/103276/83/12/2024</t>
  </si>
  <si>
    <t>KHI/HO/D/MO/PC COMP/C/103276/74/12/2024</t>
  </si>
  <si>
    <t>KHI/HO/D/MO/PC COMP/C/103276/84/12/2024</t>
  </si>
  <si>
    <t>KHI/HO/D/MO/PC COMP/C/103276/38/12/2024</t>
  </si>
  <si>
    <t>KHI/HO/D/MO/PC COMP/C/103276/48/12/2024</t>
  </si>
  <si>
    <t>KHI/HO/D/MO/PC COMP/C/103276/51/12/2024</t>
  </si>
  <si>
    <t>KHI/HO/D/MO/PC COMP/C/103276/62/12/2024</t>
  </si>
  <si>
    <t>TMS Premium</t>
  </si>
  <si>
    <t>Difference Amount</t>
  </si>
  <si>
    <t>KHI/HO/D/MO/PC COMP/C/105332/22/01/2025</t>
  </si>
  <si>
    <t xml:space="preserve">Endorsement No. </t>
  </si>
  <si>
    <t>KHI/HO/D/MO/PC COMP/E/50716/00011/01/2025</t>
  </si>
  <si>
    <t>KHI/HO/D/MO/PC COMP/E/50716/00081/01/2025</t>
  </si>
  <si>
    <t>-12-2024</t>
  </si>
  <si>
    <t>-11-2024</t>
  </si>
  <si>
    <t>-01-2025</t>
  </si>
  <si>
    <t>A</t>
  </si>
  <si>
    <t>00018</t>
  </si>
  <si>
    <t>00001</t>
  </si>
  <si>
    <t>00006</t>
  </si>
  <si>
    <t>00004</t>
  </si>
  <si>
    <t>00002</t>
  </si>
  <si>
    <t>00012</t>
  </si>
  <si>
    <t>00014</t>
  </si>
  <si>
    <t>00024</t>
  </si>
  <si>
    <t>00025</t>
  </si>
  <si>
    <t>00039</t>
  </si>
  <si>
    <t>00033</t>
  </si>
  <si>
    <t>00036</t>
  </si>
  <si>
    <t>00042</t>
  </si>
  <si>
    <t>00054</t>
  </si>
  <si>
    <t>00046</t>
  </si>
  <si>
    <t>00045</t>
  </si>
  <si>
    <t>00053</t>
  </si>
  <si>
    <t>00061</t>
  </si>
  <si>
    <t>00044</t>
  </si>
  <si>
    <t>00069</t>
  </si>
  <si>
    <t>00068</t>
  </si>
  <si>
    <t>00072</t>
  </si>
  <si>
    <t>00080</t>
  </si>
  <si>
    <t>00081</t>
  </si>
  <si>
    <t>00082</t>
  </si>
  <si>
    <t>00003</t>
  </si>
  <si>
    <t>00010</t>
  </si>
  <si>
    <t>00022</t>
  </si>
  <si>
    <t>00040</t>
  </si>
  <si>
    <t>00056</t>
  </si>
  <si>
    <t>00058</t>
  </si>
  <si>
    <t>00064</t>
  </si>
  <si>
    <t>00075</t>
  </si>
  <si>
    <t>00077</t>
  </si>
  <si>
    <t>00079</t>
  </si>
  <si>
    <t>00067</t>
  </si>
  <si>
    <t>00016</t>
  </si>
  <si>
    <t>00052</t>
  </si>
  <si>
    <t>00015</t>
  </si>
  <si>
    <t>00032</t>
  </si>
  <si>
    <t>00034</t>
  </si>
  <si>
    <t>00028</t>
  </si>
  <si>
    <t>00029</t>
  </si>
  <si>
    <t>00051</t>
  </si>
  <si>
    <t>00005</t>
  </si>
  <si>
    <t>00008</t>
  </si>
  <si>
    <t>00009</t>
  </si>
  <si>
    <t>00007</t>
  </si>
  <si>
    <t>00011</t>
  </si>
  <si>
    <t>00020</t>
  </si>
  <si>
    <t>00019</t>
  </si>
  <si>
    <t>00017</t>
  </si>
  <si>
    <t>00026</t>
  </si>
  <si>
    <t>00021</t>
  </si>
  <si>
    <t>00027</t>
  </si>
  <si>
    <t>00023</t>
  </si>
  <si>
    <t>00031</t>
  </si>
  <si>
    <t>00030</t>
  </si>
  <si>
    <t>00037</t>
  </si>
  <si>
    <t>00041</t>
  </si>
  <si>
    <t>00047</t>
  </si>
  <si>
    <t>00050</t>
  </si>
  <si>
    <t>00043</t>
  </si>
  <si>
    <t>00049</t>
  </si>
  <si>
    <t>00057</t>
  </si>
  <si>
    <t>00059</t>
  </si>
  <si>
    <t>00060</t>
  </si>
  <si>
    <t>00065</t>
  </si>
  <si>
    <t>00063</t>
  </si>
  <si>
    <t>00070</t>
  </si>
  <si>
    <t>00073</t>
  </si>
  <si>
    <t>00078</t>
  </si>
  <si>
    <t>00066</t>
  </si>
  <si>
    <t>00076</t>
  </si>
  <si>
    <t>00071</t>
  </si>
  <si>
    <t>00083</t>
  </si>
  <si>
    <t>00074</t>
  </si>
  <si>
    <t>00084</t>
  </si>
  <si>
    <t>00038</t>
  </si>
  <si>
    <t>00048</t>
  </si>
  <si>
    <t>00062</t>
  </si>
  <si>
    <t xml:space="preserve">   </t>
  </si>
  <si>
    <t>FUNC_ASSORTED_STRING(IA.ASSORTED_CODE)</t>
  </si>
  <si>
    <t>ASSORTED_CODE</t>
  </si>
  <si>
    <t>070000172816</t>
  </si>
  <si>
    <t>070000171335</t>
  </si>
  <si>
    <t>070000171751</t>
  </si>
  <si>
    <t>070000172884</t>
  </si>
  <si>
    <t>070000172311</t>
  </si>
  <si>
    <t>070000173572</t>
  </si>
  <si>
    <t>070000173576</t>
  </si>
  <si>
    <t>070000173585</t>
  </si>
  <si>
    <t>070000173586</t>
  </si>
  <si>
    <t>070000172805</t>
  </si>
  <si>
    <t>070000173484</t>
  </si>
  <si>
    <t>070000173485</t>
  </si>
  <si>
    <t>070000173504</t>
  </si>
  <si>
    <t>070000173566</t>
  </si>
  <si>
    <t>070000173591</t>
  </si>
  <si>
    <t>070000173593</t>
  </si>
  <si>
    <t>070000171831</t>
  </si>
  <si>
    <t>070000171832</t>
  </si>
  <si>
    <t>070000172569</t>
  </si>
  <si>
    <t>070000172572</t>
  </si>
  <si>
    <t>070000173513</t>
  </si>
  <si>
    <t>070000171743</t>
  </si>
  <si>
    <t>070000172812</t>
  </si>
  <si>
    <t>070000172813</t>
  </si>
  <si>
    <t>070000173502</t>
  </si>
  <si>
    <t>070000173503</t>
  </si>
  <si>
    <t>070000173579</t>
  </si>
  <si>
    <t>070000173581</t>
  </si>
  <si>
    <t>070000172622</t>
  </si>
  <si>
    <t>070000172304</t>
  </si>
  <si>
    <t>070000172685</t>
  </si>
  <si>
    <t>070000172847</t>
  </si>
  <si>
    <t>070000173588</t>
  </si>
  <si>
    <t>070000173589</t>
  </si>
  <si>
    <t>070000171600</t>
  </si>
  <si>
    <t>070000171727</t>
  </si>
  <si>
    <t>070000171744</t>
  </si>
  <si>
    <t>070000171745</t>
  </si>
  <si>
    <t>070000171746</t>
  </si>
  <si>
    <t>070000172672</t>
  </si>
  <si>
    <t>070000172769</t>
  </si>
  <si>
    <t>070000172781</t>
  </si>
  <si>
    <t>070000172782</t>
  </si>
  <si>
    <t>070000171723</t>
  </si>
  <si>
    <t>070000171724</t>
  </si>
  <si>
    <t>070000171536</t>
  </si>
  <si>
    <t>070000171537</t>
  </si>
  <si>
    <t>070000171538</t>
  </si>
  <si>
    <t>070000173563</t>
  </si>
  <si>
    <t>070000172740</t>
  </si>
  <si>
    <t>070000172741</t>
  </si>
  <si>
    <t>070000172765</t>
  </si>
  <si>
    <t>070000172921</t>
  </si>
  <si>
    <t>070000173565</t>
  </si>
  <si>
    <t>070000171571</t>
  </si>
  <si>
    <t>070000172308</t>
  </si>
  <si>
    <t>070000171729</t>
  </si>
  <si>
    <t>070000171610</t>
  </si>
  <si>
    <t>070000172796</t>
  </si>
  <si>
    <t>070000172761</t>
  </si>
  <si>
    <t>070000172763</t>
  </si>
  <si>
    <t>070000173556</t>
  </si>
  <si>
    <t>070000171749</t>
  </si>
  <si>
    <t>070000171750</t>
  </si>
  <si>
    <t>070000171546</t>
  </si>
  <si>
    <t>070000171295</t>
  </si>
  <si>
    <t>070000173564</t>
  </si>
  <si>
    <t>070000173922</t>
  </si>
  <si>
    <t>070000171508</t>
  </si>
  <si>
    <t>070000171838</t>
  </si>
  <si>
    <t>070000171841</t>
  </si>
  <si>
    <t>070000172911</t>
  </si>
  <si>
    <t>070000171837</t>
  </si>
  <si>
    <t>070000171835</t>
  </si>
  <si>
    <t>070000171566</t>
  </si>
  <si>
    <t>070000171567</t>
  </si>
  <si>
    <t>070000171568</t>
  </si>
  <si>
    <t>070000171616</t>
  </si>
  <si>
    <t>070000172832</t>
  </si>
  <si>
    <t>070000172865</t>
  </si>
  <si>
    <t>070000172794</t>
  </si>
  <si>
    <t>070000172295</t>
  </si>
  <si>
    <t>070000173546</t>
  </si>
  <si>
    <t>070000171607</t>
  </si>
  <si>
    <t>POLICY NO.</t>
  </si>
  <si>
    <t>Assorted_code</t>
  </si>
  <si>
    <t>13Jan250053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</si>
</sst>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65" fontId="0" fillId="0" borderId="0" xfId="4" applyNumberFormat="1" applyFont="1"/>
    <xf numFmtId="165" fontId="0" fillId="0" borderId="0" xfId="0" applyNumberFormat="1"/>
    <xf numFmtId="0" fontId="0" fillId="0" borderId="1" xfId="0" applyBorder="1" applyAlignment="1">
      <alignment vertical="top"/>
    </xf>
    <xf numFmtId="165" fontId="0" fillId="0" borderId="1" xfId="4" applyNumberFormat="1" applyFont="1" applyBorder="1"/>
    <xf numFmtId="165" fontId="0" fillId="0" borderId="1" xfId="0" applyNumberFormat="1" applyBorder="1"/>
    <xf numFmtId="165" fontId="2" fillId="2" borderId="1" xfId="0" applyNumberFormat="1" applyFont="1" applyFill="1" applyBorder="1"/>
    <xf numFmtId="165" fontId="2" fillId="2" borderId="1" xfId="4" applyNumberFormat="1" applyFont="1" applyFill="1" applyBorder="1"/>
    <xf numFmtId="0" fontId="2" fillId="3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top"/>
    </xf>
    <xf numFmtId="165" fontId="5" fillId="0" borderId="0" xfId="4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6" fillId="0" borderId="0" xfId="0" applyFont="1"/>
  </cellXfs>
  <cellStyles count="5">
    <cellStyle name="Comma" xfId="4" builtinId="3"/>
    <cellStyle name="Comma 2" xfId="3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opLeftCell="G76" zoomScale="85" zoomScaleNormal="85" workbookViewId="0">
      <selection activeCell="L87" sqref="L87"/>
    </sheetView>
  </sheetViews>
  <sheetFormatPr defaultColWidth="108.140625" defaultRowHeight="15"/>
  <cols>
    <col min="1" max="1" width="18.140625" bestFit="1" customWidth="1"/>
    <col min="2" max="2" width="29" customWidth="1"/>
    <col min="3" max="3" width="15.7109375" bestFit="1" customWidth="1"/>
    <col min="4" max="4" width="19.140625" bestFit="1" customWidth="1"/>
    <col min="5" max="5" width="19.5703125" bestFit="1" customWidth="1"/>
    <col min="6" max="6" width="13.28515625" bestFit="1" customWidth="1"/>
    <col min="7" max="7" width="12.140625" customWidth="1"/>
    <col min="8" max="8" width="10.7109375" customWidth="1"/>
    <col min="9" max="9" width="25.28515625" bestFit="1" customWidth="1"/>
    <col min="10" max="10" width="42.85546875" bestFit="1" customWidth="1"/>
    <col min="11" max="11" width="45" bestFit="1" customWidth="1"/>
    <col min="12" max="12" width="13.42578125" bestFit="1" customWidth="1"/>
    <col min="13" max="13" width="18.42578125" bestFit="1" customWidth="1"/>
    <col min="14" max="14" width="6.42578125" bestFit="1" customWidth="1"/>
    <col min="15" max="15" width="13.28515625" bestFit="1" customWidth="1"/>
    <col min="16" max="16" width="9.42578125" bestFit="1" customWidth="1"/>
    <col min="17" max="17" width="10.42578125" bestFit="1" customWidth="1"/>
  </cols>
  <sheetData>
    <row r="1" spans="1:13" s="10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393</v>
      </c>
      <c r="K1" s="9" t="s">
        <v>519</v>
      </c>
      <c r="L1" s="9" t="s">
        <v>516</v>
      </c>
      <c r="M1" s="9" t="s">
        <v>517</v>
      </c>
    </row>
    <row r="2" spans="1:13">
      <c r="A2" s="1" t="s">
        <v>16</v>
      </c>
      <c r="B2" s="1" t="s">
        <v>17</v>
      </c>
      <c r="C2" s="1" t="s">
        <v>18</v>
      </c>
      <c r="D2" s="1" t="s">
        <v>19</v>
      </c>
      <c r="E2" s="4" t="s">
        <v>394</v>
      </c>
      <c r="F2" s="1">
        <v>55980</v>
      </c>
      <c r="G2" s="1" t="s">
        <v>9</v>
      </c>
      <c r="H2" s="1" t="s">
        <v>10</v>
      </c>
      <c r="I2" s="1" t="s">
        <v>11</v>
      </c>
      <c r="J2" s="1" t="s">
        <v>433</v>
      </c>
      <c r="K2" s="1"/>
      <c r="L2" s="5">
        <v>55980</v>
      </c>
      <c r="M2" s="6">
        <f t="shared" ref="M2:M10" si="0">L2-F2</f>
        <v>0</v>
      </c>
    </row>
    <row r="3" spans="1:1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46620</v>
      </c>
      <c r="G3" s="1" t="s">
        <v>9</v>
      </c>
      <c r="H3" s="1" t="s">
        <v>10</v>
      </c>
      <c r="I3" s="1" t="s">
        <v>11</v>
      </c>
      <c r="J3" s="1" t="s">
        <v>434</v>
      </c>
      <c r="K3" s="1"/>
      <c r="L3" s="5">
        <v>46620</v>
      </c>
      <c r="M3" s="6">
        <f t="shared" si="0"/>
        <v>0</v>
      </c>
    </row>
    <row r="4" spans="1:1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42000</v>
      </c>
      <c r="G4" s="1" t="s">
        <v>9</v>
      </c>
      <c r="H4" s="1" t="s">
        <v>10</v>
      </c>
      <c r="I4" s="1" t="s">
        <v>11</v>
      </c>
      <c r="J4" s="1" t="s">
        <v>435</v>
      </c>
      <c r="K4" s="1"/>
      <c r="L4" s="5">
        <v>42000</v>
      </c>
      <c r="M4" s="6">
        <f t="shared" si="0"/>
        <v>0</v>
      </c>
    </row>
    <row r="5" spans="1:13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36750</v>
      </c>
      <c r="G5" s="1" t="s">
        <v>9</v>
      </c>
      <c r="H5" s="1" t="s">
        <v>10</v>
      </c>
      <c r="I5" s="1" t="s">
        <v>11</v>
      </c>
      <c r="J5" s="1" t="s">
        <v>436</v>
      </c>
      <c r="K5" s="1"/>
      <c r="L5" s="5">
        <v>36750</v>
      </c>
      <c r="M5" s="6">
        <f t="shared" si="0"/>
        <v>0</v>
      </c>
    </row>
    <row r="6" spans="1:13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53288</v>
      </c>
      <c r="G6" s="1" t="s">
        <v>9</v>
      </c>
      <c r="H6" s="1" t="s">
        <v>10</v>
      </c>
      <c r="I6" s="1" t="s">
        <v>11</v>
      </c>
      <c r="J6" s="1" t="s">
        <v>437</v>
      </c>
      <c r="K6" s="1"/>
      <c r="L6" s="5">
        <v>53288</v>
      </c>
      <c r="M6" s="6">
        <f t="shared" si="0"/>
        <v>0</v>
      </c>
    </row>
    <row r="7" spans="1:13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>
        <v>47373</v>
      </c>
      <c r="G7" s="1" t="s">
        <v>9</v>
      </c>
      <c r="H7" s="1" t="s">
        <v>10</v>
      </c>
      <c r="I7" s="1" t="s">
        <v>11</v>
      </c>
      <c r="J7" s="1" t="s">
        <v>438</v>
      </c>
      <c r="K7" s="1"/>
      <c r="L7" s="5">
        <v>47373</v>
      </c>
      <c r="M7" s="6">
        <f t="shared" si="0"/>
        <v>0</v>
      </c>
    </row>
    <row r="8" spans="1:13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>
        <v>37625</v>
      </c>
      <c r="G8" s="1" t="s">
        <v>9</v>
      </c>
      <c r="H8" s="1" t="s">
        <v>10</v>
      </c>
      <c r="I8" s="1" t="s">
        <v>11</v>
      </c>
      <c r="J8" s="1" t="s">
        <v>439</v>
      </c>
      <c r="K8" s="1"/>
      <c r="L8" s="5">
        <v>37625</v>
      </c>
      <c r="M8" s="6">
        <f t="shared" si="0"/>
        <v>0</v>
      </c>
    </row>
    <row r="9" spans="1:13">
      <c r="A9" s="1" t="s">
        <v>50</v>
      </c>
      <c r="B9" s="1" t="s">
        <v>51</v>
      </c>
      <c r="C9" s="1" t="s">
        <v>52</v>
      </c>
      <c r="D9" s="1" t="s">
        <v>53</v>
      </c>
      <c r="E9" s="4" t="s">
        <v>395</v>
      </c>
      <c r="F9" s="1">
        <v>39025</v>
      </c>
      <c r="G9" s="1" t="s">
        <v>9</v>
      </c>
      <c r="H9" s="1" t="s">
        <v>10</v>
      </c>
      <c r="I9" s="1" t="s">
        <v>11</v>
      </c>
      <c r="J9" s="1" t="s">
        <v>440</v>
      </c>
      <c r="K9" s="1"/>
      <c r="L9" s="5">
        <v>39025</v>
      </c>
      <c r="M9" s="6">
        <f t="shared" si="0"/>
        <v>0</v>
      </c>
    </row>
    <row r="10" spans="1:13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>
        <v>39550</v>
      </c>
      <c r="G10" s="1" t="s">
        <v>9</v>
      </c>
      <c r="H10" s="1" t="s">
        <v>10</v>
      </c>
      <c r="I10" s="1" t="s">
        <v>11</v>
      </c>
      <c r="J10" s="1" t="s">
        <v>441</v>
      </c>
      <c r="K10" s="1"/>
      <c r="L10" s="5">
        <v>39550</v>
      </c>
      <c r="M10" s="6">
        <f t="shared" si="0"/>
        <v>0</v>
      </c>
    </row>
    <row r="11" spans="1:13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39550</v>
      </c>
      <c r="G11" s="1" t="s">
        <v>9</v>
      </c>
      <c r="H11" s="1" t="s">
        <v>10</v>
      </c>
      <c r="I11" s="1" t="s">
        <v>11</v>
      </c>
      <c r="J11" s="1" t="s">
        <v>441</v>
      </c>
      <c r="K11" s="1"/>
      <c r="L11" s="5">
        <v>39550</v>
      </c>
      <c r="M11" s="6">
        <f t="shared" ref="M11" si="1">L11-F11</f>
        <v>0</v>
      </c>
    </row>
    <row r="12" spans="1:13">
      <c r="A12" s="1" t="s">
        <v>64</v>
      </c>
      <c r="B12" s="1" t="s">
        <v>65</v>
      </c>
      <c r="C12" s="1" t="s">
        <v>66</v>
      </c>
      <c r="D12" s="1" t="s">
        <v>67</v>
      </c>
      <c r="E12" s="4" t="s">
        <v>396</v>
      </c>
      <c r="F12" s="1">
        <v>68250</v>
      </c>
      <c r="G12" s="1" t="s">
        <v>9</v>
      </c>
      <c r="H12" s="1" t="s">
        <v>10</v>
      </c>
      <c r="I12" s="1" t="s">
        <v>11</v>
      </c>
      <c r="J12" s="1" t="s">
        <v>442</v>
      </c>
      <c r="K12" s="1"/>
      <c r="L12" s="5">
        <v>68250</v>
      </c>
      <c r="M12" s="6">
        <f t="shared" ref="M12:M43" si="2">L12-F12</f>
        <v>0</v>
      </c>
    </row>
    <row r="13" spans="1:13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>
        <v>53288</v>
      </c>
      <c r="G13" s="1" t="s">
        <v>9</v>
      </c>
      <c r="H13" s="1" t="s">
        <v>10</v>
      </c>
      <c r="I13" s="1" t="s">
        <v>11</v>
      </c>
      <c r="J13" s="1" t="s">
        <v>443</v>
      </c>
      <c r="K13" s="1"/>
      <c r="L13" s="5">
        <v>53288</v>
      </c>
      <c r="M13" s="6">
        <f t="shared" si="2"/>
        <v>0</v>
      </c>
    </row>
    <row r="14" spans="1:13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1">
        <v>53288</v>
      </c>
      <c r="G14" s="1" t="s">
        <v>9</v>
      </c>
      <c r="H14" s="11" t="s">
        <v>10</v>
      </c>
      <c r="I14" s="1" t="s">
        <v>11</v>
      </c>
      <c r="J14" s="1" t="s">
        <v>444</v>
      </c>
      <c r="K14" s="1"/>
      <c r="L14" s="5">
        <v>53288</v>
      </c>
      <c r="M14" s="6">
        <f t="shared" si="2"/>
        <v>0</v>
      </c>
    </row>
    <row r="15" spans="1:13">
      <c r="A15" s="1" t="s">
        <v>78</v>
      </c>
      <c r="B15" s="1" t="s">
        <v>79</v>
      </c>
      <c r="C15" s="1" t="s">
        <v>80</v>
      </c>
      <c r="D15" s="1" t="s">
        <v>81</v>
      </c>
      <c r="E15" s="4" t="s">
        <v>397</v>
      </c>
      <c r="F15" s="1">
        <v>105000</v>
      </c>
      <c r="G15" s="1" t="s">
        <v>9</v>
      </c>
      <c r="H15" s="1" t="s">
        <v>10</v>
      </c>
      <c r="I15" s="1" t="s">
        <v>11</v>
      </c>
      <c r="J15" s="1" t="s">
        <v>445</v>
      </c>
      <c r="K15" s="1"/>
      <c r="L15" s="5">
        <v>105000</v>
      </c>
      <c r="M15" s="6">
        <f t="shared" si="2"/>
        <v>0</v>
      </c>
    </row>
    <row r="16" spans="1:13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>
        <v>47373</v>
      </c>
      <c r="G16" s="1" t="s">
        <v>9</v>
      </c>
      <c r="H16" s="1" t="s">
        <v>10</v>
      </c>
      <c r="I16" s="1" t="s">
        <v>11</v>
      </c>
      <c r="J16" s="1" t="s">
        <v>446</v>
      </c>
      <c r="K16" s="1"/>
      <c r="L16" s="5">
        <v>47373</v>
      </c>
      <c r="M16" s="6">
        <f t="shared" si="2"/>
        <v>0</v>
      </c>
    </row>
    <row r="17" spans="1:13">
      <c r="A17" s="1" t="s">
        <v>87</v>
      </c>
      <c r="B17" s="1" t="s">
        <v>88</v>
      </c>
      <c r="C17" s="1" t="s">
        <v>89</v>
      </c>
      <c r="D17" s="1" t="s">
        <v>90</v>
      </c>
      <c r="E17" s="4" t="s">
        <v>398</v>
      </c>
      <c r="F17" s="1">
        <v>67463</v>
      </c>
      <c r="G17" s="1" t="s">
        <v>9</v>
      </c>
      <c r="H17" s="1" t="s">
        <v>10</v>
      </c>
      <c r="I17" s="1" t="s">
        <v>11</v>
      </c>
      <c r="J17" s="1" t="s">
        <v>447</v>
      </c>
      <c r="K17" s="1"/>
      <c r="L17" s="5">
        <v>67463</v>
      </c>
      <c r="M17" s="6">
        <f t="shared" si="2"/>
        <v>0</v>
      </c>
    </row>
    <row r="18" spans="1:13">
      <c r="A18" s="1" t="s">
        <v>91</v>
      </c>
      <c r="B18" s="1" t="s">
        <v>92</v>
      </c>
      <c r="C18" s="1" t="s">
        <v>93</v>
      </c>
      <c r="D18" s="1" t="s">
        <v>94</v>
      </c>
      <c r="E18" s="1" t="s">
        <v>95</v>
      </c>
      <c r="F18" s="1">
        <v>74375</v>
      </c>
      <c r="G18" s="1" t="s">
        <v>9</v>
      </c>
      <c r="H18" s="1" t="s">
        <v>10</v>
      </c>
      <c r="I18" s="1" t="s">
        <v>11</v>
      </c>
      <c r="J18" s="1" t="s">
        <v>448</v>
      </c>
      <c r="K18" s="1"/>
      <c r="L18" s="5">
        <v>74375</v>
      </c>
      <c r="M18" s="6">
        <f t="shared" si="2"/>
        <v>0</v>
      </c>
    </row>
    <row r="19" spans="1:13">
      <c r="A19" s="1" t="s">
        <v>96</v>
      </c>
      <c r="B19" s="1" t="s">
        <v>97</v>
      </c>
      <c r="C19" s="1" t="s">
        <v>98</v>
      </c>
      <c r="D19" s="1" t="s">
        <v>99</v>
      </c>
      <c r="E19" s="1" t="s">
        <v>100</v>
      </c>
      <c r="F19" s="1">
        <v>42000</v>
      </c>
      <c r="G19" s="1" t="s">
        <v>9</v>
      </c>
      <c r="H19" s="1" t="s">
        <v>10</v>
      </c>
      <c r="I19" s="1" t="s">
        <v>11</v>
      </c>
      <c r="J19" s="1" t="s">
        <v>449</v>
      </c>
      <c r="K19" s="1"/>
      <c r="L19" s="5">
        <v>42000</v>
      </c>
      <c r="M19" s="6">
        <f t="shared" si="2"/>
        <v>0</v>
      </c>
    </row>
    <row r="20" spans="1:13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105</v>
      </c>
      <c r="F20" s="1">
        <v>42000</v>
      </c>
      <c r="G20" s="1" t="s">
        <v>9</v>
      </c>
      <c r="H20" s="1" t="s">
        <v>10</v>
      </c>
      <c r="I20" s="1" t="s">
        <v>11</v>
      </c>
      <c r="J20" s="1" t="s">
        <v>450</v>
      </c>
      <c r="K20" s="1"/>
      <c r="L20" s="5">
        <v>42000</v>
      </c>
      <c r="M20" s="6">
        <f t="shared" si="2"/>
        <v>0</v>
      </c>
    </row>
    <row r="21" spans="1:13">
      <c r="A21" s="1" t="s">
        <v>106</v>
      </c>
      <c r="B21" s="1" t="s">
        <v>107</v>
      </c>
      <c r="C21" s="1" t="s">
        <v>108</v>
      </c>
      <c r="D21" s="1" t="s">
        <v>109</v>
      </c>
      <c r="E21" s="1" t="s">
        <v>110</v>
      </c>
      <c r="F21" s="1">
        <v>105000</v>
      </c>
      <c r="G21" s="1" t="s">
        <v>9</v>
      </c>
      <c r="H21" s="1" t="s">
        <v>10</v>
      </c>
      <c r="I21" s="1" t="s">
        <v>11</v>
      </c>
      <c r="J21" s="1" t="s">
        <v>451</v>
      </c>
      <c r="K21" s="1"/>
      <c r="L21" s="5">
        <v>105000</v>
      </c>
      <c r="M21" s="6">
        <f t="shared" si="2"/>
        <v>0</v>
      </c>
    </row>
    <row r="22" spans="1:13">
      <c r="A22" s="1" t="s">
        <v>111</v>
      </c>
      <c r="B22" s="1" t="s">
        <v>112</v>
      </c>
      <c r="C22" s="1" t="s">
        <v>113</v>
      </c>
      <c r="D22" s="1" t="s">
        <v>114</v>
      </c>
      <c r="E22" s="1" t="s">
        <v>115</v>
      </c>
      <c r="F22" s="1">
        <v>42875</v>
      </c>
      <c r="G22" s="1" t="s">
        <v>9</v>
      </c>
      <c r="H22" s="1" t="s">
        <v>10</v>
      </c>
      <c r="I22" s="1" t="s">
        <v>11</v>
      </c>
      <c r="J22" s="1" t="s">
        <v>452</v>
      </c>
      <c r="K22" s="1"/>
      <c r="L22" s="5">
        <v>42875</v>
      </c>
      <c r="M22" s="6">
        <f t="shared" si="2"/>
        <v>0</v>
      </c>
    </row>
    <row r="23" spans="1:13">
      <c r="A23" s="1" t="s">
        <v>116</v>
      </c>
      <c r="B23" s="1" t="s">
        <v>117</v>
      </c>
      <c r="C23" s="1" t="s">
        <v>118</v>
      </c>
      <c r="D23" s="1" t="s">
        <v>119</v>
      </c>
      <c r="E23" s="4" t="s">
        <v>399</v>
      </c>
      <c r="F23" s="1">
        <v>35875</v>
      </c>
      <c r="G23" s="1" t="s">
        <v>9</v>
      </c>
      <c r="H23" s="1" t="s">
        <v>10</v>
      </c>
      <c r="I23" s="1" t="s">
        <v>11</v>
      </c>
      <c r="J23" s="1" t="s">
        <v>453</v>
      </c>
      <c r="K23" s="1"/>
      <c r="L23" s="5">
        <v>35875</v>
      </c>
      <c r="M23" s="6">
        <f t="shared" si="2"/>
        <v>0</v>
      </c>
    </row>
    <row r="24" spans="1:13">
      <c r="A24" s="1" t="s">
        <v>120</v>
      </c>
      <c r="B24" s="1" t="s">
        <v>121</v>
      </c>
      <c r="C24" s="1" t="s">
        <v>122</v>
      </c>
      <c r="D24" s="1" t="s">
        <v>123</v>
      </c>
      <c r="E24" s="1" t="s">
        <v>124</v>
      </c>
      <c r="F24" s="1">
        <v>94500</v>
      </c>
      <c r="G24" s="1" t="s">
        <v>9</v>
      </c>
      <c r="H24" s="1" t="s">
        <v>10</v>
      </c>
      <c r="I24" s="1" t="s">
        <v>11</v>
      </c>
      <c r="J24" s="1" t="s">
        <v>454</v>
      </c>
      <c r="K24" s="1"/>
      <c r="L24" s="5">
        <v>94500</v>
      </c>
      <c r="M24" s="6">
        <f t="shared" si="2"/>
        <v>0</v>
      </c>
    </row>
    <row r="25" spans="1:13">
      <c r="A25" s="1" t="s">
        <v>125</v>
      </c>
      <c r="B25" s="1" t="s">
        <v>126</v>
      </c>
      <c r="C25" s="1" t="s">
        <v>127</v>
      </c>
      <c r="D25" s="1" t="s">
        <v>128</v>
      </c>
      <c r="E25" s="1" t="s">
        <v>129</v>
      </c>
      <c r="F25" s="1">
        <v>43313</v>
      </c>
      <c r="G25" s="1" t="s">
        <v>9</v>
      </c>
      <c r="H25" s="1" t="s">
        <v>10</v>
      </c>
      <c r="I25" s="1" t="s">
        <v>11</v>
      </c>
      <c r="J25" s="1" t="s">
        <v>455</v>
      </c>
      <c r="K25" s="1"/>
      <c r="L25" s="5">
        <v>43313</v>
      </c>
      <c r="M25" s="6">
        <f t="shared" si="2"/>
        <v>0</v>
      </c>
    </row>
    <row r="26" spans="1:13">
      <c r="A26" s="1" t="s">
        <v>130</v>
      </c>
      <c r="B26" s="1" t="s">
        <v>131</v>
      </c>
      <c r="C26" s="1" t="s">
        <v>132</v>
      </c>
      <c r="D26" s="1" t="s">
        <v>133</v>
      </c>
      <c r="E26" s="4" t="s">
        <v>400</v>
      </c>
      <c r="F26" s="1">
        <v>135188</v>
      </c>
      <c r="G26" s="1" t="s">
        <v>9</v>
      </c>
      <c r="H26" s="1" t="s">
        <v>10</v>
      </c>
      <c r="I26" s="1" t="s">
        <v>11</v>
      </c>
      <c r="J26" s="1" t="s">
        <v>456</v>
      </c>
      <c r="K26" s="1" t="s">
        <v>521</v>
      </c>
      <c r="L26" s="5">
        <v>128188</v>
      </c>
      <c r="M26" s="6">
        <f t="shared" si="2"/>
        <v>-7000</v>
      </c>
    </row>
    <row r="27" spans="1:13">
      <c r="A27" s="1" t="s">
        <v>134</v>
      </c>
      <c r="B27" s="1" t="s">
        <v>135</v>
      </c>
      <c r="C27" s="1" t="s">
        <v>136</v>
      </c>
      <c r="D27" s="1" t="s">
        <v>137</v>
      </c>
      <c r="E27" s="4" t="s">
        <v>401</v>
      </c>
      <c r="F27" s="1">
        <v>64750</v>
      </c>
      <c r="G27" s="1" t="s">
        <v>9</v>
      </c>
      <c r="H27" s="1" t="s">
        <v>10</v>
      </c>
      <c r="I27" s="1" t="s">
        <v>11</v>
      </c>
      <c r="J27" s="1" t="s">
        <v>457</v>
      </c>
      <c r="K27" s="1"/>
      <c r="L27" s="5">
        <v>64750</v>
      </c>
      <c r="M27" s="6">
        <f t="shared" si="2"/>
        <v>0</v>
      </c>
    </row>
    <row r="28" spans="1:13">
      <c r="A28" s="1" t="s">
        <v>138</v>
      </c>
      <c r="B28" s="1" t="s">
        <v>139</v>
      </c>
      <c r="C28" s="1" t="s">
        <v>140</v>
      </c>
      <c r="D28" s="1" t="s">
        <v>141</v>
      </c>
      <c r="E28" s="4" t="s">
        <v>402</v>
      </c>
      <c r="F28" s="1">
        <v>42000</v>
      </c>
      <c r="G28" s="1" t="s">
        <v>9</v>
      </c>
      <c r="H28" s="1" t="s">
        <v>10</v>
      </c>
      <c r="I28" s="1" t="s">
        <v>11</v>
      </c>
      <c r="J28" s="1" t="s">
        <v>458</v>
      </c>
      <c r="K28" s="1"/>
      <c r="L28" s="5">
        <v>42000</v>
      </c>
      <c r="M28" s="6">
        <f t="shared" si="2"/>
        <v>0</v>
      </c>
    </row>
    <row r="29" spans="1:13">
      <c r="A29" s="1" t="s">
        <v>142</v>
      </c>
      <c r="B29" s="1" t="s">
        <v>143</v>
      </c>
      <c r="C29" s="1" t="s">
        <v>144</v>
      </c>
      <c r="D29" s="1" t="s">
        <v>145</v>
      </c>
      <c r="E29" s="4" t="s">
        <v>403</v>
      </c>
      <c r="F29" s="1">
        <v>45500</v>
      </c>
      <c r="G29" s="1" t="s">
        <v>9</v>
      </c>
      <c r="H29" s="1" t="s">
        <v>10</v>
      </c>
      <c r="I29" s="1" t="s">
        <v>11</v>
      </c>
      <c r="J29" s="1" t="s">
        <v>459</v>
      </c>
      <c r="K29" s="1"/>
      <c r="L29" s="5">
        <v>45500</v>
      </c>
      <c r="M29" s="6">
        <f t="shared" si="2"/>
        <v>0</v>
      </c>
    </row>
    <row r="30" spans="1:13">
      <c r="A30" s="1" t="s">
        <v>146</v>
      </c>
      <c r="B30" s="1" t="s">
        <v>147</v>
      </c>
      <c r="C30" s="1" t="s">
        <v>148</v>
      </c>
      <c r="D30" s="1" t="s">
        <v>149</v>
      </c>
      <c r="E30" s="1" t="s">
        <v>150</v>
      </c>
      <c r="F30" s="1">
        <v>47373</v>
      </c>
      <c r="G30" s="1" t="s">
        <v>9</v>
      </c>
      <c r="H30" s="1" t="s">
        <v>10</v>
      </c>
      <c r="I30" s="1" t="s">
        <v>11</v>
      </c>
      <c r="J30" s="1" t="s">
        <v>460</v>
      </c>
      <c r="K30" s="1"/>
      <c r="L30" s="5">
        <v>47373</v>
      </c>
      <c r="M30" s="6">
        <f t="shared" si="2"/>
        <v>0</v>
      </c>
    </row>
    <row r="31" spans="1:13">
      <c r="A31" s="1" t="s">
        <v>151</v>
      </c>
      <c r="B31" s="1" t="s">
        <v>152</v>
      </c>
      <c r="C31" s="1" t="s">
        <v>153</v>
      </c>
      <c r="D31" s="1" t="s">
        <v>154</v>
      </c>
      <c r="E31" s="1" t="s">
        <v>155</v>
      </c>
      <c r="F31" s="1">
        <v>58988</v>
      </c>
      <c r="G31" s="1" t="s">
        <v>9</v>
      </c>
      <c r="H31" s="1" t="s">
        <v>10</v>
      </c>
      <c r="I31" s="1" t="s">
        <v>11</v>
      </c>
      <c r="J31" s="1" t="s">
        <v>461</v>
      </c>
      <c r="K31" s="1"/>
      <c r="L31" s="5">
        <v>58988</v>
      </c>
      <c r="M31" s="6">
        <f t="shared" si="2"/>
        <v>0</v>
      </c>
    </row>
    <row r="32" spans="1:13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160</v>
      </c>
      <c r="F32" s="1">
        <v>67375</v>
      </c>
      <c r="G32" s="1" t="s">
        <v>9</v>
      </c>
      <c r="H32" s="1" t="s">
        <v>10</v>
      </c>
      <c r="I32" s="1" t="s">
        <v>11</v>
      </c>
      <c r="J32" s="1" t="s">
        <v>462</v>
      </c>
      <c r="K32" s="1"/>
      <c r="L32" s="5">
        <v>67375</v>
      </c>
      <c r="M32" s="6">
        <f t="shared" si="2"/>
        <v>0</v>
      </c>
    </row>
    <row r="33" spans="1:13">
      <c r="A33" s="1" t="s">
        <v>161</v>
      </c>
      <c r="B33" s="1" t="s">
        <v>162</v>
      </c>
      <c r="C33" s="1" t="s">
        <v>163</v>
      </c>
      <c r="D33" s="1" t="s">
        <v>164</v>
      </c>
      <c r="E33" s="4" t="s">
        <v>404</v>
      </c>
      <c r="F33" s="1">
        <v>99750</v>
      </c>
      <c r="G33" s="1" t="s">
        <v>9</v>
      </c>
      <c r="H33" s="1" t="s">
        <v>10</v>
      </c>
      <c r="I33" s="1" t="s">
        <v>11</v>
      </c>
      <c r="J33" s="1" t="s">
        <v>463</v>
      </c>
      <c r="K33" s="1"/>
      <c r="L33" s="5">
        <v>99750</v>
      </c>
      <c r="M33" s="6">
        <f t="shared" si="2"/>
        <v>0</v>
      </c>
    </row>
    <row r="34" spans="1:13">
      <c r="A34" s="1" t="s">
        <v>165</v>
      </c>
      <c r="B34" s="1" t="s">
        <v>166</v>
      </c>
      <c r="C34" s="1" t="s">
        <v>167</v>
      </c>
      <c r="D34" s="1" t="s">
        <v>168</v>
      </c>
      <c r="E34" s="4" t="s">
        <v>405</v>
      </c>
      <c r="F34" s="1">
        <v>47250</v>
      </c>
      <c r="G34" s="1" t="s">
        <v>9</v>
      </c>
      <c r="H34" s="1" t="s">
        <v>10</v>
      </c>
      <c r="I34" s="1" t="s">
        <v>11</v>
      </c>
      <c r="J34" s="1" t="s">
        <v>464</v>
      </c>
      <c r="K34" s="1"/>
      <c r="L34" s="5">
        <v>47250</v>
      </c>
      <c r="M34" s="6">
        <f t="shared" si="2"/>
        <v>0</v>
      </c>
    </row>
    <row r="35" spans="1:13">
      <c r="A35" s="1" t="s">
        <v>169</v>
      </c>
      <c r="B35" s="1" t="s">
        <v>170</v>
      </c>
      <c r="C35" s="1" t="s">
        <v>171</v>
      </c>
      <c r="D35" s="1" t="s">
        <v>172</v>
      </c>
      <c r="E35" s="4" t="s">
        <v>406</v>
      </c>
      <c r="F35" s="1">
        <v>46813</v>
      </c>
      <c r="G35" s="1" t="s">
        <v>9</v>
      </c>
      <c r="H35" s="1" t="s">
        <v>10</v>
      </c>
      <c r="I35" s="1" t="s">
        <v>11</v>
      </c>
      <c r="J35" s="1" t="s">
        <v>465</v>
      </c>
      <c r="K35" s="1"/>
      <c r="L35" s="5">
        <v>46813</v>
      </c>
      <c r="M35" s="6">
        <f t="shared" si="2"/>
        <v>0</v>
      </c>
    </row>
    <row r="36" spans="1:13">
      <c r="A36" s="1" t="s">
        <v>173</v>
      </c>
      <c r="B36" s="1" t="s">
        <v>174</v>
      </c>
      <c r="C36" s="1" t="s">
        <v>175</v>
      </c>
      <c r="D36" s="1" t="s">
        <v>176</v>
      </c>
      <c r="E36" s="4" t="s">
        <v>407</v>
      </c>
      <c r="F36" s="1">
        <v>91438</v>
      </c>
      <c r="G36" s="1" t="s">
        <v>9</v>
      </c>
      <c r="H36" s="1" t="s">
        <v>10</v>
      </c>
      <c r="I36" s="1" t="s">
        <v>11</v>
      </c>
      <c r="J36" s="1" t="s">
        <v>466</v>
      </c>
      <c r="K36" s="1"/>
      <c r="L36" s="5">
        <v>91438</v>
      </c>
      <c r="M36" s="6">
        <f t="shared" si="2"/>
        <v>0</v>
      </c>
    </row>
    <row r="37" spans="1:13">
      <c r="A37" s="1" t="s">
        <v>177</v>
      </c>
      <c r="B37" s="1" t="s">
        <v>178</v>
      </c>
      <c r="C37" s="1" t="s">
        <v>179</v>
      </c>
      <c r="D37" s="1" t="s">
        <v>180</v>
      </c>
      <c r="E37" s="4" t="s">
        <v>408</v>
      </c>
      <c r="F37" s="1">
        <v>44625</v>
      </c>
      <c r="G37" s="1" t="s">
        <v>9</v>
      </c>
      <c r="H37" s="1" t="s">
        <v>10</v>
      </c>
      <c r="I37" s="1" t="s">
        <v>11</v>
      </c>
      <c r="J37" s="1" t="s">
        <v>467</v>
      </c>
      <c r="K37" s="1"/>
      <c r="L37" s="5">
        <v>44625</v>
      </c>
      <c r="M37" s="6">
        <f t="shared" si="2"/>
        <v>0</v>
      </c>
    </row>
    <row r="38" spans="1:13">
      <c r="A38" s="1" t="s">
        <v>181</v>
      </c>
      <c r="B38" s="1" t="s">
        <v>182</v>
      </c>
      <c r="C38" s="1" t="s">
        <v>183</v>
      </c>
      <c r="D38" s="1" t="s">
        <v>184</v>
      </c>
      <c r="E38" s="4" t="s">
        <v>409</v>
      </c>
      <c r="F38" s="1">
        <v>47373</v>
      </c>
      <c r="G38" s="1" t="s">
        <v>9</v>
      </c>
      <c r="H38" s="1" t="s">
        <v>10</v>
      </c>
      <c r="I38" s="1" t="s">
        <v>11</v>
      </c>
      <c r="J38" s="1" t="s">
        <v>468</v>
      </c>
      <c r="K38" s="1"/>
      <c r="L38" s="5">
        <v>47373</v>
      </c>
      <c r="M38" s="6">
        <f t="shared" si="2"/>
        <v>0</v>
      </c>
    </row>
    <row r="39" spans="1:13">
      <c r="A39" s="1" t="s">
        <v>185</v>
      </c>
      <c r="B39" s="1" t="s">
        <v>186</v>
      </c>
      <c r="C39" s="1" t="s">
        <v>187</v>
      </c>
      <c r="D39" s="1" t="s">
        <v>188</v>
      </c>
      <c r="E39" s="1" t="s">
        <v>189</v>
      </c>
      <c r="F39" s="1">
        <v>82583</v>
      </c>
      <c r="G39" s="1" t="s">
        <v>9</v>
      </c>
      <c r="H39" s="1" t="s">
        <v>10</v>
      </c>
      <c r="I39" s="1" t="s">
        <v>11</v>
      </c>
      <c r="J39" s="1" t="s">
        <v>469</v>
      </c>
      <c r="K39" s="1"/>
      <c r="L39" s="5">
        <v>82583</v>
      </c>
      <c r="M39" s="6">
        <f t="shared" si="2"/>
        <v>0</v>
      </c>
    </row>
    <row r="40" spans="1:13">
      <c r="A40" s="1" t="s">
        <v>190</v>
      </c>
      <c r="B40" s="1" t="s">
        <v>191</v>
      </c>
      <c r="C40" s="1" t="s">
        <v>192</v>
      </c>
      <c r="D40" s="1" t="s">
        <v>193</v>
      </c>
      <c r="E40" s="1" t="s">
        <v>194</v>
      </c>
      <c r="F40" s="1">
        <v>60900</v>
      </c>
      <c r="G40" s="1" t="s">
        <v>9</v>
      </c>
      <c r="H40" s="1" t="s">
        <v>10</v>
      </c>
      <c r="I40" s="1" t="s">
        <v>11</v>
      </c>
      <c r="J40" s="1" t="s">
        <v>470</v>
      </c>
      <c r="K40" s="1"/>
      <c r="L40" s="5">
        <v>60900</v>
      </c>
      <c r="M40" s="6">
        <f t="shared" si="2"/>
        <v>0</v>
      </c>
    </row>
    <row r="41" spans="1:13">
      <c r="A41" s="1" t="s">
        <v>195</v>
      </c>
      <c r="B41" s="1" t="s">
        <v>196</v>
      </c>
      <c r="C41" s="1" t="s">
        <v>197</v>
      </c>
      <c r="D41" s="1" t="s">
        <v>198</v>
      </c>
      <c r="E41" s="4" t="s">
        <v>410</v>
      </c>
      <c r="F41" s="1">
        <v>94380</v>
      </c>
      <c r="G41" s="1" t="s">
        <v>9</v>
      </c>
      <c r="H41" s="1" t="s">
        <v>10</v>
      </c>
      <c r="I41" s="1" t="s">
        <v>11</v>
      </c>
      <c r="J41" s="1" t="s">
        <v>471</v>
      </c>
      <c r="K41" s="1"/>
      <c r="L41" s="5">
        <v>94380</v>
      </c>
      <c r="M41" s="6">
        <f t="shared" si="2"/>
        <v>0</v>
      </c>
    </row>
    <row r="42" spans="1:13">
      <c r="A42" s="1" t="s">
        <v>199</v>
      </c>
      <c r="B42" s="1" t="s">
        <v>200</v>
      </c>
      <c r="C42" s="1" t="s">
        <v>201</v>
      </c>
      <c r="D42" s="1" t="s">
        <v>202</v>
      </c>
      <c r="E42" s="1" t="s">
        <v>203</v>
      </c>
      <c r="F42" s="1">
        <v>60900</v>
      </c>
      <c r="G42" s="1" t="s">
        <v>9</v>
      </c>
      <c r="H42" s="1" t="s">
        <v>10</v>
      </c>
      <c r="I42" s="1" t="s">
        <v>11</v>
      </c>
      <c r="J42" s="1" t="s">
        <v>472</v>
      </c>
      <c r="K42" s="1"/>
      <c r="L42" s="5">
        <v>60900</v>
      </c>
      <c r="M42" s="6">
        <f t="shared" si="2"/>
        <v>0</v>
      </c>
    </row>
    <row r="43" spans="1:13">
      <c r="A43" s="1" t="s">
        <v>204</v>
      </c>
      <c r="B43" s="1" t="s">
        <v>205</v>
      </c>
      <c r="C43" s="1" t="s">
        <v>206</v>
      </c>
      <c r="D43" s="1" t="s">
        <v>207</v>
      </c>
      <c r="E43" s="4" t="s">
        <v>411</v>
      </c>
      <c r="F43" s="1">
        <v>94380</v>
      </c>
      <c r="G43" s="1" t="s">
        <v>9</v>
      </c>
      <c r="H43" s="1" t="s">
        <v>10</v>
      </c>
      <c r="I43" s="1" t="s">
        <v>11</v>
      </c>
      <c r="J43" s="1" t="s">
        <v>473</v>
      </c>
      <c r="K43" s="1"/>
      <c r="L43" s="5">
        <v>94380</v>
      </c>
      <c r="M43" s="6">
        <f t="shared" si="2"/>
        <v>0</v>
      </c>
    </row>
    <row r="44" spans="1:13">
      <c r="A44" s="1" t="s">
        <v>208</v>
      </c>
      <c r="B44" s="1" t="s">
        <v>209</v>
      </c>
      <c r="C44" s="1" t="s">
        <v>210</v>
      </c>
      <c r="D44" s="1" t="s">
        <v>211</v>
      </c>
      <c r="E44" s="1" t="s">
        <v>212</v>
      </c>
      <c r="F44" s="1">
        <v>94600</v>
      </c>
      <c r="G44" s="1" t="s">
        <v>9</v>
      </c>
      <c r="H44" s="1" t="s">
        <v>10</v>
      </c>
      <c r="I44" s="1" t="s">
        <v>11</v>
      </c>
      <c r="J44" s="1" t="s">
        <v>474</v>
      </c>
      <c r="K44" s="1"/>
      <c r="L44" s="5">
        <v>94600</v>
      </c>
      <c r="M44" s="6">
        <f t="shared" ref="M44:M66" si="3">L44-F44</f>
        <v>0</v>
      </c>
    </row>
    <row r="45" spans="1:13">
      <c r="A45" s="1" t="s">
        <v>213</v>
      </c>
      <c r="B45" s="1" t="s">
        <v>214</v>
      </c>
      <c r="C45" s="1" t="s">
        <v>215</v>
      </c>
      <c r="D45" s="1" t="s">
        <v>216</v>
      </c>
      <c r="E45" s="1" t="s">
        <v>217</v>
      </c>
      <c r="F45" s="1">
        <v>95200</v>
      </c>
      <c r="G45" s="1" t="s">
        <v>9</v>
      </c>
      <c r="H45" s="1" t="s">
        <v>10</v>
      </c>
      <c r="I45" s="1" t="s">
        <v>11</v>
      </c>
      <c r="J45" s="1" t="s">
        <v>475</v>
      </c>
      <c r="K45" s="1"/>
      <c r="L45" s="5">
        <v>95200</v>
      </c>
      <c r="M45" s="6">
        <f t="shared" si="3"/>
        <v>0</v>
      </c>
    </row>
    <row r="46" spans="1:13">
      <c r="A46" s="1" t="s">
        <v>218</v>
      </c>
      <c r="B46" s="1" t="s">
        <v>219</v>
      </c>
      <c r="C46" s="1" t="s">
        <v>220</v>
      </c>
      <c r="D46" s="1" t="s">
        <v>221</v>
      </c>
      <c r="E46" s="1" t="s">
        <v>222</v>
      </c>
      <c r="F46" s="1">
        <v>161718</v>
      </c>
      <c r="G46" s="1" t="s">
        <v>9</v>
      </c>
      <c r="H46" s="1" t="s">
        <v>10</v>
      </c>
      <c r="I46" s="1" t="s">
        <v>11</v>
      </c>
      <c r="J46" s="1" t="s">
        <v>476</v>
      </c>
      <c r="K46" s="1"/>
      <c r="L46" s="5">
        <v>161717</v>
      </c>
      <c r="M46" s="6">
        <f t="shared" si="3"/>
        <v>-1</v>
      </c>
    </row>
    <row r="47" spans="1:13">
      <c r="A47" s="1" t="s">
        <v>223</v>
      </c>
      <c r="B47" s="1" t="s">
        <v>224</v>
      </c>
      <c r="C47" s="1" t="s">
        <v>225</v>
      </c>
      <c r="D47" s="1" t="s">
        <v>226</v>
      </c>
      <c r="E47" s="4" t="s">
        <v>412</v>
      </c>
      <c r="F47" s="1">
        <v>72975</v>
      </c>
      <c r="G47" s="1" t="s">
        <v>9</v>
      </c>
      <c r="H47" s="1" t="s">
        <v>10</v>
      </c>
      <c r="I47" s="1" t="s">
        <v>11</v>
      </c>
      <c r="J47" s="1" t="s">
        <v>477</v>
      </c>
      <c r="K47" s="1"/>
      <c r="L47" s="5">
        <v>72975</v>
      </c>
      <c r="M47" s="6">
        <f t="shared" si="3"/>
        <v>0</v>
      </c>
    </row>
    <row r="48" spans="1:13">
      <c r="A48" s="1" t="s">
        <v>227</v>
      </c>
      <c r="B48" s="1" t="s">
        <v>228</v>
      </c>
      <c r="C48" s="1" t="s">
        <v>229</v>
      </c>
      <c r="D48" s="1" t="s">
        <v>230</v>
      </c>
      <c r="E48" s="4" t="s">
        <v>413</v>
      </c>
      <c r="F48" s="1">
        <v>28000</v>
      </c>
      <c r="G48" s="1" t="s">
        <v>9</v>
      </c>
      <c r="H48" s="1" t="s">
        <v>10</v>
      </c>
      <c r="I48" s="1" t="s">
        <v>11</v>
      </c>
      <c r="J48" s="1" t="s">
        <v>478</v>
      </c>
      <c r="K48" s="1"/>
      <c r="L48" s="5">
        <v>28000</v>
      </c>
      <c r="M48" s="6">
        <f t="shared" si="3"/>
        <v>0</v>
      </c>
    </row>
    <row r="49" spans="1:13">
      <c r="A49" s="1" t="s">
        <v>231</v>
      </c>
      <c r="B49" s="1" t="s">
        <v>232</v>
      </c>
      <c r="C49" s="1" t="s">
        <v>233</v>
      </c>
      <c r="D49" s="1" t="s">
        <v>234</v>
      </c>
      <c r="E49" s="4" t="s">
        <v>414</v>
      </c>
      <c r="F49" s="1">
        <v>56000</v>
      </c>
      <c r="G49" s="1" t="s">
        <v>9</v>
      </c>
      <c r="H49" s="1" t="s">
        <v>10</v>
      </c>
      <c r="I49" s="1" t="s">
        <v>11</v>
      </c>
      <c r="J49" s="1" t="s">
        <v>479</v>
      </c>
      <c r="K49" s="1"/>
      <c r="L49" s="5">
        <v>56000</v>
      </c>
      <c r="M49" s="6">
        <f t="shared" si="3"/>
        <v>0</v>
      </c>
    </row>
    <row r="50" spans="1:13">
      <c r="A50" s="1" t="s">
        <v>235</v>
      </c>
      <c r="B50" s="1" t="s">
        <v>236</v>
      </c>
      <c r="C50" s="1" t="s">
        <v>237</v>
      </c>
      <c r="D50" s="1" t="s">
        <v>238</v>
      </c>
      <c r="E50" s="4" t="s">
        <v>415</v>
      </c>
      <c r="F50" s="1">
        <v>56000</v>
      </c>
      <c r="G50" s="1" t="s">
        <v>9</v>
      </c>
      <c r="H50" s="1" t="s">
        <v>10</v>
      </c>
      <c r="I50" s="1" t="s">
        <v>11</v>
      </c>
      <c r="J50" s="1" t="s">
        <v>480</v>
      </c>
      <c r="K50" s="1"/>
      <c r="L50" s="5">
        <v>56000</v>
      </c>
      <c r="M50" s="6">
        <f t="shared" si="3"/>
        <v>0</v>
      </c>
    </row>
    <row r="51" spans="1:13">
      <c r="A51" s="1" t="s">
        <v>239</v>
      </c>
      <c r="B51" s="1" t="s">
        <v>240</v>
      </c>
      <c r="C51" s="1" t="s">
        <v>241</v>
      </c>
      <c r="D51" s="1" t="s">
        <v>242</v>
      </c>
      <c r="E51" s="1" t="s">
        <v>243</v>
      </c>
      <c r="F51" s="1">
        <v>99750</v>
      </c>
      <c r="G51" s="1" t="s">
        <v>9</v>
      </c>
      <c r="H51" s="1" t="s">
        <v>10</v>
      </c>
      <c r="I51" s="1" t="s">
        <v>11</v>
      </c>
      <c r="J51" s="1" t="s">
        <v>481</v>
      </c>
      <c r="K51" s="1"/>
      <c r="L51" s="5">
        <v>99750</v>
      </c>
      <c r="M51" s="6">
        <f t="shared" si="3"/>
        <v>0</v>
      </c>
    </row>
    <row r="52" spans="1:13">
      <c r="A52" s="1" t="s">
        <v>244</v>
      </c>
      <c r="B52" s="1" t="s">
        <v>245</v>
      </c>
      <c r="C52" s="1" t="s">
        <v>246</v>
      </c>
      <c r="D52" s="1" t="s">
        <v>247</v>
      </c>
      <c r="E52" s="4" t="s">
        <v>416</v>
      </c>
      <c r="F52" s="1">
        <v>61500</v>
      </c>
      <c r="G52" s="1" t="s">
        <v>9</v>
      </c>
      <c r="H52" s="1" t="s">
        <v>10</v>
      </c>
      <c r="I52" s="1" t="s">
        <v>11</v>
      </c>
      <c r="J52" s="1" t="s">
        <v>482</v>
      </c>
      <c r="K52" s="1" t="s">
        <v>520</v>
      </c>
      <c r="L52" s="5">
        <v>71750</v>
      </c>
      <c r="M52" s="6">
        <f t="shared" si="3"/>
        <v>10250</v>
      </c>
    </row>
    <row r="53" spans="1:13">
      <c r="A53" s="1" t="s">
        <v>248</v>
      </c>
      <c r="B53" s="1" t="s">
        <v>249</v>
      </c>
      <c r="C53" s="1" t="s">
        <v>250</v>
      </c>
      <c r="D53" s="1" t="s">
        <v>251</v>
      </c>
      <c r="E53" s="1" t="s">
        <v>252</v>
      </c>
      <c r="F53" s="1">
        <v>82583</v>
      </c>
      <c r="G53" s="1" t="s">
        <v>9</v>
      </c>
      <c r="H53" s="1" t="s">
        <v>10</v>
      </c>
      <c r="I53" s="1" t="s">
        <v>11</v>
      </c>
      <c r="J53" s="1" t="s">
        <v>483</v>
      </c>
      <c r="K53" s="1"/>
      <c r="L53" s="5">
        <v>82583</v>
      </c>
      <c r="M53" s="6">
        <f t="shared" si="3"/>
        <v>0</v>
      </c>
    </row>
    <row r="54" spans="1:13">
      <c r="A54" s="1" t="s">
        <v>253</v>
      </c>
      <c r="B54" s="1" t="s">
        <v>254</v>
      </c>
      <c r="C54" s="1" t="s">
        <v>255</v>
      </c>
      <c r="D54" s="1" t="s">
        <v>256</v>
      </c>
      <c r="E54" s="4" t="s">
        <v>417</v>
      </c>
      <c r="F54" s="1">
        <v>42000</v>
      </c>
      <c r="G54" s="1" t="s">
        <v>9</v>
      </c>
      <c r="H54" s="1" t="s">
        <v>10</v>
      </c>
      <c r="I54" s="1" t="s">
        <v>11</v>
      </c>
      <c r="J54" s="1" t="s">
        <v>484</v>
      </c>
      <c r="K54" s="1"/>
      <c r="L54" s="5">
        <v>42000</v>
      </c>
      <c r="M54" s="6">
        <f t="shared" si="3"/>
        <v>0</v>
      </c>
    </row>
    <row r="55" spans="1:13">
      <c r="A55" s="1" t="s">
        <v>257</v>
      </c>
      <c r="B55" s="1" t="s">
        <v>258</v>
      </c>
      <c r="C55" s="1" t="s">
        <v>259</v>
      </c>
      <c r="D55" s="1" t="s">
        <v>260</v>
      </c>
      <c r="E55" s="4" t="s">
        <v>418</v>
      </c>
      <c r="F55" s="1">
        <v>68250</v>
      </c>
      <c r="G55" s="1" t="s">
        <v>9</v>
      </c>
      <c r="H55" s="1" t="s">
        <v>10</v>
      </c>
      <c r="I55" s="1" t="s">
        <v>11</v>
      </c>
      <c r="J55" s="1" t="s">
        <v>485</v>
      </c>
      <c r="K55" s="1"/>
      <c r="L55" s="5">
        <v>68250</v>
      </c>
      <c r="M55" s="6">
        <f t="shared" si="3"/>
        <v>0</v>
      </c>
    </row>
    <row r="56" spans="1:13">
      <c r="A56" s="1" t="s">
        <v>261</v>
      </c>
      <c r="B56" s="1" t="s">
        <v>262</v>
      </c>
      <c r="C56" s="1" t="s">
        <v>263</v>
      </c>
      <c r="D56" s="1" t="s">
        <v>264</v>
      </c>
      <c r="E56" s="1" t="s">
        <v>265</v>
      </c>
      <c r="F56" s="1">
        <v>91000</v>
      </c>
      <c r="G56" s="1" t="s">
        <v>9</v>
      </c>
      <c r="H56" s="1" t="s">
        <v>10</v>
      </c>
      <c r="I56" s="1" t="s">
        <v>11</v>
      </c>
      <c r="J56" s="1" t="s">
        <v>486</v>
      </c>
      <c r="K56" s="1"/>
      <c r="L56" s="5">
        <v>91000</v>
      </c>
      <c r="M56" s="6">
        <f t="shared" si="3"/>
        <v>0</v>
      </c>
    </row>
    <row r="57" spans="1:13">
      <c r="A57" s="1" t="s">
        <v>266</v>
      </c>
      <c r="B57" s="1" t="s">
        <v>267</v>
      </c>
      <c r="C57" s="1" t="s">
        <v>268</v>
      </c>
      <c r="D57" s="1" t="s">
        <v>269</v>
      </c>
      <c r="E57" s="4" t="s">
        <v>419</v>
      </c>
      <c r="F57" s="1">
        <v>61250</v>
      </c>
      <c r="G57" s="1" t="s">
        <v>9</v>
      </c>
      <c r="H57" s="1" t="s">
        <v>10</v>
      </c>
      <c r="I57" s="1" t="s">
        <v>11</v>
      </c>
      <c r="J57" s="1" t="s">
        <v>487</v>
      </c>
      <c r="K57" s="1"/>
      <c r="L57" s="5">
        <v>61250</v>
      </c>
      <c r="M57" s="6">
        <f t="shared" si="3"/>
        <v>0</v>
      </c>
    </row>
    <row r="58" spans="1:13">
      <c r="A58" s="1" t="s">
        <v>270</v>
      </c>
      <c r="B58" s="1" t="s">
        <v>271</v>
      </c>
      <c r="C58" s="1" t="s">
        <v>272</v>
      </c>
      <c r="D58" s="1" t="s">
        <v>273</v>
      </c>
      <c r="E58" s="1" t="s">
        <v>274</v>
      </c>
      <c r="F58" s="1">
        <v>53288</v>
      </c>
      <c r="G58" s="1" t="s">
        <v>9</v>
      </c>
      <c r="H58" s="1" t="s">
        <v>10</v>
      </c>
      <c r="I58" s="1" t="s">
        <v>11</v>
      </c>
      <c r="J58" s="1" t="s">
        <v>488</v>
      </c>
      <c r="K58" s="1"/>
      <c r="L58" s="5">
        <v>53288</v>
      </c>
      <c r="M58" s="6">
        <f t="shared" si="3"/>
        <v>0</v>
      </c>
    </row>
    <row r="59" spans="1:13">
      <c r="A59" s="1" t="s">
        <v>275</v>
      </c>
      <c r="B59" s="1" t="s">
        <v>276</v>
      </c>
      <c r="C59" s="1" t="s">
        <v>277</v>
      </c>
      <c r="D59" s="1" t="s">
        <v>278</v>
      </c>
      <c r="E59" s="4" t="s">
        <v>420</v>
      </c>
      <c r="F59" s="1">
        <v>41125</v>
      </c>
      <c r="G59" s="1" t="s">
        <v>9</v>
      </c>
      <c r="H59" s="1" t="s">
        <v>10</v>
      </c>
      <c r="I59" s="1" t="s">
        <v>11</v>
      </c>
      <c r="J59" s="1" t="s">
        <v>489</v>
      </c>
      <c r="K59" s="1"/>
      <c r="L59" s="5">
        <v>41125</v>
      </c>
      <c r="M59" s="6">
        <f t="shared" si="3"/>
        <v>0</v>
      </c>
    </row>
    <row r="60" spans="1:13">
      <c r="A60" s="1" t="s">
        <v>279</v>
      </c>
      <c r="B60" s="1" t="s">
        <v>280</v>
      </c>
      <c r="C60" s="1" t="s">
        <v>281</v>
      </c>
      <c r="D60" s="1" t="s">
        <v>282</v>
      </c>
      <c r="E60" s="4" t="s">
        <v>421</v>
      </c>
      <c r="F60" s="1">
        <v>56875</v>
      </c>
      <c r="G60" s="1" t="s">
        <v>9</v>
      </c>
      <c r="H60" s="1" t="s">
        <v>10</v>
      </c>
      <c r="I60" s="1" t="s">
        <v>11</v>
      </c>
      <c r="J60" s="1" t="s">
        <v>490</v>
      </c>
      <c r="K60" s="1"/>
      <c r="L60" s="5">
        <v>56875</v>
      </c>
      <c r="M60" s="6">
        <f t="shared" si="3"/>
        <v>0</v>
      </c>
    </row>
    <row r="61" spans="1:13">
      <c r="A61" s="1" t="s">
        <v>283</v>
      </c>
      <c r="B61" s="1" t="s">
        <v>284</v>
      </c>
      <c r="C61" s="1" t="s">
        <v>285</v>
      </c>
      <c r="D61" s="1" t="s">
        <v>286</v>
      </c>
      <c r="E61" s="1" t="s">
        <v>287</v>
      </c>
      <c r="F61" s="1">
        <v>47285</v>
      </c>
      <c r="G61" s="1" t="s">
        <v>9</v>
      </c>
      <c r="H61" s="1" t="s">
        <v>10</v>
      </c>
      <c r="I61" s="1" t="s">
        <v>11</v>
      </c>
      <c r="J61" s="1" t="s">
        <v>491</v>
      </c>
      <c r="K61" s="1"/>
      <c r="L61" s="5">
        <v>47285</v>
      </c>
      <c r="M61" s="6">
        <f t="shared" si="3"/>
        <v>0</v>
      </c>
    </row>
    <row r="62" spans="1:13">
      <c r="A62" s="1" t="s">
        <v>288</v>
      </c>
      <c r="B62" s="1" t="s">
        <v>289</v>
      </c>
      <c r="C62" s="1" t="s">
        <v>290</v>
      </c>
      <c r="D62" s="1" t="s">
        <v>291</v>
      </c>
      <c r="E62" s="1" t="s">
        <v>292</v>
      </c>
      <c r="F62" s="1">
        <v>53288</v>
      </c>
      <c r="G62" s="1" t="s">
        <v>9</v>
      </c>
      <c r="H62" s="1" t="s">
        <v>10</v>
      </c>
      <c r="I62" s="1" t="s">
        <v>11</v>
      </c>
      <c r="J62" s="1" t="s">
        <v>492</v>
      </c>
      <c r="K62" s="1"/>
      <c r="L62" s="5">
        <v>53288</v>
      </c>
      <c r="M62" s="6">
        <f t="shared" si="3"/>
        <v>0</v>
      </c>
    </row>
    <row r="63" spans="1:13">
      <c r="A63" s="1" t="s">
        <v>293</v>
      </c>
      <c r="B63" s="1" t="s">
        <v>294</v>
      </c>
      <c r="C63" s="1" t="s">
        <v>295</v>
      </c>
      <c r="D63" s="1" t="s">
        <v>296</v>
      </c>
      <c r="E63" s="1" t="s">
        <v>297</v>
      </c>
      <c r="F63" s="1">
        <v>53288</v>
      </c>
      <c r="G63" s="1" t="s">
        <v>9</v>
      </c>
      <c r="H63" s="1" t="s">
        <v>10</v>
      </c>
      <c r="I63" s="1" t="s">
        <v>11</v>
      </c>
      <c r="J63" s="1" t="s">
        <v>493</v>
      </c>
      <c r="K63" s="1"/>
      <c r="L63" s="5">
        <v>53288</v>
      </c>
      <c r="M63" s="6">
        <f t="shared" si="3"/>
        <v>0</v>
      </c>
    </row>
    <row r="64" spans="1:13">
      <c r="A64" s="1" t="s">
        <v>298</v>
      </c>
      <c r="B64" s="1" t="s">
        <v>299</v>
      </c>
      <c r="C64" s="1" t="s">
        <v>300</v>
      </c>
      <c r="D64" s="1" t="s">
        <v>301</v>
      </c>
      <c r="E64" s="1" t="s">
        <v>302</v>
      </c>
      <c r="F64" s="1">
        <v>49000</v>
      </c>
      <c r="G64" s="1" t="s">
        <v>9</v>
      </c>
      <c r="H64" s="1" t="s">
        <v>10</v>
      </c>
      <c r="I64" s="1" t="s">
        <v>11</v>
      </c>
      <c r="J64" s="1" t="s">
        <v>494</v>
      </c>
      <c r="K64" s="1"/>
      <c r="L64" s="5">
        <v>49000</v>
      </c>
      <c r="M64" s="6">
        <f t="shared" si="3"/>
        <v>0</v>
      </c>
    </row>
    <row r="65" spans="1:13">
      <c r="A65" s="1" t="s">
        <v>303</v>
      </c>
      <c r="B65" s="1" t="s">
        <v>304</v>
      </c>
      <c r="C65" s="1" t="s">
        <v>305</v>
      </c>
      <c r="D65" s="1" t="s">
        <v>306</v>
      </c>
      <c r="E65" s="1" t="s">
        <v>307</v>
      </c>
      <c r="F65" s="1">
        <v>155733</v>
      </c>
      <c r="G65" s="1" t="s">
        <v>9</v>
      </c>
      <c r="H65" s="1" t="s">
        <v>10</v>
      </c>
      <c r="I65" s="1" t="s">
        <v>11</v>
      </c>
      <c r="J65" s="1" t="s">
        <v>495</v>
      </c>
      <c r="K65" s="1"/>
      <c r="L65" s="5">
        <v>155733</v>
      </c>
      <c r="M65" s="6">
        <f t="shared" si="3"/>
        <v>0</v>
      </c>
    </row>
    <row r="66" spans="1:13">
      <c r="A66" s="1" t="s">
        <v>308</v>
      </c>
      <c r="B66" s="1" t="s">
        <v>12</v>
      </c>
      <c r="C66" s="1" t="s">
        <v>309</v>
      </c>
      <c r="D66" s="1" t="s">
        <v>310</v>
      </c>
      <c r="E66" s="1" t="s">
        <v>311</v>
      </c>
      <c r="F66" s="1">
        <v>68250</v>
      </c>
      <c r="G66" s="1" t="s">
        <v>9</v>
      </c>
      <c r="H66" s="1" t="s">
        <v>10</v>
      </c>
      <c r="I66" s="1" t="s">
        <v>11</v>
      </c>
      <c r="J66" s="1" t="s">
        <v>496</v>
      </c>
      <c r="K66" s="1"/>
      <c r="L66" s="5">
        <v>68250</v>
      </c>
      <c r="M66" s="6">
        <f t="shared" si="3"/>
        <v>0</v>
      </c>
    </row>
    <row r="67" spans="1:13">
      <c r="A67" s="1" t="s">
        <v>312</v>
      </c>
      <c r="B67" s="1" t="s">
        <v>313</v>
      </c>
      <c r="C67" s="1" t="s">
        <v>314</v>
      </c>
      <c r="D67" s="1" t="s">
        <v>315</v>
      </c>
      <c r="E67" s="4" t="s">
        <v>422</v>
      </c>
      <c r="F67" s="1">
        <v>74375</v>
      </c>
      <c r="G67" s="1" t="s">
        <v>9</v>
      </c>
      <c r="H67" s="1" t="s">
        <v>10</v>
      </c>
      <c r="I67" s="1" t="s">
        <v>11</v>
      </c>
      <c r="J67" s="1" t="s">
        <v>497</v>
      </c>
      <c r="K67" s="1"/>
      <c r="L67" s="5">
        <v>74375</v>
      </c>
      <c r="M67" s="6">
        <f t="shared" ref="M67:M86" si="4">L67-F67</f>
        <v>0</v>
      </c>
    </row>
    <row r="68" spans="1:13">
      <c r="A68" s="1" t="s">
        <v>316</v>
      </c>
      <c r="B68" s="1" t="s">
        <v>317</v>
      </c>
      <c r="C68" s="1" t="s">
        <v>318</v>
      </c>
      <c r="D68" s="1" t="s">
        <v>319</v>
      </c>
      <c r="E68" s="1" t="s">
        <v>320</v>
      </c>
      <c r="F68" s="1">
        <v>74900</v>
      </c>
      <c r="G68" s="1" t="s">
        <v>9</v>
      </c>
      <c r="H68" s="1" t="s">
        <v>10</v>
      </c>
      <c r="I68" s="1" t="s">
        <v>11</v>
      </c>
      <c r="J68" s="1" t="s">
        <v>498</v>
      </c>
      <c r="K68" s="1"/>
      <c r="L68" s="5">
        <v>74900</v>
      </c>
      <c r="M68" s="6">
        <f t="shared" si="4"/>
        <v>0</v>
      </c>
    </row>
    <row r="69" spans="1:13">
      <c r="A69" s="1" t="s">
        <v>321</v>
      </c>
      <c r="B69" s="1" t="s">
        <v>322</v>
      </c>
      <c r="C69" s="1" t="s">
        <v>323</v>
      </c>
      <c r="D69" s="1" t="s">
        <v>324</v>
      </c>
      <c r="E69" s="1" t="s">
        <v>325</v>
      </c>
      <c r="F69" s="1">
        <v>36750</v>
      </c>
      <c r="G69" s="1" t="s">
        <v>9</v>
      </c>
      <c r="H69" s="1" t="s">
        <v>10</v>
      </c>
      <c r="I69" s="1" t="s">
        <v>11</v>
      </c>
      <c r="J69" s="1" t="s">
        <v>499</v>
      </c>
      <c r="K69" s="1"/>
      <c r="L69" s="5">
        <v>36750</v>
      </c>
      <c r="M69" s="6">
        <f t="shared" si="4"/>
        <v>0</v>
      </c>
    </row>
    <row r="70" spans="1:13">
      <c r="A70" s="1" t="s">
        <v>326</v>
      </c>
      <c r="B70" s="1" t="s">
        <v>327</v>
      </c>
      <c r="C70" s="1" t="s">
        <v>328</v>
      </c>
      <c r="D70" s="1" t="s">
        <v>329</v>
      </c>
      <c r="E70" s="4" t="s">
        <v>423</v>
      </c>
      <c r="F70" s="1">
        <v>37713</v>
      </c>
      <c r="G70" s="1" t="s">
        <v>9</v>
      </c>
      <c r="H70" s="1" t="s">
        <v>10</v>
      </c>
      <c r="I70" s="1" t="s">
        <v>11</v>
      </c>
      <c r="J70" s="1" t="s">
        <v>500</v>
      </c>
      <c r="K70" s="1"/>
      <c r="L70" s="5">
        <v>37713</v>
      </c>
      <c r="M70" s="6">
        <f t="shared" si="4"/>
        <v>0</v>
      </c>
    </row>
    <row r="71" spans="1:13">
      <c r="A71" s="1" t="s">
        <v>330</v>
      </c>
      <c r="B71" s="1" t="s">
        <v>331</v>
      </c>
      <c r="C71" s="1" t="s">
        <v>332</v>
      </c>
      <c r="D71" s="4" t="s">
        <v>424</v>
      </c>
      <c r="E71" s="1" t="s">
        <v>333</v>
      </c>
      <c r="F71" s="1">
        <v>71750</v>
      </c>
      <c r="G71" s="1" t="s">
        <v>9</v>
      </c>
      <c r="H71" s="1" t="s">
        <v>10</v>
      </c>
      <c r="I71" s="1" t="s">
        <v>11</v>
      </c>
      <c r="J71" s="1" t="s">
        <v>501</v>
      </c>
      <c r="K71" s="1"/>
      <c r="L71" s="5">
        <v>71750</v>
      </c>
      <c r="M71" s="6">
        <f t="shared" si="4"/>
        <v>0</v>
      </c>
    </row>
    <row r="72" spans="1:13">
      <c r="A72" s="1" t="s">
        <v>334</v>
      </c>
      <c r="B72" s="1" t="s">
        <v>335</v>
      </c>
      <c r="C72" s="1" t="s">
        <v>336</v>
      </c>
      <c r="D72" s="1" t="s">
        <v>337</v>
      </c>
      <c r="E72" s="1" t="s">
        <v>338</v>
      </c>
      <c r="F72" s="1">
        <v>53288</v>
      </c>
      <c r="G72" s="1" t="s">
        <v>9</v>
      </c>
      <c r="H72" s="1" t="s">
        <v>10</v>
      </c>
      <c r="I72" s="1" t="s">
        <v>11</v>
      </c>
      <c r="J72" s="1" t="s">
        <v>502</v>
      </c>
      <c r="K72" s="1"/>
      <c r="L72" s="5">
        <v>53288</v>
      </c>
      <c r="M72" s="6">
        <f t="shared" si="4"/>
        <v>0</v>
      </c>
    </row>
    <row r="73" spans="1:13">
      <c r="A73" s="1" t="s">
        <v>339</v>
      </c>
      <c r="B73" s="1" t="s">
        <v>340</v>
      </c>
      <c r="C73" s="1" t="s">
        <v>341</v>
      </c>
      <c r="D73" s="1" t="s">
        <v>342</v>
      </c>
      <c r="E73" s="1" t="s">
        <v>343</v>
      </c>
      <c r="F73" s="1">
        <v>47373</v>
      </c>
      <c r="G73" s="1" t="s">
        <v>9</v>
      </c>
      <c r="H73" s="1" t="s">
        <v>10</v>
      </c>
      <c r="I73" s="1" t="s">
        <v>11</v>
      </c>
      <c r="J73" s="1" t="s">
        <v>503</v>
      </c>
      <c r="K73" s="1"/>
      <c r="L73" s="5">
        <v>47373</v>
      </c>
      <c r="M73" s="6">
        <f t="shared" si="4"/>
        <v>0</v>
      </c>
    </row>
    <row r="74" spans="1:13">
      <c r="A74" s="1" t="s">
        <v>344</v>
      </c>
      <c r="B74" s="1" t="s">
        <v>345</v>
      </c>
      <c r="C74" s="1" t="s">
        <v>346</v>
      </c>
      <c r="D74" s="1" t="s">
        <v>347</v>
      </c>
      <c r="E74" s="4" t="s">
        <v>425</v>
      </c>
      <c r="F74" s="1">
        <v>40250</v>
      </c>
      <c r="G74" s="1" t="s">
        <v>9</v>
      </c>
      <c r="H74" s="1" t="s">
        <v>10</v>
      </c>
      <c r="I74" s="1" t="s">
        <v>11</v>
      </c>
      <c r="J74" s="1" t="s">
        <v>504</v>
      </c>
      <c r="K74" s="1"/>
      <c r="L74" s="5">
        <v>40250</v>
      </c>
      <c r="M74" s="6">
        <f t="shared" si="4"/>
        <v>0</v>
      </c>
    </row>
    <row r="75" spans="1:13">
      <c r="A75" s="1" t="s">
        <v>348</v>
      </c>
      <c r="B75" s="1" t="s">
        <v>349</v>
      </c>
      <c r="C75" s="1" t="s">
        <v>350</v>
      </c>
      <c r="D75" s="1" t="s">
        <v>351</v>
      </c>
      <c r="E75" s="1" t="s">
        <v>352</v>
      </c>
      <c r="F75" s="1">
        <v>56000</v>
      </c>
      <c r="G75" s="1" t="s">
        <v>9</v>
      </c>
      <c r="H75" s="1" t="s">
        <v>10</v>
      </c>
      <c r="I75" s="1" t="s">
        <v>11</v>
      </c>
      <c r="J75" s="1" t="s">
        <v>505</v>
      </c>
      <c r="K75" s="1"/>
      <c r="L75" s="5">
        <v>56000</v>
      </c>
      <c r="M75" s="6">
        <f t="shared" si="4"/>
        <v>0</v>
      </c>
    </row>
    <row r="76" spans="1:13">
      <c r="A76" s="1" t="s">
        <v>353</v>
      </c>
      <c r="B76" s="1" t="s">
        <v>354</v>
      </c>
      <c r="C76" s="1" t="s">
        <v>355</v>
      </c>
      <c r="D76" s="1" t="s">
        <v>356</v>
      </c>
      <c r="E76" s="1" t="s">
        <v>357</v>
      </c>
      <c r="F76" s="1">
        <v>75250</v>
      </c>
      <c r="G76" s="1" t="s">
        <v>9</v>
      </c>
      <c r="H76" s="1" t="s">
        <v>10</v>
      </c>
      <c r="I76" s="1" t="s">
        <v>11</v>
      </c>
      <c r="J76" s="1" t="s">
        <v>506</v>
      </c>
      <c r="K76" s="1"/>
      <c r="L76" s="5">
        <v>75250</v>
      </c>
      <c r="M76" s="6">
        <f t="shared" si="4"/>
        <v>0</v>
      </c>
    </row>
    <row r="77" spans="1:13">
      <c r="A77" s="1" t="s">
        <v>358</v>
      </c>
      <c r="B77" s="1" t="s">
        <v>359</v>
      </c>
      <c r="C77" s="1" t="s">
        <v>360</v>
      </c>
      <c r="D77" s="1" t="s">
        <v>361</v>
      </c>
      <c r="E77" s="4" t="s">
        <v>426</v>
      </c>
      <c r="F77" s="1">
        <v>130375</v>
      </c>
      <c r="G77" s="1" t="s">
        <v>9</v>
      </c>
      <c r="H77" s="1" t="s">
        <v>10</v>
      </c>
      <c r="I77" s="1" t="s">
        <v>11</v>
      </c>
      <c r="J77" s="1" t="s">
        <v>507</v>
      </c>
      <c r="K77" s="1"/>
      <c r="L77" s="5">
        <v>130375</v>
      </c>
      <c r="M77" s="6">
        <f t="shared" si="4"/>
        <v>0</v>
      </c>
    </row>
    <row r="78" spans="1:13">
      <c r="A78" s="1" t="s">
        <v>362</v>
      </c>
      <c r="B78" s="1" t="s">
        <v>363</v>
      </c>
      <c r="C78" s="1" t="s">
        <v>364</v>
      </c>
      <c r="D78" s="1" t="s">
        <v>365</v>
      </c>
      <c r="E78" s="4" t="s">
        <v>427</v>
      </c>
      <c r="F78" s="1">
        <v>67375</v>
      </c>
      <c r="G78" s="1" t="s">
        <v>9</v>
      </c>
      <c r="H78" s="1" t="s">
        <v>10</v>
      </c>
      <c r="I78" s="1" t="s">
        <v>11</v>
      </c>
      <c r="J78" s="1" t="s">
        <v>508</v>
      </c>
      <c r="K78" s="1"/>
      <c r="L78" s="5">
        <v>67375</v>
      </c>
      <c r="M78" s="6">
        <f t="shared" si="4"/>
        <v>0</v>
      </c>
    </row>
    <row r="79" spans="1:13">
      <c r="A79" s="1" t="s">
        <v>366</v>
      </c>
      <c r="B79" s="1" t="s">
        <v>367</v>
      </c>
      <c r="C79" s="1" t="s">
        <v>368</v>
      </c>
      <c r="D79" s="1" t="s">
        <v>369</v>
      </c>
      <c r="E79" s="4" t="s">
        <v>428</v>
      </c>
      <c r="F79" s="1">
        <v>56000</v>
      </c>
      <c r="G79" s="1" t="s">
        <v>9</v>
      </c>
      <c r="H79" s="1" t="s">
        <v>10</v>
      </c>
      <c r="I79" s="1" t="s">
        <v>11</v>
      </c>
      <c r="J79" s="1" t="s">
        <v>509</v>
      </c>
      <c r="K79" s="1"/>
      <c r="L79" s="5">
        <v>56000</v>
      </c>
      <c r="M79" s="6">
        <f t="shared" si="4"/>
        <v>0</v>
      </c>
    </row>
    <row r="80" spans="1:13">
      <c r="A80" s="1" t="s">
        <v>370</v>
      </c>
      <c r="B80" s="1" t="s">
        <v>371</v>
      </c>
      <c r="C80" s="1" t="s">
        <v>372</v>
      </c>
      <c r="D80" s="1" t="s">
        <v>373</v>
      </c>
      <c r="E80" s="4" t="s">
        <v>429</v>
      </c>
      <c r="F80" s="1">
        <v>63000</v>
      </c>
      <c r="G80" s="1" t="s">
        <v>9</v>
      </c>
      <c r="H80" s="1" t="s">
        <v>10</v>
      </c>
      <c r="I80" s="1" t="s">
        <v>11</v>
      </c>
      <c r="J80" s="1" t="s">
        <v>510</v>
      </c>
      <c r="K80" s="1"/>
      <c r="L80" s="5">
        <v>63000</v>
      </c>
      <c r="M80" s="6">
        <f t="shared" si="4"/>
        <v>0</v>
      </c>
    </row>
    <row r="81" spans="1:13">
      <c r="A81" s="1" t="s">
        <v>374</v>
      </c>
      <c r="B81" s="1" t="s">
        <v>14</v>
      </c>
      <c r="C81" s="1" t="s">
        <v>15</v>
      </c>
      <c r="D81" s="1" t="s">
        <v>375</v>
      </c>
      <c r="E81" s="1" t="s">
        <v>376</v>
      </c>
      <c r="F81" s="1">
        <v>41125</v>
      </c>
      <c r="G81" s="1" t="s">
        <v>9</v>
      </c>
      <c r="H81" s="1" t="s">
        <v>10</v>
      </c>
      <c r="I81" s="1" t="s">
        <v>11</v>
      </c>
      <c r="J81" s="1" t="s">
        <v>511</v>
      </c>
      <c r="K81" s="1"/>
      <c r="L81" s="5">
        <v>41125</v>
      </c>
      <c r="M81" s="6">
        <f t="shared" si="4"/>
        <v>0</v>
      </c>
    </row>
    <row r="82" spans="1:13">
      <c r="A82" s="1" t="s">
        <v>377</v>
      </c>
      <c r="B82" s="1" t="s">
        <v>13</v>
      </c>
      <c r="C82" s="1" t="s">
        <v>378</v>
      </c>
      <c r="D82" s="1" t="s">
        <v>379</v>
      </c>
      <c r="E82" s="4" t="s">
        <v>430</v>
      </c>
      <c r="F82" s="1">
        <v>122500</v>
      </c>
      <c r="G82" s="1" t="s">
        <v>9</v>
      </c>
      <c r="H82" s="1" t="s">
        <v>10</v>
      </c>
      <c r="I82" s="1" t="s">
        <v>11</v>
      </c>
      <c r="J82" s="1" t="s">
        <v>512</v>
      </c>
      <c r="K82" s="1"/>
      <c r="L82" s="5">
        <v>122500</v>
      </c>
      <c r="M82" s="6">
        <f t="shared" si="4"/>
        <v>0</v>
      </c>
    </row>
    <row r="83" spans="1:13">
      <c r="A83" s="1" t="s">
        <v>380</v>
      </c>
      <c r="B83" s="1" t="s">
        <v>381</v>
      </c>
      <c r="C83" s="1" t="s">
        <v>382</v>
      </c>
      <c r="D83" s="1" t="s">
        <v>383</v>
      </c>
      <c r="E83" s="4" t="s">
        <v>431</v>
      </c>
      <c r="F83" s="1">
        <v>113750</v>
      </c>
      <c r="G83" s="1" t="s">
        <v>9</v>
      </c>
      <c r="H83" s="1" t="s">
        <v>10</v>
      </c>
      <c r="I83" s="1" t="s">
        <v>11</v>
      </c>
      <c r="J83" s="1" t="s">
        <v>513</v>
      </c>
      <c r="K83" s="1"/>
      <c r="L83" s="5">
        <v>113750</v>
      </c>
      <c r="M83" s="6">
        <f t="shared" si="4"/>
        <v>0</v>
      </c>
    </row>
    <row r="84" spans="1:13">
      <c r="A84" s="1" t="s">
        <v>384</v>
      </c>
      <c r="B84" s="1" t="s">
        <v>385</v>
      </c>
      <c r="C84" s="1" t="s">
        <v>386</v>
      </c>
      <c r="D84" s="1" t="s">
        <v>387</v>
      </c>
      <c r="E84" s="1" t="s">
        <v>388</v>
      </c>
      <c r="F84" s="1">
        <v>47373</v>
      </c>
      <c r="G84" s="1" t="s">
        <v>9</v>
      </c>
      <c r="H84" s="1" t="s">
        <v>10</v>
      </c>
      <c r="I84" s="1" t="s">
        <v>11</v>
      </c>
      <c r="J84" s="1" t="s">
        <v>514</v>
      </c>
      <c r="K84" s="1"/>
      <c r="L84" s="5">
        <v>47373</v>
      </c>
      <c r="M84" s="6">
        <f t="shared" si="4"/>
        <v>0</v>
      </c>
    </row>
    <row r="85" spans="1:13">
      <c r="A85" s="1" t="s">
        <v>389</v>
      </c>
      <c r="B85" s="1" t="s">
        <v>390</v>
      </c>
      <c r="C85" s="1" t="s">
        <v>391</v>
      </c>
      <c r="D85" s="1" t="s">
        <v>392</v>
      </c>
      <c r="E85" s="4" t="s">
        <v>432</v>
      </c>
      <c r="F85" s="1">
        <v>74900</v>
      </c>
      <c r="G85" s="1" t="s">
        <v>9</v>
      </c>
      <c r="H85" s="1" t="s">
        <v>10</v>
      </c>
      <c r="I85" s="1" t="s">
        <v>11</v>
      </c>
      <c r="J85" s="1" t="s">
        <v>515</v>
      </c>
      <c r="K85" s="1"/>
      <c r="L85" s="5">
        <v>74900</v>
      </c>
      <c r="M85" s="6">
        <f t="shared" si="4"/>
        <v>0</v>
      </c>
    </row>
    <row r="86" spans="1:13" s="2" customFormat="1">
      <c r="A86" s="5" t="s">
        <v>59</v>
      </c>
      <c r="B86" s="5" t="s">
        <v>60</v>
      </c>
      <c r="C86" s="5" t="s">
        <v>61</v>
      </c>
      <c r="D86" s="5" t="s">
        <v>62</v>
      </c>
      <c r="E86" s="5" t="s">
        <v>63</v>
      </c>
      <c r="F86" s="5">
        <v>82583</v>
      </c>
      <c r="G86" s="5" t="s">
        <v>9</v>
      </c>
      <c r="H86" s="5" t="s">
        <v>10</v>
      </c>
      <c r="I86" s="5" t="s">
        <v>11</v>
      </c>
      <c r="J86" s="5" t="s">
        <v>518</v>
      </c>
      <c r="K86" s="5"/>
      <c r="L86" s="5">
        <v>82583</v>
      </c>
      <c r="M86" s="5">
        <f t="shared" si="4"/>
        <v>0</v>
      </c>
    </row>
    <row r="87" spans="1:13">
      <c r="A87" s="1"/>
      <c r="B87" s="1"/>
      <c r="C87" s="1"/>
      <c r="D87" s="1"/>
      <c r="E87" s="1"/>
      <c r="F87" s="8">
        <f>SUM(F2:F86)</f>
        <v>5559515</v>
      </c>
      <c r="G87" s="1"/>
      <c r="H87" s="1"/>
      <c r="I87" s="1"/>
      <c r="J87" s="1"/>
      <c r="K87" s="1"/>
      <c r="L87" s="7">
        <v>5562764</v>
      </c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93" spans="1:13">
      <c r="J93" s="3"/>
    </row>
  </sheetData>
  <autoFilter ref="A1:M87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BCE6-04E4-46ED-8546-02F96FC887A7}">
  <dimension ref="A1:H88"/>
  <sheetViews>
    <sheetView tabSelected="1" topLeftCell="G84" workbookViewId="0">
      <selection activeCell="H86" sqref="H86"/>
    </sheetView>
  </sheetViews>
  <sheetFormatPr defaultRowHeight="15"/>
  <cols>
    <col min="1" max="1" width="44.7109375" bestFit="1" customWidth="1"/>
    <col min="2" max="2" width="14.28515625" bestFit="1" customWidth="1"/>
    <col min="3" max="3" width="14" bestFit="1" customWidth="1"/>
    <col min="4" max="4" width="10.5703125" bestFit="1" customWidth="1"/>
    <col min="5" max="5" width="13.7109375" bestFit="1" customWidth="1"/>
    <col min="6" max="6" width="96.85546875" customWidth="1"/>
    <col min="7" max="7" width="87.7109375" customWidth="1"/>
    <col min="8" max="8" width="78.42578125" customWidth="1"/>
  </cols>
  <sheetData>
    <row r="1" spans="1:8">
      <c r="A1" s="13" t="s">
        <v>694</v>
      </c>
      <c r="B1" t="s">
        <v>695</v>
      </c>
      <c r="D1" s="14" t="s">
        <v>5</v>
      </c>
      <c r="E1" s="20" t="s">
        <v>696</v>
      </c>
    </row>
    <row r="2" spans="1:8" ht="69" customHeight="1">
      <c r="A2" s="1" t="s">
        <v>433</v>
      </c>
      <c r="B2" s="15" t="str">
        <f>VLOOKUP(A2,POLICY!B:C,2,0)</f>
        <v>070000171729</v>
      </c>
      <c r="C2" s="5">
        <v>55980</v>
      </c>
      <c r="D2" s="16">
        <f>ROUND(C2,0)</f>
        <v>55980</v>
      </c>
      <c r="E2" s="20" t="s">
        <v>696</v>
      </c>
      <c r="F2" s="17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8" t="str">
        <f>"('"&amp;E2&amp;"','"&amp;B2&amp;"','"&amp;D2&amp;"',(select max(to_number(i.premium_rcv_detail_code))+1
from ins_premium_det i),'"&amp;D2&amp;"','"&amp;D2&amp;"','02', '11000003','00','Request by Mr. Saqib Saleem 13-Jan-2024');"</f>
        <v>('13Jan250053','070000171729','55980',(select max(to_number(i.premium_rcv_detail_code))+1
from ins_premium_det i),'55980','55980','02', '11000003','00','Request by Mr. Saqib Saleem 13-Jan-2024');</v>
      </c>
      <c r="H2" s="19" t="str">
        <f>F2&amp;G2</f>
        <v>insert into ins_premium_det (premium_rcv_code,assorted_code, rec_amount,premium_rcv_detail_code,remaining_amt, payrec, mode_code,coinsurance_code,class_cd,it_remarks) values('13Jan250053','070000171729','55980',(select max(to_number(i.premium_rcv_detail_code))+1
from ins_premium_det i),'55980','55980','02', '11000003','00','Request by Mr. Saqib Saleem 13-Jan-2024');</v>
      </c>
    </row>
    <row r="3" spans="1:8" ht="105">
      <c r="A3" s="1" t="s">
        <v>434</v>
      </c>
      <c r="B3" s="15" t="str">
        <f>VLOOKUP(A3,POLICY!B:C,2,0)</f>
        <v>070000171508</v>
      </c>
      <c r="C3" s="5">
        <v>46620</v>
      </c>
      <c r="D3" s="16">
        <f t="shared" ref="D3:D66" si="1">ROUND(C3,0)</f>
        <v>46620</v>
      </c>
      <c r="E3" s="20" t="s">
        <v>696</v>
      </c>
      <c r="F3" s="17" t="str">
        <f t="shared" si="0"/>
        <v>insert into ins_premium_det (premium_rcv_code,assorted_code, rec_amount,premium_rcv_detail_code,remaining_amt, payrec, mode_code,coinsurance_code,class_cd,it_remarks) values</v>
      </c>
      <c r="G3" s="18" t="str">
        <f t="shared" ref="G3:G66" si="2">"('"&amp;E3&amp;"','"&amp;B3&amp;"','"&amp;D3&amp;"',(select max(to_number(i.premium_rcv_detail_code))+1
from ins_premium_det i),'"&amp;D3&amp;"','"&amp;D3&amp;"','02', '11000003','00','Request by Mr. Saqib Saleem 13-Jan-2024');"</f>
        <v>('13Jan250053','070000171508','46620',(select max(to_number(i.premium_rcv_detail_code))+1
from ins_premium_det i),'46620','46620','02', '11000003','00','Request by Mr. Saqib Saleem 13-Jan-2024');</v>
      </c>
      <c r="H3" s="19" t="str">
        <f t="shared" ref="H3:H66" si="3">F3&amp;G3</f>
        <v>insert into ins_premium_det (premium_rcv_code,assorted_code, rec_amount,premium_rcv_detail_code,remaining_amt, payrec, mode_code,coinsurance_code,class_cd,it_remarks) values('13Jan250053','070000171508','46620',(select max(to_number(i.premium_rcv_detail_code))+1
from ins_premium_det i),'46620','46620','02', '11000003','00','Request by Mr. Saqib Saleem 13-Jan-2024');</v>
      </c>
    </row>
    <row r="4" spans="1:8" ht="105">
      <c r="A4" s="1" t="s">
        <v>435</v>
      </c>
      <c r="B4" s="15" t="str">
        <f>VLOOKUP(A4,POLICY!B:C,2,0)</f>
        <v>070000171566</v>
      </c>
      <c r="C4" s="5">
        <v>42000</v>
      </c>
      <c r="D4" s="16">
        <f t="shared" si="1"/>
        <v>42000</v>
      </c>
      <c r="E4" s="20" t="s">
        <v>696</v>
      </c>
      <c r="F4" s="17" t="str">
        <f t="shared" si="0"/>
        <v>insert into ins_premium_det (premium_rcv_code,assorted_code, rec_amount,premium_rcv_detail_code,remaining_amt, payrec, mode_code,coinsurance_code,class_cd,it_remarks) values</v>
      </c>
      <c r="G4" s="18" t="str">
        <f t="shared" si="2"/>
        <v>('13Jan250053','070000171566','42000',(select max(to_number(i.premium_rcv_detail_code))+1
from ins_premium_det i),'42000','42000','02', '11000003','00','Request by Mr. Saqib Saleem 13-Jan-2024');</v>
      </c>
      <c r="H4" s="19" t="str">
        <f t="shared" si="3"/>
        <v>insert into ins_premium_det (premium_rcv_code,assorted_code, rec_amount,premium_rcv_detail_code,remaining_amt, payrec, mode_code,coinsurance_code,class_cd,it_remarks) values('13Jan250053','070000171566','42000',(select max(to_number(i.premium_rcv_detail_code))+1
from ins_premium_det i),'42000','42000','02', '11000003','00','Request by Mr. Saqib Saleem 13-Jan-2024');</v>
      </c>
    </row>
    <row r="5" spans="1:8" ht="105">
      <c r="A5" s="1" t="s">
        <v>436</v>
      </c>
      <c r="B5" s="15" t="str">
        <f>VLOOKUP(A5,POLICY!B:C,2,0)</f>
        <v>070000171538</v>
      </c>
      <c r="C5" s="5">
        <v>36750</v>
      </c>
      <c r="D5" s="16">
        <f t="shared" si="1"/>
        <v>36750</v>
      </c>
      <c r="E5" s="20" t="s">
        <v>696</v>
      </c>
      <c r="F5" s="17" t="str">
        <f t="shared" si="0"/>
        <v>insert into ins_premium_det (premium_rcv_code,assorted_code, rec_amount,premium_rcv_detail_code,remaining_amt, payrec, mode_code,coinsurance_code,class_cd,it_remarks) values</v>
      </c>
      <c r="G5" s="18" t="str">
        <f t="shared" si="2"/>
        <v>('13Jan250053','070000171538','36750',(select max(to_number(i.premium_rcv_detail_code))+1
from ins_premium_det i),'36750','36750','02', '11000003','00','Request by Mr. Saqib Saleem 13-Jan-2024');</v>
      </c>
      <c r="H5" s="19" t="str">
        <f t="shared" si="3"/>
        <v>insert into ins_premium_det (premium_rcv_code,assorted_code, rec_amount,premium_rcv_detail_code,remaining_amt, payrec, mode_code,coinsurance_code,class_cd,it_remarks) values('13Jan250053','070000171538','36750',(select max(to_number(i.premium_rcv_detail_code))+1
from ins_premium_det i),'36750','36750','02', '11000003','00','Request by Mr. Saqib Saleem 13-Jan-2024');</v>
      </c>
    </row>
    <row r="6" spans="1:8" ht="105">
      <c r="A6" s="1" t="s">
        <v>437</v>
      </c>
      <c r="B6" s="15" t="str">
        <f>VLOOKUP(A6,POLICY!B:C,2,0)</f>
        <v>070000171536</v>
      </c>
      <c r="C6" s="5">
        <v>53288</v>
      </c>
      <c r="D6" s="16">
        <f t="shared" si="1"/>
        <v>53288</v>
      </c>
      <c r="E6" s="20" t="s">
        <v>696</v>
      </c>
      <c r="F6" s="17" t="str">
        <f t="shared" si="0"/>
        <v>insert into ins_premium_det (premium_rcv_code,assorted_code, rec_amount,premium_rcv_detail_code,remaining_amt, payrec, mode_code,coinsurance_code,class_cd,it_remarks) values</v>
      </c>
      <c r="G6" s="18" t="str">
        <f t="shared" si="2"/>
        <v>('13Jan250053','070000171536','53288',(select max(to_number(i.premium_rcv_detail_code))+1
from ins_premium_det i),'53288','53288','02', '11000003','00','Request by Mr. Saqib Saleem 13-Jan-2024');</v>
      </c>
      <c r="H6" s="19" t="str">
        <f t="shared" si="3"/>
        <v>insert into ins_premium_det (premium_rcv_code,assorted_code, rec_amount,premium_rcv_detail_code,remaining_amt, payrec, mode_code,coinsurance_code,class_cd,it_remarks) values('13Jan250053','070000171536','53288',(select max(to_number(i.premium_rcv_detail_code))+1
from ins_premium_det i),'53288','53288','02', '11000003','00','Request by Mr. Saqib Saleem 13-Jan-2024');</v>
      </c>
    </row>
    <row r="7" spans="1:8" ht="105">
      <c r="A7" s="1" t="s">
        <v>438</v>
      </c>
      <c r="B7" s="15" t="str">
        <f>VLOOKUP(A7,POLICY!B:C,2,0)</f>
        <v>070000171610</v>
      </c>
      <c r="C7" s="5">
        <v>47373</v>
      </c>
      <c r="D7" s="16">
        <f t="shared" si="1"/>
        <v>47373</v>
      </c>
      <c r="E7" s="20" t="s">
        <v>696</v>
      </c>
      <c r="F7" s="17" t="str">
        <f t="shared" si="0"/>
        <v>insert into ins_premium_det (premium_rcv_code,assorted_code, rec_amount,premium_rcv_detail_code,remaining_amt, payrec, mode_code,coinsurance_code,class_cd,it_remarks) values</v>
      </c>
      <c r="G7" s="18" t="str">
        <f t="shared" si="2"/>
        <v>('13Jan250053','070000171610','47373',(select max(to_number(i.premium_rcv_detail_code))+1
from ins_premium_det i),'47373','47373','02', '11000003','00','Request by Mr. Saqib Saleem 13-Jan-2024');</v>
      </c>
      <c r="H7" s="19" t="str">
        <f t="shared" si="3"/>
        <v>insert into ins_premium_det (premium_rcv_code,assorted_code, rec_amount,premium_rcv_detail_code,remaining_amt, payrec, mode_code,coinsurance_code,class_cd,it_remarks) values('13Jan250053','070000171610','47373',(select max(to_number(i.premium_rcv_detail_code))+1
from ins_premium_det i),'47373','47373','02', '11000003','00','Request by Mr. Saqib Saleem 13-Jan-2024');</v>
      </c>
    </row>
    <row r="8" spans="1:8" ht="105">
      <c r="A8" s="1" t="s">
        <v>439</v>
      </c>
      <c r="B8" s="15" t="str">
        <f>VLOOKUP(A8,POLICY!B:C,2,0)</f>
        <v>070000171616</v>
      </c>
      <c r="C8" s="5">
        <v>37625</v>
      </c>
      <c r="D8" s="16">
        <f t="shared" si="1"/>
        <v>37625</v>
      </c>
      <c r="E8" s="20" t="s">
        <v>696</v>
      </c>
      <c r="F8" s="17" t="str">
        <f t="shared" si="0"/>
        <v>insert into ins_premium_det (premium_rcv_code,assorted_code, rec_amount,premium_rcv_detail_code,remaining_amt, payrec, mode_code,coinsurance_code,class_cd,it_remarks) values</v>
      </c>
      <c r="G8" s="18" t="str">
        <f t="shared" si="2"/>
        <v>('13Jan250053','070000171616','37625',(select max(to_number(i.premium_rcv_detail_code))+1
from ins_premium_det i),'37625','37625','02', '11000003','00','Request by Mr. Saqib Saleem 13-Jan-2024');</v>
      </c>
      <c r="H8" s="19" t="str">
        <f t="shared" si="3"/>
        <v>insert into ins_premium_det (premium_rcv_code,assorted_code, rec_amount,premium_rcv_detail_code,remaining_amt, payrec, mode_code,coinsurance_code,class_cd,it_remarks) values('13Jan250053','070000171616','37625',(select max(to_number(i.premium_rcv_detail_code))+1
from ins_premium_det i),'37625','37625','02', '11000003','00','Request by Mr. Saqib Saleem 13-Jan-2024');</v>
      </c>
    </row>
    <row r="9" spans="1:8" ht="105">
      <c r="A9" s="1" t="s">
        <v>440</v>
      </c>
      <c r="B9" s="15" t="str">
        <f>VLOOKUP(A9,POLICY!B:C,2,0)</f>
        <v>070000171750</v>
      </c>
      <c r="C9" s="5">
        <v>39025</v>
      </c>
      <c r="D9" s="16">
        <f t="shared" si="1"/>
        <v>39025</v>
      </c>
      <c r="E9" s="20" t="s">
        <v>696</v>
      </c>
      <c r="F9" s="17" t="str">
        <f t="shared" si="0"/>
        <v>insert into ins_premium_det (premium_rcv_code,assorted_code, rec_amount,premium_rcv_detail_code,remaining_amt, payrec, mode_code,coinsurance_code,class_cd,it_remarks) values</v>
      </c>
      <c r="G9" s="18" t="str">
        <f t="shared" si="2"/>
        <v>('13Jan250053','070000171750','39025',(select max(to_number(i.premium_rcv_detail_code))+1
from ins_premium_det i),'39025','39025','02', '11000003','00','Request by Mr. Saqib Saleem 13-Jan-2024');</v>
      </c>
      <c r="H9" s="19" t="str">
        <f t="shared" si="3"/>
        <v>insert into ins_premium_det (premium_rcv_code,assorted_code, rec_amount,premium_rcv_detail_code,remaining_amt, payrec, mode_code,coinsurance_code,class_cd,it_remarks) values('13Jan250053','070000171750','39025',(select max(to_number(i.premium_rcv_detail_code))+1
from ins_premium_det i),'39025','39025','02', '11000003','00','Request by Mr. Saqib Saleem 13-Jan-2024');</v>
      </c>
    </row>
    <row r="10" spans="1:8" ht="105">
      <c r="A10" s="1" t="s">
        <v>441</v>
      </c>
      <c r="B10" s="15" t="str">
        <f>VLOOKUP(A10,POLICY!B:C,2,0)</f>
        <v>070000171751</v>
      </c>
      <c r="C10" s="5">
        <v>39550</v>
      </c>
      <c r="D10" s="16">
        <f t="shared" si="1"/>
        <v>39550</v>
      </c>
      <c r="E10" s="20" t="s">
        <v>696</v>
      </c>
      <c r="F10" s="17" t="str">
        <f t="shared" si="0"/>
        <v>insert into ins_premium_det (premium_rcv_code,assorted_code, rec_amount,premium_rcv_detail_code,remaining_amt, payrec, mode_code,coinsurance_code,class_cd,it_remarks) values</v>
      </c>
      <c r="G10" s="18" t="str">
        <f t="shared" si="2"/>
        <v>('13Jan250053','070000171751','39550',(select max(to_number(i.premium_rcv_detail_code))+1
from ins_premium_det i),'39550','39550','02', '11000003','00','Request by Mr. Saqib Saleem 13-Jan-2024');</v>
      </c>
      <c r="H10" s="19" t="str">
        <f t="shared" si="3"/>
        <v>insert into ins_premium_det (premium_rcv_code,assorted_code, rec_amount,premium_rcv_detail_code,remaining_amt, payrec, mode_code,coinsurance_code,class_cd,it_remarks) values('13Jan250053','070000171751','39550',(select max(to_number(i.premium_rcv_detail_code))+1
from ins_premium_det i),'39550','39550','02', '11000003','00','Request by Mr. Saqib Saleem 13-Jan-2024');</v>
      </c>
    </row>
    <row r="11" spans="1:8" ht="105">
      <c r="A11" s="1" t="s">
        <v>441</v>
      </c>
      <c r="B11" s="15" t="str">
        <f>VLOOKUP(A11,POLICY!B:C,2,0)</f>
        <v>070000171751</v>
      </c>
      <c r="C11" s="5">
        <v>39550</v>
      </c>
      <c r="D11" s="16">
        <f t="shared" si="1"/>
        <v>39550</v>
      </c>
      <c r="E11" s="20" t="s">
        <v>696</v>
      </c>
      <c r="F11" s="17" t="str">
        <f t="shared" si="0"/>
        <v>insert into ins_premium_det (premium_rcv_code,assorted_code, rec_amount,premium_rcv_detail_code,remaining_amt, payrec, mode_code,coinsurance_code,class_cd,it_remarks) values</v>
      </c>
      <c r="G11" s="18" t="str">
        <f t="shared" si="2"/>
        <v>('13Jan250053','070000171751','39550',(select max(to_number(i.premium_rcv_detail_code))+1
from ins_premium_det i),'39550','39550','02', '11000003','00','Request by Mr. Saqib Saleem 13-Jan-2024');</v>
      </c>
      <c r="H11" s="19" t="str">
        <f t="shared" si="3"/>
        <v>insert into ins_premium_det (premium_rcv_code,assorted_code, rec_amount,premium_rcv_detail_code,remaining_amt, payrec, mode_code,coinsurance_code,class_cd,it_remarks) values('13Jan250053','070000171751','39550',(select max(to_number(i.premium_rcv_detail_code))+1
from ins_premium_det i),'39550','39550','02', '11000003','00','Request by Mr. Saqib Saleem 13-Jan-2024');</v>
      </c>
    </row>
    <row r="12" spans="1:8" ht="105">
      <c r="A12" s="1" t="s">
        <v>442</v>
      </c>
      <c r="B12" s="15" t="str">
        <f>VLOOKUP(A12,POLICY!B:C,2,0)</f>
        <v>070000172622</v>
      </c>
      <c r="C12" s="5">
        <v>68250</v>
      </c>
      <c r="D12" s="16">
        <f t="shared" si="1"/>
        <v>68250</v>
      </c>
      <c r="E12" s="20" t="s">
        <v>696</v>
      </c>
      <c r="F12" s="17" t="str">
        <f t="shared" si="0"/>
        <v>insert into ins_premium_det (premium_rcv_code,assorted_code, rec_amount,premium_rcv_detail_code,remaining_amt, payrec, mode_code,coinsurance_code,class_cd,it_remarks) values</v>
      </c>
      <c r="G12" s="18" t="str">
        <f t="shared" si="2"/>
        <v>('13Jan250053','070000172622','68250',(select max(to_number(i.premium_rcv_detail_code))+1
from ins_premium_det i),'68250','68250','02', '11000003','00','Request by Mr. Saqib Saleem 13-Jan-2024');</v>
      </c>
      <c r="H12" s="19" t="str">
        <f t="shared" si="3"/>
        <v>insert into ins_premium_det (premium_rcv_code,assorted_code, rec_amount,premium_rcv_detail_code,remaining_amt, payrec, mode_code,coinsurance_code,class_cd,it_remarks) values('13Jan250053','070000172622','68250',(select max(to_number(i.premium_rcv_detail_code))+1
from ins_premium_det i),'68250','68250','02', '11000003','00','Request by Mr. Saqib Saleem 13-Jan-2024');</v>
      </c>
    </row>
    <row r="13" spans="1:8" ht="105">
      <c r="A13" s="1" t="s">
        <v>443</v>
      </c>
      <c r="B13" s="15" t="str">
        <f>VLOOKUP(A13,POLICY!B:C,2,0)</f>
        <v>070000172304</v>
      </c>
      <c r="C13" s="5">
        <v>53288</v>
      </c>
      <c r="D13" s="16">
        <f t="shared" si="1"/>
        <v>53288</v>
      </c>
      <c r="E13" s="20" t="s">
        <v>696</v>
      </c>
      <c r="F13" s="17" t="str">
        <f t="shared" si="0"/>
        <v>insert into ins_premium_det (premium_rcv_code,assorted_code, rec_amount,premium_rcv_detail_code,remaining_amt, payrec, mode_code,coinsurance_code,class_cd,it_remarks) values</v>
      </c>
      <c r="G13" s="18" t="str">
        <f t="shared" si="2"/>
        <v>('13Jan250053','070000172304','53288',(select max(to_number(i.premium_rcv_detail_code))+1
from ins_premium_det i),'53288','53288','02', '11000003','00','Request by Mr. Saqib Saleem 13-Jan-2024');</v>
      </c>
      <c r="H13" s="19" t="str">
        <f t="shared" si="3"/>
        <v>insert into ins_premium_det (premium_rcv_code,assorted_code, rec_amount,premium_rcv_detail_code,remaining_amt, payrec, mode_code,coinsurance_code,class_cd,it_remarks) values('13Jan250053','070000172304','53288',(select max(to_number(i.premium_rcv_detail_code))+1
from ins_premium_det i),'53288','53288','02', '11000003','00','Request by Mr. Saqib Saleem 13-Jan-2024');</v>
      </c>
    </row>
    <row r="14" spans="1:8" ht="105">
      <c r="A14" s="1" t="s">
        <v>444</v>
      </c>
      <c r="B14" s="15" t="str">
        <f>VLOOKUP(A14,POLICY!B:C,2,0)</f>
        <v>070000172311</v>
      </c>
      <c r="C14" s="5">
        <v>53288</v>
      </c>
      <c r="D14" s="16">
        <f t="shared" si="1"/>
        <v>53288</v>
      </c>
      <c r="E14" s="20" t="s">
        <v>696</v>
      </c>
      <c r="F14" s="17" t="str">
        <f t="shared" si="0"/>
        <v>insert into ins_premium_det (premium_rcv_code,assorted_code, rec_amount,premium_rcv_detail_code,remaining_amt, payrec, mode_code,coinsurance_code,class_cd,it_remarks) values</v>
      </c>
      <c r="G14" s="18" t="str">
        <f t="shared" si="2"/>
        <v>('13Jan250053','070000172311','53288',(select max(to_number(i.premium_rcv_detail_code))+1
from ins_premium_det i),'53288','53288','02', '11000003','00','Request by Mr. Saqib Saleem 13-Jan-2024');</v>
      </c>
      <c r="H14" s="19" t="str">
        <f t="shared" si="3"/>
        <v>insert into ins_premium_det (premium_rcv_code,assorted_code, rec_amount,premium_rcv_detail_code,remaining_amt, payrec, mode_code,coinsurance_code,class_cd,it_remarks) values('13Jan250053','070000172311','53288',(select max(to_number(i.premium_rcv_detail_code))+1
from ins_premium_det i),'53288','53288','02', '11000003','00','Request by Mr. Saqib Saleem 13-Jan-2024');</v>
      </c>
    </row>
    <row r="15" spans="1:8" ht="105">
      <c r="A15" s="1" t="s">
        <v>445</v>
      </c>
      <c r="B15" s="15" t="str">
        <f>VLOOKUP(A15,POLICY!B:C,2,0)</f>
        <v>070000172740</v>
      </c>
      <c r="C15" s="5">
        <v>105000</v>
      </c>
      <c r="D15" s="16">
        <f t="shared" si="1"/>
        <v>105000</v>
      </c>
      <c r="E15" s="20" t="s">
        <v>696</v>
      </c>
      <c r="F15" s="17" t="str">
        <f t="shared" si="0"/>
        <v>insert into ins_premium_det (premium_rcv_code,assorted_code, rec_amount,premium_rcv_detail_code,remaining_amt, payrec, mode_code,coinsurance_code,class_cd,it_remarks) values</v>
      </c>
      <c r="G15" s="18" t="str">
        <f t="shared" si="2"/>
        <v>('13Jan250053','070000172740','105000',(select max(to_number(i.premium_rcv_detail_code))+1
from ins_premium_det i),'105000','105000','02', '11000003','00','Request by Mr. Saqib Saleem 13-Jan-2024');</v>
      </c>
      <c r="H15" s="19" t="str">
        <f t="shared" si="3"/>
        <v>insert into ins_premium_det (premium_rcv_code,assorted_code, rec_amount,premium_rcv_detail_code,remaining_amt, payrec, mode_code,coinsurance_code,class_cd,it_remarks) values('13Jan250053','070000172740','105000',(select max(to_number(i.premium_rcv_detail_code))+1
from ins_premium_det i),'105000','105000','02', '11000003','00','Request by Mr. Saqib Saleem 13-Jan-2024');</v>
      </c>
    </row>
    <row r="16" spans="1:8" ht="105">
      <c r="A16" s="1" t="s">
        <v>446</v>
      </c>
      <c r="B16" s="15" t="str">
        <f>VLOOKUP(A16,POLICY!B:C,2,0)</f>
        <v>070000172813</v>
      </c>
      <c r="C16" s="5">
        <v>47373</v>
      </c>
      <c r="D16" s="16">
        <f t="shared" si="1"/>
        <v>47373</v>
      </c>
      <c r="E16" s="20" t="s">
        <v>696</v>
      </c>
      <c r="F16" s="17" t="str">
        <f t="shared" si="0"/>
        <v>insert into ins_premium_det (premium_rcv_code,assorted_code, rec_amount,premium_rcv_detail_code,remaining_amt, payrec, mode_code,coinsurance_code,class_cd,it_remarks) values</v>
      </c>
      <c r="G16" s="18" t="str">
        <f t="shared" si="2"/>
        <v>('13Jan250053','070000172813','47373',(select max(to_number(i.premium_rcv_detail_code))+1
from ins_premium_det i),'47373','47373','02', '11000003','00','Request by Mr. Saqib Saleem 13-Jan-2024');</v>
      </c>
      <c r="H16" s="19" t="str">
        <f t="shared" si="3"/>
        <v>insert into ins_premium_det (premium_rcv_code,assorted_code, rec_amount,premium_rcv_detail_code,remaining_amt, payrec, mode_code,coinsurance_code,class_cd,it_remarks) values('13Jan250053','070000172813','47373',(select max(to_number(i.premium_rcv_detail_code))+1
from ins_premium_det i),'47373','47373','02', '11000003','00','Request by Mr. Saqib Saleem 13-Jan-2024');</v>
      </c>
    </row>
    <row r="17" spans="1:8" ht="105">
      <c r="A17" s="1" t="s">
        <v>447</v>
      </c>
      <c r="B17" s="15" t="str">
        <f>VLOOKUP(A17,POLICY!B:C,2,0)</f>
        <v>070000172765</v>
      </c>
      <c r="C17" s="5">
        <v>67463</v>
      </c>
      <c r="D17" s="16">
        <f t="shared" si="1"/>
        <v>67463</v>
      </c>
      <c r="E17" s="20" t="s">
        <v>696</v>
      </c>
      <c r="F17" s="17" t="str">
        <f t="shared" si="0"/>
        <v>insert into ins_premium_det (premium_rcv_code,assorted_code, rec_amount,premium_rcv_detail_code,remaining_amt, payrec, mode_code,coinsurance_code,class_cd,it_remarks) values</v>
      </c>
      <c r="G17" s="18" t="str">
        <f t="shared" si="2"/>
        <v>('13Jan250053','070000172765','67463',(select max(to_number(i.premium_rcv_detail_code))+1
from ins_premium_det i),'67463','67463','02', '11000003','00','Request by Mr. Saqib Saleem 13-Jan-2024');</v>
      </c>
      <c r="H17" s="19" t="str">
        <f t="shared" si="3"/>
        <v>insert into ins_premium_det (premium_rcv_code,assorted_code, rec_amount,premium_rcv_detail_code,remaining_amt, payrec, mode_code,coinsurance_code,class_cd,it_remarks) values('13Jan250053','070000172765','67463',(select max(to_number(i.premium_rcv_detail_code))+1
from ins_premium_det i),'67463','67463','02', '11000003','00','Request by Mr. Saqib Saleem 13-Jan-2024');</v>
      </c>
    </row>
    <row r="18" spans="1:8" ht="105">
      <c r="A18" s="1" t="s">
        <v>448</v>
      </c>
      <c r="B18" s="15" t="str">
        <f>VLOOKUP(A18,POLICY!B:C,2,0)</f>
        <v>070000172763</v>
      </c>
      <c r="C18" s="5">
        <v>74375</v>
      </c>
      <c r="D18" s="16">
        <f t="shared" si="1"/>
        <v>74375</v>
      </c>
      <c r="E18" s="20" t="s">
        <v>696</v>
      </c>
      <c r="F18" s="17" t="str">
        <f t="shared" si="0"/>
        <v>insert into ins_premium_det (premium_rcv_code,assorted_code, rec_amount,premium_rcv_detail_code,remaining_amt, payrec, mode_code,coinsurance_code,class_cd,it_remarks) values</v>
      </c>
      <c r="G18" s="18" t="str">
        <f t="shared" si="2"/>
        <v>('13Jan250053','070000172763','74375',(select max(to_number(i.premium_rcv_detail_code))+1
from ins_premium_det i),'74375','74375','02', '11000003','00','Request by Mr. Saqib Saleem 13-Jan-2024');</v>
      </c>
      <c r="H18" s="19" t="str">
        <f t="shared" si="3"/>
        <v>insert into ins_premium_det (premium_rcv_code,assorted_code, rec_amount,premium_rcv_detail_code,remaining_amt, payrec, mode_code,coinsurance_code,class_cd,it_remarks) values('13Jan250053','070000172763','74375',(select max(to_number(i.premium_rcv_detail_code))+1
from ins_premium_det i),'74375','74375','02', '11000003','00','Request by Mr. Saqib Saleem 13-Jan-2024');</v>
      </c>
    </row>
    <row r="19" spans="1:8" ht="105">
      <c r="A19" s="1" t="s">
        <v>449</v>
      </c>
      <c r="B19" s="15" t="str">
        <f>VLOOKUP(A19,POLICY!B:C,2,0)</f>
        <v>070000172812</v>
      </c>
      <c r="C19" s="5">
        <v>42000</v>
      </c>
      <c r="D19" s="16">
        <f t="shared" si="1"/>
        <v>42000</v>
      </c>
      <c r="E19" s="20" t="s">
        <v>696</v>
      </c>
      <c r="F19" s="17" t="str">
        <f t="shared" si="0"/>
        <v>insert into ins_premium_det (premium_rcv_code,assorted_code, rec_amount,premium_rcv_detail_code,remaining_amt, payrec, mode_code,coinsurance_code,class_cd,it_remarks) values</v>
      </c>
      <c r="G19" s="18" t="str">
        <f t="shared" si="2"/>
        <v>('13Jan250053','070000172812','42000',(select max(to_number(i.premium_rcv_detail_code))+1
from ins_premium_det i),'42000','42000','02', '11000003','00','Request by Mr. Saqib Saleem 13-Jan-2024');</v>
      </c>
      <c r="H19" s="19" t="str">
        <f t="shared" si="3"/>
        <v>insert into ins_premium_det (premium_rcv_code,assorted_code, rec_amount,premium_rcv_detail_code,remaining_amt, payrec, mode_code,coinsurance_code,class_cd,it_remarks) values('13Jan250053','070000172812','42000',(select max(to_number(i.premium_rcv_detail_code))+1
from ins_premium_det i),'42000','42000','02', '11000003','00','Request by Mr. Saqib Saleem 13-Jan-2024');</v>
      </c>
    </row>
    <row r="20" spans="1:8" ht="105">
      <c r="A20" s="1" t="s">
        <v>450</v>
      </c>
      <c r="B20" s="15" t="str">
        <f>VLOOKUP(A20,POLICY!B:C,2,0)</f>
        <v>070000172911</v>
      </c>
      <c r="C20" s="5">
        <v>42000</v>
      </c>
      <c r="D20" s="16">
        <f t="shared" si="1"/>
        <v>42000</v>
      </c>
      <c r="E20" s="20" t="s">
        <v>696</v>
      </c>
      <c r="F20" s="17" t="str">
        <f t="shared" si="0"/>
        <v>insert into ins_premium_det (premium_rcv_code,assorted_code, rec_amount,premium_rcv_detail_code,remaining_amt, payrec, mode_code,coinsurance_code,class_cd,it_remarks) values</v>
      </c>
      <c r="G20" s="18" t="str">
        <f t="shared" si="2"/>
        <v>('13Jan250053','070000172911','42000',(select max(to_number(i.premium_rcv_detail_code))+1
from ins_premium_det i),'42000','42000','02', '11000003','00','Request by Mr. Saqib Saleem 13-Jan-2024');</v>
      </c>
      <c r="H20" s="19" t="str">
        <f t="shared" si="3"/>
        <v>insert into ins_premium_det (premium_rcv_code,assorted_code, rec_amount,premium_rcv_detail_code,remaining_amt, payrec, mode_code,coinsurance_code,class_cd,it_remarks) values('13Jan250053','070000172911','42000',(select max(to_number(i.premium_rcv_detail_code))+1
from ins_premium_det i),'42000','42000','02', '11000003','00','Request by Mr. Saqib Saleem 13-Jan-2024');</v>
      </c>
    </row>
    <row r="21" spans="1:8" ht="105">
      <c r="A21" s="1" t="s">
        <v>451</v>
      </c>
      <c r="B21" s="15" t="str">
        <f>VLOOKUP(A21,POLICY!B:C,2,0)</f>
        <v>070000172761</v>
      </c>
      <c r="C21" s="5">
        <v>105000</v>
      </c>
      <c r="D21" s="16">
        <f t="shared" si="1"/>
        <v>105000</v>
      </c>
      <c r="E21" s="20" t="s">
        <v>696</v>
      </c>
      <c r="F21" s="17" t="str">
        <f t="shared" si="0"/>
        <v>insert into ins_premium_det (premium_rcv_code,assorted_code, rec_amount,premium_rcv_detail_code,remaining_amt, payrec, mode_code,coinsurance_code,class_cd,it_remarks) values</v>
      </c>
      <c r="G21" s="18" t="str">
        <f t="shared" si="2"/>
        <v>('13Jan250053','070000172761','105000',(select max(to_number(i.premium_rcv_detail_code))+1
from ins_premium_det i),'105000','105000','02', '11000003','00','Request by Mr. Saqib Saleem 13-Jan-2024');</v>
      </c>
      <c r="H21" s="19" t="str">
        <f t="shared" si="3"/>
        <v>insert into ins_premium_det (premium_rcv_code,assorted_code, rec_amount,premium_rcv_detail_code,remaining_amt, payrec, mode_code,coinsurance_code,class_cd,it_remarks) values('13Jan250053','070000172761','105000',(select max(to_number(i.premium_rcv_detail_code))+1
from ins_premium_det i),'105000','105000','02', '11000003','00','Request by Mr. Saqib Saleem 13-Jan-2024');</v>
      </c>
    </row>
    <row r="22" spans="1:8" ht="105">
      <c r="A22" s="1" t="s">
        <v>452</v>
      </c>
      <c r="B22" s="15" t="str">
        <f>VLOOKUP(A22,POLICY!B:C,2,0)</f>
        <v>070000173546</v>
      </c>
      <c r="C22" s="5">
        <v>42875</v>
      </c>
      <c r="D22" s="16">
        <f t="shared" si="1"/>
        <v>42875</v>
      </c>
      <c r="E22" s="20" t="s">
        <v>696</v>
      </c>
      <c r="F22" s="17" t="str">
        <f t="shared" si="0"/>
        <v>insert into ins_premium_det (premium_rcv_code,assorted_code, rec_amount,premium_rcv_detail_code,remaining_amt, payrec, mode_code,coinsurance_code,class_cd,it_remarks) values</v>
      </c>
      <c r="G22" s="18" t="str">
        <f t="shared" si="2"/>
        <v>('13Jan250053','070000173546','42875',(select max(to_number(i.premium_rcv_detail_code))+1
from ins_premium_det i),'42875','42875','02', '11000003','00','Request by Mr. Saqib Saleem 13-Jan-2024');</v>
      </c>
      <c r="H22" s="19" t="str">
        <f t="shared" si="3"/>
        <v>insert into ins_premium_det (premium_rcv_code,assorted_code, rec_amount,premium_rcv_detail_code,remaining_amt, payrec, mode_code,coinsurance_code,class_cd,it_remarks) values('13Jan250053','070000173546','42875',(select max(to_number(i.premium_rcv_detail_code))+1
from ins_premium_det i),'42875','42875','02', '11000003','00','Request by Mr. Saqib Saleem 13-Jan-2024');</v>
      </c>
    </row>
    <row r="23" spans="1:8" ht="105">
      <c r="A23" s="1" t="s">
        <v>453</v>
      </c>
      <c r="B23" s="15" t="str">
        <f>VLOOKUP(A23,POLICY!B:C,2,0)</f>
        <v>070000173513</v>
      </c>
      <c r="C23" s="5">
        <v>35875</v>
      </c>
      <c r="D23" s="16">
        <f t="shared" si="1"/>
        <v>35875</v>
      </c>
      <c r="E23" s="20" t="s">
        <v>696</v>
      </c>
      <c r="F23" s="17" t="str">
        <f t="shared" si="0"/>
        <v>insert into ins_premium_det (premium_rcv_code,assorted_code, rec_amount,premium_rcv_detail_code,remaining_amt, payrec, mode_code,coinsurance_code,class_cd,it_remarks) values</v>
      </c>
      <c r="G23" s="18" t="str">
        <f t="shared" si="2"/>
        <v>('13Jan250053','070000173513','35875',(select max(to_number(i.premium_rcv_detail_code))+1
from ins_premium_det i),'35875','35875','02', '11000003','00','Request by Mr. Saqib Saleem 13-Jan-2024');</v>
      </c>
      <c r="H23" s="19" t="str">
        <f t="shared" si="3"/>
        <v>insert into ins_premium_det (premium_rcv_code,assorted_code, rec_amount,premium_rcv_detail_code,remaining_amt, payrec, mode_code,coinsurance_code,class_cd,it_remarks) values('13Jan250053','070000173513','35875',(select max(to_number(i.premium_rcv_detail_code))+1
from ins_premium_det i),'35875','35875','02', '11000003','00','Request by Mr. Saqib Saleem 13-Jan-2024');</v>
      </c>
    </row>
    <row r="24" spans="1:8" ht="105">
      <c r="A24" s="1" t="s">
        <v>454</v>
      </c>
      <c r="B24" s="15" t="str">
        <f>VLOOKUP(A24,POLICY!B:C,2,0)</f>
        <v>070000173564</v>
      </c>
      <c r="C24" s="5">
        <v>94500</v>
      </c>
      <c r="D24" s="16">
        <f t="shared" si="1"/>
        <v>94500</v>
      </c>
      <c r="E24" s="20" t="s">
        <v>696</v>
      </c>
      <c r="F24" s="17" t="str">
        <f t="shared" si="0"/>
        <v>insert into ins_premium_det (premium_rcv_code,assorted_code, rec_amount,premium_rcv_detail_code,remaining_amt, payrec, mode_code,coinsurance_code,class_cd,it_remarks) values</v>
      </c>
      <c r="G24" s="18" t="str">
        <f t="shared" si="2"/>
        <v>('13Jan250053','070000173564','94500',(select max(to_number(i.premium_rcv_detail_code))+1
from ins_premium_det i),'94500','94500','02', '11000003','00','Request by Mr. Saqib Saleem 13-Jan-2024');</v>
      </c>
      <c r="H24" s="19" t="str">
        <f t="shared" si="3"/>
        <v>insert into ins_premium_det (premium_rcv_code,assorted_code, rec_amount,premium_rcv_detail_code,remaining_amt, payrec, mode_code,coinsurance_code,class_cd,it_remarks) values('13Jan250053','070000173564','94500',(select max(to_number(i.premium_rcv_detail_code))+1
from ins_premium_det i),'94500','94500','02', '11000003','00','Request by Mr. Saqib Saleem 13-Jan-2024');</v>
      </c>
    </row>
    <row r="25" spans="1:8" ht="105">
      <c r="A25" s="1" t="s">
        <v>455</v>
      </c>
      <c r="B25" s="15" t="str">
        <f>VLOOKUP(A25,POLICY!B:C,2,0)</f>
        <v>070000173586</v>
      </c>
      <c r="C25" s="5">
        <v>43313</v>
      </c>
      <c r="D25" s="16">
        <f t="shared" si="1"/>
        <v>43313</v>
      </c>
      <c r="E25" s="20" t="s">
        <v>696</v>
      </c>
      <c r="F25" s="17" t="str">
        <f t="shared" si="0"/>
        <v>insert into ins_premium_det (premium_rcv_code,assorted_code, rec_amount,premium_rcv_detail_code,remaining_amt, payrec, mode_code,coinsurance_code,class_cd,it_remarks) values</v>
      </c>
      <c r="G25" s="18" t="str">
        <f t="shared" si="2"/>
        <v>('13Jan250053','070000173586','43313',(select max(to_number(i.premium_rcv_detail_code))+1
from ins_premium_det i),'43313','43313','02', '11000003','00','Request by Mr. Saqib Saleem 13-Jan-2024');</v>
      </c>
      <c r="H25" s="19" t="str">
        <f t="shared" si="3"/>
        <v>insert into ins_premium_det (premium_rcv_code,assorted_code, rec_amount,premium_rcv_detail_code,remaining_amt, payrec, mode_code,coinsurance_code,class_cd,it_remarks) values('13Jan250053','070000173586','43313',(select max(to_number(i.premium_rcv_detail_code))+1
from ins_premium_det i),'43313','43313','02', '11000003','00','Request by Mr. Saqib Saleem 13-Jan-2024');</v>
      </c>
    </row>
    <row r="26" spans="1:8" ht="105">
      <c r="A26" s="1" t="s">
        <v>456</v>
      </c>
      <c r="B26" s="15" t="str">
        <f>VLOOKUP(A26,POLICY!B:C,2,0)</f>
        <v>070000173588</v>
      </c>
      <c r="C26" s="5">
        <v>128188</v>
      </c>
      <c r="D26" s="16">
        <f t="shared" si="1"/>
        <v>128188</v>
      </c>
      <c r="E26" s="20" t="s">
        <v>696</v>
      </c>
      <c r="F26" s="17" t="str">
        <f t="shared" si="0"/>
        <v>insert into ins_premium_det (premium_rcv_code,assorted_code, rec_amount,premium_rcv_detail_code,remaining_amt, payrec, mode_code,coinsurance_code,class_cd,it_remarks) values</v>
      </c>
      <c r="G26" s="18" t="str">
        <f t="shared" si="2"/>
        <v>('13Jan250053','070000173588','128188',(select max(to_number(i.premium_rcv_detail_code))+1
from ins_premium_det i),'128188','128188','02', '11000003','00','Request by Mr. Saqib Saleem 13-Jan-2024');</v>
      </c>
      <c r="H26" s="19" t="str">
        <f t="shared" si="3"/>
        <v>insert into ins_premium_det (premium_rcv_code,assorted_code, rec_amount,premium_rcv_detail_code,remaining_amt, payrec, mode_code,coinsurance_code,class_cd,it_remarks) values('13Jan250053','070000173588','128188',(select max(to_number(i.premium_rcv_detail_code))+1
from ins_premium_det i),'128188','128188','02', '11000003','00','Request by Mr. Saqib Saleem 13-Jan-2024');</v>
      </c>
    </row>
    <row r="27" spans="1:8" ht="105">
      <c r="A27" s="1" t="s">
        <v>457</v>
      </c>
      <c r="B27" s="15" t="str">
        <f>VLOOKUP(A27,POLICY!B:C,2,0)</f>
        <v>070000173589</v>
      </c>
      <c r="C27" s="5">
        <v>64750</v>
      </c>
      <c r="D27" s="16">
        <f t="shared" si="1"/>
        <v>64750</v>
      </c>
      <c r="E27" s="20" t="s">
        <v>696</v>
      </c>
      <c r="F27" s="17" t="str">
        <f t="shared" si="0"/>
        <v>insert into ins_premium_det (premium_rcv_code,assorted_code, rec_amount,premium_rcv_detail_code,remaining_amt, payrec, mode_code,coinsurance_code,class_cd,it_remarks) values</v>
      </c>
      <c r="G27" s="18" t="str">
        <f t="shared" si="2"/>
        <v>('13Jan250053','070000173589','64750',(select max(to_number(i.premium_rcv_detail_code))+1
from ins_premium_det i),'64750','64750','02', '11000003','00','Request by Mr. Saqib Saleem 13-Jan-2024');</v>
      </c>
      <c r="H27" s="19" t="str">
        <f t="shared" si="3"/>
        <v>insert into ins_premium_det (premium_rcv_code,assorted_code, rec_amount,premium_rcv_detail_code,remaining_amt, payrec, mode_code,coinsurance_code,class_cd,it_remarks) values('13Jan250053','070000173589','64750',(select max(to_number(i.premium_rcv_detail_code))+1
from ins_premium_det i),'64750','64750','02', '11000003','00','Request by Mr. Saqib Saleem 13-Jan-2024');</v>
      </c>
    </row>
    <row r="28" spans="1:8" ht="105">
      <c r="A28" s="1" t="s">
        <v>458</v>
      </c>
      <c r="B28" s="15" t="str">
        <f>VLOOKUP(A28,POLICY!B:C,2,0)</f>
        <v>070000171537</v>
      </c>
      <c r="C28" s="5">
        <v>42000</v>
      </c>
      <c r="D28" s="16">
        <f t="shared" si="1"/>
        <v>42000</v>
      </c>
      <c r="E28" s="20" t="s">
        <v>696</v>
      </c>
      <c r="F28" s="17" t="str">
        <f t="shared" si="0"/>
        <v>insert into ins_premium_det (premium_rcv_code,assorted_code, rec_amount,premium_rcv_detail_code,remaining_amt, payrec, mode_code,coinsurance_code,class_cd,it_remarks) values</v>
      </c>
      <c r="G28" s="18" t="str">
        <f t="shared" si="2"/>
        <v>('13Jan250053','070000171537','42000',(select max(to_number(i.premium_rcv_detail_code))+1
from ins_premium_det i),'42000','42000','02', '11000003','00','Request by Mr. Saqib Saleem 13-Jan-2024');</v>
      </c>
      <c r="H28" s="19" t="str">
        <f t="shared" si="3"/>
        <v>insert into ins_premium_det (premium_rcv_code,assorted_code, rec_amount,premium_rcv_detail_code,remaining_amt, payrec, mode_code,coinsurance_code,class_cd,it_remarks) values('13Jan250053','070000171537','42000',(select max(to_number(i.premium_rcv_detail_code))+1
from ins_premium_det i),'42000','42000','02', '11000003','00','Request by Mr. Saqib Saleem 13-Jan-2024');</v>
      </c>
    </row>
    <row r="29" spans="1:8" ht="105">
      <c r="A29" s="1" t="s">
        <v>459</v>
      </c>
      <c r="B29" s="15" t="str">
        <f>VLOOKUP(A29,POLICY!B:C,2,0)</f>
        <v>070000171600</v>
      </c>
      <c r="C29" s="5">
        <v>45500</v>
      </c>
      <c r="D29" s="16">
        <f t="shared" si="1"/>
        <v>45500</v>
      </c>
      <c r="E29" s="20" t="s">
        <v>696</v>
      </c>
      <c r="F29" s="17" t="str">
        <f t="shared" si="0"/>
        <v>insert into ins_premium_det (premium_rcv_code,assorted_code, rec_amount,premium_rcv_detail_code,remaining_amt, payrec, mode_code,coinsurance_code,class_cd,it_remarks) values</v>
      </c>
      <c r="G29" s="18" t="str">
        <f t="shared" si="2"/>
        <v>('13Jan250053','070000171600','45500',(select max(to_number(i.premium_rcv_detail_code))+1
from ins_premium_det i),'45500','45500','02', '11000003','00','Request by Mr. Saqib Saleem 13-Jan-2024');</v>
      </c>
      <c r="H29" s="19" t="str">
        <f t="shared" si="3"/>
        <v>insert into ins_premium_det (premium_rcv_code,assorted_code, rec_amount,premium_rcv_detail_code,remaining_amt, payrec, mode_code,coinsurance_code,class_cd,it_remarks) values('13Jan250053','070000171600','45500',(select max(to_number(i.premium_rcv_detail_code))+1
from ins_premium_det i),'45500','45500','02', '11000003','00','Request by Mr. Saqib Saleem 13-Jan-2024');</v>
      </c>
    </row>
    <row r="30" spans="1:8" ht="105">
      <c r="A30" s="1" t="s">
        <v>460</v>
      </c>
      <c r="B30" s="15" t="str">
        <f>VLOOKUP(A30,POLICY!B:C,2,0)</f>
        <v>070000171746</v>
      </c>
      <c r="C30" s="5">
        <v>47373</v>
      </c>
      <c r="D30" s="16">
        <f t="shared" si="1"/>
        <v>47373</v>
      </c>
      <c r="E30" s="20" t="s">
        <v>696</v>
      </c>
      <c r="F30" s="17" t="str">
        <f t="shared" si="0"/>
        <v>insert into ins_premium_det (premium_rcv_code,assorted_code, rec_amount,premium_rcv_detail_code,remaining_amt, payrec, mode_code,coinsurance_code,class_cd,it_remarks) values</v>
      </c>
      <c r="G30" s="18" t="str">
        <f t="shared" si="2"/>
        <v>('13Jan250053','070000171746','47373',(select max(to_number(i.premium_rcv_detail_code))+1
from ins_premium_det i),'47373','47373','02', '11000003','00','Request by Mr. Saqib Saleem 13-Jan-2024');</v>
      </c>
      <c r="H30" s="19" t="str">
        <f t="shared" si="3"/>
        <v>insert into ins_premium_det (premium_rcv_code,assorted_code, rec_amount,premium_rcv_detail_code,remaining_amt, payrec, mode_code,coinsurance_code,class_cd,it_remarks) values('13Jan250053','070000171746','47373',(select max(to_number(i.premium_rcv_detail_code))+1
from ins_premium_det i),'47373','47373','02', '11000003','00','Request by Mr. Saqib Saleem 13-Jan-2024');</v>
      </c>
    </row>
    <row r="31" spans="1:8" ht="105">
      <c r="A31" s="1" t="s">
        <v>461</v>
      </c>
      <c r="B31" s="15" t="str">
        <f>VLOOKUP(A31,POLICY!B:C,2,0)</f>
        <v>070000172672</v>
      </c>
      <c r="C31" s="5">
        <v>58988</v>
      </c>
      <c r="D31" s="16">
        <f t="shared" si="1"/>
        <v>58988</v>
      </c>
      <c r="E31" s="20" t="s">
        <v>696</v>
      </c>
      <c r="F31" s="17" t="str">
        <f t="shared" si="0"/>
        <v>insert into ins_premium_det (premium_rcv_code,assorted_code, rec_amount,premium_rcv_detail_code,remaining_amt, payrec, mode_code,coinsurance_code,class_cd,it_remarks) values</v>
      </c>
      <c r="G31" s="18" t="str">
        <f t="shared" si="2"/>
        <v>('13Jan250053','070000172672','58988',(select max(to_number(i.premium_rcv_detail_code))+1
from ins_premium_det i),'58988','58988','02', '11000003','00','Request by Mr. Saqib Saleem 13-Jan-2024');</v>
      </c>
      <c r="H31" s="19" t="str">
        <f t="shared" si="3"/>
        <v>insert into ins_premium_det (premium_rcv_code,assorted_code, rec_amount,premium_rcv_detail_code,remaining_amt, payrec, mode_code,coinsurance_code,class_cd,it_remarks) values('13Jan250053','070000172672','58988',(select max(to_number(i.premium_rcv_detail_code))+1
from ins_premium_det i),'58988','58988','02', '11000003','00','Request by Mr. Saqib Saleem 13-Jan-2024');</v>
      </c>
    </row>
    <row r="32" spans="1:8" ht="105">
      <c r="A32" s="1" t="s">
        <v>462</v>
      </c>
      <c r="B32" s="15" t="str">
        <f>VLOOKUP(A32,POLICY!B:C,2,0)</f>
        <v>070000172816</v>
      </c>
      <c r="C32" s="5">
        <v>67375</v>
      </c>
      <c r="D32" s="16">
        <f t="shared" si="1"/>
        <v>67375</v>
      </c>
      <c r="E32" s="20" t="s">
        <v>696</v>
      </c>
      <c r="F32" s="17" t="str">
        <f t="shared" si="0"/>
        <v>insert into ins_premium_det (premium_rcv_code,assorted_code, rec_amount,premium_rcv_detail_code,remaining_amt, payrec, mode_code,coinsurance_code,class_cd,it_remarks) values</v>
      </c>
      <c r="G32" s="18" t="str">
        <f t="shared" si="2"/>
        <v>('13Jan250053','070000172816','67375',(select max(to_number(i.premium_rcv_detail_code))+1
from ins_premium_det i),'67375','67375','02', '11000003','00','Request by Mr. Saqib Saleem 13-Jan-2024');</v>
      </c>
      <c r="H32" s="19" t="str">
        <f t="shared" si="3"/>
        <v>insert into ins_premium_det (premium_rcv_code,assorted_code, rec_amount,premium_rcv_detail_code,remaining_amt, payrec, mode_code,coinsurance_code,class_cd,it_remarks) values('13Jan250053','070000172816','67375',(select max(to_number(i.premium_rcv_detail_code))+1
from ins_premium_det i),'67375','67375','02', '11000003','00','Request by Mr. Saqib Saleem 13-Jan-2024');</v>
      </c>
    </row>
    <row r="33" spans="1:8" ht="105">
      <c r="A33" s="1" t="s">
        <v>463</v>
      </c>
      <c r="B33" s="15" t="str">
        <f>VLOOKUP(A33,POLICY!B:C,2,0)</f>
        <v>070000172847</v>
      </c>
      <c r="C33" s="5">
        <v>99750</v>
      </c>
      <c r="D33" s="16">
        <f t="shared" si="1"/>
        <v>99750</v>
      </c>
      <c r="E33" s="20" t="s">
        <v>696</v>
      </c>
      <c r="F33" s="17" t="str">
        <f t="shared" si="0"/>
        <v>insert into ins_premium_det (premium_rcv_code,assorted_code, rec_amount,premium_rcv_detail_code,remaining_amt, payrec, mode_code,coinsurance_code,class_cd,it_remarks) values</v>
      </c>
      <c r="G33" s="18" t="str">
        <f t="shared" si="2"/>
        <v>('13Jan250053','070000172847','99750',(select max(to_number(i.premium_rcv_detail_code))+1
from ins_premium_det i),'99750','99750','02', '11000003','00','Request by Mr. Saqib Saleem 13-Jan-2024');</v>
      </c>
      <c r="H33" s="19" t="str">
        <f t="shared" si="3"/>
        <v>insert into ins_premium_det (premium_rcv_code,assorted_code, rec_amount,premium_rcv_detail_code,remaining_amt, payrec, mode_code,coinsurance_code,class_cd,it_remarks) values('13Jan250053','070000172847','99750',(select max(to_number(i.premium_rcv_detail_code))+1
from ins_premium_det i),'99750','99750','02', '11000003','00','Request by Mr. Saqib Saleem 13-Jan-2024');</v>
      </c>
    </row>
    <row r="34" spans="1:8" ht="105">
      <c r="A34" s="1" t="s">
        <v>464</v>
      </c>
      <c r="B34" s="15" t="str">
        <f>VLOOKUP(A34,POLICY!B:C,2,0)</f>
        <v>070000173485</v>
      </c>
      <c r="C34" s="5">
        <v>47250</v>
      </c>
      <c r="D34" s="16">
        <f t="shared" si="1"/>
        <v>47250</v>
      </c>
      <c r="E34" s="20" t="s">
        <v>696</v>
      </c>
      <c r="F34" s="17" t="str">
        <f t="shared" si="0"/>
        <v>insert into ins_premium_det (premium_rcv_code,assorted_code, rec_amount,premium_rcv_detail_code,remaining_amt, payrec, mode_code,coinsurance_code,class_cd,it_remarks) values</v>
      </c>
      <c r="G34" s="18" t="str">
        <f t="shared" si="2"/>
        <v>('13Jan250053','070000173485','47250',(select max(to_number(i.premium_rcv_detail_code))+1
from ins_premium_det i),'47250','47250','02', '11000003','00','Request by Mr. Saqib Saleem 13-Jan-2024');</v>
      </c>
      <c r="H34" s="19" t="str">
        <f t="shared" si="3"/>
        <v>insert into ins_premium_det (premium_rcv_code,assorted_code, rec_amount,premium_rcv_detail_code,remaining_amt, payrec, mode_code,coinsurance_code,class_cd,it_remarks) values('13Jan250053','070000173485','47250',(select max(to_number(i.premium_rcv_detail_code))+1
from ins_premium_det i),'47250','47250','02', '11000003','00','Request by Mr. Saqib Saleem 13-Jan-2024');</v>
      </c>
    </row>
    <row r="35" spans="1:8" ht="105">
      <c r="A35" s="1" t="s">
        <v>465</v>
      </c>
      <c r="B35" s="15" t="str">
        <f>VLOOKUP(A35,POLICY!B:C,2,0)</f>
        <v>070000173572</v>
      </c>
      <c r="C35" s="5">
        <v>46813</v>
      </c>
      <c r="D35" s="16">
        <f t="shared" si="1"/>
        <v>46813</v>
      </c>
      <c r="E35" s="20" t="s">
        <v>696</v>
      </c>
      <c r="F35" s="17" t="str">
        <f t="shared" si="0"/>
        <v>insert into ins_premium_det (premium_rcv_code,assorted_code, rec_amount,premium_rcv_detail_code,remaining_amt, payrec, mode_code,coinsurance_code,class_cd,it_remarks) values</v>
      </c>
      <c r="G35" s="18" t="str">
        <f t="shared" si="2"/>
        <v>('13Jan250053','070000173572','46813',(select max(to_number(i.premium_rcv_detail_code))+1
from ins_premium_det i),'46813','46813','02', '11000003','00','Request by Mr. Saqib Saleem 13-Jan-2024');</v>
      </c>
      <c r="H35" s="19" t="str">
        <f t="shared" si="3"/>
        <v>insert into ins_premium_det (premium_rcv_code,assorted_code, rec_amount,premium_rcv_detail_code,remaining_amt, payrec, mode_code,coinsurance_code,class_cd,it_remarks) values('13Jan250053','070000173572','46813',(select max(to_number(i.premium_rcv_detail_code))+1
from ins_premium_det i),'46813','46813','02', '11000003','00','Request by Mr. Saqib Saleem 13-Jan-2024');</v>
      </c>
    </row>
    <row r="36" spans="1:8" ht="105">
      <c r="A36" s="1" t="s">
        <v>466</v>
      </c>
      <c r="B36" s="15" t="str">
        <f>VLOOKUP(A36,POLICY!B:C,2,0)</f>
        <v>070000173579</v>
      </c>
      <c r="C36" s="5">
        <v>91438</v>
      </c>
      <c r="D36" s="16">
        <f t="shared" si="1"/>
        <v>91438</v>
      </c>
      <c r="E36" s="20" t="s">
        <v>696</v>
      </c>
      <c r="F36" s="17" t="str">
        <f t="shared" si="0"/>
        <v>insert into ins_premium_det (premium_rcv_code,assorted_code, rec_amount,premium_rcv_detail_code,remaining_amt, payrec, mode_code,coinsurance_code,class_cd,it_remarks) values</v>
      </c>
      <c r="G36" s="18" t="str">
        <f t="shared" si="2"/>
        <v>('13Jan250053','070000173579','91438',(select max(to_number(i.premium_rcv_detail_code))+1
from ins_premium_det i),'91438','91438','02', '11000003','00','Request by Mr. Saqib Saleem 13-Jan-2024');</v>
      </c>
      <c r="H36" s="19" t="str">
        <f t="shared" si="3"/>
        <v>insert into ins_premium_det (premium_rcv_code,assorted_code, rec_amount,premium_rcv_detail_code,remaining_amt, payrec, mode_code,coinsurance_code,class_cd,it_remarks) values('13Jan250053','070000173579','91438',(select max(to_number(i.premium_rcv_detail_code))+1
from ins_premium_det i),'91438','91438','02', '11000003','00','Request by Mr. Saqib Saleem 13-Jan-2024');</v>
      </c>
    </row>
    <row r="37" spans="1:8" ht="105">
      <c r="A37" s="1" t="s">
        <v>467</v>
      </c>
      <c r="B37" s="15" t="str">
        <f>VLOOKUP(A37,POLICY!B:C,2,0)</f>
        <v>070000173585</v>
      </c>
      <c r="C37" s="5">
        <v>44625</v>
      </c>
      <c r="D37" s="16">
        <f t="shared" si="1"/>
        <v>44625</v>
      </c>
      <c r="E37" s="20" t="s">
        <v>696</v>
      </c>
      <c r="F37" s="17" t="str">
        <f t="shared" si="0"/>
        <v>insert into ins_premium_det (premium_rcv_code,assorted_code, rec_amount,premium_rcv_detail_code,remaining_amt, payrec, mode_code,coinsurance_code,class_cd,it_remarks) values</v>
      </c>
      <c r="G37" s="18" t="str">
        <f t="shared" si="2"/>
        <v>('13Jan250053','070000173585','44625',(select max(to_number(i.premium_rcv_detail_code))+1
from ins_premium_det i),'44625','44625','02', '11000003','00','Request by Mr. Saqib Saleem 13-Jan-2024');</v>
      </c>
      <c r="H37" s="19" t="str">
        <f t="shared" si="3"/>
        <v>insert into ins_premium_det (premium_rcv_code,assorted_code, rec_amount,premium_rcv_detail_code,remaining_amt, payrec, mode_code,coinsurance_code,class_cd,it_remarks) values('13Jan250053','070000173585','44625',(select max(to_number(i.premium_rcv_detail_code))+1
from ins_premium_det i),'44625','44625','02', '11000003','00','Request by Mr. Saqib Saleem 13-Jan-2024');</v>
      </c>
    </row>
    <row r="38" spans="1:8" ht="105">
      <c r="A38" s="1" t="s">
        <v>468</v>
      </c>
      <c r="B38" s="15" t="str">
        <f>VLOOKUP(A38,POLICY!B:C,2,0)</f>
        <v>070000173504</v>
      </c>
      <c r="C38" s="5">
        <v>47373</v>
      </c>
      <c r="D38" s="16">
        <f t="shared" si="1"/>
        <v>47373</v>
      </c>
      <c r="E38" s="20" t="s">
        <v>696</v>
      </c>
      <c r="F38" s="17" t="str">
        <f t="shared" si="0"/>
        <v>insert into ins_premium_det (premium_rcv_code,assorted_code, rec_amount,premium_rcv_detail_code,remaining_amt, payrec, mode_code,coinsurance_code,class_cd,it_remarks) values</v>
      </c>
      <c r="G38" s="18" t="str">
        <f t="shared" si="2"/>
        <v>('13Jan250053','070000173504','47373',(select max(to_number(i.premium_rcv_detail_code))+1
from ins_premium_det i),'47373','47373','02', '11000003','00','Request by Mr. Saqib Saleem 13-Jan-2024');</v>
      </c>
      <c r="H38" s="19" t="str">
        <f t="shared" si="3"/>
        <v>insert into ins_premium_det (premium_rcv_code,assorted_code, rec_amount,premium_rcv_detail_code,remaining_amt, payrec, mode_code,coinsurance_code,class_cd,it_remarks) values('13Jan250053','070000173504','47373',(select max(to_number(i.premium_rcv_detail_code))+1
from ins_premium_det i),'47373','47373','02', '11000003','00','Request by Mr. Saqib Saleem 13-Jan-2024');</v>
      </c>
    </row>
    <row r="39" spans="1:8" ht="105">
      <c r="A39" s="1" t="s">
        <v>469</v>
      </c>
      <c r="B39" s="15" t="str">
        <f>VLOOKUP(A39,POLICY!B:C,2,0)</f>
        <v>070000171335</v>
      </c>
      <c r="C39" s="5">
        <v>82583</v>
      </c>
      <c r="D39" s="16">
        <f t="shared" si="1"/>
        <v>82583</v>
      </c>
      <c r="E39" s="20" t="s">
        <v>696</v>
      </c>
      <c r="F39" s="17" t="str">
        <f t="shared" si="0"/>
        <v>insert into ins_premium_det (premium_rcv_code,assorted_code, rec_amount,premium_rcv_detail_code,remaining_amt, payrec, mode_code,coinsurance_code,class_cd,it_remarks) values</v>
      </c>
      <c r="G39" s="18" t="str">
        <f t="shared" si="2"/>
        <v>('13Jan250053','070000171335','82583',(select max(to_number(i.premium_rcv_detail_code))+1
from ins_premium_det i),'82583','82583','02', '11000003','00','Request by Mr. Saqib Saleem 13-Jan-2024');</v>
      </c>
      <c r="H39" s="19" t="str">
        <f t="shared" si="3"/>
        <v>insert into ins_premium_det (premium_rcv_code,assorted_code, rec_amount,premium_rcv_detail_code,remaining_amt, payrec, mode_code,coinsurance_code,class_cd,it_remarks) values('13Jan250053','070000171335','82583',(select max(to_number(i.premium_rcv_detail_code))+1
from ins_premium_det i),'82583','82583','02', '11000003','00','Request by Mr. Saqib Saleem 13-Jan-2024');</v>
      </c>
    </row>
    <row r="40" spans="1:8" ht="105">
      <c r="A40" s="1" t="s">
        <v>470</v>
      </c>
      <c r="B40" s="15" t="str">
        <f>VLOOKUP(A40,POLICY!B:C,2,0)</f>
        <v>070000171724</v>
      </c>
      <c r="C40" s="5">
        <v>60900</v>
      </c>
      <c r="D40" s="16">
        <f t="shared" si="1"/>
        <v>60900</v>
      </c>
      <c r="E40" s="20" t="s">
        <v>696</v>
      </c>
      <c r="F40" s="17" t="str">
        <f t="shared" si="0"/>
        <v>insert into ins_premium_det (premium_rcv_code,assorted_code, rec_amount,premium_rcv_detail_code,remaining_amt, payrec, mode_code,coinsurance_code,class_cd,it_remarks) values</v>
      </c>
      <c r="G40" s="18" t="str">
        <f t="shared" si="2"/>
        <v>('13Jan250053','070000171724','60900',(select max(to_number(i.premium_rcv_detail_code))+1
from ins_premium_det i),'60900','60900','02', '11000003','00','Request by Mr. Saqib Saleem 13-Jan-2024');</v>
      </c>
      <c r="H40" s="19" t="str">
        <f t="shared" si="3"/>
        <v>insert into ins_premium_det (premium_rcv_code,assorted_code, rec_amount,premium_rcv_detail_code,remaining_amt, payrec, mode_code,coinsurance_code,class_cd,it_remarks) values('13Jan250053','070000171724','60900',(select max(to_number(i.premium_rcv_detail_code))+1
from ins_premium_det i),'60900','60900','02', '11000003','00','Request by Mr. Saqib Saleem 13-Jan-2024');</v>
      </c>
    </row>
    <row r="41" spans="1:8" ht="105">
      <c r="A41" s="1" t="s">
        <v>471</v>
      </c>
      <c r="B41" s="15" t="str">
        <f>VLOOKUP(A41,POLICY!B:C,2,0)</f>
        <v>070000172805</v>
      </c>
      <c r="C41" s="5">
        <v>94380</v>
      </c>
      <c r="D41" s="16">
        <f t="shared" si="1"/>
        <v>94380</v>
      </c>
      <c r="E41" s="20" t="s">
        <v>696</v>
      </c>
      <c r="F41" s="17" t="str">
        <f t="shared" si="0"/>
        <v>insert into ins_premium_det (premium_rcv_code,assorted_code, rec_amount,premium_rcv_detail_code,remaining_amt, payrec, mode_code,coinsurance_code,class_cd,it_remarks) values</v>
      </c>
      <c r="G41" s="18" t="str">
        <f t="shared" si="2"/>
        <v>('13Jan250053','070000172805','94380',(select max(to_number(i.premium_rcv_detail_code))+1
from ins_premium_det i),'94380','94380','02', '11000003','00','Request by Mr. Saqib Saleem 13-Jan-2024');</v>
      </c>
      <c r="H41" s="19" t="str">
        <f t="shared" si="3"/>
        <v>insert into ins_premium_det (premium_rcv_code,assorted_code, rec_amount,premium_rcv_detail_code,remaining_amt, payrec, mode_code,coinsurance_code,class_cd,it_remarks) values('13Jan250053','070000172805','94380',(select max(to_number(i.premium_rcv_detail_code))+1
from ins_premium_det i),'94380','94380','02', '11000003','00','Request by Mr. Saqib Saleem 13-Jan-2024');</v>
      </c>
    </row>
    <row r="42" spans="1:8" ht="105">
      <c r="A42" s="1" t="s">
        <v>472</v>
      </c>
      <c r="B42" s="15" t="str">
        <f>VLOOKUP(A42,POLICY!B:C,2,0)</f>
        <v>070000171723</v>
      </c>
      <c r="C42" s="5">
        <v>60900</v>
      </c>
      <c r="D42" s="16">
        <f t="shared" si="1"/>
        <v>60900</v>
      </c>
      <c r="E42" s="20" t="s">
        <v>696</v>
      </c>
      <c r="F42" s="17" t="str">
        <f t="shared" si="0"/>
        <v>insert into ins_premium_det (premium_rcv_code,assorted_code, rec_amount,premium_rcv_detail_code,remaining_amt, payrec, mode_code,coinsurance_code,class_cd,it_remarks) values</v>
      </c>
      <c r="G42" s="18" t="str">
        <f t="shared" si="2"/>
        <v>('13Jan250053','070000171723','60900',(select max(to_number(i.premium_rcv_detail_code))+1
from ins_premium_det i),'60900','60900','02', '11000003','00','Request by Mr. Saqib Saleem 13-Jan-2024');</v>
      </c>
      <c r="H42" s="19" t="str">
        <f t="shared" si="3"/>
        <v>insert into ins_premium_det (premium_rcv_code,assorted_code, rec_amount,premium_rcv_detail_code,remaining_amt, payrec, mode_code,coinsurance_code,class_cd,it_remarks) values('13Jan250053','070000171723','60900',(select max(to_number(i.premium_rcv_detail_code))+1
from ins_premium_det i),'60900','60900','02', '11000003','00','Request by Mr. Saqib Saleem 13-Jan-2024');</v>
      </c>
    </row>
    <row r="43" spans="1:8" ht="105">
      <c r="A43" s="1" t="s">
        <v>473</v>
      </c>
      <c r="B43" s="15" t="str">
        <f>VLOOKUP(A43,POLICY!B:C,2,0)</f>
        <v>070000172295</v>
      </c>
      <c r="C43" s="5">
        <v>94380</v>
      </c>
      <c r="D43" s="16">
        <f t="shared" si="1"/>
        <v>94380</v>
      </c>
      <c r="E43" s="20" t="s">
        <v>696</v>
      </c>
      <c r="F43" s="17" t="str">
        <f t="shared" si="0"/>
        <v>insert into ins_premium_det (premium_rcv_code,assorted_code, rec_amount,premium_rcv_detail_code,remaining_amt, payrec, mode_code,coinsurance_code,class_cd,it_remarks) values</v>
      </c>
      <c r="G43" s="18" t="str">
        <f t="shared" si="2"/>
        <v>('13Jan250053','070000172295','94380',(select max(to_number(i.premium_rcv_detail_code))+1
from ins_premium_det i),'94380','94380','02', '11000003','00','Request by Mr. Saqib Saleem 13-Jan-2024');</v>
      </c>
      <c r="H43" s="19" t="str">
        <f t="shared" si="3"/>
        <v>insert into ins_premium_det (premium_rcv_code,assorted_code, rec_amount,premium_rcv_detail_code,remaining_amt, payrec, mode_code,coinsurance_code,class_cd,it_remarks) values('13Jan250053','070000172295','94380',(select max(to_number(i.premium_rcv_detail_code))+1
from ins_premium_det i),'94380','94380','02', '11000003','00','Request by Mr. Saqib Saleem 13-Jan-2024');</v>
      </c>
    </row>
    <row r="44" spans="1:8" ht="105">
      <c r="A44" s="1" t="s">
        <v>474</v>
      </c>
      <c r="B44" s="15" t="str">
        <f>VLOOKUP(A44,POLICY!B:C,2,0)</f>
        <v>070000172308</v>
      </c>
      <c r="C44" s="5">
        <v>94600</v>
      </c>
      <c r="D44" s="16">
        <f t="shared" si="1"/>
        <v>94600</v>
      </c>
      <c r="E44" s="20" t="s">
        <v>696</v>
      </c>
      <c r="F44" s="17" t="str">
        <f t="shared" si="0"/>
        <v>insert into ins_premium_det (premium_rcv_code,assorted_code, rec_amount,premium_rcv_detail_code,remaining_amt, payrec, mode_code,coinsurance_code,class_cd,it_remarks) values</v>
      </c>
      <c r="G44" s="18" t="str">
        <f t="shared" si="2"/>
        <v>('13Jan250053','070000172308','94600',(select max(to_number(i.premium_rcv_detail_code))+1
from ins_premium_det i),'94600','94600','02', '11000003','00','Request by Mr. Saqib Saleem 13-Jan-2024');</v>
      </c>
      <c r="H44" s="19" t="str">
        <f t="shared" si="3"/>
        <v>insert into ins_premium_det (premium_rcv_code,assorted_code, rec_amount,premium_rcv_detail_code,remaining_amt, payrec, mode_code,coinsurance_code,class_cd,it_remarks) values('13Jan250053','070000172308','94600',(select max(to_number(i.premium_rcv_detail_code))+1
from ins_premium_det i),'94600','94600','02', '11000003','00','Request by Mr. Saqib Saleem 13-Jan-2024');</v>
      </c>
    </row>
    <row r="45" spans="1:8" ht="105">
      <c r="A45" s="1" t="s">
        <v>475</v>
      </c>
      <c r="B45" s="15" t="str">
        <f>VLOOKUP(A45,POLICY!B:C,2,0)</f>
        <v>070000171835</v>
      </c>
      <c r="C45" s="5">
        <v>95200</v>
      </c>
      <c r="D45" s="16">
        <f t="shared" si="1"/>
        <v>95200</v>
      </c>
      <c r="E45" s="20" t="s">
        <v>696</v>
      </c>
      <c r="F45" s="17" t="str">
        <f t="shared" si="0"/>
        <v>insert into ins_premium_det (premium_rcv_code,assorted_code, rec_amount,premium_rcv_detail_code,remaining_amt, payrec, mode_code,coinsurance_code,class_cd,it_remarks) values</v>
      </c>
      <c r="G45" s="18" t="str">
        <f t="shared" si="2"/>
        <v>('13Jan250053','070000171835','95200',(select max(to_number(i.premium_rcv_detail_code))+1
from ins_premium_det i),'95200','95200','02', '11000003','00','Request by Mr. Saqib Saleem 13-Jan-2024');</v>
      </c>
      <c r="H45" s="19" t="str">
        <f t="shared" si="3"/>
        <v>insert into ins_premium_det (premium_rcv_code,assorted_code, rec_amount,premium_rcv_detail_code,remaining_amt, payrec, mode_code,coinsurance_code,class_cd,it_remarks) values('13Jan250053','070000171835','95200',(select max(to_number(i.premium_rcv_detail_code))+1
from ins_premium_det i),'95200','95200','02', '11000003','00','Request by Mr. Saqib Saleem 13-Jan-2024');</v>
      </c>
    </row>
    <row r="46" spans="1:8" ht="105">
      <c r="A46" s="1" t="s">
        <v>476</v>
      </c>
      <c r="B46" s="15" t="str">
        <f>VLOOKUP(A46,POLICY!B:C,2,0)</f>
        <v>070000171837</v>
      </c>
      <c r="C46" s="5">
        <v>161717</v>
      </c>
      <c r="D46" s="16">
        <f t="shared" si="1"/>
        <v>161717</v>
      </c>
      <c r="E46" s="20" t="s">
        <v>696</v>
      </c>
      <c r="F46" s="17" t="str">
        <f t="shared" si="0"/>
        <v>insert into ins_premium_det (premium_rcv_code,assorted_code, rec_amount,premium_rcv_detail_code,remaining_amt, payrec, mode_code,coinsurance_code,class_cd,it_remarks) values</v>
      </c>
      <c r="G46" s="18" t="str">
        <f t="shared" si="2"/>
        <v>('13Jan250053','070000171837','161717',(select max(to_number(i.premium_rcv_detail_code))+1
from ins_premium_det i),'161717','161717','02', '11000003','00','Request by Mr. Saqib Saleem 13-Jan-2024');</v>
      </c>
      <c r="H46" s="19" t="str">
        <f t="shared" si="3"/>
        <v>insert into ins_premium_det (premium_rcv_code,assorted_code, rec_amount,premium_rcv_detail_code,remaining_amt, payrec, mode_code,coinsurance_code,class_cd,it_remarks) values('13Jan250053','070000171837','161717',(select max(to_number(i.premium_rcv_detail_code))+1
from ins_premium_det i),'161717','161717','02', '11000003','00','Request by Mr. Saqib Saleem 13-Jan-2024');</v>
      </c>
    </row>
    <row r="47" spans="1:8" ht="105">
      <c r="A47" s="1" t="s">
        <v>477</v>
      </c>
      <c r="B47" s="15" t="str">
        <f>VLOOKUP(A47,POLICY!B:C,2,0)</f>
        <v>070000171295</v>
      </c>
      <c r="C47" s="5">
        <v>72975</v>
      </c>
      <c r="D47" s="16">
        <f t="shared" si="1"/>
        <v>72975</v>
      </c>
      <c r="E47" s="20" t="s">
        <v>696</v>
      </c>
      <c r="F47" s="17" t="str">
        <f t="shared" si="0"/>
        <v>insert into ins_premium_det (premium_rcv_code,assorted_code, rec_amount,premium_rcv_detail_code,remaining_amt, payrec, mode_code,coinsurance_code,class_cd,it_remarks) values</v>
      </c>
      <c r="G47" s="18" t="str">
        <f t="shared" si="2"/>
        <v>('13Jan250053','070000171295','72975',(select max(to_number(i.premium_rcv_detail_code))+1
from ins_premium_det i),'72975','72975','02', '11000003','00','Request by Mr. Saqib Saleem 13-Jan-2024');</v>
      </c>
      <c r="H47" s="19" t="str">
        <f t="shared" si="3"/>
        <v>insert into ins_premium_det (premium_rcv_code,assorted_code, rec_amount,premium_rcv_detail_code,remaining_amt, payrec, mode_code,coinsurance_code,class_cd,it_remarks) values('13Jan250053','070000171295','72975',(select max(to_number(i.premium_rcv_detail_code))+1
from ins_premium_det i),'72975','72975','02', '11000003','00','Request by Mr. Saqib Saleem 13-Jan-2024');</v>
      </c>
    </row>
    <row r="48" spans="1:8" ht="105">
      <c r="A48" s="1" t="s">
        <v>478</v>
      </c>
      <c r="B48" s="15" t="str">
        <f>VLOOKUP(A48,POLICY!B:C,2,0)</f>
        <v>070000171546</v>
      </c>
      <c r="C48" s="5">
        <v>28000</v>
      </c>
      <c r="D48" s="16">
        <f t="shared" si="1"/>
        <v>28000</v>
      </c>
      <c r="E48" s="20" t="s">
        <v>696</v>
      </c>
      <c r="F48" s="17" t="str">
        <f t="shared" si="0"/>
        <v>insert into ins_premium_det (premium_rcv_code,assorted_code, rec_amount,premium_rcv_detail_code,remaining_amt, payrec, mode_code,coinsurance_code,class_cd,it_remarks) values</v>
      </c>
      <c r="G48" s="18" t="str">
        <f t="shared" si="2"/>
        <v>('13Jan250053','070000171546','28000',(select max(to_number(i.premium_rcv_detail_code))+1
from ins_premium_det i),'28000','28000','02', '11000003','00','Request by Mr. Saqib Saleem 13-Jan-2024');</v>
      </c>
      <c r="H48" s="19" t="str">
        <f t="shared" si="3"/>
        <v>insert into ins_premium_det (premium_rcv_code,assorted_code, rec_amount,premium_rcv_detail_code,remaining_amt, payrec, mode_code,coinsurance_code,class_cd,it_remarks) values('13Jan250053','070000171546','28000',(select max(to_number(i.premium_rcv_detail_code))+1
from ins_premium_det i),'28000','28000','02', '11000003','00','Request by Mr. Saqib Saleem 13-Jan-2024');</v>
      </c>
    </row>
    <row r="49" spans="1:8" ht="105">
      <c r="A49" s="1" t="s">
        <v>479</v>
      </c>
      <c r="B49" s="15" t="str">
        <f>VLOOKUP(A49,POLICY!B:C,2,0)</f>
        <v>070000171568</v>
      </c>
      <c r="C49" s="5">
        <v>56000</v>
      </c>
      <c r="D49" s="16">
        <f t="shared" si="1"/>
        <v>56000</v>
      </c>
      <c r="E49" s="20" t="s">
        <v>696</v>
      </c>
      <c r="F49" s="17" t="str">
        <f t="shared" si="0"/>
        <v>insert into ins_premium_det (premium_rcv_code,assorted_code, rec_amount,premium_rcv_detail_code,remaining_amt, payrec, mode_code,coinsurance_code,class_cd,it_remarks) values</v>
      </c>
      <c r="G49" s="18" t="str">
        <f t="shared" si="2"/>
        <v>('13Jan250053','070000171568','56000',(select max(to_number(i.premium_rcv_detail_code))+1
from ins_premium_det i),'56000','56000','02', '11000003','00','Request by Mr. Saqib Saleem 13-Jan-2024');</v>
      </c>
      <c r="H49" s="19" t="str">
        <f t="shared" si="3"/>
        <v>insert into ins_premium_det (premium_rcv_code,assorted_code, rec_amount,premium_rcv_detail_code,remaining_amt, payrec, mode_code,coinsurance_code,class_cd,it_remarks) values('13Jan250053','070000171568','56000',(select max(to_number(i.premium_rcv_detail_code))+1
from ins_premium_det i),'56000','56000','02', '11000003','00','Request by Mr. Saqib Saleem 13-Jan-2024');</v>
      </c>
    </row>
    <row r="50" spans="1:8" ht="105">
      <c r="A50" s="1" t="s">
        <v>480</v>
      </c>
      <c r="B50" s="15" t="str">
        <f>VLOOKUP(A50,POLICY!B:C,2,0)</f>
        <v>070000171571</v>
      </c>
      <c r="C50" s="5">
        <v>56000</v>
      </c>
      <c r="D50" s="16">
        <f t="shared" si="1"/>
        <v>56000</v>
      </c>
      <c r="E50" s="20" t="s">
        <v>696</v>
      </c>
      <c r="F50" s="17" t="str">
        <f t="shared" si="0"/>
        <v>insert into ins_premium_det (premium_rcv_code,assorted_code, rec_amount,premium_rcv_detail_code,remaining_amt, payrec, mode_code,coinsurance_code,class_cd,it_remarks) values</v>
      </c>
      <c r="G50" s="18" t="str">
        <f t="shared" si="2"/>
        <v>('13Jan250053','070000171571','56000',(select max(to_number(i.premium_rcv_detail_code))+1
from ins_premium_det i),'56000','56000','02', '11000003','00','Request by Mr. Saqib Saleem 13-Jan-2024');</v>
      </c>
      <c r="H50" s="19" t="str">
        <f t="shared" si="3"/>
        <v>insert into ins_premium_det (premium_rcv_code,assorted_code, rec_amount,premium_rcv_detail_code,remaining_amt, payrec, mode_code,coinsurance_code,class_cd,it_remarks) values('13Jan250053','070000171571','56000',(select max(to_number(i.premium_rcv_detail_code))+1
from ins_premium_det i),'56000','56000','02', '11000003','00','Request by Mr. Saqib Saleem 13-Jan-2024');</v>
      </c>
    </row>
    <row r="51" spans="1:8" ht="105">
      <c r="A51" s="1" t="s">
        <v>481</v>
      </c>
      <c r="B51" s="15" t="str">
        <f>VLOOKUP(A51,POLICY!B:C,2,0)</f>
        <v>070000171567</v>
      </c>
      <c r="C51" s="5">
        <v>99750</v>
      </c>
      <c r="D51" s="16">
        <f t="shared" si="1"/>
        <v>99750</v>
      </c>
      <c r="E51" s="20" t="s">
        <v>696</v>
      </c>
      <c r="F51" s="17" t="str">
        <f t="shared" si="0"/>
        <v>insert into ins_premium_det (premium_rcv_code,assorted_code, rec_amount,premium_rcv_detail_code,remaining_amt, payrec, mode_code,coinsurance_code,class_cd,it_remarks) values</v>
      </c>
      <c r="G51" s="18" t="str">
        <f t="shared" si="2"/>
        <v>('13Jan250053','070000171567','99750',(select max(to_number(i.premium_rcv_detail_code))+1
from ins_premium_det i),'99750','99750','02', '11000003','00','Request by Mr. Saqib Saleem 13-Jan-2024');</v>
      </c>
      <c r="H51" s="19" t="str">
        <f t="shared" si="3"/>
        <v>insert into ins_premium_det (premium_rcv_code,assorted_code, rec_amount,premium_rcv_detail_code,remaining_amt, payrec, mode_code,coinsurance_code,class_cd,it_remarks) values('13Jan250053','070000171567','99750',(select max(to_number(i.premium_rcv_detail_code))+1
from ins_premium_det i),'99750','99750','02', '11000003','00','Request by Mr. Saqib Saleem 13-Jan-2024');</v>
      </c>
    </row>
    <row r="52" spans="1:8" ht="105">
      <c r="A52" s="1" t="s">
        <v>482</v>
      </c>
      <c r="B52" s="15" t="str">
        <f>VLOOKUP(A52,POLICY!B:C,2,0)</f>
        <v>070000171607</v>
      </c>
      <c r="C52" s="5">
        <v>71750</v>
      </c>
      <c r="D52" s="16">
        <f t="shared" si="1"/>
        <v>71750</v>
      </c>
      <c r="E52" s="20" t="s">
        <v>696</v>
      </c>
      <c r="F52" s="17" t="str">
        <f t="shared" si="0"/>
        <v>insert into ins_premium_det (premium_rcv_code,assorted_code, rec_amount,premium_rcv_detail_code,remaining_amt, payrec, mode_code,coinsurance_code,class_cd,it_remarks) values</v>
      </c>
      <c r="G52" s="18" t="str">
        <f t="shared" si="2"/>
        <v>('13Jan250053','070000171607','71750',(select max(to_number(i.premium_rcv_detail_code))+1
from ins_premium_det i),'71750','71750','02', '11000003','00','Request by Mr. Saqib Saleem 13-Jan-2024');</v>
      </c>
      <c r="H52" s="19" t="str">
        <f t="shared" si="3"/>
        <v>insert into ins_premium_det (premium_rcv_code,assorted_code, rec_amount,premium_rcv_detail_code,remaining_amt, payrec, mode_code,coinsurance_code,class_cd,it_remarks) values('13Jan250053','070000171607','71750',(select max(to_number(i.premium_rcv_detail_code))+1
from ins_premium_det i),'71750','71750','02', '11000003','00','Request by Mr. Saqib Saleem 13-Jan-2024');</v>
      </c>
    </row>
    <row r="53" spans="1:8" ht="105">
      <c r="A53" s="1" t="s">
        <v>483</v>
      </c>
      <c r="B53" s="15" t="str">
        <f>VLOOKUP(A53,POLICY!B:C,2,0)</f>
        <v>070000171744</v>
      </c>
      <c r="C53" s="5">
        <v>82583</v>
      </c>
      <c r="D53" s="16">
        <f t="shared" si="1"/>
        <v>82583</v>
      </c>
      <c r="E53" s="20" t="s">
        <v>696</v>
      </c>
      <c r="F53" s="17" t="str">
        <f t="shared" si="0"/>
        <v>insert into ins_premium_det (premium_rcv_code,assorted_code, rec_amount,premium_rcv_detail_code,remaining_amt, payrec, mode_code,coinsurance_code,class_cd,it_remarks) values</v>
      </c>
      <c r="G53" s="18" t="str">
        <f t="shared" si="2"/>
        <v>('13Jan250053','070000171744','82583',(select max(to_number(i.premium_rcv_detail_code))+1
from ins_premium_det i),'82583','82583','02', '11000003','00','Request by Mr. Saqib Saleem 13-Jan-2024');</v>
      </c>
      <c r="H53" s="19" t="str">
        <f t="shared" si="3"/>
        <v>insert into ins_premium_det (premium_rcv_code,assorted_code, rec_amount,premium_rcv_detail_code,remaining_amt, payrec, mode_code,coinsurance_code,class_cd,it_remarks) values('13Jan250053','070000171744','82583',(select max(to_number(i.premium_rcv_detail_code))+1
from ins_premium_det i),'82583','82583','02', '11000003','00','Request by Mr. Saqib Saleem 13-Jan-2024');</v>
      </c>
    </row>
    <row r="54" spans="1:8" ht="105">
      <c r="A54" s="1" t="s">
        <v>484</v>
      </c>
      <c r="B54" s="15" t="str">
        <f>VLOOKUP(A54,POLICY!B:C,2,0)</f>
        <v>070000171743</v>
      </c>
      <c r="C54" s="5">
        <v>42000</v>
      </c>
      <c r="D54" s="16">
        <f t="shared" si="1"/>
        <v>42000</v>
      </c>
      <c r="E54" s="20" t="s">
        <v>696</v>
      </c>
      <c r="F54" s="17" t="str">
        <f t="shared" si="0"/>
        <v>insert into ins_premium_det (premium_rcv_code,assorted_code, rec_amount,premium_rcv_detail_code,remaining_amt, payrec, mode_code,coinsurance_code,class_cd,it_remarks) values</v>
      </c>
      <c r="G54" s="18" t="str">
        <f t="shared" si="2"/>
        <v>('13Jan250053','070000171743','42000',(select max(to_number(i.premium_rcv_detail_code))+1
from ins_premium_det i),'42000','42000','02', '11000003','00','Request by Mr. Saqib Saleem 13-Jan-2024');</v>
      </c>
      <c r="H54" s="19" t="str">
        <f t="shared" si="3"/>
        <v>insert into ins_premium_det (premium_rcv_code,assorted_code, rec_amount,premium_rcv_detail_code,remaining_amt, payrec, mode_code,coinsurance_code,class_cd,it_remarks) values('13Jan250053','070000171743','42000',(select max(to_number(i.premium_rcv_detail_code))+1
from ins_premium_det i),'42000','42000','02', '11000003','00','Request by Mr. Saqib Saleem 13-Jan-2024');</v>
      </c>
    </row>
    <row r="55" spans="1:8" ht="105">
      <c r="A55" s="1" t="s">
        <v>485</v>
      </c>
      <c r="B55" s="15" t="str">
        <f>VLOOKUP(A55,POLICY!B:C,2,0)</f>
        <v>070000171727</v>
      </c>
      <c r="C55" s="5">
        <v>68250</v>
      </c>
      <c r="D55" s="16">
        <f t="shared" si="1"/>
        <v>68250</v>
      </c>
      <c r="E55" s="20" t="s">
        <v>696</v>
      </c>
      <c r="F55" s="17" t="str">
        <f t="shared" si="0"/>
        <v>insert into ins_premium_det (premium_rcv_code,assorted_code, rec_amount,premium_rcv_detail_code,remaining_amt, payrec, mode_code,coinsurance_code,class_cd,it_remarks) values</v>
      </c>
      <c r="G55" s="18" t="str">
        <f t="shared" si="2"/>
        <v>('13Jan250053','070000171727','68250',(select max(to_number(i.premium_rcv_detail_code))+1
from ins_premium_det i),'68250','68250','02', '11000003','00','Request by Mr. Saqib Saleem 13-Jan-2024');</v>
      </c>
      <c r="H55" s="19" t="str">
        <f t="shared" si="3"/>
        <v>insert into ins_premium_det (premium_rcv_code,assorted_code, rec_amount,premium_rcv_detail_code,remaining_amt, payrec, mode_code,coinsurance_code,class_cd,it_remarks) values('13Jan250053','070000171727','68250',(select max(to_number(i.premium_rcv_detail_code))+1
from ins_premium_det i),'68250','68250','02', '11000003','00','Request by Mr. Saqib Saleem 13-Jan-2024');</v>
      </c>
    </row>
    <row r="56" spans="1:8" ht="105">
      <c r="A56" s="1" t="s">
        <v>486</v>
      </c>
      <c r="B56" s="15" t="str">
        <f>VLOOKUP(A56,POLICY!B:C,2,0)</f>
        <v>070000171831</v>
      </c>
      <c r="C56" s="5">
        <v>91000</v>
      </c>
      <c r="D56" s="16">
        <f t="shared" si="1"/>
        <v>91000</v>
      </c>
      <c r="E56" s="20" t="s">
        <v>696</v>
      </c>
      <c r="F56" s="17" t="str">
        <f t="shared" si="0"/>
        <v>insert into ins_premium_det (premium_rcv_code,assorted_code, rec_amount,premium_rcv_detail_code,remaining_amt, payrec, mode_code,coinsurance_code,class_cd,it_remarks) values</v>
      </c>
      <c r="G56" s="18" t="str">
        <f t="shared" si="2"/>
        <v>('13Jan250053','070000171831','91000',(select max(to_number(i.premium_rcv_detail_code))+1
from ins_premium_det i),'91000','91000','02', '11000003','00','Request by Mr. Saqib Saleem 13-Jan-2024');</v>
      </c>
      <c r="H56" s="19" t="str">
        <f t="shared" si="3"/>
        <v>insert into ins_premium_det (premium_rcv_code,assorted_code, rec_amount,premium_rcv_detail_code,remaining_amt, payrec, mode_code,coinsurance_code,class_cd,it_remarks) values('13Jan250053','070000171831','91000',(select max(to_number(i.premium_rcv_detail_code))+1
from ins_premium_det i),'91000','91000','02', '11000003','00','Request by Mr. Saqib Saleem 13-Jan-2024');</v>
      </c>
    </row>
    <row r="57" spans="1:8" ht="105">
      <c r="A57" s="1" t="s">
        <v>487</v>
      </c>
      <c r="B57" s="15" t="str">
        <f>VLOOKUP(A57,POLICY!B:C,2,0)</f>
        <v>070000171745</v>
      </c>
      <c r="C57" s="5">
        <v>61250</v>
      </c>
      <c r="D57" s="16">
        <f t="shared" si="1"/>
        <v>61250</v>
      </c>
      <c r="E57" s="20" t="s">
        <v>696</v>
      </c>
      <c r="F57" s="17" t="str">
        <f t="shared" si="0"/>
        <v>insert into ins_premium_det (premium_rcv_code,assorted_code, rec_amount,premium_rcv_detail_code,remaining_amt, payrec, mode_code,coinsurance_code,class_cd,it_remarks) values</v>
      </c>
      <c r="G57" s="18" t="str">
        <f t="shared" si="2"/>
        <v>('13Jan250053','070000171745','61250',(select max(to_number(i.premium_rcv_detail_code))+1
from ins_premium_det i),'61250','61250','02', '11000003','00','Request by Mr. Saqib Saleem 13-Jan-2024');</v>
      </c>
      <c r="H57" s="19" t="str">
        <f t="shared" si="3"/>
        <v>insert into ins_premium_det (premium_rcv_code,assorted_code, rec_amount,premium_rcv_detail_code,remaining_amt, payrec, mode_code,coinsurance_code,class_cd,it_remarks) values('13Jan250053','070000171745','61250',(select max(to_number(i.premium_rcv_detail_code))+1
from ins_premium_det i),'61250','61250','02', '11000003','00','Request by Mr. Saqib Saleem 13-Jan-2024');</v>
      </c>
    </row>
    <row r="58" spans="1:8" ht="105">
      <c r="A58" s="1" t="s">
        <v>488</v>
      </c>
      <c r="B58" s="15" t="str">
        <f>VLOOKUP(A58,POLICY!B:C,2,0)</f>
        <v>070000171832</v>
      </c>
      <c r="C58" s="5">
        <v>53288</v>
      </c>
      <c r="D58" s="16">
        <f t="shared" si="1"/>
        <v>53288</v>
      </c>
      <c r="E58" s="20" t="s">
        <v>696</v>
      </c>
      <c r="F58" s="17" t="str">
        <f t="shared" si="0"/>
        <v>insert into ins_premium_det (premium_rcv_code,assorted_code, rec_amount,premium_rcv_detail_code,remaining_amt, payrec, mode_code,coinsurance_code,class_cd,it_remarks) values</v>
      </c>
      <c r="G58" s="18" t="str">
        <f t="shared" si="2"/>
        <v>('13Jan250053','070000171832','53288',(select max(to_number(i.premium_rcv_detail_code))+1
from ins_premium_det i),'53288','53288','02', '11000003','00','Request by Mr. Saqib Saleem 13-Jan-2024');</v>
      </c>
      <c r="H58" s="19" t="str">
        <f t="shared" si="3"/>
        <v>insert into ins_premium_det (premium_rcv_code,assorted_code, rec_amount,premium_rcv_detail_code,remaining_amt, payrec, mode_code,coinsurance_code,class_cd,it_remarks) values('13Jan250053','070000171832','53288',(select max(to_number(i.premium_rcv_detail_code))+1
from ins_premium_det i),'53288','53288','02', '11000003','00','Request by Mr. Saqib Saleem 13-Jan-2024');</v>
      </c>
    </row>
    <row r="59" spans="1:8" ht="105">
      <c r="A59" s="1" t="s">
        <v>489</v>
      </c>
      <c r="B59" s="15" t="str">
        <f>VLOOKUP(A59,POLICY!B:C,2,0)</f>
        <v>070000171749</v>
      </c>
      <c r="C59" s="5">
        <v>41125</v>
      </c>
      <c r="D59" s="16">
        <f t="shared" si="1"/>
        <v>41125</v>
      </c>
      <c r="E59" s="20" t="s">
        <v>696</v>
      </c>
      <c r="F59" s="17" t="str">
        <f t="shared" si="0"/>
        <v>insert into ins_premium_det (premium_rcv_code,assorted_code, rec_amount,premium_rcv_detail_code,remaining_amt, payrec, mode_code,coinsurance_code,class_cd,it_remarks) values</v>
      </c>
      <c r="G59" s="18" t="str">
        <f t="shared" si="2"/>
        <v>('13Jan250053','070000171749','41125',(select max(to_number(i.premium_rcv_detail_code))+1
from ins_premium_det i),'41125','41125','02', '11000003','00','Request by Mr. Saqib Saleem 13-Jan-2024');</v>
      </c>
      <c r="H59" s="19" t="str">
        <f t="shared" si="3"/>
        <v>insert into ins_premium_det (premium_rcv_code,assorted_code, rec_amount,premium_rcv_detail_code,remaining_amt, payrec, mode_code,coinsurance_code,class_cd,it_remarks) values('13Jan250053','070000171749','41125',(select max(to_number(i.premium_rcv_detail_code))+1
from ins_premium_det i),'41125','41125','02', '11000003','00','Request by Mr. Saqib Saleem 13-Jan-2024');</v>
      </c>
    </row>
    <row r="60" spans="1:8" ht="105">
      <c r="A60" s="1" t="s">
        <v>490</v>
      </c>
      <c r="B60" s="15" t="str">
        <f>VLOOKUP(A60,POLICY!B:C,2,0)</f>
        <v>070000171841</v>
      </c>
      <c r="C60" s="5">
        <v>56875</v>
      </c>
      <c r="D60" s="16">
        <f t="shared" si="1"/>
        <v>56875</v>
      </c>
      <c r="E60" s="20" t="s">
        <v>696</v>
      </c>
      <c r="F60" s="17" t="str">
        <f t="shared" si="0"/>
        <v>insert into ins_premium_det (premium_rcv_code,assorted_code, rec_amount,premium_rcv_detail_code,remaining_amt, payrec, mode_code,coinsurance_code,class_cd,it_remarks) values</v>
      </c>
      <c r="G60" s="18" t="str">
        <f t="shared" si="2"/>
        <v>('13Jan250053','070000171841','56875',(select max(to_number(i.premium_rcv_detail_code))+1
from ins_premium_det i),'56875','56875','02', '11000003','00','Request by Mr. Saqib Saleem 13-Jan-2024');</v>
      </c>
      <c r="H60" s="19" t="str">
        <f t="shared" si="3"/>
        <v>insert into ins_premium_det (premium_rcv_code,assorted_code, rec_amount,premium_rcv_detail_code,remaining_amt, payrec, mode_code,coinsurance_code,class_cd,it_remarks) values('13Jan250053','070000171841','56875',(select max(to_number(i.premium_rcv_detail_code))+1
from ins_premium_det i),'56875','56875','02', '11000003','00','Request by Mr. Saqib Saleem 13-Jan-2024');</v>
      </c>
    </row>
    <row r="61" spans="1:8" ht="105">
      <c r="A61" s="1" t="s">
        <v>491</v>
      </c>
      <c r="B61" s="15" t="str">
        <f>VLOOKUP(A61,POLICY!B:C,2,0)</f>
        <v>070000171838</v>
      </c>
      <c r="C61" s="5">
        <v>47285</v>
      </c>
      <c r="D61" s="16">
        <f t="shared" si="1"/>
        <v>47285</v>
      </c>
      <c r="E61" s="20" t="s">
        <v>696</v>
      </c>
      <c r="F61" s="17" t="str">
        <f t="shared" si="0"/>
        <v>insert into ins_premium_det (premium_rcv_code,assorted_code, rec_amount,premium_rcv_detail_code,remaining_amt, payrec, mode_code,coinsurance_code,class_cd,it_remarks) values</v>
      </c>
      <c r="G61" s="18" t="str">
        <f t="shared" si="2"/>
        <v>('13Jan250053','070000171838','47285',(select max(to_number(i.premium_rcv_detail_code))+1
from ins_premium_det i),'47285','47285','02', '11000003','00','Request by Mr. Saqib Saleem 13-Jan-2024');</v>
      </c>
      <c r="H61" s="19" t="str">
        <f t="shared" si="3"/>
        <v>insert into ins_premium_det (premium_rcv_code,assorted_code, rec_amount,premium_rcv_detail_code,remaining_amt, payrec, mode_code,coinsurance_code,class_cd,it_remarks) values('13Jan250053','070000171838','47285',(select max(to_number(i.premium_rcv_detail_code))+1
from ins_premium_det i),'47285','47285','02', '11000003','00','Request by Mr. Saqib Saleem 13-Jan-2024');</v>
      </c>
    </row>
    <row r="62" spans="1:8" ht="105">
      <c r="A62" s="1" t="s">
        <v>492</v>
      </c>
      <c r="B62" s="15" t="str">
        <f>VLOOKUP(A62,POLICY!B:C,2,0)</f>
        <v>070000172569</v>
      </c>
      <c r="C62" s="5">
        <v>53288</v>
      </c>
      <c r="D62" s="16">
        <f t="shared" si="1"/>
        <v>53288</v>
      </c>
      <c r="E62" s="20" t="s">
        <v>696</v>
      </c>
      <c r="F62" s="17" t="str">
        <f t="shared" si="0"/>
        <v>insert into ins_premium_det (premium_rcv_code,assorted_code, rec_amount,premium_rcv_detail_code,remaining_amt, payrec, mode_code,coinsurance_code,class_cd,it_remarks) values</v>
      </c>
      <c r="G62" s="18" t="str">
        <f t="shared" si="2"/>
        <v>('13Jan250053','070000172569','53288',(select max(to_number(i.premium_rcv_detail_code))+1
from ins_premium_det i),'53288','53288','02', '11000003','00','Request by Mr. Saqib Saleem 13-Jan-2024');</v>
      </c>
      <c r="H62" s="19" t="str">
        <f t="shared" si="3"/>
        <v>insert into ins_premium_det (premium_rcv_code,assorted_code, rec_amount,premium_rcv_detail_code,remaining_amt, payrec, mode_code,coinsurance_code,class_cd,it_remarks) values('13Jan250053','070000172569','53288',(select max(to_number(i.premium_rcv_detail_code))+1
from ins_premium_det i),'53288','53288','02', '11000003','00','Request by Mr. Saqib Saleem 13-Jan-2024');</v>
      </c>
    </row>
    <row r="63" spans="1:8" ht="105">
      <c r="A63" s="1" t="s">
        <v>493</v>
      </c>
      <c r="B63" s="15" t="str">
        <f>VLOOKUP(A63,POLICY!B:C,2,0)</f>
        <v>070000172685</v>
      </c>
      <c r="C63" s="5">
        <v>53288</v>
      </c>
      <c r="D63" s="16">
        <f t="shared" si="1"/>
        <v>53288</v>
      </c>
      <c r="E63" s="20" t="s">
        <v>696</v>
      </c>
      <c r="F63" s="17" t="str">
        <f t="shared" si="0"/>
        <v>insert into ins_premium_det (premium_rcv_code,assorted_code, rec_amount,premium_rcv_detail_code,remaining_amt, payrec, mode_code,coinsurance_code,class_cd,it_remarks) values</v>
      </c>
      <c r="G63" s="18" t="str">
        <f t="shared" si="2"/>
        <v>('13Jan250053','070000172685','53288',(select max(to_number(i.premium_rcv_detail_code))+1
from ins_premium_det i),'53288','53288','02', '11000003','00','Request by Mr. Saqib Saleem 13-Jan-2024');</v>
      </c>
      <c r="H63" s="19" t="str">
        <f t="shared" si="3"/>
        <v>insert into ins_premium_det (premium_rcv_code,assorted_code, rec_amount,premium_rcv_detail_code,remaining_amt, payrec, mode_code,coinsurance_code,class_cd,it_remarks) values('13Jan250053','070000172685','53288',(select max(to_number(i.premium_rcv_detail_code))+1
from ins_premium_det i),'53288','53288','02', '11000003','00','Request by Mr. Saqib Saleem 13-Jan-2024');</v>
      </c>
    </row>
    <row r="64" spans="1:8" ht="105">
      <c r="A64" s="1" t="s">
        <v>494</v>
      </c>
      <c r="B64" s="15" t="str">
        <f>VLOOKUP(A64,POLICY!B:C,2,0)</f>
        <v>070000172769</v>
      </c>
      <c r="C64" s="5">
        <v>49000</v>
      </c>
      <c r="D64" s="16">
        <f t="shared" si="1"/>
        <v>49000</v>
      </c>
      <c r="E64" s="20" t="s">
        <v>696</v>
      </c>
      <c r="F64" s="17" t="str">
        <f t="shared" si="0"/>
        <v>insert into ins_premium_det (premium_rcv_code,assorted_code, rec_amount,premium_rcv_detail_code,remaining_amt, payrec, mode_code,coinsurance_code,class_cd,it_remarks) values</v>
      </c>
      <c r="G64" s="18" t="str">
        <f t="shared" si="2"/>
        <v>('13Jan250053','070000172769','49000',(select max(to_number(i.premium_rcv_detail_code))+1
from ins_premium_det i),'49000','49000','02', '11000003','00','Request by Mr. Saqib Saleem 13-Jan-2024');</v>
      </c>
      <c r="H64" s="19" t="str">
        <f t="shared" si="3"/>
        <v>insert into ins_premium_det (premium_rcv_code,assorted_code, rec_amount,premium_rcv_detail_code,remaining_amt, payrec, mode_code,coinsurance_code,class_cd,it_remarks) values('13Jan250053','070000172769','49000',(select max(to_number(i.premium_rcv_detail_code))+1
from ins_premium_det i),'49000','49000','02', '11000003','00','Request by Mr. Saqib Saleem 13-Jan-2024');</v>
      </c>
    </row>
    <row r="65" spans="1:8" ht="105">
      <c r="A65" s="1" t="s">
        <v>495</v>
      </c>
      <c r="B65" s="15" t="str">
        <f>VLOOKUP(A65,POLICY!B:C,2,0)</f>
        <v>070000172794</v>
      </c>
      <c r="C65" s="5">
        <v>155733</v>
      </c>
      <c r="D65" s="16">
        <f t="shared" si="1"/>
        <v>155733</v>
      </c>
      <c r="E65" s="20" t="s">
        <v>696</v>
      </c>
      <c r="F65" s="17" t="str">
        <f t="shared" si="0"/>
        <v>insert into ins_premium_det (premium_rcv_code,assorted_code, rec_amount,premium_rcv_detail_code,remaining_amt, payrec, mode_code,coinsurance_code,class_cd,it_remarks) values</v>
      </c>
      <c r="G65" s="18" t="str">
        <f t="shared" si="2"/>
        <v>('13Jan250053','070000172794','155733',(select max(to_number(i.premium_rcv_detail_code))+1
from ins_premium_det i),'155733','155733','02', '11000003','00','Request by Mr. Saqib Saleem 13-Jan-2024');</v>
      </c>
      <c r="H65" s="19" t="str">
        <f t="shared" si="3"/>
        <v>insert into ins_premium_det (premium_rcv_code,assorted_code, rec_amount,premium_rcv_detail_code,remaining_amt, payrec, mode_code,coinsurance_code,class_cd,it_remarks) values('13Jan250053','070000172794','155733',(select max(to_number(i.premium_rcv_detail_code))+1
from ins_premium_det i),'155733','155733','02', '11000003','00','Request by Mr. Saqib Saleem 13-Jan-2024');</v>
      </c>
    </row>
    <row r="66" spans="1:8" ht="105">
      <c r="A66" s="1" t="s">
        <v>496</v>
      </c>
      <c r="B66" s="15" t="str">
        <f>VLOOKUP(A66,POLICY!B:C,2,0)</f>
        <v>070000172741</v>
      </c>
      <c r="C66" s="5">
        <v>68250</v>
      </c>
      <c r="D66" s="16">
        <f t="shared" si="1"/>
        <v>68250</v>
      </c>
      <c r="E66" s="20" t="s">
        <v>696</v>
      </c>
      <c r="F66" s="17" t="str">
        <f t="shared" ref="F66:F86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8" t="str">
        <f t="shared" si="2"/>
        <v>('13Jan250053','070000172741','68250',(select max(to_number(i.premium_rcv_detail_code))+1
from ins_premium_det i),'68250','68250','02', '11000003','00','Request by Mr. Saqib Saleem 13-Jan-2024');</v>
      </c>
      <c r="H66" s="19" t="str">
        <f t="shared" si="3"/>
        <v>insert into ins_premium_det (premium_rcv_code,assorted_code, rec_amount,premium_rcv_detail_code,remaining_amt, payrec, mode_code,coinsurance_code,class_cd,it_remarks) values('13Jan250053','070000172741','68250',(select max(to_number(i.premium_rcv_detail_code))+1
from ins_premium_det i),'68250','68250','02', '11000003','00','Request by Mr. Saqib Saleem 13-Jan-2024');</v>
      </c>
    </row>
    <row r="67" spans="1:8" ht="105">
      <c r="A67" s="1" t="s">
        <v>497</v>
      </c>
      <c r="B67" s="15" t="str">
        <f>VLOOKUP(A67,POLICY!B:C,2,0)</f>
        <v>070000172782</v>
      </c>
      <c r="C67" s="5">
        <v>74375</v>
      </c>
      <c r="D67" s="16">
        <f t="shared" ref="D67:D86" si="5">ROUND(C67,0)</f>
        <v>74375</v>
      </c>
      <c r="E67" s="20" t="s">
        <v>696</v>
      </c>
      <c r="F67" s="17" t="str">
        <f t="shared" si="4"/>
        <v>insert into ins_premium_det (premium_rcv_code,assorted_code, rec_amount,premium_rcv_detail_code,remaining_amt, payrec, mode_code,coinsurance_code,class_cd,it_remarks) values</v>
      </c>
      <c r="G67" s="18" t="str">
        <f t="shared" ref="G67:G86" si="6">"('"&amp;E67&amp;"','"&amp;B67&amp;"','"&amp;D67&amp;"',(select max(to_number(i.premium_rcv_detail_code))+1
from ins_premium_det i),'"&amp;D67&amp;"','"&amp;D67&amp;"','02', '11000003','00','Request by Mr. Saqib Saleem 13-Jan-2024');"</f>
        <v>('13Jan250053','070000172782','74375',(select max(to_number(i.premium_rcv_detail_code))+1
from ins_premium_det i),'74375','74375','02', '11000003','00','Request by Mr. Saqib Saleem 13-Jan-2024');</v>
      </c>
      <c r="H67" s="19" t="str">
        <f t="shared" ref="H67:H86" si="7">F67&amp;G67</f>
        <v>insert into ins_premium_det (premium_rcv_code,assorted_code, rec_amount,premium_rcv_detail_code,remaining_amt, payrec, mode_code,coinsurance_code,class_cd,it_remarks) values('13Jan250053','070000172782','74375',(select max(to_number(i.premium_rcv_detail_code))+1
from ins_premium_det i),'74375','74375','02', '11000003','00','Request by Mr. Saqib Saleem 13-Jan-2024');</v>
      </c>
    </row>
    <row r="68" spans="1:8" ht="105">
      <c r="A68" s="1" t="s">
        <v>498</v>
      </c>
      <c r="B68" s="15" t="str">
        <f>VLOOKUP(A68,POLICY!B:C,2,0)</f>
        <v>070000172832</v>
      </c>
      <c r="C68" s="5">
        <v>74900</v>
      </c>
      <c r="D68" s="16">
        <f t="shared" si="5"/>
        <v>74900</v>
      </c>
      <c r="E68" s="20" t="s">
        <v>696</v>
      </c>
      <c r="F68" s="17" t="str">
        <f t="shared" si="4"/>
        <v>insert into ins_premium_det (premium_rcv_code,assorted_code, rec_amount,premium_rcv_detail_code,remaining_amt, payrec, mode_code,coinsurance_code,class_cd,it_remarks) values</v>
      </c>
      <c r="G68" s="18" t="str">
        <f t="shared" si="6"/>
        <v>('13Jan250053','070000172832','74900',(select max(to_number(i.premium_rcv_detail_code))+1
from ins_premium_det i),'74900','74900','02', '11000003','00','Request by Mr. Saqib Saleem 13-Jan-2024');</v>
      </c>
      <c r="H68" s="19" t="str">
        <f t="shared" si="7"/>
        <v>insert into ins_premium_det (premium_rcv_code,assorted_code, rec_amount,premium_rcv_detail_code,remaining_amt, payrec, mode_code,coinsurance_code,class_cd,it_remarks) values('13Jan250053','070000172832','74900',(select max(to_number(i.premium_rcv_detail_code))+1
from ins_premium_det i),'74900','74900','02', '11000003','00','Request by Mr. Saqib Saleem 13-Jan-2024');</v>
      </c>
    </row>
    <row r="69" spans="1:8" ht="105">
      <c r="A69" s="1" t="s">
        <v>499</v>
      </c>
      <c r="B69" s="15" t="str">
        <f>VLOOKUP(A69,POLICY!B:C,2,0)</f>
        <v>070000172865</v>
      </c>
      <c r="C69" s="5">
        <v>36750</v>
      </c>
      <c r="D69" s="16">
        <f t="shared" si="5"/>
        <v>36750</v>
      </c>
      <c r="E69" s="20" t="s">
        <v>696</v>
      </c>
      <c r="F69" s="17" t="str">
        <f t="shared" si="4"/>
        <v>insert into ins_premium_det (premium_rcv_code,assorted_code, rec_amount,premium_rcv_detail_code,remaining_amt, payrec, mode_code,coinsurance_code,class_cd,it_remarks) values</v>
      </c>
      <c r="G69" s="18" t="str">
        <f t="shared" si="6"/>
        <v>('13Jan250053','070000172865','36750',(select max(to_number(i.premium_rcv_detail_code))+1
from ins_premium_det i),'36750','36750','02', '11000003','00','Request by Mr. Saqib Saleem 13-Jan-2024');</v>
      </c>
      <c r="H69" s="19" t="str">
        <f t="shared" si="7"/>
        <v>insert into ins_premium_det (premium_rcv_code,assorted_code, rec_amount,premium_rcv_detail_code,remaining_amt, payrec, mode_code,coinsurance_code,class_cd,it_remarks) values('13Jan250053','070000172865','36750',(select max(to_number(i.premium_rcv_detail_code))+1
from ins_premium_det i),'36750','36750','02', '11000003','00','Request by Mr. Saqib Saleem 13-Jan-2024');</v>
      </c>
    </row>
    <row r="70" spans="1:8" ht="105">
      <c r="A70" s="1" t="s">
        <v>500</v>
      </c>
      <c r="B70" s="15" t="str">
        <f>VLOOKUP(A70,POLICY!B:C,2,0)</f>
        <v>070000172884</v>
      </c>
      <c r="C70" s="5">
        <v>37713</v>
      </c>
      <c r="D70" s="16">
        <f t="shared" si="5"/>
        <v>37713</v>
      </c>
      <c r="E70" s="20" t="s">
        <v>696</v>
      </c>
      <c r="F70" s="17" t="str">
        <f t="shared" si="4"/>
        <v>insert into ins_premium_det (premium_rcv_code,assorted_code, rec_amount,premium_rcv_detail_code,remaining_amt, payrec, mode_code,coinsurance_code,class_cd,it_remarks) values</v>
      </c>
      <c r="G70" s="18" t="str">
        <f t="shared" si="6"/>
        <v>('13Jan250053','070000172884','37713',(select max(to_number(i.premium_rcv_detail_code))+1
from ins_premium_det i),'37713','37713','02', '11000003','00','Request by Mr. Saqib Saleem 13-Jan-2024');</v>
      </c>
      <c r="H70" s="19" t="str">
        <f t="shared" si="7"/>
        <v>insert into ins_premium_det (premium_rcv_code,assorted_code, rec_amount,premium_rcv_detail_code,remaining_amt, payrec, mode_code,coinsurance_code,class_cd,it_remarks) values('13Jan250053','070000172884','37713',(select max(to_number(i.premium_rcv_detail_code))+1
from ins_premium_det i),'37713','37713','02', '11000003','00','Request by Mr. Saqib Saleem 13-Jan-2024');</v>
      </c>
    </row>
    <row r="71" spans="1:8" ht="105">
      <c r="A71" s="1" t="s">
        <v>501</v>
      </c>
      <c r="B71" s="15" t="str">
        <f>VLOOKUP(A71,POLICY!B:C,2,0)</f>
        <v>070000173502</v>
      </c>
      <c r="C71" s="5">
        <v>71750</v>
      </c>
      <c r="D71" s="16">
        <f t="shared" si="5"/>
        <v>71750</v>
      </c>
      <c r="E71" s="20" t="s">
        <v>696</v>
      </c>
      <c r="F71" s="17" t="str">
        <f t="shared" si="4"/>
        <v>insert into ins_premium_det (premium_rcv_code,assorted_code, rec_amount,premium_rcv_detail_code,remaining_amt, payrec, mode_code,coinsurance_code,class_cd,it_remarks) values</v>
      </c>
      <c r="G71" s="18" t="str">
        <f t="shared" si="6"/>
        <v>('13Jan250053','070000173502','71750',(select max(to_number(i.premium_rcv_detail_code))+1
from ins_premium_det i),'71750','71750','02', '11000003','00','Request by Mr. Saqib Saleem 13-Jan-2024');</v>
      </c>
      <c r="H71" s="19" t="str">
        <f t="shared" si="7"/>
        <v>insert into ins_premium_det (premium_rcv_code,assorted_code, rec_amount,premium_rcv_detail_code,remaining_amt, payrec, mode_code,coinsurance_code,class_cd,it_remarks) values('13Jan250053','070000173502','71750',(select max(to_number(i.premium_rcv_detail_code))+1
from ins_premium_det i),'71750','71750','02', '11000003','00','Request by Mr. Saqib Saleem 13-Jan-2024');</v>
      </c>
    </row>
    <row r="72" spans="1:8" ht="105">
      <c r="A72" s="1" t="s">
        <v>502</v>
      </c>
      <c r="B72" s="15" t="str">
        <f>VLOOKUP(A72,POLICY!B:C,2,0)</f>
        <v>070000173484</v>
      </c>
      <c r="C72" s="5">
        <v>53288</v>
      </c>
      <c r="D72" s="16">
        <f t="shared" si="5"/>
        <v>53288</v>
      </c>
      <c r="E72" s="20" t="s">
        <v>696</v>
      </c>
      <c r="F72" s="17" t="str">
        <f t="shared" si="4"/>
        <v>insert into ins_premium_det (premium_rcv_code,assorted_code, rec_amount,premium_rcv_detail_code,remaining_amt, payrec, mode_code,coinsurance_code,class_cd,it_remarks) values</v>
      </c>
      <c r="G72" s="18" t="str">
        <f t="shared" si="6"/>
        <v>('13Jan250053','070000173484','53288',(select max(to_number(i.premium_rcv_detail_code))+1
from ins_premium_det i),'53288','53288','02', '11000003','00','Request by Mr. Saqib Saleem 13-Jan-2024');</v>
      </c>
      <c r="H72" s="19" t="str">
        <f t="shared" si="7"/>
        <v>insert into ins_premium_det (premium_rcv_code,assorted_code, rec_amount,premium_rcv_detail_code,remaining_amt, payrec, mode_code,coinsurance_code,class_cd,it_remarks) values('13Jan250053','070000173484','53288',(select max(to_number(i.premium_rcv_detail_code))+1
from ins_premium_det i),'53288','53288','02', '11000003','00','Request by Mr. Saqib Saleem 13-Jan-2024');</v>
      </c>
    </row>
    <row r="73" spans="1:8" ht="105">
      <c r="A73" s="1" t="s">
        <v>503</v>
      </c>
      <c r="B73" s="15" t="str">
        <f>VLOOKUP(A73,POLICY!B:C,2,0)</f>
        <v>070000173556</v>
      </c>
      <c r="C73" s="5">
        <v>47373</v>
      </c>
      <c r="D73" s="16">
        <f t="shared" si="5"/>
        <v>47373</v>
      </c>
      <c r="E73" s="20" t="s">
        <v>696</v>
      </c>
      <c r="F73" s="17" t="str">
        <f t="shared" si="4"/>
        <v>insert into ins_premium_det (premium_rcv_code,assorted_code, rec_amount,premium_rcv_detail_code,remaining_amt, payrec, mode_code,coinsurance_code,class_cd,it_remarks) values</v>
      </c>
      <c r="G73" s="18" t="str">
        <f t="shared" si="6"/>
        <v>('13Jan250053','070000173556','47373',(select max(to_number(i.premium_rcv_detail_code))+1
from ins_premium_det i),'47373','47373','02', '11000003','00','Request by Mr. Saqib Saleem 13-Jan-2024');</v>
      </c>
      <c r="H73" s="19" t="str">
        <f t="shared" si="7"/>
        <v>insert into ins_premium_det (premium_rcv_code,assorted_code, rec_amount,premium_rcv_detail_code,remaining_amt, payrec, mode_code,coinsurance_code,class_cd,it_remarks) values('13Jan250053','070000173556','47373',(select max(to_number(i.premium_rcv_detail_code))+1
from ins_premium_det i),'47373','47373','02', '11000003','00','Request by Mr. Saqib Saleem 13-Jan-2024');</v>
      </c>
    </row>
    <row r="74" spans="1:8" ht="105">
      <c r="A74" s="1" t="s">
        <v>504</v>
      </c>
      <c r="B74" s="15" t="str">
        <f>VLOOKUP(A74,POLICY!B:C,2,0)</f>
        <v>070000173565</v>
      </c>
      <c r="C74" s="5">
        <v>40250</v>
      </c>
      <c r="D74" s="16">
        <f t="shared" si="5"/>
        <v>40250</v>
      </c>
      <c r="E74" s="20" t="s">
        <v>696</v>
      </c>
      <c r="F74" s="17" t="str">
        <f t="shared" si="4"/>
        <v>insert into ins_premium_det (premium_rcv_code,assorted_code, rec_amount,premium_rcv_detail_code,remaining_amt, payrec, mode_code,coinsurance_code,class_cd,it_remarks) values</v>
      </c>
      <c r="G74" s="18" t="str">
        <f t="shared" si="6"/>
        <v>('13Jan250053','070000173565','40250',(select max(to_number(i.premium_rcv_detail_code))+1
from ins_premium_det i),'40250','40250','02', '11000003','00','Request by Mr. Saqib Saleem 13-Jan-2024');</v>
      </c>
      <c r="H74" s="19" t="str">
        <f t="shared" si="7"/>
        <v>insert into ins_premium_det (premium_rcv_code,assorted_code, rec_amount,premium_rcv_detail_code,remaining_amt, payrec, mode_code,coinsurance_code,class_cd,it_remarks) values('13Jan250053','070000173565','40250',(select max(to_number(i.premium_rcv_detail_code))+1
from ins_premium_det i),'40250','40250','02', '11000003','00','Request by Mr. Saqib Saleem 13-Jan-2024');</v>
      </c>
    </row>
    <row r="75" spans="1:8" ht="105">
      <c r="A75" s="1" t="s">
        <v>505</v>
      </c>
      <c r="B75" s="15" t="str">
        <f>VLOOKUP(A75,POLICY!B:C,2,0)</f>
        <v>070000173581</v>
      </c>
      <c r="C75" s="5">
        <v>56000</v>
      </c>
      <c r="D75" s="16">
        <f t="shared" si="5"/>
        <v>56000</v>
      </c>
      <c r="E75" s="20" t="s">
        <v>696</v>
      </c>
      <c r="F75" s="17" t="str">
        <f t="shared" si="4"/>
        <v>insert into ins_premium_det (premium_rcv_code,assorted_code, rec_amount,premium_rcv_detail_code,remaining_amt, payrec, mode_code,coinsurance_code,class_cd,it_remarks) values</v>
      </c>
      <c r="G75" s="18" t="str">
        <f t="shared" si="6"/>
        <v>('13Jan250053','070000173581','56000',(select max(to_number(i.premium_rcv_detail_code))+1
from ins_premium_det i),'56000','56000','02', '11000003','00','Request by Mr. Saqib Saleem 13-Jan-2024');</v>
      </c>
      <c r="H75" s="19" t="str">
        <f t="shared" si="7"/>
        <v>insert into ins_premium_det (premium_rcv_code,assorted_code, rec_amount,premium_rcv_detail_code,remaining_amt, payrec, mode_code,coinsurance_code,class_cd,it_remarks) values('13Jan250053','070000173581','56000',(select max(to_number(i.premium_rcv_detail_code))+1
from ins_premium_det i),'56000','56000','02', '11000003','00','Request by Mr. Saqib Saleem 13-Jan-2024');</v>
      </c>
    </row>
    <row r="76" spans="1:8" ht="105">
      <c r="A76" s="1" t="s">
        <v>506</v>
      </c>
      <c r="B76" s="15" t="str">
        <f>VLOOKUP(A76,POLICY!B:C,2,0)</f>
        <v>070000173503</v>
      </c>
      <c r="C76" s="5">
        <v>75250</v>
      </c>
      <c r="D76" s="16">
        <f t="shared" si="5"/>
        <v>75250</v>
      </c>
      <c r="E76" s="20" t="s">
        <v>696</v>
      </c>
      <c r="F76" s="17" t="str">
        <f t="shared" si="4"/>
        <v>insert into ins_premium_det (premium_rcv_code,assorted_code, rec_amount,premium_rcv_detail_code,remaining_amt, payrec, mode_code,coinsurance_code,class_cd,it_remarks) values</v>
      </c>
      <c r="G76" s="18" t="str">
        <f t="shared" si="6"/>
        <v>('13Jan250053','070000173503','75250',(select max(to_number(i.premium_rcv_detail_code))+1
from ins_premium_det i),'75250','75250','02', '11000003','00','Request by Mr. Saqib Saleem 13-Jan-2024');</v>
      </c>
      <c r="H76" s="19" t="str">
        <f t="shared" si="7"/>
        <v>insert into ins_premium_det (premium_rcv_code,assorted_code, rec_amount,premium_rcv_detail_code,remaining_amt, payrec, mode_code,coinsurance_code,class_cd,it_remarks) values('13Jan250053','070000173503','75250',(select max(to_number(i.premium_rcv_detail_code))+1
from ins_premium_det i),'75250','75250','02', '11000003','00','Request by Mr. Saqib Saleem 13-Jan-2024');</v>
      </c>
    </row>
    <row r="77" spans="1:8" ht="105">
      <c r="A77" s="1" t="s">
        <v>507</v>
      </c>
      <c r="B77" s="15" t="str">
        <f>VLOOKUP(A77,POLICY!B:C,2,0)</f>
        <v>070000173576</v>
      </c>
      <c r="C77" s="5">
        <v>130375</v>
      </c>
      <c r="D77" s="16">
        <f t="shared" si="5"/>
        <v>130375</v>
      </c>
      <c r="E77" s="20" t="s">
        <v>696</v>
      </c>
      <c r="F77" s="17" t="str">
        <f t="shared" si="4"/>
        <v>insert into ins_premium_det (premium_rcv_code,assorted_code, rec_amount,premium_rcv_detail_code,remaining_amt, payrec, mode_code,coinsurance_code,class_cd,it_remarks) values</v>
      </c>
      <c r="G77" s="18" t="str">
        <f t="shared" si="6"/>
        <v>('13Jan250053','070000173576','130375',(select max(to_number(i.premium_rcv_detail_code))+1
from ins_premium_det i),'130375','130375','02', '11000003','00','Request by Mr. Saqib Saleem 13-Jan-2024');</v>
      </c>
      <c r="H77" s="19" t="str">
        <f t="shared" si="7"/>
        <v>insert into ins_premium_det (premium_rcv_code,assorted_code, rec_amount,premium_rcv_detail_code,remaining_amt, payrec, mode_code,coinsurance_code,class_cd,it_remarks) values('13Jan250053','070000173576','130375',(select max(to_number(i.premium_rcv_detail_code))+1
from ins_premium_det i),'130375','130375','02', '11000003','00','Request by Mr. Saqib Saleem 13-Jan-2024');</v>
      </c>
    </row>
    <row r="78" spans="1:8" ht="105">
      <c r="A78" s="1" t="s">
        <v>508</v>
      </c>
      <c r="B78" s="15" t="str">
        <f>VLOOKUP(A78,POLICY!B:C,2,0)</f>
        <v>070000173563</v>
      </c>
      <c r="C78" s="5">
        <v>67375</v>
      </c>
      <c r="D78" s="16">
        <f t="shared" si="5"/>
        <v>67375</v>
      </c>
      <c r="E78" s="20" t="s">
        <v>696</v>
      </c>
      <c r="F78" s="17" t="str">
        <f t="shared" si="4"/>
        <v>insert into ins_premium_det (premium_rcv_code,assorted_code, rec_amount,premium_rcv_detail_code,remaining_amt, payrec, mode_code,coinsurance_code,class_cd,it_remarks) values</v>
      </c>
      <c r="G78" s="18" t="str">
        <f t="shared" si="6"/>
        <v>('13Jan250053','070000173563','67375',(select max(to_number(i.premium_rcv_detail_code))+1
from ins_premium_det i),'67375','67375','02', '11000003','00','Request by Mr. Saqib Saleem 13-Jan-2024');</v>
      </c>
      <c r="H78" s="19" t="str">
        <f t="shared" si="7"/>
        <v>insert into ins_premium_det (premium_rcv_code,assorted_code, rec_amount,premium_rcv_detail_code,remaining_amt, payrec, mode_code,coinsurance_code,class_cd,it_remarks) values('13Jan250053','070000173563','67375',(select max(to_number(i.premium_rcv_detail_code))+1
from ins_premium_det i),'67375','67375','02', '11000003','00','Request by Mr. Saqib Saleem 13-Jan-2024');</v>
      </c>
    </row>
    <row r="79" spans="1:8" ht="105">
      <c r="A79" s="1" t="s">
        <v>509</v>
      </c>
      <c r="B79" s="15" t="str">
        <f>VLOOKUP(A79,POLICY!B:C,2,0)</f>
        <v>070000173591</v>
      </c>
      <c r="C79" s="5">
        <v>56000</v>
      </c>
      <c r="D79" s="16">
        <f t="shared" si="5"/>
        <v>56000</v>
      </c>
      <c r="E79" s="20" t="s">
        <v>696</v>
      </c>
      <c r="F79" s="17" t="str">
        <f t="shared" si="4"/>
        <v>insert into ins_premium_det (premium_rcv_code,assorted_code, rec_amount,premium_rcv_detail_code,remaining_amt, payrec, mode_code,coinsurance_code,class_cd,it_remarks) values</v>
      </c>
      <c r="G79" s="18" t="str">
        <f t="shared" si="6"/>
        <v>('13Jan250053','070000173591','56000',(select max(to_number(i.premium_rcv_detail_code))+1
from ins_premium_det i),'56000','56000','02', '11000003','00','Request by Mr. Saqib Saleem 13-Jan-2024');</v>
      </c>
      <c r="H79" s="19" t="str">
        <f t="shared" si="7"/>
        <v>insert into ins_premium_det (premium_rcv_code,assorted_code, rec_amount,premium_rcv_detail_code,remaining_amt, payrec, mode_code,coinsurance_code,class_cd,it_remarks) values('13Jan250053','070000173591','56000',(select max(to_number(i.premium_rcv_detail_code))+1
from ins_premium_det i),'56000','56000','02', '11000003','00','Request by Mr. Saqib Saleem 13-Jan-2024');</v>
      </c>
    </row>
    <row r="80" spans="1:8" ht="105">
      <c r="A80" s="1" t="s">
        <v>510</v>
      </c>
      <c r="B80" s="15" t="str">
        <f>VLOOKUP(A80,POLICY!B:C,2,0)</f>
        <v>070000173566</v>
      </c>
      <c r="C80" s="5">
        <v>63000</v>
      </c>
      <c r="D80" s="16">
        <f t="shared" si="5"/>
        <v>63000</v>
      </c>
      <c r="E80" s="20" t="s">
        <v>696</v>
      </c>
      <c r="F80" s="17" t="str">
        <f t="shared" si="4"/>
        <v>insert into ins_premium_det (premium_rcv_code,assorted_code, rec_amount,premium_rcv_detail_code,remaining_amt, payrec, mode_code,coinsurance_code,class_cd,it_remarks) values</v>
      </c>
      <c r="G80" s="18" t="str">
        <f t="shared" si="6"/>
        <v>('13Jan250053','070000173566','63000',(select max(to_number(i.premium_rcv_detail_code))+1
from ins_premium_det i),'63000','63000','02', '11000003','00','Request by Mr. Saqib Saleem 13-Jan-2024');</v>
      </c>
      <c r="H80" s="19" t="str">
        <f t="shared" si="7"/>
        <v>insert into ins_premium_det (premium_rcv_code,assorted_code, rec_amount,premium_rcv_detail_code,remaining_amt, payrec, mode_code,coinsurance_code,class_cd,it_remarks) values('13Jan250053','070000173566','63000',(select max(to_number(i.premium_rcv_detail_code))+1
from ins_premium_det i),'63000','63000','02', '11000003','00','Request by Mr. Saqib Saleem 13-Jan-2024');</v>
      </c>
    </row>
    <row r="81" spans="1:8" ht="105">
      <c r="A81" s="1" t="s">
        <v>511</v>
      </c>
      <c r="B81" s="15" t="str">
        <f>VLOOKUP(A81,POLICY!B:C,2,0)</f>
        <v>070000173593</v>
      </c>
      <c r="C81" s="5">
        <v>41125</v>
      </c>
      <c r="D81" s="16">
        <f t="shared" si="5"/>
        <v>41125</v>
      </c>
      <c r="E81" s="20" t="s">
        <v>696</v>
      </c>
      <c r="F81" s="17" t="str">
        <f t="shared" si="4"/>
        <v>insert into ins_premium_det (premium_rcv_code,assorted_code, rec_amount,premium_rcv_detail_code,remaining_amt, payrec, mode_code,coinsurance_code,class_cd,it_remarks) values</v>
      </c>
      <c r="G81" s="18" t="str">
        <f t="shared" si="6"/>
        <v>('13Jan250053','070000173593','41125',(select max(to_number(i.premium_rcv_detail_code))+1
from ins_premium_det i),'41125','41125','02', '11000003','00','Request by Mr. Saqib Saleem 13-Jan-2024');</v>
      </c>
      <c r="H81" s="19" t="str">
        <f t="shared" si="7"/>
        <v>insert into ins_premium_det (premium_rcv_code,assorted_code, rec_amount,premium_rcv_detail_code,remaining_amt, payrec, mode_code,coinsurance_code,class_cd,it_remarks) values('13Jan250053','070000173593','41125',(select max(to_number(i.premium_rcv_detail_code))+1
from ins_premium_det i),'41125','41125','02', '11000003','00','Request by Mr. Saqib Saleem 13-Jan-2024');</v>
      </c>
    </row>
    <row r="82" spans="1:8" ht="105">
      <c r="A82" s="1" t="s">
        <v>512</v>
      </c>
      <c r="B82" s="15" t="str">
        <f>VLOOKUP(A82,POLICY!B:C,2,0)</f>
        <v>070000172572</v>
      </c>
      <c r="C82" s="5">
        <v>122500</v>
      </c>
      <c r="D82" s="16">
        <f t="shared" si="5"/>
        <v>122500</v>
      </c>
      <c r="E82" s="20" t="s">
        <v>696</v>
      </c>
      <c r="F82" s="17" t="str">
        <f t="shared" si="4"/>
        <v>insert into ins_premium_det (premium_rcv_code,assorted_code, rec_amount,premium_rcv_detail_code,remaining_amt, payrec, mode_code,coinsurance_code,class_cd,it_remarks) values</v>
      </c>
      <c r="G82" s="18" t="str">
        <f t="shared" si="6"/>
        <v>('13Jan250053','070000172572','122500',(select max(to_number(i.premium_rcv_detail_code))+1
from ins_premium_det i),'122500','122500','02', '11000003','00','Request by Mr. Saqib Saleem 13-Jan-2024');</v>
      </c>
      <c r="H82" s="19" t="str">
        <f t="shared" si="7"/>
        <v>insert into ins_premium_det (premium_rcv_code,assorted_code, rec_amount,premium_rcv_detail_code,remaining_amt, payrec, mode_code,coinsurance_code,class_cd,it_remarks) values('13Jan250053','070000172572','122500',(select max(to_number(i.premium_rcv_detail_code))+1
from ins_premium_det i),'122500','122500','02', '11000003','00','Request by Mr. Saqib Saleem 13-Jan-2024');</v>
      </c>
    </row>
    <row r="83" spans="1:8" ht="105">
      <c r="A83" s="1" t="s">
        <v>513</v>
      </c>
      <c r="B83" s="15" t="str">
        <f>VLOOKUP(A83,POLICY!B:C,2,0)</f>
        <v>070000172781</v>
      </c>
      <c r="C83" s="5">
        <v>113750</v>
      </c>
      <c r="D83" s="16">
        <f t="shared" si="5"/>
        <v>113750</v>
      </c>
      <c r="E83" s="20" t="s">
        <v>696</v>
      </c>
      <c r="F83" s="17" t="str">
        <f t="shared" si="4"/>
        <v>insert into ins_premium_det (premium_rcv_code,assorted_code, rec_amount,premium_rcv_detail_code,remaining_amt, payrec, mode_code,coinsurance_code,class_cd,it_remarks) values</v>
      </c>
      <c r="G83" s="18" t="str">
        <f t="shared" si="6"/>
        <v>('13Jan250053','070000172781','113750',(select max(to_number(i.premium_rcv_detail_code))+1
from ins_premium_det i),'113750','113750','02', '11000003','00','Request by Mr. Saqib Saleem 13-Jan-2024');</v>
      </c>
      <c r="H83" s="19" t="str">
        <f t="shared" si="7"/>
        <v>insert into ins_premium_det (premium_rcv_code,assorted_code, rec_amount,premium_rcv_detail_code,remaining_amt, payrec, mode_code,coinsurance_code,class_cd,it_remarks) values('13Jan250053','070000172781','113750',(select max(to_number(i.premium_rcv_detail_code))+1
from ins_premium_det i),'113750','113750','02', '11000003','00','Request by Mr. Saqib Saleem 13-Jan-2024');</v>
      </c>
    </row>
    <row r="84" spans="1:8" ht="105">
      <c r="A84" s="1" t="s">
        <v>514</v>
      </c>
      <c r="B84" s="15" t="str">
        <f>VLOOKUP(A84,POLICY!B:C,2,0)</f>
        <v>070000172796</v>
      </c>
      <c r="C84" s="5">
        <v>47373</v>
      </c>
      <c r="D84" s="16">
        <f t="shared" si="5"/>
        <v>47373</v>
      </c>
      <c r="E84" s="20" t="s">
        <v>696</v>
      </c>
      <c r="F84" s="17" t="str">
        <f t="shared" si="4"/>
        <v>insert into ins_premium_det (premium_rcv_code,assorted_code, rec_amount,premium_rcv_detail_code,remaining_amt, payrec, mode_code,coinsurance_code,class_cd,it_remarks) values</v>
      </c>
      <c r="G84" s="18" t="str">
        <f t="shared" si="6"/>
        <v>('13Jan250053','070000172796','47373',(select max(to_number(i.premium_rcv_detail_code))+1
from ins_premium_det i),'47373','47373','02', '11000003','00','Request by Mr. Saqib Saleem 13-Jan-2024');</v>
      </c>
      <c r="H84" s="19" t="str">
        <f t="shared" si="7"/>
        <v>insert into ins_premium_det (premium_rcv_code,assorted_code, rec_amount,premium_rcv_detail_code,remaining_amt, payrec, mode_code,coinsurance_code,class_cd,it_remarks) values('13Jan250053','070000172796','47373',(select max(to_number(i.premium_rcv_detail_code))+1
from ins_premium_det i),'47373','47373','02', '11000003','00','Request by Mr. Saqib Saleem 13-Jan-2024');</v>
      </c>
    </row>
    <row r="85" spans="1:8" ht="105">
      <c r="A85" s="1" t="s">
        <v>515</v>
      </c>
      <c r="B85" s="15" t="str">
        <f>VLOOKUP(A85,POLICY!B:C,2,0)</f>
        <v>070000172921</v>
      </c>
      <c r="C85" s="5">
        <v>74900</v>
      </c>
      <c r="D85" s="16">
        <f t="shared" si="5"/>
        <v>74900</v>
      </c>
      <c r="E85" s="20" t="s">
        <v>696</v>
      </c>
      <c r="F85" s="17" t="str">
        <f t="shared" si="4"/>
        <v>insert into ins_premium_det (premium_rcv_code,assorted_code, rec_amount,premium_rcv_detail_code,remaining_amt, payrec, mode_code,coinsurance_code,class_cd,it_remarks) values</v>
      </c>
      <c r="G85" s="18" t="str">
        <f t="shared" si="6"/>
        <v>('13Jan250053','070000172921','74900',(select max(to_number(i.premium_rcv_detail_code))+1
from ins_premium_det i),'74900','74900','02', '11000003','00','Request by Mr. Saqib Saleem 13-Jan-2024');</v>
      </c>
      <c r="H85" s="19" t="str">
        <f t="shared" si="7"/>
        <v>insert into ins_premium_det (premium_rcv_code,assorted_code, rec_amount,premium_rcv_detail_code,remaining_amt, payrec, mode_code,coinsurance_code,class_cd,it_remarks) values('13Jan250053','070000172921','74900',(select max(to_number(i.premium_rcv_detail_code))+1
from ins_premium_det i),'74900','74900','02', '11000003','00','Request by Mr. Saqib Saleem 13-Jan-2024');</v>
      </c>
    </row>
    <row r="86" spans="1:8" ht="105">
      <c r="A86" s="5" t="s">
        <v>518</v>
      </c>
      <c r="B86" s="15" t="str">
        <f>VLOOKUP(A86,POLICY!B:C,2,0)</f>
        <v>070000173922</v>
      </c>
      <c r="C86" s="5">
        <v>82583</v>
      </c>
      <c r="D86" s="16">
        <f t="shared" si="5"/>
        <v>82583</v>
      </c>
      <c r="E86" s="20" t="s">
        <v>696</v>
      </c>
      <c r="F86" s="17" t="str">
        <f t="shared" si="4"/>
        <v>insert into ins_premium_det (premium_rcv_code,assorted_code, rec_amount,premium_rcv_detail_code,remaining_amt, payrec, mode_code,coinsurance_code,class_cd,it_remarks) values</v>
      </c>
      <c r="G86" s="18" t="str">
        <f t="shared" si="6"/>
        <v>('13Jan250053','070000173922','82583',(select max(to_number(i.premium_rcv_detail_code))+1
from ins_premium_det i),'82583','82583','02', '11000003','00','Request by Mr. Saqib Saleem 13-Jan-2024');</v>
      </c>
      <c r="H86" s="19" t="str">
        <f t="shared" si="7"/>
        <v>insert into ins_premium_det (premium_rcv_code,assorted_code, rec_amount,premium_rcv_detail_code,remaining_amt, payrec, mode_code,coinsurance_code,class_cd,it_remarks) values('13Jan250053','070000173922','82583',(select max(to_number(i.premium_rcv_detail_code))+1
from ins_premium_det i),'82583','82583','02', '11000003','00','Request by Mr. Saqib Saleem 13-Jan-2024');</v>
      </c>
    </row>
    <row r="88" spans="1:8">
      <c r="C88" s="3">
        <f>SUM(C2:C86)</f>
        <v>5562764</v>
      </c>
      <c r="D88" s="3">
        <f>SUM(D2:D86)</f>
        <v>5562764</v>
      </c>
    </row>
  </sheetData>
  <conditionalFormatting sqref="A1">
    <cfRule type="duplicateValues" dxfId="3" priority="1"/>
  </conditionalFormatting>
  <conditionalFormatting sqref="A2:B2 B3:B86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0434-06F9-41D7-AC56-2E9D5DD870F6}">
  <dimension ref="A1:J86"/>
  <sheetViews>
    <sheetView topLeftCell="A66" workbookViewId="0">
      <selection activeCell="G81" sqref="G81"/>
    </sheetView>
  </sheetViews>
  <sheetFormatPr defaultRowHeight="15"/>
  <cols>
    <col min="1" max="1" width="44.7109375" bestFit="1" customWidth="1"/>
  </cols>
  <sheetData>
    <row r="1" spans="1:10">
      <c r="H1" t="s">
        <v>525</v>
      </c>
    </row>
    <row r="2" spans="1:10">
      <c r="A2" s="1" t="s">
        <v>433</v>
      </c>
      <c r="B2" t="s">
        <v>522</v>
      </c>
      <c r="H2">
        <v>103276</v>
      </c>
      <c r="I2" t="s">
        <v>526</v>
      </c>
      <c r="J2" t="str">
        <f>"ia.assorted_string like '%"&amp;H2&amp;"-"&amp;I2&amp;B2&amp;"%' or"</f>
        <v>ia.assorted_string like '%103276-00018-12-2024%' or</v>
      </c>
    </row>
    <row r="3" spans="1:10">
      <c r="A3" s="1" t="s">
        <v>434</v>
      </c>
      <c r="B3" t="s">
        <v>522</v>
      </c>
      <c r="H3">
        <v>103276</v>
      </c>
      <c r="I3" t="s">
        <v>527</v>
      </c>
      <c r="J3" t="str">
        <f t="shared" ref="J3:J66" si="0">"ia.assorted_string like '%"&amp;H3&amp;"-"&amp;I3&amp;B3&amp;"%' or"</f>
        <v>ia.assorted_string like '%103276-00001-12-2024%' or</v>
      </c>
    </row>
    <row r="4" spans="1:10">
      <c r="A4" s="1" t="s">
        <v>435</v>
      </c>
      <c r="B4" t="s">
        <v>522</v>
      </c>
      <c r="H4">
        <v>103276</v>
      </c>
      <c r="I4" t="s">
        <v>528</v>
      </c>
      <c r="J4" t="str">
        <f t="shared" si="0"/>
        <v>ia.assorted_string like '%103276-00006-12-2024%' or</v>
      </c>
    </row>
    <row r="5" spans="1:10">
      <c r="A5" s="1" t="s">
        <v>436</v>
      </c>
      <c r="B5" t="s">
        <v>522</v>
      </c>
      <c r="H5">
        <v>103276</v>
      </c>
      <c r="I5" t="s">
        <v>529</v>
      </c>
      <c r="J5" t="str">
        <f t="shared" si="0"/>
        <v>ia.assorted_string like '%103276-00004-12-2024%' or</v>
      </c>
    </row>
    <row r="6" spans="1:10">
      <c r="A6" s="1" t="s">
        <v>437</v>
      </c>
      <c r="B6" t="s">
        <v>522</v>
      </c>
      <c r="H6">
        <v>103276</v>
      </c>
      <c r="I6" t="s">
        <v>530</v>
      </c>
      <c r="J6" t="str">
        <f t="shared" si="0"/>
        <v>ia.assorted_string like '%103276-00002-12-2024%' or</v>
      </c>
    </row>
    <row r="7" spans="1:10">
      <c r="A7" s="1" t="s">
        <v>438</v>
      </c>
      <c r="B7" t="s">
        <v>522</v>
      </c>
      <c r="H7">
        <v>103276</v>
      </c>
      <c r="I7" t="s">
        <v>531</v>
      </c>
      <c r="J7" t="str">
        <f t="shared" si="0"/>
        <v>ia.assorted_string like '%103276-00012-12-2024%' or</v>
      </c>
    </row>
    <row r="8" spans="1:10">
      <c r="A8" s="1" t="s">
        <v>439</v>
      </c>
      <c r="B8" t="s">
        <v>522</v>
      </c>
      <c r="H8">
        <v>103276</v>
      </c>
      <c r="I8" t="s">
        <v>532</v>
      </c>
      <c r="J8" t="str">
        <f t="shared" si="0"/>
        <v>ia.assorted_string like '%103276-00014-12-2024%' or</v>
      </c>
    </row>
    <row r="9" spans="1:10">
      <c r="A9" s="1" t="s">
        <v>440</v>
      </c>
      <c r="B9" t="s">
        <v>522</v>
      </c>
      <c r="H9">
        <v>103276</v>
      </c>
      <c r="I9" t="s">
        <v>533</v>
      </c>
      <c r="J9" t="str">
        <f t="shared" si="0"/>
        <v>ia.assorted_string like '%103276-00024-12-2024%' or</v>
      </c>
    </row>
    <row r="10" spans="1:10">
      <c r="A10" s="1" t="s">
        <v>441</v>
      </c>
      <c r="B10" t="s">
        <v>522</v>
      </c>
      <c r="H10">
        <v>103276</v>
      </c>
      <c r="I10" t="s">
        <v>534</v>
      </c>
      <c r="J10" t="str">
        <f t="shared" si="0"/>
        <v>ia.assorted_string like '%103276-00025-12-2024%' or</v>
      </c>
    </row>
    <row r="11" spans="1:10">
      <c r="A11" s="1" t="s">
        <v>441</v>
      </c>
      <c r="B11" t="s">
        <v>522</v>
      </c>
      <c r="H11">
        <v>103276</v>
      </c>
      <c r="I11" t="s">
        <v>534</v>
      </c>
      <c r="J11" t="str">
        <f t="shared" si="0"/>
        <v>ia.assorted_string like '%103276-00025-12-2024%' or</v>
      </c>
    </row>
    <row r="12" spans="1:10">
      <c r="A12" s="1" t="s">
        <v>442</v>
      </c>
      <c r="B12" t="s">
        <v>522</v>
      </c>
      <c r="H12">
        <v>103276</v>
      </c>
      <c r="I12" t="s">
        <v>535</v>
      </c>
      <c r="J12" t="str">
        <f t="shared" si="0"/>
        <v>ia.assorted_string like '%103276-00039-12-2024%' or</v>
      </c>
    </row>
    <row r="13" spans="1:10">
      <c r="A13" s="1" t="s">
        <v>443</v>
      </c>
      <c r="B13" t="s">
        <v>522</v>
      </c>
      <c r="H13">
        <v>103276</v>
      </c>
      <c r="I13" t="s">
        <v>536</v>
      </c>
      <c r="J13" t="str">
        <f t="shared" si="0"/>
        <v>ia.assorted_string like '%103276-00033-12-2024%' or</v>
      </c>
    </row>
    <row r="14" spans="1:10">
      <c r="A14" s="1" t="s">
        <v>444</v>
      </c>
      <c r="B14" t="s">
        <v>522</v>
      </c>
      <c r="H14">
        <v>103276</v>
      </c>
      <c r="I14" t="s">
        <v>537</v>
      </c>
      <c r="J14" t="str">
        <f t="shared" si="0"/>
        <v>ia.assorted_string like '%103276-00036-12-2024%' or</v>
      </c>
    </row>
    <row r="15" spans="1:10">
      <c r="A15" s="1" t="s">
        <v>445</v>
      </c>
      <c r="B15" t="s">
        <v>522</v>
      </c>
      <c r="H15">
        <v>103276</v>
      </c>
      <c r="I15" t="s">
        <v>538</v>
      </c>
      <c r="J15" t="str">
        <f t="shared" si="0"/>
        <v>ia.assorted_string like '%103276-00042-12-2024%' or</v>
      </c>
    </row>
    <row r="16" spans="1:10">
      <c r="A16" s="1" t="s">
        <v>446</v>
      </c>
      <c r="B16" t="s">
        <v>522</v>
      </c>
      <c r="H16">
        <v>103276</v>
      </c>
      <c r="I16" t="s">
        <v>539</v>
      </c>
      <c r="J16" t="str">
        <f t="shared" si="0"/>
        <v>ia.assorted_string like '%103276-00054-12-2024%' or</v>
      </c>
    </row>
    <row r="17" spans="1:10">
      <c r="A17" s="1" t="s">
        <v>447</v>
      </c>
      <c r="B17" t="s">
        <v>522</v>
      </c>
      <c r="H17">
        <v>103276</v>
      </c>
      <c r="I17" t="s">
        <v>540</v>
      </c>
      <c r="J17" t="str">
        <f t="shared" si="0"/>
        <v>ia.assorted_string like '%103276-00046-12-2024%' or</v>
      </c>
    </row>
    <row r="18" spans="1:10">
      <c r="A18" s="1" t="s">
        <v>448</v>
      </c>
      <c r="B18" t="s">
        <v>522</v>
      </c>
      <c r="H18">
        <v>103276</v>
      </c>
      <c r="I18" t="s">
        <v>541</v>
      </c>
      <c r="J18" t="str">
        <f t="shared" si="0"/>
        <v>ia.assorted_string like '%103276-00045-12-2024%' or</v>
      </c>
    </row>
    <row r="19" spans="1:10">
      <c r="A19" s="1" t="s">
        <v>449</v>
      </c>
      <c r="B19" t="s">
        <v>522</v>
      </c>
      <c r="H19">
        <v>103276</v>
      </c>
      <c r="I19" t="s">
        <v>542</v>
      </c>
      <c r="J19" t="str">
        <f t="shared" si="0"/>
        <v>ia.assorted_string like '%103276-00053-12-2024%' or</v>
      </c>
    </row>
    <row r="20" spans="1:10">
      <c r="A20" s="1" t="s">
        <v>450</v>
      </c>
      <c r="B20" t="s">
        <v>522</v>
      </c>
      <c r="H20">
        <v>103276</v>
      </c>
      <c r="I20" t="s">
        <v>543</v>
      </c>
      <c r="J20" t="str">
        <f t="shared" si="0"/>
        <v>ia.assorted_string like '%103276-00061-12-2024%' or</v>
      </c>
    </row>
    <row r="21" spans="1:10">
      <c r="A21" s="1" t="s">
        <v>451</v>
      </c>
      <c r="B21" t="s">
        <v>522</v>
      </c>
      <c r="H21">
        <v>103276</v>
      </c>
      <c r="I21" t="s">
        <v>544</v>
      </c>
      <c r="J21" t="str">
        <f t="shared" si="0"/>
        <v>ia.assorted_string like '%103276-00044-12-2024%' or</v>
      </c>
    </row>
    <row r="22" spans="1:10">
      <c r="A22" s="1" t="s">
        <v>452</v>
      </c>
      <c r="B22" t="s">
        <v>522</v>
      </c>
      <c r="H22">
        <v>103276</v>
      </c>
      <c r="I22" t="s">
        <v>545</v>
      </c>
      <c r="J22" t="str">
        <f t="shared" si="0"/>
        <v>ia.assorted_string like '%103276-00069-12-2024%' or</v>
      </c>
    </row>
    <row r="23" spans="1:10">
      <c r="A23" s="1" t="s">
        <v>453</v>
      </c>
      <c r="B23" t="s">
        <v>522</v>
      </c>
      <c r="H23">
        <v>103276</v>
      </c>
      <c r="I23" t="s">
        <v>546</v>
      </c>
      <c r="J23" t="str">
        <f t="shared" si="0"/>
        <v>ia.assorted_string like '%103276-00068-12-2024%' or</v>
      </c>
    </row>
    <row r="24" spans="1:10">
      <c r="A24" s="1" t="s">
        <v>454</v>
      </c>
      <c r="B24" t="s">
        <v>522</v>
      </c>
      <c r="H24">
        <v>103276</v>
      </c>
      <c r="I24" t="s">
        <v>547</v>
      </c>
      <c r="J24" t="str">
        <f t="shared" si="0"/>
        <v>ia.assorted_string like '%103276-00072-12-2024%' or</v>
      </c>
    </row>
    <row r="25" spans="1:10">
      <c r="A25" s="1" t="s">
        <v>455</v>
      </c>
      <c r="B25" t="s">
        <v>522</v>
      </c>
      <c r="H25">
        <v>103276</v>
      </c>
      <c r="I25" t="s">
        <v>548</v>
      </c>
      <c r="J25" t="str">
        <f t="shared" si="0"/>
        <v>ia.assorted_string like '%103276-00080-12-2024%' or</v>
      </c>
    </row>
    <row r="26" spans="1:10">
      <c r="A26" s="1" t="s">
        <v>456</v>
      </c>
      <c r="B26" t="s">
        <v>522</v>
      </c>
      <c r="H26">
        <v>103276</v>
      </c>
      <c r="I26" t="s">
        <v>549</v>
      </c>
      <c r="J26" t="str">
        <f t="shared" si="0"/>
        <v>ia.assorted_string like '%103276-00081-12-2024%' or</v>
      </c>
    </row>
    <row r="27" spans="1:10">
      <c r="A27" s="1" t="s">
        <v>457</v>
      </c>
      <c r="B27" t="s">
        <v>522</v>
      </c>
      <c r="H27">
        <v>103276</v>
      </c>
      <c r="I27" t="s">
        <v>550</v>
      </c>
      <c r="J27" t="str">
        <f t="shared" si="0"/>
        <v>ia.assorted_string like '%103276-00082-12-2024%' or</v>
      </c>
    </row>
    <row r="28" spans="1:10">
      <c r="A28" s="1" t="s">
        <v>458</v>
      </c>
      <c r="B28" t="s">
        <v>522</v>
      </c>
      <c r="H28">
        <v>103276</v>
      </c>
      <c r="I28" t="s">
        <v>551</v>
      </c>
      <c r="J28" t="str">
        <f t="shared" si="0"/>
        <v>ia.assorted_string like '%103276-00003-12-2024%' or</v>
      </c>
    </row>
    <row r="29" spans="1:10">
      <c r="A29" s="1" t="s">
        <v>459</v>
      </c>
      <c r="B29" t="s">
        <v>522</v>
      </c>
      <c r="H29">
        <v>103276</v>
      </c>
      <c r="I29" t="s">
        <v>552</v>
      </c>
      <c r="J29" t="str">
        <f t="shared" si="0"/>
        <v>ia.assorted_string like '%103276-00010-12-2024%' or</v>
      </c>
    </row>
    <row r="30" spans="1:10">
      <c r="A30" s="1" t="s">
        <v>460</v>
      </c>
      <c r="B30" t="s">
        <v>522</v>
      </c>
      <c r="H30">
        <v>103276</v>
      </c>
      <c r="I30" t="s">
        <v>553</v>
      </c>
      <c r="J30" t="str">
        <f t="shared" si="0"/>
        <v>ia.assorted_string like '%103276-00022-12-2024%' or</v>
      </c>
    </row>
    <row r="31" spans="1:10">
      <c r="A31" s="1" t="s">
        <v>461</v>
      </c>
      <c r="B31" t="s">
        <v>522</v>
      </c>
      <c r="H31">
        <v>103276</v>
      </c>
      <c r="I31" t="s">
        <v>554</v>
      </c>
      <c r="J31" t="str">
        <f t="shared" si="0"/>
        <v>ia.assorted_string like '%103276-00040-12-2024%' or</v>
      </c>
    </row>
    <row r="32" spans="1:10">
      <c r="A32" s="1" t="s">
        <v>462</v>
      </c>
      <c r="B32" t="s">
        <v>522</v>
      </c>
      <c r="H32">
        <v>103276</v>
      </c>
      <c r="I32" t="s">
        <v>555</v>
      </c>
      <c r="J32" t="str">
        <f t="shared" si="0"/>
        <v>ia.assorted_string like '%103276-00056-12-2024%' or</v>
      </c>
    </row>
    <row r="33" spans="1:10">
      <c r="A33" s="1" t="s">
        <v>463</v>
      </c>
      <c r="B33" t="s">
        <v>522</v>
      </c>
      <c r="H33">
        <v>103276</v>
      </c>
      <c r="I33" t="s">
        <v>556</v>
      </c>
      <c r="J33" t="str">
        <f t="shared" si="0"/>
        <v>ia.assorted_string like '%103276-00058-12-2024%' or</v>
      </c>
    </row>
    <row r="34" spans="1:10">
      <c r="A34" s="1" t="s">
        <v>464</v>
      </c>
      <c r="B34" t="s">
        <v>522</v>
      </c>
      <c r="H34">
        <v>103276</v>
      </c>
      <c r="I34" t="s">
        <v>557</v>
      </c>
      <c r="J34" t="str">
        <f t="shared" si="0"/>
        <v>ia.assorted_string like '%103276-00064-12-2024%' or</v>
      </c>
    </row>
    <row r="35" spans="1:10">
      <c r="A35" s="1" t="s">
        <v>465</v>
      </c>
      <c r="B35" t="s">
        <v>522</v>
      </c>
      <c r="H35">
        <v>103276</v>
      </c>
      <c r="I35" t="s">
        <v>558</v>
      </c>
      <c r="J35" t="str">
        <f t="shared" si="0"/>
        <v>ia.assorted_string like '%103276-00075-12-2024%' or</v>
      </c>
    </row>
    <row r="36" spans="1:10">
      <c r="A36" s="1" t="s">
        <v>466</v>
      </c>
      <c r="B36" t="s">
        <v>522</v>
      </c>
      <c r="H36">
        <v>103276</v>
      </c>
      <c r="I36" t="s">
        <v>559</v>
      </c>
      <c r="J36" t="str">
        <f t="shared" si="0"/>
        <v>ia.assorted_string like '%103276-00077-12-2024%' or</v>
      </c>
    </row>
    <row r="37" spans="1:10">
      <c r="A37" s="1" t="s">
        <v>467</v>
      </c>
      <c r="B37" t="s">
        <v>522</v>
      </c>
      <c r="H37">
        <v>103276</v>
      </c>
      <c r="I37" t="s">
        <v>560</v>
      </c>
      <c r="J37" t="str">
        <f t="shared" si="0"/>
        <v>ia.assorted_string like '%103276-00079-12-2024%' or</v>
      </c>
    </row>
    <row r="38" spans="1:10">
      <c r="A38" s="1" t="s">
        <v>468</v>
      </c>
      <c r="B38" t="s">
        <v>522</v>
      </c>
      <c r="H38">
        <v>103276</v>
      </c>
      <c r="I38" t="s">
        <v>561</v>
      </c>
      <c r="J38" t="str">
        <f t="shared" si="0"/>
        <v>ia.assorted_string like '%103276-00067-12-2024%' or</v>
      </c>
    </row>
    <row r="39" spans="1:10">
      <c r="A39" s="1" t="s">
        <v>469</v>
      </c>
      <c r="B39" t="s">
        <v>523</v>
      </c>
      <c r="H39">
        <v>101257</v>
      </c>
      <c r="I39" t="s">
        <v>557</v>
      </c>
      <c r="J39" t="str">
        <f t="shared" si="0"/>
        <v>ia.assorted_string like '%101257-00064-11-2024%' or</v>
      </c>
    </row>
    <row r="40" spans="1:10">
      <c r="A40" s="1" t="s">
        <v>470</v>
      </c>
      <c r="B40" t="s">
        <v>522</v>
      </c>
      <c r="H40">
        <v>103276</v>
      </c>
      <c r="I40" t="s">
        <v>562</v>
      </c>
      <c r="J40" t="str">
        <f t="shared" si="0"/>
        <v>ia.assorted_string like '%103276-00016-12-2024%' or</v>
      </c>
    </row>
    <row r="41" spans="1:10">
      <c r="A41" s="1" t="s">
        <v>471</v>
      </c>
      <c r="B41" t="s">
        <v>522</v>
      </c>
      <c r="H41">
        <v>103276</v>
      </c>
      <c r="I41" t="s">
        <v>563</v>
      </c>
      <c r="J41" t="str">
        <f t="shared" si="0"/>
        <v>ia.assorted_string like '%103276-00052-12-2024%' or</v>
      </c>
    </row>
    <row r="42" spans="1:10">
      <c r="A42" s="1" t="s">
        <v>472</v>
      </c>
      <c r="B42" t="s">
        <v>522</v>
      </c>
      <c r="H42">
        <v>103276</v>
      </c>
      <c r="I42" t="s">
        <v>564</v>
      </c>
      <c r="J42" t="str">
        <f t="shared" si="0"/>
        <v>ia.assorted_string like '%103276-00015-12-2024%' or</v>
      </c>
    </row>
    <row r="43" spans="1:10">
      <c r="A43" s="1" t="s">
        <v>473</v>
      </c>
      <c r="B43" t="s">
        <v>522</v>
      </c>
      <c r="H43">
        <v>103276</v>
      </c>
      <c r="I43" t="s">
        <v>565</v>
      </c>
      <c r="J43" t="str">
        <f t="shared" si="0"/>
        <v>ia.assorted_string like '%103276-00032-12-2024%' or</v>
      </c>
    </row>
    <row r="44" spans="1:10">
      <c r="A44" s="1" t="s">
        <v>474</v>
      </c>
      <c r="B44" t="s">
        <v>522</v>
      </c>
      <c r="H44">
        <v>103276</v>
      </c>
      <c r="I44" t="s">
        <v>566</v>
      </c>
      <c r="J44" t="str">
        <f t="shared" si="0"/>
        <v>ia.assorted_string like '%103276-00034-12-2024%' or</v>
      </c>
    </row>
    <row r="45" spans="1:10">
      <c r="A45" s="1" t="s">
        <v>475</v>
      </c>
      <c r="B45" t="s">
        <v>522</v>
      </c>
      <c r="H45">
        <v>103276</v>
      </c>
      <c r="I45" t="s">
        <v>567</v>
      </c>
      <c r="J45" t="str">
        <f t="shared" si="0"/>
        <v>ia.assorted_string like '%103276-00028-12-2024%' or</v>
      </c>
    </row>
    <row r="46" spans="1:10">
      <c r="A46" s="1" t="s">
        <v>476</v>
      </c>
      <c r="B46" t="s">
        <v>522</v>
      </c>
      <c r="H46">
        <v>103276</v>
      </c>
      <c r="I46" t="s">
        <v>568</v>
      </c>
      <c r="J46" t="str">
        <f t="shared" si="0"/>
        <v>ia.assorted_string like '%103276-00029-12-2024%' or</v>
      </c>
    </row>
    <row r="47" spans="1:10">
      <c r="A47" s="1" t="s">
        <v>477</v>
      </c>
      <c r="B47" t="s">
        <v>523</v>
      </c>
      <c r="H47">
        <v>101257</v>
      </c>
      <c r="I47" t="s">
        <v>569</v>
      </c>
      <c r="J47" t="str">
        <f t="shared" si="0"/>
        <v>ia.assorted_string like '%101257-00051-11-2024%' or</v>
      </c>
    </row>
    <row r="48" spans="1:10">
      <c r="A48" s="1" t="s">
        <v>478</v>
      </c>
      <c r="B48" t="s">
        <v>522</v>
      </c>
      <c r="H48">
        <v>103276</v>
      </c>
      <c r="I48" t="s">
        <v>570</v>
      </c>
      <c r="J48" t="str">
        <f t="shared" si="0"/>
        <v>ia.assorted_string like '%103276-00005-12-2024%' or</v>
      </c>
    </row>
    <row r="49" spans="1:10">
      <c r="A49" s="1" t="s">
        <v>479</v>
      </c>
      <c r="B49" t="s">
        <v>522</v>
      </c>
      <c r="H49">
        <v>103276</v>
      </c>
      <c r="I49" t="s">
        <v>571</v>
      </c>
      <c r="J49" t="str">
        <f t="shared" si="0"/>
        <v>ia.assorted_string like '%103276-00008-12-2024%' or</v>
      </c>
    </row>
    <row r="50" spans="1:10">
      <c r="A50" s="1" t="s">
        <v>480</v>
      </c>
      <c r="B50" t="s">
        <v>522</v>
      </c>
      <c r="H50">
        <v>103276</v>
      </c>
      <c r="I50" t="s">
        <v>572</v>
      </c>
      <c r="J50" t="str">
        <f t="shared" si="0"/>
        <v>ia.assorted_string like '%103276-00009-12-2024%' or</v>
      </c>
    </row>
    <row r="51" spans="1:10">
      <c r="A51" s="1" t="s">
        <v>481</v>
      </c>
      <c r="B51" t="s">
        <v>522</v>
      </c>
      <c r="H51">
        <v>103276</v>
      </c>
      <c r="I51" t="s">
        <v>573</v>
      </c>
      <c r="J51" t="str">
        <f t="shared" si="0"/>
        <v>ia.assorted_string like '%103276-00007-12-2024%' or</v>
      </c>
    </row>
    <row r="52" spans="1:10">
      <c r="A52" s="1" t="s">
        <v>482</v>
      </c>
      <c r="B52" t="s">
        <v>522</v>
      </c>
      <c r="H52">
        <v>103276</v>
      </c>
      <c r="I52" t="s">
        <v>574</v>
      </c>
      <c r="J52" t="str">
        <f t="shared" si="0"/>
        <v>ia.assorted_string like '%103276-00011-12-2024%' or</v>
      </c>
    </row>
    <row r="53" spans="1:10">
      <c r="A53" s="1" t="s">
        <v>483</v>
      </c>
      <c r="B53" t="s">
        <v>522</v>
      </c>
      <c r="H53">
        <v>103276</v>
      </c>
      <c r="I53" t="s">
        <v>575</v>
      </c>
      <c r="J53" t="str">
        <f t="shared" si="0"/>
        <v>ia.assorted_string like '%103276-00020-12-2024%' or</v>
      </c>
    </row>
    <row r="54" spans="1:10">
      <c r="A54" s="1" t="s">
        <v>484</v>
      </c>
      <c r="B54" t="s">
        <v>522</v>
      </c>
      <c r="H54">
        <v>103276</v>
      </c>
      <c r="I54" t="s">
        <v>576</v>
      </c>
      <c r="J54" t="str">
        <f t="shared" si="0"/>
        <v>ia.assorted_string like '%103276-00019-12-2024%' or</v>
      </c>
    </row>
    <row r="55" spans="1:10">
      <c r="A55" s="1" t="s">
        <v>485</v>
      </c>
      <c r="B55" t="s">
        <v>522</v>
      </c>
      <c r="H55">
        <v>103276</v>
      </c>
      <c r="I55" t="s">
        <v>577</v>
      </c>
      <c r="J55" t="str">
        <f t="shared" si="0"/>
        <v>ia.assorted_string like '%103276-00017-12-2024%' or</v>
      </c>
    </row>
    <row r="56" spans="1:10">
      <c r="A56" s="1" t="s">
        <v>486</v>
      </c>
      <c r="B56" t="s">
        <v>522</v>
      </c>
      <c r="H56">
        <v>103276</v>
      </c>
      <c r="I56" t="s">
        <v>578</v>
      </c>
      <c r="J56" t="str">
        <f t="shared" si="0"/>
        <v>ia.assorted_string like '%103276-00026-12-2024%' or</v>
      </c>
    </row>
    <row r="57" spans="1:10">
      <c r="A57" s="1" t="s">
        <v>487</v>
      </c>
      <c r="B57" t="s">
        <v>522</v>
      </c>
      <c r="H57">
        <v>103276</v>
      </c>
      <c r="I57" t="s">
        <v>579</v>
      </c>
      <c r="J57" t="str">
        <f t="shared" si="0"/>
        <v>ia.assorted_string like '%103276-00021-12-2024%' or</v>
      </c>
    </row>
    <row r="58" spans="1:10">
      <c r="A58" s="1" t="s">
        <v>488</v>
      </c>
      <c r="B58" t="s">
        <v>522</v>
      </c>
      <c r="H58">
        <v>103276</v>
      </c>
      <c r="I58" t="s">
        <v>580</v>
      </c>
      <c r="J58" t="str">
        <f t="shared" si="0"/>
        <v>ia.assorted_string like '%103276-00027-12-2024%' or</v>
      </c>
    </row>
    <row r="59" spans="1:10">
      <c r="A59" s="1" t="s">
        <v>489</v>
      </c>
      <c r="B59" t="s">
        <v>522</v>
      </c>
      <c r="H59">
        <v>103276</v>
      </c>
      <c r="I59" t="s">
        <v>581</v>
      </c>
      <c r="J59" t="str">
        <f t="shared" si="0"/>
        <v>ia.assorted_string like '%103276-00023-12-2024%' or</v>
      </c>
    </row>
    <row r="60" spans="1:10">
      <c r="A60" s="1" t="s">
        <v>490</v>
      </c>
      <c r="B60" t="s">
        <v>522</v>
      </c>
      <c r="H60">
        <v>103276</v>
      </c>
      <c r="I60" t="s">
        <v>582</v>
      </c>
      <c r="J60" t="str">
        <f t="shared" si="0"/>
        <v>ia.assorted_string like '%103276-00031-12-2024%' or</v>
      </c>
    </row>
    <row r="61" spans="1:10">
      <c r="A61" s="1" t="s">
        <v>491</v>
      </c>
      <c r="B61" t="s">
        <v>522</v>
      </c>
      <c r="H61">
        <v>103276</v>
      </c>
      <c r="I61" t="s">
        <v>583</v>
      </c>
      <c r="J61" t="str">
        <f t="shared" si="0"/>
        <v>ia.assorted_string like '%103276-00030-12-2024%' or</v>
      </c>
    </row>
    <row r="62" spans="1:10">
      <c r="A62" s="1" t="s">
        <v>492</v>
      </c>
      <c r="B62" t="s">
        <v>522</v>
      </c>
      <c r="H62">
        <v>103276</v>
      </c>
      <c r="I62" t="s">
        <v>584</v>
      </c>
      <c r="J62" t="str">
        <f t="shared" si="0"/>
        <v>ia.assorted_string like '%103276-00037-12-2024%' or</v>
      </c>
    </row>
    <row r="63" spans="1:10">
      <c r="A63" s="1" t="s">
        <v>493</v>
      </c>
      <c r="B63" t="s">
        <v>522</v>
      </c>
      <c r="H63">
        <v>103276</v>
      </c>
      <c r="I63" t="s">
        <v>585</v>
      </c>
      <c r="J63" t="str">
        <f t="shared" si="0"/>
        <v>ia.assorted_string like '%103276-00041-12-2024%' or</v>
      </c>
    </row>
    <row r="64" spans="1:10">
      <c r="A64" s="1" t="s">
        <v>494</v>
      </c>
      <c r="B64" t="s">
        <v>522</v>
      </c>
      <c r="H64">
        <v>103276</v>
      </c>
      <c r="I64" t="s">
        <v>586</v>
      </c>
      <c r="J64" t="str">
        <f t="shared" si="0"/>
        <v>ia.assorted_string like '%103276-00047-12-2024%' or</v>
      </c>
    </row>
    <row r="65" spans="1:10">
      <c r="A65" s="1" t="s">
        <v>495</v>
      </c>
      <c r="B65" t="s">
        <v>522</v>
      </c>
      <c r="H65">
        <v>103276</v>
      </c>
      <c r="I65" t="s">
        <v>587</v>
      </c>
      <c r="J65" t="str">
        <f t="shared" si="0"/>
        <v>ia.assorted_string like '%103276-00050-12-2024%' or</v>
      </c>
    </row>
    <row r="66" spans="1:10">
      <c r="A66" s="1" t="s">
        <v>496</v>
      </c>
      <c r="B66" t="s">
        <v>522</v>
      </c>
      <c r="H66">
        <v>103276</v>
      </c>
      <c r="I66" t="s">
        <v>588</v>
      </c>
      <c r="J66" t="str">
        <f t="shared" si="0"/>
        <v>ia.assorted_string like '%103276-00043-12-2024%' or</v>
      </c>
    </row>
    <row r="67" spans="1:10">
      <c r="A67" s="1" t="s">
        <v>497</v>
      </c>
      <c r="B67" t="s">
        <v>522</v>
      </c>
      <c r="H67">
        <v>103276</v>
      </c>
      <c r="I67" t="s">
        <v>589</v>
      </c>
      <c r="J67" t="str">
        <f t="shared" ref="J67:J86" si="1">"ia.assorted_string like '%"&amp;H67&amp;"-"&amp;I67&amp;B67&amp;"%' or"</f>
        <v>ia.assorted_string like '%103276-00049-12-2024%' or</v>
      </c>
    </row>
    <row r="68" spans="1:10">
      <c r="A68" s="1" t="s">
        <v>498</v>
      </c>
      <c r="B68" t="s">
        <v>522</v>
      </c>
      <c r="H68">
        <v>103276</v>
      </c>
      <c r="I68" t="s">
        <v>590</v>
      </c>
      <c r="J68" t="str">
        <f t="shared" si="1"/>
        <v>ia.assorted_string like '%103276-00057-12-2024%' or</v>
      </c>
    </row>
    <row r="69" spans="1:10">
      <c r="A69" s="1" t="s">
        <v>499</v>
      </c>
      <c r="B69" t="s">
        <v>522</v>
      </c>
      <c r="H69">
        <v>103276</v>
      </c>
      <c r="I69" t="s">
        <v>591</v>
      </c>
      <c r="J69" t="str">
        <f t="shared" si="1"/>
        <v>ia.assorted_string like '%103276-00059-12-2024%' or</v>
      </c>
    </row>
    <row r="70" spans="1:10">
      <c r="A70" s="1" t="s">
        <v>500</v>
      </c>
      <c r="B70" t="s">
        <v>522</v>
      </c>
      <c r="H70">
        <v>103276</v>
      </c>
      <c r="I70" t="s">
        <v>592</v>
      </c>
      <c r="J70" t="str">
        <f t="shared" si="1"/>
        <v>ia.assorted_string like '%103276-00060-12-2024%' or</v>
      </c>
    </row>
    <row r="71" spans="1:10">
      <c r="A71" s="1" t="s">
        <v>501</v>
      </c>
      <c r="B71" t="s">
        <v>522</v>
      </c>
      <c r="H71">
        <v>103276</v>
      </c>
      <c r="I71" t="s">
        <v>593</v>
      </c>
      <c r="J71" t="str">
        <f t="shared" si="1"/>
        <v>ia.assorted_string like '%103276-00065-12-2024%' or</v>
      </c>
    </row>
    <row r="72" spans="1:10">
      <c r="A72" s="1" t="s">
        <v>502</v>
      </c>
      <c r="B72" t="s">
        <v>522</v>
      </c>
      <c r="H72">
        <v>103276</v>
      </c>
      <c r="I72" t="s">
        <v>594</v>
      </c>
      <c r="J72" t="str">
        <f t="shared" si="1"/>
        <v>ia.assorted_string like '%103276-00063-12-2024%' or</v>
      </c>
    </row>
    <row r="73" spans="1:10">
      <c r="A73" s="1" t="s">
        <v>503</v>
      </c>
      <c r="B73" t="s">
        <v>522</v>
      </c>
      <c r="H73">
        <v>103276</v>
      </c>
      <c r="I73" t="s">
        <v>595</v>
      </c>
      <c r="J73" t="str">
        <f t="shared" si="1"/>
        <v>ia.assorted_string like '%103276-00070-12-2024%' or</v>
      </c>
    </row>
    <row r="74" spans="1:10">
      <c r="A74" s="1" t="s">
        <v>504</v>
      </c>
      <c r="B74" t="s">
        <v>522</v>
      </c>
      <c r="H74">
        <v>103276</v>
      </c>
      <c r="I74" t="s">
        <v>596</v>
      </c>
      <c r="J74" t="str">
        <f t="shared" si="1"/>
        <v>ia.assorted_string like '%103276-00073-12-2024%' or</v>
      </c>
    </row>
    <row r="75" spans="1:10">
      <c r="A75" s="1" t="s">
        <v>505</v>
      </c>
      <c r="B75" t="s">
        <v>522</v>
      </c>
      <c r="H75">
        <v>103276</v>
      </c>
      <c r="I75" t="s">
        <v>597</v>
      </c>
      <c r="J75" t="str">
        <f t="shared" si="1"/>
        <v>ia.assorted_string like '%103276-00078-12-2024%' or</v>
      </c>
    </row>
    <row r="76" spans="1:10">
      <c r="A76" s="1" t="s">
        <v>506</v>
      </c>
      <c r="B76" t="s">
        <v>522</v>
      </c>
      <c r="H76">
        <v>103276</v>
      </c>
      <c r="I76" t="s">
        <v>598</v>
      </c>
      <c r="J76" t="str">
        <f t="shared" si="1"/>
        <v>ia.assorted_string like '%103276-00066-12-2024%' or</v>
      </c>
    </row>
    <row r="77" spans="1:10">
      <c r="A77" s="1" t="s">
        <v>507</v>
      </c>
      <c r="B77" t="s">
        <v>522</v>
      </c>
      <c r="H77">
        <v>103276</v>
      </c>
      <c r="I77" t="s">
        <v>599</v>
      </c>
      <c r="J77" t="str">
        <f t="shared" si="1"/>
        <v>ia.assorted_string like '%103276-00076-12-2024%' or</v>
      </c>
    </row>
    <row r="78" spans="1:10">
      <c r="A78" s="1" t="s">
        <v>508</v>
      </c>
      <c r="B78" t="s">
        <v>522</v>
      </c>
      <c r="H78">
        <v>103276</v>
      </c>
      <c r="I78" t="s">
        <v>600</v>
      </c>
      <c r="J78" t="str">
        <f t="shared" si="1"/>
        <v>ia.assorted_string like '%103276-00071-12-2024%' or</v>
      </c>
    </row>
    <row r="79" spans="1:10">
      <c r="A79" s="1" t="s">
        <v>509</v>
      </c>
      <c r="B79" t="s">
        <v>522</v>
      </c>
      <c r="H79">
        <v>103276</v>
      </c>
      <c r="I79" t="s">
        <v>601</v>
      </c>
      <c r="J79" t="str">
        <f t="shared" si="1"/>
        <v>ia.assorted_string like '%103276-00083-12-2024%' or</v>
      </c>
    </row>
    <row r="80" spans="1:10">
      <c r="A80" s="1" t="s">
        <v>510</v>
      </c>
      <c r="B80" t="s">
        <v>522</v>
      </c>
      <c r="H80">
        <v>103276</v>
      </c>
      <c r="I80" t="s">
        <v>602</v>
      </c>
      <c r="J80" t="str">
        <f t="shared" si="1"/>
        <v>ia.assorted_string like '%103276-00074-12-2024%' or</v>
      </c>
    </row>
    <row r="81" spans="1:10">
      <c r="A81" s="1" t="s">
        <v>511</v>
      </c>
      <c r="B81" t="s">
        <v>522</v>
      </c>
      <c r="H81">
        <v>103276</v>
      </c>
      <c r="I81" t="s">
        <v>603</v>
      </c>
      <c r="J81" t="str">
        <f t="shared" si="1"/>
        <v>ia.assorted_string like '%103276-00084-12-2024%' or</v>
      </c>
    </row>
    <row r="82" spans="1:10">
      <c r="A82" s="1" t="s">
        <v>512</v>
      </c>
      <c r="B82" t="s">
        <v>522</v>
      </c>
      <c r="H82">
        <v>103276</v>
      </c>
      <c r="I82" t="s">
        <v>604</v>
      </c>
      <c r="J82" t="str">
        <f t="shared" si="1"/>
        <v>ia.assorted_string like '%103276-00038-12-2024%' or</v>
      </c>
    </row>
    <row r="83" spans="1:10">
      <c r="A83" s="1" t="s">
        <v>513</v>
      </c>
      <c r="B83" t="s">
        <v>522</v>
      </c>
      <c r="H83">
        <v>103276</v>
      </c>
      <c r="I83" t="s">
        <v>605</v>
      </c>
      <c r="J83" t="str">
        <f t="shared" si="1"/>
        <v>ia.assorted_string like '%103276-00048-12-2024%' or</v>
      </c>
    </row>
    <row r="84" spans="1:10">
      <c r="A84" s="1" t="s">
        <v>514</v>
      </c>
      <c r="B84" t="s">
        <v>522</v>
      </c>
      <c r="H84">
        <v>103276</v>
      </c>
      <c r="I84" t="s">
        <v>569</v>
      </c>
      <c r="J84" t="str">
        <f t="shared" si="1"/>
        <v>ia.assorted_string like '%103276-00051-12-2024%' or</v>
      </c>
    </row>
    <row r="85" spans="1:10">
      <c r="A85" s="1" t="s">
        <v>515</v>
      </c>
      <c r="B85" t="s">
        <v>522</v>
      </c>
      <c r="H85">
        <v>103276</v>
      </c>
      <c r="I85" t="s">
        <v>606</v>
      </c>
      <c r="J85" t="str">
        <f t="shared" si="1"/>
        <v>ia.assorted_string like '%103276-00062-12-2024%' or</v>
      </c>
    </row>
    <row r="86" spans="1:10">
      <c r="A86" s="5" t="s">
        <v>518</v>
      </c>
      <c r="B86" t="s">
        <v>524</v>
      </c>
      <c r="H86">
        <v>105332</v>
      </c>
      <c r="I86" t="s">
        <v>553</v>
      </c>
      <c r="J86" t="str">
        <f t="shared" si="1"/>
        <v>ia.assorted_string like '%105332-00022-01-2025%' or</v>
      </c>
    </row>
  </sheetData>
  <autoFilter ref="H1:H86" xr:uid="{4EF20434-06F9-41D7-AC56-2E9D5DD870F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9100-754F-40A1-ACB4-0F7CCA0A7949}">
  <dimension ref="A1:C85"/>
  <sheetViews>
    <sheetView workbookViewId="0">
      <selection activeCell="I8" sqref="I8"/>
    </sheetView>
  </sheetViews>
  <sheetFormatPr defaultColWidth="7.85546875" defaultRowHeight="15"/>
  <cols>
    <col min="1" max="1" width="2.42578125" customWidth="1"/>
    <col min="2" max="2" width="33.5703125" customWidth="1"/>
    <col min="3" max="3" width="14" customWidth="1"/>
  </cols>
  <sheetData>
    <row r="1" spans="1:3" s="12" customFormat="1" ht="12">
      <c r="A1" s="12" t="s">
        <v>607</v>
      </c>
      <c r="B1" s="12" t="s">
        <v>608</v>
      </c>
      <c r="C1" s="12" t="s">
        <v>609</v>
      </c>
    </row>
    <row r="2" spans="1:3">
      <c r="A2">
        <v>1</v>
      </c>
      <c r="B2" t="s">
        <v>462</v>
      </c>
      <c r="C2" t="s">
        <v>610</v>
      </c>
    </row>
    <row r="3" spans="1:3">
      <c r="A3">
        <v>2</v>
      </c>
      <c r="B3" t="s">
        <v>469</v>
      </c>
      <c r="C3" t="s">
        <v>611</v>
      </c>
    </row>
    <row r="4" spans="1:3">
      <c r="A4">
        <v>3</v>
      </c>
      <c r="B4" t="s">
        <v>441</v>
      </c>
      <c r="C4" t="s">
        <v>612</v>
      </c>
    </row>
    <row r="5" spans="1:3">
      <c r="A5">
        <v>4</v>
      </c>
      <c r="B5" t="s">
        <v>500</v>
      </c>
      <c r="C5" t="s">
        <v>613</v>
      </c>
    </row>
    <row r="6" spans="1:3">
      <c r="A6">
        <v>5</v>
      </c>
      <c r="B6" t="s">
        <v>444</v>
      </c>
      <c r="C6" t="s">
        <v>614</v>
      </c>
    </row>
    <row r="7" spans="1:3">
      <c r="A7">
        <v>6</v>
      </c>
      <c r="B7" t="s">
        <v>465</v>
      </c>
      <c r="C7" t="s">
        <v>615</v>
      </c>
    </row>
    <row r="8" spans="1:3">
      <c r="A8">
        <v>7</v>
      </c>
      <c r="B8" t="s">
        <v>507</v>
      </c>
      <c r="C8" t="s">
        <v>616</v>
      </c>
    </row>
    <row r="9" spans="1:3">
      <c r="A9">
        <v>8</v>
      </c>
      <c r="B9" t="s">
        <v>467</v>
      </c>
      <c r="C9" t="s">
        <v>617</v>
      </c>
    </row>
    <row r="10" spans="1:3">
      <c r="A10">
        <v>9</v>
      </c>
      <c r="B10" t="s">
        <v>455</v>
      </c>
      <c r="C10" t="s">
        <v>618</v>
      </c>
    </row>
    <row r="11" spans="1:3">
      <c r="A11">
        <v>10</v>
      </c>
      <c r="B11" t="s">
        <v>471</v>
      </c>
      <c r="C11" t="s">
        <v>619</v>
      </c>
    </row>
    <row r="12" spans="1:3">
      <c r="A12">
        <v>11</v>
      </c>
      <c r="B12" t="s">
        <v>502</v>
      </c>
      <c r="C12" t="s">
        <v>620</v>
      </c>
    </row>
    <row r="13" spans="1:3">
      <c r="A13">
        <v>12</v>
      </c>
      <c r="B13" t="s">
        <v>464</v>
      </c>
      <c r="C13" t="s">
        <v>621</v>
      </c>
    </row>
    <row r="14" spans="1:3">
      <c r="A14">
        <v>13</v>
      </c>
      <c r="B14" t="s">
        <v>468</v>
      </c>
      <c r="C14" t="s">
        <v>622</v>
      </c>
    </row>
    <row r="15" spans="1:3">
      <c r="A15">
        <v>14</v>
      </c>
      <c r="B15" t="s">
        <v>510</v>
      </c>
      <c r="C15" t="s">
        <v>623</v>
      </c>
    </row>
    <row r="16" spans="1:3">
      <c r="A16">
        <v>15</v>
      </c>
      <c r="B16" t="s">
        <v>509</v>
      </c>
      <c r="C16" t="s">
        <v>624</v>
      </c>
    </row>
    <row r="17" spans="1:3">
      <c r="A17">
        <v>16</v>
      </c>
      <c r="B17" t="s">
        <v>511</v>
      </c>
      <c r="C17" t="s">
        <v>625</v>
      </c>
    </row>
    <row r="18" spans="1:3">
      <c r="A18">
        <v>17</v>
      </c>
      <c r="B18" t="s">
        <v>486</v>
      </c>
      <c r="C18" t="s">
        <v>626</v>
      </c>
    </row>
    <row r="19" spans="1:3">
      <c r="A19">
        <v>18</v>
      </c>
      <c r="B19" t="s">
        <v>488</v>
      </c>
      <c r="C19" t="s">
        <v>627</v>
      </c>
    </row>
    <row r="20" spans="1:3">
      <c r="A20">
        <v>19</v>
      </c>
      <c r="B20" t="s">
        <v>492</v>
      </c>
      <c r="C20" t="s">
        <v>628</v>
      </c>
    </row>
    <row r="21" spans="1:3">
      <c r="A21">
        <v>20</v>
      </c>
      <c r="B21" t="s">
        <v>512</v>
      </c>
      <c r="C21" t="s">
        <v>629</v>
      </c>
    </row>
    <row r="22" spans="1:3">
      <c r="A22">
        <v>21</v>
      </c>
      <c r="B22" t="s">
        <v>453</v>
      </c>
      <c r="C22" t="s">
        <v>630</v>
      </c>
    </row>
    <row r="23" spans="1:3">
      <c r="A23">
        <v>22</v>
      </c>
      <c r="B23" t="s">
        <v>484</v>
      </c>
      <c r="C23" t="s">
        <v>631</v>
      </c>
    </row>
    <row r="24" spans="1:3">
      <c r="A24">
        <v>23</v>
      </c>
      <c r="B24" t="s">
        <v>449</v>
      </c>
      <c r="C24" t="s">
        <v>632</v>
      </c>
    </row>
    <row r="25" spans="1:3">
      <c r="A25">
        <v>24</v>
      </c>
      <c r="B25" t="s">
        <v>446</v>
      </c>
      <c r="C25" t="s">
        <v>633</v>
      </c>
    </row>
    <row r="26" spans="1:3">
      <c r="A26">
        <v>25</v>
      </c>
      <c r="B26" t="s">
        <v>501</v>
      </c>
      <c r="C26" t="s">
        <v>634</v>
      </c>
    </row>
    <row r="27" spans="1:3">
      <c r="A27">
        <v>26</v>
      </c>
      <c r="B27" t="s">
        <v>506</v>
      </c>
      <c r="C27" t="s">
        <v>635</v>
      </c>
    </row>
    <row r="28" spans="1:3">
      <c r="A28">
        <v>27</v>
      </c>
      <c r="B28" t="s">
        <v>466</v>
      </c>
      <c r="C28" t="s">
        <v>636</v>
      </c>
    </row>
    <row r="29" spans="1:3">
      <c r="A29">
        <v>28</v>
      </c>
      <c r="B29" t="s">
        <v>505</v>
      </c>
      <c r="C29" t="s">
        <v>637</v>
      </c>
    </row>
    <row r="30" spans="1:3">
      <c r="A30">
        <v>29</v>
      </c>
      <c r="B30" t="s">
        <v>442</v>
      </c>
      <c r="C30" t="s">
        <v>638</v>
      </c>
    </row>
    <row r="31" spans="1:3">
      <c r="A31">
        <v>30</v>
      </c>
      <c r="B31" t="s">
        <v>443</v>
      </c>
      <c r="C31" t="s">
        <v>639</v>
      </c>
    </row>
    <row r="32" spans="1:3">
      <c r="A32">
        <v>31</v>
      </c>
      <c r="B32" t="s">
        <v>493</v>
      </c>
      <c r="C32" t="s">
        <v>640</v>
      </c>
    </row>
    <row r="33" spans="1:3">
      <c r="A33">
        <v>32</v>
      </c>
      <c r="B33" t="s">
        <v>463</v>
      </c>
      <c r="C33" t="s">
        <v>641</v>
      </c>
    </row>
    <row r="34" spans="1:3">
      <c r="A34">
        <v>33</v>
      </c>
      <c r="B34" t="s">
        <v>456</v>
      </c>
      <c r="C34" t="s">
        <v>642</v>
      </c>
    </row>
    <row r="35" spans="1:3">
      <c r="A35">
        <v>34</v>
      </c>
      <c r="B35" t="s">
        <v>457</v>
      </c>
      <c r="C35" t="s">
        <v>643</v>
      </c>
    </row>
    <row r="36" spans="1:3">
      <c r="A36">
        <v>35</v>
      </c>
      <c r="B36" t="s">
        <v>459</v>
      </c>
      <c r="C36" t="s">
        <v>644</v>
      </c>
    </row>
    <row r="37" spans="1:3">
      <c r="A37">
        <v>36</v>
      </c>
      <c r="B37" t="s">
        <v>485</v>
      </c>
      <c r="C37" t="s">
        <v>645</v>
      </c>
    </row>
    <row r="38" spans="1:3">
      <c r="A38">
        <v>37</v>
      </c>
      <c r="B38" t="s">
        <v>483</v>
      </c>
      <c r="C38" t="s">
        <v>646</v>
      </c>
    </row>
    <row r="39" spans="1:3">
      <c r="A39">
        <v>38</v>
      </c>
      <c r="B39" t="s">
        <v>487</v>
      </c>
      <c r="C39" t="s">
        <v>647</v>
      </c>
    </row>
    <row r="40" spans="1:3">
      <c r="A40">
        <v>39</v>
      </c>
      <c r="B40" t="s">
        <v>460</v>
      </c>
      <c r="C40" t="s">
        <v>648</v>
      </c>
    </row>
    <row r="41" spans="1:3">
      <c r="A41">
        <v>40</v>
      </c>
      <c r="B41" t="s">
        <v>461</v>
      </c>
      <c r="C41" t="s">
        <v>649</v>
      </c>
    </row>
    <row r="42" spans="1:3">
      <c r="A42">
        <v>41</v>
      </c>
      <c r="B42" t="s">
        <v>494</v>
      </c>
      <c r="C42" t="s">
        <v>650</v>
      </c>
    </row>
    <row r="43" spans="1:3">
      <c r="A43">
        <v>42</v>
      </c>
      <c r="B43" t="s">
        <v>513</v>
      </c>
      <c r="C43" t="s">
        <v>651</v>
      </c>
    </row>
    <row r="44" spans="1:3">
      <c r="A44">
        <v>43</v>
      </c>
      <c r="B44" t="s">
        <v>497</v>
      </c>
      <c r="C44" t="s">
        <v>652</v>
      </c>
    </row>
    <row r="45" spans="1:3">
      <c r="A45">
        <v>44</v>
      </c>
      <c r="B45" t="s">
        <v>472</v>
      </c>
      <c r="C45" t="s">
        <v>653</v>
      </c>
    </row>
    <row r="46" spans="1:3">
      <c r="A46">
        <v>45</v>
      </c>
      <c r="B46" t="s">
        <v>470</v>
      </c>
      <c r="C46" t="s">
        <v>654</v>
      </c>
    </row>
    <row r="47" spans="1:3">
      <c r="A47">
        <v>46</v>
      </c>
      <c r="B47" t="s">
        <v>437</v>
      </c>
      <c r="C47" t="s">
        <v>655</v>
      </c>
    </row>
    <row r="48" spans="1:3">
      <c r="A48">
        <v>47</v>
      </c>
      <c r="B48" t="s">
        <v>458</v>
      </c>
      <c r="C48" t="s">
        <v>656</v>
      </c>
    </row>
    <row r="49" spans="1:3">
      <c r="A49">
        <v>48</v>
      </c>
      <c r="B49" t="s">
        <v>436</v>
      </c>
      <c r="C49" t="s">
        <v>657</v>
      </c>
    </row>
    <row r="50" spans="1:3">
      <c r="A50">
        <v>49</v>
      </c>
      <c r="B50" t="s">
        <v>508</v>
      </c>
      <c r="C50" t="s">
        <v>658</v>
      </c>
    </row>
    <row r="51" spans="1:3">
      <c r="A51">
        <v>50</v>
      </c>
      <c r="B51" t="s">
        <v>445</v>
      </c>
      <c r="C51" t="s">
        <v>659</v>
      </c>
    </row>
    <row r="52" spans="1:3">
      <c r="A52">
        <v>51</v>
      </c>
      <c r="B52" t="s">
        <v>496</v>
      </c>
      <c r="C52" t="s">
        <v>660</v>
      </c>
    </row>
    <row r="53" spans="1:3">
      <c r="A53">
        <v>52</v>
      </c>
      <c r="B53" t="s">
        <v>447</v>
      </c>
      <c r="C53" t="s">
        <v>661</v>
      </c>
    </row>
    <row r="54" spans="1:3">
      <c r="A54">
        <v>53</v>
      </c>
      <c r="B54" t="s">
        <v>515</v>
      </c>
      <c r="C54" t="s">
        <v>662</v>
      </c>
    </row>
    <row r="55" spans="1:3">
      <c r="A55">
        <v>54</v>
      </c>
      <c r="B55" t="s">
        <v>504</v>
      </c>
      <c r="C55" t="s">
        <v>663</v>
      </c>
    </row>
    <row r="56" spans="1:3">
      <c r="A56">
        <v>55</v>
      </c>
      <c r="B56" t="s">
        <v>480</v>
      </c>
      <c r="C56" t="s">
        <v>664</v>
      </c>
    </row>
    <row r="57" spans="1:3">
      <c r="A57">
        <v>56</v>
      </c>
      <c r="B57" t="s">
        <v>474</v>
      </c>
      <c r="C57" t="s">
        <v>665</v>
      </c>
    </row>
    <row r="58" spans="1:3">
      <c r="A58">
        <v>57</v>
      </c>
      <c r="B58" t="s">
        <v>433</v>
      </c>
      <c r="C58" t="s">
        <v>666</v>
      </c>
    </row>
    <row r="59" spans="1:3">
      <c r="A59">
        <v>58</v>
      </c>
      <c r="B59" t="s">
        <v>438</v>
      </c>
      <c r="C59" t="s">
        <v>667</v>
      </c>
    </row>
    <row r="60" spans="1:3">
      <c r="A60">
        <v>59</v>
      </c>
      <c r="B60" t="s">
        <v>514</v>
      </c>
      <c r="C60" t="s">
        <v>668</v>
      </c>
    </row>
    <row r="61" spans="1:3">
      <c r="A61">
        <v>60</v>
      </c>
      <c r="B61" t="s">
        <v>451</v>
      </c>
      <c r="C61" t="s">
        <v>669</v>
      </c>
    </row>
    <row r="62" spans="1:3">
      <c r="A62">
        <v>61</v>
      </c>
      <c r="B62" t="s">
        <v>448</v>
      </c>
      <c r="C62" t="s">
        <v>670</v>
      </c>
    </row>
    <row r="63" spans="1:3">
      <c r="A63">
        <v>62</v>
      </c>
      <c r="B63" t="s">
        <v>503</v>
      </c>
      <c r="C63" t="s">
        <v>671</v>
      </c>
    </row>
    <row r="64" spans="1:3">
      <c r="A64">
        <v>63</v>
      </c>
      <c r="B64" t="s">
        <v>489</v>
      </c>
      <c r="C64" t="s">
        <v>672</v>
      </c>
    </row>
    <row r="65" spans="1:3">
      <c r="A65">
        <v>64</v>
      </c>
      <c r="B65" t="s">
        <v>440</v>
      </c>
      <c r="C65" t="s">
        <v>673</v>
      </c>
    </row>
    <row r="66" spans="1:3">
      <c r="A66">
        <v>65</v>
      </c>
      <c r="B66" t="s">
        <v>478</v>
      </c>
      <c r="C66" t="s">
        <v>674</v>
      </c>
    </row>
    <row r="67" spans="1:3">
      <c r="A67">
        <v>66</v>
      </c>
      <c r="B67" t="s">
        <v>477</v>
      </c>
      <c r="C67" t="s">
        <v>675</v>
      </c>
    </row>
    <row r="68" spans="1:3">
      <c r="A68">
        <v>67</v>
      </c>
      <c r="B68" t="s">
        <v>454</v>
      </c>
      <c r="C68" t="s">
        <v>676</v>
      </c>
    </row>
    <row r="69" spans="1:3">
      <c r="A69">
        <v>68</v>
      </c>
      <c r="B69" t="s">
        <v>518</v>
      </c>
      <c r="C69" t="s">
        <v>677</v>
      </c>
    </row>
    <row r="70" spans="1:3">
      <c r="A70">
        <v>69</v>
      </c>
      <c r="B70" t="s">
        <v>434</v>
      </c>
      <c r="C70" t="s">
        <v>678</v>
      </c>
    </row>
    <row r="71" spans="1:3">
      <c r="A71">
        <v>70</v>
      </c>
      <c r="B71" t="s">
        <v>491</v>
      </c>
      <c r="C71" t="s">
        <v>679</v>
      </c>
    </row>
    <row r="72" spans="1:3">
      <c r="A72">
        <v>71</v>
      </c>
      <c r="B72" t="s">
        <v>490</v>
      </c>
      <c r="C72" t="s">
        <v>680</v>
      </c>
    </row>
    <row r="73" spans="1:3">
      <c r="A73">
        <v>72</v>
      </c>
      <c r="B73" t="s">
        <v>450</v>
      </c>
      <c r="C73" t="s">
        <v>681</v>
      </c>
    </row>
    <row r="74" spans="1:3">
      <c r="A74">
        <v>73</v>
      </c>
      <c r="B74" t="s">
        <v>476</v>
      </c>
      <c r="C74" t="s">
        <v>682</v>
      </c>
    </row>
    <row r="75" spans="1:3">
      <c r="A75">
        <v>74</v>
      </c>
      <c r="B75" t="s">
        <v>475</v>
      </c>
      <c r="C75" t="s">
        <v>683</v>
      </c>
    </row>
    <row r="76" spans="1:3">
      <c r="A76">
        <v>75</v>
      </c>
      <c r="B76" t="s">
        <v>435</v>
      </c>
      <c r="C76" t="s">
        <v>684</v>
      </c>
    </row>
    <row r="77" spans="1:3">
      <c r="A77">
        <v>76</v>
      </c>
      <c r="B77" t="s">
        <v>481</v>
      </c>
      <c r="C77" t="s">
        <v>685</v>
      </c>
    </row>
    <row r="78" spans="1:3">
      <c r="A78">
        <v>77</v>
      </c>
      <c r="B78" t="s">
        <v>479</v>
      </c>
      <c r="C78" t="s">
        <v>686</v>
      </c>
    </row>
    <row r="79" spans="1:3">
      <c r="A79">
        <v>78</v>
      </c>
      <c r="B79" t="s">
        <v>439</v>
      </c>
      <c r="C79" t="s">
        <v>687</v>
      </c>
    </row>
    <row r="80" spans="1:3">
      <c r="A80">
        <v>79</v>
      </c>
      <c r="B80" t="s">
        <v>498</v>
      </c>
      <c r="C80" t="s">
        <v>688</v>
      </c>
    </row>
    <row r="81" spans="1:3">
      <c r="A81">
        <v>80</v>
      </c>
      <c r="B81" t="s">
        <v>499</v>
      </c>
      <c r="C81" t="s">
        <v>689</v>
      </c>
    </row>
    <row r="82" spans="1:3">
      <c r="A82">
        <v>81</v>
      </c>
      <c r="B82" t="s">
        <v>495</v>
      </c>
      <c r="C82" t="s">
        <v>690</v>
      </c>
    </row>
    <row r="83" spans="1:3">
      <c r="A83">
        <v>82</v>
      </c>
      <c r="B83" t="s">
        <v>473</v>
      </c>
      <c r="C83" t="s">
        <v>691</v>
      </c>
    </row>
    <row r="84" spans="1:3">
      <c r="A84">
        <v>83</v>
      </c>
      <c r="B84" t="s">
        <v>452</v>
      </c>
      <c r="C84" t="s">
        <v>692</v>
      </c>
    </row>
    <row r="85" spans="1:3">
      <c r="A85">
        <v>84</v>
      </c>
      <c r="B85" t="s">
        <v>482</v>
      </c>
      <c r="C85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 ON MONTH OF DEC-2024</vt:lpstr>
      <vt:lpstr>WORKING</vt:lpstr>
      <vt:lpstr>Sheet1</vt:lpstr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Ali</dc:creator>
  <cp:lastModifiedBy>IT User Software</cp:lastModifiedBy>
  <dcterms:created xsi:type="dcterms:W3CDTF">2019-01-18T06:35:24Z</dcterms:created>
  <dcterms:modified xsi:type="dcterms:W3CDTF">2025-01-13T10:50:33Z</dcterms:modified>
</cp:coreProperties>
</file>