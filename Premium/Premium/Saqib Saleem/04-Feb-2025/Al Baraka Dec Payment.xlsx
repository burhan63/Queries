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remium\Premium\Saqib Saleem\04-Feb-2025\"/>
    </mc:Choice>
  </mc:AlternateContent>
  <xr:revisionPtr revIDLastSave="0" documentId="13_ncr:1_{3F0CAC4C-89E1-4D4C-B038-BEDA48CFBA31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Fresh" sheetId="2" state="hidden" r:id="rId1"/>
    <sheet name="Renewal" sheetId="1" r:id="rId2"/>
    <sheet name="WORKING" sheetId="5" r:id="rId3"/>
    <sheet name="Sheet1" sheetId="3" r:id="rId4"/>
    <sheet name="policy" sheetId="4" r:id="rId5"/>
  </sheets>
  <definedNames>
    <definedName name="_xlnm._FilterDatabase" localSheetId="0" hidden="1">Fresh!$A$1:$AI$39</definedName>
    <definedName name="_xlnm._FilterDatabase" localSheetId="1" hidden="1">Renewal!$A$1:$AH$162</definedName>
    <definedName name="_xlnm._FilterDatabase" localSheetId="3" hidden="1">Sheet1!$H$1:$H$161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D164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2" i="5"/>
  <c r="F2" i="5"/>
  <c r="D2" i="5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" i="3"/>
  <c r="H2" i="5" l="1"/>
  <c r="AH41" i="2" l="1"/>
  <c r="Y41" i="2"/>
  <c r="AG164" i="1"/>
  <c r="AH15" i="1"/>
  <c r="AH19" i="1"/>
  <c r="AH39" i="1"/>
  <c r="AH47" i="1"/>
  <c r="AH71" i="1"/>
  <c r="AH75" i="1"/>
  <c r="AH95" i="1"/>
  <c r="AH111" i="1"/>
  <c r="AH114" i="1"/>
  <c r="AH130" i="1"/>
  <c r="AH158" i="1"/>
  <c r="AI5" i="2"/>
  <c r="AI9" i="2"/>
  <c r="AI13" i="2"/>
  <c r="AI17" i="2"/>
  <c r="AI21" i="2"/>
  <c r="AI25" i="2"/>
  <c r="AI29" i="2"/>
  <c r="AI33" i="2"/>
  <c r="AI37" i="2"/>
  <c r="AI2" i="2"/>
  <c r="W39" i="2"/>
  <c r="Y39" i="2" s="1"/>
  <c r="AI39" i="2" s="1"/>
  <c r="W38" i="2"/>
  <c r="Y38" i="2" s="1"/>
  <c r="AI38" i="2" s="1"/>
  <c r="W37" i="2"/>
  <c r="Y37" i="2" s="1"/>
  <c r="W36" i="2"/>
  <c r="Y36" i="2" s="1"/>
  <c r="AI36" i="2" s="1"/>
  <c r="W35" i="2"/>
  <c r="Y35" i="2" s="1"/>
  <c r="AI35" i="2" s="1"/>
  <c r="W34" i="2"/>
  <c r="Y34" i="2" s="1"/>
  <c r="AI34" i="2" s="1"/>
  <c r="W33" i="2"/>
  <c r="Y33" i="2" s="1"/>
  <c r="W32" i="2"/>
  <c r="Y32" i="2" s="1"/>
  <c r="AI32" i="2" s="1"/>
  <c r="W31" i="2"/>
  <c r="Y31" i="2" s="1"/>
  <c r="AI31" i="2" s="1"/>
  <c r="W30" i="2"/>
  <c r="Y30" i="2" s="1"/>
  <c r="AI30" i="2" s="1"/>
  <c r="W29" i="2"/>
  <c r="Y29" i="2" s="1"/>
  <c r="W28" i="2"/>
  <c r="Y28" i="2" s="1"/>
  <c r="AI28" i="2" s="1"/>
  <c r="W27" i="2"/>
  <c r="Y27" i="2" s="1"/>
  <c r="AI27" i="2" s="1"/>
  <c r="W26" i="2"/>
  <c r="Y26" i="2" s="1"/>
  <c r="AI26" i="2" s="1"/>
  <c r="W25" i="2"/>
  <c r="Y25" i="2" s="1"/>
  <c r="W24" i="2"/>
  <c r="Y24" i="2" s="1"/>
  <c r="AI24" i="2" s="1"/>
  <c r="W23" i="2"/>
  <c r="Y23" i="2" s="1"/>
  <c r="AI23" i="2" s="1"/>
  <c r="W22" i="2"/>
  <c r="Y22" i="2" s="1"/>
  <c r="AI22" i="2" s="1"/>
  <c r="W21" i="2"/>
  <c r="Y21" i="2" s="1"/>
  <c r="W20" i="2"/>
  <c r="Y20" i="2" s="1"/>
  <c r="AI20" i="2" s="1"/>
  <c r="W19" i="2"/>
  <c r="Y19" i="2" s="1"/>
  <c r="AI19" i="2" s="1"/>
  <c r="W18" i="2"/>
  <c r="Y18" i="2" s="1"/>
  <c r="AI18" i="2" s="1"/>
  <c r="W17" i="2"/>
  <c r="Y17" i="2" s="1"/>
  <c r="W16" i="2"/>
  <c r="Y16" i="2" s="1"/>
  <c r="AI16" i="2" s="1"/>
  <c r="W15" i="2"/>
  <c r="Y15" i="2" s="1"/>
  <c r="AI15" i="2" s="1"/>
  <c r="W14" i="2"/>
  <c r="Y14" i="2" s="1"/>
  <c r="AI14" i="2" s="1"/>
  <c r="W13" i="2"/>
  <c r="Y13" i="2" s="1"/>
  <c r="W12" i="2"/>
  <c r="Y12" i="2" s="1"/>
  <c r="AI12" i="2" s="1"/>
  <c r="W11" i="2"/>
  <c r="Y11" i="2" s="1"/>
  <c r="AI11" i="2" s="1"/>
  <c r="W10" i="2"/>
  <c r="Y10" i="2" s="1"/>
  <c r="AI10" i="2" s="1"/>
  <c r="W9" i="2"/>
  <c r="Y9" i="2" s="1"/>
  <c r="W8" i="2"/>
  <c r="Y8" i="2" s="1"/>
  <c r="AI8" i="2" s="1"/>
  <c r="W7" i="2"/>
  <c r="Y7" i="2" s="1"/>
  <c r="AI7" i="2" s="1"/>
  <c r="W6" i="2"/>
  <c r="Y6" i="2" s="1"/>
  <c r="AI6" i="2" s="1"/>
  <c r="W5" i="2"/>
  <c r="Y5" i="2" s="1"/>
  <c r="W4" i="2"/>
  <c r="Y4" i="2" s="1"/>
  <c r="AI4" i="2" s="1"/>
  <c r="W3" i="2"/>
  <c r="Y3" i="2" s="1"/>
  <c r="AI3" i="2" s="1"/>
  <c r="W2" i="2"/>
  <c r="Y2" i="2" s="1"/>
  <c r="V162" i="1"/>
  <c r="W162" i="1" s="1"/>
  <c r="Y162" i="1" s="1"/>
  <c r="AH162" i="1" s="1"/>
  <c r="V161" i="1"/>
  <c r="W161" i="1" s="1"/>
  <c r="Y161" i="1" s="1"/>
  <c r="AH161" i="1" s="1"/>
  <c r="V160" i="1"/>
  <c r="W160" i="1" s="1"/>
  <c r="Y160" i="1" s="1"/>
  <c r="AH160" i="1" s="1"/>
  <c r="V159" i="1"/>
  <c r="W159" i="1" s="1"/>
  <c r="Y159" i="1" s="1"/>
  <c r="AH159" i="1" s="1"/>
  <c r="V158" i="1"/>
  <c r="W158" i="1" s="1"/>
  <c r="Y158" i="1" s="1"/>
  <c r="V157" i="1"/>
  <c r="W157" i="1" s="1"/>
  <c r="Y157" i="1" s="1"/>
  <c r="AH157" i="1" s="1"/>
  <c r="V156" i="1"/>
  <c r="W156" i="1" s="1"/>
  <c r="Y156" i="1" s="1"/>
  <c r="AH156" i="1" s="1"/>
  <c r="V155" i="1"/>
  <c r="W155" i="1" s="1"/>
  <c r="Y155" i="1" s="1"/>
  <c r="AH155" i="1" s="1"/>
  <c r="V154" i="1"/>
  <c r="W154" i="1" s="1"/>
  <c r="Y154" i="1" s="1"/>
  <c r="AH154" i="1" s="1"/>
  <c r="V153" i="1"/>
  <c r="W153" i="1" s="1"/>
  <c r="Y153" i="1" s="1"/>
  <c r="AH153" i="1" s="1"/>
  <c r="V152" i="1"/>
  <c r="W152" i="1" s="1"/>
  <c r="Y152" i="1" s="1"/>
  <c r="AH152" i="1" s="1"/>
  <c r="V151" i="1"/>
  <c r="W151" i="1" s="1"/>
  <c r="Y151" i="1" s="1"/>
  <c r="AH151" i="1" s="1"/>
  <c r="V150" i="1"/>
  <c r="W150" i="1" s="1"/>
  <c r="Y150" i="1" s="1"/>
  <c r="AH150" i="1" s="1"/>
  <c r="V149" i="1"/>
  <c r="W149" i="1" s="1"/>
  <c r="Y149" i="1" s="1"/>
  <c r="AH149" i="1" s="1"/>
  <c r="V148" i="1"/>
  <c r="W148" i="1" s="1"/>
  <c r="Y148" i="1" s="1"/>
  <c r="AH148" i="1" s="1"/>
  <c r="V147" i="1"/>
  <c r="W147" i="1" s="1"/>
  <c r="Y147" i="1" s="1"/>
  <c r="AH147" i="1" s="1"/>
  <c r="V146" i="1"/>
  <c r="W146" i="1" s="1"/>
  <c r="Y146" i="1" s="1"/>
  <c r="AH146" i="1" s="1"/>
  <c r="V145" i="1"/>
  <c r="W145" i="1" s="1"/>
  <c r="Y145" i="1" s="1"/>
  <c r="AH145" i="1" s="1"/>
  <c r="V144" i="1"/>
  <c r="W144" i="1" s="1"/>
  <c r="Y144" i="1" s="1"/>
  <c r="AH144" i="1" s="1"/>
  <c r="V143" i="1"/>
  <c r="W143" i="1" s="1"/>
  <c r="Y143" i="1" s="1"/>
  <c r="AH143" i="1" s="1"/>
  <c r="V142" i="1"/>
  <c r="W142" i="1" s="1"/>
  <c r="Y142" i="1" s="1"/>
  <c r="AH142" i="1" s="1"/>
  <c r="V141" i="1"/>
  <c r="W141" i="1" s="1"/>
  <c r="Y141" i="1" s="1"/>
  <c r="AH141" i="1" s="1"/>
  <c r="V140" i="1"/>
  <c r="W140" i="1" s="1"/>
  <c r="Y140" i="1" s="1"/>
  <c r="AH140" i="1" s="1"/>
  <c r="V139" i="1"/>
  <c r="W139" i="1" s="1"/>
  <c r="Y139" i="1" s="1"/>
  <c r="AH139" i="1" s="1"/>
  <c r="V138" i="1"/>
  <c r="W138" i="1" s="1"/>
  <c r="Y138" i="1" s="1"/>
  <c r="AH138" i="1" s="1"/>
  <c r="V137" i="1"/>
  <c r="W137" i="1" s="1"/>
  <c r="Y137" i="1" s="1"/>
  <c r="AH137" i="1" s="1"/>
  <c r="V136" i="1"/>
  <c r="W136" i="1" s="1"/>
  <c r="Y136" i="1" s="1"/>
  <c r="AH136" i="1" s="1"/>
  <c r="V135" i="1"/>
  <c r="W135" i="1" s="1"/>
  <c r="Y135" i="1" s="1"/>
  <c r="AH135" i="1" s="1"/>
  <c r="V134" i="1"/>
  <c r="W134" i="1" s="1"/>
  <c r="Y134" i="1" s="1"/>
  <c r="AH134" i="1" s="1"/>
  <c r="V133" i="1"/>
  <c r="W133" i="1" s="1"/>
  <c r="Y133" i="1" s="1"/>
  <c r="AH133" i="1" s="1"/>
  <c r="V132" i="1"/>
  <c r="W132" i="1" s="1"/>
  <c r="Y132" i="1" s="1"/>
  <c r="AH132" i="1" s="1"/>
  <c r="V131" i="1"/>
  <c r="W131" i="1" s="1"/>
  <c r="Y131" i="1" s="1"/>
  <c r="AH131" i="1" s="1"/>
  <c r="V130" i="1"/>
  <c r="W130" i="1" s="1"/>
  <c r="Y130" i="1" s="1"/>
  <c r="V129" i="1"/>
  <c r="W129" i="1" s="1"/>
  <c r="Y129" i="1" s="1"/>
  <c r="AH129" i="1" s="1"/>
  <c r="V128" i="1"/>
  <c r="W128" i="1" s="1"/>
  <c r="Y128" i="1" s="1"/>
  <c r="AH128" i="1" s="1"/>
  <c r="V127" i="1"/>
  <c r="W127" i="1" s="1"/>
  <c r="Y127" i="1" s="1"/>
  <c r="AH127" i="1" s="1"/>
  <c r="V126" i="1"/>
  <c r="W126" i="1" s="1"/>
  <c r="Y126" i="1" s="1"/>
  <c r="AH126" i="1" s="1"/>
  <c r="V125" i="1"/>
  <c r="W125" i="1" s="1"/>
  <c r="Y125" i="1" s="1"/>
  <c r="AH125" i="1" s="1"/>
  <c r="V124" i="1"/>
  <c r="W124" i="1" s="1"/>
  <c r="Y124" i="1" s="1"/>
  <c r="AH124" i="1" s="1"/>
  <c r="V123" i="1"/>
  <c r="W123" i="1" s="1"/>
  <c r="Y123" i="1" s="1"/>
  <c r="AH123" i="1" s="1"/>
  <c r="V122" i="1"/>
  <c r="W122" i="1" s="1"/>
  <c r="Y122" i="1" s="1"/>
  <c r="AH122" i="1" s="1"/>
  <c r="V121" i="1"/>
  <c r="W121" i="1" s="1"/>
  <c r="Y121" i="1" s="1"/>
  <c r="AH121" i="1" s="1"/>
  <c r="V120" i="1"/>
  <c r="W120" i="1" s="1"/>
  <c r="Y120" i="1" s="1"/>
  <c r="AH120" i="1" s="1"/>
  <c r="V119" i="1"/>
  <c r="W119" i="1" s="1"/>
  <c r="Y119" i="1" s="1"/>
  <c r="AH119" i="1" s="1"/>
  <c r="V118" i="1"/>
  <c r="W118" i="1" s="1"/>
  <c r="Y118" i="1" s="1"/>
  <c r="AH118" i="1" s="1"/>
  <c r="V117" i="1"/>
  <c r="W117" i="1" s="1"/>
  <c r="Y117" i="1" s="1"/>
  <c r="AH117" i="1" s="1"/>
  <c r="V116" i="1"/>
  <c r="W116" i="1" s="1"/>
  <c r="Y116" i="1" s="1"/>
  <c r="AH116" i="1" s="1"/>
  <c r="V115" i="1"/>
  <c r="W115" i="1" s="1"/>
  <c r="Y115" i="1" s="1"/>
  <c r="AH115" i="1" s="1"/>
  <c r="V114" i="1"/>
  <c r="W114" i="1" s="1"/>
  <c r="Y114" i="1" s="1"/>
  <c r="V113" i="1"/>
  <c r="W113" i="1" s="1"/>
  <c r="Y113" i="1" s="1"/>
  <c r="AH113" i="1" s="1"/>
  <c r="V112" i="1"/>
  <c r="W112" i="1" s="1"/>
  <c r="Y112" i="1" s="1"/>
  <c r="AH112" i="1" s="1"/>
  <c r="V111" i="1"/>
  <c r="W111" i="1" s="1"/>
  <c r="Y111" i="1" s="1"/>
  <c r="V110" i="1"/>
  <c r="W110" i="1" s="1"/>
  <c r="Y110" i="1" s="1"/>
  <c r="AH110" i="1" s="1"/>
  <c r="V109" i="1"/>
  <c r="W109" i="1" s="1"/>
  <c r="Y109" i="1" s="1"/>
  <c r="AH109" i="1" s="1"/>
  <c r="V108" i="1"/>
  <c r="W108" i="1" s="1"/>
  <c r="Y108" i="1" s="1"/>
  <c r="AH108" i="1" s="1"/>
  <c r="V107" i="1"/>
  <c r="W107" i="1" s="1"/>
  <c r="Y107" i="1" s="1"/>
  <c r="AH107" i="1" s="1"/>
  <c r="V106" i="1"/>
  <c r="W106" i="1" s="1"/>
  <c r="Y106" i="1" s="1"/>
  <c r="AH106" i="1" s="1"/>
  <c r="V105" i="1"/>
  <c r="W105" i="1" s="1"/>
  <c r="Y105" i="1" s="1"/>
  <c r="AH105" i="1" s="1"/>
  <c r="V104" i="1"/>
  <c r="W104" i="1" s="1"/>
  <c r="Y104" i="1" s="1"/>
  <c r="AH104" i="1" s="1"/>
  <c r="V103" i="1"/>
  <c r="W103" i="1" s="1"/>
  <c r="Y103" i="1" s="1"/>
  <c r="AH103" i="1" s="1"/>
  <c r="V102" i="1"/>
  <c r="W102" i="1" s="1"/>
  <c r="Y102" i="1" s="1"/>
  <c r="AH102" i="1" s="1"/>
  <c r="V101" i="1"/>
  <c r="W101" i="1" s="1"/>
  <c r="Y101" i="1" s="1"/>
  <c r="AH101" i="1" s="1"/>
  <c r="V100" i="1"/>
  <c r="W100" i="1" s="1"/>
  <c r="Y100" i="1" s="1"/>
  <c r="AH100" i="1" s="1"/>
  <c r="V99" i="1"/>
  <c r="W99" i="1" s="1"/>
  <c r="Y99" i="1" s="1"/>
  <c r="AH99" i="1" s="1"/>
  <c r="V98" i="1"/>
  <c r="W98" i="1" s="1"/>
  <c r="Y98" i="1" s="1"/>
  <c r="AH98" i="1" s="1"/>
  <c r="V97" i="1"/>
  <c r="W97" i="1" s="1"/>
  <c r="Y97" i="1" s="1"/>
  <c r="AH97" i="1" s="1"/>
  <c r="V96" i="1"/>
  <c r="W96" i="1" s="1"/>
  <c r="Y96" i="1" s="1"/>
  <c r="AH96" i="1" s="1"/>
  <c r="V95" i="1"/>
  <c r="W95" i="1" s="1"/>
  <c r="Y95" i="1" s="1"/>
  <c r="V94" i="1"/>
  <c r="W94" i="1" s="1"/>
  <c r="Y94" i="1" s="1"/>
  <c r="AH94" i="1" s="1"/>
  <c r="V93" i="1"/>
  <c r="W93" i="1" s="1"/>
  <c r="Y93" i="1" s="1"/>
  <c r="AH93" i="1" s="1"/>
  <c r="V92" i="1"/>
  <c r="W92" i="1" s="1"/>
  <c r="Y92" i="1" s="1"/>
  <c r="AH92" i="1" s="1"/>
  <c r="V91" i="1"/>
  <c r="W91" i="1" s="1"/>
  <c r="Y91" i="1" s="1"/>
  <c r="AH91" i="1" s="1"/>
  <c r="V90" i="1"/>
  <c r="W90" i="1" s="1"/>
  <c r="Y90" i="1" s="1"/>
  <c r="AH90" i="1" s="1"/>
  <c r="V89" i="1"/>
  <c r="W89" i="1" s="1"/>
  <c r="Y89" i="1" s="1"/>
  <c r="AH89" i="1" s="1"/>
  <c r="V88" i="1"/>
  <c r="W88" i="1" s="1"/>
  <c r="Y88" i="1" s="1"/>
  <c r="AH88" i="1" s="1"/>
  <c r="V87" i="1"/>
  <c r="W87" i="1" s="1"/>
  <c r="Y87" i="1" s="1"/>
  <c r="AH87" i="1" s="1"/>
  <c r="V86" i="1"/>
  <c r="W86" i="1" s="1"/>
  <c r="Y86" i="1" s="1"/>
  <c r="AH86" i="1" s="1"/>
  <c r="V85" i="1"/>
  <c r="W85" i="1" s="1"/>
  <c r="Y85" i="1" s="1"/>
  <c r="AH85" i="1" s="1"/>
  <c r="V84" i="1"/>
  <c r="W84" i="1" s="1"/>
  <c r="Y84" i="1" s="1"/>
  <c r="AH84" i="1" s="1"/>
  <c r="V83" i="1"/>
  <c r="W83" i="1" s="1"/>
  <c r="Y83" i="1" s="1"/>
  <c r="AH83" i="1" s="1"/>
  <c r="V82" i="1"/>
  <c r="W82" i="1" s="1"/>
  <c r="Y82" i="1" s="1"/>
  <c r="AH82" i="1" s="1"/>
  <c r="V81" i="1"/>
  <c r="W81" i="1" s="1"/>
  <c r="Y81" i="1" s="1"/>
  <c r="AH81" i="1" s="1"/>
  <c r="V80" i="1"/>
  <c r="W80" i="1" s="1"/>
  <c r="Y80" i="1" s="1"/>
  <c r="AH80" i="1" s="1"/>
  <c r="V79" i="1"/>
  <c r="W79" i="1" s="1"/>
  <c r="Y79" i="1" s="1"/>
  <c r="AH79" i="1" s="1"/>
  <c r="V78" i="1"/>
  <c r="W78" i="1" s="1"/>
  <c r="Y78" i="1" s="1"/>
  <c r="AH78" i="1" s="1"/>
  <c r="V77" i="1"/>
  <c r="W77" i="1" s="1"/>
  <c r="Y77" i="1" s="1"/>
  <c r="AH77" i="1" s="1"/>
  <c r="V76" i="1"/>
  <c r="W76" i="1" s="1"/>
  <c r="Y76" i="1" s="1"/>
  <c r="AH76" i="1" s="1"/>
  <c r="V75" i="1"/>
  <c r="W75" i="1" s="1"/>
  <c r="Y75" i="1" s="1"/>
  <c r="V74" i="1"/>
  <c r="W74" i="1" s="1"/>
  <c r="Y74" i="1" s="1"/>
  <c r="AH74" i="1" s="1"/>
  <c r="V73" i="1"/>
  <c r="W73" i="1" s="1"/>
  <c r="Y73" i="1" s="1"/>
  <c r="AH73" i="1" s="1"/>
  <c r="V72" i="1"/>
  <c r="W72" i="1" s="1"/>
  <c r="Y72" i="1" s="1"/>
  <c r="AH72" i="1" s="1"/>
  <c r="V71" i="1"/>
  <c r="W71" i="1" s="1"/>
  <c r="Y71" i="1" s="1"/>
  <c r="V70" i="1"/>
  <c r="W70" i="1" s="1"/>
  <c r="Y70" i="1" s="1"/>
  <c r="AH70" i="1" s="1"/>
  <c r="V69" i="1"/>
  <c r="W69" i="1" s="1"/>
  <c r="Y69" i="1" s="1"/>
  <c r="AH69" i="1" s="1"/>
  <c r="V68" i="1"/>
  <c r="W68" i="1" s="1"/>
  <c r="Y68" i="1" s="1"/>
  <c r="AH68" i="1" s="1"/>
  <c r="V67" i="1"/>
  <c r="W67" i="1" s="1"/>
  <c r="Y67" i="1" s="1"/>
  <c r="AH67" i="1" s="1"/>
  <c r="V66" i="1"/>
  <c r="W66" i="1" s="1"/>
  <c r="Y66" i="1" s="1"/>
  <c r="AH66" i="1" s="1"/>
  <c r="V65" i="1"/>
  <c r="W65" i="1" s="1"/>
  <c r="Y65" i="1" s="1"/>
  <c r="AH65" i="1" s="1"/>
  <c r="V64" i="1"/>
  <c r="W64" i="1" s="1"/>
  <c r="Y64" i="1" s="1"/>
  <c r="AH64" i="1" s="1"/>
  <c r="V63" i="1"/>
  <c r="W63" i="1" s="1"/>
  <c r="Y63" i="1" s="1"/>
  <c r="AH63" i="1" s="1"/>
  <c r="V62" i="1"/>
  <c r="W62" i="1" s="1"/>
  <c r="Y62" i="1" s="1"/>
  <c r="AH62" i="1" s="1"/>
  <c r="V61" i="1"/>
  <c r="W61" i="1" s="1"/>
  <c r="Y61" i="1" s="1"/>
  <c r="AH61" i="1" s="1"/>
  <c r="V60" i="1"/>
  <c r="W60" i="1" s="1"/>
  <c r="Y60" i="1" s="1"/>
  <c r="AH60" i="1" s="1"/>
  <c r="V59" i="1"/>
  <c r="W59" i="1" s="1"/>
  <c r="Y59" i="1" s="1"/>
  <c r="AH59" i="1" s="1"/>
  <c r="V58" i="1"/>
  <c r="W58" i="1" s="1"/>
  <c r="Y58" i="1" s="1"/>
  <c r="AH58" i="1" s="1"/>
  <c r="V57" i="1"/>
  <c r="W57" i="1" s="1"/>
  <c r="Y57" i="1" s="1"/>
  <c r="AH57" i="1" s="1"/>
  <c r="V56" i="1"/>
  <c r="W56" i="1" s="1"/>
  <c r="Y56" i="1" s="1"/>
  <c r="AH56" i="1" s="1"/>
  <c r="V55" i="1"/>
  <c r="W55" i="1" s="1"/>
  <c r="Y55" i="1" s="1"/>
  <c r="AH55" i="1" s="1"/>
  <c r="V54" i="1"/>
  <c r="W54" i="1" s="1"/>
  <c r="Y54" i="1" s="1"/>
  <c r="AH54" i="1" s="1"/>
  <c r="V53" i="1"/>
  <c r="W53" i="1" s="1"/>
  <c r="Y53" i="1" s="1"/>
  <c r="AH53" i="1" s="1"/>
  <c r="V52" i="1"/>
  <c r="W52" i="1" s="1"/>
  <c r="Y52" i="1" s="1"/>
  <c r="AH52" i="1" s="1"/>
  <c r="V51" i="1"/>
  <c r="W51" i="1" s="1"/>
  <c r="Y51" i="1" s="1"/>
  <c r="AH51" i="1" s="1"/>
  <c r="V50" i="1"/>
  <c r="W50" i="1" s="1"/>
  <c r="Y50" i="1" s="1"/>
  <c r="AH50" i="1" s="1"/>
  <c r="V49" i="1"/>
  <c r="W49" i="1" s="1"/>
  <c r="Y49" i="1" s="1"/>
  <c r="AH49" i="1" s="1"/>
  <c r="V48" i="1"/>
  <c r="W48" i="1" s="1"/>
  <c r="Y48" i="1" s="1"/>
  <c r="AH48" i="1" s="1"/>
  <c r="V47" i="1"/>
  <c r="W47" i="1" s="1"/>
  <c r="Y47" i="1" s="1"/>
  <c r="V46" i="1"/>
  <c r="W46" i="1" s="1"/>
  <c r="Y46" i="1" s="1"/>
  <c r="AH46" i="1" s="1"/>
  <c r="V45" i="1"/>
  <c r="W45" i="1" s="1"/>
  <c r="Y45" i="1" s="1"/>
  <c r="AH45" i="1" s="1"/>
  <c r="V44" i="1"/>
  <c r="W44" i="1" s="1"/>
  <c r="Y44" i="1" s="1"/>
  <c r="AH44" i="1" s="1"/>
  <c r="V43" i="1"/>
  <c r="W43" i="1" s="1"/>
  <c r="Y43" i="1" s="1"/>
  <c r="AH43" i="1" s="1"/>
  <c r="V42" i="1"/>
  <c r="W42" i="1" s="1"/>
  <c r="Y42" i="1" s="1"/>
  <c r="AH42" i="1" s="1"/>
  <c r="V41" i="1"/>
  <c r="W41" i="1" s="1"/>
  <c r="Y41" i="1" s="1"/>
  <c r="AH41" i="1" s="1"/>
  <c r="V40" i="1"/>
  <c r="W40" i="1" s="1"/>
  <c r="Y40" i="1" s="1"/>
  <c r="AH40" i="1" s="1"/>
  <c r="V39" i="1"/>
  <c r="W39" i="1" s="1"/>
  <c r="Y39" i="1" s="1"/>
  <c r="V38" i="1"/>
  <c r="W38" i="1" s="1"/>
  <c r="Y38" i="1" s="1"/>
  <c r="AH38" i="1" s="1"/>
  <c r="V37" i="1"/>
  <c r="W37" i="1" s="1"/>
  <c r="Y37" i="1" s="1"/>
  <c r="AH37" i="1" s="1"/>
  <c r="V36" i="1"/>
  <c r="W36" i="1" s="1"/>
  <c r="Y36" i="1" s="1"/>
  <c r="AH36" i="1" s="1"/>
  <c r="V35" i="1"/>
  <c r="W35" i="1" s="1"/>
  <c r="Y35" i="1" s="1"/>
  <c r="AH35" i="1" s="1"/>
  <c r="V34" i="1"/>
  <c r="W34" i="1" s="1"/>
  <c r="Y34" i="1" s="1"/>
  <c r="AH34" i="1" s="1"/>
  <c r="V33" i="1"/>
  <c r="W33" i="1" s="1"/>
  <c r="Y33" i="1" s="1"/>
  <c r="AH33" i="1" s="1"/>
  <c r="V32" i="1"/>
  <c r="W32" i="1" s="1"/>
  <c r="Y32" i="1" s="1"/>
  <c r="AH32" i="1" s="1"/>
  <c r="V31" i="1"/>
  <c r="W31" i="1" s="1"/>
  <c r="Y31" i="1" s="1"/>
  <c r="AH31" i="1" s="1"/>
  <c r="V30" i="1"/>
  <c r="W30" i="1" s="1"/>
  <c r="Y30" i="1" s="1"/>
  <c r="AH30" i="1" s="1"/>
  <c r="V29" i="1"/>
  <c r="W29" i="1" s="1"/>
  <c r="Y29" i="1" s="1"/>
  <c r="AH29" i="1" s="1"/>
  <c r="V28" i="1"/>
  <c r="W28" i="1" s="1"/>
  <c r="Y28" i="1" s="1"/>
  <c r="AH28" i="1" s="1"/>
  <c r="V27" i="1"/>
  <c r="W27" i="1" s="1"/>
  <c r="Y27" i="1" s="1"/>
  <c r="AH27" i="1" s="1"/>
  <c r="V26" i="1"/>
  <c r="W26" i="1" s="1"/>
  <c r="Y26" i="1" s="1"/>
  <c r="AH26" i="1" s="1"/>
  <c r="V25" i="1"/>
  <c r="W25" i="1" s="1"/>
  <c r="Y25" i="1" s="1"/>
  <c r="AH25" i="1" s="1"/>
  <c r="V24" i="1"/>
  <c r="W24" i="1" s="1"/>
  <c r="Y24" i="1" s="1"/>
  <c r="AH24" i="1" s="1"/>
  <c r="V23" i="1"/>
  <c r="W23" i="1" s="1"/>
  <c r="Y23" i="1" s="1"/>
  <c r="AH23" i="1" s="1"/>
  <c r="V22" i="1"/>
  <c r="W22" i="1" s="1"/>
  <c r="Y22" i="1" s="1"/>
  <c r="AH22" i="1" s="1"/>
  <c r="V21" i="1"/>
  <c r="W21" i="1" s="1"/>
  <c r="Y21" i="1" s="1"/>
  <c r="AH21" i="1" s="1"/>
  <c r="V20" i="1"/>
  <c r="W20" i="1" s="1"/>
  <c r="Y20" i="1" s="1"/>
  <c r="AH20" i="1" s="1"/>
  <c r="V19" i="1"/>
  <c r="W19" i="1" s="1"/>
  <c r="Y19" i="1" s="1"/>
  <c r="V18" i="1"/>
  <c r="W18" i="1" s="1"/>
  <c r="Y18" i="1" s="1"/>
  <c r="AH18" i="1" s="1"/>
  <c r="V17" i="1"/>
  <c r="W17" i="1" s="1"/>
  <c r="Y17" i="1" s="1"/>
  <c r="AH17" i="1" s="1"/>
  <c r="V16" i="1"/>
  <c r="W16" i="1" s="1"/>
  <c r="Y16" i="1" s="1"/>
  <c r="AH16" i="1" s="1"/>
  <c r="V15" i="1"/>
  <c r="W15" i="1" s="1"/>
  <c r="Y15" i="1" s="1"/>
  <c r="V14" i="1"/>
  <c r="W14" i="1" s="1"/>
  <c r="Y14" i="1" s="1"/>
  <c r="AH14" i="1" s="1"/>
  <c r="V13" i="1"/>
  <c r="W13" i="1" s="1"/>
  <c r="Y13" i="1" s="1"/>
  <c r="AH13" i="1" s="1"/>
  <c r="V12" i="1"/>
  <c r="W12" i="1" s="1"/>
  <c r="Y12" i="1" s="1"/>
  <c r="AH12" i="1" s="1"/>
  <c r="V11" i="1"/>
  <c r="W11" i="1" s="1"/>
  <c r="Y11" i="1" s="1"/>
  <c r="AH11" i="1" s="1"/>
  <c r="V10" i="1"/>
  <c r="W10" i="1" s="1"/>
  <c r="Y10" i="1" s="1"/>
  <c r="AH10" i="1" s="1"/>
  <c r="V9" i="1"/>
  <c r="W9" i="1" s="1"/>
  <c r="Y9" i="1" s="1"/>
  <c r="AH9" i="1" s="1"/>
  <c r="V8" i="1"/>
  <c r="W8" i="1" s="1"/>
  <c r="Y8" i="1" s="1"/>
  <c r="AH8" i="1" s="1"/>
  <c r="V7" i="1"/>
  <c r="W7" i="1" s="1"/>
  <c r="Y7" i="1" s="1"/>
  <c r="AH7" i="1" s="1"/>
  <c r="V6" i="1"/>
  <c r="W6" i="1" s="1"/>
  <c r="Y6" i="1" s="1"/>
  <c r="AH6" i="1" s="1"/>
  <c r="V5" i="1"/>
  <c r="W5" i="1" s="1"/>
  <c r="Y5" i="1" s="1"/>
  <c r="AH5" i="1" s="1"/>
  <c r="V4" i="1"/>
  <c r="W4" i="1" s="1"/>
  <c r="Y4" i="1" s="1"/>
  <c r="AH4" i="1" s="1"/>
  <c r="V3" i="1"/>
  <c r="W3" i="1" s="1"/>
  <c r="Y3" i="1" s="1"/>
  <c r="AH3" i="1" s="1"/>
  <c r="V2" i="1"/>
  <c r="W2" i="1" s="1"/>
  <c r="Y2" i="1" s="1"/>
  <c r="Y164" i="1" l="1"/>
  <c r="AH2" i="1"/>
</calcChain>
</file>

<file path=xl/sharedStrings.xml><?xml version="1.0" encoding="utf-8"?>
<sst xmlns="http://schemas.openxmlformats.org/spreadsheetml/2006/main" count="4263" uniqueCount="1736">
  <si>
    <t>Renewal</t>
  </si>
  <si>
    <t>68516/1</t>
  </si>
  <si>
    <t>SALAAM TAKAFUL LTD</t>
  </si>
  <si>
    <t>KHI/HO/D/MO/PC COMP/C/103764/8/12/2024</t>
  </si>
  <si>
    <t>MUHAMMAD  KASHIF</t>
  </si>
  <si>
    <t>SUZUKI MEHRAN VX</t>
  </si>
  <si>
    <t>LED-15-3088</t>
  </si>
  <si>
    <t>1147137</t>
  </si>
  <si>
    <t>Central</t>
  </si>
  <si>
    <t>0329</t>
  </si>
  <si>
    <t>629773</t>
  </si>
  <si>
    <t>paid</t>
  </si>
  <si>
    <t>DISBURSED</t>
  </si>
  <si>
    <t>44871/2</t>
  </si>
  <si>
    <t>KHI/HO/D/MO/CV/C/104416/1/12/2024</t>
  </si>
  <si>
    <t>AMJAD  PERVAIZ</t>
  </si>
  <si>
    <t>SUZUKI RAVI VX EURO II</t>
  </si>
  <si>
    <t>KZ-4320</t>
  </si>
  <si>
    <t>469365</t>
  </si>
  <si>
    <t>South</t>
  </si>
  <si>
    <t>0144</t>
  </si>
  <si>
    <t>506978</t>
  </si>
  <si>
    <t>45079/1</t>
  </si>
  <si>
    <t>KHI/HO/D/MO/CV/C/104416/2/12/2024</t>
  </si>
  <si>
    <t>DANISH  ATTA</t>
  </si>
  <si>
    <t>TAA-981</t>
  </si>
  <si>
    <t>469697</t>
  </si>
  <si>
    <t>North</t>
  </si>
  <si>
    <t>0804</t>
  </si>
  <si>
    <t>501013</t>
  </si>
  <si>
    <t>51853/1</t>
  </si>
  <si>
    <t>KHI/HO/D/MO/PC COMP/C/103764/94/12/2024</t>
  </si>
  <si>
    <t>USMAN   SHAFQAT</t>
  </si>
  <si>
    <t>PRINCE PEARL</t>
  </si>
  <si>
    <t>AGG-058</t>
  </si>
  <si>
    <t>M05605717W</t>
  </si>
  <si>
    <t>M21K03228</t>
  </si>
  <si>
    <t>553524</t>
  </si>
  <si>
    <t>53000/1</t>
  </si>
  <si>
    <t>KHI/HO/D/MO/CV/C/104415/1/12/2024</t>
  </si>
  <si>
    <t>SADAM  HUSSAIN</t>
  </si>
  <si>
    <t>CAH-2994</t>
  </si>
  <si>
    <t>482551</t>
  </si>
  <si>
    <t>554395</t>
  </si>
  <si>
    <t>53115/1</t>
  </si>
  <si>
    <t>KHI/HO/D/MO/CV/C/104415/2/12/2024</t>
  </si>
  <si>
    <t>MUHAMMAD  SHAHZAD</t>
  </si>
  <si>
    <t>CAH-2835</t>
  </si>
  <si>
    <t>482692</t>
  </si>
  <si>
    <t>558104</t>
  </si>
  <si>
    <t>53151/1</t>
  </si>
  <si>
    <t>KHI/HO/D/MO/CV/C/104415/3/12/2024</t>
  </si>
  <si>
    <t>MUHAMMAD MUBASHIR NAZAR   AWAN</t>
  </si>
  <si>
    <t>TC-13</t>
  </si>
  <si>
    <t>483469</t>
  </si>
  <si>
    <t>336775</t>
  </si>
  <si>
    <t>53246/1</t>
  </si>
  <si>
    <t>KHI/HO/D/MO/CV/C/104415/4/12/2024</t>
  </si>
  <si>
    <t>NAVEED   LATIF</t>
  </si>
  <si>
    <t>CAH-2727</t>
  </si>
  <si>
    <t>483328</t>
  </si>
  <si>
    <t>554600</t>
  </si>
  <si>
    <t>53365/1</t>
  </si>
  <si>
    <t>KHI/HO/D/MO/CV/C/104415/5/12/2024</t>
  </si>
  <si>
    <t>KHAWAR  ABBAS</t>
  </si>
  <si>
    <t>CAH-6141</t>
  </si>
  <si>
    <t>483215</t>
  </si>
  <si>
    <t>562324</t>
  </si>
  <si>
    <t>53088/1</t>
  </si>
  <si>
    <t>KHI/HO/D/MO/PC COMP/C/103764/87/12/2024</t>
  </si>
  <si>
    <t>MUHAMMAD   AKBAR</t>
  </si>
  <si>
    <t>SUZUKI BOLAN VX</t>
  </si>
  <si>
    <t>AGH-723</t>
  </si>
  <si>
    <t>1133917</t>
  </si>
  <si>
    <t>0423</t>
  </si>
  <si>
    <t>553216</t>
  </si>
  <si>
    <t>53598/1</t>
  </si>
  <si>
    <t>KHI/HO/D/MO/PC COMP/C/103764/132/12/2024</t>
  </si>
  <si>
    <t>QAMAR   ABBAS</t>
  </si>
  <si>
    <t>SUZUKI BOLAN STD VX EURO</t>
  </si>
  <si>
    <t>AWY-904</t>
  </si>
  <si>
    <t>PK01134520</t>
  </si>
  <si>
    <t>0556</t>
  </si>
  <si>
    <t>526529</t>
  </si>
  <si>
    <t>61961/1</t>
  </si>
  <si>
    <t>KHI/HO/D/MO/PC COMP/C/103764/78/12/2024</t>
  </si>
  <si>
    <t>MUHAMMAD  ASIF</t>
  </si>
  <si>
    <t>FAW FAW V2 M/T</t>
  </si>
  <si>
    <t>LEA-17-5464</t>
  </si>
  <si>
    <t>HG300158</t>
  </si>
  <si>
    <t>5A10798</t>
  </si>
  <si>
    <t>596062</t>
  </si>
  <si>
    <t>61867/1</t>
  </si>
  <si>
    <t>KHI/HO/D/MO/PC COMP/C/103764/59/12/2024</t>
  </si>
  <si>
    <t>ASIM  LATIF</t>
  </si>
  <si>
    <t>SUZUKI BOLAN</t>
  </si>
  <si>
    <t>LEC-19-8158</t>
  </si>
  <si>
    <t>PKT988475</t>
  </si>
  <si>
    <t>PK01104951</t>
  </si>
  <si>
    <t>535024</t>
  </si>
  <si>
    <t>61894/1</t>
  </si>
  <si>
    <t>KHI/HO/D/MO/PC COMP/C/103764/63/12/2024</t>
  </si>
  <si>
    <t>ABID   ALI</t>
  </si>
  <si>
    <t>HONDA VAMOS HOBIO</t>
  </si>
  <si>
    <t>LE-17-6024</t>
  </si>
  <si>
    <t>E07Z9106234</t>
  </si>
  <si>
    <t>HM41500327</t>
  </si>
  <si>
    <t>593337</t>
  </si>
  <si>
    <t>39728/1</t>
  </si>
  <si>
    <t>KHI/HO/D/MO/PC COMP/C/103764/157/12/2024</t>
  </si>
  <si>
    <t>MUHAMMAD AZAM BHATTI</t>
  </si>
  <si>
    <t>SUZUKI ALTO VXR</t>
  </si>
  <si>
    <t>LEA-19-2489-</t>
  </si>
  <si>
    <t>1025947</t>
  </si>
  <si>
    <t>0401</t>
  </si>
  <si>
    <t>461008</t>
  </si>
  <si>
    <t>39845/1</t>
  </si>
  <si>
    <t>KHI/HO/D/MO/PC COMP/C/103764/156/12/2024</t>
  </si>
  <si>
    <t>BUSHRA SHAAFI</t>
  </si>
  <si>
    <t>LE-20-2932</t>
  </si>
  <si>
    <t>1024400</t>
  </si>
  <si>
    <t>474598</t>
  </si>
  <si>
    <t>50031/1</t>
  </si>
  <si>
    <t>KHI/HO/D/MO/PC COMP/C/103764/99/12/2024</t>
  </si>
  <si>
    <t>NASIR  HUSSAIN</t>
  </si>
  <si>
    <t>SUZUKI ALTO VXR E-2</t>
  </si>
  <si>
    <t>AHB-571</t>
  </si>
  <si>
    <t>6R191978</t>
  </si>
  <si>
    <t>NF1AET306H1091990</t>
  </si>
  <si>
    <t>0338</t>
  </si>
  <si>
    <t>542413</t>
  </si>
  <si>
    <t>49988/1</t>
  </si>
  <si>
    <t>KHI/HO/D/MO/PC COMP/C/103764/109/12/2024</t>
  </si>
  <si>
    <t>SARFARAZ  AHMAD</t>
  </si>
  <si>
    <t>AGH-687</t>
  </si>
  <si>
    <t>6R200748</t>
  </si>
  <si>
    <t>H1100763</t>
  </si>
  <si>
    <t>540393</t>
  </si>
  <si>
    <t>50371/1</t>
  </si>
  <si>
    <t>KHI/HO/D/MO/PC COMP/C/103764/118/12/2024</t>
  </si>
  <si>
    <t>GHULAM  BAQIR</t>
  </si>
  <si>
    <t>AXC-535</t>
  </si>
  <si>
    <t>1103237</t>
  </si>
  <si>
    <t>336709</t>
  </si>
  <si>
    <t>50492/1</t>
  </si>
  <si>
    <t>KHI/HO/D/MO/PC COMP/C/103764/120/12/2024</t>
  </si>
  <si>
    <t>NABI  AHMED</t>
  </si>
  <si>
    <t>AWH-920</t>
  </si>
  <si>
    <t>1103168</t>
  </si>
  <si>
    <t>545709</t>
  </si>
  <si>
    <t>61581/1</t>
  </si>
  <si>
    <t>KHI/HO/D/MO/CV/C/104418/1/12/2024</t>
  </si>
  <si>
    <t>ZEESHAN   IDREES</t>
  </si>
  <si>
    <t>CAM-3443</t>
  </si>
  <si>
    <t>492323</t>
  </si>
  <si>
    <t>592814</t>
  </si>
  <si>
    <t>61895/1</t>
  </si>
  <si>
    <t>KHI/HO/D/MO/CV/C/104418/2/12/2024</t>
  </si>
  <si>
    <t>AHSAN   REHMAN</t>
  </si>
  <si>
    <t>TAB-766</t>
  </si>
  <si>
    <t>492793</t>
  </si>
  <si>
    <t>0679</t>
  </si>
  <si>
    <t>595193</t>
  </si>
  <si>
    <t>45083/1</t>
  </si>
  <si>
    <t>KHI/HO/D/MO/PC COMP/C/103764/135/12/2024</t>
  </si>
  <si>
    <t>MUHAMMAD  ADNAN</t>
  </si>
  <si>
    <t>ASE-951</t>
  </si>
  <si>
    <t>1046411</t>
  </si>
  <si>
    <t>511544</t>
  </si>
  <si>
    <t>45113/1</t>
  </si>
  <si>
    <t>KHI/HO/D/MO/PC COMP/C/103764/146/12/2024</t>
  </si>
  <si>
    <t>ALI  NAWAZ</t>
  </si>
  <si>
    <t>ASH-432</t>
  </si>
  <si>
    <t>1048234</t>
  </si>
  <si>
    <t>0822</t>
  </si>
  <si>
    <t>510696</t>
  </si>
  <si>
    <t>45480/1</t>
  </si>
  <si>
    <t>KHI/HO/D/MO/PC COMP/C/103764/142/12/2024</t>
  </si>
  <si>
    <t>ASAD  ALI</t>
  </si>
  <si>
    <t>AMZ-064</t>
  </si>
  <si>
    <t>1049171</t>
  </si>
  <si>
    <t>442469</t>
  </si>
  <si>
    <t>58087/1</t>
  </si>
  <si>
    <t>KHI/HO/D/MO/PC COMP/C/103764/61/12/2024</t>
  </si>
  <si>
    <t>MUHAMMAD   ALI</t>
  </si>
  <si>
    <t>SUZUKI ALTO VX</t>
  </si>
  <si>
    <t>BBC-732</t>
  </si>
  <si>
    <t>1166047</t>
  </si>
  <si>
    <t>578595</t>
  </si>
  <si>
    <t>53202/1</t>
  </si>
  <si>
    <t>KHI/HO/D/MO/PC COMP/C/103764/102/12/2024</t>
  </si>
  <si>
    <t>RIZWAN  YOUNAS</t>
  </si>
  <si>
    <t>AHF-137</t>
  </si>
  <si>
    <t>1095236</t>
  </si>
  <si>
    <t>549667</t>
  </si>
  <si>
    <t>53403/1</t>
  </si>
  <si>
    <t>KHI/HO/D/MO/PC COMP/C/103764/114/12/2024</t>
  </si>
  <si>
    <t>FAHAD YAQOOB BAJWA</t>
  </si>
  <si>
    <t>SUZUKI ALTO</t>
  </si>
  <si>
    <t>AGD-695</t>
  </si>
  <si>
    <t>6R201944</t>
  </si>
  <si>
    <t>NF1AET306H1101939</t>
  </si>
  <si>
    <t>0422</t>
  </si>
  <si>
    <t>560255</t>
  </si>
  <si>
    <t>53482/1</t>
  </si>
  <si>
    <t>KHI/HO/D/MO/PC COMP/C/103764/123/12/2024</t>
  </si>
  <si>
    <t>KHALID  JAVED</t>
  </si>
  <si>
    <t>AGY-249</t>
  </si>
  <si>
    <t>1095013</t>
  </si>
  <si>
    <t>0471</t>
  </si>
  <si>
    <t>558262</t>
  </si>
  <si>
    <t>53249/1</t>
  </si>
  <si>
    <t>KHI/HO/D/MO/PC COMP/C/103764/82/12/2024</t>
  </si>
  <si>
    <t>FRANCIS  BASHIR</t>
  </si>
  <si>
    <t>CHANGAN KARVAAN PLUS</t>
  </si>
  <si>
    <t>AGE-389</t>
  </si>
  <si>
    <t>1010093</t>
  </si>
  <si>
    <t>556753</t>
  </si>
  <si>
    <t>55736/1</t>
  </si>
  <si>
    <t>KHI/HO/D/MO/PC COMP/C/103764/41/12/2024</t>
  </si>
  <si>
    <t>MIRZA  MUHEET BAIG</t>
  </si>
  <si>
    <t>BXG-594</t>
  </si>
  <si>
    <t>1154290</t>
  </si>
  <si>
    <t>0135</t>
  </si>
  <si>
    <t>568402</t>
  </si>
  <si>
    <t>51249/1</t>
  </si>
  <si>
    <t>KHI/HO/D/MO/PC COMP/C/103764/119/12/2024</t>
  </si>
  <si>
    <t>HAMID BIN RAIS</t>
  </si>
  <si>
    <t>SUZUKI WAGON-R VXL E2</t>
  </si>
  <si>
    <t>AGA-233</t>
  </si>
  <si>
    <t>PK10B224670</t>
  </si>
  <si>
    <t>A1J310PK10124683</t>
  </si>
  <si>
    <t>543089</t>
  </si>
  <si>
    <t>50230/1</t>
  </si>
  <si>
    <t>KHI/HO/D/MO/PC COMP/C/103764/83/12/2024</t>
  </si>
  <si>
    <t>MUHAMMAD ASIF RAZA</t>
  </si>
  <si>
    <t>AGJ-413</t>
  </si>
  <si>
    <t>10125239</t>
  </si>
  <si>
    <t>537464</t>
  </si>
  <si>
    <t>50251/1</t>
  </si>
  <si>
    <t>KHI/HO/D/MO/PC COMP/C/103764/104/12/2024</t>
  </si>
  <si>
    <t>MUHAMMAD ABID SADIQ</t>
  </si>
  <si>
    <t>SUZUKI WAGON R VXL</t>
  </si>
  <si>
    <t>AGD-524</t>
  </si>
  <si>
    <t>PK10B225369</t>
  </si>
  <si>
    <t>PK10125366</t>
  </si>
  <si>
    <t>545261</t>
  </si>
  <si>
    <t>50703/1</t>
  </si>
  <si>
    <t>KHI/HO/D/MO/PC COMP/C/103764/129/12/2024</t>
  </si>
  <si>
    <t>MUHAMMAD   IFTIKHAR</t>
  </si>
  <si>
    <t>AGQ-343</t>
  </si>
  <si>
    <t>10126782</t>
  </si>
  <si>
    <t>542431</t>
  </si>
  <si>
    <t>45377/1</t>
  </si>
  <si>
    <t>KHI/HO/D/MO/PC COMP/C/103764/152/12/2024</t>
  </si>
  <si>
    <t>MUKARRAM  ZAIB</t>
  </si>
  <si>
    <t>SUZUKI ALTO VXL AGS E-2</t>
  </si>
  <si>
    <t>ABM-836</t>
  </si>
  <si>
    <t>1047908</t>
  </si>
  <si>
    <t>515224</t>
  </si>
  <si>
    <t>45380/1</t>
  </si>
  <si>
    <t>KHI/HO/D/MO/PC COMP/C/103764/154/12/2024</t>
  </si>
  <si>
    <t>AURANGZEB  ABID</t>
  </si>
  <si>
    <t>ABH-996</t>
  </si>
  <si>
    <t>1047245</t>
  </si>
  <si>
    <t>513981</t>
  </si>
  <si>
    <t>45586/1</t>
  </si>
  <si>
    <t>KHI/HO/D/MO/PC COMP/C/103764/149/12/2024</t>
  </si>
  <si>
    <t>MUHAMMAD  WASIF</t>
  </si>
  <si>
    <t>ABL-141</t>
  </si>
  <si>
    <t>10106049</t>
  </si>
  <si>
    <t>515316</t>
  </si>
  <si>
    <t>53049/1</t>
  </si>
  <si>
    <t>KHI/HO/D/MO/PC COMP/C/103764/86/12/2024</t>
  </si>
  <si>
    <t>MUHAMMAD  SHAKEEL</t>
  </si>
  <si>
    <t>LE-19-6108</t>
  </si>
  <si>
    <t>10077739</t>
  </si>
  <si>
    <t>558096</t>
  </si>
  <si>
    <t>61962/1</t>
  </si>
  <si>
    <t>KHI/HO/D/MO/PC COMP/C/103764/73/12/2024</t>
  </si>
  <si>
    <t>MUHAMMAD  BILAL</t>
  </si>
  <si>
    <t>ABB-711</t>
  </si>
  <si>
    <t>B208239</t>
  </si>
  <si>
    <t>K10108239</t>
  </si>
  <si>
    <t>594818</t>
  </si>
  <si>
    <t>45594/1</t>
  </si>
  <si>
    <t>KHI/HO/D/MO/PC COMP/C/103764/153/12/2024</t>
  </si>
  <si>
    <t>ARSHAD  HUSSAIN</t>
  </si>
  <si>
    <t>ABQ-466</t>
  </si>
  <si>
    <t>10108525</t>
  </si>
  <si>
    <t>0567</t>
  </si>
  <si>
    <t>515947</t>
  </si>
  <si>
    <t>53459/1</t>
  </si>
  <si>
    <t>KHI/HO/D/MO/PC COMP/C/103764/81/12/2024</t>
  </si>
  <si>
    <t>HEZKIEL HAFEEZ DANIEL</t>
  </si>
  <si>
    <t>SUZUKI CULTUS</t>
  </si>
  <si>
    <t>LED-17-297</t>
  </si>
  <si>
    <t>PK10K100897</t>
  </si>
  <si>
    <t>H0000898</t>
  </si>
  <si>
    <t>558794</t>
  </si>
  <si>
    <t>58005/1</t>
  </si>
  <si>
    <t>KHI/HO/D/MO/PC COMP/C/103764/43/12/2024</t>
  </si>
  <si>
    <t>ABU  BAKAR</t>
  </si>
  <si>
    <t>AMM-371</t>
  </si>
  <si>
    <t>6R261550</t>
  </si>
  <si>
    <t>1161471</t>
  </si>
  <si>
    <t>0339</t>
  </si>
  <si>
    <t>578855</t>
  </si>
  <si>
    <t>57982/1</t>
  </si>
  <si>
    <t>KHI/HO/D/MO/PC COMP/C/103764/79/12/2024</t>
  </si>
  <si>
    <t>CHAUDHARY CHAN MEHMOOD</t>
  </si>
  <si>
    <t>BAY-966</t>
  </si>
  <si>
    <t>1161282</t>
  </si>
  <si>
    <t>576650</t>
  </si>
  <si>
    <t>58178/1</t>
  </si>
  <si>
    <t>KHI/HO/D/MO/PC COMP/C/103764/39/12/2024</t>
  </si>
  <si>
    <t>GHULAM   ABBAS</t>
  </si>
  <si>
    <t>AMR-474</t>
  </si>
  <si>
    <t>1163142</t>
  </si>
  <si>
    <t>578352</t>
  </si>
  <si>
    <t>58345/2</t>
  </si>
  <si>
    <t>KHI/HO/D/MO/PC COMP/C/103764/64/12/2024</t>
  </si>
  <si>
    <t>MUHAMMAD  ZUBAIR</t>
  </si>
  <si>
    <t>AMZ-445</t>
  </si>
  <si>
    <t>6R263222</t>
  </si>
  <si>
    <t>1163224</t>
  </si>
  <si>
    <t>576354</t>
  </si>
  <si>
    <t>53447/1</t>
  </si>
  <si>
    <t>KHI/HO/D/MO/PC COMP/C/103764/116/12/2024</t>
  </si>
  <si>
    <t>KHIZAR  HAYAT</t>
  </si>
  <si>
    <t>AFD-619</t>
  </si>
  <si>
    <t>1005912</t>
  </si>
  <si>
    <t>392166</t>
  </si>
  <si>
    <t>61836/1</t>
  </si>
  <si>
    <t>KHI/HO/D/MO/PC COMP/C/103764/62/12/2024</t>
  </si>
  <si>
    <t>SYED TAYYAR  ALI</t>
  </si>
  <si>
    <t>LE-19-5649</t>
  </si>
  <si>
    <t>10075059</t>
  </si>
  <si>
    <t>591719</t>
  </si>
  <si>
    <t>61933/1</t>
  </si>
  <si>
    <t>KHI/HO/D/MO/PC COMP/C/103764/72/12/2024</t>
  </si>
  <si>
    <t>MUHAMMAD  ALI</t>
  </si>
  <si>
    <t>SUZUKI CULTUS VXL EURO II</t>
  </si>
  <si>
    <t>LEC-19-6164</t>
  </si>
  <si>
    <t>PK10K140688</t>
  </si>
  <si>
    <t>NF1AVK31H10040689</t>
  </si>
  <si>
    <t>594016</t>
  </si>
  <si>
    <t>53118/1</t>
  </si>
  <si>
    <t>KHI/HO/D/MO/PC COMP/C/103764/91/12/2024</t>
  </si>
  <si>
    <t>SAFYAN   AMJAD</t>
  </si>
  <si>
    <t>AGY-273</t>
  </si>
  <si>
    <t>10125794</t>
  </si>
  <si>
    <t>0551</t>
  </si>
  <si>
    <t>511844</t>
  </si>
  <si>
    <t>53170/1</t>
  </si>
  <si>
    <t>KHI/HO/D/MO/PC COMP/C/103764/97/12/2024</t>
  </si>
  <si>
    <t>GHULAM MOHIUDIN AKRAM</t>
  </si>
  <si>
    <t>AHJ-122</t>
  </si>
  <si>
    <t>10125818</t>
  </si>
  <si>
    <t>445576</t>
  </si>
  <si>
    <t>53144/1</t>
  </si>
  <si>
    <t>KHI/HO/D/MO/PC COMP/C/103764/98/12/2024</t>
  </si>
  <si>
    <t>MIRZA NAEEM BAIG</t>
  </si>
  <si>
    <t>AGR-872</t>
  </si>
  <si>
    <t>10124450</t>
  </si>
  <si>
    <t>355623</t>
  </si>
  <si>
    <t>53188/1</t>
  </si>
  <si>
    <t>KHI/HO/D/MO/PC COMP/C/103764/100/12/2024</t>
  </si>
  <si>
    <t>SADAQAT  ALI</t>
  </si>
  <si>
    <t>AGK-979</t>
  </si>
  <si>
    <t>10124578</t>
  </si>
  <si>
    <t>557759</t>
  </si>
  <si>
    <t>53267/1</t>
  </si>
  <si>
    <t>KHI/HO/D/MO/PC COMP/C/103764/101/12/2024</t>
  </si>
  <si>
    <t>JAVED  YOUSAF</t>
  </si>
  <si>
    <t>AGT-104</t>
  </si>
  <si>
    <t>10125784</t>
  </si>
  <si>
    <t>0312</t>
  </si>
  <si>
    <t>536066</t>
  </si>
  <si>
    <t>53349/1</t>
  </si>
  <si>
    <t>KHI/HO/D/MO/PC COMP/C/103764/103/12/2024</t>
  </si>
  <si>
    <t>NISHAN  ALI</t>
  </si>
  <si>
    <t>AHC-871</t>
  </si>
  <si>
    <t>10125734</t>
  </si>
  <si>
    <t>555239</t>
  </si>
  <si>
    <t>53615/1</t>
  </si>
  <si>
    <t>KHI/HO/D/MO/PC COMP/C/103764/126/12/2024</t>
  </si>
  <si>
    <t>MALIK SHOAIB SHAHBAZ</t>
  </si>
  <si>
    <t>AHE-528</t>
  </si>
  <si>
    <t>PK10B225913</t>
  </si>
  <si>
    <t>PK10125900</t>
  </si>
  <si>
    <t>0431</t>
  </si>
  <si>
    <t>558062</t>
  </si>
  <si>
    <t>45583/1</t>
  </si>
  <si>
    <t>KHI/HO/D/MO/PC COMP/C/103764/148/12/2024</t>
  </si>
  <si>
    <t>HAFIZ MUHAMMAD WAQAR AKRAM</t>
  </si>
  <si>
    <t>ABQ-327</t>
  </si>
  <si>
    <t>10108858</t>
  </si>
  <si>
    <t>517645</t>
  </si>
  <si>
    <t>68618/1</t>
  </si>
  <si>
    <t>KHI/HO/D/MO/PC COMP/C/103764/24/12/2024</t>
  </si>
  <si>
    <t>FEROZ   KHAN</t>
  </si>
  <si>
    <t>BQU-580</t>
  </si>
  <si>
    <t>6R111247</t>
  </si>
  <si>
    <t>H1011005</t>
  </si>
  <si>
    <t>632665</t>
  </si>
  <si>
    <t>57390/1</t>
  </si>
  <si>
    <t>KHI/HO/D/MO/PC COMP/C/103764/34/12/2024</t>
  </si>
  <si>
    <t>GULZAR  ALI</t>
  </si>
  <si>
    <t>BXZ-355</t>
  </si>
  <si>
    <t>R 261796</t>
  </si>
  <si>
    <t>1161803</t>
  </si>
  <si>
    <t>575804</t>
  </si>
  <si>
    <t>57427/1</t>
  </si>
  <si>
    <t>KHI/HO/D/MO/PC COMP/C/103764/44/12/2024</t>
  </si>
  <si>
    <t>NASIR  MEHMOOD</t>
  </si>
  <si>
    <t>AMR-485</t>
  </si>
  <si>
    <t>1163233</t>
  </si>
  <si>
    <t>0306</t>
  </si>
  <si>
    <t>549949</t>
  </si>
  <si>
    <t>57484/1</t>
  </si>
  <si>
    <t>KHI/HO/D/MO/PC COMP/C/103764/47/12/2024</t>
  </si>
  <si>
    <t>MUHAMMAD   TANVEER</t>
  </si>
  <si>
    <t>BYG-307</t>
  </si>
  <si>
    <t>1163725</t>
  </si>
  <si>
    <t>0150</t>
  </si>
  <si>
    <t>367479</t>
  </si>
  <si>
    <t>58055/1</t>
  </si>
  <si>
    <t>KHI/HO/D/MO/PC COMP/C/103764/48/12/2024</t>
  </si>
  <si>
    <t>ALI   ZULFIQAR</t>
  </si>
  <si>
    <t>SUZUKI ALTO VXL AGS</t>
  </si>
  <si>
    <t>ANQ-576</t>
  </si>
  <si>
    <t>1163311</t>
  </si>
  <si>
    <t>393555</t>
  </si>
  <si>
    <t>56131/1</t>
  </si>
  <si>
    <t>KHI/HO/D/MO/PC COMP/C/103764/65/12/2024</t>
  </si>
  <si>
    <t>MASAB HUSSAIN SHAH</t>
  </si>
  <si>
    <t>SUZUKI ALTO VXL</t>
  </si>
  <si>
    <t>AMT-554</t>
  </si>
  <si>
    <t>1161816</t>
  </si>
  <si>
    <t>565039</t>
  </si>
  <si>
    <t>45352/1</t>
  </si>
  <si>
    <t>KHI/HO/D/MO/PC COMP/C/103764/151/12/2024</t>
  </si>
  <si>
    <t>SHAHZAD  -</t>
  </si>
  <si>
    <t>ABK-758</t>
  </si>
  <si>
    <t>10065406</t>
  </si>
  <si>
    <t>514773</t>
  </si>
  <si>
    <t>61446/1</t>
  </si>
  <si>
    <t>KHI/HO/D/MO/PC COMP/C/103764/77/12/2024</t>
  </si>
  <si>
    <t>DILSHAD  ALI</t>
  </si>
  <si>
    <t>ALU-139</t>
  </si>
  <si>
    <t>6R221168</t>
  </si>
  <si>
    <t>NF1AET306H1121181</t>
  </si>
  <si>
    <t>0421</t>
  </si>
  <si>
    <t>308674</t>
  </si>
  <si>
    <t>61951/1</t>
  </si>
  <si>
    <t>KHI/HO/D/MO/PC COMP/C/103764/75/12/2024</t>
  </si>
  <si>
    <t>NOOR UL HUDA</t>
  </si>
  <si>
    <t>AND-917</t>
  </si>
  <si>
    <t>1167202</t>
  </si>
  <si>
    <t>595833</t>
  </si>
  <si>
    <t>68884/1</t>
  </si>
  <si>
    <t>KHI/HO/D/MO/PC COMP/C/103764/33/12/2024</t>
  </si>
  <si>
    <t>ADB-390</t>
  </si>
  <si>
    <t>6R148460</t>
  </si>
  <si>
    <t>H1048471</t>
  </si>
  <si>
    <t>633638</t>
  </si>
  <si>
    <t>53336/1</t>
  </si>
  <si>
    <t>KHI/HO/D/MO/PC COMP/C/103764/106/12/2024</t>
  </si>
  <si>
    <t>NASEEM ABBAS BHATTI</t>
  </si>
  <si>
    <t>ABD-733</t>
  </si>
  <si>
    <t>10064942</t>
  </si>
  <si>
    <t>0555</t>
  </si>
  <si>
    <t>556548</t>
  </si>
  <si>
    <t>45500/1</t>
  </si>
  <si>
    <t>KHI/HO/D/MO/PC COMP/C/103764/137/12/2024</t>
  </si>
  <si>
    <t>ZAHID  ALI</t>
  </si>
  <si>
    <t>HONDA CITY I-VTEC (M/T)</t>
  </si>
  <si>
    <t>LEA-16-7327</t>
  </si>
  <si>
    <t>L13Z17435512</t>
  </si>
  <si>
    <t>NFBGM1544FR174818</t>
  </si>
  <si>
    <t>516205</t>
  </si>
  <si>
    <t>69239/1</t>
  </si>
  <si>
    <t>KHI/HO/D/MO/PC COMP/C/103764/25/12/2024</t>
  </si>
  <si>
    <t>EFFAT  PASHA</t>
  </si>
  <si>
    <t>LEH-19-3742</t>
  </si>
  <si>
    <t>6R106428</t>
  </si>
  <si>
    <t>1006434</t>
  </si>
  <si>
    <t>593571</t>
  </si>
  <si>
    <t>52600/1</t>
  </si>
  <si>
    <t>KHI/HO/D/MO/PC COMP/C/103764/127/12/2024</t>
  </si>
  <si>
    <t>NASEER  AHMED</t>
  </si>
  <si>
    <t>SUZUKI WAGON R VXL AGS</t>
  </si>
  <si>
    <t>AGN-247</t>
  </si>
  <si>
    <t>B226622</t>
  </si>
  <si>
    <t>10126617</t>
  </si>
  <si>
    <t>0432</t>
  </si>
  <si>
    <t>423307</t>
  </si>
  <si>
    <t>68407/1</t>
  </si>
  <si>
    <t>KHI/HO/D/MO/PC COMP/C/103764/30/12/2024</t>
  </si>
  <si>
    <t>NAVEED   NISAR</t>
  </si>
  <si>
    <t>APW-427</t>
  </si>
  <si>
    <t>R118700</t>
  </si>
  <si>
    <t>H1018668</t>
  </si>
  <si>
    <t>632039</t>
  </si>
  <si>
    <t>53149/1</t>
  </si>
  <si>
    <t>KHI/HO/D/MO/PC COMP/C/103764/96/12/2024</t>
  </si>
  <si>
    <t>MUHAMMAD  AFZAL</t>
  </si>
  <si>
    <t>SUZUKI CULTUS VXL</t>
  </si>
  <si>
    <t>AWG-448</t>
  </si>
  <si>
    <t>10090188</t>
  </si>
  <si>
    <t>556898</t>
  </si>
  <si>
    <t>53743/1</t>
  </si>
  <si>
    <t>KHI/HO/D/MO/PC COMP/C/103764/133/12/2024</t>
  </si>
  <si>
    <t>AHSAN AMAN ULLAH</t>
  </si>
  <si>
    <t>AHE-825</t>
  </si>
  <si>
    <t>1009083</t>
  </si>
  <si>
    <t>557734</t>
  </si>
  <si>
    <t>61692/1</t>
  </si>
  <si>
    <t>KHI/HO/D/MO/PC COMP/C/103764/50/12/2024</t>
  </si>
  <si>
    <t>ALI   HAMZA</t>
  </si>
  <si>
    <t>BBA-983</t>
  </si>
  <si>
    <t>1159713</t>
  </si>
  <si>
    <t>590907</t>
  </si>
  <si>
    <t>61918/1</t>
  </si>
  <si>
    <t>KHI/HO/D/MO/PC COMP/C/103764/74/12/2024</t>
  </si>
  <si>
    <t>LARAIB   CHAUDHRY</t>
  </si>
  <si>
    <t>BBF-106</t>
  </si>
  <si>
    <t>1155839</t>
  </si>
  <si>
    <t>596148</t>
  </si>
  <si>
    <t>61943/1</t>
  </si>
  <si>
    <t>KHI/HO/D/MO/PC COMP/C/103764/76/12/2024</t>
  </si>
  <si>
    <t>TARIQ   MEHMOOD</t>
  </si>
  <si>
    <t>AFR</t>
  </si>
  <si>
    <t>1168324</t>
  </si>
  <si>
    <t>595766</t>
  </si>
  <si>
    <t>53648/1</t>
  </si>
  <si>
    <t>KHI/HO/D/MO/PC COMP/C/103764/131/12/2024</t>
  </si>
  <si>
    <t>SHAN  ELAHI</t>
  </si>
  <si>
    <t>AHF-940</t>
  </si>
  <si>
    <t>10090682</t>
  </si>
  <si>
    <t>561132</t>
  </si>
  <si>
    <t>51327/1</t>
  </si>
  <si>
    <t>KHI/HO/D/MO/PC COMP/C/103764/95/12/2024</t>
  </si>
  <si>
    <t>WAQAS  HUSSAIN</t>
  </si>
  <si>
    <t>TOYOTA YARIS GLI MT</t>
  </si>
  <si>
    <t>AGN-338</t>
  </si>
  <si>
    <t>2A42401</t>
  </si>
  <si>
    <t>7026621</t>
  </si>
  <si>
    <t>542678</t>
  </si>
  <si>
    <t>61751/1</t>
  </si>
  <si>
    <t>KHI/HO/D/MO/PC COMP/C/103764/52/12/2024</t>
  </si>
  <si>
    <t>ARSHAD LATIF SIDDIQUE</t>
  </si>
  <si>
    <t>KIA PICANTO 1.0L A/T</t>
  </si>
  <si>
    <t>ASH-157</t>
  </si>
  <si>
    <t>704135</t>
  </si>
  <si>
    <t>479727</t>
  </si>
  <si>
    <t>68893/1</t>
  </si>
  <si>
    <t>KHI/HO/D/MO/PC COMP/C/103764/32/12/2024</t>
  </si>
  <si>
    <t>MUHAMMAD ASHRAF BHUTTA</t>
  </si>
  <si>
    <t>ANF-953</t>
  </si>
  <si>
    <t>1015662</t>
  </si>
  <si>
    <t>437307</t>
  </si>
  <si>
    <t>53573/1</t>
  </si>
  <si>
    <t>KHI/HO/D/MO/PC COMP/C/103764/125/12/2024</t>
  </si>
  <si>
    <t>MUHAMMAD  ATIF</t>
  </si>
  <si>
    <t>LEC-18A-311</t>
  </si>
  <si>
    <t>L13Z17518392</t>
  </si>
  <si>
    <t>JR233657</t>
  </si>
  <si>
    <t>558607</t>
  </si>
  <si>
    <t>45571/1</t>
  </si>
  <si>
    <t>KHI/HO/D/MO/PC COMP/C/103764/143/12/2024</t>
  </si>
  <si>
    <t>SYED M MUBEEN SHAHZAD BUKHARI</t>
  </si>
  <si>
    <t>HONDA CIVIC VTI  ORIEL PT</t>
  </si>
  <si>
    <t>LEE-15-4650</t>
  </si>
  <si>
    <t>126720</t>
  </si>
  <si>
    <t>393594</t>
  </si>
  <si>
    <t>61801/1</t>
  </si>
  <si>
    <t>KHI/HO/D/MO/PC COMP/C/103764/46/12/2024</t>
  </si>
  <si>
    <t>RIZWAN  ALEEM</t>
  </si>
  <si>
    <t>ANF-376</t>
  </si>
  <si>
    <t>10139763</t>
  </si>
  <si>
    <t>578497</t>
  </si>
  <si>
    <t>61807/2</t>
  </si>
  <si>
    <t>KHI/HO/D/MO/PC COMP/C/103764/57/12/2024</t>
  </si>
  <si>
    <t>MUHAMMAD QASIM UMAR KHAN</t>
  </si>
  <si>
    <t>BBD-931</t>
  </si>
  <si>
    <t>10143100</t>
  </si>
  <si>
    <t>595186</t>
  </si>
  <si>
    <t>53302/1</t>
  </si>
  <si>
    <t>KHI/HO/D/MO/PC COMP/C/103764/108/12/2024</t>
  </si>
  <si>
    <t>MANNAN ATIQ SHEIKH</t>
  </si>
  <si>
    <t>CHANGAN ALSVIN LUMEIRE</t>
  </si>
  <si>
    <t>AGF-204</t>
  </si>
  <si>
    <t>1003892</t>
  </si>
  <si>
    <t>554811</t>
  </si>
  <si>
    <t>68526/1</t>
  </si>
  <si>
    <t>KHI/HO/D/MO/PC COMP/C/103764/10/12/2024</t>
  </si>
  <si>
    <t>MUHAMMAD  SHOAIB</t>
  </si>
  <si>
    <t>ABR-656</t>
  </si>
  <si>
    <t>P072517</t>
  </si>
  <si>
    <t>KP703837</t>
  </si>
  <si>
    <t>632382</t>
  </si>
  <si>
    <t>68602/1</t>
  </si>
  <si>
    <t>KHI/HO/D/MO/PC COMP/C/103764/9/12/2024</t>
  </si>
  <si>
    <t>HABIB UR REHMAN</t>
  </si>
  <si>
    <t>BDB-172</t>
  </si>
  <si>
    <t>R289570</t>
  </si>
  <si>
    <t>H1189586</t>
  </si>
  <si>
    <t>337641</t>
  </si>
  <si>
    <t>68996/2</t>
  </si>
  <si>
    <t>KHI/HO/D/MO/PC COMP/C/103764/12/12/2024</t>
  </si>
  <si>
    <t>FAISAL  .</t>
  </si>
  <si>
    <t>BZH-314</t>
  </si>
  <si>
    <t>1192048</t>
  </si>
  <si>
    <t>634093</t>
  </si>
  <si>
    <t>69148/1</t>
  </si>
  <si>
    <t>KHI/HO/D/MO/PC COMP/C/103764/16/12/2024</t>
  </si>
  <si>
    <t>SHAKEEL  SHOUKAT</t>
  </si>
  <si>
    <t>ARM-161</t>
  </si>
  <si>
    <t>6R291379</t>
  </si>
  <si>
    <t>NF1AET306H1191470</t>
  </si>
  <si>
    <t>634882</t>
  </si>
  <si>
    <t>43916/1</t>
  </si>
  <si>
    <t>KHI/HO/D/MO/PC COMP/C/103764/136/12/2024</t>
  </si>
  <si>
    <t>HUMA   NOREEN</t>
  </si>
  <si>
    <t>ABF-446</t>
  </si>
  <si>
    <t>L13Z17542837</t>
  </si>
  <si>
    <t>LR266459</t>
  </si>
  <si>
    <t>505165</t>
  </si>
  <si>
    <t>50925/1</t>
  </si>
  <si>
    <t>KHI/HO/D/MO/PC COMP/C/103764/89/12/2024</t>
  </si>
  <si>
    <t>SAMEER   SHAMIM</t>
  </si>
  <si>
    <t>TOYOTA YARIS ATIV MT 1.3</t>
  </si>
  <si>
    <t>BVE-844</t>
  </si>
  <si>
    <t>7025801</t>
  </si>
  <si>
    <t>546110</t>
  </si>
  <si>
    <t>69161/1</t>
  </si>
  <si>
    <t>KHI/HO/D/MO/PC COMP/C/103764/31/12/2024</t>
  </si>
  <si>
    <t>USMAN  SOHAIL</t>
  </si>
  <si>
    <t>AST-346</t>
  </si>
  <si>
    <t>1049426</t>
  </si>
  <si>
    <t>626254</t>
  </si>
  <si>
    <t>50504/1</t>
  </si>
  <si>
    <t>KHI/HO/D/MO/PC COMP/C/103764/111/12/2024</t>
  </si>
  <si>
    <t>AMIR  ALI</t>
  </si>
  <si>
    <t>TOYOTA YARIS ATIV X CVT 1</t>
  </si>
  <si>
    <t>AGA-459</t>
  </si>
  <si>
    <t>2A41682</t>
  </si>
  <si>
    <t>7026172</t>
  </si>
  <si>
    <t>544044</t>
  </si>
  <si>
    <t>53324/1</t>
  </si>
  <si>
    <t>KHI/HO/D/MO/PC COMP/C/103764/105/12/2024</t>
  </si>
  <si>
    <t>ZOHAIB  BASHIR</t>
  </si>
  <si>
    <t>TOYOTA YARIS 1.3 H CVT</t>
  </si>
  <si>
    <t>AGK-421</t>
  </si>
  <si>
    <t>2A29222</t>
  </si>
  <si>
    <t>NSP150R-7017923</t>
  </si>
  <si>
    <t>552297</t>
  </si>
  <si>
    <t>51144/1</t>
  </si>
  <si>
    <t>KHI/HO/D/MO/PC COMP/C/103764/107/12/2024</t>
  </si>
  <si>
    <t>ASGHAR  ALI</t>
  </si>
  <si>
    <t>AGK-985</t>
  </si>
  <si>
    <t>2A42744</t>
  </si>
  <si>
    <t>7026745</t>
  </si>
  <si>
    <t>0322</t>
  </si>
  <si>
    <t>544227</t>
  </si>
  <si>
    <t>43783/1</t>
  </si>
  <si>
    <t>KHI/HO/D/MO/PC COMP/C/103764/150/12/2024</t>
  </si>
  <si>
    <t>MUHAMMAD  ZEESHAN</t>
  </si>
  <si>
    <t>TOYOTA YARIS ATIV X CVT</t>
  </si>
  <si>
    <t>ASE-613</t>
  </si>
  <si>
    <t>2A14400</t>
  </si>
  <si>
    <t>7008516</t>
  </si>
  <si>
    <t>505069</t>
  </si>
  <si>
    <t>57644/1</t>
  </si>
  <si>
    <t>KHI/HO/D/MO/PC COMP/C/103764/51/12/2024</t>
  </si>
  <si>
    <t>SALEEM  AKHTAR</t>
  </si>
  <si>
    <t>SUZUKI CULTUS AGS</t>
  </si>
  <si>
    <t>AMS-574</t>
  </si>
  <si>
    <t>10103495</t>
  </si>
  <si>
    <t>556199</t>
  </si>
  <si>
    <t>69183/1</t>
  </si>
  <si>
    <t>KHI/HO/D/MO/PC COMP/C/103764/6/12/2024</t>
  </si>
  <si>
    <t>SHAHENA  JABEEN</t>
  </si>
  <si>
    <t>SUZUKI SWIFT DLX EURO II</t>
  </si>
  <si>
    <t>LEH-19-4196</t>
  </si>
  <si>
    <t>10047386</t>
  </si>
  <si>
    <t>632268</t>
  </si>
  <si>
    <t>53134/1</t>
  </si>
  <si>
    <t>KHI/HO/D/MO/PC COMP/C/103764/93/12/2024</t>
  </si>
  <si>
    <t>SYED IFTIKHAR  ALI</t>
  </si>
  <si>
    <t>AGN-120</t>
  </si>
  <si>
    <t>1005143</t>
  </si>
  <si>
    <t>559293</t>
  </si>
  <si>
    <t>39924/1</t>
  </si>
  <si>
    <t>KHI/HO/D/MO/PC COMP/C/103764/158/12/2024</t>
  </si>
  <si>
    <t>NAEEM  ABBAS</t>
  </si>
  <si>
    <t>TOYOTA COROLLA GLI M/T 1.</t>
  </si>
  <si>
    <t>LE-19-8712</t>
  </si>
  <si>
    <t>Z572053</t>
  </si>
  <si>
    <t>4197359</t>
  </si>
  <si>
    <t>0318</t>
  </si>
  <si>
    <t>69882</t>
  </si>
  <si>
    <t>67592/1</t>
  </si>
  <si>
    <t>KHI/HO/D/MO/PC COMP/C/103764/1/12/2024</t>
  </si>
  <si>
    <t>MUHAMMAD  BOOTA</t>
  </si>
  <si>
    <t>AQG-113</t>
  </si>
  <si>
    <t>1188306</t>
  </si>
  <si>
    <t>522623</t>
  </si>
  <si>
    <t>60178/1</t>
  </si>
  <si>
    <t>KHI/HO/D/MO/PC COMP/C/103764/49/12/2024</t>
  </si>
  <si>
    <t>ABDUL  SATTAR</t>
  </si>
  <si>
    <t>ANA-581</t>
  </si>
  <si>
    <t>10103872</t>
  </si>
  <si>
    <t>0569</t>
  </si>
  <si>
    <t>199716</t>
  </si>
  <si>
    <t>68518/1</t>
  </si>
  <si>
    <t>KHI/HO/D/MO/PC COMP/C/103764/2/12/2024</t>
  </si>
  <si>
    <t>ALI NAWAZ SAKHI</t>
  </si>
  <si>
    <t>HONDA CITY ASPIRE CVT PT</t>
  </si>
  <si>
    <t>LEF-17-6996</t>
  </si>
  <si>
    <t>HR205768</t>
  </si>
  <si>
    <t>632389</t>
  </si>
  <si>
    <t>61863/2</t>
  </si>
  <si>
    <t>KHI/HO/D/MO/PC COMP/C/103764/70/12/2024</t>
  </si>
  <si>
    <t>NAVAID  ISHTIAQ</t>
  </si>
  <si>
    <t>SUZUKI CULTUS VXL AGS</t>
  </si>
  <si>
    <t>BYK-337</t>
  </si>
  <si>
    <t>10104763</t>
  </si>
  <si>
    <t>583261</t>
  </si>
  <si>
    <t>58280/1</t>
  </si>
  <si>
    <t>KHI/HO/D/MO/PC COMP/C/103764/69/12/2024</t>
  </si>
  <si>
    <t>TARIQ  MEHMOOD</t>
  </si>
  <si>
    <t>SUZUKI Swift GLX CVT</t>
  </si>
  <si>
    <t>ANP-551</t>
  </si>
  <si>
    <t>NF1SZC63S00111951</t>
  </si>
  <si>
    <t>K12MR1011980</t>
  </si>
  <si>
    <t>506661</t>
  </si>
  <si>
    <t>61743/1</t>
  </si>
  <si>
    <t>KHI/HO/D/MO/PC COMP/C/103764/54/12/2024</t>
  </si>
  <si>
    <t>FAYZAN   ASHRAF</t>
  </si>
  <si>
    <t>TOYOTA PRIUS</t>
  </si>
  <si>
    <t>LEE-16-9755</t>
  </si>
  <si>
    <t>JM536765</t>
  </si>
  <si>
    <t>1660557</t>
  </si>
  <si>
    <t>591849</t>
  </si>
  <si>
    <t>53054/1</t>
  </si>
  <si>
    <t>KHI/HO/D/MO/PC COMP/C/103764/88/12/2024</t>
  </si>
  <si>
    <t>SHEIKH MUHAMMAD KASHIF</t>
  </si>
  <si>
    <t>LEA-17A-6246</t>
  </si>
  <si>
    <t>HR025175</t>
  </si>
  <si>
    <t>557730</t>
  </si>
  <si>
    <t>53132/1</t>
  </si>
  <si>
    <t>KHI/HO/D/MO/PC COMP/C/103764/90/12/2024</t>
  </si>
  <si>
    <t>ALI  FAIZAN</t>
  </si>
  <si>
    <t>HONDA CIVIC 1.8 ORIEL CVT</t>
  </si>
  <si>
    <t>LEH-18-4071</t>
  </si>
  <si>
    <t>R18Z12930814</t>
  </si>
  <si>
    <t>JR034295</t>
  </si>
  <si>
    <t>552280</t>
  </si>
  <si>
    <t>53124/1</t>
  </si>
  <si>
    <t>KHI/HO/D/MO/PC COMP/C/103764/92/12/2024</t>
  </si>
  <si>
    <t>MUMTAZ   HUSSAIN</t>
  </si>
  <si>
    <t>ALF-801</t>
  </si>
  <si>
    <t>047384</t>
  </si>
  <si>
    <t>554284</t>
  </si>
  <si>
    <t>69182/1</t>
  </si>
  <si>
    <t>KHI/HO/D/MO/PC COMP/C/103764/17/12/2024</t>
  </si>
  <si>
    <t>AHSAN  MOHYUDDIN</t>
  </si>
  <si>
    <t>TOYOTA COROLLA GLI 1.3 A/</t>
  </si>
  <si>
    <t>LEE-17-4841</t>
  </si>
  <si>
    <t>Z494207</t>
  </si>
  <si>
    <t>R4119156</t>
  </si>
  <si>
    <t>333194</t>
  </si>
  <si>
    <t>61919/1</t>
  </si>
  <si>
    <t>KHI/HO/D/MO/PC COMP/C/103764/71/12/2024</t>
  </si>
  <si>
    <t>RANA  WASEEM HUSSAIN</t>
  </si>
  <si>
    <t>TOYOTA COROLLA ALTIS  1.6</t>
  </si>
  <si>
    <t>LE-17A-4538</t>
  </si>
  <si>
    <t>Q325225</t>
  </si>
  <si>
    <t>R7024321</t>
  </si>
  <si>
    <t>594854</t>
  </si>
  <si>
    <t>61732/1</t>
  </si>
  <si>
    <t>KHI/HO/D/MO/PC COMP/C/103764/58/12/2024</t>
  </si>
  <si>
    <t>MOHSIN  .</t>
  </si>
  <si>
    <t>BYE-247</t>
  </si>
  <si>
    <t>112912</t>
  </si>
  <si>
    <t>580539</t>
  </si>
  <si>
    <t>45522/1</t>
  </si>
  <si>
    <t>KHI/HO/D/MO/PC COMP/C/103764/138/12/2024</t>
  </si>
  <si>
    <t>SHAHBAZ MOHY UD DIN</t>
  </si>
  <si>
    <t>HONDA VEZEL HYBRID A/T.</t>
  </si>
  <si>
    <t>LEC-17-8684</t>
  </si>
  <si>
    <t>31124484</t>
  </si>
  <si>
    <t>516627</t>
  </si>
  <si>
    <t>58383/1</t>
  </si>
  <si>
    <t>KHI/HO/D/MO/PC COMP/C/103764/80/12/2024</t>
  </si>
  <si>
    <t>EJAZ  AHMAD</t>
  </si>
  <si>
    <t>HONDA CITY 1.2  LS CVT</t>
  </si>
  <si>
    <t>AHH-444</t>
  </si>
  <si>
    <t>NR029395</t>
  </si>
  <si>
    <t>578368</t>
  </si>
  <si>
    <t>68513/1</t>
  </si>
  <si>
    <t>KHI/HO/D/MO/PC COMP/C/103764/20/12/2024</t>
  </si>
  <si>
    <t>MUHAMMAD HAMZA TANVEER</t>
  </si>
  <si>
    <t>TOYOTA COROLLA GRANDE</t>
  </si>
  <si>
    <t>LED-17-7781</t>
  </si>
  <si>
    <t>Q322888</t>
  </si>
  <si>
    <t>R7021967</t>
  </si>
  <si>
    <t>632360</t>
  </si>
  <si>
    <t>45526/1</t>
  </si>
  <si>
    <t>KHI/HO/D/MO/PC COMP/C/103764/140/12/2024</t>
  </si>
  <si>
    <t>ARSLAN  ASIF</t>
  </si>
  <si>
    <t>ABH-180</t>
  </si>
  <si>
    <t>068264</t>
  </si>
  <si>
    <t>517197</t>
  </si>
  <si>
    <t>68953/1</t>
  </si>
  <si>
    <t>KHI/HO/D/MO/PC COMP/C/103764/15/12/2024</t>
  </si>
  <si>
    <t>AYAZ  AHMED</t>
  </si>
  <si>
    <t>BJD-597</t>
  </si>
  <si>
    <t>015036</t>
  </si>
  <si>
    <t>583169</t>
  </si>
  <si>
    <t>69140/1</t>
  </si>
  <si>
    <t>KHI/HO/D/MO/PC COMP/C/103764/26/12/2024</t>
  </si>
  <si>
    <t>SAJID  ALI</t>
  </si>
  <si>
    <t>HONDA Civic CVT Oriel NAV</t>
  </si>
  <si>
    <t>BLW-611</t>
  </si>
  <si>
    <t>031460</t>
  </si>
  <si>
    <t>334548</t>
  </si>
  <si>
    <t>61030/1</t>
  </si>
  <si>
    <t>KHI/HO/D/MO/PC COMP/C/103764/67/12/2024</t>
  </si>
  <si>
    <t>MUHAMMAD  JAVED KHALID</t>
  </si>
  <si>
    <t>TOYOTA Yaris ATIV X 1.5 (</t>
  </si>
  <si>
    <t>AMU-547</t>
  </si>
  <si>
    <t>9521535</t>
  </si>
  <si>
    <t>578635</t>
  </si>
  <si>
    <t>53067/1</t>
  </si>
  <si>
    <t>KHI/HO/D/MO/PC COMP/C/103764/85/12/2024</t>
  </si>
  <si>
    <t>MUHAMMAD  BASHIR</t>
  </si>
  <si>
    <t>PRINCE GLORY 580 PRO TURB</t>
  </si>
  <si>
    <t>AHM-801</t>
  </si>
  <si>
    <t>21K2474</t>
  </si>
  <si>
    <t>556784</t>
  </si>
  <si>
    <t>69308/1</t>
  </si>
  <si>
    <t>KHI/HO/D/MO/PC COMP/C/103764/13/12/2024</t>
  </si>
  <si>
    <t>HAFIZ MUHAMMAD BILAL</t>
  </si>
  <si>
    <t>TOYOTA COROLLA GLI</t>
  </si>
  <si>
    <t>LEH-18-9980</t>
  </si>
  <si>
    <t>Z527960</t>
  </si>
  <si>
    <t>4153883</t>
  </si>
  <si>
    <t>492209</t>
  </si>
  <si>
    <t>47729/1</t>
  </si>
  <si>
    <t>KHI/HO/D/MO/PC COMP/C/103764/84/12/2024</t>
  </si>
  <si>
    <t>MUHAMMAD  ZAID AFTAB</t>
  </si>
  <si>
    <t>MG HS MG HS TURBO</t>
  </si>
  <si>
    <t>AWW-410</t>
  </si>
  <si>
    <t>15E4E5MSM200222</t>
  </si>
  <si>
    <t>LSJA24U93MN154</t>
  </si>
  <si>
    <t>525866</t>
  </si>
  <si>
    <t>69038/1</t>
  </si>
  <si>
    <t>KHI/HO/D/MO/PC COMP/C/103764/19/12/2024</t>
  </si>
  <si>
    <t>RASHID  KHAN</t>
  </si>
  <si>
    <t>HONDA CIVIC</t>
  </si>
  <si>
    <t>LEB-19-6108</t>
  </si>
  <si>
    <t>050786</t>
  </si>
  <si>
    <t>631880</t>
  </si>
  <si>
    <t>69390/1</t>
  </si>
  <si>
    <t>KHI/HO/D/MO/PC COMP/C/103764/18/12/2024</t>
  </si>
  <si>
    <t>ZAINAL  ABDIN</t>
  </si>
  <si>
    <t>TOYOTA COROLLA ALTIS VVT-</t>
  </si>
  <si>
    <t>BVN-303</t>
  </si>
  <si>
    <t>Q086351</t>
  </si>
  <si>
    <t>6063832</t>
  </si>
  <si>
    <t>272990</t>
  </si>
  <si>
    <t>67661/1</t>
  </si>
  <si>
    <t>KHI/HO/D/MO/PC COMP/C/103764/5/12/2024</t>
  </si>
  <si>
    <t>GHAZANFAR  ABBAS</t>
  </si>
  <si>
    <t>TOYOTA COROLLA ALTIS CVT</t>
  </si>
  <si>
    <t>ADN-972</t>
  </si>
  <si>
    <t>Q349098</t>
  </si>
  <si>
    <t>R7048265</t>
  </si>
  <si>
    <t>187418</t>
  </si>
  <si>
    <t>53136/1</t>
  </si>
  <si>
    <t>KHI/HO/D/MO/PC COMP/C/103764/128/12/2024</t>
  </si>
  <si>
    <t>EHSAN  GHOUS</t>
  </si>
  <si>
    <t>HONDA CITY M/T</t>
  </si>
  <si>
    <t>AHA-451</t>
  </si>
  <si>
    <t>MR006824</t>
  </si>
  <si>
    <t>556820</t>
  </si>
  <si>
    <t>61468/2</t>
  </si>
  <si>
    <t>KHI/HO/D/MO/PC COMP/C/103764/37/12/2024</t>
  </si>
  <si>
    <t>ILYAS  QURESHI</t>
  </si>
  <si>
    <t>SUZUKI SWIFT A/T</t>
  </si>
  <si>
    <t>BNM-251</t>
  </si>
  <si>
    <t>10043135</t>
  </si>
  <si>
    <t>589124</t>
  </si>
  <si>
    <t>61479/1</t>
  </si>
  <si>
    <t>KHI/HO/D/MO/PC COMP/C/103764/38/12/2024</t>
  </si>
  <si>
    <t>TOYOTA COROLLA ALTIS GRAN</t>
  </si>
  <si>
    <t>AMQ-810</t>
  </si>
  <si>
    <t>Q363721</t>
  </si>
  <si>
    <t>ZRE172R-7062912</t>
  </si>
  <si>
    <t>594325</t>
  </si>
  <si>
    <t>68889/1</t>
  </si>
  <si>
    <t>KHI/HO/D/MO/PC COMP/C/103764/29/12/2024</t>
  </si>
  <si>
    <t>MUHAMMAD TAYYAB LAKHVI</t>
  </si>
  <si>
    <t>LEF-19-8890</t>
  </si>
  <si>
    <t>PK10B197443</t>
  </si>
  <si>
    <t>PK10097547</t>
  </si>
  <si>
    <t>0559</t>
  </si>
  <si>
    <t>551111</t>
  </si>
  <si>
    <t>68603/1</t>
  </si>
  <si>
    <t>KHI/HO/D/MO/PC COMP/C/103764/3/12/2024</t>
  </si>
  <si>
    <t>MUHAMMAD  AKBAR</t>
  </si>
  <si>
    <t>BDE-540</t>
  </si>
  <si>
    <t>10146503</t>
  </si>
  <si>
    <t>572227</t>
  </si>
  <si>
    <t>68489/1</t>
  </si>
  <si>
    <t>KHI/HO/D/MO/PC COMP/C/103764/4/12/2024</t>
  </si>
  <si>
    <t>SYED ABDUL ZAHID SHAH</t>
  </si>
  <si>
    <t>HONDA CITY 1.3 PT</t>
  </si>
  <si>
    <t>LEA-19-8312</t>
  </si>
  <si>
    <t>Z17525610</t>
  </si>
  <si>
    <t>KR243029</t>
  </si>
  <si>
    <t>632262</t>
  </si>
  <si>
    <t>54157/1</t>
  </si>
  <si>
    <t>KHI/HO/D/MO/PC COMP/C/103764/40/12/2024</t>
  </si>
  <si>
    <t>MUHAMMAD NOUMAN BASHARAT</t>
  </si>
  <si>
    <t>AMR-084</t>
  </si>
  <si>
    <t>Q364392</t>
  </si>
  <si>
    <t>7063567</t>
  </si>
  <si>
    <t>0557</t>
  </si>
  <si>
    <t>561299</t>
  </si>
  <si>
    <t>68728/1</t>
  </si>
  <si>
    <t>KHI/HO/D/MO/CV/C/104414/1/12/2024</t>
  </si>
  <si>
    <t>AZHAR  HUSSAIN</t>
  </si>
  <si>
    <t>TAD-406</t>
  </si>
  <si>
    <t>495299</t>
  </si>
  <si>
    <t>559019</t>
  </si>
  <si>
    <t>61703/1</t>
  </si>
  <si>
    <t>KHI/HO/D/MO/PC COMP/C/103764/45/12/2024</t>
  </si>
  <si>
    <t>YOUSAF  AHMAD</t>
  </si>
  <si>
    <t>BAW-79</t>
  </si>
  <si>
    <t>7061779</t>
  </si>
  <si>
    <t>567133</t>
  </si>
  <si>
    <t>68965/1</t>
  </si>
  <si>
    <t>KHI/HO/D/MO/PC COMP/C/103764/7/12/2024</t>
  </si>
  <si>
    <t>SADIA  SADAQAT</t>
  </si>
  <si>
    <t>AQM-620</t>
  </si>
  <si>
    <t>2A63677</t>
  </si>
  <si>
    <t>7041311</t>
  </si>
  <si>
    <t>633927</t>
  </si>
  <si>
    <t>68675/1</t>
  </si>
  <si>
    <t>KHI/HO/D/MO/PC COMP/C/103764/11/12/2024</t>
  </si>
  <si>
    <t>NAVEED  AHMAD</t>
  </si>
  <si>
    <t>LE-18A-5672</t>
  </si>
  <si>
    <t>10026787</t>
  </si>
  <si>
    <t>632989</t>
  </si>
  <si>
    <t>61697/1</t>
  </si>
  <si>
    <t>KHI/HO/D/MO/PC COMP/C/103764/53/12/2024</t>
  </si>
  <si>
    <t>HAFIZ ABDUL WAHAB</t>
  </si>
  <si>
    <t>AMV-282</t>
  </si>
  <si>
    <t>1017079</t>
  </si>
  <si>
    <t>264398</t>
  </si>
  <si>
    <t>50009/2</t>
  </si>
  <si>
    <t>KHI/HO/D/MO/PC COMP/C/103764/110/12/2024</t>
  </si>
  <si>
    <t>FAIZ  RABBANI KHAN</t>
  </si>
  <si>
    <t>TOYOTA FORTUNER A/T 2.7L</t>
  </si>
  <si>
    <t>AHB-403</t>
  </si>
  <si>
    <t>A-923759</t>
  </si>
  <si>
    <t>R-0893881</t>
  </si>
  <si>
    <t>344809</t>
  </si>
  <si>
    <t>53378/1</t>
  </si>
  <si>
    <t>KHI/HO/D/MO/PC COMP/C/103764/112/12/2024</t>
  </si>
  <si>
    <t>TANVEER  AKBAR</t>
  </si>
  <si>
    <t>ARS-170</t>
  </si>
  <si>
    <t>G3LALP024810</t>
  </si>
  <si>
    <t>NNATA52A2KP702280</t>
  </si>
  <si>
    <t>531963</t>
  </si>
  <si>
    <t>45405/1</t>
  </si>
  <si>
    <t>KHI/HO/D/MO/PC COMP/C/103764/155/12/2024</t>
  </si>
  <si>
    <t>ASGHAR - ALI</t>
  </si>
  <si>
    <t>LE-18-42</t>
  </si>
  <si>
    <t>Z502997</t>
  </si>
  <si>
    <t>4129108</t>
  </si>
  <si>
    <t>0451</t>
  </si>
  <si>
    <t>512092</t>
  </si>
  <si>
    <t>61758/1</t>
  </si>
  <si>
    <t>KHI/HO/D/MO/PC COMP/C/103764/56/12/2024</t>
  </si>
  <si>
    <t>MUHAMMAD  TAYYAB  IQBAL</t>
  </si>
  <si>
    <t>HYUNDAI ELANTRA A/T SUNRO</t>
  </si>
  <si>
    <t>AMW-215</t>
  </si>
  <si>
    <t>305622</t>
  </si>
  <si>
    <t>594605</t>
  </si>
  <si>
    <t>53528/1</t>
  </si>
  <si>
    <t>KHI/HO/D/MO/PC COMP/C/103764/115/12/2024</t>
  </si>
  <si>
    <t>MALIK MUHAMMAD RAMZAN</t>
  </si>
  <si>
    <t>KIA STONIC EX+</t>
  </si>
  <si>
    <t>AXU-806</t>
  </si>
  <si>
    <t>700328</t>
  </si>
  <si>
    <t>557920</t>
  </si>
  <si>
    <t>68026/1</t>
  </si>
  <si>
    <t>KHI/HO/D/MO/PC COMP/C/103764/14/12/2024</t>
  </si>
  <si>
    <t>TAHIR   MEHMOOD</t>
  </si>
  <si>
    <t>AKV-866</t>
  </si>
  <si>
    <t>7607226W</t>
  </si>
  <si>
    <t>2010213</t>
  </si>
  <si>
    <t>630268</t>
  </si>
  <si>
    <t>61150/1</t>
  </si>
  <si>
    <t>KHI/HO/D/MO/PC COMP/C/103764/60/12/2024</t>
  </si>
  <si>
    <t>BADAR   MUNIR</t>
  </si>
  <si>
    <t>HONDA HRV-S</t>
  </si>
  <si>
    <t>BBE-135</t>
  </si>
  <si>
    <t>L15ZG1000960</t>
  </si>
  <si>
    <t>NFBRV3851NR001052</t>
  </si>
  <si>
    <t>307495</t>
  </si>
  <si>
    <t>61904/1</t>
  </si>
  <si>
    <t>KHI/HO/D/MO/PC COMP/C/103764/66/12/2024</t>
  </si>
  <si>
    <t>MUHAMMAD  MAJID  ASHRAF</t>
  </si>
  <si>
    <t>HONDA CITY</t>
  </si>
  <si>
    <t>AYH-360</t>
  </si>
  <si>
    <t>130245</t>
  </si>
  <si>
    <t>589968</t>
  </si>
  <si>
    <t>50353/1</t>
  </si>
  <si>
    <t>KHI/HO/D/MO/PC COMP/C/103764/121/12/2024</t>
  </si>
  <si>
    <t>MUHAMMAD WAQAS RAZA</t>
  </si>
  <si>
    <t>AGK-261</t>
  </si>
  <si>
    <t>1102911</t>
  </si>
  <si>
    <t>544173</t>
  </si>
  <si>
    <t>53571/1</t>
  </si>
  <si>
    <t>KHI/HO/D/MO/PC COMP/C/103764/122/12/2024</t>
  </si>
  <si>
    <t>TALAT MAHMOOD MALIK</t>
  </si>
  <si>
    <t>SUZUKI MEHRAN VXR</t>
  </si>
  <si>
    <t>ANX-715</t>
  </si>
  <si>
    <t>1307196</t>
  </si>
  <si>
    <t>0808</t>
  </si>
  <si>
    <t>559024</t>
  </si>
  <si>
    <t>53076/1</t>
  </si>
  <si>
    <t>KHI/HO/D/MO/PC COMP/C/103764/124/12/2024</t>
  </si>
  <si>
    <t>WAHEEDA   YOUSAF</t>
  </si>
  <si>
    <t>HYUNDAI ELANTRA 2.0 MP1 A</t>
  </si>
  <si>
    <t>AGN-021</t>
  </si>
  <si>
    <t>U945408</t>
  </si>
  <si>
    <t>N302183</t>
  </si>
  <si>
    <t>545519</t>
  </si>
  <si>
    <t>68780/1</t>
  </si>
  <si>
    <t>KHI/HO/D/MO/PC COMP/C/103764/21/12/2024</t>
  </si>
  <si>
    <t>SHAHZAD  AKHTAR</t>
  </si>
  <si>
    <t>ADX-243</t>
  </si>
  <si>
    <t>6R172833</t>
  </si>
  <si>
    <t>NF1AET306H1072824</t>
  </si>
  <si>
    <t>633364</t>
  </si>
  <si>
    <t>69110/1</t>
  </si>
  <si>
    <t>KHI/HO/D/MO/PC COMP/C/103764/22/12/2024</t>
  </si>
  <si>
    <t>MUHAMMAD  KAMRAN</t>
  </si>
  <si>
    <t>SUZUKI WAGON-R</t>
  </si>
  <si>
    <t>AJK-213</t>
  </si>
  <si>
    <t>PK10B160775</t>
  </si>
  <si>
    <t>A1J310PK10060777</t>
  </si>
  <si>
    <t>307941</t>
  </si>
  <si>
    <t>69449/1</t>
  </si>
  <si>
    <t>KHI/HO/D/MO/PC COMP/C/103764/23/12/2024</t>
  </si>
  <si>
    <t>MUHAMMAD ABID SHAHZAD</t>
  </si>
  <si>
    <t>HONDA CIVIC VTI ORIEL U.G</t>
  </si>
  <si>
    <t>LEC-19-8200</t>
  </si>
  <si>
    <t>Z12949005</t>
  </si>
  <si>
    <t>R052498</t>
  </si>
  <si>
    <t>439612</t>
  </si>
  <si>
    <t>69455/1</t>
  </si>
  <si>
    <t>KHI/HO/D/MO/PC COMP/C/103764/27/12/2024</t>
  </si>
  <si>
    <t>WAQAS  AHMAD</t>
  </si>
  <si>
    <t>ARA-050</t>
  </si>
  <si>
    <t>10108441</t>
  </si>
  <si>
    <t>634578</t>
  </si>
  <si>
    <t>61953/1</t>
  </si>
  <si>
    <t>KHI/HO/D/MO/PC COMP/C/103764/68/12/2024</t>
  </si>
  <si>
    <t>SAAD  AQEEL</t>
  </si>
  <si>
    <t>AAM-503</t>
  </si>
  <si>
    <t>B182434</t>
  </si>
  <si>
    <t>PK10082435</t>
  </si>
  <si>
    <t>511855</t>
  </si>
  <si>
    <t>53674/1</t>
  </si>
  <si>
    <t>KHI/HO/D/MO/PC COMP/C/103764/130/12/2024</t>
  </si>
  <si>
    <t>WAQAR  HAFEEZ</t>
  </si>
  <si>
    <t>ADV-588</t>
  </si>
  <si>
    <t>6R 159814</t>
  </si>
  <si>
    <t>NF1A ET306H1059850</t>
  </si>
  <si>
    <t>556554</t>
  </si>
  <si>
    <t>45562/1</t>
  </si>
  <si>
    <t>KHI/HO/D/MO/PC COMP/C/103764/147/12/2024</t>
  </si>
  <si>
    <t>MUHAMMAD RASHIM SHAFIQ</t>
  </si>
  <si>
    <t>HONDA CITY CVT ASPIRE A/T</t>
  </si>
  <si>
    <t>ASE-454</t>
  </si>
  <si>
    <t>R266660</t>
  </si>
  <si>
    <t>510371</t>
  </si>
  <si>
    <t>61275/1</t>
  </si>
  <si>
    <t>KHI/HO/D/MO/CV/C/102121/3/11/2024</t>
  </si>
  <si>
    <t>NIDA   BIBI</t>
  </si>
  <si>
    <t>SUZUKI RAVI STD</t>
  </si>
  <si>
    <t>LC-3878</t>
  </si>
  <si>
    <t>492008</t>
  </si>
  <si>
    <t>0134</t>
  </si>
  <si>
    <t>593449</t>
  </si>
  <si>
    <t>49738/1</t>
  </si>
  <si>
    <t>KHI/HO/D/MO/PC COMP/C/100245/28/10/2024</t>
  </si>
  <si>
    <t>IMRAN HAIDER LEGHARI</t>
  </si>
  <si>
    <t>AFV-613</t>
  </si>
  <si>
    <t>1087640</t>
  </si>
  <si>
    <t>406259</t>
  </si>
  <si>
    <t>53873/1</t>
  </si>
  <si>
    <t>KHI/HO/D/MO/PC COMP/C/95230/30/08/2024</t>
  </si>
  <si>
    <t>AHSAN   KAREEM</t>
  </si>
  <si>
    <t>AMK-192</t>
  </si>
  <si>
    <t>1147850</t>
  </si>
  <si>
    <t>556619</t>
  </si>
  <si>
    <t>52969/1</t>
  </si>
  <si>
    <t>KHI/HO/D/MO/CV/C/93454/3/07/2024</t>
  </si>
  <si>
    <t>TAKBEER  ULLAH</t>
  </si>
  <si>
    <t>TB-994</t>
  </si>
  <si>
    <t>477141</t>
  </si>
  <si>
    <t>539937</t>
  </si>
  <si>
    <t>51928/1</t>
  </si>
  <si>
    <t>KHI/HO/D/MO/PC COMP/C/86646/95/04/2024</t>
  </si>
  <si>
    <t>MUHAMMAD  RIAZ</t>
  </si>
  <si>
    <t>TOYOTA YARIS GLI CVT</t>
  </si>
  <si>
    <t>AXB-744</t>
  </si>
  <si>
    <t>2A49465</t>
  </si>
  <si>
    <t>7031052</t>
  </si>
  <si>
    <t>553794</t>
  </si>
  <si>
    <t>Fresh / Renewal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</si>
  <si>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</si>
  <si>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</si>
  <si>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</si>
  <si>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</si>
  <si>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</si>
  <si>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</si>
  <si>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</si>
  <si>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CNIC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</si>
  <si>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</si>
  <si>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</si>
  <si>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</si>
  <si>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</si>
  <si>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</si>
  <si>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</si>
  <si>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</si>
  <si>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</si>
  <si>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</si>
  <si>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</si>
  <si>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</si>
  <si>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</si>
  <si>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</si>
  <si>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</si>
  <si>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</si>
  <si>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</si>
  <si>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For COD Status</t>
  </si>
  <si>
    <t>PO No.</t>
  </si>
  <si>
    <t>PO Dates</t>
  </si>
  <si>
    <t>Proposal Status</t>
  </si>
  <si>
    <t>Default Case (Overdue Days)</t>
  </si>
  <si>
    <t>Fresh</t>
  </si>
  <si>
    <t>74064/1</t>
  </si>
  <si>
    <t>KHI/HO/D/MO/PC COMP/C/103201/1/12/2024</t>
  </si>
  <si>
    <t>MUHAMMAD  ASLAM</t>
  </si>
  <si>
    <t>ALTO VX (NON-METALLIC)</t>
  </si>
  <si>
    <t>ATP-677</t>
  </si>
  <si>
    <t>6R328756</t>
  </si>
  <si>
    <t>H1228748</t>
  </si>
  <si>
    <t>614907</t>
  </si>
  <si>
    <t>76331/1</t>
  </si>
  <si>
    <t>KHI/HO/D/MO/PC COMP/C/103201/10/12/2024</t>
  </si>
  <si>
    <t>MUHAMMAD ASIF MANZOOR</t>
  </si>
  <si>
    <t>KIA STONIC</t>
  </si>
  <si>
    <t>-</t>
  </si>
  <si>
    <t>S375319</t>
  </si>
  <si>
    <t>P703783</t>
  </si>
  <si>
    <t>536317</t>
  </si>
  <si>
    <t>76650/1</t>
  </si>
  <si>
    <t>KHI/HO/D/MO/PC COMP/C/103201/11/12/2024</t>
  </si>
  <si>
    <t>ABU BAKAR ANEES</t>
  </si>
  <si>
    <t>ALTO VXR  (NON-METALLIC)</t>
  </si>
  <si>
    <t>6R329759</t>
  </si>
  <si>
    <t>NF1AET306H1229781</t>
  </si>
  <si>
    <t>663604</t>
  </si>
  <si>
    <t>75496/1</t>
  </si>
  <si>
    <t>KHI/HO/D/MO/PC COMP/C/103201/12/12/2024</t>
  </si>
  <si>
    <t>ADIL   HUSSAIN</t>
  </si>
  <si>
    <t>1228589</t>
  </si>
  <si>
    <t>659466</t>
  </si>
  <si>
    <t>76603/1</t>
  </si>
  <si>
    <t>KHI/HO/D/MO/PC COMP/C/103201/13/12/2024</t>
  </si>
  <si>
    <t>MALIK SHAFQAT ALI</t>
  </si>
  <si>
    <t>WAGON R VXL</t>
  </si>
  <si>
    <t>AMG-097</t>
  </si>
  <si>
    <t>10141139</t>
  </si>
  <si>
    <t>663341</t>
  </si>
  <si>
    <t>77007/1</t>
  </si>
  <si>
    <t>KHI/HO/D/MO/PC COMP/C/103201/14/12/2024</t>
  </si>
  <si>
    <t>MUHAMMAD  WASEEM</t>
  </si>
  <si>
    <t>1230495</t>
  </si>
  <si>
    <t>0461</t>
  </si>
  <si>
    <t>665129</t>
  </si>
  <si>
    <t>76587/1</t>
  </si>
  <si>
    <t>KHI/HO/D/MO/PC COMP/C/103201/15/12/2024</t>
  </si>
  <si>
    <t>SHAHRUKH  TAHIR</t>
  </si>
  <si>
    <t>EVERY VAN</t>
  </si>
  <si>
    <t>00101534</t>
  </si>
  <si>
    <t>645044</t>
  </si>
  <si>
    <t>76730/1</t>
  </si>
  <si>
    <t>KHI/HO/D/MO/PC COMP/C/103201/16/12/2024</t>
  </si>
  <si>
    <t>MUHAMMAD   UMAR</t>
  </si>
  <si>
    <t>TOYOTA COROLLA ALTIS (AUTOMATIC)</t>
  </si>
  <si>
    <t>LEA-18A-8414</t>
  </si>
  <si>
    <t>Q042220</t>
  </si>
  <si>
    <t>6019693</t>
  </si>
  <si>
    <t>664004</t>
  </si>
  <si>
    <t>76017/1</t>
  </si>
  <si>
    <t>KHI/HO/D/MO/PC COMP/C/103201/17/12/2024</t>
  </si>
  <si>
    <t>MUHAMMAD   RIAZ</t>
  </si>
  <si>
    <t>CITY (AUTOMATIC)</t>
  </si>
  <si>
    <t>RR046238</t>
  </si>
  <si>
    <t>661175</t>
  </si>
  <si>
    <t>75974/1</t>
  </si>
  <si>
    <t>KHI/HO/D/MO/PC COMP/C/103201/18/12/2024</t>
  </si>
  <si>
    <t>IRFAN  ALI</t>
  </si>
  <si>
    <t>BQQ-549</t>
  </si>
  <si>
    <t>6R101579</t>
  </si>
  <si>
    <t>6H1001581</t>
  </si>
  <si>
    <t>660696</t>
  </si>
  <si>
    <t>75435/1</t>
  </si>
  <si>
    <t>KHI/HO/D/MO/PC COMP/C/103201/19/12/2024</t>
  </si>
  <si>
    <t>MUHAMMAD  ZESHAN</t>
  </si>
  <si>
    <t>ALTO VXL AGS</t>
  </si>
  <si>
    <t>1230948</t>
  </si>
  <si>
    <t>458892</t>
  </si>
  <si>
    <t>76623/1</t>
  </si>
  <si>
    <t>KHI/HO/D/MO/PC COMP/C/103201/2/12/2024</t>
  </si>
  <si>
    <t>ZARTASH  BAIG</t>
  </si>
  <si>
    <t>CITY (MANUAL)</t>
  </si>
  <si>
    <t>L12B51028124</t>
  </si>
  <si>
    <t>NFBGN8626RR044837</t>
  </si>
  <si>
    <t>663549</t>
  </si>
  <si>
    <t>77272/1</t>
  </si>
  <si>
    <t>KHI/HO/D/MO/PC COMP/C/103201/20/12/2024</t>
  </si>
  <si>
    <t>TAHIR  MUNIR</t>
  </si>
  <si>
    <t>SWIFT GLX CVT</t>
  </si>
  <si>
    <t>AQD-385</t>
  </si>
  <si>
    <t>114605</t>
  </si>
  <si>
    <t>515375</t>
  </si>
  <si>
    <t>76464/1</t>
  </si>
  <si>
    <t>KHI/HO/D/MO/PC COMP/C/103201/21/12/2024</t>
  </si>
  <si>
    <t>MUHAMMAD   ANAS</t>
  </si>
  <si>
    <t>ALTO VXR  (METALLIC)</t>
  </si>
  <si>
    <t>1231810</t>
  </si>
  <si>
    <t>662662</t>
  </si>
  <si>
    <t>77266/1</t>
  </si>
  <si>
    <t>KHI/HO/D/MO/PC COMP/C/103201/22/12/2024</t>
  </si>
  <si>
    <t>MUHAMMAD SAJEEL ZAHOOR</t>
  </si>
  <si>
    <t>1228774</t>
  </si>
  <si>
    <t>622308</t>
  </si>
  <si>
    <t>75925/1</t>
  </si>
  <si>
    <t>KHI/HO/D/MO/PC COMP/C/103201/23/12/2024</t>
  </si>
  <si>
    <t>MUHAMMAD  RAHEEL</t>
  </si>
  <si>
    <t>CHANGAN KARVAAN</t>
  </si>
  <si>
    <t>CZ-7606</t>
  </si>
  <si>
    <t>1011260</t>
  </si>
  <si>
    <t>661038</t>
  </si>
  <si>
    <t>76653/1</t>
  </si>
  <si>
    <t>KHI/HO/D/MO/PC COMP/C/103201/24/12/2024</t>
  </si>
  <si>
    <t>MUHAMMAD UMER NAEEM</t>
  </si>
  <si>
    <t>BRV</t>
  </si>
  <si>
    <t>AJA-286</t>
  </si>
  <si>
    <t>L15Z13509681</t>
  </si>
  <si>
    <t>NFBDG1838JR009638</t>
  </si>
  <si>
    <t>663603</t>
  </si>
  <si>
    <t>76934/1</t>
  </si>
  <si>
    <t>KHI/HO/D/MO/PC COMP/C/103201/25/12/2024</t>
  </si>
  <si>
    <t>3520278654373</t>
  </si>
  <si>
    <t>1231222</t>
  </si>
  <si>
    <t>663008</t>
  </si>
  <si>
    <t>76578/1</t>
  </si>
  <si>
    <t>KHI/HO/D/MO/PC COMP/C/103201/26/12/2024</t>
  </si>
  <si>
    <t>KAMRAN   NAHEED</t>
  </si>
  <si>
    <t>ASK-798</t>
  </si>
  <si>
    <t>1049029</t>
  </si>
  <si>
    <t>565530</t>
  </si>
  <si>
    <t>76461/1</t>
  </si>
  <si>
    <t>KHI/HO/D/MO/PC COMP/C/103201/27/12/2024</t>
  </si>
  <si>
    <t>FAHAD  ZULFIQAR</t>
  </si>
  <si>
    <t>1230674</t>
  </si>
  <si>
    <t>663018</t>
  </si>
  <si>
    <t>76952/1</t>
  </si>
  <si>
    <t>KHI/HO/D/MO/PC COMP/C/103201/28/12/2024</t>
  </si>
  <si>
    <t>AFSHAN   IMRAN</t>
  </si>
  <si>
    <t>CIVIC (AUTOMATIC)</t>
  </si>
  <si>
    <t>BPN-261</t>
  </si>
  <si>
    <t>R050773</t>
  </si>
  <si>
    <t>665061</t>
  </si>
  <si>
    <t>76628/1</t>
  </si>
  <si>
    <t>KHI/HO/D/MO/PC COMP/C/103201/29/12/2024</t>
  </si>
  <si>
    <t>QASIM  MEHMOOD</t>
  </si>
  <si>
    <t>ALTO VXL</t>
  </si>
  <si>
    <t>LEA-19A-7184</t>
  </si>
  <si>
    <t>6R108402</t>
  </si>
  <si>
    <t>NF1AET306H1008409</t>
  </si>
  <si>
    <t>0443</t>
  </si>
  <si>
    <t>664161</t>
  </si>
  <si>
    <t>74234/1</t>
  </si>
  <si>
    <t>KHI/HO/D/MO/PC COMP/C/103201/3/12/2024</t>
  </si>
  <si>
    <t>AJAZ  FAREED</t>
  </si>
  <si>
    <t>1228010</t>
  </si>
  <si>
    <t>654657</t>
  </si>
  <si>
    <t>75505/1</t>
  </si>
  <si>
    <t>KHI/HO/D/MO/PC COMP/C/103201/30/12/2024</t>
  </si>
  <si>
    <t>SYED SAAD UL  HAQUE</t>
  </si>
  <si>
    <t>CULTUS VXL (METALIC)</t>
  </si>
  <si>
    <t>BJL-995</t>
  </si>
  <si>
    <t>PK10K100978</t>
  </si>
  <si>
    <t>H10000982</t>
  </si>
  <si>
    <t>659473</t>
  </si>
  <si>
    <t>74895/1</t>
  </si>
  <si>
    <t>KHI/HO/D/MO/PC COMP/C/103201/31/12/2024</t>
  </si>
  <si>
    <t>SYED NAVEED HUSSAIN SHAH</t>
  </si>
  <si>
    <t>1232332</t>
  </si>
  <si>
    <t>636707</t>
  </si>
  <si>
    <t>77497/1</t>
  </si>
  <si>
    <t>KHI/HO/D/MO/PC COMP/C/103201/32/12/2024</t>
  </si>
  <si>
    <t>FAISAL  MUGHEES  ALMAS</t>
  </si>
  <si>
    <t>TOYOTA CROSS</t>
  </si>
  <si>
    <t>ATN-636</t>
  </si>
  <si>
    <t>905936</t>
  </si>
  <si>
    <t>590393</t>
  </si>
  <si>
    <t>77315/1</t>
  </si>
  <si>
    <t>KHI/HO/D/MO/PC COMP/C/103201/33/12/2024</t>
  </si>
  <si>
    <t>MUHAMMAD NOSHERWAN ADIL RANA</t>
  </si>
  <si>
    <t>COROLLA GLI A/T</t>
  </si>
  <si>
    <t>LEH-18-2954</t>
  </si>
  <si>
    <t>149745</t>
  </si>
  <si>
    <t>666495</t>
  </si>
  <si>
    <t>77018/1</t>
  </si>
  <si>
    <t>KHI/HO/D/MO/PC COMP/C/103201/34/12/2024</t>
  </si>
  <si>
    <t>MUHAMMAD   UMER</t>
  </si>
  <si>
    <t>LEA-17A-2088</t>
  </si>
  <si>
    <t>Q040210</t>
  </si>
  <si>
    <t>6017692</t>
  </si>
  <si>
    <t>665137</t>
  </si>
  <si>
    <t>77056/1</t>
  </si>
  <si>
    <t>KHI/HO/D/MO/PC COMP/C/103201/35/12/2024</t>
  </si>
  <si>
    <t>ATIF SHAFIQUE SHAMI</t>
  </si>
  <si>
    <t>6R331938</t>
  </si>
  <si>
    <t>1232014</t>
  </si>
  <si>
    <t>230347</t>
  </si>
  <si>
    <t>76234/1</t>
  </si>
  <si>
    <t>KHI/HO/D/MO/PC COMP/C/103201/4/12/2024</t>
  </si>
  <si>
    <t>NAVEED   HASSAN</t>
  </si>
  <si>
    <t>YARIS</t>
  </si>
  <si>
    <t>APC-885</t>
  </si>
  <si>
    <t>2A42070</t>
  </si>
  <si>
    <t>9515574</t>
  </si>
  <si>
    <t>661875</t>
  </si>
  <si>
    <t>76747/1</t>
  </si>
  <si>
    <t>KHI/HO/D/MO/PC COMP/C/103201/5/12/2024</t>
  </si>
  <si>
    <t>AZMAT ULLAH BAJWA</t>
  </si>
  <si>
    <t>KIA SPORTAGE</t>
  </si>
  <si>
    <t>AJD-510</t>
  </si>
  <si>
    <t>309745</t>
  </si>
  <si>
    <t>139479</t>
  </si>
  <si>
    <t>75876/1</t>
  </si>
  <si>
    <t>KHI/HO/D/MO/PC COMP/C/103201/6/12/2024</t>
  </si>
  <si>
    <t>MUHAMMAD  AKBER</t>
  </si>
  <si>
    <t>BVA-268</t>
  </si>
  <si>
    <t>R185593</t>
  </si>
  <si>
    <t>H1085501</t>
  </si>
  <si>
    <t>660828</t>
  </si>
  <si>
    <t>76613/1</t>
  </si>
  <si>
    <t>KHI/HO/D/MO/PC COMP/C/103201/7/12/2024</t>
  </si>
  <si>
    <t>SYED  OMAR AHMED</t>
  </si>
  <si>
    <t>BMX-837</t>
  </si>
  <si>
    <t>R040448</t>
  </si>
  <si>
    <t>663443</t>
  </si>
  <si>
    <t>76634/1</t>
  </si>
  <si>
    <t>KHI/HO/D/MO/PC COMP/C/103201/8/12/2024</t>
  </si>
  <si>
    <t>KANEEZ  FATIMA</t>
  </si>
  <si>
    <t>KIA PICANTO</t>
  </si>
  <si>
    <t>BRG-587</t>
  </si>
  <si>
    <t>700615</t>
  </si>
  <si>
    <t>663574</t>
  </si>
  <si>
    <t>77242/1</t>
  </si>
  <si>
    <t>KHI/HO/D/MO/PC COMP/C/103201/9/12/2024</t>
  </si>
  <si>
    <t>MUHAMMAD   KASHIF</t>
  </si>
  <si>
    <t>BMC-060</t>
  </si>
  <si>
    <t>4141994</t>
  </si>
  <si>
    <t>662881</t>
  </si>
  <si>
    <t>76541/1</t>
  </si>
  <si>
    <t>KHI/HO/D/MO/CV/C/103846/1/12/2024</t>
  </si>
  <si>
    <t>ALI  .</t>
  </si>
  <si>
    <t>RAVI</t>
  </si>
  <si>
    <t>499094</t>
  </si>
  <si>
    <t>647832</t>
  </si>
  <si>
    <t>76943/1</t>
  </si>
  <si>
    <t>KHI/HO/D/MO/CV/C/103846/2/12/2024</t>
  </si>
  <si>
    <t>GUL NAWAZ KHAN</t>
  </si>
  <si>
    <t>499218</t>
  </si>
  <si>
    <t>0823</t>
  </si>
  <si>
    <t>665003</t>
  </si>
  <si>
    <t>76818/1</t>
  </si>
  <si>
    <t>KHI/HO/D/MO/PC COMP/C/101342/44/11/2024</t>
  </si>
  <si>
    <t>MUHAMMAD MUSTAFA ZAIDI</t>
  </si>
  <si>
    <t>AWU-417</t>
  </si>
  <si>
    <t>7026645</t>
  </si>
  <si>
    <t>552825</t>
  </si>
  <si>
    <t>Policy #</t>
  </si>
  <si>
    <t>Tms Prem</t>
  </si>
  <si>
    <t>Difference</t>
  </si>
  <si>
    <t>KHI/HO/D/MO/PC COMP/E/52031/00001/02/2025</t>
  </si>
  <si>
    <t>-12-2024</t>
  </si>
  <si>
    <t>-11-2024</t>
  </si>
  <si>
    <t>-10-2024</t>
  </si>
  <si>
    <t>-08-2024</t>
  </si>
  <si>
    <t>-07-2024</t>
  </si>
  <si>
    <t>-04-2024</t>
  </si>
  <si>
    <t>00008</t>
  </si>
  <si>
    <t>00001</t>
  </si>
  <si>
    <t>00002</t>
  </si>
  <si>
    <t>00094</t>
  </si>
  <si>
    <t>00003</t>
  </si>
  <si>
    <t>00004</t>
  </si>
  <si>
    <t>00005</t>
  </si>
  <si>
    <t>00087</t>
  </si>
  <si>
    <t>00132</t>
  </si>
  <si>
    <t>00078</t>
  </si>
  <si>
    <t>00059</t>
  </si>
  <si>
    <t>00063</t>
  </si>
  <si>
    <t>00157</t>
  </si>
  <si>
    <t>00156</t>
  </si>
  <si>
    <t>00099</t>
  </si>
  <si>
    <t>00109</t>
  </si>
  <si>
    <t>00118</t>
  </si>
  <si>
    <t>00120</t>
  </si>
  <si>
    <t>00135</t>
  </si>
  <si>
    <t>00146</t>
  </si>
  <si>
    <t>00142</t>
  </si>
  <si>
    <t>00061</t>
  </si>
  <si>
    <t>00102</t>
  </si>
  <si>
    <t>00114</t>
  </si>
  <si>
    <t>00123</t>
  </si>
  <si>
    <t>00082</t>
  </si>
  <si>
    <t>00041</t>
  </si>
  <si>
    <t>00119</t>
  </si>
  <si>
    <t>00083</t>
  </si>
  <si>
    <t>00104</t>
  </si>
  <si>
    <t>00129</t>
  </si>
  <si>
    <t>00152</t>
  </si>
  <si>
    <t>00154</t>
  </si>
  <si>
    <t>00149</t>
  </si>
  <si>
    <t>00086</t>
  </si>
  <si>
    <t>00073</t>
  </si>
  <si>
    <t>00153</t>
  </si>
  <si>
    <t>00081</t>
  </si>
  <si>
    <t>00043</t>
  </si>
  <si>
    <t>00079</t>
  </si>
  <si>
    <t>00039</t>
  </si>
  <si>
    <t>00064</t>
  </si>
  <si>
    <t>00116</t>
  </si>
  <si>
    <t>00062</t>
  </si>
  <si>
    <t>00072</t>
  </si>
  <si>
    <t>00091</t>
  </si>
  <si>
    <t>00097</t>
  </si>
  <si>
    <t>00098</t>
  </si>
  <si>
    <t>00100</t>
  </si>
  <si>
    <t>00101</t>
  </si>
  <si>
    <t>00103</t>
  </si>
  <si>
    <t>00126</t>
  </si>
  <si>
    <t>00148</t>
  </si>
  <si>
    <t>00024</t>
  </si>
  <si>
    <t>00034</t>
  </si>
  <si>
    <t>00044</t>
  </si>
  <si>
    <t>00047</t>
  </si>
  <si>
    <t>00048</t>
  </si>
  <si>
    <t>00065</t>
  </si>
  <si>
    <t>00151</t>
  </si>
  <si>
    <t>00077</t>
  </si>
  <si>
    <t>00075</t>
  </si>
  <si>
    <t>00033</t>
  </si>
  <si>
    <t>00106</t>
  </si>
  <si>
    <t>00137</t>
  </si>
  <si>
    <t>00025</t>
  </si>
  <si>
    <t>00127</t>
  </si>
  <si>
    <t>00030</t>
  </si>
  <si>
    <t>00096</t>
  </si>
  <si>
    <t>00133</t>
  </si>
  <si>
    <t>00050</t>
  </si>
  <si>
    <t>00074</t>
  </si>
  <si>
    <t>00076</t>
  </si>
  <si>
    <t>00131</t>
  </si>
  <si>
    <t>00095</t>
  </si>
  <si>
    <t>00052</t>
  </si>
  <si>
    <t>00032</t>
  </si>
  <si>
    <t>00125</t>
  </si>
  <si>
    <t>00143</t>
  </si>
  <si>
    <t>00046</t>
  </si>
  <si>
    <t>00057</t>
  </si>
  <si>
    <t>00108</t>
  </si>
  <si>
    <t>00010</t>
  </si>
  <si>
    <t>00009</t>
  </si>
  <si>
    <t>00012</t>
  </si>
  <si>
    <t>00016</t>
  </si>
  <si>
    <t>00136</t>
  </si>
  <si>
    <t>00089</t>
  </si>
  <si>
    <t>00031</t>
  </si>
  <si>
    <t>00111</t>
  </si>
  <si>
    <t>00105</t>
  </si>
  <si>
    <t>00107</t>
  </si>
  <si>
    <t>00150</t>
  </si>
  <si>
    <t>00051</t>
  </si>
  <si>
    <t>00006</t>
  </si>
  <si>
    <t>00093</t>
  </si>
  <si>
    <t>00158</t>
  </si>
  <si>
    <t>00049</t>
  </si>
  <si>
    <t>00070</t>
  </si>
  <si>
    <t>00069</t>
  </si>
  <si>
    <t>00054</t>
  </si>
  <si>
    <t>00088</t>
  </si>
  <si>
    <t>00090</t>
  </si>
  <si>
    <t>00092</t>
  </si>
  <si>
    <t>00017</t>
  </si>
  <si>
    <t>00071</t>
  </si>
  <si>
    <t>00058</t>
  </si>
  <si>
    <t>00138</t>
  </si>
  <si>
    <t>00080</t>
  </si>
  <si>
    <t>00020</t>
  </si>
  <si>
    <t>00140</t>
  </si>
  <si>
    <t>00015</t>
  </si>
  <si>
    <t>00026</t>
  </si>
  <si>
    <t>00067</t>
  </si>
  <si>
    <t>00085</t>
  </si>
  <si>
    <t>00013</t>
  </si>
  <si>
    <t>00084</t>
  </si>
  <si>
    <t>00019</t>
  </si>
  <si>
    <t>00018</t>
  </si>
  <si>
    <t>00128</t>
  </si>
  <si>
    <t>00037</t>
  </si>
  <si>
    <t>00038</t>
  </si>
  <si>
    <t>00029</t>
  </si>
  <si>
    <t>00040</t>
  </si>
  <si>
    <t>00045</t>
  </si>
  <si>
    <t>00007</t>
  </si>
  <si>
    <t>00011</t>
  </si>
  <si>
    <t>00053</t>
  </si>
  <si>
    <t>00110</t>
  </si>
  <si>
    <t>00112</t>
  </si>
  <si>
    <t>00155</t>
  </si>
  <si>
    <t>00056</t>
  </si>
  <si>
    <t>00115</t>
  </si>
  <si>
    <t>00014</t>
  </si>
  <si>
    <t>00060</t>
  </si>
  <si>
    <t>00066</t>
  </si>
  <si>
    <t>00121</t>
  </si>
  <si>
    <t>00122</t>
  </si>
  <si>
    <t>00124</t>
  </si>
  <si>
    <t>00021</t>
  </si>
  <si>
    <t>00022</t>
  </si>
  <si>
    <t>00023</t>
  </si>
  <si>
    <t>00027</t>
  </si>
  <si>
    <t>00068</t>
  </si>
  <si>
    <t>00130</t>
  </si>
  <si>
    <t>00147</t>
  </si>
  <si>
    <t>00028</t>
  </si>
  <si>
    <t>POLICY NO.</t>
  </si>
  <si>
    <t>Assorted_code</t>
  </si>
  <si>
    <t>Premium</t>
  </si>
  <si>
    <t xml:space="preserve">   </t>
  </si>
  <si>
    <t>FUNC_ASSORTED_STRING(IA.ASSORTED_CODE)</t>
  </si>
  <si>
    <t>ASSORTED_CODE</t>
  </si>
  <si>
    <t>070000156947</t>
  </si>
  <si>
    <t>070000163881</t>
  </si>
  <si>
    <t>070000169126</t>
  </si>
  <si>
    <t>070000162441</t>
  </si>
  <si>
    <t>070000172745</t>
  </si>
  <si>
    <t>070000172746</t>
  </si>
  <si>
    <t>070000172749</t>
  </si>
  <si>
    <t>070000172750</t>
  </si>
  <si>
    <t>070000172751</t>
  </si>
  <si>
    <t>070000172752</t>
  </si>
  <si>
    <t>070000172753</t>
  </si>
  <si>
    <t>070000172413</t>
  </si>
  <si>
    <t>070000172414</t>
  </si>
  <si>
    <t>070000172415</t>
  </si>
  <si>
    <t>070000172416</t>
  </si>
  <si>
    <t>070000172417</t>
  </si>
  <si>
    <t>070000172418</t>
  </si>
  <si>
    <t>070000172419</t>
  </si>
  <si>
    <t>070000172420</t>
  </si>
  <si>
    <t>070000172422</t>
  </si>
  <si>
    <t>070000172423</t>
  </si>
  <si>
    <t>070000172424</t>
  </si>
  <si>
    <t>070000172426</t>
  </si>
  <si>
    <t>070000172427</t>
  </si>
  <si>
    <t>070000172429</t>
  </si>
  <si>
    <t>070000172430</t>
  </si>
  <si>
    <t>070000172432</t>
  </si>
  <si>
    <t>070000172433</t>
  </si>
  <si>
    <t>070000172434</t>
  </si>
  <si>
    <t>070000172344</t>
  </si>
  <si>
    <t>070000172347</t>
  </si>
  <si>
    <t>070000172351</t>
  </si>
  <si>
    <t>070000172354</t>
  </si>
  <si>
    <t>070000172357</t>
  </si>
  <si>
    <t>070000172371</t>
  </si>
  <si>
    <t>070000172374</t>
  </si>
  <si>
    <t>070000172378</t>
  </si>
  <si>
    <t>070000172381</t>
  </si>
  <si>
    <t>070000172395</t>
  </si>
  <si>
    <t>070000172398</t>
  </si>
  <si>
    <t>070000172401</t>
  </si>
  <si>
    <t>070000172405</t>
  </si>
  <si>
    <t>070000172428</t>
  </si>
  <si>
    <t>070000172431</t>
  </si>
  <si>
    <t>070000172341</t>
  </si>
  <si>
    <t>070000172384</t>
  </si>
  <si>
    <t>070000172408</t>
  </si>
  <si>
    <t>070000172411</t>
  </si>
  <si>
    <t>070000172421</t>
  </si>
  <si>
    <t>070000172425</t>
  </si>
  <si>
    <t>070000172334</t>
  </si>
  <si>
    <t>070000172335</t>
  </si>
  <si>
    <t>070000172336</t>
  </si>
  <si>
    <t>070000172337</t>
  </si>
  <si>
    <t>070000172338</t>
  </si>
  <si>
    <t>070000172339</t>
  </si>
  <si>
    <t>070000172340</t>
  </si>
  <si>
    <t>070000172342</t>
  </si>
  <si>
    <t>070000172343</t>
  </si>
  <si>
    <t>070000172345</t>
  </si>
  <si>
    <t>070000172346</t>
  </si>
  <si>
    <t>070000172348</t>
  </si>
  <si>
    <t>070000172349</t>
  </si>
  <si>
    <t>070000172350</t>
  </si>
  <si>
    <t>070000172352</t>
  </si>
  <si>
    <t>070000172353</t>
  </si>
  <si>
    <t>070000172355</t>
  </si>
  <si>
    <t>070000172356</t>
  </si>
  <si>
    <t>070000172358</t>
  </si>
  <si>
    <t>070000172359</t>
  </si>
  <si>
    <t>070000172360</t>
  </si>
  <si>
    <t>070000172362</t>
  </si>
  <si>
    <t>070000172363</t>
  </si>
  <si>
    <t>070000172364</t>
  </si>
  <si>
    <t>070000172365</t>
  </si>
  <si>
    <t>070000172366</t>
  </si>
  <si>
    <t>070000172367</t>
  </si>
  <si>
    <t>070000172370</t>
  </si>
  <si>
    <t>070000172372</t>
  </si>
  <si>
    <t>070000172373</t>
  </si>
  <si>
    <t>070000172376</t>
  </si>
  <si>
    <t>070000172377</t>
  </si>
  <si>
    <t>070000172379</t>
  </si>
  <si>
    <t>070000172380</t>
  </si>
  <si>
    <t>070000172382</t>
  </si>
  <si>
    <t>070000172383</t>
  </si>
  <si>
    <t>070000172385</t>
  </si>
  <si>
    <t>070000172386</t>
  </si>
  <si>
    <t>070000172387</t>
  </si>
  <si>
    <t>070000172389</t>
  </si>
  <si>
    <t>070000172390</t>
  </si>
  <si>
    <t>070000172391</t>
  </si>
  <si>
    <t>070000172392</t>
  </si>
  <si>
    <t>070000172393</t>
  </si>
  <si>
    <t>070000172394</t>
  </si>
  <si>
    <t>070000172396</t>
  </si>
  <si>
    <t>070000172397</t>
  </si>
  <si>
    <t>070000172399</t>
  </si>
  <si>
    <t>070000172400</t>
  </si>
  <si>
    <t>070000172402</t>
  </si>
  <si>
    <t>070000172403</t>
  </si>
  <si>
    <t>070000172404</t>
  </si>
  <si>
    <t>070000172406</t>
  </si>
  <si>
    <t>070000172407</t>
  </si>
  <si>
    <t>070000172409</t>
  </si>
  <si>
    <t>070000172410</t>
  </si>
  <si>
    <t>070000172412</t>
  </si>
  <si>
    <t>070000172747</t>
  </si>
  <si>
    <t>070000172748</t>
  </si>
  <si>
    <t>070000169916</t>
  </si>
  <si>
    <t>070000172755</t>
  </si>
  <si>
    <t>070000172444</t>
  </si>
  <si>
    <t>070000172447</t>
  </si>
  <si>
    <t>070000172451</t>
  </si>
  <si>
    <t>070000172454</t>
  </si>
  <si>
    <t>070000172457</t>
  </si>
  <si>
    <t>070000172483</t>
  </si>
  <si>
    <t>070000172486</t>
  </si>
  <si>
    <t>070000172470</t>
  </si>
  <si>
    <t>070000172473</t>
  </si>
  <si>
    <t>070000172476</t>
  </si>
  <si>
    <t>070000172480</t>
  </si>
  <si>
    <t>070000172435</t>
  </si>
  <si>
    <t>070000172436</t>
  </si>
  <si>
    <t>070000172437</t>
  </si>
  <si>
    <t>070000172438</t>
  </si>
  <si>
    <t>070000172439</t>
  </si>
  <si>
    <t>070000172440</t>
  </si>
  <si>
    <t>070000172441</t>
  </si>
  <si>
    <t>070000172442</t>
  </si>
  <si>
    <t>070000172443</t>
  </si>
  <si>
    <t>070000172445</t>
  </si>
  <si>
    <t>070000172448</t>
  </si>
  <si>
    <t>070000172449</t>
  </si>
  <si>
    <t>070000172452</t>
  </si>
  <si>
    <t>070000172453</t>
  </si>
  <si>
    <t>070000172455</t>
  </si>
  <si>
    <t>070000172456</t>
  </si>
  <si>
    <t>070000172458</t>
  </si>
  <si>
    <t>070000172459</t>
  </si>
  <si>
    <t>070000172460</t>
  </si>
  <si>
    <t>070000172461</t>
  </si>
  <si>
    <t>070000172462</t>
  </si>
  <si>
    <t>070000172463</t>
  </si>
  <si>
    <t>070000172464</t>
  </si>
  <si>
    <t>070000172465</t>
  </si>
  <si>
    <t>070000172466</t>
  </si>
  <si>
    <t>070000172468</t>
  </si>
  <si>
    <t>070000172469</t>
  </si>
  <si>
    <t>070000172471</t>
  </si>
  <si>
    <t>070000172475</t>
  </si>
  <si>
    <t>070000172479</t>
  </si>
  <si>
    <t>070000172481</t>
  </si>
  <si>
    <t>070000172482</t>
  </si>
  <si>
    <t>070000172484</t>
  </si>
  <si>
    <t>070000172485</t>
  </si>
  <si>
    <t>070000172487</t>
  </si>
  <si>
    <t>070000172488</t>
  </si>
  <si>
    <t>070000172489</t>
  </si>
  <si>
    <t>070000172490</t>
  </si>
  <si>
    <t>070000172491</t>
  </si>
  <si>
    <t>04Feb250013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</si>
</sst>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9]d\-mmm\-yy;@"/>
    <numFmt numFmtId="165" formatCode="_-* #,##0_-;\-* #,##0_-;_-* &quot;-&quot;??_-;_-@_-"/>
    <numFmt numFmtId="166" formatCode="_(* #,##0_);_(* \(#,##0\);_(* &quot;-&quot;??_);_(@_)"/>
    <numFmt numFmtId="167" formatCode="[$-409]d\-mmm\-yyyy;@"/>
    <numFmt numFmtId="168" formatCode="#,##0_);\(#,##0\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10"/>
      <color indexed="8"/>
      <name val="Arial"/>
      <family val="2"/>
    </font>
    <font>
      <b/>
      <sz val="8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6" fillId="0" borderId="0" applyFont="0" applyFill="0" applyBorder="0" applyAlignment="0" applyProtection="0">
      <alignment vertical="top"/>
    </xf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167" fontId="7" fillId="3" borderId="2" xfId="3" applyNumberFormat="1" applyFont="1" applyFill="1" applyBorder="1" applyAlignment="1">
      <alignment horizontal="center" vertical="center" wrapText="1"/>
    </xf>
    <xf numFmtId="164" fontId="7" fillId="2" borderId="2" xfId="2" applyNumberFormat="1" applyFont="1" applyFill="1" applyBorder="1" applyAlignment="1">
      <alignment horizontal="center" vertical="center" wrapText="1"/>
    </xf>
    <xf numFmtId="1" fontId="7" fillId="2" borderId="2" xfId="2" applyNumberFormat="1" applyFont="1" applyFill="1" applyBorder="1" applyAlignment="1">
      <alignment horizontal="center" vertical="center" wrapText="1"/>
    </xf>
    <xf numFmtId="167" fontId="7" fillId="2" borderId="2" xfId="3" applyNumberFormat="1" applyFont="1" applyFill="1" applyBorder="1" applyAlignment="1">
      <alignment horizontal="center" vertical="center" wrapText="1"/>
    </xf>
    <xf numFmtId="164" fontId="7" fillId="2" borderId="2" xfId="3" applyNumberFormat="1" applyFont="1" applyFill="1" applyBorder="1" applyAlignment="1">
      <alignment horizontal="center" vertical="center" wrapText="1"/>
    </xf>
    <xf numFmtId="166" fontId="7" fillId="2" borderId="2" xfId="3" applyNumberFormat="1" applyFont="1" applyFill="1" applyBorder="1" applyAlignment="1">
      <alignment horizontal="center" vertical="center" wrapText="1"/>
    </xf>
    <xf numFmtId="9" fontId="7" fillId="2" borderId="2" xfId="4" applyFont="1" applyFill="1" applyBorder="1" applyAlignment="1">
      <alignment horizontal="center" vertical="center" wrapText="1"/>
    </xf>
    <xf numFmtId="166" fontId="7" fillId="4" borderId="2" xfId="3" applyNumberFormat="1" applyFont="1" applyFill="1" applyBorder="1" applyAlignment="1">
      <alignment horizontal="center" vertical="center" wrapText="1"/>
    </xf>
    <xf numFmtId="43" fontId="7" fillId="4" borderId="2" xfId="3" applyFont="1" applyFill="1" applyBorder="1" applyAlignment="1">
      <alignment horizontal="center" vertical="center" wrapText="1"/>
    </xf>
    <xf numFmtId="166" fontId="7" fillId="5" borderId="2" xfId="3" applyNumberFormat="1" applyFont="1" applyFill="1" applyBorder="1" applyAlignment="1">
      <alignment horizontal="center" vertical="center" wrapText="1"/>
    </xf>
    <xf numFmtId="166" fontId="9" fillId="2" borderId="2" xfId="3" applyNumberFormat="1" applyFont="1" applyFill="1" applyBorder="1" applyAlignment="1">
      <alignment horizontal="center" vertical="center" wrapText="1"/>
    </xf>
    <xf numFmtId="166" fontId="10" fillId="2" borderId="2" xfId="3" applyNumberFormat="1" applyFont="1" applyFill="1" applyBorder="1" applyAlignment="1">
      <alignment horizontal="center" vertical="center" wrapText="1"/>
    </xf>
    <xf numFmtId="164" fontId="10" fillId="2" borderId="2" xfId="2" applyNumberFormat="1" applyFont="1" applyFill="1" applyBorder="1" applyAlignment="1">
      <alignment horizontal="center" vertical="center" wrapText="1"/>
    </xf>
    <xf numFmtId="166" fontId="7" fillId="3" borderId="2" xfId="3" applyNumberFormat="1" applyFont="1" applyFill="1" applyBorder="1" applyAlignment="1">
      <alignment horizontal="center" vertical="center" wrapText="1"/>
    </xf>
    <xf numFmtId="166" fontId="11" fillId="4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5" fontId="4" fillId="0" borderId="1" xfId="3" applyNumberFormat="1" applyFont="1" applyBorder="1" applyAlignment="1">
      <alignment horizontal="center" vertical="center"/>
    </xf>
    <xf numFmtId="165" fontId="3" fillId="0" borderId="1" xfId="3" applyNumberFormat="1" applyFont="1" applyBorder="1" applyAlignment="1">
      <alignment horizontal="center" vertical="center"/>
    </xf>
    <xf numFmtId="166" fontId="3" fillId="0" borderId="1" xfId="3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6" fontId="7" fillId="3" borderId="1" xfId="3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165" fontId="0" fillId="0" borderId="1" xfId="1" applyNumberFormat="1" applyFont="1" applyBorder="1"/>
    <xf numFmtId="166" fontId="0" fillId="0" borderId="1" xfId="0" applyNumberFormat="1" applyBorder="1"/>
    <xf numFmtId="0" fontId="0" fillId="0" borderId="0" xfId="0" applyAlignment="1">
      <alignment vertical="top"/>
    </xf>
    <xf numFmtId="168" fontId="0" fillId="0" borderId="0" xfId="0" applyNumberFormat="1" applyAlignment="1">
      <alignment vertical="top"/>
    </xf>
    <xf numFmtId="165" fontId="2" fillId="0" borderId="0" xfId="1" applyNumberFormat="1" applyFont="1"/>
    <xf numFmtId="166" fontId="11" fillId="4" borderId="1" xfId="3" applyNumberFormat="1" applyFont="1" applyFill="1" applyBorder="1" applyAlignment="1">
      <alignment horizontal="center" vertical="center"/>
    </xf>
    <xf numFmtId="165" fontId="2" fillId="0" borderId="1" xfId="1" applyNumberFormat="1" applyFont="1" applyBorder="1"/>
    <xf numFmtId="0" fontId="2" fillId="0" borderId="1" xfId="0" applyFont="1" applyBorder="1" applyAlignment="1">
      <alignment horizontal="center"/>
    </xf>
    <xf numFmtId="166" fontId="13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14" fillId="0" borderId="0" xfId="0" applyFont="1"/>
    <xf numFmtId="166" fontId="0" fillId="0" borderId="0" xfId="0" applyNumberFormat="1"/>
    <xf numFmtId="0" fontId="15" fillId="0" borderId="0" xfId="0" applyFont="1"/>
  </cellXfs>
  <cellStyles count="5">
    <cellStyle name="Comma" xfId="1" builtinId="3"/>
    <cellStyle name="Comma 2" xfId="3" xr:uid="{00000000-0005-0000-0000-000001000000}"/>
    <cellStyle name="Normal" xfId="0" builtinId="0"/>
    <cellStyle name="Normal 2 2 2" xfId="2" xr:uid="{00000000-0005-0000-0000-000003000000}"/>
    <cellStyle name="Percent 2" xfId="4" xr:uid="{00000000-0005-0000-0000-000004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opLeftCell="AB22" workbookViewId="0">
      <selection activeCell="AG2" sqref="AG2"/>
    </sheetView>
  </sheetViews>
  <sheetFormatPr defaultRowHeight="15" x14ac:dyDescent="0.25"/>
  <cols>
    <col min="1" max="1" width="6" bestFit="1" customWidth="1"/>
    <col min="2" max="2" width="8.42578125" bestFit="1" customWidth="1"/>
    <col min="3" max="3" width="8.7109375" bestFit="1" customWidth="1"/>
    <col min="4" max="4" width="13.42578125" bestFit="1" customWidth="1"/>
    <col min="5" max="5" width="30.7109375" bestFit="1" customWidth="1"/>
    <col min="6" max="6" width="8.42578125" bestFit="1" customWidth="1"/>
    <col min="7" max="7" width="7.42578125" bestFit="1" customWidth="1"/>
    <col min="8" max="8" width="22.85546875" bestFit="1" customWidth="1"/>
    <col min="9" max="9" width="10.85546875" bestFit="1" customWidth="1"/>
    <col min="10" max="10" width="23.42578125" bestFit="1" customWidth="1"/>
    <col min="11" max="11" width="9.140625" bestFit="1" customWidth="1"/>
    <col min="12" max="12" width="9.85546875" bestFit="1" customWidth="1"/>
    <col min="13" max="13" width="14.42578125" bestFit="1" customWidth="1"/>
    <col min="14" max="14" width="8.42578125" bestFit="1" customWidth="1"/>
    <col min="15" max="15" width="5" bestFit="1" customWidth="1"/>
    <col min="16" max="16" width="4.85546875" bestFit="1" customWidth="1"/>
    <col min="17" max="17" width="5.42578125" bestFit="1" customWidth="1"/>
    <col min="18" max="18" width="7" bestFit="1" customWidth="1"/>
    <col min="19" max="19" width="6.140625" bestFit="1" customWidth="1"/>
    <col min="20" max="20" width="8.140625" bestFit="1" customWidth="1"/>
    <col min="21" max="21" width="4.85546875" bestFit="1" customWidth="1"/>
    <col min="22" max="22" width="5.7109375" bestFit="1" customWidth="1"/>
    <col min="23" max="23" width="7.7109375" bestFit="1" customWidth="1"/>
    <col min="24" max="24" width="8.42578125" bestFit="1" customWidth="1"/>
    <col min="25" max="25" width="7.7109375" bestFit="1" customWidth="1"/>
    <col min="26" max="26" width="8.7109375" bestFit="1" customWidth="1"/>
    <col min="27" max="27" width="8" bestFit="1" customWidth="1"/>
    <col min="28" max="29" width="8.42578125" bestFit="1" customWidth="1"/>
    <col min="30" max="30" width="7.5703125" bestFit="1" customWidth="1"/>
    <col min="31" max="31" width="8.5703125" bestFit="1" customWidth="1"/>
    <col min="32" max="32" width="40.140625" bestFit="1" customWidth="1"/>
    <col min="33" max="33" width="42" customWidth="1"/>
    <col min="34" max="34" width="11.42578125" bestFit="1" customWidth="1"/>
    <col min="35" max="35" width="9.42578125" bestFit="1" customWidth="1"/>
  </cols>
  <sheetData>
    <row r="1" spans="1:35" ht="45" x14ac:dyDescent="0.25">
      <c r="A1" s="12" t="s">
        <v>1130</v>
      </c>
      <c r="B1" s="13" t="s">
        <v>1131</v>
      </c>
      <c r="C1" s="12" t="s">
        <v>1132</v>
      </c>
      <c r="D1" s="12" t="s">
        <v>1133</v>
      </c>
      <c r="E1" s="12" t="s">
        <v>1134</v>
      </c>
      <c r="F1" s="14" t="s">
        <v>1135</v>
      </c>
      <c r="G1" s="14" t="s">
        <v>1136</v>
      </c>
      <c r="H1" s="12" t="s">
        <v>1137</v>
      </c>
      <c r="I1" s="15" t="s">
        <v>1138</v>
      </c>
      <c r="J1" s="12" t="s">
        <v>1139</v>
      </c>
      <c r="K1" s="12" t="s">
        <v>1140</v>
      </c>
      <c r="L1" s="12" t="s">
        <v>1141</v>
      </c>
      <c r="M1" s="12" t="s">
        <v>1142</v>
      </c>
      <c r="N1" s="12" t="s">
        <v>1131</v>
      </c>
      <c r="O1" s="16" t="s">
        <v>1143</v>
      </c>
      <c r="P1" s="16" t="s">
        <v>1144</v>
      </c>
      <c r="Q1" s="16" t="s">
        <v>1145</v>
      </c>
      <c r="R1" s="17" t="s">
        <v>1146</v>
      </c>
      <c r="S1" s="17" t="s">
        <v>1147</v>
      </c>
      <c r="T1" s="18" t="s">
        <v>1148</v>
      </c>
      <c r="U1" s="19" t="s">
        <v>1149</v>
      </c>
      <c r="V1" s="18" t="s">
        <v>1150</v>
      </c>
      <c r="W1" s="20" t="s">
        <v>1151</v>
      </c>
      <c r="X1" s="21" t="s">
        <v>1152</v>
      </c>
      <c r="Y1" s="20" t="s">
        <v>1153</v>
      </c>
      <c r="Z1" s="22" t="s">
        <v>1154</v>
      </c>
      <c r="AA1" s="23" t="s">
        <v>1155</v>
      </c>
      <c r="AB1" s="24" t="s">
        <v>1156</v>
      </c>
      <c r="AC1" s="25" t="s">
        <v>1157</v>
      </c>
      <c r="AD1" s="20" t="s">
        <v>1158</v>
      </c>
      <c r="AE1" s="35" t="s">
        <v>1159</v>
      </c>
      <c r="AF1" s="37" t="s">
        <v>1411</v>
      </c>
      <c r="AG1" s="37"/>
      <c r="AH1" s="37" t="s">
        <v>1412</v>
      </c>
      <c r="AI1" s="37" t="s">
        <v>1413</v>
      </c>
    </row>
    <row r="2" spans="1:35" x14ac:dyDescent="0.25">
      <c r="A2" s="1" t="s">
        <v>1160</v>
      </c>
      <c r="B2" s="2" t="s">
        <v>1161</v>
      </c>
      <c r="C2" s="3">
        <v>45627</v>
      </c>
      <c r="D2" s="4" t="s">
        <v>2</v>
      </c>
      <c r="E2" s="2" t="s">
        <v>1162</v>
      </c>
      <c r="F2" s="5">
        <v>45628</v>
      </c>
      <c r="G2" s="5">
        <v>45992</v>
      </c>
      <c r="H2" s="28" t="s">
        <v>1163</v>
      </c>
      <c r="I2" s="7">
        <v>3530132608755</v>
      </c>
      <c r="J2" s="28" t="s">
        <v>1164</v>
      </c>
      <c r="K2" s="2" t="s">
        <v>1165</v>
      </c>
      <c r="L2" s="2" t="s">
        <v>1166</v>
      </c>
      <c r="M2" s="2" t="s">
        <v>1167</v>
      </c>
      <c r="N2" s="2" t="s">
        <v>1161</v>
      </c>
      <c r="O2" s="1" t="s">
        <v>8</v>
      </c>
      <c r="P2" s="2" t="s">
        <v>9</v>
      </c>
      <c r="Q2" s="2" t="s">
        <v>1168</v>
      </c>
      <c r="R2" s="5">
        <v>45629</v>
      </c>
      <c r="S2" s="5">
        <v>46727</v>
      </c>
      <c r="T2" s="29">
        <v>2331000</v>
      </c>
      <c r="U2" s="2"/>
      <c r="V2" s="2"/>
      <c r="W2" s="30">
        <f t="shared" ref="W2:W39" si="0">T2</f>
        <v>2331000</v>
      </c>
      <c r="X2" s="10">
        <v>2</v>
      </c>
      <c r="Y2" s="31">
        <f t="shared" ref="Y2:Y39" si="1">W2*X2%</f>
        <v>46620</v>
      </c>
      <c r="Z2" s="2"/>
      <c r="AA2" s="2" t="s">
        <v>11</v>
      </c>
      <c r="AB2" s="2">
        <v>1141072451</v>
      </c>
      <c r="AC2" s="11">
        <v>45687</v>
      </c>
      <c r="AD2" s="1" t="s">
        <v>12</v>
      </c>
      <c r="AE2" s="1">
        <v>0</v>
      </c>
      <c r="AF2" s="36" t="s">
        <v>1162</v>
      </c>
      <c r="AG2" t="s">
        <v>1414</v>
      </c>
      <c r="AH2" s="38">
        <v>54140</v>
      </c>
      <c r="AI2" s="39">
        <f>Y2-AH2</f>
        <v>-7520</v>
      </c>
    </row>
    <row r="3" spans="1:35" x14ac:dyDescent="0.25">
      <c r="A3" s="1" t="s">
        <v>1160</v>
      </c>
      <c r="B3" s="2" t="s">
        <v>1169</v>
      </c>
      <c r="C3" s="3">
        <v>45627</v>
      </c>
      <c r="D3" s="4" t="s">
        <v>2</v>
      </c>
      <c r="E3" s="2" t="s">
        <v>1170</v>
      </c>
      <c r="F3" s="5">
        <v>45628</v>
      </c>
      <c r="G3" s="5">
        <v>45992</v>
      </c>
      <c r="H3" s="28" t="s">
        <v>1171</v>
      </c>
      <c r="I3" s="7">
        <v>3650211536759</v>
      </c>
      <c r="J3" s="28" t="s">
        <v>1172</v>
      </c>
      <c r="K3" s="32" t="s">
        <v>1173</v>
      </c>
      <c r="L3" s="2" t="s">
        <v>1174</v>
      </c>
      <c r="M3" s="2" t="s">
        <v>1175</v>
      </c>
      <c r="N3" s="2" t="s">
        <v>1169</v>
      </c>
      <c r="O3" s="1" t="s">
        <v>8</v>
      </c>
      <c r="P3" s="2" t="s">
        <v>9</v>
      </c>
      <c r="Q3" s="2" t="s">
        <v>1176</v>
      </c>
      <c r="R3" s="5">
        <v>45638</v>
      </c>
      <c r="S3" s="5">
        <v>46727</v>
      </c>
      <c r="T3" s="29">
        <v>5564000</v>
      </c>
      <c r="U3" s="2"/>
      <c r="V3" s="2"/>
      <c r="W3" s="30">
        <f t="shared" si="0"/>
        <v>5564000</v>
      </c>
      <c r="X3" s="10">
        <v>1.5</v>
      </c>
      <c r="Y3" s="31">
        <f t="shared" si="1"/>
        <v>83460</v>
      </c>
      <c r="Z3" s="2"/>
      <c r="AA3" s="2" t="s">
        <v>11</v>
      </c>
      <c r="AB3" s="2">
        <v>1141072451</v>
      </c>
      <c r="AC3" s="11">
        <v>45687</v>
      </c>
      <c r="AD3" s="1" t="s">
        <v>12</v>
      </c>
      <c r="AE3" s="1">
        <v>3</v>
      </c>
      <c r="AF3" s="36" t="s">
        <v>1170</v>
      </c>
      <c r="AG3" s="36"/>
      <c r="AH3" s="38">
        <v>83460</v>
      </c>
      <c r="AI3" s="39">
        <f t="shared" ref="AI3:AI39" si="2">Y3-AH3</f>
        <v>0</v>
      </c>
    </row>
    <row r="4" spans="1:35" x14ac:dyDescent="0.25">
      <c r="A4" s="1" t="s">
        <v>1160</v>
      </c>
      <c r="B4" s="2" t="s">
        <v>1177</v>
      </c>
      <c r="C4" s="3">
        <v>45627</v>
      </c>
      <c r="D4" s="4" t="s">
        <v>2</v>
      </c>
      <c r="E4" s="2" t="s">
        <v>1178</v>
      </c>
      <c r="F4" s="5">
        <v>45628</v>
      </c>
      <c r="G4" s="5">
        <v>45992</v>
      </c>
      <c r="H4" s="28" t="s">
        <v>1179</v>
      </c>
      <c r="I4" s="7">
        <v>3310078878211</v>
      </c>
      <c r="J4" s="28" t="s">
        <v>1180</v>
      </c>
      <c r="K4" s="32" t="s">
        <v>1173</v>
      </c>
      <c r="L4" s="2" t="s">
        <v>1181</v>
      </c>
      <c r="M4" s="2" t="s">
        <v>1182</v>
      </c>
      <c r="N4" s="2" t="s">
        <v>1177</v>
      </c>
      <c r="O4" s="1" t="s">
        <v>8</v>
      </c>
      <c r="P4" s="2" t="s">
        <v>74</v>
      </c>
      <c r="Q4" s="2" t="s">
        <v>1183</v>
      </c>
      <c r="R4" s="5">
        <v>45643</v>
      </c>
      <c r="S4" s="5">
        <v>47488</v>
      </c>
      <c r="T4" s="29">
        <v>2707000</v>
      </c>
      <c r="U4" s="2"/>
      <c r="V4" s="2"/>
      <c r="W4" s="30">
        <f t="shared" si="0"/>
        <v>2707000</v>
      </c>
      <c r="X4" s="10">
        <v>2</v>
      </c>
      <c r="Y4" s="31">
        <f t="shared" si="1"/>
        <v>54140</v>
      </c>
      <c r="Z4" s="2"/>
      <c r="AA4" s="2" t="s">
        <v>11</v>
      </c>
      <c r="AB4" s="2">
        <v>1141072451</v>
      </c>
      <c r="AC4" s="11">
        <v>45687</v>
      </c>
      <c r="AD4" s="1" t="s">
        <v>12</v>
      </c>
      <c r="AE4" s="1">
        <v>0</v>
      </c>
      <c r="AF4" s="36" t="s">
        <v>1178</v>
      </c>
      <c r="AG4" s="36"/>
      <c r="AH4" s="38">
        <v>54140</v>
      </c>
      <c r="AI4" s="39">
        <f t="shared" si="2"/>
        <v>0</v>
      </c>
    </row>
    <row r="5" spans="1:35" x14ac:dyDescent="0.25">
      <c r="A5" s="1" t="s">
        <v>1160</v>
      </c>
      <c r="B5" s="2" t="s">
        <v>1184</v>
      </c>
      <c r="C5" s="3">
        <v>45627</v>
      </c>
      <c r="D5" s="4" t="s">
        <v>2</v>
      </c>
      <c r="E5" s="2" t="s">
        <v>1185</v>
      </c>
      <c r="F5" s="5">
        <v>45628</v>
      </c>
      <c r="G5" s="5">
        <v>45992</v>
      </c>
      <c r="H5" s="28" t="s">
        <v>1186</v>
      </c>
      <c r="I5" s="7">
        <v>3630243369229</v>
      </c>
      <c r="J5" s="28" t="s">
        <v>1180</v>
      </c>
      <c r="K5" s="32" t="s">
        <v>1173</v>
      </c>
      <c r="L5" s="2">
        <v>328555</v>
      </c>
      <c r="M5" s="2" t="s">
        <v>1187</v>
      </c>
      <c r="N5" s="2" t="s">
        <v>1184</v>
      </c>
      <c r="O5" s="1" t="s">
        <v>8</v>
      </c>
      <c r="P5" s="2" t="s">
        <v>391</v>
      </c>
      <c r="Q5" s="2" t="s">
        <v>1188</v>
      </c>
      <c r="R5" s="5">
        <v>45644</v>
      </c>
      <c r="S5" s="5">
        <v>47488</v>
      </c>
      <c r="T5" s="29">
        <v>2707000</v>
      </c>
      <c r="U5" s="2"/>
      <c r="V5" s="2"/>
      <c r="W5" s="30">
        <f t="shared" si="0"/>
        <v>2707000</v>
      </c>
      <c r="X5" s="10">
        <v>2</v>
      </c>
      <c r="Y5" s="31">
        <f t="shared" si="1"/>
        <v>54140</v>
      </c>
      <c r="Z5" s="2"/>
      <c r="AA5" s="2" t="s">
        <v>11</v>
      </c>
      <c r="AB5" s="2">
        <v>1141072451</v>
      </c>
      <c r="AC5" s="11">
        <v>45687</v>
      </c>
      <c r="AD5" s="1" t="s">
        <v>12</v>
      </c>
      <c r="AE5" s="1">
        <v>0</v>
      </c>
      <c r="AF5" s="36" t="s">
        <v>1185</v>
      </c>
      <c r="AG5" s="36"/>
      <c r="AH5" s="38">
        <v>54140</v>
      </c>
      <c r="AI5" s="39">
        <f t="shared" si="2"/>
        <v>0</v>
      </c>
    </row>
    <row r="6" spans="1:35" x14ac:dyDescent="0.25">
      <c r="A6" s="1" t="s">
        <v>1160</v>
      </c>
      <c r="B6" s="2" t="s">
        <v>1189</v>
      </c>
      <c r="C6" s="3">
        <v>45627</v>
      </c>
      <c r="D6" s="4" t="s">
        <v>2</v>
      </c>
      <c r="E6" s="2" t="s">
        <v>1190</v>
      </c>
      <c r="F6" s="5">
        <v>45628</v>
      </c>
      <c r="G6" s="5">
        <v>45992</v>
      </c>
      <c r="H6" s="28" t="s">
        <v>1191</v>
      </c>
      <c r="I6" s="7">
        <v>3410104401293</v>
      </c>
      <c r="J6" s="28" t="s">
        <v>1192</v>
      </c>
      <c r="K6" s="2" t="s">
        <v>1193</v>
      </c>
      <c r="L6" s="2">
        <v>241136</v>
      </c>
      <c r="M6" s="2" t="s">
        <v>1194</v>
      </c>
      <c r="N6" s="2" t="s">
        <v>1189</v>
      </c>
      <c r="O6" s="1" t="s">
        <v>8</v>
      </c>
      <c r="P6" s="2" t="s">
        <v>114</v>
      </c>
      <c r="Q6" s="2" t="s">
        <v>1195</v>
      </c>
      <c r="R6" s="5">
        <v>45639</v>
      </c>
      <c r="S6" s="5">
        <v>47457</v>
      </c>
      <c r="T6" s="29">
        <v>2600000</v>
      </c>
      <c r="U6" s="2"/>
      <c r="V6" s="2"/>
      <c r="W6" s="30">
        <f t="shared" si="0"/>
        <v>2600000</v>
      </c>
      <c r="X6" s="10">
        <v>2</v>
      </c>
      <c r="Y6" s="31">
        <f t="shared" si="1"/>
        <v>52000</v>
      </c>
      <c r="Z6" s="2"/>
      <c r="AA6" s="2" t="s">
        <v>11</v>
      </c>
      <c r="AB6" s="2">
        <v>1141072451</v>
      </c>
      <c r="AC6" s="11">
        <v>45687</v>
      </c>
      <c r="AD6" s="1" t="s">
        <v>12</v>
      </c>
      <c r="AE6" s="1">
        <v>0</v>
      </c>
      <c r="AF6" s="36" t="s">
        <v>1190</v>
      </c>
      <c r="AG6" s="36"/>
      <c r="AH6" s="38">
        <v>52000</v>
      </c>
      <c r="AI6" s="39">
        <f t="shared" si="2"/>
        <v>0</v>
      </c>
    </row>
    <row r="7" spans="1:35" x14ac:dyDescent="0.25">
      <c r="A7" s="1" t="s">
        <v>1160</v>
      </c>
      <c r="B7" s="2" t="s">
        <v>1196</v>
      </c>
      <c r="C7" s="3">
        <v>45627</v>
      </c>
      <c r="D7" s="4" t="s">
        <v>2</v>
      </c>
      <c r="E7" s="2" t="s">
        <v>1197</v>
      </c>
      <c r="F7" s="5">
        <v>45628</v>
      </c>
      <c r="G7" s="5">
        <v>45992</v>
      </c>
      <c r="H7" s="28" t="s">
        <v>1198</v>
      </c>
      <c r="I7" s="7">
        <v>3130324145195</v>
      </c>
      <c r="J7" s="28" t="s">
        <v>1180</v>
      </c>
      <c r="K7" s="32" t="s">
        <v>1173</v>
      </c>
      <c r="L7" s="2">
        <v>330668</v>
      </c>
      <c r="M7" s="2" t="s">
        <v>1199</v>
      </c>
      <c r="N7" s="2" t="s">
        <v>1196</v>
      </c>
      <c r="O7" s="1" t="s">
        <v>8</v>
      </c>
      <c r="P7" s="2" t="s">
        <v>1200</v>
      </c>
      <c r="Q7" s="2" t="s">
        <v>1201</v>
      </c>
      <c r="R7" s="5">
        <v>45642</v>
      </c>
      <c r="S7" s="5">
        <v>47488</v>
      </c>
      <c r="T7" s="29">
        <v>2707000</v>
      </c>
      <c r="U7" s="2"/>
      <c r="V7" s="2"/>
      <c r="W7" s="30">
        <f t="shared" si="0"/>
        <v>2707000</v>
      </c>
      <c r="X7" s="10">
        <v>2</v>
      </c>
      <c r="Y7" s="31">
        <f t="shared" si="1"/>
        <v>54140</v>
      </c>
      <c r="Z7" s="2"/>
      <c r="AA7" s="2" t="s">
        <v>11</v>
      </c>
      <c r="AB7" s="2">
        <v>1141072451</v>
      </c>
      <c r="AC7" s="11">
        <v>45687</v>
      </c>
      <c r="AD7" s="1" t="s">
        <v>12</v>
      </c>
      <c r="AE7" s="1">
        <v>0</v>
      </c>
      <c r="AF7" s="36" t="s">
        <v>1197</v>
      </c>
      <c r="AG7" s="36"/>
      <c r="AH7" s="38">
        <v>54140</v>
      </c>
      <c r="AI7" s="39">
        <f t="shared" si="2"/>
        <v>0</v>
      </c>
    </row>
    <row r="8" spans="1:35" x14ac:dyDescent="0.25">
      <c r="A8" s="1" t="s">
        <v>1160</v>
      </c>
      <c r="B8" s="2" t="s">
        <v>1202</v>
      </c>
      <c r="C8" s="3">
        <v>45627</v>
      </c>
      <c r="D8" s="4" t="s">
        <v>2</v>
      </c>
      <c r="E8" s="2" t="s">
        <v>1203</v>
      </c>
      <c r="F8" s="5">
        <v>45628</v>
      </c>
      <c r="G8" s="5">
        <v>45992</v>
      </c>
      <c r="H8" s="28" t="s">
        <v>1204</v>
      </c>
      <c r="I8" s="7">
        <v>3740518482643</v>
      </c>
      <c r="J8" s="28" t="s">
        <v>1205</v>
      </c>
      <c r="K8" s="32" t="s">
        <v>1173</v>
      </c>
      <c r="L8" s="2">
        <v>1001533</v>
      </c>
      <c r="M8" s="2" t="s">
        <v>1206</v>
      </c>
      <c r="N8" s="2" t="s">
        <v>1202</v>
      </c>
      <c r="O8" s="1" t="s">
        <v>27</v>
      </c>
      <c r="P8" s="2" t="s">
        <v>28</v>
      </c>
      <c r="Q8" s="2" t="s">
        <v>1207</v>
      </c>
      <c r="R8" s="5">
        <v>45646</v>
      </c>
      <c r="S8" s="5">
        <v>47488</v>
      </c>
      <c r="T8" s="29">
        <v>2799000</v>
      </c>
      <c r="U8" s="2"/>
      <c r="V8" s="2"/>
      <c r="W8" s="30">
        <f t="shared" si="0"/>
        <v>2799000</v>
      </c>
      <c r="X8" s="10">
        <v>2</v>
      </c>
      <c r="Y8" s="31">
        <f t="shared" si="1"/>
        <v>55980</v>
      </c>
      <c r="Z8" s="2"/>
      <c r="AA8" s="2" t="s">
        <v>11</v>
      </c>
      <c r="AB8" s="2">
        <v>1141072451</v>
      </c>
      <c r="AC8" s="11">
        <v>45687</v>
      </c>
      <c r="AD8" s="1" t="s">
        <v>12</v>
      </c>
      <c r="AE8" s="1">
        <v>0</v>
      </c>
      <c r="AF8" s="36" t="s">
        <v>1203</v>
      </c>
      <c r="AG8" s="36"/>
      <c r="AH8" s="38">
        <v>55980</v>
      </c>
      <c r="AI8" s="39">
        <f t="shared" si="2"/>
        <v>0</v>
      </c>
    </row>
    <row r="9" spans="1:35" x14ac:dyDescent="0.25">
      <c r="A9" s="1" t="s">
        <v>1160</v>
      </c>
      <c r="B9" s="2" t="s">
        <v>1208</v>
      </c>
      <c r="C9" s="3">
        <v>45627</v>
      </c>
      <c r="D9" s="4" t="s">
        <v>2</v>
      </c>
      <c r="E9" s="2" t="s">
        <v>1209</v>
      </c>
      <c r="F9" s="5">
        <v>45628</v>
      </c>
      <c r="G9" s="5">
        <v>45992</v>
      </c>
      <c r="H9" s="28" t="s">
        <v>1210</v>
      </c>
      <c r="I9" s="7">
        <v>3520101465649</v>
      </c>
      <c r="J9" s="28" t="s">
        <v>1211</v>
      </c>
      <c r="K9" s="2" t="s">
        <v>1212</v>
      </c>
      <c r="L9" s="2" t="s">
        <v>1213</v>
      </c>
      <c r="M9" s="2" t="s">
        <v>1214</v>
      </c>
      <c r="N9" s="2" t="s">
        <v>1208</v>
      </c>
      <c r="O9" s="1" t="s">
        <v>8</v>
      </c>
      <c r="P9" s="2" t="s">
        <v>9</v>
      </c>
      <c r="Q9" s="2" t="s">
        <v>1215</v>
      </c>
      <c r="R9" s="5">
        <v>45645</v>
      </c>
      <c r="S9" s="5">
        <v>46757</v>
      </c>
      <c r="T9" s="29">
        <v>4000000</v>
      </c>
      <c r="U9" s="2"/>
      <c r="V9" s="2"/>
      <c r="W9" s="30">
        <f t="shared" si="0"/>
        <v>4000000</v>
      </c>
      <c r="X9" s="10">
        <v>1.5</v>
      </c>
      <c r="Y9" s="31">
        <f t="shared" si="1"/>
        <v>60000</v>
      </c>
      <c r="Z9" s="2"/>
      <c r="AA9" s="2" t="s">
        <v>11</v>
      </c>
      <c r="AB9" s="2">
        <v>1141072451</v>
      </c>
      <c r="AC9" s="11">
        <v>45687</v>
      </c>
      <c r="AD9" s="1" t="s">
        <v>12</v>
      </c>
      <c r="AE9" s="1">
        <v>0</v>
      </c>
      <c r="AF9" s="36" t="s">
        <v>1209</v>
      </c>
      <c r="AG9" s="36"/>
      <c r="AH9" s="38">
        <v>60000</v>
      </c>
      <c r="AI9" s="39">
        <f t="shared" si="2"/>
        <v>0</v>
      </c>
    </row>
    <row r="10" spans="1:35" x14ac:dyDescent="0.25">
      <c r="A10" s="1" t="s">
        <v>1160</v>
      </c>
      <c r="B10" s="2" t="s">
        <v>1216</v>
      </c>
      <c r="C10" s="3">
        <v>45627</v>
      </c>
      <c r="D10" s="4" t="s">
        <v>2</v>
      </c>
      <c r="E10" s="2" t="s">
        <v>1217</v>
      </c>
      <c r="F10" s="5">
        <v>45628</v>
      </c>
      <c r="G10" s="5">
        <v>45992</v>
      </c>
      <c r="H10" s="28" t="s">
        <v>1218</v>
      </c>
      <c r="I10" s="7">
        <v>3520115727377</v>
      </c>
      <c r="J10" s="28" t="s">
        <v>1219</v>
      </c>
      <c r="K10" s="32" t="s">
        <v>1173</v>
      </c>
      <c r="L10" s="33">
        <v>1029308</v>
      </c>
      <c r="M10" s="33" t="s">
        <v>1220</v>
      </c>
      <c r="N10" s="2" t="s">
        <v>1216</v>
      </c>
      <c r="O10" s="1" t="s">
        <v>8</v>
      </c>
      <c r="P10" s="2" t="s">
        <v>9</v>
      </c>
      <c r="Q10" s="2" t="s">
        <v>1221</v>
      </c>
      <c r="R10" s="5">
        <v>45645</v>
      </c>
      <c r="S10" s="5">
        <v>46757</v>
      </c>
      <c r="T10" s="29">
        <v>4714000</v>
      </c>
      <c r="U10" s="2"/>
      <c r="V10" s="2"/>
      <c r="W10" s="30">
        <f t="shared" si="0"/>
        <v>4714000</v>
      </c>
      <c r="X10" s="10">
        <v>1.5</v>
      </c>
      <c r="Y10" s="31">
        <f t="shared" si="1"/>
        <v>70710</v>
      </c>
      <c r="Z10" s="2"/>
      <c r="AA10" s="2" t="s">
        <v>11</v>
      </c>
      <c r="AB10" s="2">
        <v>1141072451</v>
      </c>
      <c r="AC10" s="11">
        <v>45687</v>
      </c>
      <c r="AD10" s="1" t="s">
        <v>12</v>
      </c>
      <c r="AE10" s="1">
        <v>0</v>
      </c>
      <c r="AF10" s="36" t="s">
        <v>1217</v>
      </c>
      <c r="AG10" s="36"/>
      <c r="AH10" s="38">
        <v>70710</v>
      </c>
      <c r="AI10" s="39">
        <f t="shared" si="2"/>
        <v>0</v>
      </c>
    </row>
    <row r="11" spans="1:35" x14ac:dyDescent="0.25">
      <c r="A11" s="1" t="s">
        <v>1160</v>
      </c>
      <c r="B11" s="2" t="s">
        <v>1222</v>
      </c>
      <c r="C11" s="3">
        <v>45627</v>
      </c>
      <c r="D11" s="4" t="s">
        <v>2</v>
      </c>
      <c r="E11" s="2" t="s">
        <v>1223</v>
      </c>
      <c r="F11" s="5">
        <v>45628</v>
      </c>
      <c r="G11" s="5">
        <v>45992</v>
      </c>
      <c r="H11" s="28" t="s">
        <v>1224</v>
      </c>
      <c r="I11" s="7">
        <v>3130399894557</v>
      </c>
      <c r="J11" s="28" t="s">
        <v>1180</v>
      </c>
      <c r="K11" s="2" t="s">
        <v>1225</v>
      </c>
      <c r="L11" s="2" t="s">
        <v>1226</v>
      </c>
      <c r="M11" s="2" t="s">
        <v>1227</v>
      </c>
      <c r="N11" s="2" t="s">
        <v>1222</v>
      </c>
      <c r="O11" s="1" t="s">
        <v>8</v>
      </c>
      <c r="P11" s="2" t="s">
        <v>1200</v>
      </c>
      <c r="Q11" s="2" t="s">
        <v>1228</v>
      </c>
      <c r="R11" s="5">
        <v>45644</v>
      </c>
      <c r="S11" s="5">
        <v>47488</v>
      </c>
      <c r="T11" s="29">
        <v>2100000</v>
      </c>
      <c r="U11" s="2"/>
      <c r="V11" s="2"/>
      <c r="W11" s="30">
        <f t="shared" si="0"/>
        <v>2100000</v>
      </c>
      <c r="X11" s="10">
        <v>2</v>
      </c>
      <c r="Y11" s="31">
        <f t="shared" si="1"/>
        <v>42000</v>
      </c>
      <c r="Z11" s="2"/>
      <c r="AA11" s="2" t="s">
        <v>11</v>
      </c>
      <c r="AB11" s="2">
        <v>1141072451</v>
      </c>
      <c r="AC11" s="11">
        <v>45687</v>
      </c>
      <c r="AD11" s="1" t="s">
        <v>12</v>
      </c>
      <c r="AE11" s="1">
        <v>0</v>
      </c>
      <c r="AF11" s="36" t="s">
        <v>1223</v>
      </c>
      <c r="AG11" s="36"/>
      <c r="AH11" s="38">
        <v>42000</v>
      </c>
      <c r="AI11" s="39">
        <f t="shared" si="2"/>
        <v>0</v>
      </c>
    </row>
    <row r="12" spans="1:35" x14ac:dyDescent="0.25">
      <c r="A12" s="1" t="s">
        <v>1160</v>
      </c>
      <c r="B12" s="2" t="s">
        <v>1229</v>
      </c>
      <c r="C12" s="3">
        <v>45627</v>
      </c>
      <c r="D12" s="4" t="s">
        <v>2</v>
      </c>
      <c r="E12" s="2" t="s">
        <v>1230</v>
      </c>
      <c r="F12" s="5">
        <v>45628</v>
      </c>
      <c r="G12" s="5">
        <v>45992</v>
      </c>
      <c r="H12" s="28" t="s">
        <v>1231</v>
      </c>
      <c r="I12" s="7">
        <v>3630443739109</v>
      </c>
      <c r="J12" s="28" t="s">
        <v>1232</v>
      </c>
      <c r="K12" s="32" t="s">
        <v>1173</v>
      </c>
      <c r="L12" s="2">
        <v>330929</v>
      </c>
      <c r="M12" s="2" t="s">
        <v>1233</v>
      </c>
      <c r="N12" s="2" t="s">
        <v>1229</v>
      </c>
      <c r="O12" s="1" t="s">
        <v>8</v>
      </c>
      <c r="P12" s="2" t="s">
        <v>391</v>
      </c>
      <c r="Q12" s="2" t="s">
        <v>1234</v>
      </c>
      <c r="R12" s="5">
        <v>45649</v>
      </c>
      <c r="S12" s="5">
        <v>46757</v>
      </c>
      <c r="T12" s="29">
        <v>3045000</v>
      </c>
      <c r="U12" s="2"/>
      <c r="V12" s="2"/>
      <c r="W12" s="30">
        <f t="shared" si="0"/>
        <v>3045000</v>
      </c>
      <c r="X12" s="10">
        <v>2</v>
      </c>
      <c r="Y12" s="31">
        <f t="shared" si="1"/>
        <v>60900</v>
      </c>
      <c r="Z12" s="2"/>
      <c r="AA12" s="2" t="s">
        <v>11</v>
      </c>
      <c r="AB12" s="2">
        <v>1141072451</v>
      </c>
      <c r="AC12" s="11">
        <v>45687</v>
      </c>
      <c r="AD12" s="1" t="s">
        <v>12</v>
      </c>
      <c r="AE12" s="1">
        <v>0</v>
      </c>
      <c r="AF12" s="36" t="s">
        <v>1230</v>
      </c>
      <c r="AG12" s="36"/>
      <c r="AH12" s="38">
        <v>60900</v>
      </c>
      <c r="AI12" s="39">
        <f t="shared" si="2"/>
        <v>0</v>
      </c>
    </row>
    <row r="13" spans="1:35" x14ac:dyDescent="0.25">
      <c r="A13" s="1" t="s">
        <v>1160</v>
      </c>
      <c r="B13" s="2" t="s">
        <v>1235</v>
      </c>
      <c r="C13" s="3">
        <v>45627</v>
      </c>
      <c r="D13" s="4" t="s">
        <v>2</v>
      </c>
      <c r="E13" s="2" t="s">
        <v>1236</v>
      </c>
      <c r="F13" s="5">
        <v>45628</v>
      </c>
      <c r="G13" s="5">
        <v>45992</v>
      </c>
      <c r="H13" s="28" t="s">
        <v>1237</v>
      </c>
      <c r="I13" s="7">
        <v>3310438483945</v>
      </c>
      <c r="J13" s="28" t="s">
        <v>1238</v>
      </c>
      <c r="K13" s="32" t="s">
        <v>1173</v>
      </c>
      <c r="L13" s="2" t="s">
        <v>1239</v>
      </c>
      <c r="M13" s="2" t="s">
        <v>1240</v>
      </c>
      <c r="N13" s="2" t="s">
        <v>1235</v>
      </c>
      <c r="O13" s="1" t="s">
        <v>8</v>
      </c>
      <c r="P13" s="2" t="s">
        <v>74</v>
      </c>
      <c r="Q13" s="2" t="s">
        <v>1241</v>
      </c>
      <c r="R13" s="5">
        <v>45632</v>
      </c>
      <c r="S13" s="5">
        <v>46727</v>
      </c>
      <c r="T13" s="29">
        <v>4719000</v>
      </c>
      <c r="U13" s="2"/>
      <c r="V13" s="2"/>
      <c r="W13" s="30">
        <f t="shared" si="0"/>
        <v>4719000</v>
      </c>
      <c r="X13" s="10">
        <v>1.5</v>
      </c>
      <c r="Y13" s="31">
        <f t="shared" si="1"/>
        <v>70785</v>
      </c>
      <c r="Z13" s="2"/>
      <c r="AA13" s="2" t="s">
        <v>11</v>
      </c>
      <c r="AB13" s="2">
        <v>1141072451</v>
      </c>
      <c r="AC13" s="11">
        <v>45687</v>
      </c>
      <c r="AD13" s="1" t="s">
        <v>12</v>
      </c>
      <c r="AE13" s="1">
        <v>0</v>
      </c>
      <c r="AF13" s="36" t="s">
        <v>1236</v>
      </c>
      <c r="AG13" s="36"/>
      <c r="AH13" s="38">
        <v>70785</v>
      </c>
      <c r="AI13" s="39">
        <f t="shared" si="2"/>
        <v>0</v>
      </c>
    </row>
    <row r="14" spans="1:35" x14ac:dyDescent="0.25">
      <c r="A14" s="1" t="s">
        <v>1160</v>
      </c>
      <c r="B14" s="2" t="s">
        <v>1242</v>
      </c>
      <c r="C14" s="3">
        <v>45627</v>
      </c>
      <c r="D14" s="4" t="s">
        <v>2</v>
      </c>
      <c r="E14" s="2" t="s">
        <v>1243</v>
      </c>
      <c r="F14" s="5">
        <v>45628</v>
      </c>
      <c r="G14" s="5">
        <v>45992</v>
      </c>
      <c r="H14" s="28" t="s">
        <v>1244</v>
      </c>
      <c r="I14" s="7">
        <v>3520015623585</v>
      </c>
      <c r="J14" s="28" t="s">
        <v>1245</v>
      </c>
      <c r="K14" s="2" t="s">
        <v>1246</v>
      </c>
      <c r="L14" s="2">
        <v>1014611</v>
      </c>
      <c r="M14" s="2" t="s">
        <v>1247</v>
      </c>
      <c r="N14" s="2" t="s">
        <v>1242</v>
      </c>
      <c r="O14" s="1" t="s">
        <v>8</v>
      </c>
      <c r="P14" s="2" t="s">
        <v>9</v>
      </c>
      <c r="Q14" s="2" t="s">
        <v>1248</v>
      </c>
      <c r="R14" s="5">
        <v>45645</v>
      </c>
      <c r="S14" s="5">
        <v>46392</v>
      </c>
      <c r="T14" s="29">
        <v>4500000</v>
      </c>
      <c r="U14" s="2"/>
      <c r="V14" s="2"/>
      <c r="W14" s="30">
        <f t="shared" si="0"/>
        <v>4500000</v>
      </c>
      <c r="X14" s="10">
        <v>1.5</v>
      </c>
      <c r="Y14" s="31">
        <f t="shared" si="1"/>
        <v>67500</v>
      </c>
      <c r="Z14" s="2"/>
      <c r="AA14" s="2" t="s">
        <v>11</v>
      </c>
      <c r="AB14" s="2">
        <v>1141072451</v>
      </c>
      <c r="AC14" s="11">
        <v>45687</v>
      </c>
      <c r="AD14" s="1" t="s">
        <v>12</v>
      </c>
      <c r="AE14" s="1">
        <v>0</v>
      </c>
      <c r="AF14" s="36" t="s">
        <v>1243</v>
      </c>
      <c r="AG14" s="36"/>
      <c r="AH14" s="38">
        <v>67500</v>
      </c>
      <c r="AI14" s="39">
        <f t="shared" si="2"/>
        <v>0</v>
      </c>
    </row>
    <row r="15" spans="1:35" x14ac:dyDescent="0.25">
      <c r="A15" s="1" t="s">
        <v>1160</v>
      </c>
      <c r="B15" s="2" t="s">
        <v>1249</v>
      </c>
      <c r="C15" s="3">
        <v>45627</v>
      </c>
      <c r="D15" s="4" t="s">
        <v>2</v>
      </c>
      <c r="E15" s="2" t="s">
        <v>1250</v>
      </c>
      <c r="F15" s="5">
        <v>45628</v>
      </c>
      <c r="G15" s="5">
        <v>45992</v>
      </c>
      <c r="H15" s="28" t="s">
        <v>1251</v>
      </c>
      <c r="I15" s="7">
        <v>3410162869717</v>
      </c>
      <c r="J15" s="28" t="s">
        <v>1252</v>
      </c>
      <c r="K15" s="32" t="s">
        <v>1173</v>
      </c>
      <c r="L15" s="2">
        <v>331808</v>
      </c>
      <c r="M15" s="2" t="s">
        <v>1253</v>
      </c>
      <c r="N15" s="2" t="s">
        <v>1249</v>
      </c>
      <c r="O15" s="1" t="s">
        <v>8</v>
      </c>
      <c r="P15" s="2" t="s">
        <v>114</v>
      </c>
      <c r="Q15" s="2" t="s">
        <v>1254</v>
      </c>
      <c r="R15" s="5">
        <v>45644</v>
      </c>
      <c r="S15" s="5">
        <v>47488</v>
      </c>
      <c r="T15" s="29">
        <v>2707000</v>
      </c>
      <c r="U15" s="2"/>
      <c r="V15" s="2"/>
      <c r="W15" s="30">
        <f t="shared" si="0"/>
        <v>2707000</v>
      </c>
      <c r="X15" s="10">
        <v>2</v>
      </c>
      <c r="Y15" s="31">
        <f t="shared" si="1"/>
        <v>54140</v>
      </c>
      <c r="Z15" s="2"/>
      <c r="AA15" s="2" t="s">
        <v>11</v>
      </c>
      <c r="AB15" s="2">
        <v>1141072451</v>
      </c>
      <c r="AC15" s="11">
        <v>45687</v>
      </c>
      <c r="AD15" s="1" t="s">
        <v>12</v>
      </c>
      <c r="AE15" s="1">
        <v>0</v>
      </c>
      <c r="AF15" s="36" t="s">
        <v>1250</v>
      </c>
      <c r="AG15" s="36"/>
      <c r="AH15" s="38">
        <v>54140</v>
      </c>
      <c r="AI15" s="39">
        <f t="shared" si="2"/>
        <v>0</v>
      </c>
    </row>
    <row r="16" spans="1:35" x14ac:dyDescent="0.25">
      <c r="A16" s="1" t="s">
        <v>1160</v>
      </c>
      <c r="B16" s="2" t="s">
        <v>1255</v>
      </c>
      <c r="C16" s="3">
        <v>45627</v>
      </c>
      <c r="D16" s="4" t="s">
        <v>2</v>
      </c>
      <c r="E16" s="2" t="s">
        <v>1256</v>
      </c>
      <c r="F16" s="5">
        <v>45628</v>
      </c>
      <c r="G16" s="5">
        <v>45992</v>
      </c>
      <c r="H16" s="28" t="s">
        <v>1257</v>
      </c>
      <c r="I16" s="7">
        <v>3410132102521</v>
      </c>
      <c r="J16" s="28" t="s">
        <v>1232</v>
      </c>
      <c r="K16" s="32" t="s">
        <v>1173</v>
      </c>
      <c r="L16" s="2">
        <v>328826</v>
      </c>
      <c r="M16" s="2" t="s">
        <v>1258</v>
      </c>
      <c r="N16" s="2" t="s">
        <v>1255</v>
      </c>
      <c r="O16" s="1" t="s">
        <v>8</v>
      </c>
      <c r="P16" s="2" t="s">
        <v>74</v>
      </c>
      <c r="Q16" s="2" t="s">
        <v>1259</v>
      </c>
      <c r="R16" s="5">
        <v>45646</v>
      </c>
      <c r="S16" s="5">
        <v>47488</v>
      </c>
      <c r="T16" s="29">
        <v>3045000</v>
      </c>
      <c r="U16" s="2"/>
      <c r="V16" s="2"/>
      <c r="W16" s="30">
        <f t="shared" si="0"/>
        <v>3045000</v>
      </c>
      <c r="X16" s="10">
        <v>2</v>
      </c>
      <c r="Y16" s="31">
        <f t="shared" si="1"/>
        <v>60900</v>
      </c>
      <c r="Z16" s="2"/>
      <c r="AA16" s="2" t="s">
        <v>11</v>
      </c>
      <c r="AB16" s="2">
        <v>1141072451</v>
      </c>
      <c r="AC16" s="11">
        <v>45687</v>
      </c>
      <c r="AD16" s="1" t="s">
        <v>12</v>
      </c>
      <c r="AE16" s="1">
        <v>0</v>
      </c>
      <c r="AF16" s="36" t="s">
        <v>1256</v>
      </c>
      <c r="AG16" s="36"/>
      <c r="AH16" s="38">
        <v>60900</v>
      </c>
      <c r="AI16" s="39">
        <f t="shared" si="2"/>
        <v>0</v>
      </c>
    </row>
    <row r="17" spans="1:35" x14ac:dyDescent="0.25">
      <c r="A17" s="1" t="s">
        <v>1160</v>
      </c>
      <c r="B17" s="2" t="s">
        <v>1260</v>
      </c>
      <c r="C17" s="3">
        <v>45627</v>
      </c>
      <c r="D17" s="4" t="s">
        <v>2</v>
      </c>
      <c r="E17" s="2" t="s">
        <v>1261</v>
      </c>
      <c r="F17" s="5">
        <v>45628</v>
      </c>
      <c r="G17" s="5">
        <v>45992</v>
      </c>
      <c r="H17" s="28" t="s">
        <v>1262</v>
      </c>
      <c r="I17" s="7">
        <v>4240126960557</v>
      </c>
      <c r="J17" s="28" t="s">
        <v>1263</v>
      </c>
      <c r="K17" s="2" t="s">
        <v>1264</v>
      </c>
      <c r="L17" s="2">
        <v>90503312</v>
      </c>
      <c r="M17" s="2" t="s">
        <v>1265</v>
      </c>
      <c r="N17" s="2" t="s">
        <v>1260</v>
      </c>
      <c r="O17" s="1" t="s">
        <v>19</v>
      </c>
      <c r="P17" s="2" t="s">
        <v>20</v>
      </c>
      <c r="Q17" s="2" t="s">
        <v>1266</v>
      </c>
      <c r="R17" s="5">
        <v>45649</v>
      </c>
      <c r="S17" s="5">
        <v>47488</v>
      </c>
      <c r="T17" s="29">
        <v>2280000</v>
      </c>
      <c r="U17" s="2"/>
      <c r="V17" s="2"/>
      <c r="W17" s="30">
        <f t="shared" si="0"/>
        <v>2280000</v>
      </c>
      <c r="X17" s="10">
        <v>2</v>
      </c>
      <c r="Y17" s="31">
        <f t="shared" si="1"/>
        <v>45600</v>
      </c>
      <c r="Z17" s="2"/>
      <c r="AA17" s="2" t="s">
        <v>11</v>
      </c>
      <c r="AB17" s="2">
        <v>1141072451</v>
      </c>
      <c r="AC17" s="11">
        <v>45687</v>
      </c>
      <c r="AD17" s="1" t="s">
        <v>12</v>
      </c>
      <c r="AE17" s="1">
        <v>0</v>
      </c>
      <c r="AF17" s="36" t="s">
        <v>1261</v>
      </c>
      <c r="AG17" s="36"/>
      <c r="AH17" s="38">
        <v>45600</v>
      </c>
      <c r="AI17" s="39">
        <f t="shared" si="2"/>
        <v>0</v>
      </c>
    </row>
    <row r="18" spans="1:35" x14ac:dyDescent="0.25">
      <c r="A18" s="1" t="s">
        <v>1160</v>
      </c>
      <c r="B18" s="2" t="s">
        <v>1267</v>
      </c>
      <c r="C18" s="3">
        <v>45627</v>
      </c>
      <c r="D18" s="4" t="s">
        <v>2</v>
      </c>
      <c r="E18" s="2" t="s">
        <v>1268</v>
      </c>
      <c r="F18" s="5">
        <v>45628</v>
      </c>
      <c r="G18" s="5">
        <v>45992</v>
      </c>
      <c r="H18" s="28" t="s">
        <v>1269</v>
      </c>
      <c r="I18" s="7">
        <v>3840301125149</v>
      </c>
      <c r="J18" s="28" t="s">
        <v>1270</v>
      </c>
      <c r="K18" s="2" t="s">
        <v>1271</v>
      </c>
      <c r="L18" s="2" t="s">
        <v>1272</v>
      </c>
      <c r="M18" s="2" t="s">
        <v>1273</v>
      </c>
      <c r="N18" s="2" t="s">
        <v>1267</v>
      </c>
      <c r="O18" s="1" t="s">
        <v>8</v>
      </c>
      <c r="P18" s="2" t="s">
        <v>74</v>
      </c>
      <c r="Q18" s="2" t="s">
        <v>1274</v>
      </c>
      <c r="R18" s="5">
        <v>45646</v>
      </c>
      <c r="S18" s="5">
        <v>46757</v>
      </c>
      <c r="T18" s="29">
        <v>4000000</v>
      </c>
      <c r="U18" s="2"/>
      <c r="V18" s="2"/>
      <c r="W18" s="30">
        <f t="shared" si="0"/>
        <v>4000000</v>
      </c>
      <c r="X18" s="10">
        <v>1.5</v>
      </c>
      <c r="Y18" s="31">
        <f t="shared" si="1"/>
        <v>60000</v>
      </c>
      <c r="Z18" s="2"/>
      <c r="AA18" s="2" t="s">
        <v>11</v>
      </c>
      <c r="AB18" s="2">
        <v>1141072451</v>
      </c>
      <c r="AC18" s="11">
        <v>45687</v>
      </c>
      <c r="AD18" s="1" t="s">
        <v>12</v>
      </c>
      <c r="AE18" s="1">
        <v>0</v>
      </c>
      <c r="AF18" s="36" t="s">
        <v>1268</v>
      </c>
      <c r="AG18" s="36"/>
      <c r="AH18" s="38">
        <v>60000</v>
      </c>
      <c r="AI18" s="39">
        <f t="shared" si="2"/>
        <v>0</v>
      </c>
    </row>
    <row r="19" spans="1:35" x14ac:dyDescent="0.25">
      <c r="A19" s="1" t="s">
        <v>1160</v>
      </c>
      <c r="B19" s="2" t="s">
        <v>1275</v>
      </c>
      <c r="C19" s="3">
        <v>45627</v>
      </c>
      <c r="D19" s="4" t="s">
        <v>2</v>
      </c>
      <c r="E19" s="2" t="s">
        <v>1276</v>
      </c>
      <c r="F19" s="5">
        <v>45644</v>
      </c>
      <c r="G19" s="5">
        <v>46008</v>
      </c>
      <c r="H19" s="28" t="s">
        <v>598</v>
      </c>
      <c r="I19" s="34" t="s">
        <v>1277</v>
      </c>
      <c r="J19" s="28" t="s">
        <v>1252</v>
      </c>
      <c r="K19" s="32" t="s">
        <v>1173</v>
      </c>
      <c r="L19" s="2">
        <v>331314</v>
      </c>
      <c r="M19" s="2" t="s">
        <v>1278</v>
      </c>
      <c r="N19" s="2" t="s">
        <v>1275</v>
      </c>
      <c r="O19" s="1" t="s">
        <v>8</v>
      </c>
      <c r="P19" s="2" t="s">
        <v>9</v>
      </c>
      <c r="Q19" s="2" t="s">
        <v>1279</v>
      </c>
      <c r="R19" s="5">
        <v>45646</v>
      </c>
      <c r="S19" s="5">
        <v>47488</v>
      </c>
      <c r="T19" s="29">
        <v>2707000</v>
      </c>
      <c r="U19" s="2"/>
      <c r="V19" s="2"/>
      <c r="W19" s="30">
        <f t="shared" si="0"/>
        <v>2707000</v>
      </c>
      <c r="X19" s="10">
        <v>2</v>
      </c>
      <c r="Y19" s="31">
        <f t="shared" si="1"/>
        <v>54140</v>
      </c>
      <c r="Z19" s="2"/>
      <c r="AA19" s="2" t="s">
        <v>11</v>
      </c>
      <c r="AB19" s="2">
        <v>1141072451</v>
      </c>
      <c r="AC19" s="11">
        <v>45687</v>
      </c>
      <c r="AD19" s="1" t="s">
        <v>12</v>
      </c>
      <c r="AE19" s="1">
        <v>0</v>
      </c>
      <c r="AF19" s="36" t="s">
        <v>1276</v>
      </c>
      <c r="AG19" s="36"/>
      <c r="AH19" s="38">
        <v>54140</v>
      </c>
      <c r="AI19" s="39">
        <f t="shared" si="2"/>
        <v>0</v>
      </c>
    </row>
    <row r="20" spans="1:35" x14ac:dyDescent="0.25">
      <c r="A20" s="1" t="s">
        <v>1160</v>
      </c>
      <c r="B20" s="2" t="s">
        <v>1280</v>
      </c>
      <c r="C20" s="3">
        <v>45627</v>
      </c>
      <c r="D20" s="4" t="s">
        <v>2</v>
      </c>
      <c r="E20" s="2" t="s">
        <v>1281</v>
      </c>
      <c r="F20" s="5">
        <v>45644</v>
      </c>
      <c r="G20" s="5">
        <v>46008</v>
      </c>
      <c r="H20" s="28" t="s">
        <v>1282</v>
      </c>
      <c r="I20" s="7">
        <v>1420286106303</v>
      </c>
      <c r="J20" s="28" t="s">
        <v>1252</v>
      </c>
      <c r="K20" s="2" t="s">
        <v>1283</v>
      </c>
      <c r="L20" s="2">
        <v>148996</v>
      </c>
      <c r="M20" s="2" t="s">
        <v>1284</v>
      </c>
      <c r="N20" s="2" t="s">
        <v>1280</v>
      </c>
      <c r="O20" s="1" t="s">
        <v>27</v>
      </c>
      <c r="P20" s="2" t="s">
        <v>28</v>
      </c>
      <c r="Q20" s="2" t="s">
        <v>1285</v>
      </c>
      <c r="R20" s="5">
        <v>45652</v>
      </c>
      <c r="S20" s="5">
        <v>47488</v>
      </c>
      <c r="T20" s="29">
        <v>2400000</v>
      </c>
      <c r="U20" s="2"/>
      <c r="V20" s="2"/>
      <c r="W20" s="30">
        <f t="shared" si="0"/>
        <v>2400000</v>
      </c>
      <c r="X20" s="10">
        <v>2</v>
      </c>
      <c r="Y20" s="31">
        <f t="shared" si="1"/>
        <v>48000</v>
      </c>
      <c r="Z20" s="2"/>
      <c r="AA20" s="2" t="s">
        <v>11</v>
      </c>
      <c r="AB20" s="2">
        <v>1141072451</v>
      </c>
      <c r="AC20" s="11">
        <v>45687</v>
      </c>
      <c r="AD20" s="1" t="s">
        <v>12</v>
      </c>
      <c r="AE20" s="1">
        <v>0</v>
      </c>
      <c r="AF20" s="36" t="s">
        <v>1281</v>
      </c>
      <c r="AG20" s="36"/>
      <c r="AH20" s="38">
        <v>48000</v>
      </c>
      <c r="AI20" s="39">
        <f t="shared" si="2"/>
        <v>0</v>
      </c>
    </row>
    <row r="21" spans="1:35" x14ac:dyDescent="0.25">
      <c r="A21" s="1" t="s">
        <v>1160</v>
      </c>
      <c r="B21" s="2" t="s">
        <v>1286</v>
      </c>
      <c r="C21" s="3">
        <v>45627</v>
      </c>
      <c r="D21" s="4" t="s">
        <v>2</v>
      </c>
      <c r="E21" s="2" t="s">
        <v>1287</v>
      </c>
      <c r="F21" s="5">
        <v>45644</v>
      </c>
      <c r="G21" s="5">
        <v>46008</v>
      </c>
      <c r="H21" s="28" t="s">
        <v>1288</v>
      </c>
      <c r="I21" s="7">
        <v>3520258048773</v>
      </c>
      <c r="J21" s="28" t="s">
        <v>1252</v>
      </c>
      <c r="K21" s="32" t="s">
        <v>1173</v>
      </c>
      <c r="L21" s="2">
        <v>330848</v>
      </c>
      <c r="M21" s="2" t="s">
        <v>1289</v>
      </c>
      <c r="N21" s="2" t="s">
        <v>1286</v>
      </c>
      <c r="O21" s="1" t="s">
        <v>8</v>
      </c>
      <c r="P21" s="2" t="s">
        <v>9</v>
      </c>
      <c r="Q21" s="2" t="s">
        <v>1290</v>
      </c>
      <c r="R21" s="5">
        <v>45649</v>
      </c>
      <c r="S21" s="5">
        <v>47488</v>
      </c>
      <c r="T21" s="29">
        <v>2707000</v>
      </c>
      <c r="U21" s="2"/>
      <c r="V21" s="2"/>
      <c r="W21" s="30">
        <f t="shared" si="0"/>
        <v>2707000</v>
      </c>
      <c r="X21" s="10">
        <v>2</v>
      </c>
      <c r="Y21" s="31">
        <f t="shared" si="1"/>
        <v>54140</v>
      </c>
      <c r="Z21" s="2"/>
      <c r="AA21" s="2" t="s">
        <v>11</v>
      </c>
      <c r="AB21" s="2">
        <v>1141072451</v>
      </c>
      <c r="AC21" s="11">
        <v>45687</v>
      </c>
      <c r="AD21" s="1" t="s">
        <v>12</v>
      </c>
      <c r="AE21" s="1">
        <v>0</v>
      </c>
      <c r="AF21" s="36" t="s">
        <v>1287</v>
      </c>
      <c r="AG21" s="36"/>
      <c r="AH21" s="38">
        <v>54140</v>
      </c>
      <c r="AI21" s="39">
        <f t="shared" si="2"/>
        <v>0</v>
      </c>
    </row>
    <row r="22" spans="1:35" x14ac:dyDescent="0.25">
      <c r="A22" s="1" t="s">
        <v>1160</v>
      </c>
      <c r="B22" s="2" t="s">
        <v>1291</v>
      </c>
      <c r="C22" s="3">
        <v>45627</v>
      </c>
      <c r="D22" s="4" t="s">
        <v>2</v>
      </c>
      <c r="E22" s="2" t="s">
        <v>1292</v>
      </c>
      <c r="F22" s="5">
        <v>45644</v>
      </c>
      <c r="G22" s="5">
        <v>46008</v>
      </c>
      <c r="H22" s="28" t="s">
        <v>1293</v>
      </c>
      <c r="I22" s="7">
        <v>4210116074962</v>
      </c>
      <c r="J22" s="28" t="s">
        <v>1294</v>
      </c>
      <c r="K22" s="2" t="s">
        <v>1295</v>
      </c>
      <c r="L22" s="2">
        <v>12947345</v>
      </c>
      <c r="M22" s="2" t="s">
        <v>1296</v>
      </c>
      <c r="N22" s="2" t="s">
        <v>1291</v>
      </c>
      <c r="O22" s="1" t="s">
        <v>19</v>
      </c>
      <c r="P22" s="2" t="s">
        <v>20</v>
      </c>
      <c r="Q22" s="2" t="s">
        <v>1297</v>
      </c>
      <c r="R22" s="5">
        <v>45646</v>
      </c>
      <c r="S22" s="5">
        <v>46757</v>
      </c>
      <c r="T22" s="29">
        <v>5025000</v>
      </c>
      <c r="U22" s="2"/>
      <c r="V22" s="2"/>
      <c r="W22" s="30">
        <f t="shared" si="0"/>
        <v>5025000</v>
      </c>
      <c r="X22" s="10">
        <v>1.5</v>
      </c>
      <c r="Y22" s="31">
        <f t="shared" si="1"/>
        <v>75375</v>
      </c>
      <c r="Z22" s="2"/>
      <c r="AA22" s="2" t="s">
        <v>11</v>
      </c>
      <c r="AB22" s="2">
        <v>1141072451</v>
      </c>
      <c r="AC22" s="11">
        <v>45687</v>
      </c>
      <c r="AD22" s="1" t="s">
        <v>12</v>
      </c>
      <c r="AE22" s="1">
        <v>0</v>
      </c>
      <c r="AF22" s="36" t="s">
        <v>1292</v>
      </c>
      <c r="AG22" s="36"/>
      <c r="AH22" s="38">
        <v>75375</v>
      </c>
      <c r="AI22" s="39">
        <f t="shared" si="2"/>
        <v>0</v>
      </c>
    </row>
    <row r="23" spans="1:35" x14ac:dyDescent="0.25">
      <c r="A23" s="1" t="s">
        <v>1160</v>
      </c>
      <c r="B23" s="2" t="s">
        <v>1298</v>
      </c>
      <c r="C23" s="3">
        <v>45627</v>
      </c>
      <c r="D23" s="4" t="s">
        <v>2</v>
      </c>
      <c r="E23" s="2" t="s">
        <v>1299</v>
      </c>
      <c r="F23" s="5">
        <v>45645</v>
      </c>
      <c r="G23" s="5">
        <v>46009</v>
      </c>
      <c r="H23" s="28" t="s">
        <v>1300</v>
      </c>
      <c r="I23" s="7">
        <v>3460322173787</v>
      </c>
      <c r="J23" s="28" t="s">
        <v>1301</v>
      </c>
      <c r="K23" s="2" t="s">
        <v>1302</v>
      </c>
      <c r="L23" s="2" t="s">
        <v>1303</v>
      </c>
      <c r="M23" s="2" t="s">
        <v>1304</v>
      </c>
      <c r="N23" s="2" t="s">
        <v>1298</v>
      </c>
      <c r="O23" s="1" t="s">
        <v>8</v>
      </c>
      <c r="P23" s="2" t="s">
        <v>1305</v>
      </c>
      <c r="Q23" s="2" t="s">
        <v>1306</v>
      </c>
      <c r="R23" s="5">
        <v>45649</v>
      </c>
      <c r="S23" s="5">
        <v>47488</v>
      </c>
      <c r="T23" s="29">
        <v>2400000</v>
      </c>
      <c r="U23" s="2"/>
      <c r="V23" s="2"/>
      <c r="W23" s="30">
        <f t="shared" si="0"/>
        <v>2400000</v>
      </c>
      <c r="X23" s="10">
        <v>2</v>
      </c>
      <c r="Y23" s="31">
        <f t="shared" si="1"/>
        <v>48000</v>
      </c>
      <c r="Z23" s="2"/>
      <c r="AA23" s="2" t="s">
        <v>11</v>
      </c>
      <c r="AB23" s="2">
        <v>1141072451</v>
      </c>
      <c r="AC23" s="11">
        <v>45687</v>
      </c>
      <c r="AD23" s="1" t="s">
        <v>12</v>
      </c>
      <c r="AE23" s="1">
        <v>0</v>
      </c>
      <c r="AF23" s="36" t="s">
        <v>1299</v>
      </c>
      <c r="AG23" s="36"/>
      <c r="AH23" s="38">
        <v>48000</v>
      </c>
      <c r="AI23" s="39">
        <f t="shared" si="2"/>
        <v>0</v>
      </c>
    </row>
    <row r="24" spans="1:35" x14ac:dyDescent="0.25">
      <c r="A24" s="1" t="s">
        <v>1160</v>
      </c>
      <c r="B24" s="2" t="s">
        <v>1307</v>
      </c>
      <c r="C24" s="3">
        <v>45627</v>
      </c>
      <c r="D24" s="4" t="s">
        <v>2</v>
      </c>
      <c r="E24" s="2" t="s">
        <v>1308</v>
      </c>
      <c r="F24" s="5">
        <v>45628</v>
      </c>
      <c r="G24" s="5">
        <v>45992</v>
      </c>
      <c r="H24" s="28" t="s">
        <v>1309</v>
      </c>
      <c r="I24" s="7">
        <v>3210282566343</v>
      </c>
      <c r="J24" s="28" t="s">
        <v>1301</v>
      </c>
      <c r="K24" s="32" t="s">
        <v>1173</v>
      </c>
      <c r="L24" s="2">
        <v>328165</v>
      </c>
      <c r="M24" s="2" t="s">
        <v>1310</v>
      </c>
      <c r="N24" s="2" t="s">
        <v>1307</v>
      </c>
      <c r="O24" s="1" t="s">
        <v>8</v>
      </c>
      <c r="P24" s="2" t="s">
        <v>290</v>
      </c>
      <c r="Q24" s="2" t="s">
        <v>1311</v>
      </c>
      <c r="R24" s="5">
        <v>45636</v>
      </c>
      <c r="S24" s="5">
        <v>47457</v>
      </c>
      <c r="T24" s="29">
        <v>3045000</v>
      </c>
      <c r="U24" s="2"/>
      <c r="V24" s="2"/>
      <c r="W24" s="30">
        <f t="shared" si="0"/>
        <v>3045000</v>
      </c>
      <c r="X24" s="10">
        <v>2</v>
      </c>
      <c r="Y24" s="31">
        <f t="shared" si="1"/>
        <v>60900</v>
      </c>
      <c r="Z24" s="2"/>
      <c r="AA24" s="2" t="s">
        <v>11</v>
      </c>
      <c r="AB24" s="2">
        <v>1141072451</v>
      </c>
      <c r="AC24" s="11">
        <v>45687</v>
      </c>
      <c r="AD24" s="1" t="s">
        <v>12</v>
      </c>
      <c r="AE24" s="1">
        <v>0</v>
      </c>
      <c r="AF24" s="36" t="s">
        <v>1308</v>
      </c>
      <c r="AG24" s="36"/>
      <c r="AH24" s="38">
        <v>60900</v>
      </c>
      <c r="AI24" s="39">
        <f t="shared" si="2"/>
        <v>0</v>
      </c>
    </row>
    <row r="25" spans="1:35" x14ac:dyDescent="0.25">
      <c r="A25" s="1" t="s">
        <v>1160</v>
      </c>
      <c r="B25" s="2" t="s">
        <v>1312</v>
      </c>
      <c r="C25" s="3">
        <v>45627</v>
      </c>
      <c r="D25" s="4" t="s">
        <v>2</v>
      </c>
      <c r="E25" s="2" t="s">
        <v>1313</v>
      </c>
      <c r="F25" s="5">
        <v>45649</v>
      </c>
      <c r="G25" s="5">
        <v>46013</v>
      </c>
      <c r="H25" s="28" t="s">
        <v>1314</v>
      </c>
      <c r="I25" s="7">
        <v>4240195592221</v>
      </c>
      <c r="J25" s="28" t="s">
        <v>1315</v>
      </c>
      <c r="K25" s="2" t="s">
        <v>1316</v>
      </c>
      <c r="L25" s="2" t="s">
        <v>1317</v>
      </c>
      <c r="M25" s="2" t="s">
        <v>1318</v>
      </c>
      <c r="N25" s="2" t="s">
        <v>1312</v>
      </c>
      <c r="O25" s="1" t="s">
        <v>19</v>
      </c>
      <c r="P25" s="2" t="s">
        <v>20</v>
      </c>
      <c r="Q25" s="2" t="s">
        <v>1319</v>
      </c>
      <c r="R25" s="5">
        <v>45650</v>
      </c>
      <c r="S25" s="5">
        <v>47123</v>
      </c>
      <c r="T25" s="29">
        <v>2150000</v>
      </c>
      <c r="U25" s="2"/>
      <c r="V25" s="2"/>
      <c r="W25" s="30">
        <f t="shared" si="0"/>
        <v>2150000</v>
      </c>
      <c r="X25" s="10">
        <v>2</v>
      </c>
      <c r="Y25" s="31">
        <f t="shared" si="1"/>
        <v>43000</v>
      </c>
      <c r="Z25" s="2"/>
      <c r="AA25" s="2" t="s">
        <v>11</v>
      </c>
      <c r="AB25" s="2">
        <v>1141072451</v>
      </c>
      <c r="AC25" s="11">
        <v>45687</v>
      </c>
      <c r="AD25" s="1" t="s">
        <v>12</v>
      </c>
      <c r="AE25" s="1">
        <v>0</v>
      </c>
      <c r="AF25" s="36" t="s">
        <v>1313</v>
      </c>
      <c r="AG25" s="36"/>
      <c r="AH25" s="38">
        <v>43000</v>
      </c>
      <c r="AI25" s="39">
        <f t="shared" si="2"/>
        <v>0</v>
      </c>
    </row>
    <row r="26" spans="1:35" x14ac:dyDescent="0.25">
      <c r="A26" s="1" t="s">
        <v>1160</v>
      </c>
      <c r="B26" s="2" t="s">
        <v>1320</v>
      </c>
      <c r="C26" s="3">
        <v>45627</v>
      </c>
      <c r="D26" s="4" t="s">
        <v>2</v>
      </c>
      <c r="E26" s="2" t="s">
        <v>1321</v>
      </c>
      <c r="F26" s="5">
        <v>45649</v>
      </c>
      <c r="G26" s="5">
        <v>46013</v>
      </c>
      <c r="H26" s="28" t="s">
        <v>1322</v>
      </c>
      <c r="I26" s="7">
        <v>3740552142033</v>
      </c>
      <c r="J26" s="28" t="s">
        <v>1232</v>
      </c>
      <c r="K26" s="32" t="s">
        <v>1173</v>
      </c>
      <c r="L26" s="2">
        <v>332304</v>
      </c>
      <c r="M26" s="2" t="s">
        <v>1323</v>
      </c>
      <c r="N26" s="2" t="s">
        <v>1320</v>
      </c>
      <c r="O26" s="1" t="s">
        <v>27</v>
      </c>
      <c r="P26" s="2" t="s">
        <v>28</v>
      </c>
      <c r="Q26" s="2" t="s">
        <v>1324</v>
      </c>
      <c r="R26" s="5">
        <v>45659</v>
      </c>
      <c r="S26" s="5">
        <v>47123</v>
      </c>
      <c r="T26" s="29">
        <v>3045000</v>
      </c>
      <c r="U26" s="2"/>
      <c r="V26" s="2"/>
      <c r="W26" s="30">
        <f t="shared" si="0"/>
        <v>3045000</v>
      </c>
      <c r="X26" s="10">
        <v>2</v>
      </c>
      <c r="Y26" s="31">
        <f t="shared" si="1"/>
        <v>60900</v>
      </c>
      <c r="Z26" s="2"/>
      <c r="AA26" s="2" t="s">
        <v>11</v>
      </c>
      <c r="AB26" s="2">
        <v>1141072451</v>
      </c>
      <c r="AC26" s="11">
        <v>45687</v>
      </c>
      <c r="AD26" s="1" t="s">
        <v>12</v>
      </c>
      <c r="AE26" s="1">
        <v>0</v>
      </c>
      <c r="AF26" s="36" t="s">
        <v>1321</v>
      </c>
      <c r="AG26" s="36"/>
      <c r="AH26" s="38">
        <v>60900</v>
      </c>
      <c r="AI26" s="39">
        <f t="shared" si="2"/>
        <v>0</v>
      </c>
    </row>
    <row r="27" spans="1:35" x14ac:dyDescent="0.25">
      <c r="A27" s="1" t="s">
        <v>1160</v>
      </c>
      <c r="B27" s="2" t="s">
        <v>1325</v>
      </c>
      <c r="C27" s="3">
        <v>45627</v>
      </c>
      <c r="D27" s="4" t="s">
        <v>2</v>
      </c>
      <c r="E27" s="2" t="s">
        <v>1326</v>
      </c>
      <c r="F27" s="5">
        <v>45650</v>
      </c>
      <c r="G27" s="5">
        <v>46014</v>
      </c>
      <c r="H27" s="28" t="s">
        <v>1327</v>
      </c>
      <c r="I27" s="7">
        <v>3630284301599</v>
      </c>
      <c r="J27" s="28" t="s">
        <v>1328</v>
      </c>
      <c r="K27" s="2" t="s">
        <v>1329</v>
      </c>
      <c r="L27" s="2">
        <v>7049</v>
      </c>
      <c r="M27" s="2" t="s">
        <v>1330</v>
      </c>
      <c r="N27" s="2" t="s">
        <v>1325</v>
      </c>
      <c r="O27" s="1" t="s">
        <v>8</v>
      </c>
      <c r="P27" s="2" t="s">
        <v>391</v>
      </c>
      <c r="Q27" s="2" t="s">
        <v>1331</v>
      </c>
      <c r="R27" s="5">
        <v>45656</v>
      </c>
      <c r="S27" s="5">
        <v>46392</v>
      </c>
      <c r="T27" s="29">
        <v>9000000</v>
      </c>
      <c r="U27" s="2"/>
      <c r="V27" s="2"/>
      <c r="W27" s="30">
        <f t="shared" si="0"/>
        <v>9000000</v>
      </c>
      <c r="X27" s="10">
        <v>1.5</v>
      </c>
      <c r="Y27" s="31">
        <f t="shared" si="1"/>
        <v>135000</v>
      </c>
      <c r="Z27" s="2"/>
      <c r="AA27" s="2" t="s">
        <v>11</v>
      </c>
      <c r="AB27" s="2">
        <v>1141072451</v>
      </c>
      <c r="AC27" s="11">
        <v>45687</v>
      </c>
      <c r="AD27" s="1" t="s">
        <v>12</v>
      </c>
      <c r="AE27" s="1">
        <v>0</v>
      </c>
      <c r="AF27" s="36" t="s">
        <v>1326</v>
      </c>
      <c r="AG27" s="36"/>
      <c r="AH27" s="38">
        <v>135000</v>
      </c>
      <c r="AI27" s="39">
        <f t="shared" si="2"/>
        <v>0</v>
      </c>
    </row>
    <row r="28" spans="1:35" x14ac:dyDescent="0.25">
      <c r="A28" s="1" t="s">
        <v>1160</v>
      </c>
      <c r="B28" s="2" t="s">
        <v>1332</v>
      </c>
      <c r="C28" s="3">
        <v>45627</v>
      </c>
      <c r="D28" s="4" t="s">
        <v>2</v>
      </c>
      <c r="E28" s="2" t="s">
        <v>1333</v>
      </c>
      <c r="F28" s="5">
        <v>45650</v>
      </c>
      <c r="G28" s="5">
        <v>46014</v>
      </c>
      <c r="H28" s="28" t="s">
        <v>1334</v>
      </c>
      <c r="I28" s="7">
        <v>3520223756863</v>
      </c>
      <c r="J28" s="28" t="s">
        <v>1335</v>
      </c>
      <c r="K28" s="2" t="s">
        <v>1336</v>
      </c>
      <c r="L28" s="2">
        <v>523836</v>
      </c>
      <c r="M28" s="2" t="s">
        <v>1337</v>
      </c>
      <c r="N28" s="2" t="s">
        <v>1332</v>
      </c>
      <c r="O28" s="1" t="s">
        <v>8</v>
      </c>
      <c r="P28" s="2" t="s">
        <v>9</v>
      </c>
      <c r="Q28" s="2" t="s">
        <v>1338</v>
      </c>
      <c r="R28" s="5">
        <v>45650</v>
      </c>
      <c r="S28" s="5">
        <v>46757</v>
      </c>
      <c r="T28" s="29">
        <v>4000000</v>
      </c>
      <c r="U28" s="2"/>
      <c r="V28" s="2"/>
      <c r="W28" s="30">
        <f t="shared" si="0"/>
        <v>4000000</v>
      </c>
      <c r="X28" s="10">
        <v>1.5</v>
      </c>
      <c r="Y28" s="31">
        <f t="shared" si="1"/>
        <v>60000</v>
      </c>
      <c r="Z28" s="2"/>
      <c r="AA28" s="2" t="s">
        <v>11</v>
      </c>
      <c r="AB28" s="2">
        <v>1141072451</v>
      </c>
      <c r="AC28" s="11">
        <v>45687</v>
      </c>
      <c r="AD28" s="1" t="s">
        <v>12</v>
      </c>
      <c r="AE28" s="1">
        <v>0</v>
      </c>
      <c r="AF28" s="36" t="s">
        <v>1333</v>
      </c>
      <c r="AG28" s="36"/>
      <c r="AH28" s="38">
        <v>60000</v>
      </c>
      <c r="AI28" s="39">
        <f t="shared" si="2"/>
        <v>0</v>
      </c>
    </row>
    <row r="29" spans="1:35" x14ac:dyDescent="0.25">
      <c r="A29" s="1" t="s">
        <v>1160</v>
      </c>
      <c r="B29" s="2" t="s">
        <v>1339</v>
      </c>
      <c r="C29" s="3">
        <v>45627</v>
      </c>
      <c r="D29" s="4" t="s">
        <v>2</v>
      </c>
      <c r="E29" s="2" t="s">
        <v>1340</v>
      </c>
      <c r="F29" s="5">
        <v>45650</v>
      </c>
      <c r="G29" s="5">
        <v>46014</v>
      </c>
      <c r="H29" s="28" t="s">
        <v>1341</v>
      </c>
      <c r="I29" s="7">
        <v>3520226156293</v>
      </c>
      <c r="J29" s="28" t="s">
        <v>1211</v>
      </c>
      <c r="K29" s="2" t="s">
        <v>1342</v>
      </c>
      <c r="L29" s="2" t="s">
        <v>1343</v>
      </c>
      <c r="M29" s="2" t="s">
        <v>1344</v>
      </c>
      <c r="N29" s="2" t="s">
        <v>1339</v>
      </c>
      <c r="O29" s="1" t="s">
        <v>8</v>
      </c>
      <c r="P29" s="2" t="s">
        <v>9</v>
      </c>
      <c r="Q29" s="2" t="s">
        <v>1345</v>
      </c>
      <c r="R29" s="5">
        <v>45653</v>
      </c>
      <c r="S29" s="5">
        <v>46757</v>
      </c>
      <c r="T29" s="29">
        <v>3200000</v>
      </c>
      <c r="U29" s="2"/>
      <c r="V29" s="2"/>
      <c r="W29" s="30">
        <f t="shared" si="0"/>
        <v>3200000</v>
      </c>
      <c r="X29" s="10">
        <v>2</v>
      </c>
      <c r="Y29" s="31">
        <f t="shared" si="1"/>
        <v>64000</v>
      </c>
      <c r="Z29" s="2"/>
      <c r="AA29" s="2" t="s">
        <v>11</v>
      </c>
      <c r="AB29" s="2">
        <v>1141072451</v>
      </c>
      <c r="AC29" s="11">
        <v>45687</v>
      </c>
      <c r="AD29" s="1" t="s">
        <v>12</v>
      </c>
      <c r="AE29" s="1">
        <v>0</v>
      </c>
      <c r="AF29" s="36" t="s">
        <v>1340</v>
      </c>
      <c r="AG29" s="36"/>
      <c r="AH29" s="38">
        <v>64000</v>
      </c>
      <c r="AI29" s="39">
        <f t="shared" si="2"/>
        <v>0</v>
      </c>
    </row>
    <row r="30" spans="1:35" x14ac:dyDescent="0.25">
      <c r="A30" s="1" t="s">
        <v>1160</v>
      </c>
      <c r="B30" s="2" t="s">
        <v>1346</v>
      </c>
      <c r="C30" s="3">
        <v>45627</v>
      </c>
      <c r="D30" s="4" t="s">
        <v>2</v>
      </c>
      <c r="E30" s="2" t="s">
        <v>1347</v>
      </c>
      <c r="F30" s="5">
        <v>45650</v>
      </c>
      <c r="G30" s="5">
        <v>46014</v>
      </c>
      <c r="H30" s="28" t="s">
        <v>1348</v>
      </c>
      <c r="I30" s="7">
        <v>3520173234079</v>
      </c>
      <c r="J30" s="28" t="s">
        <v>1232</v>
      </c>
      <c r="K30" s="32" t="s">
        <v>1173</v>
      </c>
      <c r="L30" s="2" t="s">
        <v>1349</v>
      </c>
      <c r="M30" s="2" t="s">
        <v>1350</v>
      </c>
      <c r="N30" s="2" t="s">
        <v>1346</v>
      </c>
      <c r="O30" s="1" t="s">
        <v>8</v>
      </c>
      <c r="P30" s="2" t="s">
        <v>418</v>
      </c>
      <c r="Q30" s="2" t="s">
        <v>1351</v>
      </c>
      <c r="R30" s="5">
        <v>45656</v>
      </c>
      <c r="S30" s="5">
        <v>47488</v>
      </c>
      <c r="T30" s="29">
        <v>3045000</v>
      </c>
      <c r="U30" s="2"/>
      <c r="V30" s="2"/>
      <c r="W30" s="30">
        <f t="shared" si="0"/>
        <v>3045000</v>
      </c>
      <c r="X30" s="10">
        <v>2</v>
      </c>
      <c r="Y30" s="31">
        <f t="shared" si="1"/>
        <v>60900</v>
      </c>
      <c r="Z30" s="2"/>
      <c r="AA30" s="2" t="s">
        <v>11</v>
      </c>
      <c r="AB30" s="2">
        <v>1141072451</v>
      </c>
      <c r="AC30" s="11">
        <v>45687</v>
      </c>
      <c r="AD30" s="1" t="s">
        <v>12</v>
      </c>
      <c r="AE30" s="1">
        <v>0</v>
      </c>
      <c r="AF30" s="36" t="s">
        <v>1347</v>
      </c>
      <c r="AG30" s="36"/>
      <c r="AH30" s="44">
        <v>60900</v>
      </c>
      <c r="AI30" s="39">
        <f t="shared" si="2"/>
        <v>0</v>
      </c>
    </row>
    <row r="31" spans="1:35" x14ac:dyDescent="0.25">
      <c r="A31" s="1" t="s">
        <v>1160</v>
      </c>
      <c r="B31" s="2" t="s">
        <v>1352</v>
      </c>
      <c r="C31" s="3">
        <v>45627</v>
      </c>
      <c r="D31" s="4" t="s">
        <v>2</v>
      </c>
      <c r="E31" s="2" t="s">
        <v>1353</v>
      </c>
      <c r="F31" s="5">
        <v>45628</v>
      </c>
      <c r="G31" s="5">
        <v>45992</v>
      </c>
      <c r="H31" s="28" t="s">
        <v>1354</v>
      </c>
      <c r="I31" s="7">
        <v>3520261488379</v>
      </c>
      <c r="J31" s="28" t="s">
        <v>1355</v>
      </c>
      <c r="K31" s="2" t="s">
        <v>1356</v>
      </c>
      <c r="L31" s="2" t="s">
        <v>1357</v>
      </c>
      <c r="M31" s="2" t="s">
        <v>1358</v>
      </c>
      <c r="N31" s="2" t="s">
        <v>1352</v>
      </c>
      <c r="O31" s="1" t="s">
        <v>8</v>
      </c>
      <c r="P31" s="2" t="s">
        <v>9</v>
      </c>
      <c r="Q31" s="2" t="s">
        <v>1359</v>
      </c>
      <c r="R31" s="5">
        <v>45632</v>
      </c>
      <c r="S31" s="5">
        <v>46727</v>
      </c>
      <c r="T31" s="29">
        <v>4400000</v>
      </c>
      <c r="U31" s="2"/>
      <c r="V31" s="2"/>
      <c r="W31" s="30">
        <f t="shared" si="0"/>
        <v>4400000</v>
      </c>
      <c r="X31" s="10">
        <v>1.5</v>
      </c>
      <c r="Y31" s="31">
        <f t="shared" si="1"/>
        <v>66000</v>
      </c>
      <c r="Z31" s="2"/>
      <c r="AA31" s="2" t="s">
        <v>11</v>
      </c>
      <c r="AB31" s="2">
        <v>1141072451</v>
      </c>
      <c r="AC31" s="11">
        <v>45687</v>
      </c>
      <c r="AD31" s="1" t="s">
        <v>12</v>
      </c>
      <c r="AE31" s="1">
        <v>3</v>
      </c>
      <c r="AF31" s="36" t="s">
        <v>1353</v>
      </c>
      <c r="AG31" s="36"/>
      <c r="AH31" s="38">
        <v>66000</v>
      </c>
      <c r="AI31" s="39">
        <f t="shared" si="2"/>
        <v>0</v>
      </c>
    </row>
    <row r="32" spans="1:35" x14ac:dyDescent="0.25">
      <c r="A32" s="1" t="s">
        <v>1160</v>
      </c>
      <c r="B32" s="2" t="s">
        <v>1360</v>
      </c>
      <c r="C32" s="3">
        <v>45627</v>
      </c>
      <c r="D32" s="4" t="s">
        <v>2</v>
      </c>
      <c r="E32" s="2" t="s">
        <v>1361</v>
      </c>
      <c r="F32" s="5">
        <v>45628</v>
      </c>
      <c r="G32" s="5">
        <v>45992</v>
      </c>
      <c r="H32" s="28" t="s">
        <v>1362</v>
      </c>
      <c r="I32" s="7">
        <v>3520228131165</v>
      </c>
      <c r="J32" s="28" t="s">
        <v>1363</v>
      </c>
      <c r="K32" s="2" t="s">
        <v>1364</v>
      </c>
      <c r="L32" s="2">
        <v>329798</v>
      </c>
      <c r="M32" s="2" t="s">
        <v>1365</v>
      </c>
      <c r="N32" s="2" t="s">
        <v>1360</v>
      </c>
      <c r="O32" s="1" t="s">
        <v>8</v>
      </c>
      <c r="P32" s="2" t="s">
        <v>9</v>
      </c>
      <c r="Q32" s="2" t="s">
        <v>1366</v>
      </c>
      <c r="R32" s="5">
        <v>45632</v>
      </c>
      <c r="S32" s="5">
        <v>46727</v>
      </c>
      <c r="T32" s="29">
        <v>6600000</v>
      </c>
      <c r="U32" s="2"/>
      <c r="V32" s="2"/>
      <c r="W32" s="30">
        <f t="shared" si="0"/>
        <v>6600000</v>
      </c>
      <c r="X32" s="10">
        <v>1.5</v>
      </c>
      <c r="Y32" s="31">
        <f t="shared" si="1"/>
        <v>99000</v>
      </c>
      <c r="Z32" s="2"/>
      <c r="AA32" s="2" t="s">
        <v>11</v>
      </c>
      <c r="AB32" s="2">
        <v>1141072451</v>
      </c>
      <c r="AC32" s="11">
        <v>45687</v>
      </c>
      <c r="AD32" s="1" t="s">
        <v>12</v>
      </c>
      <c r="AE32" s="1">
        <v>3</v>
      </c>
      <c r="AF32" s="36" t="s">
        <v>1361</v>
      </c>
      <c r="AG32" s="36"/>
      <c r="AH32" s="38">
        <v>99000</v>
      </c>
      <c r="AI32" s="39">
        <f t="shared" si="2"/>
        <v>0</v>
      </c>
    </row>
    <row r="33" spans="1:35" x14ac:dyDescent="0.25">
      <c r="A33" s="1" t="s">
        <v>1160</v>
      </c>
      <c r="B33" s="2" t="s">
        <v>1367</v>
      </c>
      <c r="C33" s="3">
        <v>45627</v>
      </c>
      <c r="D33" s="4" t="s">
        <v>2</v>
      </c>
      <c r="E33" s="2" t="s">
        <v>1368</v>
      </c>
      <c r="F33" s="5">
        <v>45631</v>
      </c>
      <c r="G33" s="5">
        <v>45995</v>
      </c>
      <c r="H33" s="28" t="s">
        <v>1369</v>
      </c>
      <c r="I33" s="7">
        <v>4240161836551</v>
      </c>
      <c r="J33" s="28" t="s">
        <v>1232</v>
      </c>
      <c r="K33" s="2" t="s">
        <v>1370</v>
      </c>
      <c r="L33" s="2" t="s">
        <v>1371</v>
      </c>
      <c r="M33" s="2" t="s">
        <v>1372</v>
      </c>
      <c r="N33" s="2" t="s">
        <v>1367</v>
      </c>
      <c r="O33" s="1" t="s">
        <v>19</v>
      </c>
      <c r="P33" s="2" t="s">
        <v>20</v>
      </c>
      <c r="Q33" s="2" t="s">
        <v>1373</v>
      </c>
      <c r="R33" s="5">
        <v>45636</v>
      </c>
      <c r="S33" s="5">
        <v>47457</v>
      </c>
      <c r="T33" s="29">
        <v>2200000</v>
      </c>
      <c r="U33" s="2"/>
      <c r="V33" s="2"/>
      <c r="W33" s="30">
        <f t="shared" si="0"/>
        <v>2200000</v>
      </c>
      <c r="X33" s="10">
        <v>2</v>
      </c>
      <c r="Y33" s="31">
        <f t="shared" si="1"/>
        <v>44000</v>
      </c>
      <c r="Z33" s="2"/>
      <c r="AA33" s="2" t="s">
        <v>11</v>
      </c>
      <c r="AB33" s="2">
        <v>1141072451</v>
      </c>
      <c r="AC33" s="11">
        <v>45687</v>
      </c>
      <c r="AD33" s="1" t="s">
        <v>12</v>
      </c>
      <c r="AE33" s="1">
        <v>0</v>
      </c>
      <c r="AF33" s="36" t="s">
        <v>1368</v>
      </c>
      <c r="AG33" s="36"/>
      <c r="AH33" s="38">
        <v>44000</v>
      </c>
      <c r="AI33" s="39">
        <f t="shared" si="2"/>
        <v>0</v>
      </c>
    </row>
    <row r="34" spans="1:35" x14ac:dyDescent="0.25">
      <c r="A34" s="1" t="s">
        <v>1160</v>
      </c>
      <c r="B34" s="2" t="s">
        <v>1374</v>
      </c>
      <c r="C34" s="3">
        <v>45627</v>
      </c>
      <c r="D34" s="4" t="s">
        <v>2</v>
      </c>
      <c r="E34" s="2" t="s">
        <v>1375</v>
      </c>
      <c r="F34" s="5">
        <v>45628</v>
      </c>
      <c r="G34" s="5">
        <v>45992</v>
      </c>
      <c r="H34" s="28" t="s">
        <v>1376</v>
      </c>
      <c r="I34" s="7">
        <v>4210139215135</v>
      </c>
      <c r="J34" s="28" t="s">
        <v>1294</v>
      </c>
      <c r="K34" s="2" t="s">
        <v>1377</v>
      </c>
      <c r="L34" s="2">
        <v>12937022</v>
      </c>
      <c r="M34" s="2" t="s">
        <v>1378</v>
      </c>
      <c r="N34" s="2" t="s">
        <v>1374</v>
      </c>
      <c r="O34" s="1" t="s">
        <v>19</v>
      </c>
      <c r="P34" s="2" t="s">
        <v>20</v>
      </c>
      <c r="Q34" s="2" t="s">
        <v>1379</v>
      </c>
      <c r="R34" s="5">
        <v>45636</v>
      </c>
      <c r="S34" s="5">
        <v>46727</v>
      </c>
      <c r="T34" s="29">
        <v>4750000</v>
      </c>
      <c r="U34" s="2"/>
      <c r="V34" s="2"/>
      <c r="W34" s="30">
        <f t="shared" si="0"/>
        <v>4750000</v>
      </c>
      <c r="X34" s="10">
        <v>1.5</v>
      </c>
      <c r="Y34" s="31">
        <f t="shared" si="1"/>
        <v>71250</v>
      </c>
      <c r="Z34" s="2"/>
      <c r="AA34" s="2" t="s">
        <v>11</v>
      </c>
      <c r="AB34" s="2">
        <v>1141072451</v>
      </c>
      <c r="AC34" s="11">
        <v>45687</v>
      </c>
      <c r="AD34" s="1" t="s">
        <v>12</v>
      </c>
      <c r="AE34" s="1">
        <v>0</v>
      </c>
      <c r="AF34" s="36" t="s">
        <v>1375</v>
      </c>
      <c r="AG34" s="36"/>
      <c r="AH34" s="38">
        <v>71250</v>
      </c>
      <c r="AI34" s="39">
        <f t="shared" si="2"/>
        <v>0</v>
      </c>
    </row>
    <row r="35" spans="1:35" x14ac:dyDescent="0.25">
      <c r="A35" s="1" t="s">
        <v>1160</v>
      </c>
      <c r="B35" s="2" t="s">
        <v>1380</v>
      </c>
      <c r="C35" s="3">
        <v>45627</v>
      </c>
      <c r="D35" s="4" t="s">
        <v>2</v>
      </c>
      <c r="E35" s="2" t="s">
        <v>1381</v>
      </c>
      <c r="F35" s="5">
        <v>45628</v>
      </c>
      <c r="G35" s="5">
        <v>45992</v>
      </c>
      <c r="H35" s="28" t="s">
        <v>1382</v>
      </c>
      <c r="I35" s="7">
        <v>4200030002210</v>
      </c>
      <c r="J35" s="28" t="s">
        <v>1383</v>
      </c>
      <c r="K35" s="2" t="s">
        <v>1384</v>
      </c>
      <c r="L35" s="2">
        <v>168846</v>
      </c>
      <c r="M35" s="2" t="s">
        <v>1385</v>
      </c>
      <c r="N35" s="2" t="s">
        <v>1380</v>
      </c>
      <c r="O35" s="1" t="s">
        <v>19</v>
      </c>
      <c r="P35" s="2" t="s">
        <v>20</v>
      </c>
      <c r="Q35" s="2" t="s">
        <v>1386</v>
      </c>
      <c r="R35" s="5">
        <v>45642</v>
      </c>
      <c r="S35" s="5">
        <v>47488</v>
      </c>
      <c r="T35" s="29">
        <v>2600000</v>
      </c>
      <c r="U35" s="2"/>
      <c r="V35" s="2"/>
      <c r="W35" s="30">
        <f t="shared" si="0"/>
        <v>2600000</v>
      </c>
      <c r="X35" s="10">
        <v>2</v>
      </c>
      <c r="Y35" s="31">
        <f t="shared" si="1"/>
        <v>52000</v>
      </c>
      <c r="Z35" s="2"/>
      <c r="AA35" s="2" t="s">
        <v>11</v>
      </c>
      <c r="AB35" s="2">
        <v>1141072451</v>
      </c>
      <c r="AC35" s="11">
        <v>45687</v>
      </c>
      <c r="AD35" s="1" t="s">
        <v>12</v>
      </c>
      <c r="AE35" s="1">
        <v>0</v>
      </c>
      <c r="AF35" s="36" t="s">
        <v>1381</v>
      </c>
      <c r="AG35" s="36"/>
      <c r="AH35" s="38">
        <v>52000</v>
      </c>
      <c r="AI35" s="39">
        <f t="shared" si="2"/>
        <v>0</v>
      </c>
    </row>
    <row r="36" spans="1:35" x14ac:dyDescent="0.25">
      <c r="A36" s="1" t="s">
        <v>1160</v>
      </c>
      <c r="B36" s="2" t="s">
        <v>1387</v>
      </c>
      <c r="C36" s="3">
        <v>45627</v>
      </c>
      <c r="D36" s="4" t="s">
        <v>2</v>
      </c>
      <c r="E36" s="2" t="s">
        <v>1388</v>
      </c>
      <c r="F36" s="5">
        <v>45628</v>
      </c>
      <c r="G36" s="5">
        <v>45992</v>
      </c>
      <c r="H36" s="28" t="s">
        <v>1389</v>
      </c>
      <c r="I36" s="7">
        <v>3520273884939</v>
      </c>
      <c r="J36" s="28" t="s">
        <v>847</v>
      </c>
      <c r="K36" s="2" t="s">
        <v>1390</v>
      </c>
      <c r="L36" s="2">
        <v>515834</v>
      </c>
      <c r="M36" s="2" t="s">
        <v>1391</v>
      </c>
      <c r="N36" s="2" t="s">
        <v>1387</v>
      </c>
      <c r="O36" s="1" t="s">
        <v>8</v>
      </c>
      <c r="P36" s="2" t="s">
        <v>9</v>
      </c>
      <c r="Q36" s="2" t="s">
        <v>1392</v>
      </c>
      <c r="R36" s="5">
        <v>45643</v>
      </c>
      <c r="S36" s="5">
        <v>47123</v>
      </c>
      <c r="T36" s="29">
        <v>3550000</v>
      </c>
      <c r="U36" s="2"/>
      <c r="V36" s="2"/>
      <c r="W36" s="30">
        <f t="shared" si="0"/>
        <v>3550000</v>
      </c>
      <c r="X36" s="10">
        <v>1.5</v>
      </c>
      <c r="Y36" s="31">
        <f t="shared" si="1"/>
        <v>53250</v>
      </c>
      <c r="Z36" s="2"/>
      <c r="AA36" s="2" t="s">
        <v>11</v>
      </c>
      <c r="AB36" s="2">
        <v>1141072451</v>
      </c>
      <c r="AC36" s="11">
        <v>45687</v>
      </c>
      <c r="AD36" s="1" t="s">
        <v>12</v>
      </c>
      <c r="AE36" s="1">
        <v>0</v>
      </c>
      <c r="AF36" s="36" t="s">
        <v>1388</v>
      </c>
      <c r="AG36" s="36"/>
      <c r="AH36" s="38">
        <v>53250</v>
      </c>
      <c r="AI36" s="39">
        <f t="shared" si="2"/>
        <v>0</v>
      </c>
    </row>
    <row r="37" spans="1:35" x14ac:dyDescent="0.25">
      <c r="A37" s="1" t="s">
        <v>1160</v>
      </c>
      <c r="B37" s="2" t="s">
        <v>1393</v>
      </c>
      <c r="C37" s="3">
        <v>45627</v>
      </c>
      <c r="D37" s="4" t="s">
        <v>2</v>
      </c>
      <c r="E37" s="2" t="s">
        <v>1394</v>
      </c>
      <c r="F37" s="5">
        <v>45638</v>
      </c>
      <c r="G37" s="5">
        <v>46002</v>
      </c>
      <c r="H37" s="28" t="s">
        <v>1395</v>
      </c>
      <c r="I37" s="7">
        <v>3520244919747</v>
      </c>
      <c r="J37" s="28" t="s">
        <v>1396</v>
      </c>
      <c r="K37" s="32" t="s">
        <v>1173</v>
      </c>
      <c r="L37" s="2">
        <v>394454</v>
      </c>
      <c r="M37" s="2" t="s">
        <v>1397</v>
      </c>
      <c r="N37" s="2" t="s">
        <v>1393</v>
      </c>
      <c r="O37" s="1" t="s">
        <v>8</v>
      </c>
      <c r="P37" s="2" t="s">
        <v>9</v>
      </c>
      <c r="Q37" s="2" t="s">
        <v>1398</v>
      </c>
      <c r="R37" s="5">
        <v>45643</v>
      </c>
      <c r="S37" s="5">
        <v>47488</v>
      </c>
      <c r="T37" s="29">
        <v>1856000</v>
      </c>
      <c r="U37" s="2"/>
      <c r="V37" s="2"/>
      <c r="W37" s="30">
        <f t="shared" si="0"/>
        <v>1856000</v>
      </c>
      <c r="X37" s="10">
        <v>2</v>
      </c>
      <c r="Y37" s="31">
        <f t="shared" si="1"/>
        <v>37120</v>
      </c>
      <c r="Z37" s="2"/>
      <c r="AA37" s="2" t="s">
        <v>11</v>
      </c>
      <c r="AB37" s="2">
        <v>1141072451</v>
      </c>
      <c r="AC37" s="11">
        <v>45687</v>
      </c>
      <c r="AD37" s="1" t="s">
        <v>12</v>
      </c>
      <c r="AE37" s="1">
        <v>0</v>
      </c>
      <c r="AF37" s="36" t="s">
        <v>1394</v>
      </c>
      <c r="AG37" s="36"/>
      <c r="AH37" s="38">
        <v>37120</v>
      </c>
      <c r="AI37" s="39">
        <f t="shared" si="2"/>
        <v>0</v>
      </c>
    </row>
    <row r="38" spans="1:35" x14ac:dyDescent="0.25">
      <c r="A38" s="1" t="s">
        <v>1160</v>
      </c>
      <c r="B38" s="2" t="s">
        <v>1399</v>
      </c>
      <c r="C38" s="3">
        <v>45627</v>
      </c>
      <c r="D38" s="4" t="s">
        <v>2</v>
      </c>
      <c r="E38" s="2" t="s">
        <v>1400</v>
      </c>
      <c r="F38" s="5">
        <v>45644</v>
      </c>
      <c r="G38" s="5">
        <v>46008</v>
      </c>
      <c r="H38" s="28" t="s">
        <v>1401</v>
      </c>
      <c r="I38" s="7">
        <v>2110502379687</v>
      </c>
      <c r="J38" s="28" t="s">
        <v>1396</v>
      </c>
      <c r="K38" s="32" t="s">
        <v>1173</v>
      </c>
      <c r="L38" s="2">
        <v>394540</v>
      </c>
      <c r="M38" s="2" t="s">
        <v>1402</v>
      </c>
      <c r="N38" s="2" t="s">
        <v>1399</v>
      </c>
      <c r="O38" s="1" t="s">
        <v>27</v>
      </c>
      <c r="P38" s="2" t="s">
        <v>1403</v>
      </c>
      <c r="Q38" s="2" t="s">
        <v>1404</v>
      </c>
      <c r="R38" s="5">
        <v>45652</v>
      </c>
      <c r="S38" s="5">
        <v>46757</v>
      </c>
      <c r="T38" s="29">
        <v>1856000</v>
      </c>
      <c r="U38" s="2"/>
      <c r="V38" s="2"/>
      <c r="W38" s="30">
        <f t="shared" si="0"/>
        <v>1856000</v>
      </c>
      <c r="X38" s="10">
        <v>2</v>
      </c>
      <c r="Y38" s="31">
        <f t="shared" si="1"/>
        <v>37120</v>
      </c>
      <c r="Z38" s="2"/>
      <c r="AA38" s="2" t="s">
        <v>11</v>
      </c>
      <c r="AB38" s="2">
        <v>1141072451</v>
      </c>
      <c r="AC38" s="11">
        <v>45687</v>
      </c>
      <c r="AD38" s="1" t="s">
        <v>12</v>
      </c>
      <c r="AE38" s="1">
        <v>0</v>
      </c>
      <c r="AF38" s="36" t="s">
        <v>1400</v>
      </c>
      <c r="AG38" s="36"/>
      <c r="AH38" s="38">
        <v>37120</v>
      </c>
      <c r="AI38" s="39">
        <f t="shared" si="2"/>
        <v>0</v>
      </c>
    </row>
    <row r="39" spans="1:35" x14ac:dyDescent="0.25">
      <c r="A39" s="1" t="s">
        <v>1160</v>
      </c>
      <c r="B39" s="2" t="s">
        <v>1405</v>
      </c>
      <c r="C39" s="3">
        <v>45597</v>
      </c>
      <c r="D39" s="4" t="s">
        <v>2</v>
      </c>
      <c r="E39" s="2" t="s">
        <v>1406</v>
      </c>
      <c r="F39" s="5">
        <v>45625</v>
      </c>
      <c r="G39" s="5">
        <v>45989</v>
      </c>
      <c r="H39" s="28" t="s">
        <v>1407</v>
      </c>
      <c r="I39" s="7">
        <v>3610102621529</v>
      </c>
      <c r="J39" s="28" t="s">
        <v>1355</v>
      </c>
      <c r="K39" s="2" t="s">
        <v>1408</v>
      </c>
      <c r="L39" s="2">
        <v>42433</v>
      </c>
      <c r="M39" s="2" t="s">
        <v>1409</v>
      </c>
      <c r="N39" s="2" t="s">
        <v>1405</v>
      </c>
      <c r="O39" s="1" t="s">
        <v>8</v>
      </c>
      <c r="P39" s="2" t="s">
        <v>391</v>
      </c>
      <c r="Q39" s="2" t="s">
        <v>1410</v>
      </c>
      <c r="R39" s="5">
        <v>45636</v>
      </c>
      <c r="S39" s="5">
        <v>47092</v>
      </c>
      <c r="T39" s="29">
        <v>3700000</v>
      </c>
      <c r="U39" s="2"/>
      <c r="V39" s="2"/>
      <c r="W39" s="30">
        <f t="shared" si="0"/>
        <v>3700000</v>
      </c>
      <c r="X39" s="10">
        <v>1.5</v>
      </c>
      <c r="Y39" s="31">
        <f t="shared" si="1"/>
        <v>55500</v>
      </c>
      <c r="Z39" s="2"/>
      <c r="AA39" s="2" t="s">
        <v>11</v>
      </c>
      <c r="AB39" s="2">
        <v>1141072451</v>
      </c>
      <c r="AC39" s="11">
        <v>45687</v>
      </c>
      <c r="AD39" s="1" t="s">
        <v>12</v>
      </c>
      <c r="AE39" s="1">
        <v>0</v>
      </c>
      <c r="AF39" s="36" t="s">
        <v>1406</v>
      </c>
      <c r="AG39" s="36"/>
      <c r="AH39" s="38">
        <v>55500</v>
      </c>
      <c r="AI39" s="39">
        <f t="shared" si="2"/>
        <v>0</v>
      </c>
    </row>
    <row r="41" spans="1:35" x14ac:dyDescent="0.25">
      <c r="Y41" s="43">
        <f>SUBTOTAL(9,Y2:Y39)</f>
        <v>2272610</v>
      </c>
      <c r="AH41" s="43">
        <f>SUBTOTAL(9,AH2:AH39)</f>
        <v>2280130</v>
      </c>
    </row>
  </sheetData>
  <autoFilter ref="A1:AI39" xr:uid="{00000000-0009-0000-0000-000000000000}"/>
  <conditionalFormatting sqref="E39">
    <cfRule type="duplicateValues" dxfId="24" priority="1"/>
    <cfRule type="duplicateValues" dxfId="23" priority="2"/>
    <cfRule type="duplicateValues" dxfId="22" priority="3"/>
    <cfRule type="duplicateValues" dxfId="21" priority="4"/>
    <cfRule type="duplicateValues" dxfId="20" priority="5"/>
  </conditionalFormatting>
  <conditionalFormatting sqref="K5:M5 L2:M4 K8:M8 L6:M7 K10:M10 L9:M9 K13:M13 L11:M12 K16:M17 L14:M15 K19:M19 L18:M18 K21:M21 L20:M20">
    <cfRule type="duplicateValues" dxfId="19" priority="6" stopIfTrue="1"/>
    <cfRule type="duplicateValues" dxfId="18" priority="7" stopIfTrue="1"/>
  </conditionalFormatting>
  <conditionalFormatting sqref="K22:M22 K24:M24 L23:M23 K26:M28 L25:M25 K30:M35 L29:M29 K38:M38 L36:M37">
    <cfRule type="duplicateValues" dxfId="17" priority="9" stopIfTrue="1"/>
    <cfRule type="duplicateValues" dxfId="16" priority="10" stopIfTrue="1"/>
  </conditionalFormatting>
  <conditionalFormatting sqref="L2:M21">
    <cfRule type="duplicateValues" dxfId="15" priority="8" stopIfTrue="1"/>
  </conditionalFormatting>
  <conditionalFormatting sqref="L2:M39">
    <cfRule type="duplicateValues" dxfId="14" priority="12"/>
  </conditionalFormatting>
  <conditionalFormatting sqref="L22:M38">
    <cfRule type="duplicateValues" dxfId="13" priority="1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64"/>
  <sheetViews>
    <sheetView topLeftCell="AF148" workbookViewId="0">
      <selection activeCell="AG162" sqref="AG2:AG162"/>
    </sheetView>
  </sheetViews>
  <sheetFormatPr defaultRowHeight="15" x14ac:dyDescent="0.25"/>
  <cols>
    <col min="1" max="1" width="6" hidden="1" customWidth="1"/>
    <col min="2" max="2" width="8.42578125" hidden="1" customWidth="1"/>
    <col min="3" max="3" width="8.7109375" hidden="1" customWidth="1"/>
    <col min="4" max="4" width="13.42578125" hidden="1" customWidth="1"/>
    <col min="5" max="5" width="31.42578125" hidden="1" customWidth="1"/>
    <col min="6" max="6" width="8.42578125" hidden="1" customWidth="1"/>
    <col min="7" max="7" width="7.42578125" hidden="1" customWidth="1"/>
    <col min="8" max="8" width="24.7109375" hidden="1" customWidth="1"/>
    <col min="9" max="9" width="10.85546875" hidden="1" customWidth="1"/>
    <col min="10" max="10" width="18.7109375" hidden="1" customWidth="1"/>
    <col min="11" max="11" width="9.140625" hidden="1" customWidth="1"/>
    <col min="12" max="12" width="13.7109375" hidden="1" customWidth="1"/>
    <col min="13" max="13" width="14.42578125" hidden="1" customWidth="1"/>
    <col min="14" max="14" width="8.42578125" hidden="1" customWidth="1"/>
    <col min="15" max="15" width="5.140625" hidden="1" customWidth="1"/>
    <col min="16" max="16" width="4.85546875" hidden="1" customWidth="1"/>
    <col min="17" max="17" width="5.42578125" hidden="1" customWidth="1"/>
    <col min="18" max="18" width="7" hidden="1" customWidth="1"/>
    <col min="19" max="19" width="6.140625" hidden="1" customWidth="1"/>
    <col min="20" max="20" width="8.140625" hidden="1" customWidth="1"/>
    <col min="21" max="21" width="4.85546875" hidden="1" customWidth="1"/>
    <col min="22" max="23" width="7.7109375" hidden="1" customWidth="1"/>
    <col min="24" max="24" width="8.42578125" hidden="1" customWidth="1"/>
    <col min="25" max="25" width="7.7109375" hidden="1" customWidth="1"/>
    <col min="26" max="26" width="8.7109375" hidden="1" customWidth="1"/>
    <col min="27" max="27" width="8" hidden="1" customWidth="1"/>
    <col min="28" max="29" width="8.42578125" hidden="1" customWidth="1"/>
    <col min="30" max="30" width="7.42578125" hidden="1" customWidth="1"/>
    <col min="31" max="31" width="8.5703125" hidden="1" customWidth="1"/>
    <col min="32" max="32" width="41.140625" bestFit="1" customWidth="1"/>
    <col min="33" max="33" width="13.140625" bestFit="1" customWidth="1"/>
    <col min="34" max="34" width="9.42578125" bestFit="1" customWidth="1"/>
  </cols>
  <sheetData>
    <row r="1" spans="1:34" ht="45" x14ac:dyDescent="0.25">
      <c r="A1" s="12" t="s">
        <v>1130</v>
      </c>
      <c r="B1" s="13" t="s">
        <v>1131</v>
      </c>
      <c r="C1" s="12" t="s">
        <v>1132</v>
      </c>
      <c r="D1" s="12" t="s">
        <v>1133</v>
      </c>
      <c r="E1" s="12" t="s">
        <v>1134</v>
      </c>
      <c r="F1" s="14" t="s">
        <v>1135</v>
      </c>
      <c r="G1" s="14" t="s">
        <v>1136</v>
      </c>
      <c r="H1" s="12" t="s">
        <v>1137</v>
      </c>
      <c r="I1" s="15" t="s">
        <v>1138</v>
      </c>
      <c r="J1" s="12" t="s">
        <v>1139</v>
      </c>
      <c r="K1" s="12" t="s">
        <v>1140</v>
      </c>
      <c r="L1" s="12" t="s">
        <v>1141</v>
      </c>
      <c r="M1" s="12" t="s">
        <v>1142</v>
      </c>
      <c r="N1" s="12" t="s">
        <v>1131</v>
      </c>
      <c r="O1" s="16" t="s">
        <v>1143</v>
      </c>
      <c r="P1" s="16" t="s">
        <v>1144</v>
      </c>
      <c r="Q1" s="16" t="s">
        <v>1145</v>
      </c>
      <c r="R1" s="17" t="s">
        <v>1146</v>
      </c>
      <c r="S1" s="17" t="s">
        <v>1147</v>
      </c>
      <c r="T1" s="18" t="s">
        <v>1148</v>
      </c>
      <c r="U1" s="19" t="s">
        <v>1149</v>
      </c>
      <c r="V1" s="18" t="s">
        <v>1150</v>
      </c>
      <c r="W1" s="20" t="s">
        <v>1151</v>
      </c>
      <c r="X1" s="21" t="s">
        <v>1152</v>
      </c>
      <c r="Y1" s="20" t="s">
        <v>1153</v>
      </c>
      <c r="Z1" s="22" t="s">
        <v>1154</v>
      </c>
      <c r="AA1" s="23" t="s">
        <v>1155</v>
      </c>
      <c r="AB1" s="24" t="s">
        <v>1156</v>
      </c>
      <c r="AC1" s="25" t="s">
        <v>1157</v>
      </c>
      <c r="AD1" s="20" t="s">
        <v>1158</v>
      </c>
      <c r="AE1" s="26" t="s">
        <v>1159</v>
      </c>
      <c r="AF1" s="37" t="s">
        <v>1411</v>
      </c>
      <c r="AG1" s="37" t="s">
        <v>1412</v>
      </c>
      <c r="AH1" s="37" t="s">
        <v>1413</v>
      </c>
    </row>
    <row r="2" spans="1:34" x14ac:dyDescent="0.25">
      <c r="A2" s="1" t="s">
        <v>0</v>
      </c>
      <c r="B2" s="2" t="s">
        <v>1</v>
      </c>
      <c r="C2" s="3">
        <v>45627</v>
      </c>
      <c r="D2" s="4" t="s">
        <v>2</v>
      </c>
      <c r="E2" s="2" t="s">
        <v>3</v>
      </c>
      <c r="F2" s="5">
        <v>45645</v>
      </c>
      <c r="G2" s="5">
        <v>46009</v>
      </c>
      <c r="H2" s="6" t="s">
        <v>4</v>
      </c>
      <c r="I2" s="7">
        <v>3520197275909</v>
      </c>
      <c r="J2" s="6" t="s">
        <v>5</v>
      </c>
      <c r="K2" s="2" t="s">
        <v>6</v>
      </c>
      <c r="L2" s="2">
        <v>608606</v>
      </c>
      <c r="M2" s="2" t="s">
        <v>7</v>
      </c>
      <c r="N2" s="2" t="s">
        <v>1</v>
      </c>
      <c r="O2" s="2" t="s">
        <v>8</v>
      </c>
      <c r="P2" s="2" t="s">
        <v>9</v>
      </c>
      <c r="Q2" s="2" t="s">
        <v>10</v>
      </c>
      <c r="R2" s="5">
        <v>45287</v>
      </c>
      <c r="S2" s="5">
        <v>46392</v>
      </c>
      <c r="T2" s="8">
        <v>900000</v>
      </c>
      <c r="U2" s="2">
        <v>10</v>
      </c>
      <c r="V2" s="9">
        <f t="shared" ref="V2:V65" si="0">T2*U2%</f>
        <v>90000</v>
      </c>
      <c r="W2" s="9">
        <f t="shared" ref="W2:W65" si="1">T2-V2</f>
        <v>810000</v>
      </c>
      <c r="X2" s="10">
        <v>2</v>
      </c>
      <c r="Y2" s="9">
        <f t="shared" ref="Y2:Y65" si="2">W2*X2%</f>
        <v>16200</v>
      </c>
      <c r="Z2" s="2"/>
      <c r="AA2" s="2" t="s">
        <v>11</v>
      </c>
      <c r="AB2" s="2">
        <v>1141072474</v>
      </c>
      <c r="AC2" s="11">
        <v>45688</v>
      </c>
      <c r="AD2" s="2" t="s">
        <v>12</v>
      </c>
      <c r="AE2" s="2">
        <v>0</v>
      </c>
      <c r="AF2" s="36" t="s">
        <v>3</v>
      </c>
      <c r="AG2" s="38">
        <v>16200</v>
      </c>
      <c r="AH2" s="39">
        <f>Y2-AG2</f>
        <v>0</v>
      </c>
    </row>
    <row r="3" spans="1:34" x14ac:dyDescent="0.25">
      <c r="A3" s="1" t="s">
        <v>0</v>
      </c>
      <c r="B3" s="2" t="s">
        <v>13</v>
      </c>
      <c r="C3" s="3">
        <v>45627</v>
      </c>
      <c r="D3" s="4" t="s">
        <v>2</v>
      </c>
      <c r="E3" s="2" t="s">
        <v>14</v>
      </c>
      <c r="F3" s="5">
        <v>45629</v>
      </c>
      <c r="G3" s="5">
        <v>45993</v>
      </c>
      <c r="H3" s="6" t="s">
        <v>15</v>
      </c>
      <c r="I3" s="7">
        <v>4220178497155</v>
      </c>
      <c r="J3" s="6" t="s">
        <v>16</v>
      </c>
      <c r="K3" s="2" t="s">
        <v>17</v>
      </c>
      <c r="L3" s="2">
        <v>364707</v>
      </c>
      <c r="M3" s="2" t="s">
        <v>18</v>
      </c>
      <c r="N3" s="2" t="s">
        <v>13</v>
      </c>
      <c r="O3" s="2" t="s">
        <v>19</v>
      </c>
      <c r="P3" s="2" t="s">
        <v>20</v>
      </c>
      <c r="Q3" s="2" t="s">
        <v>21</v>
      </c>
      <c r="R3" s="5">
        <v>44175</v>
      </c>
      <c r="S3" s="5">
        <v>45996</v>
      </c>
      <c r="T3" s="8">
        <v>1034000</v>
      </c>
      <c r="U3" s="2">
        <v>25</v>
      </c>
      <c r="V3" s="9">
        <f t="shared" si="0"/>
        <v>258500</v>
      </c>
      <c r="W3" s="9">
        <f t="shared" si="1"/>
        <v>775500</v>
      </c>
      <c r="X3" s="10">
        <v>2.5</v>
      </c>
      <c r="Y3" s="9">
        <f t="shared" si="2"/>
        <v>19387.5</v>
      </c>
      <c r="Z3" s="2"/>
      <c r="AA3" s="2" t="s">
        <v>11</v>
      </c>
      <c r="AB3" s="2">
        <v>1141072474</v>
      </c>
      <c r="AC3" s="11">
        <v>45688</v>
      </c>
      <c r="AD3" s="2" t="s">
        <v>12</v>
      </c>
      <c r="AE3" s="2">
        <v>0</v>
      </c>
      <c r="AF3" s="36" t="s">
        <v>14</v>
      </c>
      <c r="AG3" s="38">
        <v>19388</v>
      </c>
      <c r="AH3" s="39">
        <f t="shared" ref="AH3:AH66" si="3">Y3-AG3</f>
        <v>-0.5</v>
      </c>
    </row>
    <row r="4" spans="1:34" x14ac:dyDescent="0.25">
      <c r="A4" s="1" t="s">
        <v>0</v>
      </c>
      <c r="B4" s="2" t="s">
        <v>22</v>
      </c>
      <c r="C4" s="3">
        <v>45627</v>
      </c>
      <c r="D4" s="4" t="s">
        <v>2</v>
      </c>
      <c r="E4" s="2" t="s">
        <v>23</v>
      </c>
      <c r="F4" s="5">
        <v>45637</v>
      </c>
      <c r="G4" s="5">
        <v>46001</v>
      </c>
      <c r="H4" s="6" t="s">
        <v>24</v>
      </c>
      <c r="I4" s="7">
        <v>3740538789797</v>
      </c>
      <c r="J4" s="6" t="s">
        <v>16</v>
      </c>
      <c r="K4" s="2" t="s">
        <v>25</v>
      </c>
      <c r="L4" s="2">
        <v>364993</v>
      </c>
      <c r="M4" s="2" t="s">
        <v>26</v>
      </c>
      <c r="N4" s="2" t="s">
        <v>22</v>
      </c>
      <c r="O4" s="2" t="s">
        <v>27</v>
      </c>
      <c r="P4" s="2" t="s">
        <v>28</v>
      </c>
      <c r="Q4" s="2" t="s">
        <v>29</v>
      </c>
      <c r="R4" s="5">
        <v>44182</v>
      </c>
      <c r="S4" s="5">
        <v>46027</v>
      </c>
      <c r="T4" s="8">
        <v>1034000</v>
      </c>
      <c r="U4" s="2">
        <v>25</v>
      </c>
      <c r="V4" s="9">
        <f t="shared" si="0"/>
        <v>258500</v>
      </c>
      <c r="W4" s="9">
        <f t="shared" si="1"/>
        <v>775500</v>
      </c>
      <c r="X4" s="10">
        <v>2.5</v>
      </c>
      <c r="Y4" s="9">
        <f t="shared" si="2"/>
        <v>19387.5</v>
      </c>
      <c r="Z4" s="2"/>
      <c r="AA4" s="2" t="s">
        <v>11</v>
      </c>
      <c r="AB4" s="2">
        <v>1141072474</v>
      </c>
      <c r="AC4" s="11">
        <v>45688</v>
      </c>
      <c r="AD4" s="2" t="s">
        <v>12</v>
      </c>
      <c r="AE4" s="2">
        <v>0</v>
      </c>
      <c r="AF4" s="36" t="s">
        <v>23</v>
      </c>
      <c r="AG4" s="38">
        <v>19388</v>
      </c>
      <c r="AH4" s="39">
        <f t="shared" si="3"/>
        <v>-0.5</v>
      </c>
    </row>
    <row r="5" spans="1:34" x14ac:dyDescent="0.25">
      <c r="A5" s="1" t="s">
        <v>0</v>
      </c>
      <c r="B5" s="2" t="s">
        <v>30</v>
      </c>
      <c r="C5" s="3">
        <v>45627</v>
      </c>
      <c r="D5" s="4" t="s">
        <v>2</v>
      </c>
      <c r="E5" s="2" t="s">
        <v>31</v>
      </c>
      <c r="F5" s="5">
        <v>45641</v>
      </c>
      <c r="G5" s="5">
        <v>46005</v>
      </c>
      <c r="H5" s="6" t="s">
        <v>32</v>
      </c>
      <c r="I5" s="7">
        <v>3520183617665</v>
      </c>
      <c r="J5" s="6" t="s">
        <v>33</v>
      </c>
      <c r="K5" s="2" t="s">
        <v>34</v>
      </c>
      <c r="L5" s="2" t="s">
        <v>35</v>
      </c>
      <c r="M5" s="2" t="s">
        <v>36</v>
      </c>
      <c r="N5" s="2" t="s">
        <v>30</v>
      </c>
      <c r="O5" s="2" t="s">
        <v>8</v>
      </c>
      <c r="P5" s="2" t="s">
        <v>9</v>
      </c>
      <c r="Q5" s="2" t="s">
        <v>37</v>
      </c>
      <c r="R5" s="5">
        <v>44547</v>
      </c>
      <c r="S5" s="5">
        <v>46392</v>
      </c>
      <c r="T5" s="8">
        <v>1111000</v>
      </c>
      <c r="U5" s="2">
        <v>20</v>
      </c>
      <c r="V5" s="9">
        <f t="shared" si="0"/>
        <v>222200</v>
      </c>
      <c r="W5" s="9">
        <f t="shared" si="1"/>
        <v>888800</v>
      </c>
      <c r="X5" s="10">
        <v>1.75</v>
      </c>
      <c r="Y5" s="9">
        <f t="shared" si="2"/>
        <v>15554.000000000002</v>
      </c>
      <c r="Z5" s="2"/>
      <c r="AA5" s="2" t="s">
        <v>11</v>
      </c>
      <c r="AB5" s="2">
        <v>1141072474</v>
      </c>
      <c r="AC5" s="11">
        <v>45688</v>
      </c>
      <c r="AD5" s="2" t="s">
        <v>12</v>
      </c>
      <c r="AE5" s="2">
        <v>0</v>
      </c>
      <c r="AF5" s="36" t="s">
        <v>31</v>
      </c>
      <c r="AG5" s="38">
        <v>15554</v>
      </c>
      <c r="AH5" s="39">
        <f t="shared" si="3"/>
        <v>0</v>
      </c>
    </row>
    <row r="6" spans="1:34" x14ac:dyDescent="0.25">
      <c r="A6" s="1" t="s">
        <v>0</v>
      </c>
      <c r="B6" s="2" t="s">
        <v>38</v>
      </c>
      <c r="C6" s="3">
        <v>45627</v>
      </c>
      <c r="D6" s="4" t="s">
        <v>2</v>
      </c>
      <c r="E6" s="2" t="s">
        <v>39</v>
      </c>
      <c r="F6" s="5">
        <v>45634</v>
      </c>
      <c r="G6" s="5">
        <v>45998</v>
      </c>
      <c r="H6" s="6" t="s">
        <v>40</v>
      </c>
      <c r="I6" s="7">
        <v>3520132884715</v>
      </c>
      <c r="J6" s="6" t="s">
        <v>16</v>
      </c>
      <c r="K6" s="2" t="s">
        <v>41</v>
      </c>
      <c r="L6" s="2">
        <v>377888</v>
      </c>
      <c r="M6" s="2" t="s">
        <v>42</v>
      </c>
      <c r="N6" s="2" t="s">
        <v>38</v>
      </c>
      <c r="O6" s="2" t="s">
        <v>8</v>
      </c>
      <c r="P6" s="2" t="s">
        <v>9</v>
      </c>
      <c r="Q6" s="2" t="s">
        <v>43</v>
      </c>
      <c r="R6" s="5">
        <v>44544</v>
      </c>
      <c r="S6" s="5">
        <v>46361</v>
      </c>
      <c r="T6" s="8">
        <v>1117000</v>
      </c>
      <c r="U6" s="2">
        <v>20</v>
      </c>
      <c r="V6" s="9">
        <f t="shared" si="0"/>
        <v>223400</v>
      </c>
      <c r="W6" s="9">
        <f t="shared" si="1"/>
        <v>893600</v>
      </c>
      <c r="X6" s="10">
        <v>1.75</v>
      </c>
      <c r="Y6" s="9">
        <f t="shared" si="2"/>
        <v>15638.000000000002</v>
      </c>
      <c r="Z6" s="2"/>
      <c r="AA6" s="2" t="s">
        <v>11</v>
      </c>
      <c r="AB6" s="2">
        <v>1141072474</v>
      </c>
      <c r="AC6" s="11">
        <v>45688</v>
      </c>
      <c r="AD6" s="2" t="s">
        <v>12</v>
      </c>
      <c r="AE6" s="2">
        <v>62</v>
      </c>
      <c r="AF6" s="36" t="s">
        <v>39</v>
      </c>
      <c r="AG6" s="38">
        <v>15638</v>
      </c>
      <c r="AH6" s="39">
        <f t="shared" si="3"/>
        <v>0</v>
      </c>
    </row>
    <row r="7" spans="1:34" x14ac:dyDescent="0.25">
      <c r="A7" s="1" t="s">
        <v>0</v>
      </c>
      <c r="B7" s="2" t="s">
        <v>44</v>
      </c>
      <c r="C7" s="3">
        <v>45627</v>
      </c>
      <c r="D7" s="4" t="s">
        <v>2</v>
      </c>
      <c r="E7" s="2" t="s">
        <v>45</v>
      </c>
      <c r="F7" s="5">
        <v>45641</v>
      </c>
      <c r="G7" s="5">
        <v>46005</v>
      </c>
      <c r="H7" s="6" t="s">
        <v>46</v>
      </c>
      <c r="I7" s="7">
        <v>3520117693435</v>
      </c>
      <c r="J7" s="6" t="s">
        <v>16</v>
      </c>
      <c r="K7" s="2" t="s">
        <v>47</v>
      </c>
      <c r="L7" s="2">
        <v>378041</v>
      </c>
      <c r="M7" s="2" t="s">
        <v>48</v>
      </c>
      <c r="N7" s="2" t="s">
        <v>44</v>
      </c>
      <c r="O7" s="2" t="s">
        <v>8</v>
      </c>
      <c r="P7" s="2" t="s">
        <v>9</v>
      </c>
      <c r="Q7" s="2" t="s">
        <v>49</v>
      </c>
      <c r="R7" s="5">
        <v>44552</v>
      </c>
      <c r="S7" s="5">
        <v>46392</v>
      </c>
      <c r="T7" s="8">
        <v>1117000</v>
      </c>
      <c r="U7" s="2">
        <v>20</v>
      </c>
      <c r="V7" s="9">
        <f t="shared" si="0"/>
        <v>223400</v>
      </c>
      <c r="W7" s="9">
        <f t="shared" si="1"/>
        <v>893600</v>
      </c>
      <c r="X7" s="10">
        <v>1.75</v>
      </c>
      <c r="Y7" s="9">
        <f t="shared" si="2"/>
        <v>15638.000000000002</v>
      </c>
      <c r="Z7" s="2"/>
      <c r="AA7" s="2" t="s">
        <v>11</v>
      </c>
      <c r="AB7" s="2">
        <v>1141072474</v>
      </c>
      <c r="AC7" s="11">
        <v>45688</v>
      </c>
      <c r="AD7" s="2" t="s">
        <v>12</v>
      </c>
      <c r="AE7" s="2">
        <v>0</v>
      </c>
      <c r="AF7" s="36" t="s">
        <v>45</v>
      </c>
      <c r="AG7" s="38">
        <v>15638</v>
      </c>
      <c r="AH7" s="39">
        <f t="shared" si="3"/>
        <v>0</v>
      </c>
    </row>
    <row r="8" spans="1:34" x14ac:dyDescent="0.25">
      <c r="A8" s="1" t="s">
        <v>0</v>
      </c>
      <c r="B8" s="2" t="s">
        <v>50</v>
      </c>
      <c r="C8" s="3">
        <v>45627</v>
      </c>
      <c r="D8" s="4" t="s">
        <v>2</v>
      </c>
      <c r="E8" s="2" t="s">
        <v>51</v>
      </c>
      <c r="F8" s="5">
        <v>45643</v>
      </c>
      <c r="G8" s="5">
        <v>46007</v>
      </c>
      <c r="H8" s="6" t="s">
        <v>52</v>
      </c>
      <c r="I8" s="7">
        <v>3740517536053</v>
      </c>
      <c r="J8" s="6" t="s">
        <v>16</v>
      </c>
      <c r="K8" s="2" t="s">
        <v>53</v>
      </c>
      <c r="L8" s="2">
        <v>378815</v>
      </c>
      <c r="M8" s="2" t="s">
        <v>54</v>
      </c>
      <c r="N8" s="2" t="s">
        <v>50</v>
      </c>
      <c r="O8" s="2" t="s">
        <v>27</v>
      </c>
      <c r="P8" s="2" t="s">
        <v>28</v>
      </c>
      <c r="Q8" s="2" t="s">
        <v>55</v>
      </c>
      <c r="R8" s="5">
        <v>44551</v>
      </c>
      <c r="S8" s="5">
        <v>46392</v>
      </c>
      <c r="T8" s="8">
        <v>1117000</v>
      </c>
      <c r="U8" s="2">
        <v>20</v>
      </c>
      <c r="V8" s="9">
        <f t="shared" si="0"/>
        <v>223400</v>
      </c>
      <c r="W8" s="9">
        <f t="shared" si="1"/>
        <v>893600</v>
      </c>
      <c r="X8" s="10">
        <v>1.75</v>
      </c>
      <c r="Y8" s="9">
        <f t="shared" si="2"/>
        <v>15638.000000000002</v>
      </c>
      <c r="Z8" s="2"/>
      <c r="AA8" s="2" t="s">
        <v>11</v>
      </c>
      <c r="AB8" s="2">
        <v>1141072474</v>
      </c>
      <c r="AC8" s="11">
        <v>45688</v>
      </c>
      <c r="AD8" s="2" t="s">
        <v>12</v>
      </c>
      <c r="AE8" s="2">
        <v>0</v>
      </c>
      <c r="AF8" s="36" t="s">
        <v>51</v>
      </c>
      <c r="AG8" s="38">
        <v>15638</v>
      </c>
      <c r="AH8" s="39">
        <f t="shared" si="3"/>
        <v>0</v>
      </c>
    </row>
    <row r="9" spans="1:34" x14ac:dyDescent="0.25">
      <c r="A9" s="1" t="s">
        <v>0</v>
      </c>
      <c r="B9" s="2" t="s">
        <v>56</v>
      </c>
      <c r="C9" s="3">
        <v>45627</v>
      </c>
      <c r="D9" s="4" t="s">
        <v>2</v>
      </c>
      <c r="E9" s="2" t="s">
        <v>57</v>
      </c>
      <c r="F9" s="5">
        <v>45646</v>
      </c>
      <c r="G9" s="5">
        <v>46010</v>
      </c>
      <c r="H9" s="6" t="s">
        <v>58</v>
      </c>
      <c r="I9" s="7">
        <v>3520115409715</v>
      </c>
      <c r="J9" s="6" t="s">
        <v>16</v>
      </c>
      <c r="K9" s="2" t="s">
        <v>59</v>
      </c>
      <c r="L9" s="2">
        <v>378664</v>
      </c>
      <c r="M9" s="2" t="s">
        <v>60</v>
      </c>
      <c r="N9" s="2" t="s">
        <v>56</v>
      </c>
      <c r="O9" s="2" t="s">
        <v>8</v>
      </c>
      <c r="P9" s="2" t="s">
        <v>9</v>
      </c>
      <c r="Q9" s="2" t="s">
        <v>61</v>
      </c>
      <c r="R9" s="5">
        <v>44553</v>
      </c>
      <c r="S9" s="5">
        <v>46392</v>
      </c>
      <c r="T9" s="8">
        <v>1117000</v>
      </c>
      <c r="U9" s="2">
        <v>20</v>
      </c>
      <c r="V9" s="9">
        <f t="shared" si="0"/>
        <v>223400</v>
      </c>
      <c r="W9" s="9">
        <f t="shared" si="1"/>
        <v>893600</v>
      </c>
      <c r="X9" s="10">
        <v>1.75</v>
      </c>
      <c r="Y9" s="9">
        <f t="shared" si="2"/>
        <v>15638.000000000002</v>
      </c>
      <c r="Z9" s="2"/>
      <c r="AA9" s="2" t="s">
        <v>11</v>
      </c>
      <c r="AB9" s="2">
        <v>1141072474</v>
      </c>
      <c r="AC9" s="11">
        <v>45688</v>
      </c>
      <c r="AD9" s="2" t="s">
        <v>12</v>
      </c>
      <c r="AE9" s="2">
        <v>32</v>
      </c>
      <c r="AF9" s="36" t="s">
        <v>57</v>
      </c>
      <c r="AG9" s="38">
        <v>15638</v>
      </c>
      <c r="AH9" s="39">
        <f t="shared" si="3"/>
        <v>0</v>
      </c>
    </row>
    <row r="10" spans="1:34" x14ac:dyDescent="0.25">
      <c r="A10" s="1" t="s">
        <v>0</v>
      </c>
      <c r="B10" s="2" t="s">
        <v>62</v>
      </c>
      <c r="C10" s="3">
        <v>45627</v>
      </c>
      <c r="D10" s="4" t="s">
        <v>2</v>
      </c>
      <c r="E10" s="2" t="s">
        <v>63</v>
      </c>
      <c r="F10" s="5">
        <v>45649</v>
      </c>
      <c r="G10" s="5">
        <v>46013</v>
      </c>
      <c r="H10" s="6" t="s">
        <v>64</v>
      </c>
      <c r="I10" s="7">
        <v>3540112384833</v>
      </c>
      <c r="J10" s="6" t="s">
        <v>16</v>
      </c>
      <c r="K10" s="2" t="s">
        <v>65</v>
      </c>
      <c r="L10" s="2">
        <v>378553</v>
      </c>
      <c r="M10" s="2" t="s">
        <v>66</v>
      </c>
      <c r="N10" s="2" t="s">
        <v>62</v>
      </c>
      <c r="O10" s="2" t="s">
        <v>8</v>
      </c>
      <c r="P10" s="2" t="s">
        <v>9</v>
      </c>
      <c r="Q10" s="2" t="s">
        <v>67</v>
      </c>
      <c r="R10" s="5">
        <v>44559</v>
      </c>
      <c r="S10" s="5">
        <v>46392</v>
      </c>
      <c r="T10" s="8">
        <v>1117000</v>
      </c>
      <c r="U10" s="2">
        <v>20</v>
      </c>
      <c r="V10" s="9">
        <f t="shared" si="0"/>
        <v>223400</v>
      </c>
      <c r="W10" s="9">
        <f t="shared" si="1"/>
        <v>893600</v>
      </c>
      <c r="X10" s="10">
        <v>1.75</v>
      </c>
      <c r="Y10" s="9">
        <f t="shared" si="2"/>
        <v>15638.000000000002</v>
      </c>
      <c r="Z10" s="2"/>
      <c r="AA10" s="2" t="s">
        <v>11</v>
      </c>
      <c r="AB10" s="2">
        <v>1141072474</v>
      </c>
      <c r="AC10" s="11">
        <v>45688</v>
      </c>
      <c r="AD10" s="2" t="s">
        <v>12</v>
      </c>
      <c r="AE10" s="2">
        <v>0</v>
      </c>
      <c r="AF10" s="36" t="s">
        <v>63</v>
      </c>
      <c r="AG10" s="38">
        <v>15638</v>
      </c>
      <c r="AH10" s="39">
        <f t="shared" si="3"/>
        <v>0</v>
      </c>
    </row>
    <row r="11" spans="1:34" x14ac:dyDescent="0.25">
      <c r="A11" s="1" t="s">
        <v>0</v>
      </c>
      <c r="B11" s="2" t="s">
        <v>68</v>
      </c>
      <c r="C11" s="3">
        <v>45627</v>
      </c>
      <c r="D11" s="4" t="s">
        <v>2</v>
      </c>
      <c r="E11" s="2" t="s">
        <v>69</v>
      </c>
      <c r="F11" s="5">
        <v>45639</v>
      </c>
      <c r="G11" s="5">
        <v>46003</v>
      </c>
      <c r="H11" s="6" t="s">
        <v>70</v>
      </c>
      <c r="I11" s="7">
        <v>3310049530247</v>
      </c>
      <c r="J11" s="6" t="s">
        <v>71</v>
      </c>
      <c r="K11" s="2" t="s">
        <v>72</v>
      </c>
      <c r="L11" s="2">
        <v>1017427</v>
      </c>
      <c r="M11" s="2" t="s">
        <v>73</v>
      </c>
      <c r="N11" s="2" t="s">
        <v>68</v>
      </c>
      <c r="O11" s="2" t="s">
        <v>8</v>
      </c>
      <c r="P11" s="2" t="s">
        <v>74</v>
      </c>
      <c r="Q11" s="2" t="s">
        <v>75</v>
      </c>
      <c r="R11" s="5">
        <v>44546</v>
      </c>
      <c r="S11" s="5">
        <v>46392</v>
      </c>
      <c r="T11" s="8">
        <v>1149000</v>
      </c>
      <c r="U11" s="2">
        <v>20</v>
      </c>
      <c r="V11" s="9">
        <f t="shared" si="0"/>
        <v>229800</v>
      </c>
      <c r="W11" s="9">
        <f t="shared" si="1"/>
        <v>919200</v>
      </c>
      <c r="X11" s="10">
        <v>1.75</v>
      </c>
      <c r="Y11" s="9">
        <f t="shared" si="2"/>
        <v>16086.000000000002</v>
      </c>
      <c r="Z11" s="2"/>
      <c r="AA11" s="2" t="s">
        <v>11</v>
      </c>
      <c r="AB11" s="2">
        <v>1141072474</v>
      </c>
      <c r="AC11" s="11">
        <v>45688</v>
      </c>
      <c r="AD11" s="2" t="s">
        <v>12</v>
      </c>
      <c r="AE11" s="2">
        <v>0</v>
      </c>
      <c r="AF11" s="36" t="s">
        <v>69</v>
      </c>
      <c r="AG11" s="38">
        <v>16086</v>
      </c>
      <c r="AH11" s="39">
        <f t="shared" si="3"/>
        <v>0</v>
      </c>
    </row>
    <row r="12" spans="1:34" x14ac:dyDescent="0.25">
      <c r="A12" s="1" t="s">
        <v>0</v>
      </c>
      <c r="B12" s="2" t="s">
        <v>76</v>
      </c>
      <c r="C12" s="3">
        <v>45627</v>
      </c>
      <c r="D12" s="4" t="s">
        <v>2</v>
      </c>
      <c r="E12" s="2" t="s">
        <v>77</v>
      </c>
      <c r="F12" s="5">
        <v>45657</v>
      </c>
      <c r="G12" s="5">
        <v>46021</v>
      </c>
      <c r="H12" s="6" t="s">
        <v>78</v>
      </c>
      <c r="I12" s="7">
        <v>3310498186457</v>
      </c>
      <c r="J12" s="6" t="s">
        <v>79</v>
      </c>
      <c r="K12" s="2" t="s">
        <v>80</v>
      </c>
      <c r="L12" s="2">
        <v>1017988</v>
      </c>
      <c r="M12" s="2" t="s">
        <v>81</v>
      </c>
      <c r="N12" s="2" t="s">
        <v>76</v>
      </c>
      <c r="O12" s="2" t="s">
        <v>8</v>
      </c>
      <c r="P12" s="2" t="s">
        <v>82</v>
      </c>
      <c r="Q12" s="2" t="s">
        <v>83</v>
      </c>
      <c r="R12" s="5">
        <v>44561</v>
      </c>
      <c r="S12" s="5">
        <v>46392</v>
      </c>
      <c r="T12" s="8">
        <v>1149000</v>
      </c>
      <c r="U12" s="2">
        <v>20</v>
      </c>
      <c r="V12" s="9">
        <f t="shared" si="0"/>
        <v>229800</v>
      </c>
      <c r="W12" s="9">
        <f t="shared" si="1"/>
        <v>919200</v>
      </c>
      <c r="X12" s="10">
        <v>1.75</v>
      </c>
      <c r="Y12" s="9">
        <f t="shared" si="2"/>
        <v>16086.000000000002</v>
      </c>
      <c r="Z12" s="2"/>
      <c r="AA12" s="2" t="s">
        <v>11</v>
      </c>
      <c r="AB12" s="2">
        <v>1141072474</v>
      </c>
      <c r="AC12" s="11">
        <v>45688</v>
      </c>
      <c r="AD12" s="2" t="s">
        <v>12</v>
      </c>
      <c r="AE12" s="2">
        <v>0</v>
      </c>
      <c r="AF12" s="36" t="s">
        <v>77</v>
      </c>
      <c r="AG12" s="38">
        <v>16086</v>
      </c>
      <c r="AH12" s="39">
        <f t="shared" si="3"/>
        <v>0</v>
      </c>
    </row>
    <row r="13" spans="1:34" x14ac:dyDescent="0.25">
      <c r="A13" s="1" t="s">
        <v>0</v>
      </c>
      <c r="B13" s="2" t="s">
        <v>84</v>
      </c>
      <c r="C13" s="3">
        <v>45627</v>
      </c>
      <c r="D13" s="4" t="s">
        <v>2</v>
      </c>
      <c r="E13" s="2" t="s">
        <v>85</v>
      </c>
      <c r="F13" s="5">
        <v>45656</v>
      </c>
      <c r="G13" s="5">
        <v>46020</v>
      </c>
      <c r="H13" s="6" t="s">
        <v>86</v>
      </c>
      <c r="I13" s="7">
        <v>3520121313341</v>
      </c>
      <c r="J13" s="6" t="s">
        <v>87</v>
      </c>
      <c r="K13" s="2" t="s">
        <v>88</v>
      </c>
      <c r="L13" s="2" t="s">
        <v>89</v>
      </c>
      <c r="M13" s="2" t="s">
        <v>90</v>
      </c>
      <c r="N13" s="2" t="s">
        <v>84</v>
      </c>
      <c r="O13" s="2" t="s">
        <v>8</v>
      </c>
      <c r="P13" s="2" t="s">
        <v>9</v>
      </c>
      <c r="Q13" s="2" t="s">
        <v>91</v>
      </c>
      <c r="R13" s="5">
        <v>44926</v>
      </c>
      <c r="S13" s="5">
        <v>46027</v>
      </c>
      <c r="T13" s="8">
        <v>1200000</v>
      </c>
      <c r="U13" s="2">
        <v>15</v>
      </c>
      <c r="V13" s="9">
        <f t="shared" si="0"/>
        <v>180000</v>
      </c>
      <c r="W13" s="9">
        <f t="shared" si="1"/>
        <v>1020000</v>
      </c>
      <c r="X13" s="10">
        <v>2</v>
      </c>
      <c r="Y13" s="9">
        <f t="shared" si="2"/>
        <v>20400</v>
      </c>
      <c r="Z13" s="2"/>
      <c r="AA13" s="2" t="s">
        <v>11</v>
      </c>
      <c r="AB13" s="2">
        <v>1141072474</v>
      </c>
      <c r="AC13" s="11">
        <v>45688</v>
      </c>
      <c r="AD13" s="2" t="s">
        <v>12</v>
      </c>
      <c r="AE13" s="2">
        <v>0</v>
      </c>
      <c r="AF13" s="36" t="s">
        <v>85</v>
      </c>
      <c r="AG13" s="38">
        <v>20400</v>
      </c>
      <c r="AH13" s="39">
        <f t="shared" si="3"/>
        <v>0</v>
      </c>
    </row>
    <row r="14" spans="1:34" x14ac:dyDescent="0.25">
      <c r="A14" s="1" t="s">
        <v>0</v>
      </c>
      <c r="B14" s="2" t="s">
        <v>92</v>
      </c>
      <c r="C14" s="3">
        <v>45627</v>
      </c>
      <c r="D14" s="4" t="s">
        <v>2</v>
      </c>
      <c r="E14" s="2" t="s">
        <v>93</v>
      </c>
      <c r="F14" s="5">
        <v>45653</v>
      </c>
      <c r="G14" s="5">
        <v>46017</v>
      </c>
      <c r="H14" s="6" t="s">
        <v>94</v>
      </c>
      <c r="I14" s="7">
        <v>3520115643635</v>
      </c>
      <c r="J14" s="6" t="s">
        <v>95</v>
      </c>
      <c r="K14" s="2" t="s">
        <v>96</v>
      </c>
      <c r="L14" s="2" t="s">
        <v>97</v>
      </c>
      <c r="M14" s="2" t="s">
        <v>98</v>
      </c>
      <c r="N14" s="2" t="s">
        <v>92</v>
      </c>
      <c r="O14" s="2" t="s">
        <v>8</v>
      </c>
      <c r="P14" s="2" t="s">
        <v>9</v>
      </c>
      <c r="Q14" s="2" t="s">
        <v>99</v>
      </c>
      <c r="R14" s="5">
        <v>44925</v>
      </c>
      <c r="S14" s="5">
        <v>46757</v>
      </c>
      <c r="T14" s="8">
        <v>1225000</v>
      </c>
      <c r="U14" s="2">
        <v>15</v>
      </c>
      <c r="V14" s="9">
        <f t="shared" si="0"/>
        <v>183750</v>
      </c>
      <c r="W14" s="9">
        <f t="shared" si="1"/>
        <v>1041250</v>
      </c>
      <c r="X14" s="10">
        <v>2</v>
      </c>
      <c r="Y14" s="9">
        <f t="shared" si="2"/>
        <v>20825</v>
      </c>
      <c r="Z14" s="2"/>
      <c r="AA14" s="2" t="s">
        <v>11</v>
      </c>
      <c r="AB14" s="2">
        <v>1141072474</v>
      </c>
      <c r="AC14" s="11">
        <v>45688</v>
      </c>
      <c r="AD14" s="2" t="s">
        <v>12</v>
      </c>
      <c r="AE14" s="2">
        <v>0</v>
      </c>
      <c r="AF14" s="36" t="s">
        <v>93</v>
      </c>
      <c r="AG14" s="38">
        <v>20825</v>
      </c>
      <c r="AH14" s="39">
        <f t="shared" si="3"/>
        <v>0</v>
      </c>
    </row>
    <row r="15" spans="1:34" x14ac:dyDescent="0.25">
      <c r="A15" s="1" t="s">
        <v>0</v>
      </c>
      <c r="B15" s="2" t="s">
        <v>100</v>
      </c>
      <c r="C15" s="3">
        <v>45627</v>
      </c>
      <c r="D15" s="4" t="s">
        <v>2</v>
      </c>
      <c r="E15" s="2" t="s">
        <v>101</v>
      </c>
      <c r="F15" s="5">
        <v>45654</v>
      </c>
      <c r="G15" s="5">
        <v>46018</v>
      </c>
      <c r="H15" s="6" t="s">
        <v>102</v>
      </c>
      <c r="I15" s="7">
        <v>3520112667057</v>
      </c>
      <c r="J15" s="6" t="s">
        <v>103</v>
      </c>
      <c r="K15" s="2" t="s">
        <v>104</v>
      </c>
      <c r="L15" s="2" t="s">
        <v>105</v>
      </c>
      <c r="M15" s="2" t="s">
        <v>106</v>
      </c>
      <c r="N15" s="2" t="s">
        <v>100</v>
      </c>
      <c r="O15" s="2" t="s">
        <v>8</v>
      </c>
      <c r="P15" s="2" t="s">
        <v>9</v>
      </c>
      <c r="Q15" s="2" t="s">
        <v>107</v>
      </c>
      <c r="R15" s="5">
        <v>44925</v>
      </c>
      <c r="S15" s="5">
        <v>46392</v>
      </c>
      <c r="T15" s="8">
        <v>1300000</v>
      </c>
      <c r="U15" s="2">
        <v>15</v>
      </c>
      <c r="V15" s="9">
        <f t="shared" si="0"/>
        <v>195000</v>
      </c>
      <c r="W15" s="9">
        <f t="shared" si="1"/>
        <v>1105000</v>
      </c>
      <c r="X15" s="10">
        <v>2</v>
      </c>
      <c r="Y15" s="9">
        <f t="shared" si="2"/>
        <v>22100</v>
      </c>
      <c r="Z15" s="2"/>
      <c r="AA15" s="2" t="s">
        <v>11</v>
      </c>
      <c r="AB15" s="2">
        <v>1141072474</v>
      </c>
      <c r="AC15" s="11">
        <v>45688</v>
      </c>
      <c r="AD15" s="2" t="s">
        <v>12</v>
      </c>
      <c r="AE15" s="2">
        <v>0</v>
      </c>
      <c r="AF15" s="36" t="s">
        <v>101</v>
      </c>
      <c r="AG15" s="38">
        <v>22100</v>
      </c>
      <c r="AH15" s="39">
        <f t="shared" si="3"/>
        <v>0</v>
      </c>
    </row>
    <row r="16" spans="1:34" x14ac:dyDescent="0.25">
      <c r="A16" s="1" t="s">
        <v>0</v>
      </c>
      <c r="B16" s="2" t="s">
        <v>108</v>
      </c>
      <c r="C16" s="3">
        <v>45627</v>
      </c>
      <c r="D16" s="4" t="s">
        <v>2</v>
      </c>
      <c r="E16" s="2" t="s">
        <v>109</v>
      </c>
      <c r="F16" s="5">
        <v>45644</v>
      </c>
      <c r="G16" s="5">
        <v>46008</v>
      </c>
      <c r="H16" s="6" t="s">
        <v>110</v>
      </c>
      <c r="I16" s="7">
        <v>3410125794579</v>
      </c>
      <c r="J16" s="6" t="s">
        <v>111</v>
      </c>
      <c r="K16" s="2" t="s">
        <v>112</v>
      </c>
      <c r="L16" s="2">
        <v>125931</v>
      </c>
      <c r="M16" s="2" t="s">
        <v>113</v>
      </c>
      <c r="N16" s="2" t="s">
        <v>108</v>
      </c>
      <c r="O16" s="2" t="s">
        <v>8</v>
      </c>
      <c r="P16" s="2" t="s">
        <v>114</v>
      </c>
      <c r="Q16" s="2" t="s">
        <v>115</v>
      </c>
      <c r="R16" s="5">
        <v>43819</v>
      </c>
      <c r="S16" s="5">
        <v>46392</v>
      </c>
      <c r="T16" s="8">
        <v>1308000</v>
      </c>
      <c r="U16" s="2">
        <v>30</v>
      </c>
      <c r="V16" s="9">
        <f t="shared" si="0"/>
        <v>392400</v>
      </c>
      <c r="W16" s="9">
        <f t="shared" si="1"/>
        <v>915600</v>
      </c>
      <c r="X16" s="10">
        <v>3.75</v>
      </c>
      <c r="Y16" s="9">
        <f t="shared" si="2"/>
        <v>34335</v>
      </c>
      <c r="Z16" s="2"/>
      <c r="AA16" s="2" t="s">
        <v>11</v>
      </c>
      <c r="AB16" s="2">
        <v>1141072474</v>
      </c>
      <c r="AC16" s="11">
        <v>45688</v>
      </c>
      <c r="AD16" s="2" t="s">
        <v>12</v>
      </c>
      <c r="AE16" s="2">
        <v>0</v>
      </c>
      <c r="AF16" s="36" t="s">
        <v>109</v>
      </c>
      <c r="AG16" s="38">
        <v>34335</v>
      </c>
      <c r="AH16" s="39">
        <f t="shared" si="3"/>
        <v>0</v>
      </c>
    </row>
    <row r="17" spans="1:34" x14ac:dyDescent="0.25">
      <c r="A17" s="1" t="s">
        <v>0</v>
      </c>
      <c r="B17" s="2" t="s">
        <v>116</v>
      </c>
      <c r="C17" s="3">
        <v>45627</v>
      </c>
      <c r="D17" s="4" t="s">
        <v>2</v>
      </c>
      <c r="E17" s="2" t="s">
        <v>117</v>
      </c>
      <c r="F17" s="5">
        <v>45656</v>
      </c>
      <c r="G17" s="5">
        <v>46020</v>
      </c>
      <c r="H17" s="6" t="s">
        <v>118</v>
      </c>
      <c r="I17" s="7">
        <v>3520221690708</v>
      </c>
      <c r="J17" s="6" t="s">
        <v>111</v>
      </c>
      <c r="K17" s="2" t="s">
        <v>119</v>
      </c>
      <c r="L17" s="2">
        <v>124423</v>
      </c>
      <c r="M17" s="2" t="s">
        <v>120</v>
      </c>
      <c r="N17" s="2" t="s">
        <v>116</v>
      </c>
      <c r="O17" s="2" t="s">
        <v>8</v>
      </c>
      <c r="P17" s="2" t="s">
        <v>9</v>
      </c>
      <c r="Q17" s="2" t="s">
        <v>121</v>
      </c>
      <c r="R17" s="5">
        <v>43830</v>
      </c>
      <c r="S17" s="5">
        <v>46392</v>
      </c>
      <c r="T17" s="8">
        <v>1308000</v>
      </c>
      <c r="U17" s="2">
        <v>30</v>
      </c>
      <c r="V17" s="9">
        <f t="shared" si="0"/>
        <v>392400</v>
      </c>
      <c r="W17" s="9">
        <f t="shared" si="1"/>
        <v>915600</v>
      </c>
      <c r="X17" s="10">
        <v>3.75</v>
      </c>
      <c r="Y17" s="9">
        <f t="shared" si="2"/>
        <v>34335</v>
      </c>
      <c r="Z17" s="2"/>
      <c r="AA17" s="2" t="s">
        <v>11</v>
      </c>
      <c r="AB17" s="2">
        <v>1141072474</v>
      </c>
      <c r="AC17" s="11">
        <v>45688</v>
      </c>
      <c r="AD17" s="2" t="s">
        <v>12</v>
      </c>
      <c r="AE17" s="2">
        <v>0</v>
      </c>
      <c r="AF17" s="36" t="s">
        <v>117</v>
      </c>
      <c r="AG17" s="38">
        <v>34335</v>
      </c>
      <c r="AH17" s="39">
        <f t="shared" si="3"/>
        <v>0</v>
      </c>
    </row>
    <row r="18" spans="1:34" x14ac:dyDescent="0.25">
      <c r="A18" s="1" t="s">
        <v>0</v>
      </c>
      <c r="B18" s="2" t="s">
        <v>122</v>
      </c>
      <c r="C18" s="3">
        <v>45627</v>
      </c>
      <c r="D18" s="4" t="s">
        <v>2</v>
      </c>
      <c r="E18" s="2" t="s">
        <v>123</v>
      </c>
      <c r="F18" s="5">
        <v>45642</v>
      </c>
      <c r="G18" s="5">
        <v>46006</v>
      </c>
      <c r="H18" s="6" t="s">
        <v>124</v>
      </c>
      <c r="I18" s="7">
        <v>3520217476541</v>
      </c>
      <c r="J18" s="6" t="s">
        <v>125</v>
      </c>
      <c r="K18" s="2" t="s">
        <v>126</v>
      </c>
      <c r="L18" s="2" t="s">
        <v>127</v>
      </c>
      <c r="M18" s="2" t="s">
        <v>128</v>
      </c>
      <c r="N18" s="2" t="s">
        <v>122</v>
      </c>
      <c r="O18" s="2" t="s">
        <v>8</v>
      </c>
      <c r="P18" s="2" t="s">
        <v>129</v>
      </c>
      <c r="Q18" s="2" t="s">
        <v>130</v>
      </c>
      <c r="R18" s="5">
        <v>44552</v>
      </c>
      <c r="S18" s="5">
        <v>46392</v>
      </c>
      <c r="T18" s="8">
        <v>1335000</v>
      </c>
      <c r="U18" s="2">
        <v>20</v>
      </c>
      <c r="V18" s="9">
        <f t="shared" si="0"/>
        <v>267000</v>
      </c>
      <c r="W18" s="9">
        <f t="shared" si="1"/>
        <v>1068000</v>
      </c>
      <c r="X18" s="10">
        <v>2.5</v>
      </c>
      <c r="Y18" s="9">
        <f t="shared" si="2"/>
        <v>26700</v>
      </c>
      <c r="Z18" s="2"/>
      <c r="AA18" s="2" t="s">
        <v>11</v>
      </c>
      <c r="AB18" s="2">
        <v>1141072474</v>
      </c>
      <c r="AC18" s="11">
        <v>45688</v>
      </c>
      <c r="AD18" s="2" t="s">
        <v>12</v>
      </c>
      <c r="AE18" s="2">
        <v>0</v>
      </c>
      <c r="AF18" s="36" t="s">
        <v>123</v>
      </c>
      <c r="AG18" s="38">
        <v>26700</v>
      </c>
      <c r="AH18" s="39">
        <f t="shared" si="3"/>
        <v>0</v>
      </c>
    </row>
    <row r="19" spans="1:34" x14ac:dyDescent="0.25">
      <c r="A19" s="1" t="s">
        <v>0</v>
      </c>
      <c r="B19" s="2" t="s">
        <v>131</v>
      </c>
      <c r="C19" s="3">
        <v>45627</v>
      </c>
      <c r="D19" s="4" t="s">
        <v>2</v>
      </c>
      <c r="E19" s="2" t="s">
        <v>132</v>
      </c>
      <c r="F19" s="5">
        <v>45648</v>
      </c>
      <c r="G19" s="5">
        <v>46012</v>
      </c>
      <c r="H19" s="6" t="s">
        <v>133</v>
      </c>
      <c r="I19" s="7">
        <v>3520228966025</v>
      </c>
      <c r="J19" s="6" t="s">
        <v>125</v>
      </c>
      <c r="K19" s="2" t="s">
        <v>134</v>
      </c>
      <c r="L19" s="2" t="s">
        <v>135</v>
      </c>
      <c r="M19" s="2" t="s">
        <v>136</v>
      </c>
      <c r="N19" s="2" t="s">
        <v>131</v>
      </c>
      <c r="O19" s="2" t="s">
        <v>8</v>
      </c>
      <c r="P19" s="2" t="s">
        <v>9</v>
      </c>
      <c r="Q19" s="2" t="s">
        <v>137</v>
      </c>
      <c r="R19" s="5">
        <v>44558</v>
      </c>
      <c r="S19" s="5">
        <v>46392</v>
      </c>
      <c r="T19" s="8">
        <v>1335000</v>
      </c>
      <c r="U19" s="2">
        <v>20</v>
      </c>
      <c r="V19" s="9">
        <f t="shared" si="0"/>
        <v>267000</v>
      </c>
      <c r="W19" s="9">
        <f t="shared" si="1"/>
        <v>1068000</v>
      </c>
      <c r="X19" s="10">
        <v>2.5</v>
      </c>
      <c r="Y19" s="9">
        <f t="shared" si="2"/>
        <v>26700</v>
      </c>
      <c r="Z19" s="2"/>
      <c r="AA19" s="2" t="s">
        <v>11</v>
      </c>
      <c r="AB19" s="2">
        <v>1141072474</v>
      </c>
      <c r="AC19" s="11">
        <v>45688</v>
      </c>
      <c r="AD19" s="2" t="s">
        <v>12</v>
      </c>
      <c r="AE19" s="2">
        <v>0</v>
      </c>
      <c r="AF19" s="36" t="s">
        <v>132</v>
      </c>
      <c r="AG19" s="38">
        <v>26700</v>
      </c>
      <c r="AH19" s="39">
        <f t="shared" si="3"/>
        <v>0</v>
      </c>
    </row>
    <row r="20" spans="1:34" x14ac:dyDescent="0.25">
      <c r="A20" s="1" t="s">
        <v>0</v>
      </c>
      <c r="B20" s="2" t="s">
        <v>138</v>
      </c>
      <c r="C20" s="3">
        <v>45627</v>
      </c>
      <c r="D20" s="4" t="s">
        <v>2</v>
      </c>
      <c r="E20" s="2" t="s">
        <v>139</v>
      </c>
      <c r="F20" s="5">
        <v>45655</v>
      </c>
      <c r="G20" s="5">
        <v>46019</v>
      </c>
      <c r="H20" s="6" t="s">
        <v>140</v>
      </c>
      <c r="I20" s="7">
        <v>3840409410083</v>
      </c>
      <c r="J20" s="6" t="s">
        <v>111</v>
      </c>
      <c r="K20" s="2" t="s">
        <v>141</v>
      </c>
      <c r="L20" s="2">
        <v>203259</v>
      </c>
      <c r="M20" s="2" t="s">
        <v>142</v>
      </c>
      <c r="N20" s="2" t="s">
        <v>138</v>
      </c>
      <c r="O20" s="2" t="s">
        <v>27</v>
      </c>
      <c r="P20" s="2" t="s">
        <v>28</v>
      </c>
      <c r="Q20" s="2" t="s">
        <v>143</v>
      </c>
      <c r="R20" s="5">
        <v>44560</v>
      </c>
      <c r="S20" s="5">
        <v>46392</v>
      </c>
      <c r="T20" s="8">
        <v>1335000</v>
      </c>
      <c r="U20" s="2">
        <v>20</v>
      </c>
      <c r="V20" s="9">
        <f t="shared" si="0"/>
        <v>267000</v>
      </c>
      <c r="W20" s="9">
        <f t="shared" si="1"/>
        <v>1068000</v>
      </c>
      <c r="X20" s="10">
        <v>2.5</v>
      </c>
      <c r="Y20" s="9">
        <f t="shared" si="2"/>
        <v>26700</v>
      </c>
      <c r="Z20" s="2"/>
      <c r="AA20" s="2" t="s">
        <v>11</v>
      </c>
      <c r="AB20" s="2">
        <v>1141072474</v>
      </c>
      <c r="AC20" s="11">
        <v>45688</v>
      </c>
      <c r="AD20" s="2" t="s">
        <v>12</v>
      </c>
      <c r="AE20" s="2">
        <v>0</v>
      </c>
      <c r="AF20" s="36" t="s">
        <v>139</v>
      </c>
      <c r="AG20" s="38">
        <v>26700</v>
      </c>
      <c r="AH20" s="39">
        <f t="shared" si="3"/>
        <v>0</v>
      </c>
    </row>
    <row r="21" spans="1:34" x14ac:dyDescent="0.25">
      <c r="A21" s="1" t="s">
        <v>0</v>
      </c>
      <c r="B21" s="2" t="s">
        <v>144</v>
      </c>
      <c r="C21" s="3">
        <v>45627</v>
      </c>
      <c r="D21" s="4" t="s">
        <v>2</v>
      </c>
      <c r="E21" s="2" t="s">
        <v>145</v>
      </c>
      <c r="F21" s="5">
        <v>45655</v>
      </c>
      <c r="G21" s="5">
        <v>46019</v>
      </c>
      <c r="H21" s="6" t="s">
        <v>146</v>
      </c>
      <c r="I21" s="7">
        <v>6110118691361</v>
      </c>
      <c r="J21" s="6" t="s">
        <v>125</v>
      </c>
      <c r="K21" s="2" t="s">
        <v>147</v>
      </c>
      <c r="L21" s="2">
        <v>203268</v>
      </c>
      <c r="M21" s="2" t="s">
        <v>148</v>
      </c>
      <c r="N21" s="2" t="s">
        <v>144</v>
      </c>
      <c r="O21" s="2" t="s">
        <v>27</v>
      </c>
      <c r="P21" s="2" t="s">
        <v>28</v>
      </c>
      <c r="Q21" s="2" t="s">
        <v>149</v>
      </c>
      <c r="R21" s="5">
        <v>44561</v>
      </c>
      <c r="S21" s="5">
        <v>46392</v>
      </c>
      <c r="T21" s="8">
        <v>1335000</v>
      </c>
      <c r="U21" s="2">
        <v>20</v>
      </c>
      <c r="V21" s="9">
        <f t="shared" si="0"/>
        <v>267000</v>
      </c>
      <c r="W21" s="9">
        <f t="shared" si="1"/>
        <v>1068000</v>
      </c>
      <c r="X21" s="10">
        <v>2.5</v>
      </c>
      <c r="Y21" s="9">
        <f t="shared" si="2"/>
        <v>26700</v>
      </c>
      <c r="Z21" s="2"/>
      <c r="AA21" s="2" t="s">
        <v>11</v>
      </c>
      <c r="AB21" s="2">
        <v>1141072474</v>
      </c>
      <c r="AC21" s="11">
        <v>45688</v>
      </c>
      <c r="AD21" s="2" t="s">
        <v>12</v>
      </c>
      <c r="AE21" s="2">
        <v>0</v>
      </c>
      <c r="AF21" s="36" t="s">
        <v>145</v>
      </c>
      <c r="AG21" s="38">
        <v>26700</v>
      </c>
      <c r="AH21" s="39">
        <f t="shared" si="3"/>
        <v>0</v>
      </c>
    </row>
    <row r="22" spans="1:34" x14ac:dyDescent="0.25">
      <c r="A22" s="1" t="s">
        <v>0</v>
      </c>
      <c r="B22" s="2" t="s">
        <v>150</v>
      </c>
      <c r="C22" s="3">
        <v>45627</v>
      </c>
      <c r="D22" s="4" t="s">
        <v>2</v>
      </c>
      <c r="E22" s="2" t="s">
        <v>151</v>
      </c>
      <c r="F22" s="5">
        <v>45641</v>
      </c>
      <c r="G22" s="5">
        <v>46005</v>
      </c>
      <c r="H22" s="6" t="s">
        <v>152</v>
      </c>
      <c r="I22" s="7">
        <v>3520283906469</v>
      </c>
      <c r="J22" s="6" t="s">
        <v>16</v>
      </c>
      <c r="K22" s="2" t="s">
        <v>153</v>
      </c>
      <c r="L22" s="2">
        <v>387664</v>
      </c>
      <c r="M22" s="2" t="s">
        <v>154</v>
      </c>
      <c r="N22" s="2" t="s">
        <v>150</v>
      </c>
      <c r="O22" s="2" t="s">
        <v>8</v>
      </c>
      <c r="P22" s="2" t="s">
        <v>9</v>
      </c>
      <c r="Q22" s="2" t="s">
        <v>155</v>
      </c>
      <c r="R22" s="5">
        <v>44914</v>
      </c>
      <c r="S22" s="5">
        <v>46027</v>
      </c>
      <c r="T22" s="8">
        <v>1424000</v>
      </c>
      <c r="U22" s="2">
        <v>15</v>
      </c>
      <c r="V22" s="9">
        <f t="shared" si="0"/>
        <v>213600</v>
      </c>
      <c r="W22" s="9">
        <f t="shared" si="1"/>
        <v>1210400</v>
      </c>
      <c r="X22" s="10">
        <v>2</v>
      </c>
      <c r="Y22" s="9">
        <f t="shared" si="2"/>
        <v>24208</v>
      </c>
      <c r="Z22" s="2"/>
      <c r="AA22" s="2" t="s">
        <v>11</v>
      </c>
      <c r="AB22" s="2">
        <v>1141072474</v>
      </c>
      <c r="AC22" s="11">
        <v>45688</v>
      </c>
      <c r="AD22" s="2" t="s">
        <v>12</v>
      </c>
      <c r="AE22" s="2">
        <v>0</v>
      </c>
      <c r="AF22" s="36" t="s">
        <v>151</v>
      </c>
      <c r="AG22" s="38">
        <v>24208</v>
      </c>
      <c r="AH22" s="39">
        <f t="shared" si="3"/>
        <v>0</v>
      </c>
    </row>
    <row r="23" spans="1:34" x14ac:dyDescent="0.25">
      <c r="A23" s="1" t="s">
        <v>0</v>
      </c>
      <c r="B23" s="2" t="s">
        <v>156</v>
      </c>
      <c r="C23" s="3">
        <v>45627</v>
      </c>
      <c r="D23" s="4" t="s">
        <v>2</v>
      </c>
      <c r="E23" s="2" t="s">
        <v>157</v>
      </c>
      <c r="F23" s="5">
        <v>45656</v>
      </c>
      <c r="G23" s="5">
        <v>46020</v>
      </c>
      <c r="H23" s="6" t="s">
        <v>158</v>
      </c>
      <c r="I23" s="7">
        <v>1330256081477</v>
      </c>
      <c r="J23" s="6" t="s">
        <v>16</v>
      </c>
      <c r="K23" s="2" t="s">
        <v>159</v>
      </c>
      <c r="L23" s="2">
        <v>388133</v>
      </c>
      <c r="M23" s="2" t="s">
        <v>160</v>
      </c>
      <c r="N23" s="2" t="s">
        <v>156</v>
      </c>
      <c r="O23" s="2" t="s">
        <v>27</v>
      </c>
      <c r="P23" s="2" t="s">
        <v>161</v>
      </c>
      <c r="Q23" s="2" t="s">
        <v>162</v>
      </c>
      <c r="R23" s="5">
        <v>44925</v>
      </c>
      <c r="S23" s="5">
        <v>46757</v>
      </c>
      <c r="T23" s="8">
        <v>1424000</v>
      </c>
      <c r="U23" s="2">
        <v>15</v>
      </c>
      <c r="V23" s="9">
        <f t="shared" si="0"/>
        <v>213600</v>
      </c>
      <c r="W23" s="9">
        <f t="shared" si="1"/>
        <v>1210400</v>
      </c>
      <c r="X23" s="10">
        <v>2</v>
      </c>
      <c r="Y23" s="9">
        <f t="shared" si="2"/>
        <v>24208</v>
      </c>
      <c r="Z23" s="2"/>
      <c r="AA23" s="2" t="s">
        <v>11</v>
      </c>
      <c r="AB23" s="2">
        <v>1141072474</v>
      </c>
      <c r="AC23" s="11">
        <v>45688</v>
      </c>
      <c r="AD23" s="2" t="s">
        <v>12</v>
      </c>
      <c r="AE23" s="2">
        <v>0</v>
      </c>
      <c r="AF23" s="36" t="s">
        <v>157</v>
      </c>
      <c r="AG23" s="38">
        <v>24208</v>
      </c>
      <c r="AH23" s="39">
        <f t="shared" si="3"/>
        <v>0</v>
      </c>
    </row>
    <row r="24" spans="1:34" x14ac:dyDescent="0.25">
      <c r="A24" s="1" t="s">
        <v>0</v>
      </c>
      <c r="B24" s="2" t="s">
        <v>163</v>
      </c>
      <c r="C24" s="3">
        <v>45627</v>
      </c>
      <c r="D24" s="4" t="s">
        <v>2</v>
      </c>
      <c r="E24" s="2" t="s">
        <v>164</v>
      </c>
      <c r="F24" s="5">
        <v>45636</v>
      </c>
      <c r="G24" s="5">
        <v>46000</v>
      </c>
      <c r="H24" s="6" t="s">
        <v>165</v>
      </c>
      <c r="I24" s="7">
        <v>6110176044205</v>
      </c>
      <c r="J24" s="6" t="s">
        <v>111</v>
      </c>
      <c r="K24" s="2" t="s">
        <v>166</v>
      </c>
      <c r="L24" s="2">
        <v>146437</v>
      </c>
      <c r="M24" s="2" t="s">
        <v>167</v>
      </c>
      <c r="N24" s="2" t="s">
        <v>163</v>
      </c>
      <c r="O24" s="2" t="s">
        <v>27</v>
      </c>
      <c r="P24" s="2" t="s">
        <v>28</v>
      </c>
      <c r="Q24" s="2" t="s">
        <v>168</v>
      </c>
      <c r="R24" s="5">
        <v>44176</v>
      </c>
      <c r="S24" s="5">
        <v>46361</v>
      </c>
      <c r="T24" s="8">
        <v>1433000</v>
      </c>
      <c r="U24" s="2">
        <v>25</v>
      </c>
      <c r="V24" s="9">
        <f t="shared" si="0"/>
        <v>358250</v>
      </c>
      <c r="W24" s="9">
        <f t="shared" si="1"/>
        <v>1074750</v>
      </c>
      <c r="X24" s="10">
        <v>2.5</v>
      </c>
      <c r="Y24" s="9">
        <f t="shared" si="2"/>
        <v>26868.75</v>
      </c>
      <c r="Z24" s="2"/>
      <c r="AA24" s="2" t="s">
        <v>11</v>
      </c>
      <c r="AB24" s="2">
        <v>1141072474</v>
      </c>
      <c r="AC24" s="11">
        <v>45688</v>
      </c>
      <c r="AD24" s="2" t="s">
        <v>12</v>
      </c>
      <c r="AE24" s="2">
        <v>0</v>
      </c>
      <c r="AF24" s="36" t="s">
        <v>164</v>
      </c>
      <c r="AG24" s="38">
        <v>26869</v>
      </c>
      <c r="AH24" s="39">
        <f t="shared" si="3"/>
        <v>-0.25</v>
      </c>
    </row>
    <row r="25" spans="1:34" x14ac:dyDescent="0.25">
      <c r="A25" s="1" t="s">
        <v>0</v>
      </c>
      <c r="B25" s="2" t="s">
        <v>169</v>
      </c>
      <c r="C25" s="3">
        <v>45627</v>
      </c>
      <c r="D25" s="4" t="s">
        <v>2</v>
      </c>
      <c r="E25" s="2" t="s">
        <v>170</v>
      </c>
      <c r="F25" s="5">
        <v>45644</v>
      </c>
      <c r="G25" s="5">
        <v>46008</v>
      </c>
      <c r="H25" s="6" t="s">
        <v>171</v>
      </c>
      <c r="I25" s="7">
        <v>1730182223775</v>
      </c>
      <c r="J25" s="6" t="s">
        <v>111</v>
      </c>
      <c r="K25" s="2" t="s">
        <v>172</v>
      </c>
      <c r="L25" s="2">
        <v>148245</v>
      </c>
      <c r="M25" s="2" t="s">
        <v>173</v>
      </c>
      <c r="N25" s="2" t="s">
        <v>169</v>
      </c>
      <c r="O25" s="2" t="s">
        <v>27</v>
      </c>
      <c r="P25" s="2" t="s">
        <v>174</v>
      </c>
      <c r="Q25" s="2" t="s">
        <v>175</v>
      </c>
      <c r="R25" s="5">
        <v>44189</v>
      </c>
      <c r="S25" s="5">
        <v>46027</v>
      </c>
      <c r="T25" s="8">
        <v>1433000</v>
      </c>
      <c r="U25" s="2">
        <v>25</v>
      </c>
      <c r="V25" s="9">
        <f t="shared" si="0"/>
        <v>358250</v>
      </c>
      <c r="W25" s="9">
        <f t="shared" si="1"/>
        <v>1074750</v>
      </c>
      <c r="X25" s="10">
        <v>2.5</v>
      </c>
      <c r="Y25" s="9">
        <f t="shared" si="2"/>
        <v>26868.75</v>
      </c>
      <c r="Z25" s="2"/>
      <c r="AA25" s="2" t="s">
        <v>11</v>
      </c>
      <c r="AB25" s="2">
        <v>1141072474</v>
      </c>
      <c r="AC25" s="11">
        <v>45688</v>
      </c>
      <c r="AD25" s="2" t="s">
        <v>12</v>
      </c>
      <c r="AE25" s="2">
        <v>0</v>
      </c>
      <c r="AF25" s="36" t="s">
        <v>170</v>
      </c>
      <c r="AG25" s="38">
        <v>26869</v>
      </c>
      <c r="AH25" s="39">
        <f t="shared" si="3"/>
        <v>-0.25</v>
      </c>
    </row>
    <row r="26" spans="1:34" x14ac:dyDescent="0.25">
      <c r="A26" s="1" t="s">
        <v>0</v>
      </c>
      <c r="B26" s="2" t="s">
        <v>176</v>
      </c>
      <c r="C26" s="3">
        <v>45627</v>
      </c>
      <c r="D26" s="4" t="s">
        <v>2</v>
      </c>
      <c r="E26" s="2" t="s">
        <v>177</v>
      </c>
      <c r="F26" s="5">
        <v>45657</v>
      </c>
      <c r="G26" s="5">
        <v>46021</v>
      </c>
      <c r="H26" s="6" t="s">
        <v>178</v>
      </c>
      <c r="I26" s="7">
        <v>3740525875351</v>
      </c>
      <c r="J26" s="6" t="s">
        <v>111</v>
      </c>
      <c r="K26" s="2" t="s">
        <v>179</v>
      </c>
      <c r="L26" s="2">
        <v>149313</v>
      </c>
      <c r="M26" s="2" t="s">
        <v>180</v>
      </c>
      <c r="N26" s="2" t="s">
        <v>176</v>
      </c>
      <c r="O26" s="2" t="s">
        <v>27</v>
      </c>
      <c r="P26" s="2" t="s">
        <v>28</v>
      </c>
      <c r="Q26" s="2" t="s">
        <v>181</v>
      </c>
      <c r="R26" s="5">
        <v>44200</v>
      </c>
      <c r="S26" s="5">
        <v>46027</v>
      </c>
      <c r="T26" s="8">
        <v>1433000</v>
      </c>
      <c r="U26" s="2">
        <v>25</v>
      </c>
      <c r="V26" s="9">
        <f t="shared" si="0"/>
        <v>358250</v>
      </c>
      <c r="W26" s="9">
        <f t="shared" si="1"/>
        <v>1074750</v>
      </c>
      <c r="X26" s="10">
        <v>2.5</v>
      </c>
      <c r="Y26" s="9">
        <f t="shared" si="2"/>
        <v>26868.75</v>
      </c>
      <c r="Z26" s="2"/>
      <c r="AA26" s="2" t="s">
        <v>11</v>
      </c>
      <c r="AB26" s="2">
        <v>1141072474</v>
      </c>
      <c r="AC26" s="11">
        <v>45688</v>
      </c>
      <c r="AD26" s="2" t="s">
        <v>12</v>
      </c>
      <c r="AE26" s="2">
        <v>0</v>
      </c>
      <c r="AF26" s="36" t="s">
        <v>177</v>
      </c>
      <c r="AG26" s="38">
        <v>26869</v>
      </c>
      <c r="AH26" s="39">
        <f t="shared" si="3"/>
        <v>-0.25</v>
      </c>
    </row>
    <row r="27" spans="1:34" x14ac:dyDescent="0.25">
      <c r="A27" s="1" t="s">
        <v>0</v>
      </c>
      <c r="B27" s="2" t="s">
        <v>182</v>
      </c>
      <c r="C27" s="3">
        <v>45627</v>
      </c>
      <c r="D27" s="4" t="s">
        <v>2</v>
      </c>
      <c r="E27" s="2" t="s">
        <v>183</v>
      </c>
      <c r="F27" s="5">
        <v>45653</v>
      </c>
      <c r="G27" s="5">
        <v>46017</v>
      </c>
      <c r="H27" s="6" t="s">
        <v>184</v>
      </c>
      <c r="I27" s="7">
        <v>3740599989567</v>
      </c>
      <c r="J27" s="6" t="s">
        <v>185</v>
      </c>
      <c r="K27" s="2" t="s">
        <v>186</v>
      </c>
      <c r="L27" s="2">
        <v>266053</v>
      </c>
      <c r="M27" s="2" t="s">
        <v>187</v>
      </c>
      <c r="N27" s="2" t="s">
        <v>182</v>
      </c>
      <c r="O27" s="2" t="s">
        <v>27</v>
      </c>
      <c r="P27" s="2" t="s">
        <v>28</v>
      </c>
      <c r="Q27" s="2" t="s">
        <v>188</v>
      </c>
      <c r="R27" s="5">
        <v>44930</v>
      </c>
      <c r="S27" s="5">
        <v>46757</v>
      </c>
      <c r="T27" s="8">
        <v>1475000</v>
      </c>
      <c r="U27" s="2">
        <v>15</v>
      </c>
      <c r="V27" s="9">
        <f t="shared" si="0"/>
        <v>221250</v>
      </c>
      <c r="W27" s="9">
        <f t="shared" si="1"/>
        <v>1253750</v>
      </c>
      <c r="X27" s="10">
        <v>2</v>
      </c>
      <c r="Y27" s="9">
        <f t="shared" si="2"/>
        <v>25075</v>
      </c>
      <c r="Z27" s="2"/>
      <c r="AA27" s="2" t="s">
        <v>11</v>
      </c>
      <c r="AB27" s="2">
        <v>1141072474</v>
      </c>
      <c r="AC27" s="11">
        <v>45688</v>
      </c>
      <c r="AD27" s="2" t="s">
        <v>12</v>
      </c>
      <c r="AE27" s="2">
        <v>0</v>
      </c>
      <c r="AF27" s="36" t="s">
        <v>183</v>
      </c>
      <c r="AG27" s="38">
        <v>25075</v>
      </c>
      <c r="AH27" s="39">
        <f t="shared" si="3"/>
        <v>0</v>
      </c>
    </row>
    <row r="28" spans="1:34" x14ac:dyDescent="0.25">
      <c r="A28" s="1" t="s">
        <v>0</v>
      </c>
      <c r="B28" s="2" t="s">
        <v>189</v>
      </c>
      <c r="C28" s="3">
        <v>45627</v>
      </c>
      <c r="D28" s="4" t="s">
        <v>2</v>
      </c>
      <c r="E28" s="2" t="s">
        <v>190</v>
      </c>
      <c r="F28" s="5">
        <v>45646</v>
      </c>
      <c r="G28" s="5">
        <v>46010</v>
      </c>
      <c r="H28" s="6" t="s">
        <v>191</v>
      </c>
      <c r="I28" s="7">
        <v>3520221879425</v>
      </c>
      <c r="J28" s="6" t="s">
        <v>125</v>
      </c>
      <c r="K28" s="2" t="s">
        <v>192</v>
      </c>
      <c r="L28" s="2">
        <v>195246</v>
      </c>
      <c r="M28" s="2" t="s">
        <v>193</v>
      </c>
      <c r="N28" s="2" t="s">
        <v>189</v>
      </c>
      <c r="O28" s="2" t="s">
        <v>8</v>
      </c>
      <c r="P28" s="2" t="s">
        <v>9</v>
      </c>
      <c r="Q28" s="2" t="s">
        <v>194</v>
      </c>
      <c r="R28" s="5">
        <v>44558</v>
      </c>
      <c r="S28" s="5">
        <v>47123</v>
      </c>
      <c r="T28" s="8">
        <v>1508000</v>
      </c>
      <c r="U28" s="2">
        <v>20</v>
      </c>
      <c r="V28" s="9">
        <f t="shared" si="0"/>
        <v>301600</v>
      </c>
      <c r="W28" s="9">
        <f t="shared" si="1"/>
        <v>1206400</v>
      </c>
      <c r="X28" s="10">
        <v>1.75</v>
      </c>
      <c r="Y28" s="9">
        <f t="shared" si="2"/>
        <v>21112.000000000004</v>
      </c>
      <c r="Z28" s="2"/>
      <c r="AA28" s="2" t="s">
        <v>11</v>
      </c>
      <c r="AB28" s="2">
        <v>1141072474</v>
      </c>
      <c r="AC28" s="11">
        <v>45688</v>
      </c>
      <c r="AD28" s="2" t="s">
        <v>12</v>
      </c>
      <c r="AE28" s="2">
        <v>0</v>
      </c>
      <c r="AF28" s="36" t="s">
        <v>190</v>
      </c>
      <c r="AG28" s="38">
        <v>21112</v>
      </c>
      <c r="AH28" s="39">
        <f t="shared" si="3"/>
        <v>0</v>
      </c>
    </row>
    <row r="29" spans="1:34" x14ac:dyDescent="0.25">
      <c r="A29" s="1" t="s">
        <v>0</v>
      </c>
      <c r="B29" s="2" t="s">
        <v>195</v>
      </c>
      <c r="C29" s="3">
        <v>45627</v>
      </c>
      <c r="D29" s="4" t="s">
        <v>2</v>
      </c>
      <c r="E29" s="2" t="s">
        <v>196</v>
      </c>
      <c r="F29" s="5">
        <v>45650</v>
      </c>
      <c r="G29" s="5">
        <v>46014</v>
      </c>
      <c r="H29" s="6" t="s">
        <v>197</v>
      </c>
      <c r="I29" s="7">
        <v>3310216661929</v>
      </c>
      <c r="J29" s="6" t="s">
        <v>198</v>
      </c>
      <c r="K29" s="2" t="s">
        <v>199</v>
      </c>
      <c r="L29" s="2" t="s">
        <v>200</v>
      </c>
      <c r="M29" s="2" t="s">
        <v>201</v>
      </c>
      <c r="N29" s="2" t="s">
        <v>195</v>
      </c>
      <c r="O29" s="2" t="s">
        <v>8</v>
      </c>
      <c r="P29" s="2" t="s">
        <v>202</v>
      </c>
      <c r="Q29" s="2" t="s">
        <v>203</v>
      </c>
      <c r="R29" s="5">
        <v>44560</v>
      </c>
      <c r="S29" s="5">
        <v>46392</v>
      </c>
      <c r="T29" s="8">
        <v>1508000</v>
      </c>
      <c r="U29" s="2">
        <v>20</v>
      </c>
      <c r="V29" s="9">
        <f t="shared" si="0"/>
        <v>301600</v>
      </c>
      <c r="W29" s="9">
        <f t="shared" si="1"/>
        <v>1206400</v>
      </c>
      <c r="X29" s="10">
        <v>1.75</v>
      </c>
      <c r="Y29" s="9">
        <f t="shared" si="2"/>
        <v>21112.000000000004</v>
      </c>
      <c r="Z29" s="2"/>
      <c r="AA29" s="2" t="s">
        <v>11</v>
      </c>
      <c r="AB29" s="2">
        <v>1141072474</v>
      </c>
      <c r="AC29" s="11">
        <v>45688</v>
      </c>
      <c r="AD29" s="2" t="s">
        <v>12</v>
      </c>
      <c r="AE29" s="2">
        <v>0</v>
      </c>
      <c r="AF29" s="36" t="s">
        <v>196</v>
      </c>
      <c r="AG29" s="38">
        <v>21112</v>
      </c>
      <c r="AH29" s="39">
        <f t="shared" si="3"/>
        <v>0</v>
      </c>
    </row>
    <row r="30" spans="1:34" x14ac:dyDescent="0.25">
      <c r="A30" s="1" t="s">
        <v>0</v>
      </c>
      <c r="B30" s="2" t="s">
        <v>204</v>
      </c>
      <c r="C30" s="3">
        <v>45627</v>
      </c>
      <c r="D30" s="4" t="s">
        <v>2</v>
      </c>
      <c r="E30" s="2" t="s">
        <v>205</v>
      </c>
      <c r="F30" s="5">
        <v>45655</v>
      </c>
      <c r="G30" s="5">
        <v>46019</v>
      </c>
      <c r="H30" s="6" t="s">
        <v>206</v>
      </c>
      <c r="I30" s="7">
        <v>3620120378495</v>
      </c>
      <c r="J30" s="6" t="s">
        <v>125</v>
      </c>
      <c r="K30" s="2" t="s">
        <v>207</v>
      </c>
      <c r="L30" s="2">
        <v>195031</v>
      </c>
      <c r="M30" s="2" t="s">
        <v>208</v>
      </c>
      <c r="N30" s="2" t="s">
        <v>204</v>
      </c>
      <c r="O30" s="2" t="s">
        <v>8</v>
      </c>
      <c r="P30" s="2" t="s">
        <v>209</v>
      </c>
      <c r="Q30" s="2" t="s">
        <v>210</v>
      </c>
      <c r="R30" s="5">
        <v>44561</v>
      </c>
      <c r="S30" s="5">
        <v>46757</v>
      </c>
      <c r="T30" s="8">
        <v>1508000</v>
      </c>
      <c r="U30" s="2">
        <v>20</v>
      </c>
      <c r="V30" s="9">
        <f t="shared" si="0"/>
        <v>301600</v>
      </c>
      <c r="W30" s="9">
        <f t="shared" si="1"/>
        <v>1206400</v>
      </c>
      <c r="X30" s="10">
        <v>1.75</v>
      </c>
      <c r="Y30" s="9">
        <f t="shared" si="2"/>
        <v>21112.000000000004</v>
      </c>
      <c r="Z30" s="2"/>
      <c r="AA30" s="2" t="s">
        <v>11</v>
      </c>
      <c r="AB30" s="2">
        <v>1141072474</v>
      </c>
      <c r="AC30" s="11">
        <v>45688</v>
      </c>
      <c r="AD30" s="2" t="s">
        <v>12</v>
      </c>
      <c r="AE30" s="2">
        <v>0</v>
      </c>
      <c r="AF30" s="36" t="s">
        <v>205</v>
      </c>
      <c r="AG30" s="38">
        <v>21112</v>
      </c>
      <c r="AH30" s="39">
        <f t="shared" si="3"/>
        <v>0</v>
      </c>
    </row>
    <row r="31" spans="1:34" x14ac:dyDescent="0.25">
      <c r="A31" s="1" t="s">
        <v>0</v>
      </c>
      <c r="B31" s="2" t="s">
        <v>211</v>
      </c>
      <c r="C31" s="3">
        <v>45627</v>
      </c>
      <c r="D31" s="4" t="s">
        <v>2</v>
      </c>
      <c r="E31" s="2" t="s">
        <v>212</v>
      </c>
      <c r="F31" s="5">
        <v>45635</v>
      </c>
      <c r="G31" s="5">
        <v>45999</v>
      </c>
      <c r="H31" s="6" t="s">
        <v>213</v>
      </c>
      <c r="I31" s="7">
        <v>3520228243895</v>
      </c>
      <c r="J31" s="6" t="s">
        <v>214</v>
      </c>
      <c r="K31" s="2" t="s">
        <v>215</v>
      </c>
      <c r="L31" s="2">
        <v>505976</v>
      </c>
      <c r="M31" s="2" t="s">
        <v>216</v>
      </c>
      <c r="N31" s="2" t="s">
        <v>211</v>
      </c>
      <c r="O31" s="2" t="s">
        <v>8</v>
      </c>
      <c r="P31" s="2" t="s">
        <v>9</v>
      </c>
      <c r="Q31" s="2" t="s">
        <v>217</v>
      </c>
      <c r="R31" s="5">
        <v>44553</v>
      </c>
      <c r="S31" s="5">
        <v>47123</v>
      </c>
      <c r="T31" s="8">
        <v>1539000</v>
      </c>
      <c r="U31" s="2">
        <v>20</v>
      </c>
      <c r="V31" s="9">
        <f t="shared" si="0"/>
        <v>307800</v>
      </c>
      <c r="W31" s="9">
        <f t="shared" si="1"/>
        <v>1231200</v>
      </c>
      <c r="X31" s="10">
        <v>1.75</v>
      </c>
      <c r="Y31" s="9">
        <f t="shared" si="2"/>
        <v>21546.000000000004</v>
      </c>
      <c r="Z31" s="2"/>
      <c r="AA31" s="2" t="s">
        <v>11</v>
      </c>
      <c r="AB31" s="2">
        <v>1141072474</v>
      </c>
      <c r="AC31" s="11">
        <v>45688</v>
      </c>
      <c r="AD31" s="2" t="s">
        <v>12</v>
      </c>
      <c r="AE31" s="2">
        <v>0</v>
      </c>
      <c r="AF31" s="36" t="s">
        <v>212</v>
      </c>
      <c r="AG31" s="38">
        <v>21546</v>
      </c>
      <c r="AH31" s="39">
        <f t="shared" si="3"/>
        <v>0</v>
      </c>
    </row>
    <row r="32" spans="1:34" x14ac:dyDescent="0.25">
      <c r="A32" s="1" t="s">
        <v>0</v>
      </c>
      <c r="B32" s="2" t="s">
        <v>218</v>
      </c>
      <c r="C32" s="3">
        <v>45627</v>
      </c>
      <c r="D32" s="4" t="s">
        <v>2</v>
      </c>
      <c r="E32" s="2" t="s">
        <v>219</v>
      </c>
      <c r="F32" s="5">
        <v>45640</v>
      </c>
      <c r="G32" s="5">
        <v>46004</v>
      </c>
      <c r="H32" s="6" t="s">
        <v>220</v>
      </c>
      <c r="I32" s="7">
        <v>4240108092267</v>
      </c>
      <c r="J32" s="6" t="s">
        <v>125</v>
      </c>
      <c r="K32" s="2" t="s">
        <v>221</v>
      </c>
      <c r="L32" s="2">
        <v>254295</v>
      </c>
      <c r="M32" s="2" t="s">
        <v>222</v>
      </c>
      <c r="N32" s="2" t="s">
        <v>218</v>
      </c>
      <c r="O32" s="2" t="s">
        <v>19</v>
      </c>
      <c r="P32" s="2" t="s">
        <v>223</v>
      </c>
      <c r="Q32" s="2" t="s">
        <v>224</v>
      </c>
      <c r="R32" s="5">
        <v>44915</v>
      </c>
      <c r="S32" s="5">
        <v>47123</v>
      </c>
      <c r="T32" s="8">
        <v>1546000</v>
      </c>
      <c r="U32" s="2">
        <v>15</v>
      </c>
      <c r="V32" s="9">
        <f t="shared" si="0"/>
        <v>231900</v>
      </c>
      <c r="W32" s="9">
        <f t="shared" si="1"/>
        <v>1314100</v>
      </c>
      <c r="X32" s="10">
        <v>2.5</v>
      </c>
      <c r="Y32" s="9">
        <f t="shared" si="2"/>
        <v>32852.5</v>
      </c>
      <c r="Z32" s="2"/>
      <c r="AA32" s="2" t="s">
        <v>11</v>
      </c>
      <c r="AB32" s="2">
        <v>1141072474</v>
      </c>
      <c r="AC32" s="11">
        <v>45688</v>
      </c>
      <c r="AD32" s="2" t="s">
        <v>12</v>
      </c>
      <c r="AE32" s="2">
        <v>0</v>
      </c>
      <c r="AF32" s="36" t="s">
        <v>219</v>
      </c>
      <c r="AG32" s="38">
        <v>32853</v>
      </c>
      <c r="AH32" s="39">
        <f t="shared" si="3"/>
        <v>-0.5</v>
      </c>
    </row>
    <row r="33" spans="1:34" x14ac:dyDescent="0.25">
      <c r="A33" s="1" t="s">
        <v>0</v>
      </c>
      <c r="B33" s="2" t="s">
        <v>225</v>
      </c>
      <c r="C33" s="3">
        <v>45627</v>
      </c>
      <c r="D33" s="4" t="s">
        <v>2</v>
      </c>
      <c r="E33" s="2" t="s">
        <v>226</v>
      </c>
      <c r="F33" s="5">
        <v>45632</v>
      </c>
      <c r="G33" s="5">
        <v>45996</v>
      </c>
      <c r="H33" s="6" t="s">
        <v>227</v>
      </c>
      <c r="I33" s="7">
        <v>3310006886795</v>
      </c>
      <c r="J33" s="6" t="s">
        <v>228</v>
      </c>
      <c r="K33" s="2" t="s">
        <v>229</v>
      </c>
      <c r="L33" s="2" t="s">
        <v>230</v>
      </c>
      <c r="M33" s="2" t="s">
        <v>231</v>
      </c>
      <c r="N33" s="2" t="s">
        <v>225</v>
      </c>
      <c r="O33" s="2" t="s">
        <v>8</v>
      </c>
      <c r="P33" s="2" t="s">
        <v>74</v>
      </c>
      <c r="Q33" s="2" t="s">
        <v>232</v>
      </c>
      <c r="R33" s="5">
        <v>44537</v>
      </c>
      <c r="S33" s="5">
        <v>47092</v>
      </c>
      <c r="T33" s="8">
        <v>1610000</v>
      </c>
      <c r="U33" s="2">
        <v>20</v>
      </c>
      <c r="V33" s="9">
        <f t="shared" si="0"/>
        <v>322000</v>
      </c>
      <c r="W33" s="9">
        <f t="shared" si="1"/>
        <v>1288000</v>
      </c>
      <c r="X33" s="10">
        <v>2.5</v>
      </c>
      <c r="Y33" s="9">
        <f t="shared" si="2"/>
        <v>32200</v>
      </c>
      <c r="Z33" s="2"/>
      <c r="AA33" s="2" t="s">
        <v>11</v>
      </c>
      <c r="AB33" s="2">
        <v>1141072474</v>
      </c>
      <c r="AC33" s="11">
        <v>45688</v>
      </c>
      <c r="AD33" s="2" t="s">
        <v>12</v>
      </c>
      <c r="AE33" s="2">
        <v>0</v>
      </c>
      <c r="AF33" s="36" t="s">
        <v>226</v>
      </c>
      <c r="AG33" s="38">
        <v>32200</v>
      </c>
      <c r="AH33" s="39">
        <f t="shared" si="3"/>
        <v>0</v>
      </c>
    </row>
    <row r="34" spans="1:34" x14ac:dyDescent="0.25">
      <c r="A34" s="1" t="s">
        <v>0</v>
      </c>
      <c r="B34" s="2" t="s">
        <v>233</v>
      </c>
      <c r="C34" s="3">
        <v>45627</v>
      </c>
      <c r="D34" s="4" t="s">
        <v>2</v>
      </c>
      <c r="E34" s="2" t="s">
        <v>234</v>
      </c>
      <c r="F34" s="5">
        <v>45635</v>
      </c>
      <c r="G34" s="5">
        <v>45999</v>
      </c>
      <c r="H34" s="6" t="s">
        <v>235</v>
      </c>
      <c r="I34" s="7">
        <v>3520244469081</v>
      </c>
      <c r="J34" s="6" t="s">
        <v>228</v>
      </c>
      <c r="K34" s="2" t="s">
        <v>236</v>
      </c>
      <c r="L34" s="2">
        <v>225285</v>
      </c>
      <c r="M34" s="2" t="s">
        <v>237</v>
      </c>
      <c r="N34" s="2" t="s">
        <v>233</v>
      </c>
      <c r="O34" s="2" t="s">
        <v>8</v>
      </c>
      <c r="P34" s="2" t="s">
        <v>9</v>
      </c>
      <c r="Q34" s="2" t="s">
        <v>238</v>
      </c>
      <c r="R34" s="5">
        <v>44544</v>
      </c>
      <c r="S34" s="5">
        <v>46361</v>
      </c>
      <c r="T34" s="8">
        <v>1610000</v>
      </c>
      <c r="U34" s="2">
        <v>20</v>
      </c>
      <c r="V34" s="9">
        <f t="shared" si="0"/>
        <v>322000</v>
      </c>
      <c r="W34" s="9">
        <f t="shared" si="1"/>
        <v>1288000</v>
      </c>
      <c r="X34" s="10">
        <v>2.5</v>
      </c>
      <c r="Y34" s="9">
        <f t="shared" si="2"/>
        <v>32200</v>
      </c>
      <c r="Z34" s="2"/>
      <c r="AA34" s="2" t="s">
        <v>11</v>
      </c>
      <c r="AB34" s="2">
        <v>1141072474</v>
      </c>
      <c r="AC34" s="11">
        <v>45688</v>
      </c>
      <c r="AD34" s="2" t="s">
        <v>12</v>
      </c>
      <c r="AE34" s="2">
        <v>0</v>
      </c>
      <c r="AF34" s="36" t="s">
        <v>234</v>
      </c>
      <c r="AG34" s="38">
        <v>32200</v>
      </c>
      <c r="AH34" s="39">
        <f t="shared" si="3"/>
        <v>0</v>
      </c>
    </row>
    <row r="35" spans="1:34" x14ac:dyDescent="0.25">
      <c r="A35" s="1" t="s">
        <v>0</v>
      </c>
      <c r="B35" s="2" t="s">
        <v>239</v>
      </c>
      <c r="C35" s="3">
        <v>45627</v>
      </c>
      <c r="D35" s="4" t="s">
        <v>2</v>
      </c>
      <c r="E35" s="2" t="s">
        <v>240</v>
      </c>
      <c r="F35" s="5">
        <v>45647</v>
      </c>
      <c r="G35" s="5">
        <v>46011</v>
      </c>
      <c r="H35" s="6" t="s">
        <v>241</v>
      </c>
      <c r="I35" s="7">
        <v>3520270937527</v>
      </c>
      <c r="J35" s="6" t="s">
        <v>242</v>
      </c>
      <c r="K35" s="2" t="s">
        <v>243</v>
      </c>
      <c r="L35" s="2" t="s">
        <v>244</v>
      </c>
      <c r="M35" s="2" t="s">
        <v>245</v>
      </c>
      <c r="N35" s="2" t="s">
        <v>239</v>
      </c>
      <c r="O35" s="2" t="s">
        <v>8</v>
      </c>
      <c r="P35" s="2" t="s">
        <v>9</v>
      </c>
      <c r="Q35" s="2" t="s">
        <v>246</v>
      </c>
      <c r="R35" s="5">
        <v>44568</v>
      </c>
      <c r="S35" s="5">
        <v>46392</v>
      </c>
      <c r="T35" s="8">
        <v>1610000</v>
      </c>
      <c r="U35" s="2">
        <v>20</v>
      </c>
      <c r="V35" s="9">
        <f t="shared" si="0"/>
        <v>322000</v>
      </c>
      <c r="W35" s="9">
        <f t="shared" si="1"/>
        <v>1288000</v>
      </c>
      <c r="X35" s="10">
        <v>2.5</v>
      </c>
      <c r="Y35" s="9">
        <f t="shared" si="2"/>
        <v>32200</v>
      </c>
      <c r="Z35" s="2"/>
      <c r="AA35" s="2" t="s">
        <v>11</v>
      </c>
      <c r="AB35" s="2">
        <v>1141072474</v>
      </c>
      <c r="AC35" s="11">
        <v>45688</v>
      </c>
      <c r="AD35" s="2" t="s">
        <v>12</v>
      </c>
      <c r="AE35" s="2">
        <v>0</v>
      </c>
      <c r="AF35" s="36" t="s">
        <v>240</v>
      </c>
      <c r="AG35" s="38">
        <v>32200</v>
      </c>
      <c r="AH35" s="39">
        <f t="shared" si="3"/>
        <v>0</v>
      </c>
    </row>
    <row r="36" spans="1:34" x14ac:dyDescent="0.25">
      <c r="A36" s="1" t="s">
        <v>0</v>
      </c>
      <c r="B36" s="2" t="s">
        <v>247</v>
      </c>
      <c r="C36" s="3">
        <v>45627</v>
      </c>
      <c r="D36" s="4" t="s">
        <v>2</v>
      </c>
      <c r="E36" s="2" t="s">
        <v>248</v>
      </c>
      <c r="F36" s="5">
        <v>45656</v>
      </c>
      <c r="G36" s="5">
        <v>46020</v>
      </c>
      <c r="H36" s="6" t="s">
        <v>249</v>
      </c>
      <c r="I36" s="7">
        <v>3460161160157</v>
      </c>
      <c r="J36" s="6" t="s">
        <v>228</v>
      </c>
      <c r="K36" s="2" t="s">
        <v>250</v>
      </c>
      <c r="L36" s="2">
        <v>226772</v>
      </c>
      <c r="M36" s="2" t="s">
        <v>251</v>
      </c>
      <c r="N36" s="2" t="s">
        <v>247</v>
      </c>
      <c r="O36" s="2" t="s">
        <v>8</v>
      </c>
      <c r="P36" s="2" t="s">
        <v>9</v>
      </c>
      <c r="Q36" s="2" t="s">
        <v>252</v>
      </c>
      <c r="R36" s="5">
        <v>44568</v>
      </c>
      <c r="S36" s="5">
        <v>46392</v>
      </c>
      <c r="T36" s="8">
        <v>1610000</v>
      </c>
      <c r="U36" s="2">
        <v>20</v>
      </c>
      <c r="V36" s="9">
        <f t="shared" si="0"/>
        <v>322000</v>
      </c>
      <c r="W36" s="9">
        <f t="shared" si="1"/>
        <v>1288000</v>
      </c>
      <c r="X36" s="10">
        <v>2.5</v>
      </c>
      <c r="Y36" s="9">
        <f t="shared" si="2"/>
        <v>32200</v>
      </c>
      <c r="Z36" s="2"/>
      <c r="AA36" s="2" t="s">
        <v>11</v>
      </c>
      <c r="AB36" s="2">
        <v>1141072474</v>
      </c>
      <c r="AC36" s="11">
        <v>45688</v>
      </c>
      <c r="AD36" s="2" t="s">
        <v>12</v>
      </c>
      <c r="AE36" s="2">
        <v>32</v>
      </c>
      <c r="AF36" s="36" t="s">
        <v>248</v>
      </c>
      <c r="AG36" s="38">
        <v>32200</v>
      </c>
      <c r="AH36" s="39">
        <f t="shared" si="3"/>
        <v>0</v>
      </c>
    </row>
    <row r="37" spans="1:34" x14ac:dyDescent="0.25">
      <c r="A37" s="1" t="s">
        <v>0</v>
      </c>
      <c r="B37" s="2" t="s">
        <v>253</v>
      </c>
      <c r="C37" s="3">
        <v>45627</v>
      </c>
      <c r="D37" s="4" t="s">
        <v>2</v>
      </c>
      <c r="E37" s="2" t="s">
        <v>254</v>
      </c>
      <c r="F37" s="5">
        <v>45649</v>
      </c>
      <c r="G37" s="5">
        <v>46013</v>
      </c>
      <c r="H37" s="6" t="s">
        <v>255</v>
      </c>
      <c r="I37" s="7">
        <v>3520236597253</v>
      </c>
      <c r="J37" s="6" t="s">
        <v>256</v>
      </c>
      <c r="K37" s="2" t="s">
        <v>257</v>
      </c>
      <c r="L37" s="2">
        <v>147918</v>
      </c>
      <c r="M37" s="2" t="s">
        <v>258</v>
      </c>
      <c r="N37" s="2" t="s">
        <v>253</v>
      </c>
      <c r="O37" s="2" t="s">
        <v>8</v>
      </c>
      <c r="P37" s="2" t="s">
        <v>9</v>
      </c>
      <c r="Q37" s="2" t="s">
        <v>259</v>
      </c>
      <c r="R37" s="5">
        <v>44194</v>
      </c>
      <c r="S37" s="5">
        <v>46757</v>
      </c>
      <c r="T37" s="8">
        <v>1633000</v>
      </c>
      <c r="U37" s="2">
        <v>25</v>
      </c>
      <c r="V37" s="9">
        <f t="shared" si="0"/>
        <v>408250</v>
      </c>
      <c r="W37" s="9">
        <f t="shared" si="1"/>
        <v>1224750</v>
      </c>
      <c r="X37" s="10">
        <v>2.5</v>
      </c>
      <c r="Y37" s="9">
        <f t="shared" si="2"/>
        <v>30618.75</v>
      </c>
      <c r="Z37" s="2"/>
      <c r="AA37" s="2" t="s">
        <v>11</v>
      </c>
      <c r="AB37" s="2">
        <v>1141072474</v>
      </c>
      <c r="AC37" s="11">
        <v>45688</v>
      </c>
      <c r="AD37" s="2" t="s">
        <v>12</v>
      </c>
      <c r="AE37" s="2">
        <v>0</v>
      </c>
      <c r="AF37" s="36" t="s">
        <v>254</v>
      </c>
      <c r="AG37" s="38">
        <v>30619</v>
      </c>
      <c r="AH37" s="39">
        <f t="shared" si="3"/>
        <v>-0.25</v>
      </c>
    </row>
    <row r="38" spans="1:34" x14ac:dyDescent="0.25">
      <c r="A38" s="1" t="s">
        <v>0</v>
      </c>
      <c r="B38" s="2" t="s">
        <v>260</v>
      </c>
      <c r="C38" s="3">
        <v>45627</v>
      </c>
      <c r="D38" s="4" t="s">
        <v>2</v>
      </c>
      <c r="E38" s="2" t="s">
        <v>261</v>
      </c>
      <c r="F38" s="5">
        <v>45650</v>
      </c>
      <c r="G38" s="5">
        <v>46014</v>
      </c>
      <c r="H38" s="6" t="s">
        <v>262</v>
      </c>
      <c r="I38" s="7">
        <v>3520291006991</v>
      </c>
      <c r="J38" s="6" t="s">
        <v>256</v>
      </c>
      <c r="K38" s="2" t="s">
        <v>263</v>
      </c>
      <c r="L38" s="2">
        <v>147334</v>
      </c>
      <c r="M38" s="2" t="s">
        <v>264</v>
      </c>
      <c r="N38" s="2" t="s">
        <v>260</v>
      </c>
      <c r="O38" s="2" t="s">
        <v>8</v>
      </c>
      <c r="P38" s="2" t="s">
        <v>9</v>
      </c>
      <c r="Q38" s="2" t="s">
        <v>265</v>
      </c>
      <c r="R38" s="5">
        <v>44194</v>
      </c>
      <c r="S38" s="5">
        <v>46027</v>
      </c>
      <c r="T38" s="8">
        <v>1633000</v>
      </c>
      <c r="U38" s="2">
        <v>25</v>
      </c>
      <c r="V38" s="9">
        <f t="shared" si="0"/>
        <v>408250</v>
      </c>
      <c r="W38" s="9">
        <f t="shared" si="1"/>
        <v>1224750</v>
      </c>
      <c r="X38" s="10">
        <v>2.5</v>
      </c>
      <c r="Y38" s="9">
        <f t="shared" si="2"/>
        <v>30618.75</v>
      </c>
      <c r="Z38" s="2"/>
      <c r="AA38" s="2" t="s">
        <v>11</v>
      </c>
      <c r="AB38" s="2">
        <v>1141072474</v>
      </c>
      <c r="AC38" s="11">
        <v>45688</v>
      </c>
      <c r="AD38" s="2" t="s">
        <v>12</v>
      </c>
      <c r="AE38" s="2">
        <v>0</v>
      </c>
      <c r="AF38" s="36" t="s">
        <v>261</v>
      </c>
      <c r="AG38" s="38">
        <v>30619</v>
      </c>
      <c r="AH38" s="39">
        <f t="shared" si="3"/>
        <v>-0.25</v>
      </c>
    </row>
    <row r="39" spans="1:34" x14ac:dyDescent="0.25">
      <c r="A39" s="1" t="s">
        <v>0</v>
      </c>
      <c r="B39" s="2" t="s">
        <v>266</v>
      </c>
      <c r="C39" s="3">
        <v>45627</v>
      </c>
      <c r="D39" s="4" t="s">
        <v>2</v>
      </c>
      <c r="E39" s="2" t="s">
        <v>267</v>
      </c>
      <c r="F39" s="5">
        <v>45657</v>
      </c>
      <c r="G39" s="5">
        <v>46021</v>
      </c>
      <c r="H39" s="6" t="s">
        <v>268</v>
      </c>
      <c r="I39" s="7">
        <v>3520187823901</v>
      </c>
      <c r="J39" s="6" t="s">
        <v>228</v>
      </c>
      <c r="K39" s="2" t="s">
        <v>269</v>
      </c>
      <c r="L39" s="2">
        <v>206046</v>
      </c>
      <c r="M39" s="2" t="s">
        <v>270</v>
      </c>
      <c r="N39" s="2" t="s">
        <v>266</v>
      </c>
      <c r="O39" s="2" t="s">
        <v>8</v>
      </c>
      <c r="P39" s="2" t="s">
        <v>9</v>
      </c>
      <c r="Q39" s="2" t="s">
        <v>271</v>
      </c>
      <c r="R39" s="5">
        <v>44201</v>
      </c>
      <c r="S39" s="5">
        <v>46027</v>
      </c>
      <c r="T39" s="8">
        <v>1640000</v>
      </c>
      <c r="U39" s="2">
        <v>25</v>
      </c>
      <c r="V39" s="9">
        <f t="shared" si="0"/>
        <v>410000</v>
      </c>
      <c r="W39" s="9">
        <f t="shared" si="1"/>
        <v>1230000</v>
      </c>
      <c r="X39" s="10">
        <v>2.5</v>
      </c>
      <c r="Y39" s="9">
        <f t="shared" si="2"/>
        <v>30750</v>
      </c>
      <c r="Z39" s="2"/>
      <c r="AA39" s="2" t="s">
        <v>11</v>
      </c>
      <c r="AB39" s="2">
        <v>1141072474</v>
      </c>
      <c r="AC39" s="11">
        <v>45688</v>
      </c>
      <c r="AD39" s="2" t="s">
        <v>12</v>
      </c>
      <c r="AE39" s="2">
        <v>0</v>
      </c>
      <c r="AF39" s="36" t="s">
        <v>267</v>
      </c>
      <c r="AG39" s="38">
        <v>30750</v>
      </c>
      <c r="AH39" s="39">
        <f t="shared" si="3"/>
        <v>0</v>
      </c>
    </row>
    <row r="40" spans="1:34" x14ac:dyDescent="0.25">
      <c r="A40" s="1" t="s">
        <v>0</v>
      </c>
      <c r="B40" s="2" t="s">
        <v>272</v>
      </c>
      <c r="C40" s="3">
        <v>45627</v>
      </c>
      <c r="D40" s="4" t="s">
        <v>2</v>
      </c>
      <c r="E40" s="2" t="s">
        <v>273</v>
      </c>
      <c r="F40" s="5">
        <v>45636</v>
      </c>
      <c r="G40" s="5">
        <v>46000</v>
      </c>
      <c r="H40" s="6" t="s">
        <v>274</v>
      </c>
      <c r="I40" s="7">
        <v>3320330591451</v>
      </c>
      <c r="J40" s="6" t="s">
        <v>228</v>
      </c>
      <c r="K40" s="2" t="s">
        <v>275</v>
      </c>
      <c r="L40" s="2">
        <v>177771</v>
      </c>
      <c r="M40" s="2" t="s">
        <v>276</v>
      </c>
      <c r="N40" s="2" t="s">
        <v>272</v>
      </c>
      <c r="O40" s="2" t="s">
        <v>8</v>
      </c>
      <c r="P40" s="2" t="s">
        <v>9</v>
      </c>
      <c r="Q40" s="2" t="s">
        <v>277</v>
      </c>
      <c r="R40" s="5">
        <v>44544</v>
      </c>
      <c r="S40" s="5">
        <v>46361</v>
      </c>
      <c r="T40" s="8">
        <v>1650000</v>
      </c>
      <c r="U40" s="2">
        <v>20</v>
      </c>
      <c r="V40" s="9">
        <f t="shared" si="0"/>
        <v>330000</v>
      </c>
      <c r="W40" s="9">
        <f t="shared" si="1"/>
        <v>1320000</v>
      </c>
      <c r="X40" s="10">
        <v>1.75</v>
      </c>
      <c r="Y40" s="9">
        <f t="shared" si="2"/>
        <v>23100.000000000004</v>
      </c>
      <c r="Z40" s="2"/>
      <c r="AA40" s="2" t="s">
        <v>11</v>
      </c>
      <c r="AB40" s="2">
        <v>1141072474</v>
      </c>
      <c r="AC40" s="11">
        <v>45688</v>
      </c>
      <c r="AD40" s="2" t="s">
        <v>12</v>
      </c>
      <c r="AE40" s="2">
        <v>0</v>
      </c>
      <c r="AF40" s="36" t="s">
        <v>273</v>
      </c>
      <c r="AG40" s="38">
        <v>23100</v>
      </c>
      <c r="AH40" s="39">
        <f t="shared" si="3"/>
        <v>0</v>
      </c>
    </row>
    <row r="41" spans="1:34" x14ac:dyDescent="0.25">
      <c r="A41" s="1" t="s">
        <v>0</v>
      </c>
      <c r="B41" s="2" t="s">
        <v>278</v>
      </c>
      <c r="C41" s="3">
        <v>45627</v>
      </c>
      <c r="D41" s="4" t="s">
        <v>2</v>
      </c>
      <c r="E41" s="2" t="s">
        <v>279</v>
      </c>
      <c r="F41" s="5">
        <v>45656</v>
      </c>
      <c r="G41" s="5">
        <v>46020</v>
      </c>
      <c r="H41" s="6" t="s">
        <v>280</v>
      </c>
      <c r="I41" s="7">
        <v>3510307559247</v>
      </c>
      <c r="J41" s="6" t="s">
        <v>228</v>
      </c>
      <c r="K41" s="2" t="s">
        <v>281</v>
      </c>
      <c r="L41" s="2" t="s">
        <v>282</v>
      </c>
      <c r="M41" s="2" t="s">
        <v>283</v>
      </c>
      <c r="N41" s="2" t="s">
        <v>278</v>
      </c>
      <c r="O41" s="2" t="s">
        <v>8</v>
      </c>
      <c r="P41" s="2" t="s">
        <v>9</v>
      </c>
      <c r="Q41" s="2" t="s">
        <v>284</v>
      </c>
      <c r="R41" s="5">
        <v>44926</v>
      </c>
      <c r="S41" s="5">
        <v>46757</v>
      </c>
      <c r="T41" s="8">
        <v>1700000</v>
      </c>
      <c r="U41" s="2">
        <v>15</v>
      </c>
      <c r="V41" s="9">
        <f t="shared" si="0"/>
        <v>255000</v>
      </c>
      <c r="W41" s="9">
        <f t="shared" si="1"/>
        <v>1445000</v>
      </c>
      <c r="X41" s="10">
        <v>2</v>
      </c>
      <c r="Y41" s="9">
        <f t="shared" si="2"/>
        <v>28900</v>
      </c>
      <c r="Z41" s="2"/>
      <c r="AA41" s="2" t="s">
        <v>11</v>
      </c>
      <c r="AB41" s="2">
        <v>1141072474</v>
      </c>
      <c r="AC41" s="11">
        <v>45688</v>
      </c>
      <c r="AD41" s="2" t="s">
        <v>12</v>
      </c>
      <c r="AE41" s="2">
        <v>0</v>
      </c>
      <c r="AF41" s="36" t="s">
        <v>279</v>
      </c>
      <c r="AG41" s="38">
        <v>28900</v>
      </c>
      <c r="AH41" s="39">
        <f t="shared" si="3"/>
        <v>0</v>
      </c>
    </row>
    <row r="42" spans="1:34" x14ac:dyDescent="0.25">
      <c r="A42" s="1" t="s">
        <v>0</v>
      </c>
      <c r="B42" s="2" t="s">
        <v>285</v>
      </c>
      <c r="C42" s="3">
        <v>45627</v>
      </c>
      <c r="D42" s="4" t="s">
        <v>2</v>
      </c>
      <c r="E42" s="2" t="s">
        <v>286</v>
      </c>
      <c r="F42" s="5">
        <v>45650</v>
      </c>
      <c r="G42" s="5">
        <v>46014</v>
      </c>
      <c r="H42" s="6" t="s">
        <v>287</v>
      </c>
      <c r="I42" s="7">
        <v>3210273484029</v>
      </c>
      <c r="J42" s="6" t="s">
        <v>228</v>
      </c>
      <c r="K42" s="2" t="s">
        <v>288</v>
      </c>
      <c r="L42" s="2">
        <v>208526</v>
      </c>
      <c r="M42" s="2" t="s">
        <v>289</v>
      </c>
      <c r="N42" s="2" t="s">
        <v>285</v>
      </c>
      <c r="O42" s="2" t="s">
        <v>8</v>
      </c>
      <c r="P42" s="2" t="s">
        <v>290</v>
      </c>
      <c r="Q42" s="2" t="s">
        <v>291</v>
      </c>
      <c r="R42" s="5">
        <v>44201</v>
      </c>
      <c r="S42" s="5">
        <v>46027</v>
      </c>
      <c r="T42" s="8">
        <v>1730000</v>
      </c>
      <c r="U42" s="2">
        <v>25</v>
      </c>
      <c r="V42" s="9">
        <f t="shared" si="0"/>
        <v>432500</v>
      </c>
      <c r="W42" s="9">
        <f t="shared" si="1"/>
        <v>1297500</v>
      </c>
      <c r="X42" s="10">
        <v>2.5</v>
      </c>
      <c r="Y42" s="9">
        <f t="shared" si="2"/>
        <v>32437.5</v>
      </c>
      <c r="Z42" s="2"/>
      <c r="AA42" s="2" t="s">
        <v>11</v>
      </c>
      <c r="AB42" s="2">
        <v>1141072474</v>
      </c>
      <c r="AC42" s="11">
        <v>45688</v>
      </c>
      <c r="AD42" s="2" t="s">
        <v>12</v>
      </c>
      <c r="AE42" s="2">
        <v>0</v>
      </c>
      <c r="AF42" s="36" t="s">
        <v>286</v>
      </c>
      <c r="AG42" s="38">
        <v>32438</v>
      </c>
      <c r="AH42" s="39">
        <f t="shared" si="3"/>
        <v>-0.5</v>
      </c>
    </row>
    <row r="43" spans="1:34" x14ac:dyDescent="0.25">
      <c r="A43" s="1" t="s">
        <v>0</v>
      </c>
      <c r="B43" s="2" t="s">
        <v>292</v>
      </c>
      <c r="C43" s="3">
        <v>45627</v>
      </c>
      <c r="D43" s="4" t="s">
        <v>2</v>
      </c>
      <c r="E43" s="2" t="s">
        <v>293</v>
      </c>
      <c r="F43" s="5">
        <v>45653</v>
      </c>
      <c r="G43" s="5">
        <v>46017</v>
      </c>
      <c r="H43" s="6" t="s">
        <v>294</v>
      </c>
      <c r="I43" s="7">
        <v>3520170853695</v>
      </c>
      <c r="J43" s="6" t="s">
        <v>295</v>
      </c>
      <c r="K43" s="2" t="s">
        <v>296</v>
      </c>
      <c r="L43" s="2" t="s">
        <v>297</v>
      </c>
      <c r="M43" s="2" t="s">
        <v>298</v>
      </c>
      <c r="N43" s="2" t="s">
        <v>292</v>
      </c>
      <c r="O43" s="2" t="s">
        <v>8</v>
      </c>
      <c r="P43" s="2" t="s">
        <v>9</v>
      </c>
      <c r="Q43" s="2" t="s">
        <v>299</v>
      </c>
      <c r="R43" s="5">
        <v>44561</v>
      </c>
      <c r="S43" s="5">
        <v>46392</v>
      </c>
      <c r="T43" s="8">
        <v>1730000</v>
      </c>
      <c r="U43" s="2">
        <v>20</v>
      </c>
      <c r="V43" s="9">
        <f t="shared" si="0"/>
        <v>346000</v>
      </c>
      <c r="W43" s="9">
        <f t="shared" si="1"/>
        <v>1384000</v>
      </c>
      <c r="X43" s="10">
        <v>1.75</v>
      </c>
      <c r="Y43" s="9">
        <f t="shared" si="2"/>
        <v>24220.000000000004</v>
      </c>
      <c r="Z43" s="2"/>
      <c r="AA43" s="2" t="s">
        <v>11</v>
      </c>
      <c r="AB43" s="2">
        <v>1141072474</v>
      </c>
      <c r="AC43" s="11">
        <v>45688</v>
      </c>
      <c r="AD43" s="2" t="s">
        <v>12</v>
      </c>
      <c r="AE43" s="2">
        <v>0</v>
      </c>
      <c r="AF43" s="36" t="s">
        <v>293</v>
      </c>
      <c r="AG43" s="38">
        <v>24220</v>
      </c>
      <c r="AH43" s="39">
        <f t="shared" si="3"/>
        <v>0</v>
      </c>
    </row>
    <row r="44" spans="1:34" x14ac:dyDescent="0.25">
      <c r="A44" s="1" t="s">
        <v>0</v>
      </c>
      <c r="B44" s="2" t="s">
        <v>300</v>
      </c>
      <c r="C44" s="3">
        <v>45627</v>
      </c>
      <c r="D44" s="4" t="s">
        <v>2</v>
      </c>
      <c r="E44" s="2" t="s">
        <v>301</v>
      </c>
      <c r="F44" s="5">
        <v>45631</v>
      </c>
      <c r="G44" s="5">
        <v>45995</v>
      </c>
      <c r="H44" s="6" t="s">
        <v>302</v>
      </c>
      <c r="I44" s="7">
        <v>3520256120783</v>
      </c>
      <c r="J44" s="6" t="s">
        <v>198</v>
      </c>
      <c r="K44" s="2" t="s">
        <v>303</v>
      </c>
      <c r="L44" s="2" t="s">
        <v>304</v>
      </c>
      <c r="M44" s="2" t="s">
        <v>305</v>
      </c>
      <c r="N44" s="2" t="s">
        <v>300</v>
      </c>
      <c r="O44" s="2" t="s">
        <v>8</v>
      </c>
      <c r="P44" s="2" t="s">
        <v>306</v>
      </c>
      <c r="Q44" s="2" t="s">
        <v>307</v>
      </c>
      <c r="R44" s="5">
        <v>44902</v>
      </c>
      <c r="S44" s="5">
        <v>46727</v>
      </c>
      <c r="T44" s="8">
        <v>1733000</v>
      </c>
      <c r="U44" s="2">
        <v>15</v>
      </c>
      <c r="V44" s="9">
        <f t="shared" si="0"/>
        <v>259950</v>
      </c>
      <c r="W44" s="9">
        <f t="shared" si="1"/>
        <v>1473050</v>
      </c>
      <c r="X44" s="10">
        <v>2</v>
      </c>
      <c r="Y44" s="9">
        <f t="shared" si="2"/>
        <v>29461</v>
      </c>
      <c r="Z44" s="2"/>
      <c r="AA44" s="2" t="s">
        <v>11</v>
      </c>
      <c r="AB44" s="2">
        <v>1141072474</v>
      </c>
      <c r="AC44" s="11">
        <v>45688</v>
      </c>
      <c r="AD44" s="2" t="s">
        <v>12</v>
      </c>
      <c r="AE44" s="2">
        <v>0</v>
      </c>
      <c r="AF44" s="36" t="s">
        <v>301</v>
      </c>
      <c r="AG44" s="38">
        <v>29461</v>
      </c>
      <c r="AH44" s="39">
        <f t="shared" si="3"/>
        <v>0</v>
      </c>
    </row>
    <row r="45" spans="1:34" x14ac:dyDescent="0.25">
      <c r="A45" s="1" t="s">
        <v>0</v>
      </c>
      <c r="B45" s="2" t="s">
        <v>308</v>
      </c>
      <c r="C45" s="3">
        <v>45627</v>
      </c>
      <c r="D45" s="4" t="s">
        <v>2</v>
      </c>
      <c r="E45" s="2" t="s">
        <v>309</v>
      </c>
      <c r="F45" s="5">
        <v>45632</v>
      </c>
      <c r="G45" s="5">
        <v>45996</v>
      </c>
      <c r="H45" s="6" t="s">
        <v>310</v>
      </c>
      <c r="I45" s="7">
        <v>6110118733997</v>
      </c>
      <c r="J45" s="6" t="s">
        <v>111</v>
      </c>
      <c r="K45" s="2" t="s">
        <v>311</v>
      </c>
      <c r="L45" s="2">
        <v>261281</v>
      </c>
      <c r="M45" s="2" t="s">
        <v>312</v>
      </c>
      <c r="N45" s="2" t="s">
        <v>308</v>
      </c>
      <c r="O45" s="2" t="s">
        <v>27</v>
      </c>
      <c r="P45" s="2" t="s">
        <v>28</v>
      </c>
      <c r="Q45" s="2" t="s">
        <v>313</v>
      </c>
      <c r="R45" s="5">
        <v>44903</v>
      </c>
      <c r="S45" s="5">
        <v>45996</v>
      </c>
      <c r="T45" s="8">
        <v>1733000</v>
      </c>
      <c r="U45" s="2">
        <v>15</v>
      </c>
      <c r="V45" s="9">
        <f t="shared" si="0"/>
        <v>259950</v>
      </c>
      <c r="W45" s="9">
        <f t="shared" si="1"/>
        <v>1473050</v>
      </c>
      <c r="X45" s="10">
        <v>2</v>
      </c>
      <c r="Y45" s="9">
        <f t="shared" si="2"/>
        <v>29461</v>
      </c>
      <c r="Z45" s="2"/>
      <c r="AA45" s="2" t="s">
        <v>11</v>
      </c>
      <c r="AB45" s="2">
        <v>1141072474</v>
      </c>
      <c r="AC45" s="11">
        <v>45688</v>
      </c>
      <c r="AD45" s="2" t="s">
        <v>12</v>
      </c>
      <c r="AE45" s="2">
        <v>0</v>
      </c>
      <c r="AF45" s="36" t="s">
        <v>309</v>
      </c>
      <c r="AG45" s="38">
        <v>29461</v>
      </c>
      <c r="AH45" s="39">
        <f t="shared" si="3"/>
        <v>0</v>
      </c>
    </row>
    <row r="46" spans="1:34" x14ac:dyDescent="0.25">
      <c r="A46" s="1" t="s">
        <v>0</v>
      </c>
      <c r="B46" s="2" t="s">
        <v>314</v>
      </c>
      <c r="C46" s="3">
        <v>45627</v>
      </c>
      <c r="D46" s="4" t="s">
        <v>2</v>
      </c>
      <c r="E46" s="2" t="s">
        <v>315</v>
      </c>
      <c r="F46" s="5">
        <v>45640</v>
      </c>
      <c r="G46" s="5">
        <v>46004</v>
      </c>
      <c r="H46" s="6" t="s">
        <v>316</v>
      </c>
      <c r="I46" s="7">
        <v>3520294600133</v>
      </c>
      <c r="J46" s="6" t="s">
        <v>125</v>
      </c>
      <c r="K46" s="2" t="s">
        <v>317</v>
      </c>
      <c r="L46" s="2">
        <v>263165</v>
      </c>
      <c r="M46" s="2" t="s">
        <v>318</v>
      </c>
      <c r="N46" s="2" t="s">
        <v>314</v>
      </c>
      <c r="O46" s="2" t="s">
        <v>8</v>
      </c>
      <c r="P46" s="2" t="s">
        <v>9</v>
      </c>
      <c r="Q46" s="2" t="s">
        <v>319</v>
      </c>
      <c r="R46" s="5">
        <v>44918</v>
      </c>
      <c r="S46" s="5">
        <v>46027</v>
      </c>
      <c r="T46" s="8">
        <v>1733000</v>
      </c>
      <c r="U46" s="2">
        <v>15</v>
      </c>
      <c r="V46" s="9">
        <f t="shared" si="0"/>
        <v>259950</v>
      </c>
      <c r="W46" s="9">
        <f t="shared" si="1"/>
        <v>1473050</v>
      </c>
      <c r="X46" s="10">
        <v>2</v>
      </c>
      <c r="Y46" s="9">
        <f t="shared" si="2"/>
        <v>29461</v>
      </c>
      <c r="Z46" s="2"/>
      <c r="AA46" s="2" t="s">
        <v>11</v>
      </c>
      <c r="AB46" s="2">
        <v>1141072474</v>
      </c>
      <c r="AC46" s="11">
        <v>45688</v>
      </c>
      <c r="AD46" s="2" t="s">
        <v>12</v>
      </c>
      <c r="AE46" s="2">
        <v>0</v>
      </c>
      <c r="AF46" s="36" t="s">
        <v>315</v>
      </c>
      <c r="AG46" s="38">
        <v>29461</v>
      </c>
      <c r="AH46" s="39">
        <f t="shared" si="3"/>
        <v>0</v>
      </c>
    </row>
    <row r="47" spans="1:34" x14ac:dyDescent="0.25">
      <c r="A47" s="1" t="s">
        <v>0</v>
      </c>
      <c r="B47" s="2" t="s">
        <v>320</v>
      </c>
      <c r="C47" s="3">
        <v>45627</v>
      </c>
      <c r="D47" s="4" t="s">
        <v>2</v>
      </c>
      <c r="E47" s="2" t="s">
        <v>321</v>
      </c>
      <c r="F47" s="5">
        <v>45654</v>
      </c>
      <c r="G47" s="5">
        <v>46018</v>
      </c>
      <c r="H47" s="6" t="s">
        <v>322</v>
      </c>
      <c r="I47" s="7">
        <v>3520115827131</v>
      </c>
      <c r="J47" s="6" t="s">
        <v>198</v>
      </c>
      <c r="K47" s="2" t="s">
        <v>323</v>
      </c>
      <c r="L47" s="2" t="s">
        <v>324</v>
      </c>
      <c r="M47" s="2" t="s">
        <v>325</v>
      </c>
      <c r="N47" s="2" t="s">
        <v>320</v>
      </c>
      <c r="O47" s="2" t="s">
        <v>8</v>
      </c>
      <c r="P47" s="2" t="s">
        <v>9</v>
      </c>
      <c r="Q47" s="2" t="s">
        <v>326</v>
      </c>
      <c r="R47" s="5">
        <v>44925</v>
      </c>
      <c r="S47" s="5">
        <v>46757</v>
      </c>
      <c r="T47" s="8">
        <v>1733000</v>
      </c>
      <c r="U47" s="2">
        <v>15</v>
      </c>
      <c r="V47" s="9">
        <f t="shared" si="0"/>
        <v>259950</v>
      </c>
      <c r="W47" s="9">
        <f t="shared" si="1"/>
        <v>1473050</v>
      </c>
      <c r="X47" s="10">
        <v>2</v>
      </c>
      <c r="Y47" s="9">
        <f t="shared" si="2"/>
        <v>29461</v>
      </c>
      <c r="Z47" s="2"/>
      <c r="AA47" s="2" t="s">
        <v>11</v>
      </c>
      <c r="AB47" s="2">
        <v>1141072474</v>
      </c>
      <c r="AC47" s="11">
        <v>45688</v>
      </c>
      <c r="AD47" s="2" t="s">
        <v>12</v>
      </c>
      <c r="AE47" s="2">
        <v>0</v>
      </c>
      <c r="AF47" s="36" t="s">
        <v>321</v>
      </c>
      <c r="AG47" s="38">
        <v>29461</v>
      </c>
      <c r="AH47" s="39">
        <f t="shared" si="3"/>
        <v>0</v>
      </c>
    </row>
    <row r="48" spans="1:34" x14ac:dyDescent="0.25">
      <c r="A48" s="1" t="s">
        <v>0</v>
      </c>
      <c r="B48" s="4" t="s">
        <v>327</v>
      </c>
      <c r="C48" s="3">
        <v>45627</v>
      </c>
      <c r="D48" s="4" t="s">
        <v>2</v>
      </c>
      <c r="E48" s="2" t="s">
        <v>328</v>
      </c>
      <c r="F48" s="5">
        <v>45654</v>
      </c>
      <c r="G48" s="5">
        <v>46018</v>
      </c>
      <c r="H48" s="6" t="s">
        <v>329</v>
      </c>
      <c r="I48" s="7">
        <v>3520251049981</v>
      </c>
      <c r="J48" s="6" t="s">
        <v>214</v>
      </c>
      <c r="K48" s="2" t="s">
        <v>330</v>
      </c>
      <c r="L48" s="2">
        <v>501179</v>
      </c>
      <c r="M48" s="2" t="s">
        <v>331</v>
      </c>
      <c r="N48" s="4" t="s">
        <v>327</v>
      </c>
      <c r="O48" s="2" t="s">
        <v>8</v>
      </c>
      <c r="P48" s="2" t="s">
        <v>9</v>
      </c>
      <c r="Q48" s="2" t="s">
        <v>332</v>
      </c>
      <c r="R48" s="5">
        <v>44561</v>
      </c>
      <c r="S48" s="5">
        <v>46392</v>
      </c>
      <c r="T48" s="8">
        <v>1800000</v>
      </c>
      <c r="U48" s="2">
        <v>20</v>
      </c>
      <c r="V48" s="9">
        <f t="shared" si="0"/>
        <v>360000</v>
      </c>
      <c r="W48" s="9">
        <f t="shared" si="1"/>
        <v>1440000</v>
      </c>
      <c r="X48" s="10">
        <v>1.75</v>
      </c>
      <c r="Y48" s="9">
        <f t="shared" si="2"/>
        <v>25200.000000000004</v>
      </c>
      <c r="Z48" s="2"/>
      <c r="AA48" s="2" t="s">
        <v>11</v>
      </c>
      <c r="AB48" s="2">
        <v>1141072474</v>
      </c>
      <c r="AC48" s="11">
        <v>45688</v>
      </c>
      <c r="AD48" s="2" t="s">
        <v>12</v>
      </c>
      <c r="AE48" s="2">
        <v>0</v>
      </c>
      <c r="AF48" s="36" t="s">
        <v>328</v>
      </c>
      <c r="AG48" s="38">
        <v>25200</v>
      </c>
      <c r="AH48" s="39">
        <f t="shared" si="3"/>
        <v>0</v>
      </c>
    </row>
    <row r="49" spans="1:34" x14ac:dyDescent="0.25">
      <c r="A49" s="1" t="s">
        <v>0</v>
      </c>
      <c r="B49" s="2" t="s">
        <v>333</v>
      </c>
      <c r="C49" s="3">
        <v>45627</v>
      </c>
      <c r="D49" s="4" t="s">
        <v>2</v>
      </c>
      <c r="E49" s="2" t="s">
        <v>334</v>
      </c>
      <c r="F49" s="5">
        <v>45654</v>
      </c>
      <c r="G49" s="5">
        <v>46018</v>
      </c>
      <c r="H49" s="6" t="s">
        <v>335</v>
      </c>
      <c r="I49" s="7">
        <v>3520233460071</v>
      </c>
      <c r="J49" s="6" t="s">
        <v>242</v>
      </c>
      <c r="K49" s="2" t="s">
        <v>336</v>
      </c>
      <c r="L49" s="2">
        <v>175051</v>
      </c>
      <c r="M49" s="2" t="s">
        <v>337</v>
      </c>
      <c r="N49" s="2" t="s">
        <v>333</v>
      </c>
      <c r="O49" s="2" t="s">
        <v>8</v>
      </c>
      <c r="P49" s="2" t="s">
        <v>9</v>
      </c>
      <c r="Q49" s="2" t="s">
        <v>338</v>
      </c>
      <c r="R49" s="5">
        <v>44924</v>
      </c>
      <c r="S49" s="5">
        <v>46757</v>
      </c>
      <c r="T49" s="8">
        <v>1800000</v>
      </c>
      <c r="U49" s="2">
        <v>15</v>
      </c>
      <c r="V49" s="9">
        <f t="shared" si="0"/>
        <v>270000</v>
      </c>
      <c r="W49" s="9">
        <f t="shared" si="1"/>
        <v>1530000</v>
      </c>
      <c r="X49" s="10">
        <v>2</v>
      </c>
      <c r="Y49" s="9">
        <f t="shared" si="2"/>
        <v>30600</v>
      </c>
      <c r="Z49" s="2"/>
      <c r="AA49" s="2" t="s">
        <v>11</v>
      </c>
      <c r="AB49" s="2">
        <v>1141072474</v>
      </c>
      <c r="AC49" s="11">
        <v>45688</v>
      </c>
      <c r="AD49" s="2" t="s">
        <v>12</v>
      </c>
      <c r="AE49" s="2">
        <v>0</v>
      </c>
      <c r="AF49" s="36" t="s">
        <v>334</v>
      </c>
      <c r="AG49" s="38">
        <v>30600</v>
      </c>
      <c r="AH49" s="39">
        <f t="shared" si="3"/>
        <v>0</v>
      </c>
    </row>
    <row r="50" spans="1:34" x14ac:dyDescent="0.25">
      <c r="A50" s="1" t="s">
        <v>0</v>
      </c>
      <c r="B50" s="2" t="s">
        <v>339</v>
      </c>
      <c r="C50" s="3">
        <v>45627</v>
      </c>
      <c r="D50" s="4" t="s">
        <v>2</v>
      </c>
      <c r="E50" s="2" t="s">
        <v>340</v>
      </c>
      <c r="F50" s="5">
        <v>45656</v>
      </c>
      <c r="G50" s="5">
        <v>46020</v>
      </c>
      <c r="H50" s="6" t="s">
        <v>341</v>
      </c>
      <c r="I50" s="7">
        <v>3310047771995</v>
      </c>
      <c r="J50" s="6" t="s">
        <v>342</v>
      </c>
      <c r="K50" s="2" t="s">
        <v>343</v>
      </c>
      <c r="L50" s="2" t="s">
        <v>344</v>
      </c>
      <c r="M50" s="2" t="s">
        <v>345</v>
      </c>
      <c r="N50" s="2" t="s">
        <v>339</v>
      </c>
      <c r="O50" s="2" t="s">
        <v>8</v>
      </c>
      <c r="P50" s="2" t="s">
        <v>74</v>
      </c>
      <c r="Q50" s="2" t="s">
        <v>346</v>
      </c>
      <c r="R50" s="5">
        <v>44926</v>
      </c>
      <c r="S50" s="5">
        <v>46757</v>
      </c>
      <c r="T50" s="8">
        <v>1800000</v>
      </c>
      <c r="U50" s="2">
        <v>15</v>
      </c>
      <c r="V50" s="9">
        <f t="shared" si="0"/>
        <v>270000</v>
      </c>
      <c r="W50" s="9">
        <f t="shared" si="1"/>
        <v>1530000</v>
      </c>
      <c r="X50" s="10">
        <v>2</v>
      </c>
      <c r="Y50" s="9">
        <f t="shared" si="2"/>
        <v>30600</v>
      </c>
      <c r="Z50" s="2"/>
      <c r="AA50" s="2" t="s">
        <v>11</v>
      </c>
      <c r="AB50" s="2">
        <v>1141072474</v>
      </c>
      <c r="AC50" s="11">
        <v>45688</v>
      </c>
      <c r="AD50" s="2" t="s">
        <v>12</v>
      </c>
      <c r="AE50" s="2">
        <v>0</v>
      </c>
      <c r="AF50" s="36" t="s">
        <v>340</v>
      </c>
      <c r="AG50" s="38">
        <v>30600</v>
      </c>
      <c r="AH50" s="39">
        <f t="shared" si="3"/>
        <v>0</v>
      </c>
    </row>
    <row r="51" spans="1:34" x14ac:dyDescent="0.25">
      <c r="A51" s="1" t="s">
        <v>0</v>
      </c>
      <c r="B51" s="2" t="s">
        <v>347</v>
      </c>
      <c r="C51" s="3">
        <v>45627</v>
      </c>
      <c r="D51" s="4" t="s">
        <v>2</v>
      </c>
      <c r="E51" s="2" t="s">
        <v>348</v>
      </c>
      <c r="F51" s="5">
        <v>45640</v>
      </c>
      <c r="G51" s="5">
        <v>46004</v>
      </c>
      <c r="H51" s="6" t="s">
        <v>349</v>
      </c>
      <c r="I51" s="7">
        <v>3460183294289</v>
      </c>
      <c r="J51" s="6" t="s">
        <v>228</v>
      </c>
      <c r="K51" s="2" t="s">
        <v>350</v>
      </c>
      <c r="L51" s="2">
        <v>225800</v>
      </c>
      <c r="M51" s="2" t="s">
        <v>351</v>
      </c>
      <c r="N51" s="2" t="s">
        <v>347</v>
      </c>
      <c r="O51" s="2" t="s">
        <v>8</v>
      </c>
      <c r="P51" s="2" t="s">
        <v>352</v>
      </c>
      <c r="Q51" s="2" t="s">
        <v>353</v>
      </c>
      <c r="R51" s="5">
        <v>44550</v>
      </c>
      <c r="S51" s="5">
        <v>46392</v>
      </c>
      <c r="T51" s="8">
        <v>1852000</v>
      </c>
      <c r="U51" s="2">
        <v>20</v>
      </c>
      <c r="V51" s="9">
        <f t="shared" si="0"/>
        <v>370400</v>
      </c>
      <c r="W51" s="9">
        <f t="shared" si="1"/>
        <v>1481600</v>
      </c>
      <c r="X51" s="10">
        <v>1.75</v>
      </c>
      <c r="Y51" s="9">
        <f t="shared" si="2"/>
        <v>25928.000000000004</v>
      </c>
      <c r="Z51" s="2"/>
      <c r="AA51" s="2" t="s">
        <v>11</v>
      </c>
      <c r="AB51" s="2">
        <v>1141072474</v>
      </c>
      <c r="AC51" s="11">
        <v>45688</v>
      </c>
      <c r="AD51" s="2" t="s">
        <v>12</v>
      </c>
      <c r="AE51" s="2">
        <v>0</v>
      </c>
      <c r="AF51" s="36" t="s">
        <v>348</v>
      </c>
      <c r="AG51" s="38">
        <v>25928</v>
      </c>
      <c r="AH51" s="39">
        <f t="shared" si="3"/>
        <v>0</v>
      </c>
    </row>
    <row r="52" spans="1:34" x14ac:dyDescent="0.25">
      <c r="A52" s="1" t="s">
        <v>0</v>
      </c>
      <c r="B52" s="2" t="s">
        <v>354</v>
      </c>
      <c r="C52" s="3">
        <v>45627</v>
      </c>
      <c r="D52" s="4" t="s">
        <v>2</v>
      </c>
      <c r="E52" s="2" t="s">
        <v>355</v>
      </c>
      <c r="F52" s="5">
        <v>45642</v>
      </c>
      <c r="G52" s="5">
        <v>46006</v>
      </c>
      <c r="H52" s="6" t="s">
        <v>356</v>
      </c>
      <c r="I52" s="7">
        <v>3520205547117</v>
      </c>
      <c r="J52" s="6" t="s">
        <v>228</v>
      </c>
      <c r="K52" s="2" t="s">
        <v>357</v>
      </c>
      <c r="L52" s="2">
        <v>225841</v>
      </c>
      <c r="M52" s="2" t="s">
        <v>358</v>
      </c>
      <c r="N52" s="2" t="s">
        <v>354</v>
      </c>
      <c r="O52" s="2" t="s">
        <v>8</v>
      </c>
      <c r="P52" s="2" t="s">
        <v>9</v>
      </c>
      <c r="Q52" s="2" t="s">
        <v>359</v>
      </c>
      <c r="R52" s="5">
        <v>44552</v>
      </c>
      <c r="S52" s="5">
        <v>46392</v>
      </c>
      <c r="T52" s="8">
        <v>1852000</v>
      </c>
      <c r="U52" s="2">
        <v>20</v>
      </c>
      <c r="V52" s="9">
        <f t="shared" si="0"/>
        <v>370400</v>
      </c>
      <c r="W52" s="9">
        <f t="shared" si="1"/>
        <v>1481600</v>
      </c>
      <c r="X52" s="10">
        <v>1.75</v>
      </c>
      <c r="Y52" s="9">
        <f t="shared" si="2"/>
        <v>25928.000000000004</v>
      </c>
      <c r="Z52" s="2"/>
      <c r="AA52" s="2" t="s">
        <v>11</v>
      </c>
      <c r="AB52" s="2">
        <v>1141072474</v>
      </c>
      <c r="AC52" s="11">
        <v>45688</v>
      </c>
      <c r="AD52" s="2" t="s">
        <v>12</v>
      </c>
      <c r="AE52" s="2">
        <v>0</v>
      </c>
      <c r="AF52" s="36" t="s">
        <v>355</v>
      </c>
      <c r="AG52" s="38">
        <v>25928</v>
      </c>
      <c r="AH52" s="39">
        <f t="shared" si="3"/>
        <v>0</v>
      </c>
    </row>
    <row r="53" spans="1:34" x14ac:dyDescent="0.25">
      <c r="A53" s="1" t="s">
        <v>0</v>
      </c>
      <c r="B53" s="2" t="s">
        <v>360</v>
      </c>
      <c r="C53" s="3">
        <v>45627</v>
      </c>
      <c r="D53" s="4" t="s">
        <v>2</v>
      </c>
      <c r="E53" s="2" t="s">
        <v>361</v>
      </c>
      <c r="F53" s="5">
        <v>45642</v>
      </c>
      <c r="G53" s="5">
        <v>46006</v>
      </c>
      <c r="H53" s="6" t="s">
        <v>362</v>
      </c>
      <c r="I53" s="7">
        <v>3520179385163</v>
      </c>
      <c r="J53" s="6" t="s">
        <v>228</v>
      </c>
      <c r="K53" s="2" t="s">
        <v>363</v>
      </c>
      <c r="L53" s="2">
        <v>224447</v>
      </c>
      <c r="M53" s="2" t="s">
        <v>364</v>
      </c>
      <c r="N53" s="2" t="s">
        <v>360</v>
      </c>
      <c r="O53" s="2" t="s">
        <v>8</v>
      </c>
      <c r="P53" s="2" t="s">
        <v>9</v>
      </c>
      <c r="Q53" s="2" t="s">
        <v>365</v>
      </c>
      <c r="R53" s="5">
        <v>44550</v>
      </c>
      <c r="S53" s="5">
        <v>46392</v>
      </c>
      <c r="T53" s="8">
        <v>1852000</v>
      </c>
      <c r="U53" s="2">
        <v>20</v>
      </c>
      <c r="V53" s="9">
        <f t="shared" si="0"/>
        <v>370400</v>
      </c>
      <c r="W53" s="9">
        <f t="shared" si="1"/>
        <v>1481600</v>
      </c>
      <c r="X53" s="10">
        <v>1.75</v>
      </c>
      <c r="Y53" s="9">
        <f t="shared" si="2"/>
        <v>25928.000000000004</v>
      </c>
      <c r="Z53" s="2"/>
      <c r="AA53" s="2" t="s">
        <v>11</v>
      </c>
      <c r="AB53" s="2">
        <v>1141072474</v>
      </c>
      <c r="AC53" s="11">
        <v>45688</v>
      </c>
      <c r="AD53" s="2" t="s">
        <v>12</v>
      </c>
      <c r="AE53" s="2">
        <v>0</v>
      </c>
      <c r="AF53" s="36" t="s">
        <v>361</v>
      </c>
      <c r="AG53" s="38">
        <v>25928</v>
      </c>
      <c r="AH53" s="39">
        <f t="shared" si="3"/>
        <v>0</v>
      </c>
    </row>
    <row r="54" spans="1:34" x14ac:dyDescent="0.25">
      <c r="A54" s="1" t="s">
        <v>0</v>
      </c>
      <c r="B54" s="2" t="s">
        <v>366</v>
      </c>
      <c r="C54" s="3">
        <v>45627</v>
      </c>
      <c r="D54" s="4" t="s">
        <v>2</v>
      </c>
      <c r="E54" s="2" t="s">
        <v>367</v>
      </c>
      <c r="F54" s="5">
        <v>45643</v>
      </c>
      <c r="G54" s="5">
        <v>46007</v>
      </c>
      <c r="H54" s="6" t="s">
        <v>368</v>
      </c>
      <c r="I54" s="7">
        <v>3520188791119</v>
      </c>
      <c r="J54" s="6" t="s">
        <v>228</v>
      </c>
      <c r="K54" s="2" t="s">
        <v>369</v>
      </c>
      <c r="L54" s="2">
        <v>224559</v>
      </c>
      <c r="M54" s="2" t="s">
        <v>370</v>
      </c>
      <c r="N54" s="2" t="s">
        <v>366</v>
      </c>
      <c r="O54" s="2" t="s">
        <v>8</v>
      </c>
      <c r="P54" s="2" t="s">
        <v>9</v>
      </c>
      <c r="Q54" s="2" t="s">
        <v>371</v>
      </c>
      <c r="R54" s="5">
        <v>44552</v>
      </c>
      <c r="S54" s="5">
        <v>46392</v>
      </c>
      <c r="T54" s="8">
        <v>1852000</v>
      </c>
      <c r="U54" s="2">
        <v>20</v>
      </c>
      <c r="V54" s="9">
        <f t="shared" si="0"/>
        <v>370400</v>
      </c>
      <c r="W54" s="9">
        <f t="shared" si="1"/>
        <v>1481600</v>
      </c>
      <c r="X54" s="10">
        <v>1.75</v>
      </c>
      <c r="Y54" s="9">
        <f t="shared" si="2"/>
        <v>25928.000000000004</v>
      </c>
      <c r="Z54" s="2"/>
      <c r="AA54" s="2" t="s">
        <v>11</v>
      </c>
      <c r="AB54" s="2">
        <v>1141072474</v>
      </c>
      <c r="AC54" s="11">
        <v>45688</v>
      </c>
      <c r="AD54" s="2" t="s">
        <v>12</v>
      </c>
      <c r="AE54" s="2">
        <v>0</v>
      </c>
      <c r="AF54" s="36" t="s">
        <v>367</v>
      </c>
      <c r="AG54" s="38">
        <v>25928</v>
      </c>
      <c r="AH54" s="39">
        <f t="shared" si="3"/>
        <v>0</v>
      </c>
    </row>
    <row r="55" spans="1:34" x14ac:dyDescent="0.25">
      <c r="A55" s="1" t="s">
        <v>0</v>
      </c>
      <c r="B55" s="2" t="s">
        <v>372</v>
      </c>
      <c r="C55" s="3">
        <v>45627</v>
      </c>
      <c r="D55" s="4" t="s">
        <v>2</v>
      </c>
      <c r="E55" s="2" t="s">
        <v>373</v>
      </c>
      <c r="F55" s="5">
        <v>45643</v>
      </c>
      <c r="G55" s="5">
        <v>46007</v>
      </c>
      <c r="H55" s="6" t="s">
        <v>374</v>
      </c>
      <c r="I55" s="7">
        <v>3520225699747</v>
      </c>
      <c r="J55" s="6" t="s">
        <v>228</v>
      </c>
      <c r="K55" s="2" t="s">
        <v>375</v>
      </c>
      <c r="L55" s="2">
        <v>225796</v>
      </c>
      <c r="M55" s="2" t="s">
        <v>376</v>
      </c>
      <c r="N55" s="2" t="s">
        <v>372</v>
      </c>
      <c r="O55" s="2" t="s">
        <v>8</v>
      </c>
      <c r="P55" s="2" t="s">
        <v>377</v>
      </c>
      <c r="Q55" s="2" t="s">
        <v>378</v>
      </c>
      <c r="R55" s="5">
        <v>44554</v>
      </c>
      <c r="S55" s="5">
        <v>46392</v>
      </c>
      <c r="T55" s="8">
        <v>1852000</v>
      </c>
      <c r="U55" s="2">
        <v>20</v>
      </c>
      <c r="V55" s="9">
        <f t="shared" si="0"/>
        <v>370400</v>
      </c>
      <c r="W55" s="9">
        <f t="shared" si="1"/>
        <v>1481600</v>
      </c>
      <c r="X55" s="10">
        <v>1.75</v>
      </c>
      <c r="Y55" s="9">
        <f t="shared" si="2"/>
        <v>25928.000000000004</v>
      </c>
      <c r="Z55" s="2"/>
      <c r="AA55" s="2" t="s">
        <v>11</v>
      </c>
      <c r="AB55" s="2">
        <v>1141072474</v>
      </c>
      <c r="AC55" s="11">
        <v>45688</v>
      </c>
      <c r="AD55" s="2" t="s">
        <v>12</v>
      </c>
      <c r="AE55" s="2">
        <v>0</v>
      </c>
      <c r="AF55" s="36" t="s">
        <v>373</v>
      </c>
      <c r="AG55" s="38">
        <v>25928</v>
      </c>
      <c r="AH55" s="39">
        <f t="shared" si="3"/>
        <v>0</v>
      </c>
    </row>
    <row r="56" spans="1:34" x14ac:dyDescent="0.25">
      <c r="A56" s="1" t="s">
        <v>0</v>
      </c>
      <c r="B56" s="2" t="s">
        <v>379</v>
      </c>
      <c r="C56" s="3">
        <v>45627</v>
      </c>
      <c r="D56" s="4" t="s">
        <v>2</v>
      </c>
      <c r="E56" s="2" t="s">
        <v>380</v>
      </c>
      <c r="F56" s="5">
        <v>45646</v>
      </c>
      <c r="G56" s="5">
        <v>46010</v>
      </c>
      <c r="H56" s="6" t="s">
        <v>381</v>
      </c>
      <c r="I56" s="7">
        <v>3450209759541</v>
      </c>
      <c r="J56" s="6" t="s">
        <v>228</v>
      </c>
      <c r="K56" s="2" t="s">
        <v>382</v>
      </c>
      <c r="L56" s="2">
        <v>225739</v>
      </c>
      <c r="M56" s="2" t="s">
        <v>383</v>
      </c>
      <c r="N56" s="2" t="s">
        <v>379</v>
      </c>
      <c r="O56" s="2" t="s">
        <v>8</v>
      </c>
      <c r="P56" s="2" t="s">
        <v>9</v>
      </c>
      <c r="Q56" s="2" t="s">
        <v>384</v>
      </c>
      <c r="R56" s="5">
        <v>44559</v>
      </c>
      <c r="S56" s="5">
        <v>46392</v>
      </c>
      <c r="T56" s="8">
        <v>1852000</v>
      </c>
      <c r="U56" s="2">
        <v>20</v>
      </c>
      <c r="V56" s="9">
        <f t="shared" si="0"/>
        <v>370400</v>
      </c>
      <c r="W56" s="9">
        <f t="shared" si="1"/>
        <v>1481600</v>
      </c>
      <c r="X56" s="10">
        <v>1.75</v>
      </c>
      <c r="Y56" s="9">
        <f t="shared" si="2"/>
        <v>25928.000000000004</v>
      </c>
      <c r="Z56" s="2"/>
      <c r="AA56" s="2" t="s">
        <v>11</v>
      </c>
      <c r="AB56" s="2">
        <v>1141072474</v>
      </c>
      <c r="AC56" s="11">
        <v>45688</v>
      </c>
      <c r="AD56" s="2" t="s">
        <v>12</v>
      </c>
      <c r="AE56" s="2">
        <v>0</v>
      </c>
      <c r="AF56" s="36" t="s">
        <v>380</v>
      </c>
      <c r="AG56" s="38">
        <v>25928</v>
      </c>
      <c r="AH56" s="39">
        <f t="shared" si="3"/>
        <v>0</v>
      </c>
    </row>
    <row r="57" spans="1:34" x14ac:dyDescent="0.25">
      <c r="A57" s="1" t="s">
        <v>0</v>
      </c>
      <c r="B57" s="2" t="s">
        <v>385</v>
      </c>
      <c r="C57" s="3">
        <v>45627</v>
      </c>
      <c r="D57" s="4" t="s">
        <v>2</v>
      </c>
      <c r="E57" s="2" t="s">
        <v>386</v>
      </c>
      <c r="F57" s="5">
        <v>45656</v>
      </c>
      <c r="G57" s="5">
        <v>46020</v>
      </c>
      <c r="H57" s="6" t="s">
        <v>387</v>
      </c>
      <c r="I57" s="7">
        <v>3540118280215</v>
      </c>
      <c r="J57" s="6" t="s">
        <v>228</v>
      </c>
      <c r="K57" s="2" t="s">
        <v>388</v>
      </c>
      <c r="L57" s="2" t="s">
        <v>389</v>
      </c>
      <c r="M57" s="2" t="s">
        <v>390</v>
      </c>
      <c r="N57" s="2" t="s">
        <v>385</v>
      </c>
      <c r="O57" s="2" t="s">
        <v>8</v>
      </c>
      <c r="P57" s="2" t="s">
        <v>391</v>
      </c>
      <c r="Q57" s="2" t="s">
        <v>392</v>
      </c>
      <c r="R57" s="5">
        <v>44561</v>
      </c>
      <c r="S57" s="5">
        <v>46392</v>
      </c>
      <c r="T57" s="8">
        <v>1852000</v>
      </c>
      <c r="U57" s="2">
        <v>20</v>
      </c>
      <c r="V57" s="9">
        <f t="shared" si="0"/>
        <v>370400</v>
      </c>
      <c r="W57" s="9">
        <f t="shared" si="1"/>
        <v>1481600</v>
      </c>
      <c r="X57" s="10">
        <v>1.75</v>
      </c>
      <c r="Y57" s="9">
        <f t="shared" si="2"/>
        <v>25928.000000000004</v>
      </c>
      <c r="Z57" s="2"/>
      <c r="AA57" s="2" t="s">
        <v>11</v>
      </c>
      <c r="AB57" s="2">
        <v>1141072474</v>
      </c>
      <c r="AC57" s="11">
        <v>45688</v>
      </c>
      <c r="AD57" s="2" t="s">
        <v>12</v>
      </c>
      <c r="AE57" s="2">
        <v>0</v>
      </c>
      <c r="AF57" s="36" t="s">
        <v>386</v>
      </c>
      <c r="AG57" s="38">
        <v>25928</v>
      </c>
      <c r="AH57" s="39">
        <f t="shared" si="3"/>
        <v>0</v>
      </c>
    </row>
    <row r="58" spans="1:34" x14ac:dyDescent="0.25">
      <c r="A58" s="1" t="s">
        <v>0</v>
      </c>
      <c r="B58" s="2" t="s">
        <v>393</v>
      </c>
      <c r="C58" s="3">
        <v>45627</v>
      </c>
      <c r="D58" s="4" t="s">
        <v>2</v>
      </c>
      <c r="E58" s="2" t="s">
        <v>394</v>
      </c>
      <c r="F58" s="5">
        <v>45657</v>
      </c>
      <c r="G58" s="5">
        <v>46021</v>
      </c>
      <c r="H58" s="6" t="s">
        <v>395</v>
      </c>
      <c r="I58" s="7">
        <v>3520267915709</v>
      </c>
      <c r="J58" s="6" t="s">
        <v>228</v>
      </c>
      <c r="K58" s="2" t="s">
        <v>396</v>
      </c>
      <c r="L58" s="2">
        <v>208899</v>
      </c>
      <c r="M58" s="2" t="s">
        <v>397</v>
      </c>
      <c r="N58" s="2" t="s">
        <v>393</v>
      </c>
      <c r="O58" s="2" t="s">
        <v>8</v>
      </c>
      <c r="P58" s="2" t="s">
        <v>9</v>
      </c>
      <c r="Q58" s="2" t="s">
        <v>398</v>
      </c>
      <c r="R58" s="5">
        <v>44201</v>
      </c>
      <c r="S58" s="5">
        <v>46027</v>
      </c>
      <c r="T58" s="8">
        <v>1890000</v>
      </c>
      <c r="U58" s="2">
        <v>25</v>
      </c>
      <c r="V58" s="9">
        <f t="shared" si="0"/>
        <v>472500</v>
      </c>
      <c r="W58" s="9">
        <f t="shared" si="1"/>
        <v>1417500</v>
      </c>
      <c r="X58" s="10">
        <v>2.5</v>
      </c>
      <c r="Y58" s="9">
        <f t="shared" si="2"/>
        <v>35437.5</v>
      </c>
      <c r="Z58" s="2"/>
      <c r="AA58" s="2" t="s">
        <v>11</v>
      </c>
      <c r="AB58" s="2">
        <v>1141072474</v>
      </c>
      <c r="AC58" s="11">
        <v>45688</v>
      </c>
      <c r="AD58" s="2" t="s">
        <v>12</v>
      </c>
      <c r="AE58" s="2">
        <v>0</v>
      </c>
      <c r="AF58" s="36" t="s">
        <v>394</v>
      </c>
      <c r="AG58" s="38">
        <v>35438</v>
      </c>
      <c r="AH58" s="39">
        <f t="shared" si="3"/>
        <v>-0.5</v>
      </c>
    </row>
    <row r="59" spans="1:34" x14ac:dyDescent="0.25">
      <c r="A59" s="1" t="s">
        <v>0</v>
      </c>
      <c r="B59" s="2" t="s">
        <v>399</v>
      </c>
      <c r="C59" s="3">
        <v>45627</v>
      </c>
      <c r="D59" s="4" t="s">
        <v>2</v>
      </c>
      <c r="E59" s="2" t="s">
        <v>400</v>
      </c>
      <c r="F59" s="5">
        <v>45655</v>
      </c>
      <c r="G59" s="5">
        <v>46019</v>
      </c>
      <c r="H59" s="6" t="s">
        <v>401</v>
      </c>
      <c r="I59" s="7">
        <v>5420299154065</v>
      </c>
      <c r="J59" s="6" t="s">
        <v>125</v>
      </c>
      <c r="K59" s="2" t="s">
        <v>402</v>
      </c>
      <c r="L59" s="2" t="s">
        <v>403</v>
      </c>
      <c r="M59" s="2" t="s">
        <v>404</v>
      </c>
      <c r="N59" s="2" t="s">
        <v>399</v>
      </c>
      <c r="O59" s="2" t="s">
        <v>19</v>
      </c>
      <c r="P59" s="2" t="s">
        <v>20</v>
      </c>
      <c r="Q59" s="2" t="s">
        <v>405</v>
      </c>
      <c r="R59" s="5">
        <v>45290</v>
      </c>
      <c r="S59" s="5">
        <v>47123</v>
      </c>
      <c r="T59" s="8">
        <v>1900000</v>
      </c>
      <c r="U59" s="2">
        <v>10</v>
      </c>
      <c r="V59" s="9">
        <f t="shared" si="0"/>
        <v>190000</v>
      </c>
      <c r="W59" s="9">
        <f t="shared" si="1"/>
        <v>1710000</v>
      </c>
      <c r="X59" s="10">
        <v>2</v>
      </c>
      <c r="Y59" s="9">
        <f t="shared" si="2"/>
        <v>34200</v>
      </c>
      <c r="Z59" s="2"/>
      <c r="AA59" s="2" t="s">
        <v>11</v>
      </c>
      <c r="AB59" s="2">
        <v>1141072474</v>
      </c>
      <c r="AC59" s="11">
        <v>45688</v>
      </c>
      <c r="AD59" s="2" t="s">
        <v>12</v>
      </c>
      <c r="AE59" s="2">
        <v>0</v>
      </c>
      <c r="AF59" s="36" t="s">
        <v>400</v>
      </c>
      <c r="AG59" s="38">
        <v>34200</v>
      </c>
      <c r="AH59" s="39">
        <f t="shared" si="3"/>
        <v>0</v>
      </c>
    </row>
    <row r="60" spans="1:34" x14ac:dyDescent="0.25">
      <c r="A60" s="1" t="s">
        <v>0</v>
      </c>
      <c r="B60" s="2" t="s">
        <v>406</v>
      </c>
      <c r="C60" s="3">
        <v>45627</v>
      </c>
      <c r="D60" s="4" t="s">
        <v>2</v>
      </c>
      <c r="E60" s="2" t="s">
        <v>407</v>
      </c>
      <c r="F60" s="5">
        <v>45628</v>
      </c>
      <c r="G60" s="5">
        <v>45992</v>
      </c>
      <c r="H60" s="6" t="s">
        <v>408</v>
      </c>
      <c r="I60" s="7">
        <v>4240149334545</v>
      </c>
      <c r="J60" s="6" t="s">
        <v>198</v>
      </c>
      <c r="K60" s="2" t="s">
        <v>409</v>
      </c>
      <c r="L60" s="2" t="s">
        <v>410</v>
      </c>
      <c r="M60" s="2" t="s">
        <v>411</v>
      </c>
      <c r="N60" s="2" t="s">
        <v>406</v>
      </c>
      <c r="O60" s="2" t="s">
        <v>19</v>
      </c>
      <c r="P60" s="2" t="s">
        <v>223</v>
      </c>
      <c r="Q60" s="2" t="s">
        <v>412</v>
      </c>
      <c r="R60" s="5">
        <v>44902</v>
      </c>
      <c r="S60" s="5">
        <v>45996</v>
      </c>
      <c r="T60" s="8">
        <v>1951000</v>
      </c>
      <c r="U60" s="2">
        <v>15</v>
      </c>
      <c r="V60" s="9">
        <f t="shared" si="0"/>
        <v>292650</v>
      </c>
      <c r="W60" s="9">
        <f t="shared" si="1"/>
        <v>1658350</v>
      </c>
      <c r="X60" s="10">
        <v>2.5</v>
      </c>
      <c r="Y60" s="9">
        <f t="shared" si="2"/>
        <v>41458.75</v>
      </c>
      <c r="Z60" s="2"/>
      <c r="AA60" s="2" t="s">
        <v>11</v>
      </c>
      <c r="AB60" s="2">
        <v>1141072474</v>
      </c>
      <c r="AC60" s="11">
        <v>45688</v>
      </c>
      <c r="AD60" s="2" t="s">
        <v>12</v>
      </c>
      <c r="AE60" s="2">
        <v>0</v>
      </c>
      <c r="AF60" s="36" t="s">
        <v>407</v>
      </c>
      <c r="AG60" s="38">
        <v>41459</v>
      </c>
      <c r="AH60" s="39">
        <f t="shared" si="3"/>
        <v>-0.25</v>
      </c>
    </row>
    <row r="61" spans="1:34" x14ac:dyDescent="0.25">
      <c r="A61" s="1" t="s">
        <v>0</v>
      </c>
      <c r="B61" s="2" t="s">
        <v>413</v>
      </c>
      <c r="C61" s="3">
        <v>45627</v>
      </c>
      <c r="D61" s="4" t="s">
        <v>2</v>
      </c>
      <c r="E61" s="2" t="s">
        <v>414</v>
      </c>
      <c r="F61" s="5">
        <v>45642</v>
      </c>
      <c r="G61" s="5">
        <v>46006</v>
      </c>
      <c r="H61" s="6" t="s">
        <v>415</v>
      </c>
      <c r="I61" s="7">
        <v>3520230360675</v>
      </c>
      <c r="J61" s="6" t="s">
        <v>125</v>
      </c>
      <c r="K61" s="2" t="s">
        <v>416</v>
      </c>
      <c r="L61" s="2">
        <v>263228</v>
      </c>
      <c r="M61" s="2" t="s">
        <v>417</v>
      </c>
      <c r="N61" s="2" t="s">
        <v>413</v>
      </c>
      <c r="O61" s="2" t="s">
        <v>8</v>
      </c>
      <c r="P61" s="2" t="s">
        <v>418</v>
      </c>
      <c r="Q61" s="2" t="s">
        <v>419</v>
      </c>
      <c r="R61" s="5">
        <v>44914</v>
      </c>
      <c r="S61" s="5">
        <v>46757</v>
      </c>
      <c r="T61" s="8">
        <v>1951000</v>
      </c>
      <c r="U61" s="2">
        <v>15</v>
      </c>
      <c r="V61" s="9">
        <f t="shared" si="0"/>
        <v>292650</v>
      </c>
      <c r="W61" s="9">
        <f t="shared" si="1"/>
        <v>1658350</v>
      </c>
      <c r="X61" s="10">
        <v>2.5</v>
      </c>
      <c r="Y61" s="9">
        <f t="shared" si="2"/>
        <v>41458.75</v>
      </c>
      <c r="Z61" s="2"/>
      <c r="AA61" s="2" t="s">
        <v>11</v>
      </c>
      <c r="AB61" s="2">
        <v>1141072474</v>
      </c>
      <c r="AC61" s="11">
        <v>45688</v>
      </c>
      <c r="AD61" s="2" t="s">
        <v>12</v>
      </c>
      <c r="AE61" s="2">
        <v>0</v>
      </c>
      <c r="AF61" s="36" t="s">
        <v>414</v>
      </c>
      <c r="AG61" s="38">
        <v>41459</v>
      </c>
      <c r="AH61" s="39">
        <f t="shared" si="3"/>
        <v>-0.25</v>
      </c>
    </row>
    <row r="62" spans="1:34" x14ac:dyDescent="0.25">
      <c r="A62" s="1" t="s">
        <v>0</v>
      </c>
      <c r="B62" s="2" t="s">
        <v>420</v>
      </c>
      <c r="C62" s="3">
        <v>45627</v>
      </c>
      <c r="D62" s="4" t="s">
        <v>2</v>
      </c>
      <c r="E62" s="2" t="s">
        <v>421</v>
      </c>
      <c r="F62" s="5">
        <v>45645</v>
      </c>
      <c r="G62" s="5">
        <v>46009</v>
      </c>
      <c r="H62" s="6" t="s">
        <v>422</v>
      </c>
      <c r="I62" s="7">
        <v>4230110409881</v>
      </c>
      <c r="J62" s="6" t="s">
        <v>256</v>
      </c>
      <c r="K62" s="2" t="s">
        <v>423</v>
      </c>
      <c r="L62" s="2">
        <v>264910</v>
      </c>
      <c r="M62" s="2" t="s">
        <v>424</v>
      </c>
      <c r="N62" s="2" t="s">
        <v>420</v>
      </c>
      <c r="O62" s="2" t="s">
        <v>19</v>
      </c>
      <c r="P62" s="2" t="s">
        <v>425</v>
      </c>
      <c r="Q62" s="2" t="s">
        <v>426</v>
      </c>
      <c r="R62" s="5">
        <v>44916</v>
      </c>
      <c r="S62" s="5">
        <v>46757</v>
      </c>
      <c r="T62" s="8">
        <v>1951000</v>
      </c>
      <c r="U62" s="2">
        <v>15</v>
      </c>
      <c r="V62" s="9">
        <f t="shared" si="0"/>
        <v>292650</v>
      </c>
      <c r="W62" s="9">
        <f t="shared" si="1"/>
        <v>1658350</v>
      </c>
      <c r="X62" s="10">
        <v>2.5</v>
      </c>
      <c r="Y62" s="9">
        <f t="shared" si="2"/>
        <v>41458.75</v>
      </c>
      <c r="Z62" s="2"/>
      <c r="AA62" s="2" t="s">
        <v>11</v>
      </c>
      <c r="AB62" s="2">
        <v>1141072474</v>
      </c>
      <c r="AC62" s="11">
        <v>45688</v>
      </c>
      <c r="AD62" s="2" t="s">
        <v>12</v>
      </c>
      <c r="AE62" s="2">
        <v>0</v>
      </c>
      <c r="AF62" s="36" t="s">
        <v>421</v>
      </c>
      <c r="AG62" s="38">
        <v>41459</v>
      </c>
      <c r="AH62" s="39">
        <f t="shared" si="3"/>
        <v>-0.25</v>
      </c>
    </row>
    <row r="63" spans="1:34" x14ac:dyDescent="0.25">
      <c r="A63" s="1" t="s">
        <v>0</v>
      </c>
      <c r="B63" s="2" t="s">
        <v>427</v>
      </c>
      <c r="C63" s="3">
        <v>45627</v>
      </c>
      <c r="D63" s="4" t="s">
        <v>2</v>
      </c>
      <c r="E63" s="2" t="s">
        <v>428</v>
      </c>
      <c r="F63" s="5">
        <v>45646</v>
      </c>
      <c r="G63" s="5">
        <v>46010</v>
      </c>
      <c r="H63" s="6" t="s">
        <v>429</v>
      </c>
      <c r="I63" s="7">
        <v>3520139499911</v>
      </c>
      <c r="J63" s="6" t="s">
        <v>430</v>
      </c>
      <c r="K63" s="2" t="s">
        <v>431</v>
      </c>
      <c r="L63" s="2">
        <v>263317</v>
      </c>
      <c r="M63" s="2" t="s">
        <v>432</v>
      </c>
      <c r="N63" s="2" t="s">
        <v>427</v>
      </c>
      <c r="O63" s="2" t="s">
        <v>8</v>
      </c>
      <c r="P63" s="2" t="s">
        <v>9</v>
      </c>
      <c r="Q63" s="2" t="s">
        <v>433</v>
      </c>
      <c r="R63" s="5">
        <v>44916</v>
      </c>
      <c r="S63" s="5">
        <v>46392</v>
      </c>
      <c r="T63" s="8">
        <v>1951000</v>
      </c>
      <c r="U63" s="2">
        <v>15</v>
      </c>
      <c r="V63" s="9">
        <f t="shared" si="0"/>
        <v>292650</v>
      </c>
      <c r="W63" s="9">
        <f t="shared" si="1"/>
        <v>1658350</v>
      </c>
      <c r="X63" s="10">
        <v>2</v>
      </c>
      <c r="Y63" s="9">
        <f t="shared" si="2"/>
        <v>33167</v>
      </c>
      <c r="Z63" s="2"/>
      <c r="AA63" s="2" t="s">
        <v>11</v>
      </c>
      <c r="AB63" s="2">
        <v>1141072474</v>
      </c>
      <c r="AC63" s="11">
        <v>45688</v>
      </c>
      <c r="AD63" s="2" t="s">
        <v>12</v>
      </c>
      <c r="AE63" s="2">
        <v>0</v>
      </c>
      <c r="AF63" s="36" t="s">
        <v>428</v>
      </c>
      <c r="AG63" s="38">
        <v>33167</v>
      </c>
      <c r="AH63" s="39">
        <f t="shared" si="3"/>
        <v>0</v>
      </c>
    </row>
    <row r="64" spans="1:34" x14ac:dyDescent="0.25">
      <c r="A64" s="1" t="s">
        <v>0</v>
      </c>
      <c r="B64" s="2" t="s">
        <v>434</v>
      </c>
      <c r="C64" s="3">
        <v>45627</v>
      </c>
      <c r="D64" s="4" t="s">
        <v>2</v>
      </c>
      <c r="E64" s="2" t="s">
        <v>435</v>
      </c>
      <c r="F64" s="5">
        <v>45654</v>
      </c>
      <c r="G64" s="5">
        <v>46018</v>
      </c>
      <c r="H64" s="6" t="s">
        <v>436</v>
      </c>
      <c r="I64" s="7">
        <v>3630303643515</v>
      </c>
      <c r="J64" s="6" t="s">
        <v>437</v>
      </c>
      <c r="K64" s="2" t="s">
        <v>438</v>
      </c>
      <c r="L64" s="2">
        <v>261838</v>
      </c>
      <c r="M64" s="2" t="s">
        <v>439</v>
      </c>
      <c r="N64" s="2" t="s">
        <v>434</v>
      </c>
      <c r="O64" s="2" t="s">
        <v>8</v>
      </c>
      <c r="P64" s="2" t="s">
        <v>391</v>
      </c>
      <c r="Q64" s="2" t="s">
        <v>440</v>
      </c>
      <c r="R64" s="5">
        <v>44925</v>
      </c>
      <c r="S64" s="5">
        <v>46757</v>
      </c>
      <c r="T64" s="8">
        <v>1951000</v>
      </c>
      <c r="U64" s="2">
        <v>15</v>
      </c>
      <c r="V64" s="9">
        <f t="shared" si="0"/>
        <v>292650</v>
      </c>
      <c r="W64" s="9">
        <f t="shared" si="1"/>
        <v>1658350</v>
      </c>
      <c r="X64" s="10">
        <v>2.5</v>
      </c>
      <c r="Y64" s="9">
        <f t="shared" si="2"/>
        <v>41458.75</v>
      </c>
      <c r="Z64" s="2"/>
      <c r="AA64" s="2" t="s">
        <v>11</v>
      </c>
      <c r="AB64" s="2">
        <v>1141072474</v>
      </c>
      <c r="AC64" s="11">
        <v>45688</v>
      </c>
      <c r="AD64" s="2" t="s">
        <v>12</v>
      </c>
      <c r="AE64" s="2">
        <v>0</v>
      </c>
      <c r="AF64" s="36" t="s">
        <v>435</v>
      </c>
      <c r="AG64" s="38">
        <v>41459</v>
      </c>
      <c r="AH64" s="39">
        <f t="shared" si="3"/>
        <v>-0.25</v>
      </c>
    </row>
    <row r="65" spans="1:34" x14ac:dyDescent="0.25">
      <c r="A65" s="1" t="s">
        <v>0</v>
      </c>
      <c r="B65" s="2" t="s">
        <v>441</v>
      </c>
      <c r="C65" s="3">
        <v>45627</v>
      </c>
      <c r="D65" s="4" t="s">
        <v>2</v>
      </c>
      <c r="E65" s="2" t="s">
        <v>442</v>
      </c>
      <c r="F65" s="5">
        <v>45649</v>
      </c>
      <c r="G65" s="5">
        <v>46013</v>
      </c>
      <c r="H65" s="6" t="s">
        <v>443</v>
      </c>
      <c r="I65" s="7">
        <v>3520230507453</v>
      </c>
      <c r="J65" s="6" t="s">
        <v>342</v>
      </c>
      <c r="K65" s="2" t="s">
        <v>444</v>
      </c>
      <c r="L65" s="2">
        <v>165030</v>
      </c>
      <c r="M65" s="2" t="s">
        <v>445</v>
      </c>
      <c r="N65" s="2" t="s">
        <v>441</v>
      </c>
      <c r="O65" s="2" t="s">
        <v>8</v>
      </c>
      <c r="P65" s="2" t="s">
        <v>9</v>
      </c>
      <c r="Q65" s="2" t="s">
        <v>446</v>
      </c>
      <c r="R65" s="5">
        <v>44193</v>
      </c>
      <c r="S65" s="5">
        <v>46027</v>
      </c>
      <c r="T65" s="8">
        <v>1970000</v>
      </c>
      <c r="U65" s="2">
        <v>25</v>
      </c>
      <c r="V65" s="9">
        <f t="shared" si="0"/>
        <v>492500</v>
      </c>
      <c r="W65" s="9">
        <f t="shared" si="1"/>
        <v>1477500</v>
      </c>
      <c r="X65" s="10">
        <v>2.5</v>
      </c>
      <c r="Y65" s="9">
        <f t="shared" si="2"/>
        <v>36937.5</v>
      </c>
      <c r="Z65" s="2"/>
      <c r="AA65" s="2" t="s">
        <v>11</v>
      </c>
      <c r="AB65" s="2">
        <v>1141072474</v>
      </c>
      <c r="AC65" s="11">
        <v>45688</v>
      </c>
      <c r="AD65" s="2" t="s">
        <v>12</v>
      </c>
      <c r="AE65" s="2">
        <v>0</v>
      </c>
      <c r="AF65" s="36" t="s">
        <v>442</v>
      </c>
      <c r="AG65" s="38">
        <v>36938</v>
      </c>
      <c r="AH65" s="39">
        <f t="shared" si="3"/>
        <v>-0.5</v>
      </c>
    </row>
    <row r="66" spans="1:34" x14ac:dyDescent="0.25">
      <c r="A66" s="1" t="s">
        <v>0</v>
      </c>
      <c r="B66" s="2" t="s">
        <v>447</v>
      </c>
      <c r="C66" s="3">
        <v>45627</v>
      </c>
      <c r="D66" s="4" t="s">
        <v>2</v>
      </c>
      <c r="E66" s="2" t="s">
        <v>448</v>
      </c>
      <c r="F66" s="5">
        <v>45632</v>
      </c>
      <c r="G66" s="5">
        <v>45996</v>
      </c>
      <c r="H66" s="6" t="s">
        <v>449</v>
      </c>
      <c r="I66" s="7">
        <v>3310206570697</v>
      </c>
      <c r="J66" s="6" t="s">
        <v>125</v>
      </c>
      <c r="K66" s="2" t="s">
        <v>450</v>
      </c>
      <c r="L66" s="2" t="s">
        <v>451</v>
      </c>
      <c r="M66" s="2" t="s">
        <v>452</v>
      </c>
      <c r="N66" s="2" t="s">
        <v>447</v>
      </c>
      <c r="O66" s="2" t="s">
        <v>8</v>
      </c>
      <c r="P66" s="2" t="s">
        <v>453</v>
      </c>
      <c r="Q66" s="2" t="s">
        <v>454</v>
      </c>
      <c r="R66" s="5">
        <v>44911</v>
      </c>
      <c r="S66" s="5">
        <v>46757</v>
      </c>
      <c r="T66" s="8">
        <v>1976000</v>
      </c>
      <c r="U66" s="2">
        <v>15</v>
      </c>
      <c r="V66" s="9">
        <f t="shared" ref="V66:V129" si="4">T66*U66%</f>
        <v>296400</v>
      </c>
      <c r="W66" s="9">
        <f t="shared" ref="W66:W129" si="5">T66-V66</f>
        <v>1679600</v>
      </c>
      <c r="X66" s="10">
        <v>2.5</v>
      </c>
      <c r="Y66" s="9">
        <f t="shared" ref="Y66:Y129" si="6">W66*X66%</f>
        <v>41990</v>
      </c>
      <c r="Z66" s="2"/>
      <c r="AA66" s="2" t="s">
        <v>11</v>
      </c>
      <c r="AB66" s="2">
        <v>1141072474</v>
      </c>
      <c r="AC66" s="11">
        <v>45688</v>
      </c>
      <c r="AD66" s="2" t="s">
        <v>12</v>
      </c>
      <c r="AE66" s="2">
        <v>0</v>
      </c>
      <c r="AF66" s="36" t="s">
        <v>448</v>
      </c>
      <c r="AG66" s="38">
        <v>41990</v>
      </c>
      <c r="AH66" s="39">
        <f t="shared" si="3"/>
        <v>0</v>
      </c>
    </row>
    <row r="67" spans="1:34" x14ac:dyDescent="0.25">
      <c r="A67" s="1" t="s">
        <v>0</v>
      </c>
      <c r="B67" s="2" t="s">
        <v>455</v>
      </c>
      <c r="C67" s="3">
        <v>45627</v>
      </c>
      <c r="D67" s="4" t="s">
        <v>2</v>
      </c>
      <c r="E67" s="2" t="s">
        <v>456</v>
      </c>
      <c r="F67" s="5">
        <v>45656</v>
      </c>
      <c r="G67" s="5">
        <v>46020</v>
      </c>
      <c r="H67" s="6" t="s">
        <v>457</v>
      </c>
      <c r="I67" s="7">
        <v>3120247532750</v>
      </c>
      <c r="J67" s="6" t="s">
        <v>125</v>
      </c>
      <c r="K67" s="2" t="s">
        <v>458</v>
      </c>
      <c r="L67" s="2">
        <v>267191</v>
      </c>
      <c r="M67" s="2" t="s">
        <v>459</v>
      </c>
      <c r="N67" s="2" t="s">
        <v>455</v>
      </c>
      <c r="O67" s="2" t="s">
        <v>8</v>
      </c>
      <c r="P67" s="2" t="s">
        <v>209</v>
      </c>
      <c r="Q67" s="2" t="s">
        <v>460</v>
      </c>
      <c r="R67" s="5">
        <v>44926</v>
      </c>
      <c r="S67" s="5">
        <v>46757</v>
      </c>
      <c r="T67" s="8">
        <v>1976000</v>
      </c>
      <c r="U67" s="2">
        <v>15</v>
      </c>
      <c r="V67" s="9">
        <f t="shared" si="4"/>
        <v>296400</v>
      </c>
      <c r="W67" s="9">
        <f t="shared" si="5"/>
        <v>1679600</v>
      </c>
      <c r="X67" s="10">
        <v>2</v>
      </c>
      <c r="Y67" s="9">
        <f t="shared" si="6"/>
        <v>33592</v>
      </c>
      <c r="Z67" s="2"/>
      <c r="AA67" s="2" t="s">
        <v>11</v>
      </c>
      <c r="AB67" s="2">
        <v>1141072474</v>
      </c>
      <c r="AC67" s="11">
        <v>45688</v>
      </c>
      <c r="AD67" s="2" t="s">
        <v>12</v>
      </c>
      <c r="AE67" s="2">
        <v>0</v>
      </c>
      <c r="AF67" s="36" t="s">
        <v>456</v>
      </c>
      <c r="AG67" s="38">
        <v>33592</v>
      </c>
      <c r="AH67" s="39">
        <f t="shared" ref="AH67:AH130" si="7">Y67-AG67</f>
        <v>0</v>
      </c>
    </row>
    <row r="68" spans="1:34" x14ac:dyDescent="0.25">
      <c r="A68" s="1" t="s">
        <v>0</v>
      </c>
      <c r="B68" s="2" t="s">
        <v>461</v>
      </c>
      <c r="C68" s="3">
        <v>45627</v>
      </c>
      <c r="D68" s="4" t="s">
        <v>2</v>
      </c>
      <c r="E68" s="2" t="s">
        <v>462</v>
      </c>
      <c r="F68" s="5">
        <v>45637</v>
      </c>
      <c r="G68" s="5">
        <v>46001</v>
      </c>
      <c r="H68" s="6" t="s">
        <v>280</v>
      </c>
      <c r="I68" s="7">
        <v>3520294636851</v>
      </c>
      <c r="J68" s="6" t="s">
        <v>198</v>
      </c>
      <c r="K68" s="2" t="s">
        <v>463</v>
      </c>
      <c r="L68" s="2" t="s">
        <v>464</v>
      </c>
      <c r="M68" s="2" t="s">
        <v>465</v>
      </c>
      <c r="N68" s="2" t="s">
        <v>461</v>
      </c>
      <c r="O68" s="2" t="s">
        <v>8</v>
      </c>
      <c r="P68" s="2" t="s">
        <v>9</v>
      </c>
      <c r="Q68" s="2" t="s">
        <v>466</v>
      </c>
      <c r="R68" s="5">
        <v>45272</v>
      </c>
      <c r="S68" s="5">
        <v>45996</v>
      </c>
      <c r="T68" s="8">
        <v>2000000</v>
      </c>
      <c r="U68" s="2">
        <v>10</v>
      </c>
      <c r="V68" s="9">
        <f t="shared" si="4"/>
        <v>200000</v>
      </c>
      <c r="W68" s="9">
        <f t="shared" si="5"/>
        <v>1800000</v>
      </c>
      <c r="X68" s="10">
        <v>2</v>
      </c>
      <c r="Y68" s="9">
        <f t="shared" si="6"/>
        <v>36000</v>
      </c>
      <c r="Z68" s="2"/>
      <c r="AA68" s="2" t="s">
        <v>11</v>
      </c>
      <c r="AB68" s="2">
        <v>1141072474</v>
      </c>
      <c r="AC68" s="11">
        <v>45688</v>
      </c>
      <c r="AD68" s="2" t="s">
        <v>12</v>
      </c>
      <c r="AE68" s="2">
        <v>0</v>
      </c>
      <c r="AF68" s="36" t="s">
        <v>462</v>
      </c>
      <c r="AG68" s="38">
        <v>36000</v>
      </c>
      <c r="AH68" s="39">
        <f t="shared" si="7"/>
        <v>0</v>
      </c>
    </row>
    <row r="69" spans="1:34" x14ac:dyDescent="0.25">
      <c r="A69" s="1" t="s">
        <v>0</v>
      </c>
      <c r="B69" s="2" t="s">
        <v>467</v>
      </c>
      <c r="C69" s="3">
        <v>45627</v>
      </c>
      <c r="D69" s="4" t="s">
        <v>2</v>
      </c>
      <c r="E69" s="2" t="s">
        <v>468</v>
      </c>
      <c r="F69" s="5">
        <v>45648</v>
      </c>
      <c r="G69" s="5">
        <v>46012</v>
      </c>
      <c r="H69" s="6" t="s">
        <v>469</v>
      </c>
      <c r="I69" s="7">
        <v>3640133636213</v>
      </c>
      <c r="J69" s="6" t="s">
        <v>342</v>
      </c>
      <c r="K69" s="2" t="s">
        <v>470</v>
      </c>
      <c r="L69" s="2">
        <v>164970</v>
      </c>
      <c r="M69" s="2" t="s">
        <v>471</v>
      </c>
      <c r="N69" s="2" t="s">
        <v>467</v>
      </c>
      <c r="O69" s="2" t="s">
        <v>8</v>
      </c>
      <c r="P69" s="2" t="s">
        <v>472</v>
      </c>
      <c r="Q69" s="2" t="s">
        <v>473</v>
      </c>
      <c r="R69" s="5">
        <v>44559</v>
      </c>
      <c r="S69" s="5">
        <v>46392</v>
      </c>
      <c r="T69" s="8">
        <v>2000000</v>
      </c>
      <c r="U69" s="2">
        <v>20</v>
      </c>
      <c r="V69" s="9">
        <f t="shared" si="4"/>
        <v>400000</v>
      </c>
      <c r="W69" s="9">
        <f t="shared" si="5"/>
        <v>1600000</v>
      </c>
      <c r="X69" s="10">
        <v>1.75</v>
      </c>
      <c r="Y69" s="9">
        <f t="shared" si="6"/>
        <v>28000.000000000004</v>
      </c>
      <c r="Z69" s="2"/>
      <c r="AA69" s="2" t="s">
        <v>11</v>
      </c>
      <c r="AB69" s="2">
        <v>1141072474</v>
      </c>
      <c r="AC69" s="11">
        <v>45688</v>
      </c>
      <c r="AD69" s="2" t="s">
        <v>12</v>
      </c>
      <c r="AE69" s="2">
        <v>0</v>
      </c>
      <c r="AF69" s="36" t="s">
        <v>468</v>
      </c>
      <c r="AG69" s="38">
        <v>28000</v>
      </c>
      <c r="AH69" s="39">
        <f t="shared" si="7"/>
        <v>0</v>
      </c>
    </row>
    <row r="70" spans="1:34" x14ac:dyDescent="0.25">
      <c r="A70" s="1" t="s">
        <v>0</v>
      </c>
      <c r="B70" s="2" t="s">
        <v>474</v>
      </c>
      <c r="C70" s="3">
        <v>45627</v>
      </c>
      <c r="D70" s="4" t="s">
        <v>2</v>
      </c>
      <c r="E70" s="2" t="s">
        <v>475</v>
      </c>
      <c r="F70" s="5">
        <v>45655</v>
      </c>
      <c r="G70" s="5">
        <v>46019</v>
      </c>
      <c r="H70" s="6" t="s">
        <v>476</v>
      </c>
      <c r="I70" s="7">
        <v>3520241598629</v>
      </c>
      <c r="J70" s="6" t="s">
        <v>477</v>
      </c>
      <c r="K70" s="2" t="s">
        <v>478</v>
      </c>
      <c r="L70" s="2" t="s">
        <v>479</v>
      </c>
      <c r="M70" s="2" t="s">
        <v>480</v>
      </c>
      <c r="N70" s="2" t="s">
        <v>474</v>
      </c>
      <c r="O70" s="2" t="s">
        <v>8</v>
      </c>
      <c r="P70" s="2" t="s">
        <v>9</v>
      </c>
      <c r="Q70" s="2" t="s">
        <v>481</v>
      </c>
      <c r="R70" s="5">
        <v>44201</v>
      </c>
      <c r="S70" s="5">
        <v>46027</v>
      </c>
      <c r="T70" s="8">
        <v>2000000</v>
      </c>
      <c r="U70" s="2">
        <v>25</v>
      </c>
      <c r="V70" s="9">
        <f t="shared" si="4"/>
        <v>500000</v>
      </c>
      <c r="W70" s="9">
        <f t="shared" si="5"/>
        <v>1500000</v>
      </c>
      <c r="X70" s="10">
        <v>2.5</v>
      </c>
      <c r="Y70" s="9">
        <f t="shared" si="6"/>
        <v>37500</v>
      </c>
      <c r="Z70" s="2"/>
      <c r="AA70" s="2" t="s">
        <v>11</v>
      </c>
      <c r="AB70" s="2">
        <v>1141072474</v>
      </c>
      <c r="AC70" s="11">
        <v>45688</v>
      </c>
      <c r="AD70" s="2" t="s">
        <v>12</v>
      </c>
      <c r="AE70" s="2">
        <v>0</v>
      </c>
      <c r="AF70" s="36" t="s">
        <v>475</v>
      </c>
      <c r="AG70" s="38">
        <v>37500</v>
      </c>
      <c r="AH70" s="39">
        <f t="shared" si="7"/>
        <v>0</v>
      </c>
    </row>
    <row r="71" spans="1:34" x14ac:dyDescent="0.25">
      <c r="A71" s="1" t="s">
        <v>0</v>
      </c>
      <c r="B71" s="2" t="s">
        <v>482</v>
      </c>
      <c r="C71" s="3">
        <v>45627</v>
      </c>
      <c r="D71" s="4" t="s">
        <v>2</v>
      </c>
      <c r="E71" s="2" t="s">
        <v>483</v>
      </c>
      <c r="F71" s="5">
        <v>45655</v>
      </c>
      <c r="G71" s="5">
        <v>46019</v>
      </c>
      <c r="H71" s="6" t="s">
        <v>484</v>
      </c>
      <c r="I71" s="7">
        <v>3630248212953</v>
      </c>
      <c r="J71" s="6" t="s">
        <v>125</v>
      </c>
      <c r="K71" s="2" t="s">
        <v>485</v>
      </c>
      <c r="L71" s="2" t="s">
        <v>486</v>
      </c>
      <c r="M71" s="2" t="s">
        <v>487</v>
      </c>
      <c r="N71" s="2" t="s">
        <v>482</v>
      </c>
      <c r="O71" s="2" t="s">
        <v>8</v>
      </c>
      <c r="P71" s="2" t="s">
        <v>391</v>
      </c>
      <c r="Q71" s="2" t="s">
        <v>488</v>
      </c>
      <c r="R71" s="5">
        <v>45290</v>
      </c>
      <c r="S71" s="5">
        <v>46757</v>
      </c>
      <c r="T71" s="8">
        <v>2000000</v>
      </c>
      <c r="U71" s="2">
        <v>10</v>
      </c>
      <c r="V71" s="9">
        <f t="shared" si="4"/>
        <v>200000</v>
      </c>
      <c r="W71" s="9">
        <f t="shared" si="5"/>
        <v>1800000</v>
      </c>
      <c r="X71" s="10">
        <v>2</v>
      </c>
      <c r="Y71" s="9">
        <f t="shared" si="6"/>
        <v>36000</v>
      </c>
      <c r="Z71" s="2"/>
      <c r="AA71" s="2" t="s">
        <v>11</v>
      </c>
      <c r="AB71" s="2">
        <v>1141072474</v>
      </c>
      <c r="AC71" s="11">
        <v>45688</v>
      </c>
      <c r="AD71" s="2" t="s">
        <v>12</v>
      </c>
      <c r="AE71" s="2">
        <v>0</v>
      </c>
      <c r="AF71" s="36" t="s">
        <v>483</v>
      </c>
      <c r="AG71" s="38">
        <v>36000</v>
      </c>
      <c r="AH71" s="39">
        <f t="shared" si="7"/>
        <v>0</v>
      </c>
    </row>
    <row r="72" spans="1:34" x14ac:dyDescent="0.25">
      <c r="A72" s="1" t="s">
        <v>0</v>
      </c>
      <c r="B72" s="2" t="s">
        <v>489</v>
      </c>
      <c r="C72" s="3">
        <v>45627</v>
      </c>
      <c r="D72" s="4" t="s">
        <v>2</v>
      </c>
      <c r="E72" s="2" t="s">
        <v>490</v>
      </c>
      <c r="F72" s="5">
        <v>45656</v>
      </c>
      <c r="G72" s="5">
        <v>46020</v>
      </c>
      <c r="H72" s="6" t="s">
        <v>491</v>
      </c>
      <c r="I72" s="7">
        <v>3630269390905</v>
      </c>
      <c r="J72" s="6" t="s">
        <v>492</v>
      </c>
      <c r="K72" s="2" t="s">
        <v>493</v>
      </c>
      <c r="L72" s="2" t="s">
        <v>494</v>
      </c>
      <c r="M72" s="2" t="s">
        <v>495</v>
      </c>
      <c r="N72" s="2" t="s">
        <v>489</v>
      </c>
      <c r="O72" s="2" t="s">
        <v>8</v>
      </c>
      <c r="P72" s="2" t="s">
        <v>496</v>
      </c>
      <c r="Q72" s="2" t="s">
        <v>497</v>
      </c>
      <c r="R72" s="5">
        <v>44568</v>
      </c>
      <c r="S72" s="5">
        <v>46392</v>
      </c>
      <c r="T72" s="8">
        <v>2024000</v>
      </c>
      <c r="U72" s="2">
        <v>20</v>
      </c>
      <c r="V72" s="9">
        <f t="shared" si="4"/>
        <v>404800</v>
      </c>
      <c r="W72" s="9">
        <f t="shared" si="5"/>
        <v>1619200</v>
      </c>
      <c r="X72" s="10">
        <v>1.75</v>
      </c>
      <c r="Y72" s="9">
        <f t="shared" si="6"/>
        <v>28336.000000000004</v>
      </c>
      <c r="Z72" s="2"/>
      <c r="AA72" s="2" t="s">
        <v>11</v>
      </c>
      <c r="AB72" s="2">
        <v>1141072474</v>
      </c>
      <c r="AC72" s="11">
        <v>45688</v>
      </c>
      <c r="AD72" s="2" t="s">
        <v>12</v>
      </c>
      <c r="AE72" s="2">
        <v>0</v>
      </c>
      <c r="AF72" s="36" t="s">
        <v>490</v>
      </c>
      <c r="AG72" s="38">
        <v>28336</v>
      </c>
      <c r="AH72" s="39">
        <f t="shared" si="7"/>
        <v>0</v>
      </c>
    </row>
    <row r="73" spans="1:34" x14ac:dyDescent="0.25">
      <c r="A73" s="1" t="s">
        <v>0</v>
      </c>
      <c r="B73" s="2" t="s">
        <v>498</v>
      </c>
      <c r="C73" s="3">
        <v>45627</v>
      </c>
      <c r="D73" s="4" t="s">
        <v>2</v>
      </c>
      <c r="E73" s="2" t="s">
        <v>499</v>
      </c>
      <c r="F73" s="5">
        <v>45637</v>
      </c>
      <c r="G73" s="5">
        <v>46001</v>
      </c>
      <c r="H73" s="6" t="s">
        <v>500</v>
      </c>
      <c r="I73" s="7">
        <v>3520123756065</v>
      </c>
      <c r="J73" s="6" t="s">
        <v>111</v>
      </c>
      <c r="K73" s="2" t="s">
        <v>501</v>
      </c>
      <c r="L73" s="2" t="s">
        <v>502</v>
      </c>
      <c r="M73" s="2" t="s">
        <v>503</v>
      </c>
      <c r="N73" s="2" t="s">
        <v>498</v>
      </c>
      <c r="O73" s="2" t="s">
        <v>8</v>
      </c>
      <c r="P73" s="2" t="s">
        <v>9</v>
      </c>
      <c r="Q73" s="2" t="s">
        <v>504</v>
      </c>
      <c r="R73" s="5">
        <v>45274</v>
      </c>
      <c r="S73" s="5">
        <v>47092</v>
      </c>
      <c r="T73" s="8">
        <v>2100000</v>
      </c>
      <c r="U73" s="2">
        <v>10</v>
      </c>
      <c r="V73" s="9">
        <f t="shared" si="4"/>
        <v>210000</v>
      </c>
      <c r="W73" s="9">
        <f t="shared" si="5"/>
        <v>1890000</v>
      </c>
      <c r="X73" s="10">
        <v>2</v>
      </c>
      <c r="Y73" s="9">
        <f t="shared" si="6"/>
        <v>37800</v>
      </c>
      <c r="Z73" s="2"/>
      <c r="AA73" s="2" t="s">
        <v>11</v>
      </c>
      <c r="AB73" s="2">
        <v>1141072474</v>
      </c>
      <c r="AC73" s="11">
        <v>45688</v>
      </c>
      <c r="AD73" s="2" t="s">
        <v>12</v>
      </c>
      <c r="AE73" s="2">
        <v>0</v>
      </c>
      <c r="AF73" s="36" t="s">
        <v>499</v>
      </c>
      <c r="AG73" s="38">
        <v>37800</v>
      </c>
      <c r="AH73" s="39">
        <f t="shared" si="7"/>
        <v>0</v>
      </c>
    </row>
    <row r="74" spans="1:34" x14ac:dyDescent="0.25">
      <c r="A74" s="1" t="s">
        <v>0</v>
      </c>
      <c r="B74" s="2" t="s">
        <v>505</v>
      </c>
      <c r="C74" s="3">
        <v>45627</v>
      </c>
      <c r="D74" s="4" t="s">
        <v>2</v>
      </c>
      <c r="E74" s="2" t="s">
        <v>506</v>
      </c>
      <c r="F74" s="5">
        <v>45641</v>
      </c>
      <c r="G74" s="5">
        <v>46005</v>
      </c>
      <c r="H74" s="6" t="s">
        <v>507</v>
      </c>
      <c r="I74" s="7">
        <v>6110165617719</v>
      </c>
      <c r="J74" s="6" t="s">
        <v>508</v>
      </c>
      <c r="K74" s="2" t="s">
        <v>509</v>
      </c>
      <c r="L74" s="2">
        <v>189802</v>
      </c>
      <c r="M74" s="2" t="s">
        <v>510</v>
      </c>
      <c r="N74" s="2" t="s">
        <v>505</v>
      </c>
      <c r="O74" s="2" t="s">
        <v>27</v>
      </c>
      <c r="P74" s="2" t="s">
        <v>28</v>
      </c>
      <c r="Q74" s="2" t="s">
        <v>511</v>
      </c>
      <c r="R74" s="5">
        <v>44551</v>
      </c>
      <c r="S74" s="5">
        <v>46392</v>
      </c>
      <c r="T74" s="8">
        <v>2105000</v>
      </c>
      <c r="U74" s="2">
        <v>20</v>
      </c>
      <c r="V74" s="9">
        <f t="shared" si="4"/>
        <v>421000</v>
      </c>
      <c r="W74" s="9">
        <f t="shared" si="5"/>
        <v>1684000</v>
      </c>
      <c r="X74" s="10">
        <v>1.75</v>
      </c>
      <c r="Y74" s="9">
        <f t="shared" si="6"/>
        <v>29470.000000000004</v>
      </c>
      <c r="Z74" s="2"/>
      <c r="AA74" s="2" t="s">
        <v>11</v>
      </c>
      <c r="AB74" s="2">
        <v>1141072474</v>
      </c>
      <c r="AC74" s="11">
        <v>45688</v>
      </c>
      <c r="AD74" s="2" t="s">
        <v>12</v>
      </c>
      <c r="AE74" s="2">
        <v>0</v>
      </c>
      <c r="AF74" s="36" t="s">
        <v>506</v>
      </c>
      <c r="AG74" s="38">
        <v>29470</v>
      </c>
      <c r="AH74" s="39">
        <f t="shared" si="7"/>
        <v>0</v>
      </c>
    </row>
    <row r="75" spans="1:34" x14ac:dyDescent="0.25">
      <c r="A75" s="1" t="s">
        <v>0</v>
      </c>
      <c r="B75" s="2" t="s">
        <v>512</v>
      </c>
      <c r="C75" s="3">
        <v>45627</v>
      </c>
      <c r="D75" s="4" t="s">
        <v>2</v>
      </c>
      <c r="E75" s="2" t="s">
        <v>513</v>
      </c>
      <c r="F75" s="5">
        <v>45657</v>
      </c>
      <c r="G75" s="5">
        <v>46021</v>
      </c>
      <c r="H75" s="6" t="s">
        <v>514</v>
      </c>
      <c r="I75" s="7">
        <v>3450144355481</v>
      </c>
      <c r="J75" s="6" t="s">
        <v>342</v>
      </c>
      <c r="K75" s="2" t="s">
        <v>515</v>
      </c>
      <c r="L75" s="2">
        <v>190869</v>
      </c>
      <c r="M75" s="2" t="s">
        <v>516</v>
      </c>
      <c r="N75" s="2" t="s">
        <v>512</v>
      </c>
      <c r="O75" s="2" t="s">
        <v>8</v>
      </c>
      <c r="P75" s="2" t="s">
        <v>9</v>
      </c>
      <c r="Q75" s="2" t="s">
        <v>517</v>
      </c>
      <c r="R75" s="5">
        <v>44565</v>
      </c>
      <c r="S75" s="5">
        <v>47123</v>
      </c>
      <c r="T75" s="8">
        <v>2105000</v>
      </c>
      <c r="U75" s="2">
        <v>20</v>
      </c>
      <c r="V75" s="9">
        <f t="shared" si="4"/>
        <v>421000</v>
      </c>
      <c r="W75" s="9">
        <f t="shared" si="5"/>
        <v>1684000</v>
      </c>
      <c r="X75" s="10">
        <v>1.75</v>
      </c>
      <c r="Y75" s="9">
        <f t="shared" si="6"/>
        <v>29470.000000000004</v>
      </c>
      <c r="Z75" s="2"/>
      <c r="AA75" s="2" t="s">
        <v>11</v>
      </c>
      <c r="AB75" s="2">
        <v>1141072474</v>
      </c>
      <c r="AC75" s="11">
        <v>45688</v>
      </c>
      <c r="AD75" s="2" t="s">
        <v>12</v>
      </c>
      <c r="AE75" s="2">
        <v>0</v>
      </c>
      <c r="AF75" s="36" t="s">
        <v>513</v>
      </c>
      <c r="AG75" s="38">
        <v>29470</v>
      </c>
      <c r="AH75" s="39">
        <f t="shared" si="7"/>
        <v>0</v>
      </c>
    </row>
    <row r="76" spans="1:34" x14ac:dyDescent="0.25">
      <c r="A76" s="1" t="s">
        <v>0</v>
      </c>
      <c r="B76" s="2" t="s">
        <v>518</v>
      </c>
      <c r="C76" s="3">
        <v>45627</v>
      </c>
      <c r="D76" s="4" t="s">
        <v>2</v>
      </c>
      <c r="E76" s="2" t="s">
        <v>519</v>
      </c>
      <c r="F76" s="5">
        <v>45647</v>
      </c>
      <c r="G76" s="5">
        <v>46011</v>
      </c>
      <c r="H76" s="6" t="s">
        <v>520</v>
      </c>
      <c r="I76" s="7">
        <v>6110190650993</v>
      </c>
      <c r="J76" s="6" t="s">
        <v>492</v>
      </c>
      <c r="K76" s="2" t="s">
        <v>521</v>
      </c>
      <c r="L76" s="2">
        <v>259682</v>
      </c>
      <c r="M76" s="2" t="s">
        <v>522</v>
      </c>
      <c r="N76" s="2" t="s">
        <v>518</v>
      </c>
      <c r="O76" s="2" t="s">
        <v>27</v>
      </c>
      <c r="P76" s="2" t="s">
        <v>28</v>
      </c>
      <c r="Q76" s="2" t="s">
        <v>523</v>
      </c>
      <c r="R76" s="5">
        <v>44921</v>
      </c>
      <c r="S76" s="5">
        <v>46757</v>
      </c>
      <c r="T76" s="8">
        <v>2120000</v>
      </c>
      <c r="U76" s="2">
        <v>15</v>
      </c>
      <c r="V76" s="9">
        <f t="shared" si="4"/>
        <v>318000</v>
      </c>
      <c r="W76" s="9">
        <f t="shared" si="5"/>
        <v>1802000</v>
      </c>
      <c r="X76" s="10">
        <v>2</v>
      </c>
      <c r="Y76" s="9">
        <f t="shared" si="6"/>
        <v>36040</v>
      </c>
      <c r="Z76" s="2"/>
      <c r="AA76" s="2" t="s">
        <v>11</v>
      </c>
      <c r="AB76" s="2">
        <v>1141072474</v>
      </c>
      <c r="AC76" s="11">
        <v>45688</v>
      </c>
      <c r="AD76" s="2" t="s">
        <v>12</v>
      </c>
      <c r="AE76" s="2">
        <v>0</v>
      </c>
      <c r="AF76" s="36" t="s">
        <v>519</v>
      </c>
      <c r="AG76" s="38">
        <v>36040</v>
      </c>
      <c r="AH76" s="39">
        <f t="shared" si="7"/>
        <v>0</v>
      </c>
    </row>
    <row r="77" spans="1:34" x14ac:dyDescent="0.25">
      <c r="A77" s="1" t="s">
        <v>0</v>
      </c>
      <c r="B77" s="2" t="s">
        <v>524</v>
      </c>
      <c r="C77" s="3">
        <v>45627</v>
      </c>
      <c r="D77" s="4" t="s">
        <v>2</v>
      </c>
      <c r="E77" s="2" t="s">
        <v>525</v>
      </c>
      <c r="F77" s="5">
        <v>45656</v>
      </c>
      <c r="G77" s="5">
        <v>46020</v>
      </c>
      <c r="H77" s="6" t="s">
        <v>526</v>
      </c>
      <c r="I77" s="7">
        <v>3430259810422</v>
      </c>
      <c r="J77" s="6" t="s">
        <v>430</v>
      </c>
      <c r="K77" s="2" t="s">
        <v>527</v>
      </c>
      <c r="L77" s="2">
        <v>255968</v>
      </c>
      <c r="M77" s="2" t="s">
        <v>528</v>
      </c>
      <c r="N77" s="2" t="s">
        <v>524</v>
      </c>
      <c r="O77" s="2" t="s">
        <v>27</v>
      </c>
      <c r="P77" s="2" t="s">
        <v>28</v>
      </c>
      <c r="Q77" s="2" t="s">
        <v>529</v>
      </c>
      <c r="R77" s="5">
        <v>44925</v>
      </c>
      <c r="S77" s="5">
        <v>46757</v>
      </c>
      <c r="T77" s="8">
        <v>2223000</v>
      </c>
      <c r="U77" s="2">
        <v>15</v>
      </c>
      <c r="V77" s="9">
        <f t="shared" si="4"/>
        <v>333450</v>
      </c>
      <c r="W77" s="9">
        <f t="shared" si="5"/>
        <v>1889550</v>
      </c>
      <c r="X77" s="10">
        <v>2</v>
      </c>
      <c r="Y77" s="9">
        <f t="shared" si="6"/>
        <v>37791</v>
      </c>
      <c r="Z77" s="2"/>
      <c r="AA77" s="2" t="s">
        <v>11</v>
      </c>
      <c r="AB77" s="2">
        <v>1141072474</v>
      </c>
      <c r="AC77" s="11">
        <v>45688</v>
      </c>
      <c r="AD77" s="2" t="s">
        <v>12</v>
      </c>
      <c r="AE77" s="2">
        <v>0</v>
      </c>
      <c r="AF77" s="36" t="s">
        <v>525</v>
      </c>
      <c r="AG77" s="38">
        <v>37791</v>
      </c>
      <c r="AH77" s="39">
        <f t="shared" si="7"/>
        <v>0</v>
      </c>
    </row>
    <row r="78" spans="1:34" x14ac:dyDescent="0.25">
      <c r="A78" s="1" t="s">
        <v>0</v>
      </c>
      <c r="B78" s="2" t="s">
        <v>530</v>
      </c>
      <c r="C78" s="3">
        <v>45627</v>
      </c>
      <c r="D78" s="4" t="s">
        <v>2</v>
      </c>
      <c r="E78" s="2" t="s">
        <v>531</v>
      </c>
      <c r="F78" s="5">
        <v>45656</v>
      </c>
      <c r="G78" s="5">
        <v>46020</v>
      </c>
      <c r="H78" s="6" t="s">
        <v>532</v>
      </c>
      <c r="I78" s="7">
        <v>1430128591205</v>
      </c>
      <c r="J78" s="6" t="s">
        <v>256</v>
      </c>
      <c r="K78" s="2" t="s">
        <v>533</v>
      </c>
      <c r="L78" s="2">
        <v>268352</v>
      </c>
      <c r="M78" s="2" t="s">
        <v>534</v>
      </c>
      <c r="N78" s="2" t="s">
        <v>530</v>
      </c>
      <c r="O78" s="2" t="s">
        <v>27</v>
      </c>
      <c r="P78" s="2" t="s">
        <v>28</v>
      </c>
      <c r="Q78" s="2" t="s">
        <v>535</v>
      </c>
      <c r="R78" s="5">
        <v>44926</v>
      </c>
      <c r="S78" s="5">
        <v>46757</v>
      </c>
      <c r="T78" s="8">
        <v>2223000</v>
      </c>
      <c r="U78" s="2">
        <v>15</v>
      </c>
      <c r="V78" s="9">
        <f t="shared" si="4"/>
        <v>333450</v>
      </c>
      <c r="W78" s="9">
        <f t="shared" si="5"/>
        <v>1889550</v>
      </c>
      <c r="X78" s="10">
        <v>2</v>
      </c>
      <c r="Y78" s="9">
        <f t="shared" si="6"/>
        <v>37791</v>
      </c>
      <c r="Z78" s="2"/>
      <c r="AA78" s="2" t="s">
        <v>11</v>
      </c>
      <c r="AB78" s="2">
        <v>1141072474</v>
      </c>
      <c r="AC78" s="11">
        <v>45688</v>
      </c>
      <c r="AD78" s="2" t="s">
        <v>12</v>
      </c>
      <c r="AE78" s="2">
        <v>0</v>
      </c>
      <c r="AF78" s="36" t="s">
        <v>531</v>
      </c>
      <c r="AG78" s="38">
        <v>37791</v>
      </c>
      <c r="AH78" s="39">
        <f t="shared" si="7"/>
        <v>0</v>
      </c>
    </row>
    <row r="79" spans="1:34" x14ac:dyDescent="0.25">
      <c r="A79" s="1" t="s">
        <v>0</v>
      </c>
      <c r="B79" s="2" t="s">
        <v>536</v>
      </c>
      <c r="C79" s="3">
        <v>45627</v>
      </c>
      <c r="D79" s="4" t="s">
        <v>2</v>
      </c>
      <c r="E79" s="2" t="s">
        <v>537</v>
      </c>
      <c r="F79" s="5">
        <v>45657</v>
      </c>
      <c r="G79" s="5">
        <v>46021</v>
      </c>
      <c r="H79" s="6" t="s">
        <v>538</v>
      </c>
      <c r="I79" s="7">
        <v>3520150572289</v>
      </c>
      <c r="J79" s="6" t="s">
        <v>342</v>
      </c>
      <c r="K79" s="2" t="s">
        <v>539</v>
      </c>
      <c r="L79" s="2">
        <v>190764</v>
      </c>
      <c r="M79" s="2" t="s">
        <v>540</v>
      </c>
      <c r="N79" s="2" t="s">
        <v>536</v>
      </c>
      <c r="O79" s="2" t="s">
        <v>8</v>
      </c>
      <c r="P79" s="2" t="s">
        <v>9</v>
      </c>
      <c r="Q79" s="2" t="s">
        <v>541</v>
      </c>
      <c r="R79" s="5">
        <v>44565</v>
      </c>
      <c r="S79" s="5">
        <v>47123</v>
      </c>
      <c r="T79" s="8">
        <v>2272000</v>
      </c>
      <c r="U79" s="2">
        <v>20</v>
      </c>
      <c r="V79" s="9">
        <f t="shared" si="4"/>
        <v>454400</v>
      </c>
      <c r="W79" s="9">
        <f t="shared" si="5"/>
        <v>1817600</v>
      </c>
      <c r="X79" s="10">
        <v>1.75</v>
      </c>
      <c r="Y79" s="9">
        <f t="shared" si="6"/>
        <v>31808.000000000004</v>
      </c>
      <c r="Z79" s="2"/>
      <c r="AA79" s="2" t="s">
        <v>11</v>
      </c>
      <c r="AB79" s="2">
        <v>1141072474</v>
      </c>
      <c r="AC79" s="11">
        <v>45688</v>
      </c>
      <c r="AD79" s="2" t="s">
        <v>12</v>
      </c>
      <c r="AE79" s="2">
        <v>0</v>
      </c>
      <c r="AF79" s="36" t="s">
        <v>537</v>
      </c>
      <c r="AG79" s="38">
        <v>31808</v>
      </c>
      <c r="AH79" s="39">
        <f t="shared" si="7"/>
        <v>0</v>
      </c>
    </row>
    <row r="80" spans="1:34" x14ac:dyDescent="0.25">
      <c r="A80" s="1" t="s">
        <v>0</v>
      </c>
      <c r="B80" s="2" t="s">
        <v>542</v>
      </c>
      <c r="C80" s="3">
        <v>45627</v>
      </c>
      <c r="D80" s="4" t="s">
        <v>2</v>
      </c>
      <c r="E80" s="2" t="s">
        <v>543</v>
      </c>
      <c r="F80" s="5">
        <v>45641</v>
      </c>
      <c r="G80" s="5">
        <v>46005</v>
      </c>
      <c r="H80" s="6" t="s">
        <v>544</v>
      </c>
      <c r="I80" s="7">
        <v>3520241593963</v>
      </c>
      <c r="J80" s="6" t="s">
        <v>545</v>
      </c>
      <c r="K80" s="2" t="s">
        <v>546</v>
      </c>
      <c r="L80" s="2" t="s">
        <v>547</v>
      </c>
      <c r="M80" s="2" t="s">
        <v>548</v>
      </c>
      <c r="N80" s="2" t="s">
        <v>542</v>
      </c>
      <c r="O80" s="2" t="s">
        <v>8</v>
      </c>
      <c r="P80" s="2" t="s">
        <v>9</v>
      </c>
      <c r="Q80" s="2" t="s">
        <v>549</v>
      </c>
      <c r="R80" s="5">
        <v>44547</v>
      </c>
      <c r="S80" s="5">
        <v>47123</v>
      </c>
      <c r="T80" s="8">
        <v>2443000</v>
      </c>
      <c r="U80" s="2">
        <v>20</v>
      </c>
      <c r="V80" s="9">
        <f t="shared" si="4"/>
        <v>488600</v>
      </c>
      <c r="W80" s="9">
        <f t="shared" si="5"/>
        <v>1954400</v>
      </c>
      <c r="X80" s="10">
        <v>2.5</v>
      </c>
      <c r="Y80" s="9">
        <f t="shared" si="6"/>
        <v>48860</v>
      </c>
      <c r="Z80" s="2"/>
      <c r="AA80" s="2" t="s">
        <v>11</v>
      </c>
      <c r="AB80" s="2">
        <v>1141072474</v>
      </c>
      <c r="AC80" s="11">
        <v>45688</v>
      </c>
      <c r="AD80" s="2" t="s">
        <v>12</v>
      </c>
      <c r="AE80" s="2">
        <v>0</v>
      </c>
      <c r="AF80" s="36" t="s">
        <v>543</v>
      </c>
      <c r="AG80" s="38">
        <v>48860</v>
      </c>
      <c r="AH80" s="39">
        <f t="shared" si="7"/>
        <v>0</v>
      </c>
    </row>
    <row r="81" spans="1:34" x14ac:dyDescent="0.25">
      <c r="A81" s="1" t="s">
        <v>0</v>
      </c>
      <c r="B81" s="2" t="s">
        <v>550</v>
      </c>
      <c r="C81" s="3">
        <v>45627</v>
      </c>
      <c r="D81" s="4" t="s">
        <v>2</v>
      </c>
      <c r="E81" s="2" t="s">
        <v>551</v>
      </c>
      <c r="F81" s="5">
        <v>45648</v>
      </c>
      <c r="G81" s="5">
        <v>46012</v>
      </c>
      <c r="H81" s="6" t="s">
        <v>552</v>
      </c>
      <c r="I81" s="7">
        <v>3210210269291</v>
      </c>
      <c r="J81" s="6" t="s">
        <v>553</v>
      </c>
      <c r="K81" s="2" t="s">
        <v>554</v>
      </c>
      <c r="L81" s="2">
        <v>81507</v>
      </c>
      <c r="M81" s="2" t="s">
        <v>555</v>
      </c>
      <c r="N81" s="2" t="s">
        <v>550</v>
      </c>
      <c r="O81" s="2" t="s">
        <v>8</v>
      </c>
      <c r="P81" s="2" t="s">
        <v>306</v>
      </c>
      <c r="Q81" s="2" t="s">
        <v>556</v>
      </c>
      <c r="R81" s="5">
        <v>44922</v>
      </c>
      <c r="S81" s="5">
        <v>46757</v>
      </c>
      <c r="T81" s="8">
        <v>2450000</v>
      </c>
      <c r="U81" s="2">
        <v>15</v>
      </c>
      <c r="V81" s="9">
        <f t="shared" si="4"/>
        <v>367500</v>
      </c>
      <c r="W81" s="9">
        <f t="shared" si="5"/>
        <v>2082500</v>
      </c>
      <c r="X81" s="10">
        <v>2</v>
      </c>
      <c r="Y81" s="9">
        <f t="shared" si="6"/>
        <v>41650</v>
      </c>
      <c r="Z81" s="2"/>
      <c r="AA81" s="2" t="s">
        <v>11</v>
      </c>
      <c r="AB81" s="2">
        <v>1141072474</v>
      </c>
      <c r="AC81" s="11">
        <v>45688</v>
      </c>
      <c r="AD81" s="2" t="s">
        <v>12</v>
      </c>
      <c r="AE81" s="2">
        <v>0</v>
      </c>
      <c r="AF81" s="36" t="s">
        <v>551</v>
      </c>
      <c r="AG81" s="38">
        <v>41650</v>
      </c>
      <c r="AH81" s="39">
        <f t="shared" si="7"/>
        <v>0</v>
      </c>
    </row>
    <row r="82" spans="1:34" x14ac:dyDescent="0.25">
      <c r="A82" s="1" t="s">
        <v>0</v>
      </c>
      <c r="B82" s="2" t="s">
        <v>557</v>
      </c>
      <c r="C82" s="3">
        <v>45627</v>
      </c>
      <c r="D82" s="4" t="s">
        <v>2</v>
      </c>
      <c r="E82" s="2" t="s">
        <v>558</v>
      </c>
      <c r="F82" s="5">
        <v>45637</v>
      </c>
      <c r="G82" s="5">
        <v>46001</v>
      </c>
      <c r="H82" s="6" t="s">
        <v>559</v>
      </c>
      <c r="I82" s="7">
        <v>3520207653881</v>
      </c>
      <c r="J82" s="6" t="s">
        <v>214</v>
      </c>
      <c r="K82" s="2" t="s">
        <v>560</v>
      </c>
      <c r="L82" s="2">
        <v>503257</v>
      </c>
      <c r="M82" s="2" t="s">
        <v>561</v>
      </c>
      <c r="N82" s="2" t="s">
        <v>557</v>
      </c>
      <c r="O82" s="2" t="s">
        <v>8</v>
      </c>
      <c r="P82" s="2" t="s">
        <v>9</v>
      </c>
      <c r="Q82" s="2" t="s">
        <v>562</v>
      </c>
      <c r="R82" s="5">
        <v>45272</v>
      </c>
      <c r="S82" s="5">
        <v>46361</v>
      </c>
      <c r="T82" s="8">
        <v>2500000</v>
      </c>
      <c r="U82" s="2">
        <v>10</v>
      </c>
      <c r="V82" s="9">
        <f t="shared" si="4"/>
        <v>250000</v>
      </c>
      <c r="W82" s="9">
        <f t="shared" si="5"/>
        <v>2250000</v>
      </c>
      <c r="X82" s="10">
        <v>2</v>
      </c>
      <c r="Y82" s="9">
        <f t="shared" si="6"/>
        <v>45000</v>
      </c>
      <c r="Z82" s="2"/>
      <c r="AA82" s="2" t="s">
        <v>11</v>
      </c>
      <c r="AB82" s="2">
        <v>1141072474</v>
      </c>
      <c r="AC82" s="11">
        <v>45688</v>
      </c>
      <c r="AD82" s="2" t="s">
        <v>12</v>
      </c>
      <c r="AE82" s="2">
        <v>0</v>
      </c>
      <c r="AF82" s="36" t="s">
        <v>558</v>
      </c>
      <c r="AG82" s="38">
        <v>45000</v>
      </c>
      <c r="AH82" s="39">
        <f t="shared" si="7"/>
        <v>0</v>
      </c>
    </row>
    <row r="83" spans="1:34" x14ac:dyDescent="0.25">
      <c r="A83" s="1" t="s">
        <v>0</v>
      </c>
      <c r="B83" s="2" t="s">
        <v>563</v>
      </c>
      <c r="C83" s="3">
        <v>45627</v>
      </c>
      <c r="D83" s="4" t="s">
        <v>2</v>
      </c>
      <c r="E83" s="2" t="s">
        <v>564</v>
      </c>
      <c r="F83" s="5">
        <v>45655</v>
      </c>
      <c r="G83" s="5">
        <v>46019</v>
      </c>
      <c r="H83" s="6" t="s">
        <v>565</v>
      </c>
      <c r="I83" s="7">
        <v>3520191644019</v>
      </c>
      <c r="J83" s="6" t="s">
        <v>477</v>
      </c>
      <c r="K83" s="2" t="s">
        <v>566</v>
      </c>
      <c r="L83" s="2" t="s">
        <v>567</v>
      </c>
      <c r="M83" s="2" t="s">
        <v>568</v>
      </c>
      <c r="N83" s="2" t="s">
        <v>563</v>
      </c>
      <c r="O83" s="2" t="s">
        <v>8</v>
      </c>
      <c r="P83" s="2" t="s">
        <v>9</v>
      </c>
      <c r="Q83" s="2" t="s">
        <v>569</v>
      </c>
      <c r="R83" s="5">
        <v>44561</v>
      </c>
      <c r="S83" s="5">
        <v>46392</v>
      </c>
      <c r="T83" s="8">
        <v>2500000</v>
      </c>
      <c r="U83" s="2">
        <v>20</v>
      </c>
      <c r="V83" s="9">
        <f t="shared" si="4"/>
        <v>500000</v>
      </c>
      <c r="W83" s="9">
        <f t="shared" si="5"/>
        <v>2000000</v>
      </c>
      <c r="X83" s="10">
        <v>1.75</v>
      </c>
      <c r="Y83" s="9">
        <f t="shared" si="6"/>
        <v>35000</v>
      </c>
      <c r="Z83" s="2"/>
      <c r="AA83" s="2" t="s">
        <v>11</v>
      </c>
      <c r="AB83" s="2">
        <v>1141072474</v>
      </c>
      <c r="AC83" s="11">
        <v>45688</v>
      </c>
      <c r="AD83" s="2" t="s">
        <v>12</v>
      </c>
      <c r="AE83" s="2">
        <v>0</v>
      </c>
      <c r="AF83" s="36" t="s">
        <v>564</v>
      </c>
      <c r="AG83" s="38">
        <v>35000</v>
      </c>
      <c r="AH83" s="39">
        <f t="shared" si="7"/>
        <v>0</v>
      </c>
    </row>
    <row r="84" spans="1:34" x14ac:dyDescent="0.25">
      <c r="A84" s="1" t="s">
        <v>0</v>
      </c>
      <c r="B84" s="2" t="s">
        <v>570</v>
      </c>
      <c r="C84" s="3">
        <v>45627</v>
      </c>
      <c r="D84" s="4" t="s">
        <v>2</v>
      </c>
      <c r="E84" s="2" t="s">
        <v>571</v>
      </c>
      <c r="F84" s="5">
        <v>45657</v>
      </c>
      <c r="G84" s="5">
        <v>46021</v>
      </c>
      <c r="H84" s="6" t="s">
        <v>572</v>
      </c>
      <c r="I84" s="7">
        <v>6110118877541</v>
      </c>
      <c r="J84" s="6" t="s">
        <v>573</v>
      </c>
      <c r="K84" s="2" t="s">
        <v>574</v>
      </c>
      <c r="L84" s="2">
        <v>14042954</v>
      </c>
      <c r="M84" s="2" t="s">
        <v>575</v>
      </c>
      <c r="N84" s="2" t="s">
        <v>570</v>
      </c>
      <c r="O84" s="2" t="s">
        <v>8</v>
      </c>
      <c r="P84" s="2" t="s">
        <v>9</v>
      </c>
      <c r="Q84" s="2" t="s">
        <v>576</v>
      </c>
      <c r="R84" s="5">
        <v>44201</v>
      </c>
      <c r="S84" s="5">
        <v>46027</v>
      </c>
      <c r="T84" s="8">
        <v>2500000</v>
      </c>
      <c r="U84" s="2">
        <v>25</v>
      </c>
      <c r="V84" s="9">
        <f t="shared" si="4"/>
        <v>625000</v>
      </c>
      <c r="W84" s="9">
        <f t="shared" si="5"/>
        <v>1875000</v>
      </c>
      <c r="X84" s="10">
        <v>2.5</v>
      </c>
      <c r="Y84" s="9">
        <f t="shared" si="6"/>
        <v>46875</v>
      </c>
      <c r="Z84" s="2"/>
      <c r="AA84" s="2" t="s">
        <v>11</v>
      </c>
      <c r="AB84" s="2">
        <v>1141072474</v>
      </c>
      <c r="AC84" s="11">
        <v>45688</v>
      </c>
      <c r="AD84" s="2" t="s">
        <v>12</v>
      </c>
      <c r="AE84" s="2">
        <v>0</v>
      </c>
      <c r="AF84" s="36" t="s">
        <v>571</v>
      </c>
      <c r="AG84" s="38">
        <v>46875</v>
      </c>
      <c r="AH84" s="39">
        <f t="shared" si="7"/>
        <v>0</v>
      </c>
    </row>
    <row r="85" spans="1:34" x14ac:dyDescent="0.25">
      <c r="A85" s="1" t="s">
        <v>0</v>
      </c>
      <c r="B85" s="2" t="s">
        <v>577</v>
      </c>
      <c r="C85" s="3">
        <v>45627</v>
      </c>
      <c r="D85" s="4" t="s">
        <v>2</v>
      </c>
      <c r="E85" s="2" t="s">
        <v>578</v>
      </c>
      <c r="F85" s="5">
        <v>45642</v>
      </c>
      <c r="G85" s="5">
        <v>46006</v>
      </c>
      <c r="H85" s="6" t="s">
        <v>579</v>
      </c>
      <c r="I85" s="7">
        <v>3630281189507</v>
      </c>
      <c r="J85" s="6" t="s">
        <v>228</v>
      </c>
      <c r="K85" s="2" t="s">
        <v>580</v>
      </c>
      <c r="L85" s="2">
        <v>239783</v>
      </c>
      <c r="M85" s="2" t="s">
        <v>581</v>
      </c>
      <c r="N85" s="2" t="s">
        <v>577</v>
      </c>
      <c r="O85" s="2" t="s">
        <v>8</v>
      </c>
      <c r="P85" s="2" t="s">
        <v>391</v>
      </c>
      <c r="Q85" s="2" t="s">
        <v>582</v>
      </c>
      <c r="R85" s="5">
        <v>44923</v>
      </c>
      <c r="S85" s="5">
        <v>46757</v>
      </c>
      <c r="T85" s="8">
        <v>2564000</v>
      </c>
      <c r="U85" s="2">
        <v>15</v>
      </c>
      <c r="V85" s="9">
        <f t="shared" si="4"/>
        <v>384600</v>
      </c>
      <c r="W85" s="9">
        <f t="shared" si="5"/>
        <v>2179400</v>
      </c>
      <c r="X85" s="10">
        <v>2</v>
      </c>
      <c r="Y85" s="9">
        <f t="shared" si="6"/>
        <v>43588</v>
      </c>
      <c r="Z85" s="2"/>
      <c r="AA85" s="2" t="s">
        <v>11</v>
      </c>
      <c r="AB85" s="2">
        <v>1141072474</v>
      </c>
      <c r="AC85" s="11">
        <v>45688</v>
      </c>
      <c r="AD85" s="2" t="s">
        <v>12</v>
      </c>
      <c r="AE85" s="2">
        <v>0</v>
      </c>
      <c r="AF85" s="36" t="s">
        <v>578</v>
      </c>
      <c r="AG85" s="38">
        <v>43588</v>
      </c>
      <c r="AH85" s="39">
        <f t="shared" si="7"/>
        <v>0</v>
      </c>
    </row>
    <row r="86" spans="1:34" x14ac:dyDescent="0.25">
      <c r="A86" s="1" t="s">
        <v>0</v>
      </c>
      <c r="B86" s="2" t="s">
        <v>583</v>
      </c>
      <c r="C86" s="3">
        <v>45627</v>
      </c>
      <c r="D86" s="4" t="s">
        <v>2</v>
      </c>
      <c r="E86" s="2" t="s">
        <v>584</v>
      </c>
      <c r="F86" s="5">
        <v>45652</v>
      </c>
      <c r="G86" s="5">
        <v>46016</v>
      </c>
      <c r="H86" s="6" t="s">
        <v>585</v>
      </c>
      <c r="I86" s="7">
        <v>3310355708065</v>
      </c>
      <c r="J86" s="6" t="s">
        <v>228</v>
      </c>
      <c r="K86" s="2" t="s">
        <v>586</v>
      </c>
      <c r="L86" s="2">
        <v>243107</v>
      </c>
      <c r="M86" s="2" t="s">
        <v>587</v>
      </c>
      <c r="N86" s="2" t="s">
        <v>583</v>
      </c>
      <c r="O86" s="2" t="s">
        <v>8</v>
      </c>
      <c r="P86" s="2" t="s">
        <v>74</v>
      </c>
      <c r="Q86" s="2" t="s">
        <v>588</v>
      </c>
      <c r="R86" s="5">
        <v>44924</v>
      </c>
      <c r="S86" s="5">
        <v>46757</v>
      </c>
      <c r="T86" s="8">
        <v>2564000</v>
      </c>
      <c r="U86" s="2">
        <v>15</v>
      </c>
      <c r="V86" s="9">
        <f t="shared" si="4"/>
        <v>384600</v>
      </c>
      <c r="W86" s="9">
        <f t="shared" si="5"/>
        <v>2179400</v>
      </c>
      <c r="X86" s="10">
        <v>2</v>
      </c>
      <c r="Y86" s="9">
        <f t="shared" si="6"/>
        <v>43588</v>
      </c>
      <c r="Z86" s="2"/>
      <c r="AA86" s="2" t="s">
        <v>11</v>
      </c>
      <c r="AB86" s="2">
        <v>1141072474</v>
      </c>
      <c r="AC86" s="11">
        <v>45688</v>
      </c>
      <c r="AD86" s="2" t="s">
        <v>12</v>
      </c>
      <c r="AE86" s="2">
        <v>0</v>
      </c>
      <c r="AF86" s="36" t="s">
        <v>584</v>
      </c>
      <c r="AG86" s="38">
        <v>43588</v>
      </c>
      <c r="AH86" s="39">
        <f t="shared" si="7"/>
        <v>0</v>
      </c>
    </row>
    <row r="87" spans="1:34" x14ac:dyDescent="0.25">
      <c r="A87" s="1" t="s">
        <v>0</v>
      </c>
      <c r="B87" s="2" t="s">
        <v>589</v>
      </c>
      <c r="C87" s="3">
        <v>45627</v>
      </c>
      <c r="D87" s="4" t="s">
        <v>2</v>
      </c>
      <c r="E87" s="2" t="s">
        <v>590</v>
      </c>
      <c r="F87" s="5">
        <v>45648</v>
      </c>
      <c r="G87" s="5">
        <v>46012</v>
      </c>
      <c r="H87" s="6" t="s">
        <v>591</v>
      </c>
      <c r="I87" s="7">
        <v>3520125707887</v>
      </c>
      <c r="J87" s="6" t="s">
        <v>592</v>
      </c>
      <c r="K87" s="2" t="s">
        <v>593</v>
      </c>
      <c r="L87" s="2">
        <v>518061</v>
      </c>
      <c r="M87" s="2" t="s">
        <v>594</v>
      </c>
      <c r="N87" s="2" t="s">
        <v>589</v>
      </c>
      <c r="O87" s="2" t="s">
        <v>8</v>
      </c>
      <c r="P87" s="2" t="s">
        <v>9</v>
      </c>
      <c r="Q87" s="2" t="s">
        <v>595</v>
      </c>
      <c r="R87" s="5">
        <v>44558</v>
      </c>
      <c r="S87" s="5">
        <v>46027</v>
      </c>
      <c r="T87" s="8">
        <v>2589000</v>
      </c>
      <c r="U87" s="2">
        <v>20</v>
      </c>
      <c r="V87" s="9">
        <f t="shared" si="4"/>
        <v>517800</v>
      </c>
      <c r="W87" s="9">
        <f t="shared" si="5"/>
        <v>2071200</v>
      </c>
      <c r="X87" s="10">
        <v>1.75</v>
      </c>
      <c r="Y87" s="9">
        <f t="shared" si="6"/>
        <v>36246</v>
      </c>
      <c r="Z87" s="2"/>
      <c r="AA87" s="2" t="s">
        <v>11</v>
      </c>
      <c r="AB87" s="2">
        <v>1141072474</v>
      </c>
      <c r="AC87" s="11">
        <v>45688</v>
      </c>
      <c r="AD87" s="2" t="s">
        <v>12</v>
      </c>
      <c r="AE87" s="2">
        <v>0</v>
      </c>
      <c r="AF87" s="36" t="s">
        <v>590</v>
      </c>
      <c r="AG87" s="38">
        <v>36246</v>
      </c>
      <c r="AH87" s="39">
        <f t="shared" si="7"/>
        <v>0</v>
      </c>
    </row>
    <row r="88" spans="1:34" x14ac:dyDescent="0.25">
      <c r="A88" s="1" t="s">
        <v>0</v>
      </c>
      <c r="B88" s="2" t="s">
        <v>596</v>
      </c>
      <c r="C88" s="3">
        <v>45627</v>
      </c>
      <c r="D88" s="4" t="s">
        <v>2</v>
      </c>
      <c r="E88" s="2" t="s">
        <v>597</v>
      </c>
      <c r="F88" s="5">
        <v>45647</v>
      </c>
      <c r="G88" s="5">
        <v>46011</v>
      </c>
      <c r="H88" s="6" t="s">
        <v>598</v>
      </c>
      <c r="I88" s="7">
        <v>3520297470853</v>
      </c>
      <c r="J88" s="6" t="s">
        <v>553</v>
      </c>
      <c r="K88" s="2" t="s">
        <v>599</v>
      </c>
      <c r="L88" s="2" t="s">
        <v>600</v>
      </c>
      <c r="M88" s="2" t="s">
        <v>601</v>
      </c>
      <c r="N88" s="2" t="s">
        <v>596</v>
      </c>
      <c r="O88" s="2" t="s">
        <v>8</v>
      </c>
      <c r="P88" s="2" t="s">
        <v>9</v>
      </c>
      <c r="Q88" s="2" t="s">
        <v>602</v>
      </c>
      <c r="R88" s="5">
        <v>45282</v>
      </c>
      <c r="S88" s="5">
        <v>47123</v>
      </c>
      <c r="T88" s="8">
        <v>2600000</v>
      </c>
      <c r="U88" s="2">
        <v>10</v>
      </c>
      <c r="V88" s="9">
        <f t="shared" si="4"/>
        <v>260000</v>
      </c>
      <c r="W88" s="9">
        <f t="shared" si="5"/>
        <v>2340000</v>
      </c>
      <c r="X88" s="10">
        <v>2</v>
      </c>
      <c r="Y88" s="9">
        <f t="shared" si="6"/>
        <v>46800</v>
      </c>
      <c r="Z88" s="2"/>
      <c r="AA88" s="2" t="s">
        <v>11</v>
      </c>
      <c r="AB88" s="2">
        <v>1141072474</v>
      </c>
      <c r="AC88" s="11">
        <v>45688</v>
      </c>
      <c r="AD88" s="2" t="s">
        <v>12</v>
      </c>
      <c r="AE88" s="2">
        <v>0</v>
      </c>
      <c r="AF88" s="36" t="s">
        <v>597</v>
      </c>
      <c r="AG88" s="38">
        <v>46800</v>
      </c>
      <c r="AH88" s="39">
        <f t="shared" si="7"/>
        <v>0</v>
      </c>
    </row>
    <row r="89" spans="1:34" x14ac:dyDescent="0.25">
      <c r="A89" s="1" t="s">
        <v>0</v>
      </c>
      <c r="B89" s="2" t="s">
        <v>603</v>
      </c>
      <c r="C89" s="3">
        <v>45627</v>
      </c>
      <c r="D89" s="4" t="s">
        <v>2</v>
      </c>
      <c r="E89" s="2" t="s">
        <v>604</v>
      </c>
      <c r="F89" s="5">
        <v>45646</v>
      </c>
      <c r="G89" s="5">
        <v>46010</v>
      </c>
      <c r="H89" s="6" t="s">
        <v>605</v>
      </c>
      <c r="I89" s="7">
        <v>3740155826327</v>
      </c>
      <c r="J89" s="6" t="s">
        <v>111</v>
      </c>
      <c r="K89" s="2" t="s">
        <v>606</v>
      </c>
      <c r="L89" s="2" t="s">
        <v>607</v>
      </c>
      <c r="M89" s="2" t="s">
        <v>608</v>
      </c>
      <c r="N89" s="2" t="s">
        <v>603</v>
      </c>
      <c r="O89" s="2" t="s">
        <v>27</v>
      </c>
      <c r="P89" s="2" t="s">
        <v>28</v>
      </c>
      <c r="Q89" s="2" t="s">
        <v>609</v>
      </c>
      <c r="R89" s="5">
        <v>45286</v>
      </c>
      <c r="S89" s="5">
        <v>47123</v>
      </c>
      <c r="T89" s="8">
        <v>2612000</v>
      </c>
      <c r="U89" s="2">
        <v>10</v>
      </c>
      <c r="V89" s="9">
        <f t="shared" si="4"/>
        <v>261200</v>
      </c>
      <c r="W89" s="9">
        <f t="shared" si="5"/>
        <v>2350800</v>
      </c>
      <c r="X89" s="10">
        <v>2</v>
      </c>
      <c r="Y89" s="9">
        <f t="shared" si="6"/>
        <v>47016</v>
      </c>
      <c r="Z89" s="2"/>
      <c r="AA89" s="2" t="s">
        <v>11</v>
      </c>
      <c r="AB89" s="2">
        <v>1141072474</v>
      </c>
      <c r="AC89" s="11">
        <v>45688</v>
      </c>
      <c r="AD89" s="2" t="s">
        <v>12</v>
      </c>
      <c r="AE89" s="2">
        <v>0</v>
      </c>
      <c r="AF89" s="36" t="s">
        <v>604</v>
      </c>
      <c r="AG89" s="38">
        <v>47016</v>
      </c>
      <c r="AH89" s="39">
        <f t="shared" si="7"/>
        <v>0</v>
      </c>
    </row>
    <row r="90" spans="1:34" x14ac:dyDescent="0.25">
      <c r="A90" s="1" t="s">
        <v>0</v>
      </c>
      <c r="B90" s="2" t="s">
        <v>610</v>
      </c>
      <c r="C90" s="3">
        <v>45627</v>
      </c>
      <c r="D90" s="4" t="s">
        <v>2</v>
      </c>
      <c r="E90" s="2" t="s">
        <v>611</v>
      </c>
      <c r="F90" s="5">
        <v>45649</v>
      </c>
      <c r="G90" s="5">
        <v>46013</v>
      </c>
      <c r="H90" s="6" t="s">
        <v>612</v>
      </c>
      <c r="I90" s="7">
        <v>4230157367699</v>
      </c>
      <c r="J90" s="6" t="s">
        <v>198</v>
      </c>
      <c r="K90" s="2" t="s">
        <v>613</v>
      </c>
      <c r="L90" s="2">
        <v>291969</v>
      </c>
      <c r="M90" s="2" t="s">
        <v>614</v>
      </c>
      <c r="N90" s="2" t="s">
        <v>610</v>
      </c>
      <c r="O90" s="2" t="s">
        <v>19</v>
      </c>
      <c r="P90" s="2" t="s">
        <v>20</v>
      </c>
      <c r="Q90" s="2" t="s">
        <v>615</v>
      </c>
      <c r="R90" s="5">
        <v>45289</v>
      </c>
      <c r="S90" s="5">
        <v>47123</v>
      </c>
      <c r="T90" s="8">
        <v>2612000</v>
      </c>
      <c r="U90" s="2">
        <v>10</v>
      </c>
      <c r="V90" s="9">
        <f t="shared" si="4"/>
        <v>261200</v>
      </c>
      <c r="W90" s="9">
        <f t="shared" si="5"/>
        <v>2350800</v>
      </c>
      <c r="X90" s="10">
        <v>2</v>
      </c>
      <c r="Y90" s="9">
        <f t="shared" si="6"/>
        <v>47016</v>
      </c>
      <c r="Z90" s="2"/>
      <c r="AA90" s="2" t="s">
        <v>11</v>
      </c>
      <c r="AB90" s="2">
        <v>1141072474</v>
      </c>
      <c r="AC90" s="11">
        <v>45688</v>
      </c>
      <c r="AD90" s="2" t="s">
        <v>12</v>
      </c>
      <c r="AE90" s="2">
        <v>0</v>
      </c>
      <c r="AF90" s="36" t="s">
        <v>611</v>
      </c>
      <c r="AG90" s="38">
        <v>47016</v>
      </c>
      <c r="AH90" s="39">
        <f t="shared" si="7"/>
        <v>0</v>
      </c>
    </row>
    <row r="91" spans="1:34" x14ac:dyDescent="0.25">
      <c r="A91" s="1" t="s">
        <v>0</v>
      </c>
      <c r="B91" s="2" t="s">
        <v>616</v>
      </c>
      <c r="C91" s="3">
        <v>45627</v>
      </c>
      <c r="D91" s="4" t="s">
        <v>2</v>
      </c>
      <c r="E91" s="2" t="s">
        <v>617</v>
      </c>
      <c r="F91" s="5">
        <v>45653</v>
      </c>
      <c r="G91" s="5">
        <v>46017</v>
      </c>
      <c r="H91" s="6" t="s">
        <v>618</v>
      </c>
      <c r="I91" s="7">
        <v>3310225100977</v>
      </c>
      <c r="J91" s="6" t="s">
        <v>125</v>
      </c>
      <c r="K91" s="2" t="s">
        <v>619</v>
      </c>
      <c r="L91" s="2" t="s">
        <v>620</v>
      </c>
      <c r="M91" s="2" t="s">
        <v>621</v>
      </c>
      <c r="N91" s="2" t="s">
        <v>616</v>
      </c>
      <c r="O91" s="2" t="s">
        <v>8</v>
      </c>
      <c r="P91" s="2" t="s">
        <v>74</v>
      </c>
      <c r="Q91" s="2" t="s">
        <v>622</v>
      </c>
      <c r="R91" s="5">
        <v>45289</v>
      </c>
      <c r="S91" s="5">
        <v>47123</v>
      </c>
      <c r="T91" s="8">
        <v>2612000</v>
      </c>
      <c r="U91" s="2">
        <v>10</v>
      </c>
      <c r="V91" s="9">
        <f t="shared" si="4"/>
        <v>261200</v>
      </c>
      <c r="W91" s="9">
        <f t="shared" si="5"/>
        <v>2350800</v>
      </c>
      <c r="X91" s="10">
        <v>2</v>
      </c>
      <c r="Y91" s="9">
        <f t="shared" si="6"/>
        <v>47016</v>
      </c>
      <c r="Z91" s="2"/>
      <c r="AA91" s="2" t="s">
        <v>11</v>
      </c>
      <c r="AB91" s="2">
        <v>1141072474</v>
      </c>
      <c r="AC91" s="11">
        <v>45688</v>
      </c>
      <c r="AD91" s="2" t="s">
        <v>12</v>
      </c>
      <c r="AE91" s="2">
        <v>0</v>
      </c>
      <c r="AF91" s="36" t="s">
        <v>617</v>
      </c>
      <c r="AG91" s="38">
        <v>47016</v>
      </c>
      <c r="AH91" s="39">
        <f t="shared" si="7"/>
        <v>0</v>
      </c>
    </row>
    <row r="92" spans="1:34" x14ac:dyDescent="0.25">
      <c r="A92" s="1" t="s">
        <v>0</v>
      </c>
      <c r="B92" s="2" t="s">
        <v>623</v>
      </c>
      <c r="C92" s="3">
        <v>45627</v>
      </c>
      <c r="D92" s="4" t="s">
        <v>2</v>
      </c>
      <c r="E92" s="2" t="s">
        <v>624</v>
      </c>
      <c r="F92" s="5">
        <v>45654</v>
      </c>
      <c r="G92" s="5">
        <v>46018</v>
      </c>
      <c r="H92" s="6" t="s">
        <v>625</v>
      </c>
      <c r="I92" s="7">
        <v>3520227543320</v>
      </c>
      <c r="J92" s="6" t="s">
        <v>477</v>
      </c>
      <c r="K92" s="2" t="s">
        <v>626</v>
      </c>
      <c r="L92" s="2" t="s">
        <v>627</v>
      </c>
      <c r="M92" s="2" t="s">
        <v>628</v>
      </c>
      <c r="N92" s="2" t="s">
        <v>623</v>
      </c>
      <c r="O92" s="2" t="s">
        <v>8</v>
      </c>
      <c r="P92" s="2" t="s">
        <v>9</v>
      </c>
      <c r="Q92" s="2" t="s">
        <v>629</v>
      </c>
      <c r="R92" s="5">
        <v>44196</v>
      </c>
      <c r="S92" s="5">
        <v>46757</v>
      </c>
      <c r="T92" s="8">
        <v>2645000</v>
      </c>
      <c r="U92" s="2">
        <v>25</v>
      </c>
      <c r="V92" s="9">
        <f t="shared" si="4"/>
        <v>661250</v>
      </c>
      <c r="W92" s="9">
        <f t="shared" si="5"/>
        <v>1983750</v>
      </c>
      <c r="X92" s="10">
        <v>2</v>
      </c>
      <c r="Y92" s="9">
        <f t="shared" si="6"/>
        <v>39675</v>
      </c>
      <c r="Z92" s="2"/>
      <c r="AA92" s="2" t="s">
        <v>11</v>
      </c>
      <c r="AB92" s="2">
        <v>1141072474</v>
      </c>
      <c r="AC92" s="11">
        <v>45688</v>
      </c>
      <c r="AD92" s="2" t="s">
        <v>12</v>
      </c>
      <c r="AE92" s="2">
        <v>32</v>
      </c>
      <c r="AF92" s="36" t="s">
        <v>624</v>
      </c>
      <c r="AG92" s="38">
        <v>39675</v>
      </c>
      <c r="AH92" s="39">
        <f t="shared" si="7"/>
        <v>0</v>
      </c>
    </row>
    <row r="93" spans="1:34" x14ac:dyDescent="0.25">
      <c r="A93" s="1" t="s">
        <v>0</v>
      </c>
      <c r="B93" s="2" t="s">
        <v>630</v>
      </c>
      <c r="C93" s="3">
        <v>45627</v>
      </c>
      <c r="D93" s="4" t="s">
        <v>2</v>
      </c>
      <c r="E93" s="2" t="s">
        <v>631</v>
      </c>
      <c r="F93" s="5">
        <v>45639</v>
      </c>
      <c r="G93" s="5">
        <v>46003</v>
      </c>
      <c r="H93" s="6" t="s">
        <v>632</v>
      </c>
      <c r="I93" s="7">
        <v>4220146184373</v>
      </c>
      <c r="J93" s="6" t="s">
        <v>633</v>
      </c>
      <c r="K93" s="2" t="s">
        <v>634</v>
      </c>
      <c r="L93" s="2">
        <v>41151</v>
      </c>
      <c r="M93" s="2" t="s">
        <v>635</v>
      </c>
      <c r="N93" s="2" t="s">
        <v>630</v>
      </c>
      <c r="O93" s="2" t="s">
        <v>19</v>
      </c>
      <c r="P93" s="2" t="s">
        <v>20</v>
      </c>
      <c r="Q93" s="2" t="s">
        <v>636</v>
      </c>
      <c r="R93" s="5">
        <v>44550</v>
      </c>
      <c r="S93" s="5">
        <v>47123</v>
      </c>
      <c r="T93" s="8">
        <v>2675000</v>
      </c>
      <c r="U93" s="2">
        <v>20</v>
      </c>
      <c r="V93" s="9">
        <f t="shared" si="4"/>
        <v>535000</v>
      </c>
      <c r="W93" s="9">
        <f t="shared" si="5"/>
        <v>2140000</v>
      </c>
      <c r="X93" s="10">
        <v>1.5</v>
      </c>
      <c r="Y93" s="9">
        <f t="shared" si="6"/>
        <v>32100</v>
      </c>
      <c r="Z93" s="2"/>
      <c r="AA93" s="2" t="s">
        <v>11</v>
      </c>
      <c r="AB93" s="2">
        <v>1141072474</v>
      </c>
      <c r="AC93" s="11">
        <v>45688</v>
      </c>
      <c r="AD93" s="2" t="s">
        <v>12</v>
      </c>
      <c r="AE93" s="2">
        <v>0</v>
      </c>
      <c r="AF93" s="36" t="s">
        <v>631</v>
      </c>
      <c r="AG93" s="38">
        <v>32100</v>
      </c>
      <c r="AH93" s="39">
        <f t="shared" si="7"/>
        <v>0</v>
      </c>
    </row>
    <row r="94" spans="1:34" x14ac:dyDescent="0.25">
      <c r="A94" s="1" t="s">
        <v>0</v>
      </c>
      <c r="B94" s="2" t="s">
        <v>637</v>
      </c>
      <c r="C94" s="3">
        <v>45627</v>
      </c>
      <c r="D94" s="4" t="s">
        <v>2</v>
      </c>
      <c r="E94" s="2" t="s">
        <v>638</v>
      </c>
      <c r="F94" s="5">
        <v>45637</v>
      </c>
      <c r="G94" s="5">
        <v>46001</v>
      </c>
      <c r="H94" s="6" t="s">
        <v>639</v>
      </c>
      <c r="I94" s="7">
        <v>3740549966571</v>
      </c>
      <c r="J94" s="6" t="s">
        <v>437</v>
      </c>
      <c r="K94" s="2" t="s">
        <v>640</v>
      </c>
      <c r="L94" s="2">
        <v>149424</v>
      </c>
      <c r="M94" s="2" t="s">
        <v>641</v>
      </c>
      <c r="N94" s="2" t="s">
        <v>637</v>
      </c>
      <c r="O94" s="2" t="s">
        <v>27</v>
      </c>
      <c r="P94" s="2" t="s">
        <v>28</v>
      </c>
      <c r="Q94" s="2" t="s">
        <v>642</v>
      </c>
      <c r="R94" s="5">
        <v>45278</v>
      </c>
      <c r="S94" s="5">
        <v>47123</v>
      </c>
      <c r="T94" s="8">
        <v>2700000</v>
      </c>
      <c r="U94" s="2">
        <v>10</v>
      </c>
      <c r="V94" s="9">
        <f t="shared" si="4"/>
        <v>270000</v>
      </c>
      <c r="W94" s="9">
        <f t="shared" si="5"/>
        <v>2430000</v>
      </c>
      <c r="X94" s="10">
        <v>2</v>
      </c>
      <c r="Y94" s="9">
        <f t="shared" si="6"/>
        <v>48600</v>
      </c>
      <c r="Z94" s="2"/>
      <c r="AA94" s="2" t="s">
        <v>11</v>
      </c>
      <c r="AB94" s="2">
        <v>1141072474</v>
      </c>
      <c r="AC94" s="11">
        <v>45688</v>
      </c>
      <c r="AD94" s="2" t="s">
        <v>12</v>
      </c>
      <c r="AE94" s="2">
        <v>0</v>
      </c>
      <c r="AF94" s="36" t="s">
        <v>638</v>
      </c>
      <c r="AG94" s="38">
        <v>48600</v>
      </c>
      <c r="AH94" s="39">
        <f t="shared" si="7"/>
        <v>0</v>
      </c>
    </row>
    <row r="95" spans="1:34" x14ac:dyDescent="0.25">
      <c r="A95" s="1" t="s">
        <v>0</v>
      </c>
      <c r="B95" s="2" t="s">
        <v>643</v>
      </c>
      <c r="C95" s="3">
        <v>45627</v>
      </c>
      <c r="D95" s="4" t="s">
        <v>2</v>
      </c>
      <c r="E95" s="2" t="s">
        <v>644</v>
      </c>
      <c r="F95" s="5">
        <v>45629</v>
      </c>
      <c r="G95" s="5">
        <v>45993</v>
      </c>
      <c r="H95" s="6" t="s">
        <v>645</v>
      </c>
      <c r="I95" s="7">
        <v>3310001648469</v>
      </c>
      <c r="J95" s="6" t="s">
        <v>646</v>
      </c>
      <c r="K95" s="2" t="s">
        <v>647</v>
      </c>
      <c r="L95" s="2" t="s">
        <v>648</v>
      </c>
      <c r="M95" s="2" t="s">
        <v>649</v>
      </c>
      <c r="N95" s="2" t="s">
        <v>643</v>
      </c>
      <c r="O95" s="2" t="s">
        <v>8</v>
      </c>
      <c r="P95" s="2" t="s">
        <v>9</v>
      </c>
      <c r="Q95" s="2" t="s">
        <v>650</v>
      </c>
      <c r="R95" s="5">
        <v>44538</v>
      </c>
      <c r="S95" s="5">
        <v>46361</v>
      </c>
      <c r="T95" s="8">
        <v>2703000</v>
      </c>
      <c r="U95" s="2">
        <v>20</v>
      </c>
      <c r="V95" s="9">
        <f t="shared" si="4"/>
        <v>540600</v>
      </c>
      <c r="W95" s="9">
        <f t="shared" si="5"/>
        <v>2162400</v>
      </c>
      <c r="X95" s="10">
        <v>2.5</v>
      </c>
      <c r="Y95" s="9">
        <f t="shared" si="6"/>
        <v>54060</v>
      </c>
      <c r="Z95" s="2"/>
      <c r="AA95" s="2" t="s">
        <v>11</v>
      </c>
      <c r="AB95" s="2">
        <v>1141072474</v>
      </c>
      <c r="AC95" s="11">
        <v>45688</v>
      </c>
      <c r="AD95" s="2" t="s">
        <v>12</v>
      </c>
      <c r="AE95" s="2">
        <v>0</v>
      </c>
      <c r="AF95" s="36" t="s">
        <v>644</v>
      </c>
      <c r="AG95" s="38">
        <v>54060</v>
      </c>
      <c r="AH95" s="39">
        <f t="shared" si="7"/>
        <v>0</v>
      </c>
    </row>
    <row r="96" spans="1:34" x14ac:dyDescent="0.25">
      <c r="A96" s="1" t="s">
        <v>0</v>
      </c>
      <c r="B96" s="2" t="s">
        <v>651</v>
      </c>
      <c r="C96" s="3">
        <v>45627</v>
      </c>
      <c r="D96" s="4" t="s">
        <v>2</v>
      </c>
      <c r="E96" s="2" t="s">
        <v>652</v>
      </c>
      <c r="F96" s="5">
        <v>45647</v>
      </c>
      <c r="G96" s="5">
        <v>46011</v>
      </c>
      <c r="H96" s="6" t="s">
        <v>653</v>
      </c>
      <c r="I96" s="7">
        <v>3310220451883</v>
      </c>
      <c r="J96" s="6" t="s">
        <v>654</v>
      </c>
      <c r="K96" s="2" t="s">
        <v>655</v>
      </c>
      <c r="L96" s="2" t="s">
        <v>656</v>
      </c>
      <c r="M96" s="2" t="s">
        <v>657</v>
      </c>
      <c r="N96" s="2" t="s">
        <v>651</v>
      </c>
      <c r="O96" s="2" t="s">
        <v>8</v>
      </c>
      <c r="P96" s="2" t="s">
        <v>74</v>
      </c>
      <c r="Q96" s="2" t="s">
        <v>658</v>
      </c>
      <c r="R96" s="5">
        <v>44558</v>
      </c>
      <c r="S96" s="5">
        <v>46392</v>
      </c>
      <c r="T96" s="8">
        <v>2703000</v>
      </c>
      <c r="U96" s="2">
        <v>20</v>
      </c>
      <c r="V96" s="9">
        <f t="shared" si="4"/>
        <v>540600</v>
      </c>
      <c r="W96" s="9">
        <f t="shared" si="5"/>
        <v>2162400</v>
      </c>
      <c r="X96" s="10">
        <v>1.75</v>
      </c>
      <c r="Y96" s="9">
        <f t="shared" si="6"/>
        <v>37842</v>
      </c>
      <c r="Z96" s="2"/>
      <c r="AA96" s="2" t="s">
        <v>11</v>
      </c>
      <c r="AB96" s="2">
        <v>1141072474</v>
      </c>
      <c r="AC96" s="11">
        <v>45688</v>
      </c>
      <c r="AD96" s="2" t="s">
        <v>12</v>
      </c>
      <c r="AE96" s="2">
        <v>0</v>
      </c>
      <c r="AF96" s="36" t="s">
        <v>652</v>
      </c>
      <c r="AG96" s="38">
        <v>37842</v>
      </c>
      <c r="AH96" s="39">
        <f t="shared" si="7"/>
        <v>0</v>
      </c>
    </row>
    <row r="97" spans="1:34" x14ac:dyDescent="0.25">
      <c r="A97" s="1" t="s">
        <v>0</v>
      </c>
      <c r="B97" s="2" t="s">
        <v>659</v>
      </c>
      <c r="C97" s="3">
        <v>45627</v>
      </c>
      <c r="D97" s="4" t="s">
        <v>2</v>
      </c>
      <c r="E97" s="2" t="s">
        <v>660</v>
      </c>
      <c r="F97" s="5">
        <v>45648</v>
      </c>
      <c r="G97" s="5">
        <v>46012</v>
      </c>
      <c r="H97" s="6" t="s">
        <v>661</v>
      </c>
      <c r="I97" s="7">
        <v>3520121044567</v>
      </c>
      <c r="J97" s="6" t="s">
        <v>646</v>
      </c>
      <c r="K97" s="2" t="s">
        <v>662</v>
      </c>
      <c r="L97" s="2" t="s">
        <v>663</v>
      </c>
      <c r="M97" s="2" t="s">
        <v>664</v>
      </c>
      <c r="N97" s="2" t="s">
        <v>659</v>
      </c>
      <c r="O97" s="2" t="s">
        <v>8</v>
      </c>
      <c r="P97" s="2" t="s">
        <v>665</v>
      </c>
      <c r="Q97" s="2" t="s">
        <v>666</v>
      </c>
      <c r="R97" s="5">
        <v>44554</v>
      </c>
      <c r="S97" s="5">
        <v>46392</v>
      </c>
      <c r="T97" s="8">
        <v>2703000</v>
      </c>
      <c r="U97" s="2">
        <v>20</v>
      </c>
      <c r="V97" s="9">
        <f t="shared" si="4"/>
        <v>540600</v>
      </c>
      <c r="W97" s="9">
        <f t="shared" si="5"/>
        <v>2162400</v>
      </c>
      <c r="X97" s="10">
        <v>2.5</v>
      </c>
      <c r="Y97" s="9">
        <f t="shared" si="6"/>
        <v>54060</v>
      </c>
      <c r="Z97" s="2"/>
      <c r="AA97" s="2" t="s">
        <v>11</v>
      </c>
      <c r="AB97" s="2">
        <v>1141072474</v>
      </c>
      <c r="AC97" s="11">
        <v>45688</v>
      </c>
      <c r="AD97" s="2" t="s">
        <v>12</v>
      </c>
      <c r="AE97" s="2">
        <v>32</v>
      </c>
      <c r="AF97" s="36" t="s">
        <v>660</v>
      </c>
      <c r="AG97" s="38">
        <v>54060</v>
      </c>
      <c r="AH97" s="39">
        <f t="shared" si="7"/>
        <v>0</v>
      </c>
    </row>
    <row r="98" spans="1:34" x14ac:dyDescent="0.25">
      <c r="A98" s="1" t="s">
        <v>0</v>
      </c>
      <c r="B98" s="2" t="s">
        <v>667</v>
      </c>
      <c r="C98" s="3">
        <v>45627</v>
      </c>
      <c r="D98" s="4" t="s">
        <v>2</v>
      </c>
      <c r="E98" s="2" t="s">
        <v>668</v>
      </c>
      <c r="F98" s="5">
        <v>45647</v>
      </c>
      <c r="G98" s="5">
        <v>46011</v>
      </c>
      <c r="H98" s="6" t="s">
        <v>669</v>
      </c>
      <c r="I98" s="7">
        <v>3630283006483</v>
      </c>
      <c r="J98" s="6" t="s">
        <v>670</v>
      </c>
      <c r="K98" s="2" t="s">
        <v>671</v>
      </c>
      <c r="L98" s="2" t="s">
        <v>672</v>
      </c>
      <c r="M98" s="2" t="s">
        <v>673</v>
      </c>
      <c r="N98" s="2" t="s">
        <v>667</v>
      </c>
      <c r="O98" s="2" t="s">
        <v>8</v>
      </c>
      <c r="P98" s="2" t="s">
        <v>391</v>
      </c>
      <c r="Q98" s="2" t="s">
        <v>674</v>
      </c>
      <c r="R98" s="5">
        <v>44203</v>
      </c>
      <c r="S98" s="5">
        <v>46757</v>
      </c>
      <c r="T98" s="8">
        <v>2758000</v>
      </c>
      <c r="U98" s="2">
        <v>25</v>
      </c>
      <c r="V98" s="9">
        <f t="shared" si="4"/>
        <v>689500</v>
      </c>
      <c r="W98" s="9">
        <f t="shared" si="5"/>
        <v>2068500</v>
      </c>
      <c r="X98" s="10">
        <v>2.5</v>
      </c>
      <c r="Y98" s="9">
        <f t="shared" si="6"/>
        <v>51712.5</v>
      </c>
      <c r="Z98" s="2"/>
      <c r="AA98" s="2" t="s">
        <v>11</v>
      </c>
      <c r="AB98" s="2">
        <v>1141072474</v>
      </c>
      <c r="AC98" s="11">
        <v>45688</v>
      </c>
      <c r="AD98" s="2" t="s">
        <v>12</v>
      </c>
      <c r="AE98" s="2">
        <v>0</v>
      </c>
      <c r="AF98" s="36" t="s">
        <v>668</v>
      </c>
      <c r="AG98" s="38">
        <v>51713</v>
      </c>
      <c r="AH98" s="39">
        <f t="shared" si="7"/>
        <v>-0.5</v>
      </c>
    </row>
    <row r="99" spans="1:34" x14ac:dyDescent="0.25">
      <c r="A99" s="1" t="s">
        <v>0</v>
      </c>
      <c r="B99" s="2" t="s">
        <v>675</v>
      </c>
      <c r="C99" s="3">
        <v>45627</v>
      </c>
      <c r="D99" s="4" t="s">
        <v>2</v>
      </c>
      <c r="E99" s="2" t="s">
        <v>676</v>
      </c>
      <c r="F99" s="5">
        <v>45631</v>
      </c>
      <c r="G99" s="5">
        <v>45995</v>
      </c>
      <c r="H99" s="6" t="s">
        <v>677</v>
      </c>
      <c r="I99" s="7">
        <v>3230468458261</v>
      </c>
      <c r="J99" s="6" t="s">
        <v>678</v>
      </c>
      <c r="K99" s="2" t="s">
        <v>679</v>
      </c>
      <c r="L99" s="2">
        <v>203495</v>
      </c>
      <c r="M99" s="2" t="s">
        <v>680</v>
      </c>
      <c r="N99" s="2" t="s">
        <v>675</v>
      </c>
      <c r="O99" s="2" t="s">
        <v>8</v>
      </c>
      <c r="P99" s="2" t="s">
        <v>391</v>
      </c>
      <c r="Q99" s="2" t="s">
        <v>681</v>
      </c>
      <c r="R99" s="5">
        <v>44902</v>
      </c>
      <c r="S99" s="5">
        <v>45996</v>
      </c>
      <c r="T99" s="8">
        <v>2762000</v>
      </c>
      <c r="U99" s="2">
        <v>15</v>
      </c>
      <c r="V99" s="9">
        <f t="shared" si="4"/>
        <v>414300</v>
      </c>
      <c r="W99" s="9">
        <f t="shared" si="5"/>
        <v>2347700</v>
      </c>
      <c r="X99" s="10">
        <v>2.5</v>
      </c>
      <c r="Y99" s="9">
        <f t="shared" si="6"/>
        <v>58692.5</v>
      </c>
      <c r="Z99" s="2"/>
      <c r="AA99" s="2" t="s">
        <v>11</v>
      </c>
      <c r="AB99" s="2">
        <v>1141072474</v>
      </c>
      <c r="AC99" s="11">
        <v>45688</v>
      </c>
      <c r="AD99" s="2" t="s">
        <v>12</v>
      </c>
      <c r="AE99" s="2">
        <v>0</v>
      </c>
      <c r="AF99" s="36" t="s">
        <v>676</v>
      </c>
      <c r="AG99" s="38">
        <v>58693</v>
      </c>
      <c r="AH99" s="39">
        <f t="shared" si="7"/>
        <v>-0.5</v>
      </c>
    </row>
    <row r="100" spans="1:34" x14ac:dyDescent="0.25">
      <c r="A100" s="1" t="s">
        <v>0</v>
      </c>
      <c r="B100" s="2" t="s">
        <v>682</v>
      </c>
      <c r="C100" s="3">
        <v>45627</v>
      </c>
      <c r="D100" s="4" t="s">
        <v>2</v>
      </c>
      <c r="E100" s="2" t="s">
        <v>683</v>
      </c>
      <c r="F100" s="5">
        <v>45641</v>
      </c>
      <c r="G100" s="5">
        <v>46005</v>
      </c>
      <c r="H100" s="6" t="s">
        <v>684</v>
      </c>
      <c r="I100" s="7">
        <v>3510278841330</v>
      </c>
      <c r="J100" s="6" t="s">
        <v>685</v>
      </c>
      <c r="K100" s="2" t="s">
        <v>686</v>
      </c>
      <c r="L100" s="2">
        <v>13047397</v>
      </c>
      <c r="M100" s="2" t="s">
        <v>687</v>
      </c>
      <c r="N100" s="2" t="s">
        <v>682</v>
      </c>
      <c r="O100" s="2" t="s">
        <v>8</v>
      </c>
      <c r="P100" s="2" t="s">
        <v>9</v>
      </c>
      <c r="Q100" s="2" t="s">
        <v>688</v>
      </c>
      <c r="R100" s="5">
        <v>45278</v>
      </c>
      <c r="S100" s="5">
        <v>46757</v>
      </c>
      <c r="T100" s="8">
        <v>2800000</v>
      </c>
      <c r="U100" s="2">
        <v>10</v>
      </c>
      <c r="V100" s="9">
        <f t="shared" si="4"/>
        <v>280000</v>
      </c>
      <c r="W100" s="9">
        <f t="shared" si="5"/>
        <v>2520000</v>
      </c>
      <c r="X100" s="10">
        <v>2</v>
      </c>
      <c r="Y100" s="9">
        <f t="shared" si="6"/>
        <v>50400</v>
      </c>
      <c r="Z100" s="2"/>
      <c r="AA100" s="2" t="s">
        <v>11</v>
      </c>
      <c r="AB100" s="2">
        <v>1141072474</v>
      </c>
      <c r="AC100" s="11">
        <v>45688</v>
      </c>
      <c r="AD100" s="2" t="s">
        <v>12</v>
      </c>
      <c r="AE100" s="2">
        <v>0</v>
      </c>
      <c r="AF100" s="36" t="s">
        <v>683</v>
      </c>
      <c r="AG100" s="38">
        <v>50400</v>
      </c>
      <c r="AH100" s="39">
        <f t="shared" si="7"/>
        <v>0</v>
      </c>
    </row>
    <row r="101" spans="1:34" x14ac:dyDescent="0.25">
      <c r="A101" s="1" t="s">
        <v>0</v>
      </c>
      <c r="B101" s="2" t="s">
        <v>689</v>
      </c>
      <c r="C101" s="3">
        <v>45627</v>
      </c>
      <c r="D101" s="4" t="s">
        <v>2</v>
      </c>
      <c r="E101" s="2" t="s">
        <v>690</v>
      </c>
      <c r="F101" s="5">
        <v>45640</v>
      </c>
      <c r="G101" s="5">
        <v>46004</v>
      </c>
      <c r="H101" s="6" t="s">
        <v>691</v>
      </c>
      <c r="I101" s="7">
        <v>3520298912215</v>
      </c>
      <c r="J101" s="6" t="s">
        <v>592</v>
      </c>
      <c r="K101" s="2" t="s">
        <v>692</v>
      </c>
      <c r="L101" s="2">
        <v>522225</v>
      </c>
      <c r="M101" s="2" t="s">
        <v>693</v>
      </c>
      <c r="N101" s="2" t="s">
        <v>689</v>
      </c>
      <c r="O101" s="2" t="s">
        <v>8</v>
      </c>
      <c r="P101" s="2" t="s">
        <v>9</v>
      </c>
      <c r="Q101" s="2" t="s">
        <v>694</v>
      </c>
      <c r="R101" s="5">
        <v>44550</v>
      </c>
      <c r="S101" s="5">
        <v>46392</v>
      </c>
      <c r="T101" s="8">
        <v>2864000</v>
      </c>
      <c r="U101" s="2">
        <v>20</v>
      </c>
      <c r="V101" s="9">
        <f t="shared" si="4"/>
        <v>572800</v>
      </c>
      <c r="W101" s="9">
        <f t="shared" si="5"/>
        <v>2291200</v>
      </c>
      <c r="X101" s="10">
        <v>1.75</v>
      </c>
      <c r="Y101" s="9">
        <f t="shared" si="6"/>
        <v>40096.000000000007</v>
      </c>
      <c r="Z101" s="2"/>
      <c r="AA101" s="2" t="s">
        <v>11</v>
      </c>
      <c r="AB101" s="2">
        <v>1141072474</v>
      </c>
      <c r="AC101" s="11">
        <v>45688</v>
      </c>
      <c r="AD101" s="2" t="s">
        <v>12</v>
      </c>
      <c r="AE101" s="2">
        <v>0</v>
      </c>
      <c r="AF101" s="36" t="s">
        <v>690</v>
      </c>
      <c r="AG101" s="38">
        <v>40096</v>
      </c>
      <c r="AH101" s="39">
        <f t="shared" si="7"/>
        <v>0</v>
      </c>
    </row>
    <row r="102" spans="1:34" x14ac:dyDescent="0.25">
      <c r="A102" s="1" t="s">
        <v>0</v>
      </c>
      <c r="B102" s="2" t="s">
        <v>695</v>
      </c>
      <c r="C102" s="3">
        <v>45627</v>
      </c>
      <c r="D102" s="4" t="s">
        <v>2</v>
      </c>
      <c r="E102" s="2" t="s">
        <v>696</v>
      </c>
      <c r="F102" s="5">
        <v>45644</v>
      </c>
      <c r="G102" s="5">
        <v>46008</v>
      </c>
      <c r="H102" s="6" t="s">
        <v>697</v>
      </c>
      <c r="I102" s="7">
        <v>3520134709769</v>
      </c>
      <c r="J102" s="6" t="s">
        <v>698</v>
      </c>
      <c r="K102" s="2" t="s">
        <v>699</v>
      </c>
      <c r="L102" s="2" t="s">
        <v>700</v>
      </c>
      <c r="M102" s="2" t="s">
        <v>701</v>
      </c>
      <c r="N102" s="2" t="s">
        <v>695</v>
      </c>
      <c r="O102" s="2" t="s">
        <v>8</v>
      </c>
      <c r="P102" s="2" t="s">
        <v>702</v>
      </c>
      <c r="Q102" s="2" t="s">
        <v>703</v>
      </c>
      <c r="R102" s="5">
        <v>43832</v>
      </c>
      <c r="S102" s="5">
        <v>46392</v>
      </c>
      <c r="T102" s="8">
        <v>2883000</v>
      </c>
      <c r="U102" s="2">
        <v>30</v>
      </c>
      <c r="V102" s="9">
        <f t="shared" si="4"/>
        <v>864900</v>
      </c>
      <c r="W102" s="9">
        <f t="shared" si="5"/>
        <v>2018100</v>
      </c>
      <c r="X102" s="10">
        <v>3</v>
      </c>
      <c r="Y102" s="9">
        <f t="shared" si="6"/>
        <v>60543</v>
      </c>
      <c r="Z102" s="2"/>
      <c r="AA102" s="2" t="s">
        <v>11</v>
      </c>
      <c r="AB102" s="2">
        <v>1141072474</v>
      </c>
      <c r="AC102" s="11">
        <v>45688</v>
      </c>
      <c r="AD102" s="2" t="s">
        <v>12</v>
      </c>
      <c r="AE102" s="2">
        <v>0</v>
      </c>
      <c r="AF102" s="36" t="s">
        <v>696</v>
      </c>
      <c r="AG102" s="38">
        <v>60543</v>
      </c>
      <c r="AH102" s="39">
        <f t="shared" si="7"/>
        <v>0</v>
      </c>
    </row>
    <row r="103" spans="1:34" x14ac:dyDescent="0.25">
      <c r="A103" s="1" t="s">
        <v>0</v>
      </c>
      <c r="B103" s="2" t="s">
        <v>704</v>
      </c>
      <c r="C103" s="3">
        <v>45627</v>
      </c>
      <c r="D103" s="4" t="s">
        <v>2</v>
      </c>
      <c r="E103" s="2" t="s">
        <v>705</v>
      </c>
      <c r="F103" s="5">
        <v>45632</v>
      </c>
      <c r="G103" s="5">
        <v>45996</v>
      </c>
      <c r="H103" s="6" t="s">
        <v>706</v>
      </c>
      <c r="I103" s="7">
        <v>3520229523031</v>
      </c>
      <c r="J103" s="6" t="s">
        <v>430</v>
      </c>
      <c r="K103" s="2" t="s">
        <v>707</v>
      </c>
      <c r="L103" s="2">
        <v>288371</v>
      </c>
      <c r="M103" s="2" t="s">
        <v>708</v>
      </c>
      <c r="N103" s="2" t="s">
        <v>704</v>
      </c>
      <c r="O103" s="2" t="s">
        <v>8</v>
      </c>
      <c r="P103" s="2" t="s">
        <v>9</v>
      </c>
      <c r="Q103" s="2" t="s">
        <v>709</v>
      </c>
      <c r="R103" s="5">
        <v>45267</v>
      </c>
      <c r="S103" s="5">
        <v>47092</v>
      </c>
      <c r="T103" s="8">
        <v>2935000</v>
      </c>
      <c r="U103" s="2">
        <v>10</v>
      </c>
      <c r="V103" s="9">
        <f t="shared" si="4"/>
        <v>293500</v>
      </c>
      <c r="W103" s="9">
        <f t="shared" si="5"/>
        <v>2641500</v>
      </c>
      <c r="X103" s="10">
        <v>2</v>
      </c>
      <c r="Y103" s="9">
        <f t="shared" si="6"/>
        <v>52830</v>
      </c>
      <c r="Z103" s="2"/>
      <c r="AA103" s="2" t="s">
        <v>11</v>
      </c>
      <c r="AB103" s="2">
        <v>1141072474</v>
      </c>
      <c r="AC103" s="11">
        <v>45688</v>
      </c>
      <c r="AD103" s="2" t="s">
        <v>12</v>
      </c>
      <c r="AE103" s="2">
        <v>0</v>
      </c>
      <c r="AF103" s="36" t="s">
        <v>705</v>
      </c>
      <c r="AG103" s="38">
        <v>52830</v>
      </c>
      <c r="AH103" s="39">
        <f t="shared" si="7"/>
        <v>0</v>
      </c>
    </row>
    <row r="104" spans="1:34" x14ac:dyDescent="0.25">
      <c r="A104" s="1" t="s">
        <v>0</v>
      </c>
      <c r="B104" s="2" t="s">
        <v>710</v>
      </c>
      <c r="C104" s="3">
        <v>45627</v>
      </c>
      <c r="D104" s="4" t="s">
        <v>2</v>
      </c>
      <c r="E104" s="2" t="s">
        <v>711</v>
      </c>
      <c r="F104" s="5">
        <v>45646</v>
      </c>
      <c r="G104" s="5">
        <v>46010</v>
      </c>
      <c r="H104" s="6" t="s">
        <v>712</v>
      </c>
      <c r="I104" s="7">
        <v>3130473665161</v>
      </c>
      <c r="J104" s="6" t="s">
        <v>342</v>
      </c>
      <c r="K104" s="2" t="s">
        <v>713</v>
      </c>
      <c r="L104" s="2">
        <v>203879</v>
      </c>
      <c r="M104" s="2" t="s">
        <v>714</v>
      </c>
      <c r="N104" s="2" t="s">
        <v>710</v>
      </c>
      <c r="O104" s="2" t="s">
        <v>8</v>
      </c>
      <c r="P104" s="2" t="s">
        <v>715</v>
      </c>
      <c r="Q104" s="2" t="s">
        <v>716</v>
      </c>
      <c r="R104" s="5">
        <v>44917</v>
      </c>
      <c r="S104" s="5">
        <v>46757</v>
      </c>
      <c r="T104" s="8">
        <v>3024000</v>
      </c>
      <c r="U104" s="2">
        <v>15</v>
      </c>
      <c r="V104" s="9">
        <f t="shared" si="4"/>
        <v>453600</v>
      </c>
      <c r="W104" s="9">
        <f t="shared" si="5"/>
        <v>2570400</v>
      </c>
      <c r="X104" s="10">
        <v>2</v>
      </c>
      <c r="Y104" s="9">
        <f t="shared" si="6"/>
        <v>51408</v>
      </c>
      <c r="Z104" s="2"/>
      <c r="AA104" s="2" t="s">
        <v>11</v>
      </c>
      <c r="AB104" s="2">
        <v>1141072474</v>
      </c>
      <c r="AC104" s="11">
        <v>45688</v>
      </c>
      <c r="AD104" s="2" t="s">
        <v>12</v>
      </c>
      <c r="AE104" s="2">
        <v>0</v>
      </c>
      <c r="AF104" s="36" t="s">
        <v>711</v>
      </c>
      <c r="AG104" s="38">
        <v>51408</v>
      </c>
      <c r="AH104" s="39">
        <f t="shared" si="7"/>
        <v>0</v>
      </c>
    </row>
    <row r="105" spans="1:34" x14ac:dyDescent="0.25">
      <c r="A105" s="1" t="s">
        <v>0</v>
      </c>
      <c r="B105" s="2" t="s">
        <v>717</v>
      </c>
      <c r="C105" s="3">
        <v>45627</v>
      </c>
      <c r="D105" s="4" t="s">
        <v>2</v>
      </c>
      <c r="E105" s="2" t="s">
        <v>718</v>
      </c>
      <c r="F105" s="5">
        <v>45638</v>
      </c>
      <c r="G105" s="5">
        <v>46002</v>
      </c>
      <c r="H105" s="6" t="s">
        <v>719</v>
      </c>
      <c r="I105" s="7">
        <v>3520182571881</v>
      </c>
      <c r="J105" s="6" t="s">
        <v>720</v>
      </c>
      <c r="K105" s="2" t="s">
        <v>721</v>
      </c>
      <c r="L105" s="2">
        <v>79756765</v>
      </c>
      <c r="M105" s="2" t="s">
        <v>722</v>
      </c>
      <c r="N105" s="2" t="s">
        <v>717</v>
      </c>
      <c r="O105" s="2" t="s">
        <v>8</v>
      </c>
      <c r="P105" s="2" t="s">
        <v>9</v>
      </c>
      <c r="Q105" s="2" t="s">
        <v>723</v>
      </c>
      <c r="R105" s="5">
        <v>45275</v>
      </c>
      <c r="S105" s="5">
        <v>46361</v>
      </c>
      <c r="T105" s="8">
        <v>3200000</v>
      </c>
      <c r="U105" s="2">
        <v>10</v>
      </c>
      <c r="V105" s="9">
        <f t="shared" si="4"/>
        <v>320000</v>
      </c>
      <c r="W105" s="9">
        <f t="shared" si="5"/>
        <v>2880000</v>
      </c>
      <c r="X105" s="10">
        <v>2</v>
      </c>
      <c r="Y105" s="9">
        <f t="shared" si="6"/>
        <v>57600</v>
      </c>
      <c r="Z105" s="2"/>
      <c r="AA105" s="2" t="s">
        <v>11</v>
      </c>
      <c r="AB105" s="2">
        <v>1141072474</v>
      </c>
      <c r="AC105" s="11">
        <v>45688</v>
      </c>
      <c r="AD105" s="2" t="s">
        <v>12</v>
      </c>
      <c r="AE105" s="2">
        <v>0</v>
      </c>
      <c r="AF105" s="36" t="s">
        <v>718</v>
      </c>
      <c r="AG105" s="38">
        <v>57600</v>
      </c>
      <c r="AH105" s="39">
        <f t="shared" si="7"/>
        <v>0</v>
      </c>
    </row>
    <row r="106" spans="1:34" x14ac:dyDescent="0.25">
      <c r="A106" s="1" t="s">
        <v>0</v>
      </c>
      <c r="B106" s="2" t="s">
        <v>724</v>
      </c>
      <c r="C106" s="3">
        <v>45627</v>
      </c>
      <c r="D106" s="4" t="s">
        <v>2</v>
      </c>
      <c r="E106" s="2" t="s">
        <v>725</v>
      </c>
      <c r="F106" s="5">
        <v>45656</v>
      </c>
      <c r="G106" s="5">
        <v>46020</v>
      </c>
      <c r="H106" s="6" t="s">
        <v>726</v>
      </c>
      <c r="I106" s="7">
        <v>4220177219439</v>
      </c>
      <c r="J106" s="6" t="s">
        <v>727</v>
      </c>
      <c r="K106" s="2" t="s">
        <v>728</v>
      </c>
      <c r="L106" s="2">
        <v>204751</v>
      </c>
      <c r="M106" s="2" t="s">
        <v>729</v>
      </c>
      <c r="N106" s="2" t="s">
        <v>724</v>
      </c>
      <c r="O106" s="2" t="s">
        <v>19</v>
      </c>
      <c r="P106" s="2" t="s">
        <v>20</v>
      </c>
      <c r="Q106" s="2" t="s">
        <v>730</v>
      </c>
      <c r="R106" s="5">
        <v>44929</v>
      </c>
      <c r="S106" s="5">
        <v>46757</v>
      </c>
      <c r="T106" s="8">
        <v>3234000</v>
      </c>
      <c r="U106" s="2">
        <v>15</v>
      </c>
      <c r="V106" s="9">
        <f t="shared" si="4"/>
        <v>485100</v>
      </c>
      <c r="W106" s="9">
        <f t="shared" si="5"/>
        <v>2748900</v>
      </c>
      <c r="X106" s="10">
        <v>2</v>
      </c>
      <c r="Y106" s="9">
        <f t="shared" si="6"/>
        <v>54978</v>
      </c>
      <c r="Z106" s="2"/>
      <c r="AA106" s="2" t="s">
        <v>11</v>
      </c>
      <c r="AB106" s="2">
        <v>1141072474</v>
      </c>
      <c r="AC106" s="11">
        <v>45688</v>
      </c>
      <c r="AD106" s="2" t="s">
        <v>12</v>
      </c>
      <c r="AE106" s="2">
        <v>0</v>
      </c>
      <c r="AF106" s="36" t="s">
        <v>725</v>
      </c>
      <c r="AG106" s="38">
        <v>54978</v>
      </c>
      <c r="AH106" s="39">
        <f t="shared" si="7"/>
        <v>0</v>
      </c>
    </row>
    <row r="107" spans="1:34" x14ac:dyDescent="0.25">
      <c r="A107" s="1" t="s">
        <v>0</v>
      </c>
      <c r="B107" s="2" t="s">
        <v>731</v>
      </c>
      <c r="C107" s="3">
        <v>45627</v>
      </c>
      <c r="D107" s="4" t="s">
        <v>2</v>
      </c>
      <c r="E107" s="2" t="s">
        <v>732</v>
      </c>
      <c r="F107" s="5">
        <v>45632</v>
      </c>
      <c r="G107" s="5">
        <v>45996</v>
      </c>
      <c r="H107" s="6" t="s">
        <v>733</v>
      </c>
      <c r="I107" s="7">
        <v>3540219581071</v>
      </c>
      <c r="J107" s="6" t="s">
        <v>734</v>
      </c>
      <c r="K107" s="2" t="s">
        <v>735</v>
      </c>
      <c r="L107" s="2" t="s">
        <v>736</v>
      </c>
      <c r="M107" s="2" t="s">
        <v>737</v>
      </c>
      <c r="N107" s="2" t="s">
        <v>731</v>
      </c>
      <c r="O107" s="2" t="s">
        <v>8</v>
      </c>
      <c r="P107" s="2" t="s">
        <v>74</v>
      </c>
      <c r="Q107" s="2" t="s">
        <v>738</v>
      </c>
      <c r="R107" s="5">
        <v>44916</v>
      </c>
      <c r="S107" s="5">
        <v>46027</v>
      </c>
      <c r="T107" s="8">
        <v>3298000</v>
      </c>
      <c r="U107" s="2">
        <v>15</v>
      </c>
      <c r="V107" s="9">
        <f t="shared" si="4"/>
        <v>494700</v>
      </c>
      <c r="W107" s="9">
        <f t="shared" si="5"/>
        <v>2803300</v>
      </c>
      <c r="X107" s="10">
        <v>2</v>
      </c>
      <c r="Y107" s="9">
        <f t="shared" si="6"/>
        <v>56066</v>
      </c>
      <c r="Z107" s="2"/>
      <c r="AA107" s="2" t="s">
        <v>11</v>
      </c>
      <c r="AB107" s="2">
        <v>1141072474</v>
      </c>
      <c r="AC107" s="11">
        <v>45688</v>
      </c>
      <c r="AD107" s="2" t="s">
        <v>12</v>
      </c>
      <c r="AE107" s="2">
        <v>0</v>
      </c>
      <c r="AF107" s="36" t="s">
        <v>732</v>
      </c>
      <c r="AG107" s="38">
        <v>56066</v>
      </c>
      <c r="AH107" s="39">
        <f t="shared" si="7"/>
        <v>0</v>
      </c>
    </row>
    <row r="108" spans="1:34" x14ac:dyDescent="0.25">
      <c r="A108" s="1" t="s">
        <v>0</v>
      </c>
      <c r="B108" s="2" t="s">
        <v>739</v>
      </c>
      <c r="C108" s="3">
        <v>45627</v>
      </c>
      <c r="D108" s="4" t="s">
        <v>2</v>
      </c>
      <c r="E108" s="2" t="s">
        <v>740</v>
      </c>
      <c r="F108" s="5">
        <v>45648</v>
      </c>
      <c r="G108" s="5">
        <v>46012</v>
      </c>
      <c r="H108" s="6" t="s">
        <v>741</v>
      </c>
      <c r="I108" s="7">
        <v>3520291986941</v>
      </c>
      <c r="J108" s="6" t="s">
        <v>742</v>
      </c>
      <c r="K108" s="2" t="s">
        <v>743</v>
      </c>
      <c r="L108" s="2" t="s">
        <v>744</v>
      </c>
      <c r="M108" s="2" t="s">
        <v>745</v>
      </c>
      <c r="N108" s="2" t="s">
        <v>739</v>
      </c>
      <c r="O108" s="2" t="s">
        <v>8</v>
      </c>
      <c r="P108" s="2" t="s">
        <v>9</v>
      </c>
      <c r="Q108" s="2" t="s">
        <v>746</v>
      </c>
      <c r="R108" s="5">
        <v>44922</v>
      </c>
      <c r="S108" s="5">
        <v>46392</v>
      </c>
      <c r="T108" s="8">
        <v>3400000</v>
      </c>
      <c r="U108" s="2">
        <v>15</v>
      </c>
      <c r="V108" s="9">
        <f t="shared" si="4"/>
        <v>510000</v>
      </c>
      <c r="W108" s="9">
        <f t="shared" si="5"/>
        <v>2890000</v>
      </c>
      <c r="X108" s="10">
        <v>2</v>
      </c>
      <c r="Y108" s="9">
        <f t="shared" si="6"/>
        <v>57800</v>
      </c>
      <c r="Z108" s="2"/>
      <c r="AA108" s="2" t="s">
        <v>11</v>
      </c>
      <c r="AB108" s="2">
        <v>1141072474</v>
      </c>
      <c r="AC108" s="11">
        <v>45688</v>
      </c>
      <c r="AD108" s="2" t="s">
        <v>12</v>
      </c>
      <c r="AE108" s="2">
        <v>32</v>
      </c>
      <c r="AF108" s="36" t="s">
        <v>740</v>
      </c>
      <c r="AG108" s="38">
        <v>57800</v>
      </c>
      <c r="AH108" s="39">
        <f t="shared" si="7"/>
        <v>0</v>
      </c>
    </row>
    <row r="109" spans="1:34" x14ac:dyDescent="0.25">
      <c r="A109" s="1" t="s">
        <v>0</v>
      </c>
      <c r="B109" s="2" t="s">
        <v>747</v>
      </c>
      <c r="C109" s="3">
        <v>45627</v>
      </c>
      <c r="D109" s="4" t="s">
        <v>2</v>
      </c>
      <c r="E109" s="2" t="s">
        <v>748</v>
      </c>
      <c r="F109" s="5">
        <v>45639</v>
      </c>
      <c r="G109" s="5">
        <v>46003</v>
      </c>
      <c r="H109" s="6" t="s">
        <v>749</v>
      </c>
      <c r="I109" s="7">
        <v>3520115994091</v>
      </c>
      <c r="J109" s="6" t="s">
        <v>573</v>
      </c>
      <c r="K109" s="2" t="s">
        <v>750</v>
      </c>
      <c r="L109" s="2">
        <v>12921806</v>
      </c>
      <c r="M109" s="2" t="s">
        <v>751</v>
      </c>
      <c r="N109" s="2" t="s">
        <v>747</v>
      </c>
      <c r="O109" s="2" t="s">
        <v>8</v>
      </c>
      <c r="P109" s="2" t="s">
        <v>9</v>
      </c>
      <c r="Q109" s="2" t="s">
        <v>752</v>
      </c>
      <c r="R109" s="5">
        <v>44544</v>
      </c>
      <c r="S109" s="5">
        <v>46361</v>
      </c>
      <c r="T109" s="8">
        <v>3500000</v>
      </c>
      <c r="U109" s="2">
        <v>20</v>
      </c>
      <c r="V109" s="9">
        <f t="shared" si="4"/>
        <v>700000</v>
      </c>
      <c r="W109" s="9">
        <f t="shared" si="5"/>
        <v>2800000</v>
      </c>
      <c r="X109" s="10">
        <v>1.5</v>
      </c>
      <c r="Y109" s="9">
        <f t="shared" si="6"/>
        <v>42000</v>
      </c>
      <c r="Z109" s="2"/>
      <c r="AA109" s="2" t="s">
        <v>11</v>
      </c>
      <c r="AB109" s="2">
        <v>1141072474</v>
      </c>
      <c r="AC109" s="11">
        <v>45688</v>
      </c>
      <c r="AD109" s="2" t="s">
        <v>12</v>
      </c>
      <c r="AE109" s="2">
        <v>0</v>
      </c>
      <c r="AF109" s="36" t="s">
        <v>748</v>
      </c>
      <c r="AG109" s="38">
        <v>42000</v>
      </c>
      <c r="AH109" s="39">
        <f t="shared" si="7"/>
        <v>0</v>
      </c>
    </row>
    <row r="110" spans="1:34" x14ac:dyDescent="0.25">
      <c r="A110" s="1" t="s">
        <v>0</v>
      </c>
      <c r="B110" s="2" t="s">
        <v>753</v>
      </c>
      <c r="C110" s="3">
        <v>45627</v>
      </c>
      <c r="D110" s="4" t="s">
        <v>2</v>
      </c>
      <c r="E110" s="2" t="s">
        <v>754</v>
      </c>
      <c r="F110" s="5">
        <v>45639</v>
      </c>
      <c r="G110" s="5">
        <v>46003</v>
      </c>
      <c r="H110" s="6" t="s">
        <v>755</v>
      </c>
      <c r="I110" s="7">
        <v>3310294662259</v>
      </c>
      <c r="J110" s="6" t="s">
        <v>756</v>
      </c>
      <c r="K110" s="2" t="s">
        <v>757</v>
      </c>
      <c r="L110" s="2" t="s">
        <v>758</v>
      </c>
      <c r="M110" s="2" t="s">
        <v>759</v>
      </c>
      <c r="N110" s="2" t="s">
        <v>753</v>
      </c>
      <c r="O110" s="2" t="s">
        <v>8</v>
      </c>
      <c r="P110" s="2" t="s">
        <v>74</v>
      </c>
      <c r="Q110" s="2" t="s">
        <v>760</v>
      </c>
      <c r="R110" s="5">
        <v>44550</v>
      </c>
      <c r="S110" s="5">
        <v>46392</v>
      </c>
      <c r="T110" s="8">
        <v>3500000</v>
      </c>
      <c r="U110" s="2">
        <v>20</v>
      </c>
      <c r="V110" s="9">
        <f t="shared" si="4"/>
        <v>700000</v>
      </c>
      <c r="W110" s="9">
        <f t="shared" si="5"/>
        <v>2800000</v>
      </c>
      <c r="X110" s="10">
        <v>1.5</v>
      </c>
      <c r="Y110" s="9">
        <f t="shared" si="6"/>
        <v>42000</v>
      </c>
      <c r="Z110" s="2"/>
      <c r="AA110" s="2" t="s">
        <v>11</v>
      </c>
      <c r="AB110" s="2">
        <v>1141072474</v>
      </c>
      <c r="AC110" s="11">
        <v>45688</v>
      </c>
      <c r="AD110" s="2" t="s">
        <v>12</v>
      </c>
      <c r="AE110" s="2">
        <v>32</v>
      </c>
      <c r="AF110" s="36" t="s">
        <v>754</v>
      </c>
      <c r="AG110" s="38">
        <v>42000</v>
      </c>
      <c r="AH110" s="39">
        <f t="shared" si="7"/>
        <v>0</v>
      </c>
    </row>
    <row r="111" spans="1:34" x14ac:dyDescent="0.25">
      <c r="A111" s="1" t="s">
        <v>0</v>
      </c>
      <c r="B111" s="2" t="s">
        <v>761</v>
      </c>
      <c r="C111" s="3">
        <v>45627</v>
      </c>
      <c r="D111" s="4" t="s">
        <v>2</v>
      </c>
      <c r="E111" s="2" t="s">
        <v>762</v>
      </c>
      <c r="F111" s="5">
        <v>45640</v>
      </c>
      <c r="G111" s="5">
        <v>46004</v>
      </c>
      <c r="H111" s="6" t="s">
        <v>763</v>
      </c>
      <c r="I111" s="7">
        <v>3630204776721</v>
      </c>
      <c r="J111" s="6" t="s">
        <v>573</v>
      </c>
      <c r="K111" s="2" t="s">
        <v>764</v>
      </c>
      <c r="L111" s="2">
        <v>2943953</v>
      </c>
      <c r="M111" s="2" t="s">
        <v>765</v>
      </c>
      <c r="N111" s="2" t="s">
        <v>761</v>
      </c>
      <c r="O111" s="2" t="s">
        <v>8</v>
      </c>
      <c r="P111" s="2" t="s">
        <v>391</v>
      </c>
      <c r="Q111" s="2" t="s">
        <v>766</v>
      </c>
      <c r="R111" s="5">
        <v>44547</v>
      </c>
      <c r="S111" s="5">
        <v>46027</v>
      </c>
      <c r="T111" s="8">
        <v>3700000</v>
      </c>
      <c r="U111" s="2">
        <v>20</v>
      </c>
      <c r="V111" s="9">
        <f t="shared" si="4"/>
        <v>740000</v>
      </c>
      <c r="W111" s="9">
        <f t="shared" si="5"/>
        <v>2960000</v>
      </c>
      <c r="X111" s="10">
        <v>1.5</v>
      </c>
      <c r="Y111" s="9">
        <f t="shared" si="6"/>
        <v>44400</v>
      </c>
      <c r="Z111" s="2"/>
      <c r="AA111" s="2" t="s">
        <v>11</v>
      </c>
      <c r="AB111" s="2">
        <v>1141072474</v>
      </c>
      <c r="AC111" s="11">
        <v>45688</v>
      </c>
      <c r="AD111" s="2" t="s">
        <v>12</v>
      </c>
      <c r="AE111" s="2">
        <v>0</v>
      </c>
      <c r="AF111" s="36" t="s">
        <v>762</v>
      </c>
      <c r="AG111" s="38">
        <v>44400</v>
      </c>
      <c r="AH111" s="39">
        <f t="shared" si="7"/>
        <v>0</v>
      </c>
    </row>
    <row r="112" spans="1:34" x14ac:dyDescent="0.25">
      <c r="A112" s="1" t="s">
        <v>0</v>
      </c>
      <c r="B112" s="2" t="s">
        <v>767</v>
      </c>
      <c r="C112" s="3">
        <v>45627</v>
      </c>
      <c r="D112" s="4" t="s">
        <v>2</v>
      </c>
      <c r="E112" s="2" t="s">
        <v>768</v>
      </c>
      <c r="F112" s="5">
        <v>45654</v>
      </c>
      <c r="G112" s="5">
        <v>46018</v>
      </c>
      <c r="H112" s="6" t="s">
        <v>769</v>
      </c>
      <c r="I112" s="7">
        <v>3520133848499</v>
      </c>
      <c r="J112" s="6" t="s">
        <v>770</v>
      </c>
      <c r="K112" s="2" t="s">
        <v>771</v>
      </c>
      <c r="L112" s="2" t="s">
        <v>772</v>
      </c>
      <c r="M112" s="2" t="s">
        <v>773</v>
      </c>
      <c r="N112" s="2" t="s">
        <v>767</v>
      </c>
      <c r="O112" s="2" t="s">
        <v>8</v>
      </c>
      <c r="P112" s="2" t="s">
        <v>9</v>
      </c>
      <c r="Q112" s="2" t="s">
        <v>774</v>
      </c>
      <c r="R112" s="5">
        <v>45289</v>
      </c>
      <c r="S112" s="5">
        <v>46392</v>
      </c>
      <c r="T112" s="8">
        <v>3700000</v>
      </c>
      <c r="U112" s="2">
        <v>10</v>
      </c>
      <c r="V112" s="9">
        <f t="shared" si="4"/>
        <v>370000</v>
      </c>
      <c r="W112" s="9">
        <f t="shared" si="5"/>
        <v>3330000</v>
      </c>
      <c r="X112" s="10">
        <v>1.5</v>
      </c>
      <c r="Y112" s="9">
        <f t="shared" si="6"/>
        <v>49950</v>
      </c>
      <c r="Z112" s="2"/>
      <c r="AA112" s="2" t="s">
        <v>11</v>
      </c>
      <c r="AB112" s="2">
        <v>1141072474</v>
      </c>
      <c r="AC112" s="11">
        <v>45688</v>
      </c>
      <c r="AD112" s="2" t="s">
        <v>12</v>
      </c>
      <c r="AE112" s="2">
        <v>0</v>
      </c>
      <c r="AF112" s="36" t="s">
        <v>768</v>
      </c>
      <c r="AG112" s="38">
        <v>49950</v>
      </c>
      <c r="AH112" s="39">
        <f t="shared" si="7"/>
        <v>0</v>
      </c>
    </row>
    <row r="113" spans="1:34" x14ac:dyDescent="0.25">
      <c r="A113" s="1" t="s">
        <v>0</v>
      </c>
      <c r="B113" s="2" t="s">
        <v>775</v>
      </c>
      <c r="C113" s="3">
        <v>45627</v>
      </c>
      <c r="D113" s="4" t="s">
        <v>2</v>
      </c>
      <c r="E113" s="2" t="s">
        <v>776</v>
      </c>
      <c r="F113" s="5">
        <v>45656</v>
      </c>
      <c r="G113" s="5">
        <v>46020</v>
      </c>
      <c r="H113" s="6" t="s">
        <v>777</v>
      </c>
      <c r="I113" s="7">
        <v>3540113142829</v>
      </c>
      <c r="J113" s="6" t="s">
        <v>778</v>
      </c>
      <c r="K113" s="2" t="s">
        <v>779</v>
      </c>
      <c r="L113" s="2" t="s">
        <v>780</v>
      </c>
      <c r="M113" s="2" t="s">
        <v>781</v>
      </c>
      <c r="N113" s="2" t="s">
        <v>775</v>
      </c>
      <c r="O113" s="2" t="s">
        <v>8</v>
      </c>
      <c r="P113" s="2" t="s">
        <v>9</v>
      </c>
      <c r="Q113" s="2" t="s">
        <v>782</v>
      </c>
      <c r="R113" s="5">
        <v>44925</v>
      </c>
      <c r="S113" s="5">
        <v>46392</v>
      </c>
      <c r="T113" s="8">
        <v>3700000</v>
      </c>
      <c r="U113" s="2">
        <v>15</v>
      </c>
      <c r="V113" s="9">
        <f t="shared" si="4"/>
        <v>555000</v>
      </c>
      <c r="W113" s="9">
        <f t="shared" si="5"/>
        <v>3145000</v>
      </c>
      <c r="X113" s="10">
        <v>1.5</v>
      </c>
      <c r="Y113" s="9">
        <f t="shared" si="6"/>
        <v>47175</v>
      </c>
      <c r="Z113" s="2"/>
      <c r="AA113" s="2" t="s">
        <v>11</v>
      </c>
      <c r="AB113" s="2">
        <v>1141072474</v>
      </c>
      <c r="AC113" s="11">
        <v>45688</v>
      </c>
      <c r="AD113" s="2" t="s">
        <v>12</v>
      </c>
      <c r="AE113" s="2">
        <v>0</v>
      </c>
      <c r="AF113" s="36" t="s">
        <v>776</v>
      </c>
      <c r="AG113" s="38">
        <v>47175</v>
      </c>
      <c r="AH113" s="39">
        <f t="shared" si="7"/>
        <v>0</v>
      </c>
    </row>
    <row r="114" spans="1:34" x14ac:dyDescent="0.25">
      <c r="A114" s="1" t="s">
        <v>0</v>
      </c>
      <c r="B114" s="2" t="s">
        <v>783</v>
      </c>
      <c r="C114" s="3">
        <v>45627</v>
      </c>
      <c r="D114" s="4" t="s">
        <v>2</v>
      </c>
      <c r="E114" s="2" t="s">
        <v>784</v>
      </c>
      <c r="F114" s="5">
        <v>45652</v>
      </c>
      <c r="G114" s="5">
        <v>46016</v>
      </c>
      <c r="H114" s="6" t="s">
        <v>785</v>
      </c>
      <c r="I114" s="7">
        <v>4220166679891</v>
      </c>
      <c r="J114" s="6" t="s">
        <v>734</v>
      </c>
      <c r="K114" s="2" t="s">
        <v>786</v>
      </c>
      <c r="L114" s="2">
        <v>1012898</v>
      </c>
      <c r="M114" s="2" t="s">
        <v>787</v>
      </c>
      <c r="N114" s="2" t="s">
        <v>783</v>
      </c>
      <c r="O114" s="2" t="s">
        <v>19</v>
      </c>
      <c r="P114" s="2" t="s">
        <v>20</v>
      </c>
      <c r="Q114" s="2" t="s">
        <v>788</v>
      </c>
      <c r="R114" s="5">
        <v>44923</v>
      </c>
      <c r="S114" s="5">
        <v>46027</v>
      </c>
      <c r="T114" s="8">
        <v>3760000</v>
      </c>
      <c r="U114" s="2">
        <v>15</v>
      </c>
      <c r="V114" s="9">
        <f t="shared" si="4"/>
        <v>564000</v>
      </c>
      <c r="W114" s="9">
        <f t="shared" si="5"/>
        <v>3196000</v>
      </c>
      <c r="X114" s="10">
        <v>1.5</v>
      </c>
      <c r="Y114" s="9">
        <f t="shared" si="6"/>
        <v>47940</v>
      </c>
      <c r="Z114" s="2"/>
      <c r="AA114" s="2" t="s">
        <v>11</v>
      </c>
      <c r="AB114" s="2">
        <v>1141072474</v>
      </c>
      <c r="AC114" s="11">
        <v>45688</v>
      </c>
      <c r="AD114" s="2" t="s">
        <v>12</v>
      </c>
      <c r="AE114" s="2">
        <v>0</v>
      </c>
      <c r="AF114" s="36" t="s">
        <v>784</v>
      </c>
      <c r="AG114" s="38">
        <v>47940</v>
      </c>
      <c r="AH114" s="39">
        <f t="shared" si="7"/>
        <v>0</v>
      </c>
    </row>
    <row r="115" spans="1:34" x14ac:dyDescent="0.25">
      <c r="A115" s="1" t="s">
        <v>0</v>
      </c>
      <c r="B115" s="2" t="s">
        <v>789</v>
      </c>
      <c r="C115" s="3">
        <v>45627</v>
      </c>
      <c r="D115" s="4" t="s">
        <v>2</v>
      </c>
      <c r="E115" s="2" t="s">
        <v>790</v>
      </c>
      <c r="F115" s="5">
        <v>45655</v>
      </c>
      <c r="G115" s="5">
        <v>46019</v>
      </c>
      <c r="H115" s="6" t="s">
        <v>791</v>
      </c>
      <c r="I115" s="7">
        <v>3520109247767</v>
      </c>
      <c r="J115" s="6" t="s">
        <v>792</v>
      </c>
      <c r="K115" s="2" t="s">
        <v>793</v>
      </c>
      <c r="L115" s="2">
        <v>5074503</v>
      </c>
      <c r="M115" s="2" t="s">
        <v>794</v>
      </c>
      <c r="N115" s="2" t="s">
        <v>789</v>
      </c>
      <c r="O115" s="2" t="s">
        <v>8</v>
      </c>
      <c r="P115" s="2" t="s">
        <v>9</v>
      </c>
      <c r="Q115" s="2" t="s">
        <v>795</v>
      </c>
      <c r="R115" s="5">
        <v>44201</v>
      </c>
      <c r="S115" s="5">
        <v>46027</v>
      </c>
      <c r="T115" s="8">
        <v>3800000</v>
      </c>
      <c r="U115" s="2">
        <v>25</v>
      </c>
      <c r="V115" s="9">
        <f t="shared" si="4"/>
        <v>950000</v>
      </c>
      <c r="W115" s="9">
        <f t="shared" si="5"/>
        <v>2850000</v>
      </c>
      <c r="X115" s="10">
        <v>1.5</v>
      </c>
      <c r="Y115" s="9">
        <f t="shared" si="6"/>
        <v>42750</v>
      </c>
      <c r="Z115" s="2"/>
      <c r="AA115" s="2" t="s">
        <v>11</v>
      </c>
      <c r="AB115" s="2">
        <v>1141072474</v>
      </c>
      <c r="AC115" s="11">
        <v>45688</v>
      </c>
      <c r="AD115" s="2" t="s">
        <v>12</v>
      </c>
      <c r="AE115" s="2">
        <v>0</v>
      </c>
      <c r="AF115" s="36" t="s">
        <v>790</v>
      </c>
      <c r="AG115" s="38">
        <v>42750</v>
      </c>
      <c r="AH115" s="39">
        <f t="shared" si="7"/>
        <v>0</v>
      </c>
    </row>
    <row r="116" spans="1:34" x14ac:dyDescent="0.25">
      <c r="A116" s="1" t="s">
        <v>0</v>
      </c>
      <c r="B116" s="2" t="s">
        <v>796</v>
      </c>
      <c r="C116" s="3">
        <v>45627</v>
      </c>
      <c r="D116" s="4" t="s">
        <v>2</v>
      </c>
      <c r="E116" s="2" t="s">
        <v>797</v>
      </c>
      <c r="F116" s="5">
        <v>45632</v>
      </c>
      <c r="G116" s="5">
        <v>45996</v>
      </c>
      <c r="H116" s="6" t="s">
        <v>798</v>
      </c>
      <c r="I116" s="7">
        <v>3520271948883</v>
      </c>
      <c r="J116" s="6" t="s">
        <v>799</v>
      </c>
      <c r="K116" s="2" t="s">
        <v>800</v>
      </c>
      <c r="L116" s="2">
        <v>1016789</v>
      </c>
      <c r="M116" s="2" t="s">
        <v>801</v>
      </c>
      <c r="N116" s="2" t="s">
        <v>796</v>
      </c>
      <c r="O116" s="2" t="s">
        <v>8</v>
      </c>
      <c r="P116" s="2" t="s">
        <v>9</v>
      </c>
      <c r="Q116" s="2" t="s">
        <v>802</v>
      </c>
      <c r="R116" s="5">
        <v>44902</v>
      </c>
      <c r="S116" s="5">
        <v>45996</v>
      </c>
      <c r="T116" s="8">
        <v>3909000</v>
      </c>
      <c r="U116" s="2">
        <v>15</v>
      </c>
      <c r="V116" s="9">
        <f t="shared" si="4"/>
        <v>586350</v>
      </c>
      <c r="W116" s="9">
        <f t="shared" si="5"/>
        <v>3322650</v>
      </c>
      <c r="X116" s="10">
        <v>1.5</v>
      </c>
      <c r="Y116" s="9">
        <f t="shared" si="6"/>
        <v>49839.75</v>
      </c>
      <c r="Z116" s="2"/>
      <c r="AA116" s="2" t="s">
        <v>11</v>
      </c>
      <c r="AB116" s="2">
        <v>1141072474</v>
      </c>
      <c r="AC116" s="11">
        <v>45688</v>
      </c>
      <c r="AD116" s="2" t="s">
        <v>12</v>
      </c>
      <c r="AE116" s="2">
        <v>0</v>
      </c>
      <c r="AF116" s="36" t="s">
        <v>797</v>
      </c>
      <c r="AG116" s="38">
        <v>49840</v>
      </c>
      <c r="AH116" s="39">
        <f t="shared" si="7"/>
        <v>-0.25</v>
      </c>
    </row>
    <row r="117" spans="1:34" x14ac:dyDescent="0.25">
      <c r="A117" s="1" t="s">
        <v>0</v>
      </c>
      <c r="B117" s="2" t="s">
        <v>803</v>
      </c>
      <c r="C117" s="3">
        <v>45627</v>
      </c>
      <c r="D117" s="4" t="s">
        <v>2</v>
      </c>
      <c r="E117" s="2" t="s">
        <v>804</v>
      </c>
      <c r="F117" s="5">
        <v>45654</v>
      </c>
      <c r="G117" s="5">
        <v>46018</v>
      </c>
      <c r="H117" s="6" t="s">
        <v>805</v>
      </c>
      <c r="I117" s="7">
        <v>3520109249867</v>
      </c>
      <c r="J117" s="6" t="s">
        <v>806</v>
      </c>
      <c r="K117" s="2" t="s">
        <v>807</v>
      </c>
      <c r="L117" s="2" t="s">
        <v>808</v>
      </c>
      <c r="M117" s="2" t="s">
        <v>809</v>
      </c>
      <c r="N117" s="2" t="s">
        <v>803</v>
      </c>
      <c r="O117" s="2" t="s">
        <v>8</v>
      </c>
      <c r="P117" s="2" t="s">
        <v>9</v>
      </c>
      <c r="Q117" s="2" t="s">
        <v>810</v>
      </c>
      <c r="R117" s="5">
        <v>45289</v>
      </c>
      <c r="S117" s="5">
        <v>46392</v>
      </c>
      <c r="T117" s="8">
        <v>4100000</v>
      </c>
      <c r="U117" s="2">
        <v>10</v>
      </c>
      <c r="V117" s="9">
        <f t="shared" si="4"/>
        <v>410000</v>
      </c>
      <c r="W117" s="9">
        <f t="shared" si="5"/>
        <v>3690000</v>
      </c>
      <c r="X117" s="10">
        <v>1.5</v>
      </c>
      <c r="Y117" s="9">
        <f t="shared" si="6"/>
        <v>55350</v>
      </c>
      <c r="Z117" s="2"/>
      <c r="AA117" s="2" t="s">
        <v>11</v>
      </c>
      <c r="AB117" s="2">
        <v>1141072474</v>
      </c>
      <c r="AC117" s="11">
        <v>45688</v>
      </c>
      <c r="AD117" s="2" t="s">
        <v>12</v>
      </c>
      <c r="AE117" s="2">
        <v>0</v>
      </c>
      <c r="AF117" s="36" t="s">
        <v>804</v>
      </c>
      <c r="AG117" s="38">
        <v>55350</v>
      </c>
      <c r="AH117" s="39">
        <f t="shared" si="7"/>
        <v>0</v>
      </c>
    </row>
    <row r="118" spans="1:34" x14ac:dyDescent="0.25">
      <c r="A118" s="1" t="s">
        <v>0</v>
      </c>
      <c r="B118" s="2" t="s">
        <v>811</v>
      </c>
      <c r="C118" s="3">
        <v>45627</v>
      </c>
      <c r="D118" s="4" t="s">
        <v>2</v>
      </c>
      <c r="E118" s="2" t="s">
        <v>812</v>
      </c>
      <c r="F118" s="5">
        <v>45656</v>
      </c>
      <c r="G118" s="5">
        <v>46020</v>
      </c>
      <c r="H118" s="6" t="s">
        <v>813</v>
      </c>
      <c r="I118" s="7">
        <v>3310054050187</v>
      </c>
      <c r="J118" s="6" t="s">
        <v>573</v>
      </c>
      <c r="K118" s="2" t="s">
        <v>814</v>
      </c>
      <c r="L118" s="2">
        <v>6916214</v>
      </c>
      <c r="M118" s="2" t="s">
        <v>815</v>
      </c>
      <c r="N118" s="2" t="s">
        <v>811</v>
      </c>
      <c r="O118" s="2" t="s">
        <v>8</v>
      </c>
      <c r="P118" s="2" t="s">
        <v>9</v>
      </c>
      <c r="Q118" s="2" t="s">
        <v>816</v>
      </c>
      <c r="R118" s="5">
        <v>44201</v>
      </c>
      <c r="S118" s="5">
        <v>46027</v>
      </c>
      <c r="T118" s="8">
        <v>4127000</v>
      </c>
      <c r="U118" s="2">
        <v>25</v>
      </c>
      <c r="V118" s="9">
        <f t="shared" si="4"/>
        <v>1031750</v>
      </c>
      <c r="W118" s="9">
        <f t="shared" si="5"/>
        <v>3095250</v>
      </c>
      <c r="X118" s="10">
        <v>1.5</v>
      </c>
      <c r="Y118" s="9">
        <f t="shared" si="6"/>
        <v>46428.75</v>
      </c>
      <c r="Z118" s="2"/>
      <c r="AA118" s="2" t="s">
        <v>11</v>
      </c>
      <c r="AB118" s="2">
        <v>1141072474</v>
      </c>
      <c r="AC118" s="11">
        <v>45688</v>
      </c>
      <c r="AD118" s="2" t="s">
        <v>12</v>
      </c>
      <c r="AE118" s="2">
        <v>0</v>
      </c>
      <c r="AF118" s="36" t="s">
        <v>812</v>
      </c>
      <c r="AG118" s="38">
        <v>46429</v>
      </c>
      <c r="AH118" s="39">
        <f t="shared" si="7"/>
        <v>-0.25</v>
      </c>
    </row>
    <row r="119" spans="1:34" x14ac:dyDescent="0.25">
      <c r="A119" s="1" t="s">
        <v>0</v>
      </c>
      <c r="B119" s="2" t="s">
        <v>817</v>
      </c>
      <c r="C119" s="3">
        <v>45627</v>
      </c>
      <c r="D119" s="4" t="s">
        <v>2</v>
      </c>
      <c r="E119" s="2" t="s">
        <v>818</v>
      </c>
      <c r="F119" s="5">
        <v>45653</v>
      </c>
      <c r="G119" s="5">
        <v>46017</v>
      </c>
      <c r="H119" s="6" t="s">
        <v>819</v>
      </c>
      <c r="I119" s="7">
        <v>4210168844325</v>
      </c>
      <c r="J119" s="6" t="s">
        <v>573</v>
      </c>
      <c r="K119" s="2" t="s">
        <v>820</v>
      </c>
      <c r="L119" s="2">
        <v>12911889</v>
      </c>
      <c r="M119" s="2" t="s">
        <v>821</v>
      </c>
      <c r="N119" s="2" t="s">
        <v>817</v>
      </c>
      <c r="O119" s="2" t="s">
        <v>19</v>
      </c>
      <c r="P119" s="2" t="s">
        <v>425</v>
      </c>
      <c r="Q119" s="2" t="s">
        <v>822</v>
      </c>
      <c r="R119" s="5">
        <v>45288</v>
      </c>
      <c r="S119" s="5">
        <v>46392</v>
      </c>
      <c r="T119" s="8">
        <v>4200000</v>
      </c>
      <c r="U119" s="2">
        <v>10</v>
      </c>
      <c r="V119" s="9">
        <f t="shared" si="4"/>
        <v>420000</v>
      </c>
      <c r="W119" s="9">
        <f t="shared" si="5"/>
        <v>3780000</v>
      </c>
      <c r="X119" s="10">
        <v>1.5</v>
      </c>
      <c r="Y119" s="9">
        <f t="shared" si="6"/>
        <v>56700</v>
      </c>
      <c r="Z119" s="2"/>
      <c r="AA119" s="2" t="s">
        <v>11</v>
      </c>
      <c r="AB119" s="2">
        <v>1141072474</v>
      </c>
      <c r="AC119" s="11">
        <v>45688</v>
      </c>
      <c r="AD119" s="2" t="s">
        <v>12</v>
      </c>
      <c r="AE119" s="2">
        <v>0</v>
      </c>
      <c r="AF119" s="36" t="s">
        <v>818</v>
      </c>
      <c r="AG119" s="38">
        <v>56700</v>
      </c>
      <c r="AH119" s="39">
        <f t="shared" si="7"/>
        <v>0</v>
      </c>
    </row>
    <row r="120" spans="1:34" x14ac:dyDescent="0.25">
      <c r="A120" s="1" t="s">
        <v>0</v>
      </c>
      <c r="B120" s="2" t="s">
        <v>823</v>
      </c>
      <c r="C120" s="3">
        <v>45627</v>
      </c>
      <c r="D120" s="4" t="s">
        <v>2</v>
      </c>
      <c r="E120" s="2" t="s">
        <v>824</v>
      </c>
      <c r="F120" s="5">
        <v>45655</v>
      </c>
      <c r="G120" s="5">
        <v>46019</v>
      </c>
      <c r="H120" s="6" t="s">
        <v>825</v>
      </c>
      <c r="I120" s="7">
        <v>4250166532125</v>
      </c>
      <c r="J120" s="6" t="s">
        <v>826</v>
      </c>
      <c r="K120" s="2" t="s">
        <v>827</v>
      </c>
      <c r="L120" s="2">
        <v>2928086</v>
      </c>
      <c r="M120" s="2" t="s">
        <v>828</v>
      </c>
      <c r="N120" s="2" t="s">
        <v>823</v>
      </c>
      <c r="O120" s="2" t="s">
        <v>19</v>
      </c>
      <c r="P120" s="2" t="s">
        <v>20</v>
      </c>
      <c r="Q120" s="2" t="s">
        <v>829</v>
      </c>
      <c r="R120" s="5">
        <v>45290</v>
      </c>
      <c r="S120" s="5">
        <v>46392</v>
      </c>
      <c r="T120" s="8">
        <v>4300000</v>
      </c>
      <c r="U120" s="2">
        <v>10</v>
      </c>
      <c r="V120" s="9">
        <f t="shared" si="4"/>
        <v>430000</v>
      </c>
      <c r="W120" s="9">
        <f t="shared" si="5"/>
        <v>3870000</v>
      </c>
      <c r="X120" s="10">
        <v>1.5</v>
      </c>
      <c r="Y120" s="9">
        <f t="shared" si="6"/>
        <v>58050</v>
      </c>
      <c r="Z120" s="2"/>
      <c r="AA120" s="2" t="s">
        <v>11</v>
      </c>
      <c r="AB120" s="2">
        <v>1141072474</v>
      </c>
      <c r="AC120" s="11">
        <v>45688</v>
      </c>
      <c r="AD120" s="2" t="s">
        <v>12</v>
      </c>
      <c r="AE120" s="2">
        <v>0</v>
      </c>
      <c r="AF120" s="36" t="s">
        <v>824</v>
      </c>
      <c r="AG120" s="38">
        <v>58050</v>
      </c>
      <c r="AH120" s="39">
        <f t="shared" si="7"/>
        <v>0</v>
      </c>
    </row>
    <row r="121" spans="1:34" x14ac:dyDescent="0.25">
      <c r="A121" s="1" t="s">
        <v>0</v>
      </c>
      <c r="B121" s="2" t="s">
        <v>830</v>
      </c>
      <c r="C121" s="3">
        <v>45627</v>
      </c>
      <c r="D121" s="4" t="s">
        <v>2</v>
      </c>
      <c r="E121" s="2" t="s">
        <v>831</v>
      </c>
      <c r="F121" s="5">
        <v>45655</v>
      </c>
      <c r="G121" s="5">
        <v>46019</v>
      </c>
      <c r="H121" s="6" t="s">
        <v>832</v>
      </c>
      <c r="I121" s="7">
        <v>3520115680377</v>
      </c>
      <c r="J121" s="6" t="s">
        <v>833</v>
      </c>
      <c r="K121" s="2" t="s">
        <v>834</v>
      </c>
      <c r="L121" s="2">
        <v>59432</v>
      </c>
      <c r="M121" s="2" t="s">
        <v>835</v>
      </c>
      <c r="N121" s="2" t="s">
        <v>830</v>
      </c>
      <c r="O121" s="2" t="s">
        <v>8</v>
      </c>
      <c r="P121" s="2" t="s">
        <v>9</v>
      </c>
      <c r="Q121" s="2" t="s">
        <v>836</v>
      </c>
      <c r="R121" s="5">
        <v>44924</v>
      </c>
      <c r="S121" s="5">
        <v>46027</v>
      </c>
      <c r="T121" s="8">
        <v>4329000</v>
      </c>
      <c r="U121" s="2">
        <v>15</v>
      </c>
      <c r="V121" s="9">
        <f t="shared" si="4"/>
        <v>649350</v>
      </c>
      <c r="W121" s="9">
        <f t="shared" si="5"/>
        <v>3679650</v>
      </c>
      <c r="X121" s="10">
        <v>1.5</v>
      </c>
      <c r="Y121" s="9">
        <f t="shared" si="6"/>
        <v>55194.75</v>
      </c>
      <c r="Z121" s="2"/>
      <c r="AA121" s="2" t="s">
        <v>11</v>
      </c>
      <c r="AB121" s="2">
        <v>1141072474</v>
      </c>
      <c r="AC121" s="11">
        <v>45688</v>
      </c>
      <c r="AD121" s="2" t="s">
        <v>12</v>
      </c>
      <c r="AE121" s="2">
        <v>0</v>
      </c>
      <c r="AF121" s="36" t="s">
        <v>831</v>
      </c>
      <c r="AG121" s="38">
        <v>55195</v>
      </c>
      <c r="AH121" s="39">
        <f t="shared" si="7"/>
        <v>-0.25</v>
      </c>
    </row>
    <row r="122" spans="1:34" x14ac:dyDescent="0.25">
      <c r="A122" s="1" t="s">
        <v>0</v>
      </c>
      <c r="B122" s="2" t="s">
        <v>837</v>
      </c>
      <c r="C122" s="3">
        <v>45627</v>
      </c>
      <c r="D122" s="4" t="s">
        <v>2</v>
      </c>
      <c r="E122" s="2" t="s">
        <v>838</v>
      </c>
      <c r="F122" s="5">
        <v>45636</v>
      </c>
      <c r="G122" s="5">
        <v>46000</v>
      </c>
      <c r="H122" s="6" t="s">
        <v>839</v>
      </c>
      <c r="I122" s="7">
        <v>3540173449419</v>
      </c>
      <c r="J122" s="6" t="s">
        <v>840</v>
      </c>
      <c r="K122" s="2" t="s">
        <v>841</v>
      </c>
      <c r="L122" s="2">
        <v>21749677</v>
      </c>
      <c r="M122" s="2" t="s">
        <v>842</v>
      </c>
      <c r="N122" s="2" t="s">
        <v>837</v>
      </c>
      <c r="O122" s="2" t="s">
        <v>8</v>
      </c>
      <c r="P122" s="2" t="s">
        <v>9</v>
      </c>
      <c r="Q122" s="2" t="s">
        <v>843</v>
      </c>
      <c r="R122" s="5">
        <v>44545</v>
      </c>
      <c r="S122" s="5">
        <v>46361</v>
      </c>
      <c r="T122" s="8">
        <v>4600000</v>
      </c>
      <c r="U122" s="2">
        <v>20</v>
      </c>
      <c r="V122" s="9">
        <f t="shared" si="4"/>
        <v>920000</v>
      </c>
      <c r="W122" s="9">
        <f t="shared" si="5"/>
        <v>3680000</v>
      </c>
      <c r="X122" s="10">
        <v>1.5</v>
      </c>
      <c r="Y122" s="9">
        <f t="shared" si="6"/>
        <v>55200</v>
      </c>
      <c r="Z122" s="2"/>
      <c r="AA122" s="2" t="s">
        <v>11</v>
      </c>
      <c r="AB122" s="2">
        <v>1141072474</v>
      </c>
      <c r="AC122" s="11">
        <v>45688</v>
      </c>
      <c r="AD122" s="2" t="s">
        <v>12</v>
      </c>
      <c r="AE122" s="2">
        <v>0</v>
      </c>
      <c r="AF122" s="36" t="s">
        <v>838</v>
      </c>
      <c r="AG122" s="38">
        <v>55200</v>
      </c>
      <c r="AH122" s="39">
        <f t="shared" si="7"/>
        <v>0</v>
      </c>
    </row>
    <row r="123" spans="1:34" x14ac:dyDescent="0.25">
      <c r="A123" s="1" t="s">
        <v>0</v>
      </c>
      <c r="B123" s="2" t="s">
        <v>844</v>
      </c>
      <c r="C123" s="3">
        <v>45627</v>
      </c>
      <c r="D123" s="4" t="s">
        <v>2</v>
      </c>
      <c r="E123" s="2" t="s">
        <v>845</v>
      </c>
      <c r="F123" s="5">
        <v>45652</v>
      </c>
      <c r="G123" s="5">
        <v>46016</v>
      </c>
      <c r="H123" s="6" t="s">
        <v>846</v>
      </c>
      <c r="I123" s="7">
        <v>3630309442403</v>
      </c>
      <c r="J123" s="6" t="s">
        <v>847</v>
      </c>
      <c r="K123" s="2" t="s">
        <v>848</v>
      </c>
      <c r="L123" s="2" t="s">
        <v>849</v>
      </c>
      <c r="M123" s="2" t="s">
        <v>850</v>
      </c>
      <c r="N123" s="2" t="s">
        <v>844</v>
      </c>
      <c r="O123" s="2" t="s">
        <v>8</v>
      </c>
      <c r="P123" s="2" t="s">
        <v>391</v>
      </c>
      <c r="Q123" s="2" t="s">
        <v>851</v>
      </c>
      <c r="R123" s="5">
        <v>45288</v>
      </c>
      <c r="S123" s="5">
        <v>46757</v>
      </c>
      <c r="T123" s="8">
        <v>4600000</v>
      </c>
      <c r="U123" s="2">
        <v>10</v>
      </c>
      <c r="V123" s="9">
        <f t="shared" si="4"/>
        <v>460000</v>
      </c>
      <c r="W123" s="9">
        <f t="shared" si="5"/>
        <v>4140000</v>
      </c>
      <c r="X123" s="10">
        <v>1.5</v>
      </c>
      <c r="Y123" s="9">
        <f t="shared" si="6"/>
        <v>62100</v>
      </c>
      <c r="Z123" s="2"/>
      <c r="AA123" s="2" t="s">
        <v>11</v>
      </c>
      <c r="AB123" s="2">
        <v>1141072474</v>
      </c>
      <c r="AC123" s="11">
        <v>45688</v>
      </c>
      <c r="AD123" s="2" t="s">
        <v>12</v>
      </c>
      <c r="AE123" s="2">
        <v>0</v>
      </c>
      <c r="AF123" s="36" t="s">
        <v>845</v>
      </c>
      <c r="AG123" s="38">
        <v>62100</v>
      </c>
      <c r="AH123" s="39">
        <f t="shared" si="7"/>
        <v>0</v>
      </c>
    </row>
    <row r="124" spans="1:34" x14ac:dyDescent="0.25">
      <c r="A124" s="1" t="s">
        <v>0</v>
      </c>
      <c r="B124" s="2" t="s">
        <v>852</v>
      </c>
      <c r="C124" s="3">
        <v>45627</v>
      </c>
      <c r="D124" s="4" t="s">
        <v>2</v>
      </c>
      <c r="E124" s="2" t="s">
        <v>853</v>
      </c>
      <c r="F124" s="5">
        <v>45635</v>
      </c>
      <c r="G124" s="5">
        <v>45999</v>
      </c>
      <c r="H124" s="6" t="s">
        <v>854</v>
      </c>
      <c r="I124" s="7">
        <v>3310221005017</v>
      </c>
      <c r="J124" s="6" t="s">
        <v>855</v>
      </c>
      <c r="K124" s="2" t="s">
        <v>856</v>
      </c>
      <c r="L124" s="2" t="s">
        <v>857</v>
      </c>
      <c r="M124" s="2" t="s">
        <v>858</v>
      </c>
      <c r="N124" s="2" t="s">
        <v>852</v>
      </c>
      <c r="O124" s="2" t="s">
        <v>8</v>
      </c>
      <c r="P124" s="2" t="s">
        <v>74</v>
      </c>
      <c r="Q124" s="2" t="s">
        <v>859</v>
      </c>
      <c r="R124" s="5">
        <v>44544</v>
      </c>
      <c r="S124" s="5">
        <v>46361</v>
      </c>
      <c r="T124" s="8">
        <v>5490000</v>
      </c>
      <c r="U124" s="2">
        <v>20</v>
      </c>
      <c r="V124" s="9">
        <f t="shared" si="4"/>
        <v>1098000</v>
      </c>
      <c r="W124" s="9">
        <f t="shared" si="5"/>
        <v>4392000</v>
      </c>
      <c r="X124" s="10">
        <v>1.5</v>
      </c>
      <c r="Y124" s="9">
        <f t="shared" si="6"/>
        <v>65880</v>
      </c>
      <c r="Z124" s="2"/>
      <c r="AA124" s="2" t="s">
        <v>11</v>
      </c>
      <c r="AB124" s="2">
        <v>1141072474</v>
      </c>
      <c r="AC124" s="11">
        <v>45688</v>
      </c>
      <c r="AD124" s="2" t="s">
        <v>12</v>
      </c>
      <c r="AE124" s="2">
        <v>0</v>
      </c>
      <c r="AF124" s="36" t="s">
        <v>853</v>
      </c>
      <c r="AG124" s="38">
        <v>65880</v>
      </c>
      <c r="AH124" s="39">
        <f t="shared" si="7"/>
        <v>0</v>
      </c>
    </row>
    <row r="125" spans="1:34" x14ac:dyDescent="0.25">
      <c r="A125" s="1" t="s">
        <v>0</v>
      </c>
      <c r="B125" s="2" t="s">
        <v>860</v>
      </c>
      <c r="C125" s="3">
        <v>45627</v>
      </c>
      <c r="D125" s="4" t="s">
        <v>2</v>
      </c>
      <c r="E125" s="2" t="s">
        <v>861</v>
      </c>
      <c r="F125" s="5">
        <v>45633</v>
      </c>
      <c r="G125" s="5">
        <v>45997</v>
      </c>
      <c r="H125" s="6" t="s">
        <v>862</v>
      </c>
      <c r="I125" s="7">
        <v>3520294095387</v>
      </c>
      <c r="J125" s="6" t="s">
        <v>863</v>
      </c>
      <c r="K125" s="2" t="s">
        <v>864</v>
      </c>
      <c r="L125" s="2">
        <v>12947355</v>
      </c>
      <c r="M125" s="2" t="s">
        <v>865</v>
      </c>
      <c r="N125" s="2" t="s">
        <v>860</v>
      </c>
      <c r="O125" s="2" t="s">
        <v>8</v>
      </c>
      <c r="P125" s="2" t="s">
        <v>9</v>
      </c>
      <c r="Q125" s="2" t="s">
        <v>866</v>
      </c>
      <c r="R125" s="5">
        <v>45271</v>
      </c>
      <c r="S125" s="5">
        <v>46727</v>
      </c>
      <c r="T125" s="8">
        <v>5500000</v>
      </c>
      <c r="U125" s="2">
        <v>10</v>
      </c>
      <c r="V125" s="9">
        <f t="shared" si="4"/>
        <v>550000</v>
      </c>
      <c r="W125" s="9">
        <f t="shared" si="5"/>
        <v>4950000</v>
      </c>
      <c r="X125" s="10">
        <v>1.5</v>
      </c>
      <c r="Y125" s="9">
        <f t="shared" si="6"/>
        <v>74250</v>
      </c>
      <c r="Z125" s="2"/>
      <c r="AA125" s="2" t="s">
        <v>11</v>
      </c>
      <c r="AB125" s="2">
        <v>1141072474</v>
      </c>
      <c r="AC125" s="11">
        <v>45688</v>
      </c>
      <c r="AD125" s="2" t="s">
        <v>12</v>
      </c>
      <c r="AE125" s="2">
        <v>0</v>
      </c>
      <c r="AF125" s="36" t="s">
        <v>861</v>
      </c>
      <c r="AG125" s="38">
        <v>74250</v>
      </c>
      <c r="AH125" s="39">
        <f t="shared" si="7"/>
        <v>0</v>
      </c>
    </row>
    <row r="126" spans="1:34" x14ac:dyDescent="0.25">
      <c r="A126" s="1" t="s">
        <v>0</v>
      </c>
      <c r="B126" s="2" t="s">
        <v>867</v>
      </c>
      <c r="C126" s="3">
        <v>45627</v>
      </c>
      <c r="D126" s="4" t="s">
        <v>2</v>
      </c>
      <c r="E126" s="2" t="s">
        <v>868</v>
      </c>
      <c r="F126" s="5">
        <v>45654</v>
      </c>
      <c r="G126" s="5">
        <v>46018</v>
      </c>
      <c r="H126" s="6" t="s">
        <v>869</v>
      </c>
      <c r="I126" s="7">
        <v>4220194854987</v>
      </c>
      <c r="J126" s="6" t="s">
        <v>870</v>
      </c>
      <c r="K126" s="2" t="s">
        <v>871</v>
      </c>
      <c r="L126" s="2" t="s">
        <v>872</v>
      </c>
      <c r="M126" s="2" t="s">
        <v>873</v>
      </c>
      <c r="N126" s="2" t="s">
        <v>867</v>
      </c>
      <c r="O126" s="2" t="s">
        <v>19</v>
      </c>
      <c r="P126" s="2" t="s">
        <v>20</v>
      </c>
      <c r="Q126" s="2" t="s">
        <v>874</v>
      </c>
      <c r="R126" s="5">
        <v>45289</v>
      </c>
      <c r="S126" s="5">
        <v>46757</v>
      </c>
      <c r="T126" s="8">
        <v>5800000</v>
      </c>
      <c r="U126" s="2">
        <v>10</v>
      </c>
      <c r="V126" s="9">
        <f t="shared" si="4"/>
        <v>580000</v>
      </c>
      <c r="W126" s="9">
        <f t="shared" si="5"/>
        <v>5220000</v>
      </c>
      <c r="X126" s="10">
        <v>1.5</v>
      </c>
      <c r="Y126" s="9">
        <f t="shared" si="6"/>
        <v>78300</v>
      </c>
      <c r="Z126" s="2"/>
      <c r="AA126" s="2" t="s">
        <v>11</v>
      </c>
      <c r="AB126" s="2">
        <v>1141072474</v>
      </c>
      <c r="AC126" s="11">
        <v>45688</v>
      </c>
      <c r="AD126" s="2" t="s">
        <v>12</v>
      </c>
      <c r="AE126" s="2">
        <v>0</v>
      </c>
      <c r="AF126" s="36" t="s">
        <v>868</v>
      </c>
      <c r="AG126" s="38">
        <v>78300</v>
      </c>
      <c r="AH126" s="39">
        <f t="shared" si="7"/>
        <v>0</v>
      </c>
    </row>
    <row r="127" spans="1:34" x14ac:dyDescent="0.25">
      <c r="A127" s="1" t="s">
        <v>0</v>
      </c>
      <c r="B127" s="2" t="s">
        <v>875</v>
      </c>
      <c r="C127" s="3">
        <v>45627</v>
      </c>
      <c r="D127" s="4" t="s">
        <v>2</v>
      </c>
      <c r="E127" s="2" t="s">
        <v>876</v>
      </c>
      <c r="F127" s="5">
        <v>45641</v>
      </c>
      <c r="G127" s="5">
        <v>46005</v>
      </c>
      <c r="H127" s="6" t="s">
        <v>877</v>
      </c>
      <c r="I127" s="7">
        <v>3220260943995</v>
      </c>
      <c r="J127" s="6" t="s">
        <v>878</v>
      </c>
      <c r="K127" s="2" t="s">
        <v>879</v>
      </c>
      <c r="L127" s="2" t="s">
        <v>880</v>
      </c>
      <c r="M127" s="2" t="s">
        <v>881</v>
      </c>
      <c r="N127" s="2" t="s">
        <v>875</v>
      </c>
      <c r="O127" s="2" t="s">
        <v>8</v>
      </c>
      <c r="P127" s="2" t="s">
        <v>9</v>
      </c>
      <c r="Q127" s="2" t="s">
        <v>882</v>
      </c>
      <c r="R127" s="5">
        <v>45281</v>
      </c>
      <c r="S127" s="5">
        <v>46392</v>
      </c>
      <c r="T127" s="8">
        <v>6500000</v>
      </c>
      <c r="U127" s="2">
        <v>10</v>
      </c>
      <c r="V127" s="9">
        <f t="shared" si="4"/>
        <v>650000</v>
      </c>
      <c r="W127" s="9">
        <f t="shared" si="5"/>
        <v>5850000</v>
      </c>
      <c r="X127" s="10">
        <v>1.5</v>
      </c>
      <c r="Y127" s="9">
        <f t="shared" si="6"/>
        <v>87750</v>
      </c>
      <c r="Z127" s="2"/>
      <c r="AA127" s="2" t="s">
        <v>11</v>
      </c>
      <c r="AB127" s="2">
        <v>1141072474</v>
      </c>
      <c r="AC127" s="11">
        <v>45688</v>
      </c>
      <c r="AD127" s="2" t="s">
        <v>12</v>
      </c>
      <c r="AE127" s="2">
        <v>0</v>
      </c>
      <c r="AF127" s="36" t="s">
        <v>876</v>
      </c>
      <c r="AG127" s="38">
        <v>87750</v>
      </c>
      <c r="AH127" s="39">
        <f t="shared" si="7"/>
        <v>0</v>
      </c>
    </row>
    <row r="128" spans="1:34" x14ac:dyDescent="0.25">
      <c r="A128" s="1" t="s">
        <v>0</v>
      </c>
      <c r="B128" s="2" t="s">
        <v>883</v>
      </c>
      <c r="C128" s="3">
        <v>45627</v>
      </c>
      <c r="D128" s="4" t="s">
        <v>2</v>
      </c>
      <c r="E128" s="2" t="s">
        <v>884</v>
      </c>
      <c r="F128" s="5">
        <v>45633</v>
      </c>
      <c r="G128" s="5">
        <v>45997</v>
      </c>
      <c r="H128" s="6" t="s">
        <v>885</v>
      </c>
      <c r="I128" s="7">
        <v>3520262068235</v>
      </c>
      <c r="J128" s="6" t="s">
        <v>886</v>
      </c>
      <c r="K128" s="2" t="s">
        <v>887</v>
      </c>
      <c r="L128" s="2">
        <v>1004785</v>
      </c>
      <c r="M128" s="2" t="s">
        <v>888</v>
      </c>
      <c r="N128" s="2" t="s">
        <v>883</v>
      </c>
      <c r="O128" s="2" t="s">
        <v>8</v>
      </c>
      <c r="P128" s="2" t="s">
        <v>9</v>
      </c>
      <c r="Q128" s="2" t="s">
        <v>889</v>
      </c>
      <c r="R128" s="5">
        <v>44551</v>
      </c>
      <c r="S128" s="5">
        <v>46392</v>
      </c>
      <c r="T128" s="8">
        <v>2735000</v>
      </c>
      <c r="U128" s="2">
        <v>20</v>
      </c>
      <c r="V128" s="9">
        <f t="shared" si="4"/>
        <v>547000</v>
      </c>
      <c r="W128" s="9">
        <f t="shared" si="5"/>
        <v>2188000</v>
      </c>
      <c r="X128" s="10">
        <v>1.75</v>
      </c>
      <c r="Y128" s="9">
        <f t="shared" si="6"/>
        <v>38290.000000000007</v>
      </c>
      <c r="Z128" s="2"/>
      <c r="AA128" s="2" t="s">
        <v>11</v>
      </c>
      <c r="AB128" s="2">
        <v>1141072474</v>
      </c>
      <c r="AC128" s="11">
        <v>45688</v>
      </c>
      <c r="AD128" s="2" t="s">
        <v>12</v>
      </c>
      <c r="AE128" s="2">
        <v>0</v>
      </c>
      <c r="AF128" s="36" t="s">
        <v>884</v>
      </c>
      <c r="AG128" s="38">
        <v>38290</v>
      </c>
      <c r="AH128" s="39">
        <f t="shared" si="7"/>
        <v>0</v>
      </c>
    </row>
    <row r="129" spans="1:34" x14ac:dyDescent="0.25">
      <c r="A129" s="1" t="s">
        <v>0</v>
      </c>
      <c r="B129" s="2" t="s">
        <v>890</v>
      </c>
      <c r="C129" s="3">
        <v>45627</v>
      </c>
      <c r="D129" s="4" t="s">
        <v>2</v>
      </c>
      <c r="E129" s="2" t="s">
        <v>891</v>
      </c>
      <c r="F129" s="5">
        <v>45635</v>
      </c>
      <c r="G129" s="5">
        <v>45999</v>
      </c>
      <c r="H129" s="6" t="s">
        <v>892</v>
      </c>
      <c r="I129" s="7">
        <v>4240122384093</v>
      </c>
      <c r="J129" s="6" t="s">
        <v>893</v>
      </c>
      <c r="K129" s="2" t="s">
        <v>894</v>
      </c>
      <c r="L129" s="2">
        <v>13043111</v>
      </c>
      <c r="M129" s="2" t="s">
        <v>895</v>
      </c>
      <c r="N129" s="2" t="s">
        <v>890</v>
      </c>
      <c r="O129" s="2" t="s">
        <v>19</v>
      </c>
      <c r="P129" s="2" t="s">
        <v>20</v>
      </c>
      <c r="Q129" s="2" t="s">
        <v>896</v>
      </c>
      <c r="R129" s="5">
        <v>44908</v>
      </c>
      <c r="S129" s="5">
        <v>45996</v>
      </c>
      <c r="T129" s="8">
        <v>2115000</v>
      </c>
      <c r="U129" s="2">
        <v>15</v>
      </c>
      <c r="V129" s="9">
        <f t="shared" si="4"/>
        <v>317250</v>
      </c>
      <c r="W129" s="9">
        <f t="shared" si="5"/>
        <v>1797750</v>
      </c>
      <c r="X129" s="10">
        <v>2</v>
      </c>
      <c r="Y129" s="9">
        <f t="shared" si="6"/>
        <v>35955</v>
      </c>
      <c r="Z129" s="2"/>
      <c r="AA129" s="2" t="s">
        <v>11</v>
      </c>
      <c r="AB129" s="2">
        <v>1141072474</v>
      </c>
      <c r="AC129" s="11">
        <v>45688</v>
      </c>
      <c r="AD129" s="2" t="s">
        <v>12</v>
      </c>
      <c r="AE129" s="2">
        <v>32</v>
      </c>
      <c r="AF129" s="36" t="s">
        <v>891</v>
      </c>
      <c r="AG129" s="38">
        <v>35955</v>
      </c>
      <c r="AH129" s="39">
        <f t="shared" si="7"/>
        <v>0</v>
      </c>
    </row>
    <row r="130" spans="1:34" x14ac:dyDescent="0.25">
      <c r="A130" s="1" t="s">
        <v>0</v>
      </c>
      <c r="B130" s="2" t="s">
        <v>897</v>
      </c>
      <c r="C130" s="3">
        <v>45627</v>
      </c>
      <c r="D130" s="4" t="s">
        <v>2</v>
      </c>
      <c r="E130" s="2" t="s">
        <v>898</v>
      </c>
      <c r="F130" s="5">
        <v>45635</v>
      </c>
      <c r="G130" s="5">
        <v>45999</v>
      </c>
      <c r="H130" s="6" t="s">
        <v>341</v>
      </c>
      <c r="I130" s="7">
        <v>3520262575907</v>
      </c>
      <c r="J130" s="6" t="s">
        <v>899</v>
      </c>
      <c r="K130" s="2" t="s">
        <v>900</v>
      </c>
      <c r="L130" s="2" t="s">
        <v>901</v>
      </c>
      <c r="M130" s="2" t="s">
        <v>902</v>
      </c>
      <c r="N130" s="2" t="s">
        <v>897</v>
      </c>
      <c r="O130" s="2" t="s">
        <v>8</v>
      </c>
      <c r="P130" s="2" t="s">
        <v>9</v>
      </c>
      <c r="Q130" s="2" t="s">
        <v>903</v>
      </c>
      <c r="R130" s="5">
        <v>44908</v>
      </c>
      <c r="S130" s="5">
        <v>45996</v>
      </c>
      <c r="T130" s="8">
        <v>4548940</v>
      </c>
      <c r="U130" s="2">
        <v>15</v>
      </c>
      <c r="V130" s="9">
        <f t="shared" ref="V130:V162" si="8">T130*U130%</f>
        <v>682341</v>
      </c>
      <c r="W130" s="9">
        <f t="shared" ref="W130:W162" si="9">T130-V130</f>
        <v>3866599</v>
      </c>
      <c r="X130" s="10">
        <v>1.5</v>
      </c>
      <c r="Y130" s="9">
        <f t="shared" ref="Y130:Y162" si="10">W130*X130%</f>
        <v>57998.985000000001</v>
      </c>
      <c r="Z130" s="2"/>
      <c r="AA130" s="2" t="s">
        <v>11</v>
      </c>
      <c r="AB130" s="2">
        <v>1141072474</v>
      </c>
      <c r="AC130" s="11">
        <v>45688</v>
      </c>
      <c r="AD130" s="2" t="s">
        <v>12</v>
      </c>
      <c r="AE130" s="2">
        <v>0</v>
      </c>
      <c r="AF130" s="36" t="s">
        <v>898</v>
      </c>
      <c r="AG130" s="38">
        <v>57999</v>
      </c>
      <c r="AH130" s="39">
        <f t="shared" si="7"/>
        <v>-1.4999999999417923E-2</v>
      </c>
    </row>
    <row r="131" spans="1:34" x14ac:dyDescent="0.25">
      <c r="A131" s="1" t="s">
        <v>0</v>
      </c>
      <c r="B131" s="2" t="s">
        <v>904</v>
      </c>
      <c r="C131" s="3">
        <v>45627</v>
      </c>
      <c r="D131" s="4" t="s">
        <v>2</v>
      </c>
      <c r="E131" s="2" t="s">
        <v>905</v>
      </c>
      <c r="F131" s="5">
        <v>45637</v>
      </c>
      <c r="G131" s="5">
        <v>46001</v>
      </c>
      <c r="H131" s="6" t="s">
        <v>906</v>
      </c>
      <c r="I131" s="7">
        <v>3530131688163</v>
      </c>
      <c r="J131" s="6" t="s">
        <v>228</v>
      </c>
      <c r="K131" s="2" t="s">
        <v>907</v>
      </c>
      <c r="L131" s="2" t="s">
        <v>908</v>
      </c>
      <c r="M131" s="2" t="s">
        <v>909</v>
      </c>
      <c r="N131" s="2" t="s">
        <v>904</v>
      </c>
      <c r="O131" s="2" t="s">
        <v>8</v>
      </c>
      <c r="P131" s="2" t="s">
        <v>910</v>
      </c>
      <c r="Q131" s="2" t="s">
        <v>911</v>
      </c>
      <c r="R131" s="5">
        <v>45272</v>
      </c>
      <c r="S131" s="5">
        <v>47092</v>
      </c>
      <c r="T131" s="8">
        <v>2375000</v>
      </c>
      <c r="U131" s="2">
        <v>10</v>
      </c>
      <c r="V131" s="9">
        <f t="shared" si="8"/>
        <v>237500</v>
      </c>
      <c r="W131" s="9">
        <f t="shared" si="9"/>
        <v>2137500</v>
      </c>
      <c r="X131" s="10">
        <v>2</v>
      </c>
      <c r="Y131" s="9">
        <f t="shared" si="10"/>
        <v>42750</v>
      </c>
      <c r="Z131" s="2"/>
      <c r="AA131" s="2" t="s">
        <v>11</v>
      </c>
      <c r="AB131" s="2">
        <v>1141072474</v>
      </c>
      <c r="AC131" s="11">
        <v>45688</v>
      </c>
      <c r="AD131" s="2" t="s">
        <v>12</v>
      </c>
      <c r="AE131" s="2">
        <v>0</v>
      </c>
      <c r="AF131" s="36" t="s">
        <v>905</v>
      </c>
      <c r="AG131" s="41">
        <v>42750</v>
      </c>
      <c r="AH131" s="39">
        <f t="shared" ref="AH131:AH162" si="11">Y131-AG131</f>
        <v>0</v>
      </c>
    </row>
    <row r="132" spans="1:34" x14ac:dyDescent="0.25">
      <c r="A132" s="1" t="s">
        <v>0</v>
      </c>
      <c r="B132" s="2" t="s">
        <v>912</v>
      </c>
      <c r="C132" s="3">
        <v>45627</v>
      </c>
      <c r="D132" s="4" t="s">
        <v>2</v>
      </c>
      <c r="E132" s="2" t="s">
        <v>913</v>
      </c>
      <c r="F132" s="5">
        <v>45639</v>
      </c>
      <c r="G132" s="5">
        <v>46003</v>
      </c>
      <c r="H132" s="6" t="s">
        <v>914</v>
      </c>
      <c r="I132" s="7">
        <v>6110101244001</v>
      </c>
      <c r="J132" s="6" t="s">
        <v>492</v>
      </c>
      <c r="K132" s="2" t="s">
        <v>915</v>
      </c>
      <c r="L132" s="2">
        <v>246500</v>
      </c>
      <c r="M132" s="2" t="s">
        <v>916</v>
      </c>
      <c r="N132" s="2" t="s">
        <v>912</v>
      </c>
      <c r="O132" s="2" t="s">
        <v>27</v>
      </c>
      <c r="P132" s="2" t="s">
        <v>28</v>
      </c>
      <c r="Q132" s="2" t="s">
        <v>917</v>
      </c>
      <c r="R132" s="5">
        <v>45275</v>
      </c>
      <c r="S132" s="5">
        <v>47092</v>
      </c>
      <c r="T132" s="8">
        <v>3741000</v>
      </c>
      <c r="U132" s="2">
        <v>10</v>
      </c>
      <c r="V132" s="9">
        <f t="shared" si="8"/>
        <v>374100</v>
      </c>
      <c r="W132" s="9">
        <f t="shared" si="9"/>
        <v>3366900</v>
      </c>
      <c r="X132" s="10">
        <v>1.5</v>
      </c>
      <c r="Y132" s="9">
        <f t="shared" si="10"/>
        <v>50503.5</v>
      </c>
      <c r="Z132" s="2"/>
      <c r="AA132" s="2" t="s">
        <v>11</v>
      </c>
      <c r="AB132" s="2">
        <v>1141072474</v>
      </c>
      <c r="AC132" s="11">
        <v>45688</v>
      </c>
      <c r="AD132" s="2" t="s">
        <v>12</v>
      </c>
      <c r="AE132" s="2">
        <v>0</v>
      </c>
      <c r="AF132" s="36" t="s">
        <v>913</v>
      </c>
      <c r="AG132" s="38">
        <v>50504</v>
      </c>
      <c r="AH132" s="39">
        <f t="shared" si="11"/>
        <v>-0.5</v>
      </c>
    </row>
    <row r="133" spans="1:34" x14ac:dyDescent="0.25">
      <c r="A133" s="1" t="s">
        <v>0</v>
      </c>
      <c r="B133" s="2" t="s">
        <v>918</v>
      </c>
      <c r="C133" s="3">
        <v>45627</v>
      </c>
      <c r="D133" s="4" t="s">
        <v>2</v>
      </c>
      <c r="E133" s="2" t="s">
        <v>919</v>
      </c>
      <c r="F133" s="5">
        <v>45640</v>
      </c>
      <c r="G133" s="5">
        <v>46004</v>
      </c>
      <c r="H133" s="6" t="s">
        <v>920</v>
      </c>
      <c r="I133" s="7">
        <v>3520270236513</v>
      </c>
      <c r="J133" s="6" t="s">
        <v>921</v>
      </c>
      <c r="K133" s="2" t="s">
        <v>922</v>
      </c>
      <c r="L133" s="2" t="s">
        <v>923</v>
      </c>
      <c r="M133" s="2" t="s">
        <v>924</v>
      </c>
      <c r="N133" s="2" t="s">
        <v>918</v>
      </c>
      <c r="O133" s="2" t="s">
        <v>8</v>
      </c>
      <c r="P133" s="2" t="s">
        <v>9</v>
      </c>
      <c r="Q133" s="2" t="s">
        <v>925</v>
      </c>
      <c r="R133" s="5">
        <v>45279</v>
      </c>
      <c r="S133" s="5">
        <v>46392</v>
      </c>
      <c r="T133" s="8">
        <v>3950000</v>
      </c>
      <c r="U133" s="2">
        <v>10</v>
      </c>
      <c r="V133" s="9">
        <f t="shared" si="8"/>
        <v>395000</v>
      </c>
      <c r="W133" s="9">
        <f t="shared" si="9"/>
        <v>3555000</v>
      </c>
      <c r="X133" s="10">
        <v>1.5</v>
      </c>
      <c r="Y133" s="9">
        <f t="shared" si="10"/>
        <v>53325</v>
      </c>
      <c r="Z133" s="2"/>
      <c r="AA133" s="2" t="s">
        <v>11</v>
      </c>
      <c r="AB133" s="2">
        <v>1141072474</v>
      </c>
      <c r="AC133" s="11">
        <v>45688</v>
      </c>
      <c r="AD133" s="2" t="s">
        <v>12</v>
      </c>
      <c r="AE133" s="2">
        <v>0</v>
      </c>
      <c r="AF133" s="36" t="s">
        <v>919</v>
      </c>
      <c r="AG133" s="38">
        <v>53325</v>
      </c>
      <c r="AH133" s="39">
        <f t="shared" si="11"/>
        <v>0</v>
      </c>
    </row>
    <row r="134" spans="1:34" x14ac:dyDescent="0.25">
      <c r="A134" s="1" t="s">
        <v>0</v>
      </c>
      <c r="B134" s="2" t="s">
        <v>926</v>
      </c>
      <c r="C134" s="3">
        <v>45627</v>
      </c>
      <c r="D134" s="4" t="s">
        <v>2</v>
      </c>
      <c r="E134" s="2" t="s">
        <v>927</v>
      </c>
      <c r="F134" s="5">
        <v>45640</v>
      </c>
      <c r="G134" s="5">
        <v>46004</v>
      </c>
      <c r="H134" s="6" t="s">
        <v>928</v>
      </c>
      <c r="I134" s="7">
        <v>3520102147141</v>
      </c>
      <c r="J134" s="6" t="s">
        <v>899</v>
      </c>
      <c r="K134" s="2" t="s">
        <v>929</v>
      </c>
      <c r="L134" s="2" t="s">
        <v>930</v>
      </c>
      <c r="M134" s="2" t="s">
        <v>931</v>
      </c>
      <c r="N134" s="2" t="s">
        <v>926</v>
      </c>
      <c r="O134" s="2" t="s">
        <v>8</v>
      </c>
      <c r="P134" s="2" t="s">
        <v>932</v>
      </c>
      <c r="Q134" s="2" t="s">
        <v>933</v>
      </c>
      <c r="R134" s="5">
        <v>44910</v>
      </c>
      <c r="S134" s="5">
        <v>46727</v>
      </c>
      <c r="T134" s="8">
        <v>4528140</v>
      </c>
      <c r="U134" s="2">
        <v>15</v>
      </c>
      <c r="V134" s="9">
        <f t="shared" si="8"/>
        <v>679221</v>
      </c>
      <c r="W134" s="9">
        <f t="shared" si="9"/>
        <v>3848919</v>
      </c>
      <c r="X134" s="10">
        <v>1.5</v>
      </c>
      <c r="Y134" s="9">
        <f t="shared" si="10"/>
        <v>57733.784999999996</v>
      </c>
      <c r="Z134" s="2"/>
      <c r="AA134" s="2" t="s">
        <v>11</v>
      </c>
      <c r="AB134" s="2">
        <v>1141072474</v>
      </c>
      <c r="AC134" s="11">
        <v>45688</v>
      </c>
      <c r="AD134" s="2" t="s">
        <v>12</v>
      </c>
      <c r="AE134" s="2">
        <v>0</v>
      </c>
      <c r="AF134" s="36" t="s">
        <v>927</v>
      </c>
      <c r="AG134" s="38">
        <v>57734</v>
      </c>
      <c r="AH134" s="39">
        <f t="shared" si="11"/>
        <v>-0.2150000000037835</v>
      </c>
    </row>
    <row r="135" spans="1:34" x14ac:dyDescent="0.25">
      <c r="A135" s="1" t="s">
        <v>0</v>
      </c>
      <c r="B135" s="4" t="s">
        <v>934</v>
      </c>
      <c r="C135" s="3">
        <v>45627</v>
      </c>
      <c r="D135" s="4" t="s">
        <v>2</v>
      </c>
      <c r="E135" s="2" t="s">
        <v>935</v>
      </c>
      <c r="F135" s="5">
        <v>45641</v>
      </c>
      <c r="G135" s="5">
        <v>46005</v>
      </c>
      <c r="H135" s="6" t="s">
        <v>936</v>
      </c>
      <c r="I135" s="7">
        <v>3820270113201</v>
      </c>
      <c r="J135" s="6" t="s">
        <v>16</v>
      </c>
      <c r="K135" s="2" t="s">
        <v>937</v>
      </c>
      <c r="L135" s="2">
        <v>390637</v>
      </c>
      <c r="M135" s="2" t="s">
        <v>938</v>
      </c>
      <c r="N135" s="4" t="s">
        <v>934</v>
      </c>
      <c r="O135" s="2" t="s">
        <v>27</v>
      </c>
      <c r="P135" s="2" t="s">
        <v>28</v>
      </c>
      <c r="Q135" s="2" t="s">
        <v>939</v>
      </c>
      <c r="R135" s="5">
        <v>45278</v>
      </c>
      <c r="S135" s="5">
        <v>47123</v>
      </c>
      <c r="T135" s="8">
        <v>1856000</v>
      </c>
      <c r="U135" s="2">
        <v>10</v>
      </c>
      <c r="V135" s="9">
        <f t="shared" si="8"/>
        <v>185600</v>
      </c>
      <c r="W135" s="9">
        <f t="shared" si="9"/>
        <v>1670400</v>
      </c>
      <c r="X135" s="10">
        <v>2</v>
      </c>
      <c r="Y135" s="9">
        <f t="shared" si="10"/>
        <v>33408</v>
      </c>
      <c r="Z135" s="2"/>
      <c r="AA135" s="2" t="s">
        <v>11</v>
      </c>
      <c r="AB135" s="2">
        <v>1141072474</v>
      </c>
      <c r="AC135" s="11">
        <v>45688</v>
      </c>
      <c r="AD135" s="2" t="s">
        <v>12</v>
      </c>
      <c r="AE135" s="2">
        <v>0</v>
      </c>
      <c r="AF135" s="36" t="s">
        <v>935</v>
      </c>
      <c r="AG135" s="38">
        <v>33400</v>
      </c>
      <c r="AH135" s="39">
        <f t="shared" si="11"/>
        <v>8</v>
      </c>
    </row>
    <row r="136" spans="1:34" x14ac:dyDescent="0.25">
      <c r="A136" s="1" t="s">
        <v>0</v>
      </c>
      <c r="B136" s="2" t="s">
        <v>940</v>
      </c>
      <c r="C136" s="3">
        <v>45627</v>
      </c>
      <c r="D136" s="4" t="s">
        <v>2</v>
      </c>
      <c r="E136" s="2" t="s">
        <v>941</v>
      </c>
      <c r="F136" s="5">
        <v>45642</v>
      </c>
      <c r="G136" s="5">
        <v>46006</v>
      </c>
      <c r="H136" s="6" t="s">
        <v>942</v>
      </c>
      <c r="I136" s="7">
        <v>2170321276649</v>
      </c>
      <c r="J136" s="6" t="s">
        <v>878</v>
      </c>
      <c r="K136" s="2" t="s">
        <v>943</v>
      </c>
      <c r="L136" s="2">
        <v>362606</v>
      </c>
      <c r="M136" s="2" t="s">
        <v>944</v>
      </c>
      <c r="N136" s="2" t="s">
        <v>940</v>
      </c>
      <c r="O136" s="2" t="s">
        <v>27</v>
      </c>
      <c r="P136" s="2" t="s">
        <v>28</v>
      </c>
      <c r="Q136" s="2" t="s">
        <v>945</v>
      </c>
      <c r="R136" s="5">
        <v>44922</v>
      </c>
      <c r="S136" s="5">
        <v>46027</v>
      </c>
      <c r="T136" s="8">
        <v>5970000</v>
      </c>
      <c r="U136" s="2">
        <v>15</v>
      </c>
      <c r="V136" s="9">
        <f t="shared" si="8"/>
        <v>895500</v>
      </c>
      <c r="W136" s="9">
        <f t="shared" si="9"/>
        <v>5074500</v>
      </c>
      <c r="X136" s="10">
        <v>1.5</v>
      </c>
      <c r="Y136" s="9">
        <f t="shared" si="10"/>
        <v>76117.5</v>
      </c>
      <c r="Z136" s="2"/>
      <c r="AA136" s="2" t="s">
        <v>11</v>
      </c>
      <c r="AB136" s="2">
        <v>1141072474</v>
      </c>
      <c r="AC136" s="11">
        <v>45688</v>
      </c>
      <c r="AD136" s="2" t="s">
        <v>12</v>
      </c>
      <c r="AE136" s="2">
        <v>0</v>
      </c>
      <c r="AF136" s="36" t="s">
        <v>941</v>
      </c>
      <c r="AG136" s="38">
        <v>76118</v>
      </c>
      <c r="AH136" s="39">
        <f t="shared" si="11"/>
        <v>-0.5</v>
      </c>
    </row>
    <row r="137" spans="1:34" x14ac:dyDescent="0.25">
      <c r="A137" s="1" t="s">
        <v>0</v>
      </c>
      <c r="B137" s="2" t="s">
        <v>946</v>
      </c>
      <c r="C137" s="3">
        <v>45627</v>
      </c>
      <c r="D137" s="4" t="s">
        <v>2</v>
      </c>
      <c r="E137" s="2" t="s">
        <v>947</v>
      </c>
      <c r="F137" s="5">
        <v>45645</v>
      </c>
      <c r="G137" s="5">
        <v>46009</v>
      </c>
      <c r="H137" s="6" t="s">
        <v>948</v>
      </c>
      <c r="I137" s="7">
        <v>9040301012066</v>
      </c>
      <c r="J137" s="6" t="s">
        <v>646</v>
      </c>
      <c r="K137" s="2" t="s">
        <v>949</v>
      </c>
      <c r="L137" s="2" t="s">
        <v>950</v>
      </c>
      <c r="M137" s="2" t="s">
        <v>951</v>
      </c>
      <c r="N137" s="2" t="s">
        <v>946</v>
      </c>
      <c r="O137" s="2" t="s">
        <v>8</v>
      </c>
      <c r="P137" s="2" t="s">
        <v>9</v>
      </c>
      <c r="Q137" s="2" t="s">
        <v>952</v>
      </c>
      <c r="R137" s="5">
        <v>45282</v>
      </c>
      <c r="S137" s="5">
        <v>46392</v>
      </c>
      <c r="T137" s="8">
        <v>4976000</v>
      </c>
      <c r="U137" s="2">
        <v>10</v>
      </c>
      <c r="V137" s="9">
        <f t="shared" si="8"/>
        <v>497600</v>
      </c>
      <c r="W137" s="9">
        <f t="shared" si="9"/>
        <v>4478400</v>
      </c>
      <c r="X137" s="10">
        <v>1.5</v>
      </c>
      <c r="Y137" s="9">
        <f t="shared" si="10"/>
        <v>67176</v>
      </c>
      <c r="Z137" s="2"/>
      <c r="AA137" s="2" t="s">
        <v>11</v>
      </c>
      <c r="AB137" s="2">
        <v>1141072474</v>
      </c>
      <c r="AC137" s="11">
        <v>45688</v>
      </c>
      <c r="AD137" s="2" t="s">
        <v>12</v>
      </c>
      <c r="AE137" s="2">
        <v>0</v>
      </c>
      <c r="AF137" s="36" t="s">
        <v>947</v>
      </c>
      <c r="AG137" s="38">
        <v>67176</v>
      </c>
      <c r="AH137" s="39">
        <f t="shared" si="11"/>
        <v>0</v>
      </c>
    </row>
    <row r="138" spans="1:34" x14ac:dyDescent="0.25">
      <c r="A138" s="1" t="s">
        <v>0</v>
      </c>
      <c r="B138" s="2" t="s">
        <v>953</v>
      </c>
      <c r="C138" s="3">
        <v>45627</v>
      </c>
      <c r="D138" s="4" t="s">
        <v>2</v>
      </c>
      <c r="E138" s="2" t="s">
        <v>954</v>
      </c>
      <c r="F138" s="5">
        <v>45648</v>
      </c>
      <c r="G138" s="5">
        <v>46012</v>
      </c>
      <c r="H138" s="6" t="s">
        <v>955</v>
      </c>
      <c r="I138" s="7">
        <v>3520251848603</v>
      </c>
      <c r="J138" s="6" t="s">
        <v>508</v>
      </c>
      <c r="K138" s="2" t="s">
        <v>956</v>
      </c>
      <c r="L138" s="2">
        <v>126834</v>
      </c>
      <c r="M138" s="2" t="s">
        <v>957</v>
      </c>
      <c r="N138" s="2" t="s">
        <v>953</v>
      </c>
      <c r="O138" s="2" t="s">
        <v>8</v>
      </c>
      <c r="P138" s="2" t="s">
        <v>9</v>
      </c>
      <c r="Q138" s="2" t="s">
        <v>958</v>
      </c>
      <c r="R138" s="5">
        <v>45287</v>
      </c>
      <c r="S138" s="5">
        <v>47123</v>
      </c>
      <c r="T138" s="8">
        <v>2670000</v>
      </c>
      <c r="U138" s="2">
        <v>10</v>
      </c>
      <c r="V138" s="9">
        <f t="shared" si="8"/>
        <v>267000</v>
      </c>
      <c r="W138" s="9">
        <f t="shared" si="9"/>
        <v>2403000</v>
      </c>
      <c r="X138" s="10">
        <v>2</v>
      </c>
      <c r="Y138" s="9">
        <f t="shared" si="10"/>
        <v>48060</v>
      </c>
      <c r="Z138" s="2"/>
      <c r="AA138" s="2" t="s">
        <v>11</v>
      </c>
      <c r="AB138" s="2">
        <v>1141072474</v>
      </c>
      <c r="AC138" s="11">
        <v>45688</v>
      </c>
      <c r="AD138" s="2" t="s">
        <v>12</v>
      </c>
      <c r="AE138" s="2">
        <v>0</v>
      </c>
      <c r="AF138" s="36" t="s">
        <v>954</v>
      </c>
      <c r="AG138" s="38">
        <v>48060</v>
      </c>
      <c r="AH138" s="39">
        <f t="shared" si="11"/>
        <v>0</v>
      </c>
    </row>
    <row r="139" spans="1:34" x14ac:dyDescent="0.25">
      <c r="A139" s="1" t="s">
        <v>0</v>
      </c>
      <c r="B139" s="2" t="s">
        <v>959</v>
      </c>
      <c r="C139" s="3">
        <v>45627</v>
      </c>
      <c r="D139" s="4" t="s">
        <v>2</v>
      </c>
      <c r="E139" s="2" t="s">
        <v>960</v>
      </c>
      <c r="F139" s="5">
        <v>45648</v>
      </c>
      <c r="G139" s="5">
        <v>46012</v>
      </c>
      <c r="H139" s="6" t="s">
        <v>961</v>
      </c>
      <c r="I139" s="7">
        <v>3410189501341</v>
      </c>
      <c r="J139" s="6" t="s">
        <v>214</v>
      </c>
      <c r="K139" s="2" t="s">
        <v>962</v>
      </c>
      <c r="L139" s="2">
        <v>504392</v>
      </c>
      <c r="M139" s="2" t="s">
        <v>963</v>
      </c>
      <c r="N139" s="2" t="s">
        <v>959</v>
      </c>
      <c r="O139" s="2" t="s">
        <v>8</v>
      </c>
      <c r="P139" s="2" t="s">
        <v>114</v>
      </c>
      <c r="Q139" s="2" t="s">
        <v>964</v>
      </c>
      <c r="R139" s="5">
        <v>44921</v>
      </c>
      <c r="S139" s="5">
        <v>46757</v>
      </c>
      <c r="T139" s="8">
        <v>2515000</v>
      </c>
      <c r="U139" s="2">
        <v>15</v>
      </c>
      <c r="V139" s="9">
        <f t="shared" si="8"/>
        <v>377250</v>
      </c>
      <c r="W139" s="9">
        <f t="shared" si="9"/>
        <v>2137750</v>
      </c>
      <c r="X139" s="10">
        <v>2</v>
      </c>
      <c r="Y139" s="9">
        <f t="shared" si="10"/>
        <v>42755</v>
      </c>
      <c r="Z139" s="2"/>
      <c r="AA139" s="2" t="s">
        <v>11</v>
      </c>
      <c r="AB139" s="2">
        <v>1141072474</v>
      </c>
      <c r="AC139" s="11">
        <v>45688</v>
      </c>
      <c r="AD139" s="2" t="s">
        <v>12</v>
      </c>
      <c r="AE139" s="2">
        <v>0</v>
      </c>
      <c r="AF139" s="36" t="s">
        <v>960</v>
      </c>
      <c r="AG139" s="38">
        <v>42755</v>
      </c>
      <c r="AH139" s="39">
        <f t="shared" si="11"/>
        <v>0</v>
      </c>
    </row>
    <row r="140" spans="1:34" x14ac:dyDescent="0.25">
      <c r="A140" s="1" t="s">
        <v>0</v>
      </c>
      <c r="B140" s="2" t="s">
        <v>965</v>
      </c>
      <c r="C140" s="3">
        <v>45627</v>
      </c>
      <c r="D140" s="4" t="s">
        <v>2</v>
      </c>
      <c r="E140" s="2" t="s">
        <v>966</v>
      </c>
      <c r="F140" s="5">
        <v>45649</v>
      </c>
      <c r="G140" s="5">
        <v>46013</v>
      </c>
      <c r="H140" s="6" t="s">
        <v>967</v>
      </c>
      <c r="I140" s="7">
        <v>3610219481841</v>
      </c>
      <c r="J140" s="6" t="s">
        <v>968</v>
      </c>
      <c r="K140" s="2" t="s">
        <v>969</v>
      </c>
      <c r="L140" s="2" t="s">
        <v>970</v>
      </c>
      <c r="M140" s="2" t="s">
        <v>971</v>
      </c>
      <c r="N140" s="2" t="s">
        <v>965</v>
      </c>
      <c r="O140" s="2" t="s">
        <v>8</v>
      </c>
      <c r="P140" s="2" t="s">
        <v>9</v>
      </c>
      <c r="Q140" s="2" t="s">
        <v>972</v>
      </c>
      <c r="R140" s="5">
        <v>44558</v>
      </c>
      <c r="S140" s="5">
        <v>46392</v>
      </c>
      <c r="T140" s="8">
        <v>7689000</v>
      </c>
      <c r="U140" s="2">
        <v>20</v>
      </c>
      <c r="V140" s="9">
        <f t="shared" si="8"/>
        <v>1537800</v>
      </c>
      <c r="W140" s="9">
        <f t="shared" si="9"/>
        <v>6151200</v>
      </c>
      <c r="X140" s="10">
        <v>1.5</v>
      </c>
      <c r="Y140" s="9">
        <f t="shared" si="10"/>
        <v>92268</v>
      </c>
      <c r="Z140" s="2"/>
      <c r="AA140" s="2" t="s">
        <v>11</v>
      </c>
      <c r="AB140" s="2">
        <v>1141072474</v>
      </c>
      <c r="AC140" s="11">
        <v>45688</v>
      </c>
      <c r="AD140" s="2" t="s">
        <v>12</v>
      </c>
      <c r="AE140" s="2">
        <v>0</v>
      </c>
      <c r="AF140" s="36" t="s">
        <v>966</v>
      </c>
      <c r="AG140" s="38">
        <v>92268</v>
      </c>
      <c r="AH140" s="39">
        <f t="shared" si="11"/>
        <v>0</v>
      </c>
    </row>
    <row r="141" spans="1:34" x14ac:dyDescent="0.25">
      <c r="A141" s="1" t="s">
        <v>0</v>
      </c>
      <c r="B141" s="2" t="s">
        <v>973</v>
      </c>
      <c r="C141" s="3">
        <v>45627</v>
      </c>
      <c r="D141" s="4" t="s">
        <v>2</v>
      </c>
      <c r="E141" s="2" t="s">
        <v>974</v>
      </c>
      <c r="F141" s="5">
        <v>45649</v>
      </c>
      <c r="G141" s="5">
        <v>46013</v>
      </c>
      <c r="H141" s="6" t="s">
        <v>975</v>
      </c>
      <c r="I141" s="7">
        <v>3310088610973</v>
      </c>
      <c r="J141" s="6" t="s">
        <v>553</v>
      </c>
      <c r="K141" s="2" t="s">
        <v>976</v>
      </c>
      <c r="L141" s="2" t="s">
        <v>977</v>
      </c>
      <c r="M141" s="2" t="s">
        <v>978</v>
      </c>
      <c r="N141" s="2" t="s">
        <v>973</v>
      </c>
      <c r="O141" s="2" t="s">
        <v>8</v>
      </c>
      <c r="P141" s="2" t="s">
        <v>74</v>
      </c>
      <c r="Q141" s="2" t="s">
        <v>979</v>
      </c>
      <c r="R141" s="5">
        <v>44559</v>
      </c>
      <c r="S141" s="5">
        <v>46757</v>
      </c>
      <c r="T141" s="8">
        <v>2180000</v>
      </c>
      <c r="U141" s="2">
        <v>20</v>
      </c>
      <c r="V141" s="9">
        <f t="shared" si="8"/>
        <v>436000</v>
      </c>
      <c r="W141" s="9">
        <f t="shared" si="9"/>
        <v>1744000</v>
      </c>
      <c r="X141" s="10">
        <v>1.75</v>
      </c>
      <c r="Y141" s="9">
        <f t="shared" si="10"/>
        <v>30520.000000000004</v>
      </c>
      <c r="Z141" s="2"/>
      <c r="AA141" s="2" t="s">
        <v>11</v>
      </c>
      <c r="AB141" s="2">
        <v>1141072474</v>
      </c>
      <c r="AC141" s="11">
        <v>45688</v>
      </c>
      <c r="AD141" s="2" t="s">
        <v>12</v>
      </c>
      <c r="AE141" s="2">
        <v>0</v>
      </c>
      <c r="AF141" s="36" t="s">
        <v>974</v>
      </c>
      <c r="AG141" s="38">
        <v>30520</v>
      </c>
      <c r="AH141" s="39">
        <f t="shared" si="11"/>
        <v>0</v>
      </c>
    </row>
    <row r="142" spans="1:34" x14ac:dyDescent="0.25">
      <c r="A142" s="1" t="s">
        <v>0</v>
      </c>
      <c r="B142" s="2" t="s">
        <v>980</v>
      </c>
      <c r="C142" s="3">
        <v>45627</v>
      </c>
      <c r="D142" s="4" t="s">
        <v>2</v>
      </c>
      <c r="E142" s="2" t="s">
        <v>981</v>
      </c>
      <c r="F142" s="5">
        <v>45650</v>
      </c>
      <c r="G142" s="5">
        <v>46014</v>
      </c>
      <c r="H142" s="6" t="s">
        <v>982</v>
      </c>
      <c r="I142" s="7">
        <v>3840379004299</v>
      </c>
      <c r="J142" s="6" t="s">
        <v>698</v>
      </c>
      <c r="K142" s="2" t="s">
        <v>983</v>
      </c>
      <c r="L142" s="2" t="s">
        <v>984</v>
      </c>
      <c r="M142" s="2" t="s">
        <v>985</v>
      </c>
      <c r="N142" s="2" t="s">
        <v>980</v>
      </c>
      <c r="O142" s="2" t="s">
        <v>8</v>
      </c>
      <c r="P142" s="2" t="s">
        <v>986</v>
      </c>
      <c r="Q142" s="2" t="s">
        <v>987</v>
      </c>
      <c r="R142" s="5">
        <v>44195</v>
      </c>
      <c r="S142" s="5">
        <v>46392</v>
      </c>
      <c r="T142" s="8">
        <v>2630000</v>
      </c>
      <c r="U142" s="2">
        <v>25</v>
      </c>
      <c r="V142" s="9">
        <f t="shared" si="8"/>
        <v>657500</v>
      </c>
      <c r="W142" s="9">
        <f t="shared" si="9"/>
        <v>1972500</v>
      </c>
      <c r="X142" s="10">
        <v>2.5</v>
      </c>
      <c r="Y142" s="9">
        <f t="shared" si="10"/>
        <v>49312.5</v>
      </c>
      <c r="Z142" s="2"/>
      <c r="AA142" s="2" t="s">
        <v>11</v>
      </c>
      <c r="AB142" s="2">
        <v>1141072474</v>
      </c>
      <c r="AC142" s="11">
        <v>45688</v>
      </c>
      <c r="AD142" s="2" t="s">
        <v>12</v>
      </c>
      <c r="AE142" s="2">
        <v>0</v>
      </c>
      <c r="AF142" s="36" t="s">
        <v>981</v>
      </c>
      <c r="AG142" s="38">
        <v>49313</v>
      </c>
      <c r="AH142" s="39">
        <f t="shared" si="11"/>
        <v>-0.5</v>
      </c>
    </row>
    <row r="143" spans="1:34" x14ac:dyDescent="0.25">
      <c r="A143" s="1" t="s">
        <v>0</v>
      </c>
      <c r="B143" s="2" t="s">
        <v>988</v>
      </c>
      <c r="C143" s="3">
        <v>45627</v>
      </c>
      <c r="D143" s="4" t="s">
        <v>2</v>
      </c>
      <c r="E143" s="2" t="s">
        <v>989</v>
      </c>
      <c r="F143" s="5">
        <v>45652</v>
      </c>
      <c r="G143" s="5">
        <v>46016</v>
      </c>
      <c r="H143" s="6" t="s">
        <v>990</v>
      </c>
      <c r="I143" s="7">
        <v>3520013002903</v>
      </c>
      <c r="J143" s="6" t="s">
        <v>991</v>
      </c>
      <c r="K143" s="2" t="s">
        <v>992</v>
      </c>
      <c r="L143" s="2">
        <v>246310</v>
      </c>
      <c r="M143" s="2" t="s">
        <v>993</v>
      </c>
      <c r="N143" s="2" t="s">
        <v>988</v>
      </c>
      <c r="O143" s="2" t="s">
        <v>8</v>
      </c>
      <c r="P143" s="2" t="s">
        <v>9</v>
      </c>
      <c r="Q143" s="2" t="s">
        <v>994</v>
      </c>
      <c r="R143" s="5">
        <v>44923</v>
      </c>
      <c r="S143" s="5">
        <v>46027</v>
      </c>
      <c r="T143" s="8">
        <v>5117000</v>
      </c>
      <c r="U143" s="2">
        <v>15</v>
      </c>
      <c r="V143" s="9">
        <f t="shared" si="8"/>
        <v>767550</v>
      </c>
      <c r="W143" s="9">
        <f t="shared" si="9"/>
        <v>4349450</v>
      </c>
      <c r="X143" s="10">
        <v>1.5</v>
      </c>
      <c r="Y143" s="9">
        <f t="shared" si="10"/>
        <v>65241.75</v>
      </c>
      <c r="Z143" s="2"/>
      <c r="AA143" s="2" t="s">
        <v>11</v>
      </c>
      <c r="AB143" s="2">
        <v>1141072474</v>
      </c>
      <c r="AC143" s="11">
        <v>45688</v>
      </c>
      <c r="AD143" s="2" t="s">
        <v>12</v>
      </c>
      <c r="AE143" s="2">
        <v>0</v>
      </c>
      <c r="AF143" s="36" t="s">
        <v>989</v>
      </c>
      <c r="AG143" s="38">
        <v>65242</v>
      </c>
      <c r="AH143" s="39">
        <f t="shared" si="11"/>
        <v>-0.25</v>
      </c>
    </row>
    <row r="144" spans="1:34" x14ac:dyDescent="0.25">
      <c r="A144" s="1" t="s">
        <v>0</v>
      </c>
      <c r="B144" s="2" t="s">
        <v>995</v>
      </c>
      <c r="C144" s="3">
        <v>45627</v>
      </c>
      <c r="D144" s="4" t="s">
        <v>2</v>
      </c>
      <c r="E144" s="2" t="s">
        <v>996</v>
      </c>
      <c r="F144" s="5">
        <v>45653</v>
      </c>
      <c r="G144" s="5">
        <v>46017</v>
      </c>
      <c r="H144" s="6" t="s">
        <v>997</v>
      </c>
      <c r="I144" s="7">
        <v>3630161258913</v>
      </c>
      <c r="J144" s="6" t="s">
        <v>998</v>
      </c>
      <c r="K144" s="2" t="s">
        <v>999</v>
      </c>
      <c r="L144" s="2">
        <v>813839</v>
      </c>
      <c r="M144" s="2" t="s">
        <v>1000</v>
      </c>
      <c r="N144" s="2" t="s">
        <v>995</v>
      </c>
      <c r="O144" s="2" t="s">
        <v>8</v>
      </c>
      <c r="P144" s="2" t="s">
        <v>209</v>
      </c>
      <c r="Q144" s="2" t="s">
        <v>1001</v>
      </c>
      <c r="R144" s="5">
        <v>44561</v>
      </c>
      <c r="S144" s="5">
        <v>46392</v>
      </c>
      <c r="T144" s="8">
        <v>3906000</v>
      </c>
      <c r="U144" s="2">
        <v>20</v>
      </c>
      <c r="V144" s="9">
        <f t="shared" si="8"/>
        <v>781200</v>
      </c>
      <c r="W144" s="9">
        <f t="shared" si="9"/>
        <v>3124800</v>
      </c>
      <c r="X144" s="10">
        <v>1.5</v>
      </c>
      <c r="Y144" s="9">
        <f t="shared" si="10"/>
        <v>46872</v>
      </c>
      <c r="Z144" s="2"/>
      <c r="AA144" s="2" t="s">
        <v>11</v>
      </c>
      <c r="AB144" s="2">
        <v>1141072474</v>
      </c>
      <c r="AC144" s="11">
        <v>45688</v>
      </c>
      <c r="AD144" s="2" t="s">
        <v>12</v>
      </c>
      <c r="AE144" s="2">
        <v>0</v>
      </c>
      <c r="AF144" s="36" t="s">
        <v>996</v>
      </c>
      <c r="AG144" s="38">
        <v>46872</v>
      </c>
      <c r="AH144" s="39">
        <f t="shared" si="11"/>
        <v>0</v>
      </c>
    </row>
    <row r="145" spans="1:34" x14ac:dyDescent="0.25">
      <c r="A145" s="1" t="s">
        <v>0</v>
      </c>
      <c r="B145" s="2" t="s">
        <v>1002</v>
      </c>
      <c r="C145" s="3">
        <v>45627</v>
      </c>
      <c r="D145" s="4" t="s">
        <v>2</v>
      </c>
      <c r="E145" s="2" t="s">
        <v>1003</v>
      </c>
      <c r="F145" s="5">
        <v>45653</v>
      </c>
      <c r="G145" s="5">
        <v>46017</v>
      </c>
      <c r="H145" s="6" t="s">
        <v>1004</v>
      </c>
      <c r="I145" s="7">
        <v>5140122827977</v>
      </c>
      <c r="J145" s="6" t="s">
        <v>33</v>
      </c>
      <c r="K145" s="2" t="s">
        <v>1005</v>
      </c>
      <c r="L145" s="2" t="s">
        <v>1006</v>
      </c>
      <c r="M145" s="2" t="s">
        <v>1007</v>
      </c>
      <c r="N145" s="2" t="s">
        <v>1002</v>
      </c>
      <c r="O145" s="2" t="s">
        <v>8</v>
      </c>
      <c r="P145" s="2" t="s">
        <v>9</v>
      </c>
      <c r="Q145" s="2" t="s">
        <v>1008</v>
      </c>
      <c r="R145" s="5">
        <v>45289</v>
      </c>
      <c r="S145" s="5">
        <v>46392</v>
      </c>
      <c r="T145" s="8">
        <v>1000000</v>
      </c>
      <c r="U145" s="2">
        <v>10</v>
      </c>
      <c r="V145" s="9">
        <f t="shared" si="8"/>
        <v>100000</v>
      </c>
      <c r="W145" s="9">
        <f t="shared" si="9"/>
        <v>900000</v>
      </c>
      <c r="X145" s="10">
        <v>2</v>
      </c>
      <c r="Y145" s="9">
        <f t="shared" si="10"/>
        <v>18000</v>
      </c>
      <c r="Z145" s="2"/>
      <c r="AA145" s="2" t="s">
        <v>11</v>
      </c>
      <c r="AB145" s="2">
        <v>1141072474</v>
      </c>
      <c r="AC145" s="11">
        <v>45688</v>
      </c>
      <c r="AD145" s="2" t="s">
        <v>12</v>
      </c>
      <c r="AE145" s="2">
        <v>0</v>
      </c>
      <c r="AF145" s="36" t="s">
        <v>1003</v>
      </c>
      <c r="AG145" s="38">
        <v>18000</v>
      </c>
      <c r="AH145" s="39">
        <f t="shared" si="11"/>
        <v>0</v>
      </c>
    </row>
    <row r="146" spans="1:34" x14ac:dyDescent="0.25">
      <c r="A146" s="1" t="s">
        <v>0</v>
      </c>
      <c r="B146" s="2" t="s">
        <v>1009</v>
      </c>
      <c r="C146" s="3">
        <v>45627</v>
      </c>
      <c r="D146" s="4" t="s">
        <v>2</v>
      </c>
      <c r="E146" s="2" t="s">
        <v>1010</v>
      </c>
      <c r="F146" s="5">
        <v>45653</v>
      </c>
      <c r="G146" s="5">
        <v>46017</v>
      </c>
      <c r="H146" s="6" t="s">
        <v>1011</v>
      </c>
      <c r="I146" s="7">
        <v>3310217489767</v>
      </c>
      <c r="J146" s="6" t="s">
        <v>1012</v>
      </c>
      <c r="K146" s="2" t="s">
        <v>1013</v>
      </c>
      <c r="L146" s="2" t="s">
        <v>1014</v>
      </c>
      <c r="M146" s="2" t="s">
        <v>1015</v>
      </c>
      <c r="N146" s="2" t="s">
        <v>1009</v>
      </c>
      <c r="O146" s="2" t="s">
        <v>8</v>
      </c>
      <c r="P146" s="2" t="s">
        <v>74</v>
      </c>
      <c r="Q146" s="2" t="s">
        <v>1016</v>
      </c>
      <c r="R146" s="5">
        <v>44923</v>
      </c>
      <c r="S146" s="5">
        <v>46027</v>
      </c>
      <c r="T146" s="8">
        <v>6224000</v>
      </c>
      <c r="U146" s="2">
        <v>15</v>
      </c>
      <c r="V146" s="9">
        <f t="shared" si="8"/>
        <v>933600</v>
      </c>
      <c r="W146" s="9">
        <f t="shared" si="9"/>
        <v>5290400</v>
      </c>
      <c r="X146" s="10">
        <v>1.5</v>
      </c>
      <c r="Y146" s="9">
        <f t="shared" si="10"/>
        <v>79356</v>
      </c>
      <c r="Z146" s="2"/>
      <c r="AA146" s="2" t="s">
        <v>11</v>
      </c>
      <c r="AB146" s="2">
        <v>1141072474</v>
      </c>
      <c r="AC146" s="11">
        <v>45688</v>
      </c>
      <c r="AD146" s="2" t="s">
        <v>12</v>
      </c>
      <c r="AE146" s="2">
        <v>0</v>
      </c>
      <c r="AF146" s="36" t="s">
        <v>1010</v>
      </c>
      <c r="AG146" s="38">
        <v>79356</v>
      </c>
      <c r="AH146" s="39">
        <f t="shared" si="11"/>
        <v>0</v>
      </c>
    </row>
    <row r="147" spans="1:34" x14ac:dyDescent="0.25">
      <c r="A147" s="1" t="s">
        <v>0</v>
      </c>
      <c r="B147" s="2" t="s">
        <v>1017</v>
      </c>
      <c r="C147" s="3">
        <v>45627</v>
      </c>
      <c r="D147" s="4" t="s">
        <v>2</v>
      </c>
      <c r="E147" s="2" t="s">
        <v>1018</v>
      </c>
      <c r="F147" s="5">
        <v>45654</v>
      </c>
      <c r="G147" s="5">
        <v>46018</v>
      </c>
      <c r="H147" s="6" t="s">
        <v>1019</v>
      </c>
      <c r="I147" s="7">
        <v>3630203620075</v>
      </c>
      <c r="J147" s="6" t="s">
        <v>1020</v>
      </c>
      <c r="K147" s="2" t="s">
        <v>1021</v>
      </c>
      <c r="L147" s="2">
        <v>4420188</v>
      </c>
      <c r="M147" s="2" t="s">
        <v>1022</v>
      </c>
      <c r="N147" s="2" t="s">
        <v>1017</v>
      </c>
      <c r="O147" s="2" t="s">
        <v>8</v>
      </c>
      <c r="P147" s="2" t="s">
        <v>391</v>
      </c>
      <c r="Q147" s="2" t="s">
        <v>1023</v>
      </c>
      <c r="R147" s="5">
        <v>44926</v>
      </c>
      <c r="S147" s="5">
        <v>46392</v>
      </c>
      <c r="T147" s="8">
        <v>2075000</v>
      </c>
      <c r="U147" s="2">
        <v>15</v>
      </c>
      <c r="V147" s="9">
        <f t="shared" si="8"/>
        <v>311250</v>
      </c>
      <c r="W147" s="9">
        <f t="shared" si="9"/>
        <v>1763750</v>
      </c>
      <c r="X147" s="10">
        <v>2</v>
      </c>
      <c r="Y147" s="9">
        <f t="shared" si="10"/>
        <v>35275</v>
      </c>
      <c r="Z147" s="2"/>
      <c r="AA147" s="2" t="s">
        <v>11</v>
      </c>
      <c r="AB147" s="2">
        <v>1141072474</v>
      </c>
      <c r="AC147" s="11">
        <v>45688</v>
      </c>
      <c r="AD147" s="2" t="s">
        <v>12</v>
      </c>
      <c r="AE147" s="2">
        <v>0</v>
      </c>
      <c r="AF147" s="36" t="s">
        <v>1018</v>
      </c>
      <c r="AG147" s="38">
        <v>35275</v>
      </c>
      <c r="AH147" s="39">
        <f t="shared" si="11"/>
        <v>0</v>
      </c>
    </row>
    <row r="148" spans="1:34" x14ac:dyDescent="0.25">
      <c r="A148" s="1" t="s">
        <v>0</v>
      </c>
      <c r="B148" s="2" t="s">
        <v>1024</v>
      </c>
      <c r="C148" s="3">
        <v>45627</v>
      </c>
      <c r="D148" s="4" t="s">
        <v>2</v>
      </c>
      <c r="E148" s="2" t="s">
        <v>1025</v>
      </c>
      <c r="F148" s="5">
        <v>45655</v>
      </c>
      <c r="G148" s="5">
        <v>46019</v>
      </c>
      <c r="H148" s="6" t="s">
        <v>1026</v>
      </c>
      <c r="I148" s="7">
        <v>3630253941187</v>
      </c>
      <c r="J148" s="6" t="s">
        <v>256</v>
      </c>
      <c r="K148" s="2" t="s">
        <v>1027</v>
      </c>
      <c r="L148" s="2">
        <v>202864</v>
      </c>
      <c r="M148" s="2" t="s">
        <v>1028</v>
      </c>
      <c r="N148" s="2" t="s">
        <v>1024</v>
      </c>
      <c r="O148" s="2" t="s">
        <v>8</v>
      </c>
      <c r="P148" s="2" t="s">
        <v>391</v>
      </c>
      <c r="Q148" s="2" t="s">
        <v>1029</v>
      </c>
      <c r="R148" s="5">
        <v>44568</v>
      </c>
      <c r="S148" s="5">
        <v>46392</v>
      </c>
      <c r="T148" s="8">
        <v>1521000</v>
      </c>
      <c r="U148" s="2">
        <v>20</v>
      </c>
      <c r="V148" s="9">
        <f t="shared" si="8"/>
        <v>304200</v>
      </c>
      <c r="W148" s="9">
        <f t="shared" si="9"/>
        <v>1216800</v>
      </c>
      <c r="X148" s="10">
        <v>2.5</v>
      </c>
      <c r="Y148" s="9">
        <f t="shared" si="10"/>
        <v>30420</v>
      </c>
      <c r="Z148" s="2"/>
      <c r="AA148" s="2" t="s">
        <v>11</v>
      </c>
      <c r="AB148" s="2">
        <v>1141072474</v>
      </c>
      <c r="AC148" s="11">
        <v>45688</v>
      </c>
      <c r="AD148" s="2" t="s">
        <v>12</v>
      </c>
      <c r="AE148" s="2">
        <v>32</v>
      </c>
      <c r="AF148" s="36" t="s">
        <v>1025</v>
      </c>
      <c r="AG148" s="38">
        <v>30420</v>
      </c>
      <c r="AH148" s="39">
        <f t="shared" si="11"/>
        <v>0</v>
      </c>
    </row>
    <row r="149" spans="1:34" x14ac:dyDescent="0.25">
      <c r="A149" s="1" t="s">
        <v>0</v>
      </c>
      <c r="B149" s="2" t="s">
        <v>1030</v>
      </c>
      <c r="C149" s="3">
        <v>45627</v>
      </c>
      <c r="D149" s="4" t="s">
        <v>2</v>
      </c>
      <c r="E149" s="2" t="s">
        <v>1031</v>
      </c>
      <c r="F149" s="5">
        <v>45655</v>
      </c>
      <c r="G149" s="5">
        <v>46019</v>
      </c>
      <c r="H149" s="6" t="s">
        <v>1032</v>
      </c>
      <c r="I149" s="7">
        <v>3740506588385</v>
      </c>
      <c r="J149" s="6" t="s">
        <v>1033</v>
      </c>
      <c r="K149" s="2" t="s">
        <v>1034</v>
      </c>
      <c r="L149" s="2">
        <v>768663</v>
      </c>
      <c r="M149" s="2" t="s">
        <v>1035</v>
      </c>
      <c r="N149" s="2" t="s">
        <v>1030</v>
      </c>
      <c r="O149" s="2" t="s">
        <v>27</v>
      </c>
      <c r="P149" s="2" t="s">
        <v>1036</v>
      </c>
      <c r="Q149" s="2" t="s">
        <v>1037</v>
      </c>
      <c r="R149" s="5">
        <v>44561</v>
      </c>
      <c r="S149" s="5">
        <v>46392</v>
      </c>
      <c r="T149" s="8">
        <v>1100000</v>
      </c>
      <c r="U149" s="2">
        <v>20</v>
      </c>
      <c r="V149" s="9">
        <f t="shared" si="8"/>
        <v>220000</v>
      </c>
      <c r="W149" s="9">
        <f t="shared" si="9"/>
        <v>880000</v>
      </c>
      <c r="X149" s="10">
        <v>1.75</v>
      </c>
      <c r="Y149" s="9">
        <f t="shared" si="10"/>
        <v>15400.000000000002</v>
      </c>
      <c r="Z149" s="2"/>
      <c r="AA149" s="2" t="s">
        <v>11</v>
      </c>
      <c r="AB149" s="2">
        <v>1141072474</v>
      </c>
      <c r="AC149" s="11">
        <v>45688</v>
      </c>
      <c r="AD149" s="2" t="s">
        <v>12</v>
      </c>
      <c r="AE149" s="2">
        <v>0</v>
      </c>
      <c r="AF149" s="36" t="s">
        <v>1031</v>
      </c>
      <c r="AG149" s="38">
        <v>15400</v>
      </c>
      <c r="AH149" s="39">
        <f t="shared" si="11"/>
        <v>0</v>
      </c>
    </row>
    <row r="150" spans="1:34" x14ac:dyDescent="0.25">
      <c r="A150" s="1" t="s">
        <v>0</v>
      </c>
      <c r="B150" s="2" t="s">
        <v>1038</v>
      </c>
      <c r="C150" s="3">
        <v>45627</v>
      </c>
      <c r="D150" s="4" t="s">
        <v>2</v>
      </c>
      <c r="E150" s="2" t="s">
        <v>1039</v>
      </c>
      <c r="F150" s="5">
        <v>45655</v>
      </c>
      <c r="G150" s="5">
        <v>46019</v>
      </c>
      <c r="H150" s="6" t="s">
        <v>1040</v>
      </c>
      <c r="I150" s="7">
        <v>3520227618878</v>
      </c>
      <c r="J150" s="6" t="s">
        <v>1041</v>
      </c>
      <c r="K150" s="2" t="s">
        <v>1042</v>
      </c>
      <c r="L150" s="2" t="s">
        <v>1043</v>
      </c>
      <c r="M150" s="2" t="s">
        <v>1044</v>
      </c>
      <c r="N150" s="2" t="s">
        <v>1038</v>
      </c>
      <c r="O150" s="2" t="s">
        <v>8</v>
      </c>
      <c r="P150" s="2" t="s">
        <v>9</v>
      </c>
      <c r="Q150" s="2" t="s">
        <v>1045</v>
      </c>
      <c r="R150" s="5">
        <v>44568</v>
      </c>
      <c r="S150" s="5">
        <v>46392</v>
      </c>
      <c r="T150" s="8">
        <v>3908000</v>
      </c>
      <c r="U150" s="2">
        <v>20</v>
      </c>
      <c r="V150" s="9">
        <f t="shared" si="8"/>
        <v>781600</v>
      </c>
      <c r="W150" s="9">
        <f t="shared" si="9"/>
        <v>3126400</v>
      </c>
      <c r="X150" s="10">
        <v>1.5</v>
      </c>
      <c r="Y150" s="9">
        <f t="shared" si="10"/>
        <v>46896</v>
      </c>
      <c r="Z150" s="2"/>
      <c r="AA150" s="2" t="s">
        <v>11</v>
      </c>
      <c r="AB150" s="2">
        <v>1141072474</v>
      </c>
      <c r="AC150" s="11">
        <v>45688</v>
      </c>
      <c r="AD150" s="2" t="s">
        <v>12</v>
      </c>
      <c r="AE150" s="2">
        <v>0</v>
      </c>
      <c r="AF150" s="36" t="s">
        <v>1039</v>
      </c>
      <c r="AG150" s="38">
        <v>46896</v>
      </c>
      <c r="AH150" s="39">
        <f t="shared" si="11"/>
        <v>0</v>
      </c>
    </row>
    <row r="151" spans="1:34" x14ac:dyDescent="0.25">
      <c r="A151" s="1" t="s">
        <v>0</v>
      </c>
      <c r="B151" s="2" t="s">
        <v>1046</v>
      </c>
      <c r="C151" s="3">
        <v>45627</v>
      </c>
      <c r="D151" s="4" t="s">
        <v>2</v>
      </c>
      <c r="E151" s="2" t="s">
        <v>1047</v>
      </c>
      <c r="F151" s="5">
        <v>45655</v>
      </c>
      <c r="G151" s="5">
        <v>46019</v>
      </c>
      <c r="H151" s="6" t="s">
        <v>1048</v>
      </c>
      <c r="I151" s="7">
        <v>3310007282861</v>
      </c>
      <c r="J151" s="6" t="s">
        <v>125</v>
      </c>
      <c r="K151" s="2" t="s">
        <v>1049</v>
      </c>
      <c r="L151" s="2" t="s">
        <v>1050</v>
      </c>
      <c r="M151" s="2" t="s">
        <v>1051</v>
      </c>
      <c r="N151" s="2" t="s">
        <v>1046</v>
      </c>
      <c r="O151" s="2" t="s">
        <v>8</v>
      </c>
      <c r="P151" s="2" t="s">
        <v>74</v>
      </c>
      <c r="Q151" s="2" t="s">
        <v>1052</v>
      </c>
      <c r="R151" s="5">
        <v>45290</v>
      </c>
      <c r="S151" s="5">
        <v>47123</v>
      </c>
      <c r="T151" s="8">
        <v>2275000</v>
      </c>
      <c r="U151" s="2">
        <v>10</v>
      </c>
      <c r="V151" s="9">
        <f t="shared" si="8"/>
        <v>227500</v>
      </c>
      <c r="W151" s="9">
        <f t="shared" si="9"/>
        <v>2047500</v>
      </c>
      <c r="X151" s="10">
        <v>2</v>
      </c>
      <c r="Y151" s="9">
        <f t="shared" si="10"/>
        <v>40950</v>
      </c>
      <c r="Z151" s="2"/>
      <c r="AA151" s="2" t="s">
        <v>11</v>
      </c>
      <c r="AB151" s="2">
        <v>1141072474</v>
      </c>
      <c r="AC151" s="11">
        <v>45688</v>
      </c>
      <c r="AD151" s="2" t="s">
        <v>12</v>
      </c>
      <c r="AE151" s="2">
        <v>0</v>
      </c>
      <c r="AF151" s="36" t="s">
        <v>1047</v>
      </c>
      <c r="AG151" s="38">
        <v>40950</v>
      </c>
      <c r="AH151" s="39">
        <f t="shared" si="11"/>
        <v>0</v>
      </c>
    </row>
    <row r="152" spans="1:34" x14ac:dyDescent="0.25">
      <c r="A152" s="1" t="s">
        <v>0</v>
      </c>
      <c r="B152" s="2" t="s">
        <v>1053</v>
      </c>
      <c r="C152" s="3">
        <v>45627</v>
      </c>
      <c r="D152" s="4" t="s">
        <v>2</v>
      </c>
      <c r="E152" s="2" t="s">
        <v>1054</v>
      </c>
      <c r="F152" s="5">
        <v>45655</v>
      </c>
      <c r="G152" s="5">
        <v>46019</v>
      </c>
      <c r="H152" s="6" t="s">
        <v>1055</v>
      </c>
      <c r="I152" s="7">
        <v>3310073122351</v>
      </c>
      <c r="J152" s="6" t="s">
        <v>1056</v>
      </c>
      <c r="K152" s="2" t="s">
        <v>1057</v>
      </c>
      <c r="L152" s="2" t="s">
        <v>1058</v>
      </c>
      <c r="M152" s="2" t="s">
        <v>1059</v>
      </c>
      <c r="N152" s="2" t="s">
        <v>1053</v>
      </c>
      <c r="O152" s="2" t="s">
        <v>8</v>
      </c>
      <c r="P152" s="2" t="s">
        <v>74</v>
      </c>
      <c r="Q152" s="2" t="s">
        <v>1060</v>
      </c>
      <c r="R152" s="5">
        <v>45290</v>
      </c>
      <c r="S152" s="5">
        <v>47123</v>
      </c>
      <c r="T152" s="8">
        <v>2190000</v>
      </c>
      <c r="U152" s="2">
        <v>10</v>
      </c>
      <c r="V152" s="9">
        <f t="shared" si="8"/>
        <v>219000</v>
      </c>
      <c r="W152" s="9">
        <f t="shared" si="9"/>
        <v>1971000</v>
      </c>
      <c r="X152" s="10">
        <v>2</v>
      </c>
      <c r="Y152" s="9">
        <f t="shared" si="10"/>
        <v>39420</v>
      </c>
      <c r="Z152" s="2"/>
      <c r="AA152" s="2" t="s">
        <v>11</v>
      </c>
      <c r="AB152" s="2">
        <v>1141072474</v>
      </c>
      <c r="AC152" s="11">
        <v>45688</v>
      </c>
      <c r="AD152" s="2" t="s">
        <v>12</v>
      </c>
      <c r="AE152" s="2">
        <v>0</v>
      </c>
      <c r="AF152" s="36" t="s">
        <v>1054</v>
      </c>
      <c r="AG152" s="38">
        <v>39420</v>
      </c>
      <c r="AH152" s="39">
        <f t="shared" si="11"/>
        <v>0</v>
      </c>
    </row>
    <row r="153" spans="1:34" x14ac:dyDescent="0.25">
      <c r="A153" s="1" t="s">
        <v>0</v>
      </c>
      <c r="B153" s="2" t="s">
        <v>1061</v>
      </c>
      <c r="C153" s="3">
        <v>45627</v>
      </c>
      <c r="D153" s="4" t="s">
        <v>2</v>
      </c>
      <c r="E153" s="2" t="s">
        <v>1062</v>
      </c>
      <c r="F153" s="5">
        <v>45655</v>
      </c>
      <c r="G153" s="5">
        <v>46019</v>
      </c>
      <c r="H153" s="6" t="s">
        <v>1063</v>
      </c>
      <c r="I153" s="7">
        <v>3520299299567</v>
      </c>
      <c r="J153" s="6" t="s">
        <v>1064</v>
      </c>
      <c r="K153" s="2" t="s">
        <v>1065</v>
      </c>
      <c r="L153" s="2" t="s">
        <v>1066</v>
      </c>
      <c r="M153" s="2" t="s">
        <v>1067</v>
      </c>
      <c r="N153" s="2" t="s">
        <v>1061</v>
      </c>
      <c r="O153" s="2" t="s">
        <v>8</v>
      </c>
      <c r="P153" s="2" t="s">
        <v>9</v>
      </c>
      <c r="Q153" s="2" t="s">
        <v>1068</v>
      </c>
      <c r="R153" s="5">
        <v>45290</v>
      </c>
      <c r="S153" s="5">
        <v>46757</v>
      </c>
      <c r="T153" s="8">
        <v>5750000</v>
      </c>
      <c r="U153" s="2">
        <v>10</v>
      </c>
      <c r="V153" s="9">
        <f t="shared" si="8"/>
        <v>575000</v>
      </c>
      <c r="W153" s="9">
        <f t="shared" si="9"/>
        <v>5175000</v>
      </c>
      <c r="X153" s="10">
        <v>1.5</v>
      </c>
      <c r="Y153" s="9">
        <f t="shared" si="10"/>
        <v>77625</v>
      </c>
      <c r="Z153" s="2"/>
      <c r="AA153" s="2" t="s">
        <v>11</v>
      </c>
      <c r="AB153" s="2">
        <v>1141072474</v>
      </c>
      <c r="AC153" s="11">
        <v>45688</v>
      </c>
      <c r="AD153" s="2" t="s">
        <v>12</v>
      </c>
      <c r="AE153" s="2">
        <v>0</v>
      </c>
      <c r="AF153" s="36" t="s">
        <v>1062</v>
      </c>
      <c r="AG153" s="38">
        <v>77625</v>
      </c>
      <c r="AH153" s="39">
        <f t="shared" si="11"/>
        <v>0</v>
      </c>
    </row>
    <row r="154" spans="1:34" x14ac:dyDescent="0.25">
      <c r="A154" s="1" t="s">
        <v>0</v>
      </c>
      <c r="B154" s="2" t="s">
        <v>1069</v>
      </c>
      <c r="C154" s="3">
        <v>45627</v>
      </c>
      <c r="D154" s="4" t="s">
        <v>2</v>
      </c>
      <c r="E154" s="2" t="s">
        <v>1070</v>
      </c>
      <c r="F154" s="5">
        <v>45655</v>
      </c>
      <c r="G154" s="5">
        <v>46019</v>
      </c>
      <c r="H154" s="6" t="s">
        <v>1071</v>
      </c>
      <c r="I154" s="7">
        <v>3310066521991</v>
      </c>
      <c r="J154" s="6" t="s">
        <v>342</v>
      </c>
      <c r="K154" s="2" t="s">
        <v>1072</v>
      </c>
      <c r="L154" s="2">
        <v>208458</v>
      </c>
      <c r="M154" s="2" t="s">
        <v>1073</v>
      </c>
      <c r="N154" s="2" t="s">
        <v>1069</v>
      </c>
      <c r="O154" s="2" t="s">
        <v>8</v>
      </c>
      <c r="P154" s="2" t="s">
        <v>74</v>
      </c>
      <c r="Q154" s="2" t="s">
        <v>1074</v>
      </c>
      <c r="R154" s="5">
        <v>45290</v>
      </c>
      <c r="S154" s="5">
        <v>47123</v>
      </c>
      <c r="T154" s="8">
        <v>4084000</v>
      </c>
      <c r="U154" s="2">
        <v>10</v>
      </c>
      <c r="V154" s="9">
        <f t="shared" si="8"/>
        <v>408400</v>
      </c>
      <c r="W154" s="9">
        <f t="shared" si="9"/>
        <v>3675600</v>
      </c>
      <c r="X154" s="10">
        <v>1.5</v>
      </c>
      <c r="Y154" s="9">
        <f t="shared" si="10"/>
        <v>55134</v>
      </c>
      <c r="Z154" s="2"/>
      <c r="AA154" s="2" t="s">
        <v>11</v>
      </c>
      <c r="AB154" s="2">
        <v>1141072474</v>
      </c>
      <c r="AC154" s="11">
        <v>45688</v>
      </c>
      <c r="AD154" s="2" t="s">
        <v>12</v>
      </c>
      <c r="AE154" s="2">
        <v>0</v>
      </c>
      <c r="AF154" s="36" t="s">
        <v>1070</v>
      </c>
      <c r="AG154" s="38">
        <v>55134</v>
      </c>
      <c r="AH154" s="39">
        <f t="shared" si="11"/>
        <v>0</v>
      </c>
    </row>
    <row r="155" spans="1:34" x14ac:dyDescent="0.25">
      <c r="A155" s="1" t="s">
        <v>0</v>
      </c>
      <c r="B155" s="2" t="s">
        <v>1075</v>
      </c>
      <c r="C155" s="3">
        <v>45627</v>
      </c>
      <c r="D155" s="4" t="s">
        <v>2</v>
      </c>
      <c r="E155" s="2" t="s">
        <v>1076</v>
      </c>
      <c r="F155" s="5">
        <v>45655</v>
      </c>
      <c r="G155" s="5">
        <v>46019</v>
      </c>
      <c r="H155" s="6" t="s">
        <v>1077</v>
      </c>
      <c r="I155" s="7">
        <v>3410150354661</v>
      </c>
      <c r="J155" s="6" t="s">
        <v>242</v>
      </c>
      <c r="K155" s="2" t="s">
        <v>1078</v>
      </c>
      <c r="L155" s="2" t="s">
        <v>1079</v>
      </c>
      <c r="M155" s="2" t="s">
        <v>1080</v>
      </c>
      <c r="N155" s="2" t="s">
        <v>1075</v>
      </c>
      <c r="O155" s="2" t="s">
        <v>8</v>
      </c>
      <c r="P155" s="2" t="s">
        <v>9</v>
      </c>
      <c r="Q155" s="2" t="s">
        <v>1081</v>
      </c>
      <c r="R155" s="5">
        <v>44925</v>
      </c>
      <c r="S155" s="5">
        <v>46757</v>
      </c>
      <c r="T155" s="8">
        <v>2125000</v>
      </c>
      <c r="U155" s="2">
        <v>15</v>
      </c>
      <c r="V155" s="9">
        <f t="shared" si="8"/>
        <v>318750</v>
      </c>
      <c r="W155" s="9">
        <f t="shared" si="9"/>
        <v>1806250</v>
      </c>
      <c r="X155" s="10">
        <v>2</v>
      </c>
      <c r="Y155" s="9">
        <f t="shared" si="10"/>
        <v>36125</v>
      </c>
      <c r="Z155" s="2"/>
      <c r="AA155" s="2" t="s">
        <v>11</v>
      </c>
      <c r="AB155" s="2">
        <v>1141072474</v>
      </c>
      <c r="AC155" s="11">
        <v>45688</v>
      </c>
      <c r="AD155" s="2" t="s">
        <v>12</v>
      </c>
      <c r="AE155" s="2">
        <v>0</v>
      </c>
      <c r="AF155" s="36" t="s">
        <v>1076</v>
      </c>
      <c r="AG155" s="38">
        <v>36125</v>
      </c>
      <c r="AH155" s="39">
        <f t="shared" si="11"/>
        <v>0</v>
      </c>
    </row>
    <row r="156" spans="1:34" x14ac:dyDescent="0.25">
      <c r="A156" s="1" t="s">
        <v>0</v>
      </c>
      <c r="B156" s="2" t="s">
        <v>1082</v>
      </c>
      <c r="C156" s="3">
        <v>45627</v>
      </c>
      <c r="D156" s="4" t="s">
        <v>2</v>
      </c>
      <c r="E156" s="2" t="s">
        <v>1083</v>
      </c>
      <c r="F156" s="5">
        <v>45657</v>
      </c>
      <c r="G156" s="5">
        <v>46021</v>
      </c>
      <c r="H156" s="6" t="s">
        <v>1084</v>
      </c>
      <c r="I156" s="7">
        <v>3310076985925</v>
      </c>
      <c r="J156" s="6" t="s">
        <v>125</v>
      </c>
      <c r="K156" s="2" t="s">
        <v>1085</v>
      </c>
      <c r="L156" s="2" t="s">
        <v>1086</v>
      </c>
      <c r="M156" s="2" t="s">
        <v>1087</v>
      </c>
      <c r="N156" s="2" t="s">
        <v>1082</v>
      </c>
      <c r="O156" s="2" t="s">
        <v>8</v>
      </c>
      <c r="P156" s="2" t="s">
        <v>74</v>
      </c>
      <c r="Q156" s="2" t="s">
        <v>1088</v>
      </c>
      <c r="R156" s="5">
        <v>44561</v>
      </c>
      <c r="S156" s="5">
        <v>47123</v>
      </c>
      <c r="T156" s="8">
        <v>1498000</v>
      </c>
      <c r="U156" s="2">
        <v>20</v>
      </c>
      <c r="V156" s="9">
        <f t="shared" si="8"/>
        <v>299600</v>
      </c>
      <c r="W156" s="9">
        <f t="shared" si="9"/>
        <v>1198400</v>
      </c>
      <c r="X156" s="10">
        <v>1.75</v>
      </c>
      <c r="Y156" s="9">
        <f t="shared" si="10"/>
        <v>20972.000000000004</v>
      </c>
      <c r="Z156" s="2"/>
      <c r="AA156" s="2" t="s">
        <v>11</v>
      </c>
      <c r="AB156" s="2">
        <v>1141072474</v>
      </c>
      <c r="AC156" s="11">
        <v>45688</v>
      </c>
      <c r="AD156" s="2" t="s">
        <v>12</v>
      </c>
      <c r="AE156" s="2">
        <v>0</v>
      </c>
      <c r="AF156" s="36" t="s">
        <v>1083</v>
      </c>
      <c r="AG156" s="38">
        <v>20972</v>
      </c>
      <c r="AH156" s="39">
        <f t="shared" si="11"/>
        <v>0</v>
      </c>
    </row>
    <row r="157" spans="1:34" x14ac:dyDescent="0.25">
      <c r="A157" s="1" t="s">
        <v>0</v>
      </c>
      <c r="B157" s="2" t="s">
        <v>1089</v>
      </c>
      <c r="C157" s="3">
        <v>45627</v>
      </c>
      <c r="D157" s="4" t="s">
        <v>2</v>
      </c>
      <c r="E157" s="2" t="s">
        <v>1090</v>
      </c>
      <c r="F157" s="5">
        <v>45657</v>
      </c>
      <c r="G157" s="5">
        <v>46021</v>
      </c>
      <c r="H157" s="6" t="s">
        <v>1091</v>
      </c>
      <c r="I157" s="7">
        <v>3120245024615</v>
      </c>
      <c r="J157" s="6" t="s">
        <v>1092</v>
      </c>
      <c r="K157" s="2" t="s">
        <v>1093</v>
      </c>
      <c r="L157" s="2">
        <v>7543055</v>
      </c>
      <c r="M157" s="2" t="s">
        <v>1094</v>
      </c>
      <c r="N157" s="2" t="s">
        <v>1089</v>
      </c>
      <c r="O157" s="2" t="s">
        <v>8</v>
      </c>
      <c r="P157" s="2" t="s">
        <v>209</v>
      </c>
      <c r="Q157" s="2" t="s">
        <v>1095</v>
      </c>
      <c r="R157" s="5">
        <v>44201</v>
      </c>
      <c r="S157" s="5">
        <v>46027</v>
      </c>
      <c r="T157" s="8">
        <v>2462500</v>
      </c>
      <c r="U157" s="2">
        <v>25</v>
      </c>
      <c r="V157" s="9">
        <f t="shared" si="8"/>
        <v>615625</v>
      </c>
      <c r="W157" s="9">
        <f t="shared" si="9"/>
        <v>1846875</v>
      </c>
      <c r="X157" s="10">
        <v>2.5</v>
      </c>
      <c r="Y157" s="9">
        <f t="shared" si="10"/>
        <v>46171.875</v>
      </c>
      <c r="Z157" s="2"/>
      <c r="AA157" s="2" t="s">
        <v>11</v>
      </c>
      <c r="AB157" s="2">
        <v>1141072474</v>
      </c>
      <c r="AC157" s="11">
        <v>45688</v>
      </c>
      <c r="AD157" s="2" t="s">
        <v>12</v>
      </c>
      <c r="AE157" s="2">
        <v>32</v>
      </c>
      <c r="AF157" s="36" t="s">
        <v>1090</v>
      </c>
      <c r="AG157" s="38">
        <v>46172</v>
      </c>
      <c r="AH157" s="39">
        <f t="shared" si="11"/>
        <v>-0.125</v>
      </c>
    </row>
    <row r="158" spans="1:34" x14ac:dyDescent="0.25">
      <c r="A158" s="1" t="s">
        <v>0</v>
      </c>
      <c r="B158" s="2" t="s">
        <v>1096</v>
      </c>
      <c r="C158" s="3">
        <v>45597</v>
      </c>
      <c r="D158" s="4" t="s">
        <v>2</v>
      </c>
      <c r="E158" s="2" t="s">
        <v>1097</v>
      </c>
      <c r="F158" s="5">
        <v>45626</v>
      </c>
      <c r="G158" s="5">
        <v>45990</v>
      </c>
      <c r="H158" s="6" t="s">
        <v>1098</v>
      </c>
      <c r="I158" s="7">
        <v>4220169229628</v>
      </c>
      <c r="J158" s="6" t="s">
        <v>1099</v>
      </c>
      <c r="K158" s="2" t="s">
        <v>1100</v>
      </c>
      <c r="L158" s="2">
        <v>387366</v>
      </c>
      <c r="M158" s="2" t="s">
        <v>1101</v>
      </c>
      <c r="N158" s="2" t="s">
        <v>1096</v>
      </c>
      <c r="O158" s="2" t="s">
        <v>19</v>
      </c>
      <c r="P158" s="2" t="s">
        <v>1102</v>
      </c>
      <c r="Q158" s="2" t="s">
        <v>1103</v>
      </c>
      <c r="R158" s="5">
        <v>44897</v>
      </c>
      <c r="S158" s="5">
        <v>45996</v>
      </c>
      <c r="T158" s="8">
        <v>1424000</v>
      </c>
      <c r="U158" s="2">
        <v>15</v>
      </c>
      <c r="V158" s="9">
        <f t="shared" si="8"/>
        <v>213600</v>
      </c>
      <c r="W158" s="9">
        <f t="shared" si="9"/>
        <v>1210400</v>
      </c>
      <c r="X158" s="10">
        <v>2</v>
      </c>
      <c r="Y158" s="9">
        <f t="shared" si="10"/>
        <v>24208</v>
      </c>
      <c r="Z158" s="2"/>
      <c r="AA158" s="2" t="s">
        <v>11</v>
      </c>
      <c r="AB158" s="2">
        <v>1141072474</v>
      </c>
      <c r="AC158" s="11">
        <v>45688</v>
      </c>
      <c r="AD158" s="2" t="s">
        <v>12</v>
      </c>
      <c r="AE158" s="2">
        <v>0</v>
      </c>
      <c r="AF158" s="36" t="s">
        <v>1097</v>
      </c>
      <c r="AG158" s="38">
        <v>24208</v>
      </c>
      <c r="AH158" s="39">
        <f t="shared" si="11"/>
        <v>0</v>
      </c>
    </row>
    <row r="159" spans="1:34" x14ac:dyDescent="0.25">
      <c r="A159" s="1" t="s">
        <v>0</v>
      </c>
      <c r="B159" s="2" t="s">
        <v>1104</v>
      </c>
      <c r="C159" s="3">
        <v>45566</v>
      </c>
      <c r="D159" s="4" t="s">
        <v>2</v>
      </c>
      <c r="E159" s="2" t="s">
        <v>1105</v>
      </c>
      <c r="F159" s="5">
        <v>45587</v>
      </c>
      <c r="G159" s="5">
        <v>45951</v>
      </c>
      <c r="H159" s="6" t="s">
        <v>1106</v>
      </c>
      <c r="I159" s="7">
        <v>3210260846063</v>
      </c>
      <c r="J159" s="6" t="s">
        <v>125</v>
      </c>
      <c r="K159" s="2" t="s">
        <v>1107</v>
      </c>
      <c r="L159" s="2">
        <v>187642</v>
      </c>
      <c r="M159" s="2" t="s">
        <v>1108</v>
      </c>
      <c r="N159" s="2" t="s">
        <v>1104</v>
      </c>
      <c r="O159" s="2" t="s">
        <v>8</v>
      </c>
      <c r="P159" s="2" t="s">
        <v>290</v>
      </c>
      <c r="Q159" s="2" t="s">
        <v>1109</v>
      </c>
      <c r="R159" s="5">
        <v>44546</v>
      </c>
      <c r="S159" s="5">
        <v>47123</v>
      </c>
      <c r="T159" s="8">
        <v>1335000</v>
      </c>
      <c r="U159" s="2">
        <v>20</v>
      </c>
      <c r="V159" s="9">
        <f t="shared" si="8"/>
        <v>267000</v>
      </c>
      <c r="W159" s="9">
        <f t="shared" si="9"/>
        <v>1068000</v>
      </c>
      <c r="X159" s="10">
        <v>2.5</v>
      </c>
      <c r="Y159" s="9">
        <f t="shared" si="10"/>
        <v>26700</v>
      </c>
      <c r="Z159" s="2"/>
      <c r="AA159" s="2" t="s">
        <v>11</v>
      </c>
      <c r="AB159" s="2">
        <v>1141072474</v>
      </c>
      <c r="AC159" s="11">
        <v>45688</v>
      </c>
      <c r="AD159" s="2" t="s">
        <v>12</v>
      </c>
      <c r="AE159" s="2">
        <v>0</v>
      </c>
      <c r="AF159" s="36" t="s">
        <v>1105</v>
      </c>
      <c r="AG159" s="38">
        <v>26700</v>
      </c>
      <c r="AH159" s="39">
        <f t="shared" si="11"/>
        <v>0</v>
      </c>
    </row>
    <row r="160" spans="1:34" x14ac:dyDescent="0.25">
      <c r="A160" s="1" t="s">
        <v>0</v>
      </c>
      <c r="B160" s="2" t="s">
        <v>1110</v>
      </c>
      <c r="C160" s="3">
        <v>45505</v>
      </c>
      <c r="D160" s="4" t="s">
        <v>2</v>
      </c>
      <c r="E160" s="2" t="s">
        <v>1111</v>
      </c>
      <c r="F160" s="5">
        <v>45526</v>
      </c>
      <c r="G160" s="5">
        <v>45890</v>
      </c>
      <c r="H160" s="6" t="s">
        <v>1112</v>
      </c>
      <c r="I160" s="7">
        <v>3210210016299</v>
      </c>
      <c r="J160" s="6" t="s">
        <v>111</v>
      </c>
      <c r="K160" s="2" t="s">
        <v>1113</v>
      </c>
      <c r="L160" s="2">
        <v>247922</v>
      </c>
      <c r="M160" s="2" t="s">
        <v>1114</v>
      </c>
      <c r="N160" s="2" t="s">
        <v>1110</v>
      </c>
      <c r="O160" s="2" t="s">
        <v>8</v>
      </c>
      <c r="P160" s="2" t="s">
        <v>290</v>
      </c>
      <c r="Q160" s="2" t="s">
        <v>1115</v>
      </c>
      <c r="R160" s="5">
        <v>44924</v>
      </c>
      <c r="S160" s="5">
        <v>46757</v>
      </c>
      <c r="T160" s="8">
        <v>1546000</v>
      </c>
      <c r="U160" s="2">
        <v>15</v>
      </c>
      <c r="V160" s="9">
        <f t="shared" si="8"/>
        <v>231900</v>
      </c>
      <c r="W160" s="9">
        <f t="shared" si="9"/>
        <v>1314100</v>
      </c>
      <c r="X160" s="10">
        <v>1.75</v>
      </c>
      <c r="Y160" s="9">
        <f t="shared" si="10"/>
        <v>22996.750000000004</v>
      </c>
      <c r="Z160" s="2"/>
      <c r="AA160" s="2" t="s">
        <v>11</v>
      </c>
      <c r="AB160" s="2">
        <v>1141072474</v>
      </c>
      <c r="AC160" s="11">
        <v>45688</v>
      </c>
      <c r="AD160" s="2" t="s">
        <v>12</v>
      </c>
      <c r="AE160" s="2">
        <v>0</v>
      </c>
      <c r="AF160" s="36" t="s">
        <v>1111</v>
      </c>
      <c r="AG160" s="38">
        <v>22997</v>
      </c>
      <c r="AH160" s="39">
        <f t="shared" si="11"/>
        <v>-0.24999999999636202</v>
      </c>
    </row>
    <row r="161" spans="1:34" x14ac:dyDescent="0.25">
      <c r="A161" s="1" t="s">
        <v>0</v>
      </c>
      <c r="B161" s="2" t="s">
        <v>1116</v>
      </c>
      <c r="C161" s="3">
        <v>45474</v>
      </c>
      <c r="D161" s="4" t="s">
        <v>2</v>
      </c>
      <c r="E161" s="2" t="s">
        <v>1117</v>
      </c>
      <c r="F161" s="5">
        <v>45486</v>
      </c>
      <c r="G161" s="5">
        <v>45850</v>
      </c>
      <c r="H161" s="6" t="s">
        <v>1118</v>
      </c>
      <c r="I161" s="7">
        <v>3740569082261</v>
      </c>
      <c r="J161" s="6" t="s">
        <v>16</v>
      </c>
      <c r="K161" s="2" t="s">
        <v>1119</v>
      </c>
      <c r="L161" s="2">
        <v>372466</v>
      </c>
      <c r="M161" s="2" t="s">
        <v>1120</v>
      </c>
      <c r="N161" s="2" t="s">
        <v>1116</v>
      </c>
      <c r="O161" s="2" t="s">
        <v>27</v>
      </c>
      <c r="P161" s="2" t="s">
        <v>28</v>
      </c>
      <c r="Q161" s="2" t="s">
        <v>1121</v>
      </c>
      <c r="R161" s="5">
        <v>44550</v>
      </c>
      <c r="S161" s="5">
        <v>46392</v>
      </c>
      <c r="T161" s="8">
        <v>1020000</v>
      </c>
      <c r="U161" s="2">
        <v>20</v>
      </c>
      <c r="V161" s="9">
        <f t="shared" si="8"/>
        <v>204000</v>
      </c>
      <c r="W161" s="9">
        <f t="shared" si="9"/>
        <v>816000</v>
      </c>
      <c r="X161" s="10">
        <v>2.5</v>
      </c>
      <c r="Y161" s="9">
        <f t="shared" si="10"/>
        <v>20400</v>
      </c>
      <c r="Z161" s="2"/>
      <c r="AA161" s="2" t="s">
        <v>11</v>
      </c>
      <c r="AB161" s="2">
        <v>1141072474</v>
      </c>
      <c r="AC161" s="11">
        <v>45688</v>
      </c>
      <c r="AD161" s="2" t="s">
        <v>12</v>
      </c>
      <c r="AE161" s="2">
        <v>0</v>
      </c>
      <c r="AF161" s="40" t="s">
        <v>1117</v>
      </c>
      <c r="AG161" s="38">
        <v>20400</v>
      </c>
      <c r="AH161" s="39">
        <f t="shared" si="11"/>
        <v>0</v>
      </c>
    </row>
    <row r="162" spans="1:34" x14ac:dyDescent="0.25">
      <c r="A162" s="1" t="s">
        <v>0</v>
      </c>
      <c r="B162" s="2" t="s">
        <v>1122</v>
      </c>
      <c r="C162" s="3">
        <v>45383</v>
      </c>
      <c r="D162" s="4" t="s">
        <v>2</v>
      </c>
      <c r="E162" s="2" t="s">
        <v>1123</v>
      </c>
      <c r="F162" s="5">
        <v>45412</v>
      </c>
      <c r="G162" s="5">
        <v>45776</v>
      </c>
      <c r="H162" s="6" t="s">
        <v>1124</v>
      </c>
      <c r="I162" s="7">
        <v>3310203075981</v>
      </c>
      <c r="J162" s="6" t="s">
        <v>1125</v>
      </c>
      <c r="K162" s="2" t="s">
        <v>1126</v>
      </c>
      <c r="L162" s="2" t="s">
        <v>1127</v>
      </c>
      <c r="M162" s="2" t="s">
        <v>1128</v>
      </c>
      <c r="N162" s="2" t="s">
        <v>1122</v>
      </c>
      <c r="O162" s="2" t="s">
        <v>8</v>
      </c>
      <c r="P162" s="2" t="s">
        <v>74</v>
      </c>
      <c r="Q162" s="2" t="s">
        <v>1129</v>
      </c>
      <c r="R162" s="5">
        <v>44911</v>
      </c>
      <c r="S162" s="5">
        <v>46757</v>
      </c>
      <c r="T162" s="8">
        <v>2784000</v>
      </c>
      <c r="U162" s="2">
        <v>15</v>
      </c>
      <c r="V162" s="9">
        <f t="shared" si="8"/>
        <v>417600</v>
      </c>
      <c r="W162" s="9">
        <f t="shared" si="9"/>
        <v>2366400</v>
      </c>
      <c r="X162" s="10">
        <v>1.75</v>
      </c>
      <c r="Y162" s="9">
        <f t="shared" si="10"/>
        <v>41412.000000000007</v>
      </c>
      <c r="Z162" s="2"/>
      <c r="AA162" s="2" t="s">
        <v>11</v>
      </c>
      <c r="AB162" s="2">
        <v>1141072474</v>
      </c>
      <c r="AC162" s="11">
        <v>45688</v>
      </c>
      <c r="AD162" s="2" t="s">
        <v>12</v>
      </c>
      <c r="AE162" s="2">
        <v>0</v>
      </c>
      <c r="AF162" s="36" t="s">
        <v>1123</v>
      </c>
      <c r="AG162" s="38">
        <v>41412</v>
      </c>
      <c r="AH162" s="39">
        <f t="shared" si="11"/>
        <v>0</v>
      </c>
    </row>
    <row r="164" spans="1:34" x14ac:dyDescent="0.25">
      <c r="Y164" s="27">
        <f>SUBTOTAL(9,Y2:Y162)</f>
        <v>6207992.6450000005</v>
      </c>
      <c r="AG164" s="42">
        <f>SUBTOTAL(9,AG2:AG162)</f>
        <v>6207994</v>
      </c>
    </row>
  </sheetData>
  <autoFilter ref="A1:AH162" xr:uid="{00000000-0009-0000-0000-000001000000}"/>
  <conditionalFormatting sqref="K2:K162">
    <cfRule type="duplicateValues" dxfId="12" priority="1"/>
  </conditionalFormatting>
  <conditionalFormatting sqref="K2:M56">
    <cfRule type="duplicateValues" dxfId="11" priority="3" stopIfTrue="1"/>
  </conditionalFormatting>
  <conditionalFormatting sqref="K57:M161">
    <cfRule type="duplicateValues" dxfId="10" priority="5" stopIfTrue="1"/>
  </conditionalFormatting>
  <conditionalFormatting sqref="K162:M162">
    <cfRule type="duplicateValues" dxfId="9" priority="7" stopIfTrue="1"/>
  </conditionalFormatting>
  <conditionalFormatting sqref="L2:M56">
    <cfRule type="duplicateValues" dxfId="8" priority="4" stopIfTrue="1"/>
  </conditionalFormatting>
  <conditionalFormatting sqref="L2:M162">
    <cfRule type="duplicateValues" dxfId="7" priority="9"/>
  </conditionalFormatting>
  <conditionalFormatting sqref="L57:M161">
    <cfRule type="duplicateValues" dxfId="6" priority="6" stopIfTrue="1"/>
  </conditionalFormatting>
  <conditionalFormatting sqref="L162:M162">
    <cfRule type="duplicateValues" dxfId="5" priority="8" stopIfTrue="1"/>
  </conditionalFormatting>
  <conditionalFormatting sqref="N2:N162">
    <cfRule type="duplicateValues" dxfId="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4EA6-181C-4650-A9A2-E166F6AE6509}">
  <dimension ref="A1:H164"/>
  <sheetViews>
    <sheetView tabSelected="1" topLeftCell="A162" workbookViewId="0">
      <selection activeCell="A163" sqref="A163:F163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10.5703125" bestFit="1" customWidth="1"/>
    <col min="5" max="5" width="13.7109375" bestFit="1" customWidth="1"/>
    <col min="6" max="6" width="99" customWidth="1"/>
    <col min="7" max="7" width="89.85546875" customWidth="1"/>
    <col min="8" max="8" width="80.5703125" customWidth="1"/>
  </cols>
  <sheetData>
    <row r="1" spans="1:8" x14ac:dyDescent="0.25">
      <c r="A1" s="45" t="s">
        <v>1568</v>
      </c>
      <c r="B1" t="s">
        <v>1569</v>
      </c>
      <c r="D1" s="37" t="s">
        <v>1570</v>
      </c>
      <c r="E1" s="52" t="s">
        <v>1735</v>
      </c>
    </row>
    <row r="2" spans="1:8" ht="120" customHeight="1" x14ac:dyDescent="0.25">
      <c r="A2" s="36" t="s">
        <v>3</v>
      </c>
      <c r="B2" s="40" t="str">
        <f>VLOOKUP(A2,policy!B:C,2,0)</f>
        <v>070000172341</v>
      </c>
      <c r="C2" s="38">
        <v>16200</v>
      </c>
      <c r="D2" s="46">
        <f>ROUND(C2,0)</f>
        <v>16200</v>
      </c>
      <c r="E2" s="52" t="s">
        <v>1735</v>
      </c>
      <c r="F2" s="4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8" t="str">
        <f>"('"&amp;E2&amp;"','"&amp;B2&amp;"','"&amp;D2&amp;"',(select max(to_number(i.premium_rcv_detail_code))+1
from ins_premium_det i),'"&amp;D2&amp;"','"&amp;D2&amp;"','02', '11000003','00','Request by Mr. Saqib Saleem 04-Feb-2024');"</f>
        <v>('04Feb250013','070000172341','16200',(select max(to_number(i.premium_rcv_detail_code))+1
from ins_premium_det i),'16200','16200','02', '11000003','00','Request by Mr. Saqib Saleem 04-Feb-2024');</v>
      </c>
      <c r="H2" s="49" t="str">
        <f>F2&amp;G2</f>
        <v>insert into ins_premium_det (premium_rcv_code,assorted_code, rec_amount,premium_rcv_detail_code,remaining_amt, payrec, mode_code,coinsurance_code,class_cd,it_remarks) values('04Feb250013','070000172341','16200',(select max(to_number(i.premium_rcv_detail_code))+1
from ins_premium_det i),'16200','16200','02', '11000003','00','Request by Mr. Saqib Saleem 04-Feb-2024');</v>
      </c>
    </row>
    <row r="3" spans="1:8" ht="105" x14ac:dyDescent="0.25">
      <c r="A3" s="36" t="s">
        <v>14</v>
      </c>
      <c r="B3" s="40" t="str">
        <f>VLOOKUP(A3,policy!B:C,2,0)</f>
        <v>070000172747</v>
      </c>
      <c r="C3" s="38">
        <v>19388</v>
      </c>
      <c r="D3" s="46">
        <f t="shared" ref="D3:D66" si="1">ROUND(C3,0)</f>
        <v>19388</v>
      </c>
      <c r="E3" s="52" t="s">
        <v>1735</v>
      </c>
      <c r="F3" s="47" t="str">
        <f t="shared" si="0"/>
        <v>insert into ins_premium_det (premium_rcv_code,assorted_code, rec_amount,premium_rcv_detail_code,remaining_amt, payrec, mode_code,coinsurance_code,class_cd,it_remarks) values</v>
      </c>
      <c r="G3" s="48" t="str">
        <f t="shared" ref="G3:G66" si="2">"('"&amp;E3&amp;"','"&amp;B3&amp;"','"&amp;D3&amp;"',(select max(to_number(i.premium_rcv_detail_code))+1
from ins_premium_det i),'"&amp;D3&amp;"','"&amp;D3&amp;"','02', '11000003','00','Request by Mr. Saqib Saleem 04-Feb-2024');"</f>
        <v>('04Feb250013','070000172747','19388',(select max(to_number(i.premium_rcv_detail_code))+1
from ins_premium_det i),'19388','19388','02', '11000003','00','Request by Mr. Saqib Saleem 04-Feb-2024');</v>
      </c>
      <c r="H3" s="49" t="str">
        <f t="shared" ref="H3:H66" si="3">F3&amp;G3</f>
        <v>insert into ins_premium_det (premium_rcv_code,assorted_code, rec_amount,premium_rcv_detail_code,remaining_amt, payrec, mode_code,coinsurance_code,class_cd,it_remarks) values('04Feb250013','070000172747','19388',(select max(to_number(i.premium_rcv_detail_code))+1
from ins_premium_det i),'19388','19388','02', '11000003','00','Request by Mr. Saqib Saleem 04-Feb-2024');</v>
      </c>
    </row>
    <row r="4" spans="1:8" ht="105" x14ac:dyDescent="0.25">
      <c r="A4" s="36" t="s">
        <v>23</v>
      </c>
      <c r="B4" s="40" t="str">
        <f>VLOOKUP(A4,policy!B:C,2,0)</f>
        <v>070000172748</v>
      </c>
      <c r="C4" s="38">
        <v>19388</v>
      </c>
      <c r="D4" s="46">
        <f t="shared" si="1"/>
        <v>19388</v>
      </c>
      <c r="E4" s="52" t="s">
        <v>1735</v>
      </c>
      <c r="F4" s="47" t="str">
        <f t="shared" si="0"/>
        <v>insert into ins_premium_det (premium_rcv_code,assorted_code, rec_amount,premium_rcv_detail_code,remaining_amt, payrec, mode_code,coinsurance_code,class_cd,it_remarks) values</v>
      </c>
      <c r="G4" s="48" t="str">
        <f t="shared" si="2"/>
        <v>('04Feb250013','070000172748','19388',(select max(to_number(i.premium_rcv_detail_code))+1
from ins_premium_det i),'19388','19388','02', '11000003','00','Request by Mr. Saqib Saleem 04-Feb-2024');</v>
      </c>
      <c r="H4" s="49" t="str">
        <f t="shared" si="3"/>
        <v>insert into ins_premium_det (premium_rcv_code,assorted_code, rec_amount,premium_rcv_detail_code,remaining_amt, payrec, mode_code,coinsurance_code,class_cd,it_remarks) values('04Feb250013','070000172748','19388',(select max(to_number(i.premium_rcv_detail_code))+1
from ins_premium_det i),'19388','19388','02', '11000003','00','Request by Mr. Saqib Saleem 04-Feb-2024');</v>
      </c>
    </row>
    <row r="5" spans="1:8" ht="105" x14ac:dyDescent="0.25">
      <c r="A5" s="36" t="s">
        <v>31</v>
      </c>
      <c r="B5" s="40" t="str">
        <f>VLOOKUP(A5,policy!B:C,2,0)</f>
        <v>070000172427</v>
      </c>
      <c r="C5" s="38">
        <v>15554</v>
      </c>
      <c r="D5" s="46">
        <f t="shared" si="1"/>
        <v>15554</v>
      </c>
      <c r="E5" s="52" t="s">
        <v>1735</v>
      </c>
      <c r="F5" s="47" t="str">
        <f t="shared" si="0"/>
        <v>insert into ins_premium_det (premium_rcv_code,assorted_code, rec_amount,premium_rcv_detail_code,remaining_amt, payrec, mode_code,coinsurance_code,class_cd,it_remarks) values</v>
      </c>
      <c r="G5" s="48" t="str">
        <f t="shared" si="2"/>
        <v>('04Feb250013','070000172427','15554',(select max(to_number(i.premium_rcv_detail_code))+1
from ins_premium_det i),'15554','15554','02', '11000003','00','Request by Mr. Saqib Saleem 04-Feb-2024');</v>
      </c>
      <c r="H5" s="49" t="str">
        <f t="shared" si="3"/>
        <v>insert into ins_premium_det (premium_rcv_code,assorted_code, rec_amount,premium_rcv_detail_code,remaining_amt, payrec, mode_code,coinsurance_code,class_cd,it_remarks) values('04Feb250013','070000172427','15554',(select max(to_number(i.premium_rcv_detail_code))+1
from ins_premium_det i),'15554','15554','02', '11000003','00','Request by Mr. Saqib Saleem 04-Feb-2024');</v>
      </c>
    </row>
    <row r="6" spans="1:8" ht="105" x14ac:dyDescent="0.25">
      <c r="A6" s="36" t="s">
        <v>39</v>
      </c>
      <c r="B6" s="40" t="str">
        <f>VLOOKUP(A6,policy!B:C,2,0)</f>
        <v>070000172749</v>
      </c>
      <c r="C6" s="38">
        <v>15638</v>
      </c>
      <c r="D6" s="46">
        <f t="shared" si="1"/>
        <v>15638</v>
      </c>
      <c r="E6" s="52" t="s">
        <v>1735</v>
      </c>
      <c r="F6" s="47" t="str">
        <f t="shared" si="0"/>
        <v>insert into ins_premium_det (premium_rcv_code,assorted_code, rec_amount,premium_rcv_detail_code,remaining_amt, payrec, mode_code,coinsurance_code,class_cd,it_remarks) values</v>
      </c>
      <c r="G6" s="48" t="str">
        <f t="shared" si="2"/>
        <v>('04Feb250013','070000172749','15638',(select max(to_number(i.premium_rcv_detail_code))+1
from ins_premium_det i),'15638','15638','02', '11000003','00','Request by Mr. Saqib Saleem 04-Feb-2024');</v>
      </c>
      <c r="H6" s="49" t="str">
        <f t="shared" si="3"/>
        <v>insert into ins_premium_det (premium_rcv_code,assorted_code, rec_amount,premium_rcv_detail_code,remaining_amt, payrec, mode_code,coinsurance_code,class_cd,it_remarks) values('04Feb250013','070000172749','15638',(select max(to_number(i.premium_rcv_detail_code))+1
from ins_premium_det i),'15638','15638','02', '11000003','00','Request by Mr. Saqib Saleem 04-Feb-2024');</v>
      </c>
    </row>
    <row r="7" spans="1:8" ht="105" x14ac:dyDescent="0.25">
      <c r="A7" s="36" t="s">
        <v>45</v>
      </c>
      <c r="B7" s="40" t="str">
        <f>VLOOKUP(A7,policy!B:C,2,0)</f>
        <v>070000172750</v>
      </c>
      <c r="C7" s="38">
        <v>15638</v>
      </c>
      <c r="D7" s="46">
        <f t="shared" si="1"/>
        <v>15638</v>
      </c>
      <c r="E7" s="52" t="s">
        <v>1735</v>
      </c>
      <c r="F7" s="47" t="str">
        <f t="shared" si="0"/>
        <v>insert into ins_premium_det (premium_rcv_code,assorted_code, rec_amount,premium_rcv_detail_code,remaining_amt, payrec, mode_code,coinsurance_code,class_cd,it_remarks) values</v>
      </c>
      <c r="G7" s="48" t="str">
        <f t="shared" si="2"/>
        <v>('04Feb250013','070000172750','15638',(select max(to_number(i.premium_rcv_detail_code))+1
from ins_premium_det i),'15638','15638','02', '11000003','00','Request by Mr. Saqib Saleem 04-Feb-2024');</v>
      </c>
      <c r="H7" s="49" t="str">
        <f t="shared" si="3"/>
        <v>insert into ins_premium_det (premium_rcv_code,assorted_code, rec_amount,premium_rcv_detail_code,remaining_amt, payrec, mode_code,coinsurance_code,class_cd,it_remarks) values('04Feb250013','070000172750','15638',(select max(to_number(i.premium_rcv_detail_code))+1
from ins_premium_det i),'15638','15638','02', '11000003','00','Request by Mr. Saqib Saleem 04-Feb-2024');</v>
      </c>
    </row>
    <row r="8" spans="1:8" ht="105" x14ac:dyDescent="0.25">
      <c r="A8" s="36" t="s">
        <v>51</v>
      </c>
      <c r="B8" s="40" t="str">
        <f>VLOOKUP(A8,policy!B:C,2,0)</f>
        <v>070000172751</v>
      </c>
      <c r="C8" s="38">
        <v>15638</v>
      </c>
      <c r="D8" s="46">
        <f t="shared" si="1"/>
        <v>15638</v>
      </c>
      <c r="E8" s="52" t="s">
        <v>1735</v>
      </c>
      <c r="F8" s="47" t="str">
        <f t="shared" si="0"/>
        <v>insert into ins_premium_det (premium_rcv_code,assorted_code, rec_amount,premium_rcv_detail_code,remaining_amt, payrec, mode_code,coinsurance_code,class_cd,it_remarks) values</v>
      </c>
      <c r="G8" s="48" t="str">
        <f t="shared" si="2"/>
        <v>('04Feb250013','070000172751','15638',(select max(to_number(i.premium_rcv_detail_code))+1
from ins_premium_det i),'15638','15638','02', '11000003','00','Request by Mr. Saqib Saleem 04-Feb-2024');</v>
      </c>
      <c r="H8" s="49" t="str">
        <f t="shared" si="3"/>
        <v>insert into ins_premium_det (premium_rcv_code,assorted_code, rec_amount,premium_rcv_detail_code,remaining_amt, payrec, mode_code,coinsurance_code,class_cd,it_remarks) values('04Feb250013','070000172751','15638',(select max(to_number(i.premium_rcv_detail_code))+1
from ins_premium_det i),'15638','15638','02', '11000003','00','Request by Mr. Saqib Saleem 04-Feb-2024');</v>
      </c>
    </row>
    <row r="9" spans="1:8" ht="105" x14ac:dyDescent="0.25">
      <c r="A9" s="36" t="s">
        <v>57</v>
      </c>
      <c r="B9" s="40" t="str">
        <f>VLOOKUP(A9,policy!B:C,2,0)</f>
        <v>070000172752</v>
      </c>
      <c r="C9" s="38">
        <v>15638</v>
      </c>
      <c r="D9" s="46">
        <f t="shared" si="1"/>
        <v>15638</v>
      </c>
      <c r="E9" s="52" t="s">
        <v>1735</v>
      </c>
      <c r="F9" s="47" t="str">
        <f t="shared" si="0"/>
        <v>insert into ins_premium_det (premium_rcv_code,assorted_code, rec_amount,premium_rcv_detail_code,remaining_amt, payrec, mode_code,coinsurance_code,class_cd,it_remarks) values</v>
      </c>
      <c r="G9" s="48" t="str">
        <f t="shared" si="2"/>
        <v>('04Feb250013','070000172752','15638',(select max(to_number(i.premium_rcv_detail_code))+1
from ins_premium_det i),'15638','15638','02', '11000003','00','Request by Mr. Saqib Saleem 04-Feb-2024');</v>
      </c>
      <c r="H9" s="49" t="str">
        <f t="shared" si="3"/>
        <v>insert into ins_premium_det (premium_rcv_code,assorted_code, rec_amount,premium_rcv_detail_code,remaining_amt, payrec, mode_code,coinsurance_code,class_cd,it_remarks) values('04Feb250013','070000172752','15638',(select max(to_number(i.premium_rcv_detail_code))+1
from ins_premium_det i),'15638','15638','02', '11000003','00','Request by Mr. Saqib Saleem 04-Feb-2024');</v>
      </c>
    </row>
    <row r="10" spans="1:8" ht="105" x14ac:dyDescent="0.25">
      <c r="A10" s="36" t="s">
        <v>63</v>
      </c>
      <c r="B10" s="40" t="str">
        <f>VLOOKUP(A10,policy!B:C,2,0)</f>
        <v>070000172753</v>
      </c>
      <c r="C10" s="38">
        <v>15638</v>
      </c>
      <c r="D10" s="46">
        <f t="shared" si="1"/>
        <v>15638</v>
      </c>
      <c r="E10" s="52" t="s">
        <v>1735</v>
      </c>
      <c r="F10" s="47" t="str">
        <f t="shared" si="0"/>
        <v>insert into ins_premium_det (premium_rcv_code,assorted_code, rec_amount,premium_rcv_detail_code,remaining_amt, payrec, mode_code,coinsurance_code,class_cd,it_remarks) values</v>
      </c>
      <c r="G10" s="48" t="str">
        <f t="shared" si="2"/>
        <v>('04Feb250013','070000172753','15638',(select max(to_number(i.premium_rcv_detail_code))+1
from ins_premium_det i),'15638','15638','02', '11000003','00','Request by Mr. Saqib Saleem 04-Feb-2024');</v>
      </c>
      <c r="H10" s="49" t="str">
        <f t="shared" si="3"/>
        <v>insert into ins_premium_det (premium_rcv_code,assorted_code, rec_amount,premium_rcv_detail_code,remaining_amt, payrec, mode_code,coinsurance_code,class_cd,it_remarks) values('04Feb250013','070000172753','15638',(select max(to_number(i.premium_rcv_detail_code))+1
from ins_premium_det i),'15638','15638','02', '11000003','00','Request by Mr. Saqib Saleem 04-Feb-2024');</v>
      </c>
    </row>
    <row r="11" spans="1:8" ht="105" x14ac:dyDescent="0.25">
      <c r="A11" s="36" t="s">
        <v>69</v>
      </c>
      <c r="B11" s="40" t="str">
        <f>VLOOKUP(A11,policy!B:C,2,0)</f>
        <v>070000172420</v>
      </c>
      <c r="C11" s="38">
        <v>16086</v>
      </c>
      <c r="D11" s="46">
        <f t="shared" si="1"/>
        <v>16086</v>
      </c>
      <c r="E11" s="52" t="s">
        <v>1735</v>
      </c>
      <c r="F11" s="47" t="str">
        <f t="shared" si="0"/>
        <v>insert into ins_premium_det (premium_rcv_code,assorted_code, rec_amount,premium_rcv_detail_code,remaining_amt, payrec, mode_code,coinsurance_code,class_cd,it_remarks) values</v>
      </c>
      <c r="G11" s="48" t="str">
        <f t="shared" si="2"/>
        <v>('04Feb250013','070000172420','16086',(select max(to_number(i.premium_rcv_detail_code))+1
from ins_premium_det i),'16086','16086','02', '11000003','00','Request by Mr. Saqib Saleem 04-Feb-2024');</v>
      </c>
      <c r="H11" s="49" t="str">
        <f t="shared" si="3"/>
        <v>insert into ins_premium_det (premium_rcv_code,assorted_code, rec_amount,premium_rcv_detail_code,remaining_amt, payrec, mode_code,coinsurance_code,class_cd,it_remarks) values('04Feb250013','070000172420','16086',(select max(to_number(i.premium_rcv_detail_code))+1
from ins_premium_det i),'16086','16086','02', '11000003','00','Request by Mr. Saqib Saleem 04-Feb-2024');</v>
      </c>
    </row>
    <row r="12" spans="1:8" ht="105" x14ac:dyDescent="0.25">
      <c r="A12" s="36" t="s">
        <v>77</v>
      </c>
      <c r="B12" s="40" t="str">
        <f>VLOOKUP(A12,policy!B:C,2,0)</f>
        <v>070000172465</v>
      </c>
      <c r="C12" s="38">
        <v>16086</v>
      </c>
      <c r="D12" s="46">
        <f t="shared" si="1"/>
        <v>16086</v>
      </c>
      <c r="E12" s="52" t="s">
        <v>1735</v>
      </c>
      <c r="F12" s="47" t="str">
        <f t="shared" si="0"/>
        <v>insert into ins_premium_det (premium_rcv_code,assorted_code, rec_amount,premium_rcv_detail_code,remaining_amt, payrec, mode_code,coinsurance_code,class_cd,it_remarks) values</v>
      </c>
      <c r="G12" s="48" t="str">
        <f t="shared" si="2"/>
        <v>('04Feb250013','070000172465','16086',(select max(to_number(i.premium_rcv_detail_code))+1
from ins_premium_det i),'16086','16086','02', '11000003','00','Request by Mr. Saqib Saleem 04-Feb-2024');</v>
      </c>
      <c r="H12" s="49" t="str">
        <f t="shared" si="3"/>
        <v>insert into ins_premium_det (premium_rcv_code,assorted_code, rec_amount,premium_rcv_detail_code,remaining_amt, payrec, mode_code,coinsurance_code,class_cd,it_remarks) values('04Feb250013','070000172465','16086',(select max(to_number(i.premium_rcv_detail_code))+1
from ins_premium_det i),'16086','16086','02', '11000003','00','Request by Mr. Saqib Saleem 04-Feb-2024');</v>
      </c>
    </row>
    <row r="13" spans="1:8" ht="105" x14ac:dyDescent="0.25">
      <c r="A13" s="36" t="s">
        <v>85</v>
      </c>
      <c r="B13" s="40" t="str">
        <f>VLOOKUP(A13,policy!B:C,2,0)</f>
        <v>070000172411</v>
      </c>
      <c r="C13" s="38">
        <v>20400</v>
      </c>
      <c r="D13" s="46">
        <f t="shared" si="1"/>
        <v>20400</v>
      </c>
      <c r="E13" s="52" t="s">
        <v>1735</v>
      </c>
      <c r="F13" s="47" t="str">
        <f t="shared" si="0"/>
        <v>insert into ins_premium_det (premium_rcv_code,assorted_code, rec_amount,premium_rcv_detail_code,remaining_amt, payrec, mode_code,coinsurance_code,class_cd,it_remarks) values</v>
      </c>
      <c r="G13" s="48" t="str">
        <f t="shared" si="2"/>
        <v>('04Feb250013','070000172411','20400',(select max(to_number(i.premium_rcv_detail_code))+1
from ins_premium_det i),'20400','20400','02', '11000003','00','Request by Mr. Saqib Saleem 04-Feb-2024');</v>
      </c>
      <c r="H13" s="49" t="str">
        <f t="shared" si="3"/>
        <v>insert into ins_premium_det (premium_rcv_code,assorted_code, rec_amount,premium_rcv_detail_code,remaining_amt, payrec, mode_code,coinsurance_code,class_cd,it_remarks) values('04Feb250013','070000172411','20400',(select max(to_number(i.premium_rcv_detail_code))+1
from ins_premium_det i),'20400','20400','02', '11000003','00','Request by Mr. Saqib Saleem 04-Feb-2024');</v>
      </c>
    </row>
    <row r="14" spans="1:8" ht="105" x14ac:dyDescent="0.25">
      <c r="A14" s="36" t="s">
        <v>93</v>
      </c>
      <c r="B14" s="40" t="str">
        <f>VLOOKUP(A14,policy!B:C,2,0)</f>
        <v>070000172392</v>
      </c>
      <c r="C14" s="38">
        <v>20825</v>
      </c>
      <c r="D14" s="46">
        <f t="shared" si="1"/>
        <v>20825</v>
      </c>
      <c r="E14" s="52" t="s">
        <v>1735</v>
      </c>
      <c r="F14" s="47" t="str">
        <f t="shared" si="0"/>
        <v>insert into ins_premium_det (premium_rcv_code,assorted_code, rec_amount,premium_rcv_detail_code,remaining_amt, payrec, mode_code,coinsurance_code,class_cd,it_remarks) values</v>
      </c>
      <c r="G14" s="48" t="str">
        <f t="shared" si="2"/>
        <v>('04Feb250013','070000172392','20825',(select max(to_number(i.premium_rcv_detail_code))+1
from ins_premium_det i),'20825','20825','02', '11000003','00','Request by Mr. Saqib Saleem 04-Feb-2024');</v>
      </c>
      <c r="H14" s="49" t="str">
        <f t="shared" si="3"/>
        <v>insert into ins_premium_det (premium_rcv_code,assorted_code, rec_amount,premium_rcv_detail_code,remaining_amt, payrec, mode_code,coinsurance_code,class_cd,it_remarks) values('04Feb250013','070000172392','20825',(select max(to_number(i.premium_rcv_detail_code))+1
from ins_premium_det i),'20825','20825','02', '11000003','00','Request by Mr. Saqib Saleem 04-Feb-2024');</v>
      </c>
    </row>
    <row r="15" spans="1:8" ht="105" x14ac:dyDescent="0.25">
      <c r="A15" s="36" t="s">
        <v>101</v>
      </c>
      <c r="B15" s="40" t="str">
        <f>VLOOKUP(A15,policy!B:C,2,0)</f>
        <v>070000172396</v>
      </c>
      <c r="C15" s="38">
        <v>22100</v>
      </c>
      <c r="D15" s="46">
        <f t="shared" si="1"/>
        <v>22100</v>
      </c>
      <c r="E15" s="52" t="s">
        <v>1735</v>
      </c>
      <c r="F15" s="47" t="str">
        <f t="shared" si="0"/>
        <v>insert into ins_premium_det (premium_rcv_code,assorted_code, rec_amount,premium_rcv_detail_code,remaining_amt, payrec, mode_code,coinsurance_code,class_cd,it_remarks) values</v>
      </c>
      <c r="G15" s="48" t="str">
        <f t="shared" si="2"/>
        <v>('04Feb250013','070000172396','22100',(select max(to_number(i.premium_rcv_detail_code))+1
from ins_premium_det i),'22100','22100','02', '11000003','00','Request by Mr. Saqib Saleem 04-Feb-2024');</v>
      </c>
      <c r="H15" s="49" t="str">
        <f t="shared" si="3"/>
        <v>insert into ins_premium_det (premium_rcv_code,assorted_code, rec_amount,premium_rcv_detail_code,remaining_amt, payrec, mode_code,coinsurance_code,class_cd,it_remarks) values('04Feb250013','070000172396','22100',(select max(to_number(i.premium_rcv_detail_code))+1
from ins_premium_det i),'22100','22100','02', '11000003','00','Request by Mr. Saqib Saleem 04-Feb-2024');</v>
      </c>
    </row>
    <row r="16" spans="1:8" ht="105" x14ac:dyDescent="0.25">
      <c r="A16" s="36" t="s">
        <v>109</v>
      </c>
      <c r="B16" s="40" t="str">
        <f>VLOOKUP(A16,policy!B:C,2,0)</f>
        <v>070000172490</v>
      </c>
      <c r="C16" s="38">
        <v>34335</v>
      </c>
      <c r="D16" s="46">
        <f t="shared" si="1"/>
        <v>34335</v>
      </c>
      <c r="E16" s="52" t="s">
        <v>1735</v>
      </c>
      <c r="F16" s="47" t="str">
        <f t="shared" si="0"/>
        <v>insert into ins_premium_det (premium_rcv_code,assorted_code, rec_amount,premium_rcv_detail_code,remaining_amt, payrec, mode_code,coinsurance_code,class_cd,it_remarks) values</v>
      </c>
      <c r="G16" s="48" t="str">
        <f t="shared" si="2"/>
        <v>('04Feb250013','070000172490','34335',(select max(to_number(i.premium_rcv_detail_code))+1
from ins_premium_det i),'34335','34335','02', '11000003','00','Request by Mr. Saqib Saleem 04-Feb-2024');</v>
      </c>
      <c r="H16" s="49" t="str">
        <f t="shared" si="3"/>
        <v>insert into ins_premium_det (premium_rcv_code,assorted_code, rec_amount,premium_rcv_detail_code,remaining_amt, payrec, mode_code,coinsurance_code,class_cd,it_remarks) values('04Feb250013','070000172490','34335',(select max(to_number(i.premium_rcv_detail_code))+1
from ins_premium_det i),'34335','34335','02', '11000003','00','Request by Mr. Saqib Saleem 04-Feb-2024');</v>
      </c>
    </row>
    <row r="17" spans="1:8" ht="105" x14ac:dyDescent="0.25">
      <c r="A17" s="36" t="s">
        <v>117</v>
      </c>
      <c r="B17" s="40" t="str">
        <f>VLOOKUP(A17,policy!B:C,2,0)</f>
        <v>070000172489</v>
      </c>
      <c r="C17" s="38">
        <v>34335</v>
      </c>
      <c r="D17" s="46">
        <f t="shared" si="1"/>
        <v>34335</v>
      </c>
      <c r="E17" s="52" t="s">
        <v>1735</v>
      </c>
      <c r="F17" s="47" t="str">
        <f t="shared" si="0"/>
        <v>insert into ins_premium_det (premium_rcv_code,assorted_code, rec_amount,premium_rcv_detail_code,remaining_amt, payrec, mode_code,coinsurance_code,class_cd,it_remarks) values</v>
      </c>
      <c r="G17" s="48" t="str">
        <f t="shared" si="2"/>
        <v>('04Feb250013','070000172489','34335',(select max(to_number(i.premium_rcv_detail_code))+1
from ins_premium_det i),'34335','34335','02', '11000003','00','Request by Mr. Saqib Saleem 04-Feb-2024');</v>
      </c>
      <c r="H17" s="49" t="str">
        <f t="shared" si="3"/>
        <v>insert into ins_premium_det (premium_rcv_code,assorted_code, rec_amount,premium_rcv_detail_code,remaining_amt, payrec, mode_code,coinsurance_code,class_cd,it_remarks) values('04Feb250013','070000172489','34335',(select max(to_number(i.premium_rcv_detail_code))+1
from ins_premium_det i),'34335','34335','02', '11000003','00','Request by Mr. Saqib Saleem 04-Feb-2024');</v>
      </c>
    </row>
    <row r="18" spans="1:8" ht="105" x14ac:dyDescent="0.25">
      <c r="A18" s="36" t="s">
        <v>123</v>
      </c>
      <c r="B18" s="40" t="str">
        <f>VLOOKUP(A18,policy!B:C,2,0)</f>
        <v>070000172432</v>
      </c>
      <c r="C18" s="38">
        <v>26700</v>
      </c>
      <c r="D18" s="46">
        <f t="shared" si="1"/>
        <v>26700</v>
      </c>
      <c r="E18" s="52" t="s">
        <v>1735</v>
      </c>
      <c r="F18" s="47" t="str">
        <f t="shared" si="0"/>
        <v>insert into ins_premium_det (premium_rcv_code,assorted_code, rec_amount,premium_rcv_detail_code,remaining_amt, payrec, mode_code,coinsurance_code,class_cd,it_remarks) values</v>
      </c>
      <c r="G18" s="48" t="str">
        <f t="shared" si="2"/>
        <v>('04Feb250013','070000172432','26700',(select max(to_number(i.premium_rcv_detail_code))+1
from ins_premium_det i),'26700','26700','02', '11000003','00','Request by Mr. Saqib Saleem 04-Feb-2024');</v>
      </c>
      <c r="H18" s="49" t="str">
        <f t="shared" si="3"/>
        <v>insert into ins_premium_det (premium_rcv_code,assorted_code, rec_amount,premium_rcv_detail_code,remaining_amt, payrec, mode_code,coinsurance_code,class_cd,it_remarks) values('04Feb250013','070000172432','26700',(select max(to_number(i.premium_rcv_detail_code))+1
from ins_premium_det i),'26700','26700','02', '11000003','00','Request by Mr. Saqib Saleem 04-Feb-2024');</v>
      </c>
    </row>
    <row r="19" spans="1:8" ht="105" x14ac:dyDescent="0.25">
      <c r="A19" s="36" t="s">
        <v>132</v>
      </c>
      <c r="B19" s="40" t="str">
        <f>VLOOKUP(A19,policy!B:C,2,0)</f>
        <v>070000172442</v>
      </c>
      <c r="C19" s="38">
        <v>26700</v>
      </c>
      <c r="D19" s="46">
        <f t="shared" si="1"/>
        <v>26700</v>
      </c>
      <c r="E19" s="52" t="s">
        <v>1735</v>
      </c>
      <c r="F19" s="47" t="str">
        <f t="shared" si="0"/>
        <v>insert into ins_premium_det (premium_rcv_code,assorted_code, rec_amount,premium_rcv_detail_code,remaining_amt, payrec, mode_code,coinsurance_code,class_cd,it_remarks) values</v>
      </c>
      <c r="G19" s="48" t="str">
        <f t="shared" si="2"/>
        <v>('04Feb250013','070000172442','26700',(select max(to_number(i.premium_rcv_detail_code))+1
from ins_premium_det i),'26700','26700','02', '11000003','00','Request by Mr. Saqib Saleem 04-Feb-2024');</v>
      </c>
      <c r="H19" s="49" t="str">
        <f t="shared" si="3"/>
        <v>insert into ins_premium_det (premium_rcv_code,assorted_code, rec_amount,premium_rcv_detail_code,remaining_amt, payrec, mode_code,coinsurance_code,class_cd,it_remarks) values('04Feb250013','070000172442','26700',(select max(to_number(i.premium_rcv_detail_code))+1
from ins_premium_det i),'26700','26700','02', '11000003','00','Request by Mr. Saqib Saleem 04-Feb-2024');</v>
      </c>
    </row>
    <row r="20" spans="1:8" ht="105" x14ac:dyDescent="0.25">
      <c r="A20" s="36" t="s">
        <v>139</v>
      </c>
      <c r="B20" s="40" t="str">
        <f>VLOOKUP(A20,policy!B:C,2,0)</f>
        <v>070000172451</v>
      </c>
      <c r="C20" s="38">
        <v>26700</v>
      </c>
      <c r="D20" s="46">
        <f t="shared" si="1"/>
        <v>26700</v>
      </c>
      <c r="E20" s="52" t="s">
        <v>1735</v>
      </c>
      <c r="F20" s="47" t="str">
        <f t="shared" si="0"/>
        <v>insert into ins_premium_det (premium_rcv_code,assorted_code, rec_amount,premium_rcv_detail_code,remaining_amt, payrec, mode_code,coinsurance_code,class_cd,it_remarks) values</v>
      </c>
      <c r="G20" s="48" t="str">
        <f t="shared" si="2"/>
        <v>('04Feb250013','070000172451','26700',(select max(to_number(i.premium_rcv_detail_code))+1
from ins_premium_det i),'26700','26700','02', '11000003','00','Request by Mr. Saqib Saleem 04-Feb-2024');</v>
      </c>
      <c r="H20" s="49" t="str">
        <f t="shared" si="3"/>
        <v>insert into ins_premium_det (premium_rcv_code,assorted_code, rec_amount,premium_rcv_detail_code,remaining_amt, payrec, mode_code,coinsurance_code,class_cd,it_remarks) values('04Feb250013','070000172451','26700',(select max(to_number(i.premium_rcv_detail_code))+1
from ins_premium_det i),'26700','26700','02', '11000003','00','Request by Mr. Saqib Saleem 04-Feb-2024');</v>
      </c>
    </row>
    <row r="21" spans="1:8" ht="105" x14ac:dyDescent="0.25">
      <c r="A21" s="36" t="s">
        <v>145</v>
      </c>
      <c r="B21" s="40" t="str">
        <f>VLOOKUP(A21,policy!B:C,2,0)</f>
        <v>070000172453</v>
      </c>
      <c r="C21" s="38">
        <v>26700</v>
      </c>
      <c r="D21" s="46">
        <f t="shared" si="1"/>
        <v>26700</v>
      </c>
      <c r="E21" s="52" t="s">
        <v>1735</v>
      </c>
      <c r="F21" s="47" t="str">
        <f t="shared" si="0"/>
        <v>insert into ins_premium_det (premium_rcv_code,assorted_code, rec_amount,premium_rcv_detail_code,remaining_amt, payrec, mode_code,coinsurance_code,class_cd,it_remarks) values</v>
      </c>
      <c r="G21" s="48" t="str">
        <f t="shared" si="2"/>
        <v>('04Feb250013','070000172453','26700',(select max(to_number(i.premium_rcv_detail_code))+1
from ins_premium_det i),'26700','26700','02', '11000003','00','Request by Mr. Saqib Saleem 04-Feb-2024');</v>
      </c>
      <c r="H21" s="49" t="str">
        <f t="shared" si="3"/>
        <v>insert into ins_premium_det (premium_rcv_code,assorted_code, rec_amount,premium_rcv_detail_code,remaining_amt, payrec, mode_code,coinsurance_code,class_cd,it_remarks) values('04Feb250013','070000172453','26700',(select max(to_number(i.premium_rcv_detail_code))+1
from ins_premium_det i),'26700','26700','02', '11000003','00','Request by Mr. Saqib Saleem 04-Feb-2024');</v>
      </c>
    </row>
    <row r="22" spans="1:8" ht="105" x14ac:dyDescent="0.25">
      <c r="A22" s="36" t="s">
        <v>151</v>
      </c>
      <c r="B22" s="40" t="str">
        <f>VLOOKUP(A22,policy!B:C,2,0)</f>
        <v>070000172745</v>
      </c>
      <c r="C22" s="38">
        <v>24208</v>
      </c>
      <c r="D22" s="46">
        <f t="shared" si="1"/>
        <v>24208</v>
      </c>
      <c r="E22" s="52" t="s">
        <v>1735</v>
      </c>
      <c r="F22" s="47" t="str">
        <f t="shared" si="0"/>
        <v>insert into ins_premium_det (premium_rcv_code,assorted_code, rec_amount,premium_rcv_detail_code,remaining_amt, payrec, mode_code,coinsurance_code,class_cd,it_remarks) values</v>
      </c>
      <c r="G22" s="48" t="str">
        <f t="shared" si="2"/>
        <v>('04Feb250013','070000172745','24208',(select max(to_number(i.premium_rcv_detail_code))+1
from ins_premium_det i),'24208','24208','02', '11000003','00','Request by Mr. Saqib Saleem 04-Feb-2024');</v>
      </c>
      <c r="H22" s="49" t="str">
        <f t="shared" si="3"/>
        <v>insert into ins_premium_det (premium_rcv_code,assorted_code, rec_amount,premium_rcv_detail_code,remaining_amt, payrec, mode_code,coinsurance_code,class_cd,it_remarks) values('04Feb250013','070000172745','24208',(select max(to_number(i.premium_rcv_detail_code))+1
from ins_premium_det i),'24208','24208','02', '11000003','00','Request by Mr. Saqib Saleem 04-Feb-2024');</v>
      </c>
    </row>
    <row r="23" spans="1:8" ht="105" x14ac:dyDescent="0.25">
      <c r="A23" s="36" t="s">
        <v>157</v>
      </c>
      <c r="B23" s="40" t="str">
        <f>VLOOKUP(A23,policy!B:C,2,0)</f>
        <v>070000172746</v>
      </c>
      <c r="C23" s="38">
        <v>24208</v>
      </c>
      <c r="D23" s="46">
        <f t="shared" si="1"/>
        <v>24208</v>
      </c>
      <c r="E23" s="52" t="s">
        <v>1735</v>
      </c>
      <c r="F23" s="47" t="str">
        <f t="shared" si="0"/>
        <v>insert into ins_premium_det (premium_rcv_code,assorted_code, rec_amount,premium_rcv_detail_code,remaining_amt, payrec, mode_code,coinsurance_code,class_cd,it_remarks) values</v>
      </c>
      <c r="G23" s="48" t="str">
        <f t="shared" si="2"/>
        <v>('04Feb250013','070000172746','24208',(select max(to_number(i.premium_rcv_detail_code))+1
from ins_premium_det i),'24208','24208','02', '11000003','00','Request by Mr. Saqib Saleem 04-Feb-2024');</v>
      </c>
      <c r="H23" s="49" t="str">
        <f t="shared" si="3"/>
        <v>insert into ins_premium_det (premium_rcv_code,assorted_code, rec_amount,premium_rcv_detail_code,remaining_amt, payrec, mode_code,coinsurance_code,class_cd,it_remarks) values('04Feb250013','070000172746','24208',(select max(to_number(i.premium_rcv_detail_code))+1
from ins_premium_det i),'24208','24208','02', '11000003','00','Request by Mr. Saqib Saleem 04-Feb-2024');</v>
      </c>
    </row>
    <row r="24" spans="1:8" ht="105" x14ac:dyDescent="0.25">
      <c r="A24" s="36" t="s">
        <v>164</v>
      </c>
      <c r="B24" s="40" t="str">
        <f>VLOOKUP(A24,policy!B:C,2,0)</f>
        <v>070000172468</v>
      </c>
      <c r="C24" s="38">
        <v>26869</v>
      </c>
      <c r="D24" s="46">
        <f t="shared" si="1"/>
        <v>26869</v>
      </c>
      <c r="E24" s="52" t="s">
        <v>1735</v>
      </c>
      <c r="F24" s="47" t="str">
        <f t="shared" si="0"/>
        <v>insert into ins_premium_det (premium_rcv_code,assorted_code, rec_amount,premium_rcv_detail_code,remaining_amt, payrec, mode_code,coinsurance_code,class_cd,it_remarks) values</v>
      </c>
      <c r="G24" s="48" t="str">
        <f t="shared" si="2"/>
        <v>('04Feb250013','070000172468','26869',(select max(to_number(i.premium_rcv_detail_code))+1
from ins_premium_det i),'26869','26869','02', '11000003','00','Request by Mr. Saqib Saleem 04-Feb-2024');</v>
      </c>
      <c r="H24" s="49" t="str">
        <f t="shared" si="3"/>
        <v>insert into ins_premium_det (premium_rcv_code,assorted_code, rec_amount,premium_rcv_detail_code,remaining_amt, payrec, mode_code,coinsurance_code,class_cd,it_remarks) values('04Feb250013','070000172468','26869',(select max(to_number(i.premium_rcv_detail_code))+1
from ins_premium_det i),'26869','26869','02', '11000003','00','Request by Mr. Saqib Saleem 04-Feb-2024');</v>
      </c>
    </row>
    <row r="25" spans="1:8" ht="105" x14ac:dyDescent="0.25">
      <c r="A25" s="36" t="s">
        <v>170</v>
      </c>
      <c r="B25" s="40" t="str">
        <f>VLOOKUP(A25,policy!B:C,2,0)</f>
        <v>070000172479</v>
      </c>
      <c r="C25" s="38">
        <v>26869</v>
      </c>
      <c r="D25" s="46">
        <f t="shared" si="1"/>
        <v>26869</v>
      </c>
      <c r="E25" s="52" t="s">
        <v>1735</v>
      </c>
      <c r="F25" s="47" t="str">
        <f t="shared" si="0"/>
        <v>insert into ins_premium_det (premium_rcv_code,assorted_code, rec_amount,premium_rcv_detail_code,remaining_amt, payrec, mode_code,coinsurance_code,class_cd,it_remarks) values</v>
      </c>
      <c r="G25" s="48" t="str">
        <f t="shared" si="2"/>
        <v>('04Feb250013','070000172479','26869',(select max(to_number(i.premium_rcv_detail_code))+1
from ins_premium_det i),'26869','26869','02', '11000003','00','Request by Mr. Saqib Saleem 04-Feb-2024');</v>
      </c>
      <c r="H25" s="49" t="str">
        <f t="shared" si="3"/>
        <v>insert into ins_premium_det (premium_rcv_code,assorted_code, rec_amount,premium_rcv_detail_code,remaining_amt, payrec, mode_code,coinsurance_code,class_cd,it_remarks) values('04Feb250013','070000172479','26869',(select max(to_number(i.premium_rcv_detail_code))+1
from ins_premium_det i),'26869','26869','02', '11000003','00','Request by Mr. Saqib Saleem 04-Feb-2024');</v>
      </c>
    </row>
    <row r="26" spans="1:8" ht="105" x14ac:dyDescent="0.25">
      <c r="A26" s="36" t="s">
        <v>177</v>
      </c>
      <c r="B26" s="40" t="str">
        <f>VLOOKUP(A26,policy!B:C,2,0)</f>
        <v>070000172475</v>
      </c>
      <c r="C26" s="38">
        <v>26869</v>
      </c>
      <c r="D26" s="46">
        <f t="shared" si="1"/>
        <v>26869</v>
      </c>
      <c r="E26" s="52" t="s">
        <v>1735</v>
      </c>
      <c r="F26" s="47" t="str">
        <f t="shared" si="0"/>
        <v>insert into ins_premium_det (premium_rcv_code,assorted_code, rec_amount,premium_rcv_detail_code,remaining_amt, payrec, mode_code,coinsurance_code,class_cd,it_remarks) values</v>
      </c>
      <c r="G26" s="48" t="str">
        <f t="shared" si="2"/>
        <v>('04Feb250013','070000172475','26869',(select max(to_number(i.premium_rcv_detail_code))+1
from ins_premium_det i),'26869','26869','02', '11000003','00','Request by Mr. Saqib Saleem 04-Feb-2024');</v>
      </c>
      <c r="H26" s="49" t="str">
        <f t="shared" si="3"/>
        <v>insert into ins_premium_det (premium_rcv_code,assorted_code, rec_amount,premium_rcv_detail_code,remaining_amt, payrec, mode_code,coinsurance_code,class_cd,it_remarks) values('04Feb250013','070000172475','26869',(select max(to_number(i.premium_rcv_detail_code))+1
from ins_premium_det i),'26869','26869','02', '11000003','00','Request by Mr. Saqib Saleem 04-Feb-2024');</v>
      </c>
    </row>
    <row r="27" spans="1:8" ht="105" x14ac:dyDescent="0.25">
      <c r="A27" s="36" t="s">
        <v>183</v>
      </c>
      <c r="B27" s="40" t="str">
        <f>VLOOKUP(A27,policy!B:C,2,0)</f>
        <v>070000172394</v>
      </c>
      <c r="C27" s="38">
        <v>25075</v>
      </c>
      <c r="D27" s="46">
        <f t="shared" si="1"/>
        <v>25075</v>
      </c>
      <c r="E27" s="52" t="s">
        <v>1735</v>
      </c>
      <c r="F27" s="47" t="str">
        <f t="shared" si="0"/>
        <v>insert into ins_premium_det (premium_rcv_code,assorted_code, rec_amount,premium_rcv_detail_code,remaining_amt, payrec, mode_code,coinsurance_code,class_cd,it_remarks) values</v>
      </c>
      <c r="G27" s="48" t="str">
        <f t="shared" si="2"/>
        <v>('04Feb250013','070000172394','25075',(select max(to_number(i.premium_rcv_detail_code))+1
from ins_premium_det i),'25075','25075','02', '11000003','00','Request by Mr. Saqib Saleem 04-Feb-2024');</v>
      </c>
      <c r="H27" s="49" t="str">
        <f t="shared" si="3"/>
        <v>insert into ins_premium_det (premium_rcv_code,assorted_code, rec_amount,premium_rcv_detail_code,remaining_amt, payrec, mode_code,coinsurance_code,class_cd,it_remarks) values('04Feb250013','070000172394','25075',(select max(to_number(i.premium_rcv_detail_code))+1
from ins_premium_det i),'25075','25075','02', '11000003','00','Request by Mr. Saqib Saleem 04-Feb-2024');</v>
      </c>
    </row>
    <row r="28" spans="1:8" ht="105" x14ac:dyDescent="0.25">
      <c r="A28" s="36" t="s">
        <v>190</v>
      </c>
      <c r="B28" s="40" t="str">
        <f>VLOOKUP(A28,policy!B:C,2,0)</f>
        <v>070000172435</v>
      </c>
      <c r="C28" s="38">
        <v>21112</v>
      </c>
      <c r="D28" s="46">
        <f t="shared" si="1"/>
        <v>21112</v>
      </c>
      <c r="E28" s="52" t="s">
        <v>1735</v>
      </c>
      <c r="F28" s="47" t="str">
        <f t="shared" si="0"/>
        <v>insert into ins_premium_det (premium_rcv_code,assorted_code, rec_amount,premium_rcv_detail_code,remaining_amt, payrec, mode_code,coinsurance_code,class_cd,it_remarks) values</v>
      </c>
      <c r="G28" s="48" t="str">
        <f t="shared" si="2"/>
        <v>('04Feb250013','070000172435','21112',(select max(to_number(i.premium_rcv_detail_code))+1
from ins_premium_det i),'21112','21112','02', '11000003','00','Request by Mr. Saqib Saleem 04-Feb-2024');</v>
      </c>
      <c r="H28" s="49" t="str">
        <f t="shared" si="3"/>
        <v>insert into ins_premium_det (premium_rcv_code,assorted_code, rec_amount,premium_rcv_detail_code,remaining_amt, payrec, mode_code,coinsurance_code,class_cd,it_remarks) values('04Feb250013','070000172435','21112',(select max(to_number(i.premium_rcv_detail_code))+1
from ins_premium_det i),'21112','21112','02', '11000003','00','Request by Mr. Saqib Saleem 04-Feb-2024');</v>
      </c>
    </row>
    <row r="29" spans="1:8" ht="105" x14ac:dyDescent="0.25">
      <c r="A29" s="36" t="s">
        <v>196</v>
      </c>
      <c r="B29" s="40" t="str">
        <f>VLOOKUP(A29,policy!B:C,2,0)</f>
        <v>070000172447</v>
      </c>
      <c r="C29" s="38">
        <v>21112</v>
      </c>
      <c r="D29" s="46">
        <f t="shared" si="1"/>
        <v>21112</v>
      </c>
      <c r="E29" s="52" t="s">
        <v>1735</v>
      </c>
      <c r="F29" s="47" t="str">
        <f t="shared" si="0"/>
        <v>insert into ins_premium_det (premium_rcv_code,assorted_code, rec_amount,premium_rcv_detail_code,remaining_amt, payrec, mode_code,coinsurance_code,class_cd,it_remarks) values</v>
      </c>
      <c r="G29" s="48" t="str">
        <f t="shared" si="2"/>
        <v>('04Feb250013','070000172447','21112',(select max(to_number(i.premium_rcv_detail_code))+1
from ins_premium_det i),'21112','21112','02', '11000003','00','Request by Mr. Saqib Saleem 04-Feb-2024');</v>
      </c>
      <c r="H29" s="49" t="str">
        <f t="shared" si="3"/>
        <v>insert into ins_premium_det (premium_rcv_code,assorted_code, rec_amount,premium_rcv_detail_code,remaining_amt, payrec, mode_code,coinsurance_code,class_cd,it_remarks) values('04Feb250013','070000172447','21112',(select max(to_number(i.premium_rcv_detail_code))+1
from ins_premium_det i),'21112','21112','02', '11000003','00','Request by Mr. Saqib Saleem 04-Feb-2024');</v>
      </c>
    </row>
    <row r="30" spans="1:8" ht="105" x14ac:dyDescent="0.25">
      <c r="A30" s="36" t="s">
        <v>205</v>
      </c>
      <c r="B30" s="40" t="str">
        <f>VLOOKUP(A30,policy!B:C,2,0)</f>
        <v>070000172456</v>
      </c>
      <c r="C30" s="38">
        <v>21112</v>
      </c>
      <c r="D30" s="46">
        <f t="shared" si="1"/>
        <v>21112</v>
      </c>
      <c r="E30" s="52" t="s">
        <v>1735</v>
      </c>
      <c r="F30" s="47" t="str">
        <f t="shared" si="0"/>
        <v>insert into ins_premium_det (premium_rcv_code,assorted_code, rec_amount,premium_rcv_detail_code,remaining_amt, payrec, mode_code,coinsurance_code,class_cd,it_remarks) values</v>
      </c>
      <c r="G30" s="48" t="str">
        <f t="shared" si="2"/>
        <v>('04Feb250013','070000172456','21112',(select max(to_number(i.premium_rcv_detail_code))+1
from ins_premium_det i),'21112','21112','02', '11000003','00','Request by Mr. Saqib Saleem 04-Feb-2024');</v>
      </c>
      <c r="H30" s="49" t="str">
        <f t="shared" si="3"/>
        <v>insert into ins_premium_det (premium_rcv_code,assorted_code, rec_amount,premium_rcv_detail_code,remaining_amt, payrec, mode_code,coinsurance_code,class_cd,it_remarks) values('04Feb250013','070000172456','21112',(select max(to_number(i.premium_rcv_detail_code))+1
from ins_premium_det i),'21112','21112','02', '11000003','00','Request by Mr. Saqib Saleem 04-Feb-2024');</v>
      </c>
    </row>
    <row r="31" spans="1:8" ht="105" x14ac:dyDescent="0.25">
      <c r="A31" s="36" t="s">
        <v>212</v>
      </c>
      <c r="B31" s="40" t="str">
        <f>VLOOKUP(A31,policy!B:C,2,0)</f>
        <v>070000172415</v>
      </c>
      <c r="C31" s="38">
        <v>21546</v>
      </c>
      <c r="D31" s="46">
        <f t="shared" si="1"/>
        <v>21546</v>
      </c>
      <c r="E31" s="52" t="s">
        <v>1735</v>
      </c>
      <c r="F31" s="47" t="str">
        <f t="shared" si="0"/>
        <v>insert into ins_premium_det (premium_rcv_code,assorted_code, rec_amount,premium_rcv_detail_code,remaining_amt, payrec, mode_code,coinsurance_code,class_cd,it_remarks) values</v>
      </c>
      <c r="G31" s="48" t="str">
        <f t="shared" si="2"/>
        <v>('04Feb250013','070000172415','21546',(select max(to_number(i.premium_rcv_detail_code))+1
from ins_premium_det i),'21546','21546','02', '11000003','00','Request by Mr. Saqib Saleem 04-Feb-2024');</v>
      </c>
      <c r="H31" s="49" t="str">
        <f t="shared" si="3"/>
        <v>insert into ins_premium_det (premium_rcv_code,assorted_code, rec_amount,premium_rcv_detail_code,remaining_amt, payrec, mode_code,coinsurance_code,class_cd,it_remarks) values('04Feb250013','070000172415','21546',(select max(to_number(i.premium_rcv_detail_code))+1
from ins_premium_det i),'21546','21546','02', '11000003','00','Request by Mr. Saqib Saleem 04-Feb-2024');</v>
      </c>
    </row>
    <row r="32" spans="1:8" ht="105" x14ac:dyDescent="0.25">
      <c r="A32" s="36" t="s">
        <v>219</v>
      </c>
      <c r="B32" s="40" t="str">
        <f>VLOOKUP(A32,policy!B:C,2,0)</f>
        <v>070000172374</v>
      </c>
      <c r="C32" s="38">
        <v>32853</v>
      </c>
      <c r="D32" s="46">
        <f t="shared" si="1"/>
        <v>32853</v>
      </c>
      <c r="E32" s="52" t="s">
        <v>1735</v>
      </c>
      <c r="F32" s="47" t="str">
        <f t="shared" si="0"/>
        <v>insert into ins_premium_det (premium_rcv_code,assorted_code, rec_amount,premium_rcv_detail_code,remaining_amt, payrec, mode_code,coinsurance_code,class_cd,it_remarks) values</v>
      </c>
      <c r="G32" s="48" t="str">
        <f t="shared" si="2"/>
        <v>('04Feb250013','070000172374','32853',(select max(to_number(i.premium_rcv_detail_code))+1
from ins_premium_det i),'32853','32853','02', '11000003','00','Request by Mr. Saqib Saleem 04-Feb-2024');</v>
      </c>
      <c r="H32" s="49" t="str">
        <f t="shared" si="3"/>
        <v>insert into ins_premium_det (premium_rcv_code,assorted_code, rec_amount,premium_rcv_detail_code,remaining_amt, payrec, mode_code,coinsurance_code,class_cd,it_remarks) values('04Feb250013','070000172374','32853',(select max(to_number(i.premium_rcv_detail_code))+1
from ins_premium_det i),'32853','32853','02', '11000003','00','Request by Mr. Saqib Saleem 04-Feb-2024');</v>
      </c>
    </row>
    <row r="33" spans="1:8" ht="105" x14ac:dyDescent="0.25">
      <c r="A33" s="36" t="s">
        <v>226</v>
      </c>
      <c r="B33" s="40" t="str">
        <f>VLOOKUP(A33,policy!B:C,2,0)</f>
        <v>070000172452</v>
      </c>
      <c r="C33" s="38">
        <v>32200</v>
      </c>
      <c r="D33" s="46">
        <f t="shared" si="1"/>
        <v>32200</v>
      </c>
      <c r="E33" s="52" t="s">
        <v>1735</v>
      </c>
      <c r="F33" s="47" t="str">
        <f t="shared" si="0"/>
        <v>insert into ins_premium_det (premium_rcv_code,assorted_code, rec_amount,premium_rcv_detail_code,remaining_amt, payrec, mode_code,coinsurance_code,class_cd,it_remarks) values</v>
      </c>
      <c r="G33" s="48" t="str">
        <f t="shared" si="2"/>
        <v>('04Feb250013','070000172452','32200',(select max(to_number(i.premium_rcv_detail_code))+1
from ins_premium_det i),'32200','32200','02', '11000003','00','Request by Mr. Saqib Saleem 04-Feb-2024');</v>
      </c>
      <c r="H33" s="49" t="str">
        <f t="shared" si="3"/>
        <v>insert into ins_premium_det (premium_rcv_code,assorted_code, rec_amount,premium_rcv_detail_code,remaining_amt, payrec, mode_code,coinsurance_code,class_cd,it_remarks) values('04Feb250013','070000172452','32200',(select max(to_number(i.premium_rcv_detail_code))+1
from ins_premium_det i),'32200','32200','02', '11000003','00','Request by Mr. Saqib Saleem 04-Feb-2024');</v>
      </c>
    </row>
    <row r="34" spans="1:8" ht="105" x14ac:dyDescent="0.25">
      <c r="A34" s="36" t="s">
        <v>234</v>
      </c>
      <c r="B34" s="40" t="str">
        <f>VLOOKUP(A34,policy!B:C,2,0)</f>
        <v>070000172416</v>
      </c>
      <c r="C34" s="38">
        <v>32200</v>
      </c>
      <c r="D34" s="46">
        <f t="shared" si="1"/>
        <v>32200</v>
      </c>
      <c r="E34" s="52" t="s">
        <v>1735</v>
      </c>
      <c r="F34" s="47" t="str">
        <f t="shared" si="0"/>
        <v>insert into ins_premium_det (premium_rcv_code,assorted_code, rec_amount,premium_rcv_detail_code,remaining_amt, payrec, mode_code,coinsurance_code,class_cd,it_remarks) values</v>
      </c>
      <c r="G34" s="48" t="str">
        <f t="shared" si="2"/>
        <v>('04Feb250013','070000172416','32200',(select max(to_number(i.premium_rcv_detail_code))+1
from ins_premium_det i),'32200','32200','02', '11000003','00','Request by Mr. Saqib Saleem 04-Feb-2024');</v>
      </c>
      <c r="H34" s="49" t="str">
        <f t="shared" si="3"/>
        <v>insert into ins_premium_det (premium_rcv_code,assorted_code, rec_amount,premium_rcv_detail_code,remaining_amt, payrec, mode_code,coinsurance_code,class_cd,it_remarks) values('04Feb250013','070000172416','32200',(select max(to_number(i.premium_rcv_detail_code))+1
from ins_premium_det i),'32200','32200','02', '11000003','00','Request by Mr. Saqib Saleem 04-Feb-2024');</v>
      </c>
    </row>
    <row r="35" spans="1:8" ht="105" x14ac:dyDescent="0.25">
      <c r="A35" s="36" t="s">
        <v>240</v>
      </c>
      <c r="B35" s="40" t="str">
        <f>VLOOKUP(A35,policy!B:C,2,0)</f>
        <v>070000172437</v>
      </c>
      <c r="C35" s="38">
        <v>32200</v>
      </c>
      <c r="D35" s="46">
        <f t="shared" si="1"/>
        <v>32200</v>
      </c>
      <c r="E35" s="52" t="s">
        <v>1735</v>
      </c>
      <c r="F35" s="47" t="str">
        <f t="shared" si="0"/>
        <v>insert into ins_premium_det (premium_rcv_code,assorted_code, rec_amount,premium_rcv_detail_code,remaining_amt, payrec, mode_code,coinsurance_code,class_cd,it_remarks) values</v>
      </c>
      <c r="G35" s="48" t="str">
        <f t="shared" si="2"/>
        <v>('04Feb250013','070000172437','32200',(select max(to_number(i.premium_rcv_detail_code))+1
from ins_premium_det i),'32200','32200','02', '11000003','00','Request by Mr. Saqib Saleem 04-Feb-2024');</v>
      </c>
      <c r="H35" s="49" t="str">
        <f t="shared" si="3"/>
        <v>insert into ins_premium_det (premium_rcv_code,assorted_code, rec_amount,premium_rcv_detail_code,remaining_amt, payrec, mode_code,coinsurance_code,class_cd,it_remarks) values('04Feb250013','070000172437','32200',(select max(to_number(i.premium_rcv_detail_code))+1
from ins_premium_det i),'32200','32200','02', '11000003','00','Request by Mr. Saqib Saleem 04-Feb-2024');</v>
      </c>
    </row>
    <row r="36" spans="1:8" ht="105" x14ac:dyDescent="0.25">
      <c r="A36" s="36" t="s">
        <v>248</v>
      </c>
      <c r="B36" s="40" t="str">
        <f>VLOOKUP(A36,policy!B:C,2,0)</f>
        <v>070000172462</v>
      </c>
      <c r="C36" s="38">
        <v>32200</v>
      </c>
      <c r="D36" s="46">
        <f t="shared" si="1"/>
        <v>32200</v>
      </c>
      <c r="E36" s="52" t="s">
        <v>1735</v>
      </c>
      <c r="F36" s="47" t="str">
        <f t="shared" si="0"/>
        <v>insert into ins_premium_det (premium_rcv_code,assorted_code, rec_amount,premium_rcv_detail_code,remaining_amt, payrec, mode_code,coinsurance_code,class_cd,it_remarks) values</v>
      </c>
      <c r="G36" s="48" t="str">
        <f t="shared" si="2"/>
        <v>('04Feb250013','070000172462','32200',(select max(to_number(i.premium_rcv_detail_code))+1
from ins_premium_det i),'32200','32200','02', '11000003','00','Request by Mr. Saqib Saleem 04-Feb-2024');</v>
      </c>
      <c r="H36" s="49" t="str">
        <f t="shared" si="3"/>
        <v>insert into ins_premium_det (premium_rcv_code,assorted_code, rec_amount,premium_rcv_detail_code,remaining_amt, payrec, mode_code,coinsurance_code,class_cd,it_remarks) values('04Feb250013','070000172462','32200',(select max(to_number(i.premium_rcv_detail_code))+1
from ins_premium_det i),'32200','32200','02', '11000003','00','Request by Mr. Saqib Saleem 04-Feb-2024');</v>
      </c>
    </row>
    <row r="37" spans="1:8" ht="105" x14ac:dyDescent="0.25">
      <c r="A37" s="36" t="s">
        <v>254</v>
      </c>
      <c r="B37" s="40" t="str">
        <f>VLOOKUP(A37,policy!B:C,2,0)</f>
        <v>070000172485</v>
      </c>
      <c r="C37" s="38">
        <v>30619</v>
      </c>
      <c r="D37" s="46">
        <f t="shared" si="1"/>
        <v>30619</v>
      </c>
      <c r="E37" s="52" t="s">
        <v>1735</v>
      </c>
      <c r="F37" s="47" t="str">
        <f t="shared" si="0"/>
        <v>insert into ins_premium_det (premium_rcv_code,assorted_code, rec_amount,premium_rcv_detail_code,remaining_amt, payrec, mode_code,coinsurance_code,class_cd,it_remarks) values</v>
      </c>
      <c r="G37" s="48" t="str">
        <f t="shared" si="2"/>
        <v>('04Feb250013','070000172485','30619',(select max(to_number(i.premium_rcv_detail_code))+1
from ins_premium_det i),'30619','30619','02', '11000003','00','Request by Mr. Saqib Saleem 04-Feb-2024');</v>
      </c>
      <c r="H37" s="49" t="str">
        <f t="shared" si="3"/>
        <v>insert into ins_premium_det (premium_rcv_code,assorted_code, rec_amount,premium_rcv_detail_code,remaining_amt, payrec, mode_code,coinsurance_code,class_cd,it_remarks) values('04Feb250013','070000172485','30619',(select max(to_number(i.premium_rcv_detail_code))+1
from ins_premium_det i),'30619','30619','02', '11000003','00','Request by Mr. Saqib Saleem 04-Feb-2024');</v>
      </c>
    </row>
    <row r="38" spans="1:8" ht="105" x14ac:dyDescent="0.25">
      <c r="A38" s="36" t="s">
        <v>261</v>
      </c>
      <c r="B38" s="40" t="str">
        <f>VLOOKUP(A38,policy!B:C,2,0)</f>
        <v>070000172487</v>
      </c>
      <c r="C38" s="38">
        <v>30619</v>
      </c>
      <c r="D38" s="46">
        <f t="shared" si="1"/>
        <v>30619</v>
      </c>
      <c r="E38" s="52" t="s">
        <v>1735</v>
      </c>
      <c r="F38" s="47" t="str">
        <f t="shared" si="0"/>
        <v>insert into ins_premium_det (premium_rcv_code,assorted_code, rec_amount,premium_rcv_detail_code,remaining_amt, payrec, mode_code,coinsurance_code,class_cd,it_remarks) values</v>
      </c>
      <c r="G38" s="48" t="str">
        <f t="shared" si="2"/>
        <v>('04Feb250013','070000172487','30619',(select max(to_number(i.premium_rcv_detail_code))+1
from ins_premium_det i),'30619','30619','02', '11000003','00','Request by Mr. Saqib Saleem 04-Feb-2024');</v>
      </c>
      <c r="H38" s="49" t="str">
        <f t="shared" si="3"/>
        <v>insert into ins_premium_det (premium_rcv_code,assorted_code, rec_amount,premium_rcv_detail_code,remaining_amt, payrec, mode_code,coinsurance_code,class_cd,it_remarks) values('04Feb250013','070000172487','30619',(select max(to_number(i.premium_rcv_detail_code))+1
from ins_premium_det i),'30619','30619','02', '11000003','00','Request by Mr. Saqib Saleem 04-Feb-2024');</v>
      </c>
    </row>
    <row r="39" spans="1:8" ht="105" x14ac:dyDescent="0.25">
      <c r="A39" s="36" t="s">
        <v>267</v>
      </c>
      <c r="B39" s="40" t="str">
        <f>VLOOKUP(A39,policy!B:C,2,0)</f>
        <v>070000172482</v>
      </c>
      <c r="C39" s="38">
        <v>30750</v>
      </c>
      <c r="D39" s="46">
        <f t="shared" si="1"/>
        <v>30750</v>
      </c>
      <c r="E39" s="52" t="s">
        <v>1735</v>
      </c>
      <c r="F39" s="47" t="str">
        <f t="shared" si="0"/>
        <v>insert into ins_premium_det (premium_rcv_code,assorted_code, rec_amount,premium_rcv_detail_code,remaining_amt, payrec, mode_code,coinsurance_code,class_cd,it_remarks) values</v>
      </c>
      <c r="G39" s="48" t="str">
        <f t="shared" si="2"/>
        <v>('04Feb250013','070000172482','30750',(select max(to_number(i.premium_rcv_detail_code))+1
from ins_premium_det i),'30750','30750','02', '11000003','00','Request by Mr. Saqib Saleem 04-Feb-2024');</v>
      </c>
      <c r="H39" s="49" t="str">
        <f t="shared" si="3"/>
        <v>insert into ins_premium_det (premium_rcv_code,assorted_code, rec_amount,premium_rcv_detail_code,remaining_amt, payrec, mode_code,coinsurance_code,class_cd,it_remarks) values('04Feb250013','070000172482','30750',(select max(to_number(i.premium_rcv_detail_code))+1
from ins_premium_det i),'30750','30750','02', '11000003','00','Request by Mr. Saqib Saleem 04-Feb-2024');</v>
      </c>
    </row>
    <row r="40" spans="1:8" ht="105" x14ac:dyDescent="0.25">
      <c r="A40" s="36" t="s">
        <v>273</v>
      </c>
      <c r="B40" s="40" t="str">
        <f>VLOOKUP(A40,policy!B:C,2,0)</f>
        <v>070000172419</v>
      </c>
      <c r="C40" s="38">
        <v>23100</v>
      </c>
      <c r="D40" s="46">
        <f t="shared" si="1"/>
        <v>23100</v>
      </c>
      <c r="E40" s="52" t="s">
        <v>1735</v>
      </c>
      <c r="F40" s="47" t="str">
        <f t="shared" si="0"/>
        <v>insert into ins_premium_det (premium_rcv_code,assorted_code, rec_amount,premium_rcv_detail_code,remaining_amt, payrec, mode_code,coinsurance_code,class_cd,it_remarks) values</v>
      </c>
      <c r="G40" s="48" t="str">
        <f t="shared" si="2"/>
        <v>('04Feb250013','070000172419','23100',(select max(to_number(i.premium_rcv_detail_code))+1
from ins_premium_det i),'23100','23100','02', '11000003','00','Request by Mr. Saqib Saleem 04-Feb-2024');</v>
      </c>
      <c r="H40" s="49" t="str">
        <f t="shared" si="3"/>
        <v>insert into ins_premium_det (premium_rcv_code,assorted_code, rec_amount,premium_rcv_detail_code,remaining_amt, payrec, mode_code,coinsurance_code,class_cd,it_remarks) values('04Feb250013','070000172419','23100',(select max(to_number(i.premium_rcv_detail_code))+1
from ins_premium_det i),'23100','23100','02', '11000003','00','Request by Mr. Saqib Saleem 04-Feb-2024');</v>
      </c>
    </row>
    <row r="41" spans="1:8" ht="105" x14ac:dyDescent="0.25">
      <c r="A41" s="36" t="s">
        <v>279</v>
      </c>
      <c r="B41" s="40" t="str">
        <f>VLOOKUP(A41,policy!B:C,2,0)</f>
        <v>070000172406</v>
      </c>
      <c r="C41" s="38">
        <v>28900</v>
      </c>
      <c r="D41" s="46">
        <f t="shared" si="1"/>
        <v>28900</v>
      </c>
      <c r="E41" s="52" t="s">
        <v>1735</v>
      </c>
      <c r="F41" s="47" t="str">
        <f t="shared" si="0"/>
        <v>insert into ins_premium_det (premium_rcv_code,assorted_code, rec_amount,premium_rcv_detail_code,remaining_amt, payrec, mode_code,coinsurance_code,class_cd,it_remarks) values</v>
      </c>
      <c r="G41" s="48" t="str">
        <f t="shared" si="2"/>
        <v>('04Feb250013','070000172406','28900',(select max(to_number(i.premium_rcv_detail_code))+1
from ins_premium_det i),'28900','28900','02', '11000003','00','Request by Mr. Saqib Saleem 04-Feb-2024');</v>
      </c>
      <c r="H41" s="49" t="str">
        <f t="shared" si="3"/>
        <v>insert into ins_premium_det (premium_rcv_code,assorted_code, rec_amount,premium_rcv_detail_code,remaining_amt, payrec, mode_code,coinsurance_code,class_cd,it_remarks) values('04Feb250013','070000172406','28900',(select max(to_number(i.premium_rcv_detail_code))+1
from ins_premium_det i),'28900','28900','02', '11000003','00','Request by Mr. Saqib Saleem 04-Feb-2024');</v>
      </c>
    </row>
    <row r="42" spans="1:8" ht="105" x14ac:dyDescent="0.25">
      <c r="A42" s="36" t="s">
        <v>286</v>
      </c>
      <c r="B42" s="40" t="str">
        <f>VLOOKUP(A42,policy!B:C,2,0)</f>
        <v>070000172486</v>
      </c>
      <c r="C42" s="38">
        <v>32438</v>
      </c>
      <c r="D42" s="46">
        <f t="shared" si="1"/>
        <v>32438</v>
      </c>
      <c r="E42" s="52" t="s">
        <v>1735</v>
      </c>
      <c r="F42" s="47" t="str">
        <f t="shared" si="0"/>
        <v>insert into ins_premium_det (premium_rcv_code,assorted_code, rec_amount,premium_rcv_detail_code,remaining_amt, payrec, mode_code,coinsurance_code,class_cd,it_remarks) values</v>
      </c>
      <c r="G42" s="48" t="str">
        <f t="shared" si="2"/>
        <v>('04Feb250013','070000172486','32438',(select max(to_number(i.premium_rcv_detail_code))+1
from ins_premium_det i),'32438','32438','02', '11000003','00','Request by Mr. Saqib Saleem 04-Feb-2024');</v>
      </c>
      <c r="H42" s="49" t="str">
        <f t="shared" si="3"/>
        <v>insert into ins_premium_det (premium_rcv_code,assorted_code, rec_amount,premium_rcv_detail_code,remaining_amt, payrec, mode_code,coinsurance_code,class_cd,it_remarks) values('04Feb250013','070000172486','32438',(select max(to_number(i.premium_rcv_detail_code))+1
from ins_premium_det i),'32438','32438','02', '11000003','00','Request by Mr. Saqib Saleem 04-Feb-2024');</v>
      </c>
    </row>
    <row r="43" spans="1:8" ht="105" x14ac:dyDescent="0.25">
      <c r="A43" s="36" t="s">
        <v>293</v>
      </c>
      <c r="B43" s="40" t="str">
        <f>VLOOKUP(A43,policy!B:C,2,0)</f>
        <v>070000172414</v>
      </c>
      <c r="C43" s="38">
        <v>24220</v>
      </c>
      <c r="D43" s="46">
        <f t="shared" si="1"/>
        <v>24220</v>
      </c>
      <c r="E43" s="52" t="s">
        <v>1735</v>
      </c>
      <c r="F43" s="47" t="str">
        <f t="shared" si="0"/>
        <v>insert into ins_premium_det (premium_rcv_code,assorted_code, rec_amount,premium_rcv_detail_code,remaining_amt, payrec, mode_code,coinsurance_code,class_cd,it_remarks) values</v>
      </c>
      <c r="G43" s="48" t="str">
        <f t="shared" si="2"/>
        <v>('04Feb250013','070000172414','24220',(select max(to_number(i.premium_rcv_detail_code))+1
from ins_premium_det i),'24220','24220','02', '11000003','00','Request by Mr. Saqib Saleem 04-Feb-2024');</v>
      </c>
      <c r="H43" s="49" t="str">
        <f t="shared" si="3"/>
        <v>insert into ins_premium_det (premium_rcv_code,assorted_code, rec_amount,premium_rcv_detail_code,remaining_amt, payrec, mode_code,coinsurance_code,class_cd,it_remarks) values('04Feb250013','070000172414','24220',(select max(to_number(i.premium_rcv_detail_code))+1
from ins_premium_det i),'24220','24220','02', '11000003','00','Request by Mr. Saqib Saleem 04-Feb-2024');</v>
      </c>
    </row>
    <row r="44" spans="1:8" ht="105" x14ac:dyDescent="0.25">
      <c r="A44" s="36" t="s">
        <v>301</v>
      </c>
      <c r="B44" s="40" t="str">
        <f>VLOOKUP(A44,policy!B:C,2,0)</f>
        <v>070000172376</v>
      </c>
      <c r="C44" s="38">
        <v>29461</v>
      </c>
      <c r="D44" s="46">
        <f t="shared" si="1"/>
        <v>29461</v>
      </c>
      <c r="E44" s="52" t="s">
        <v>1735</v>
      </c>
      <c r="F44" s="47" t="str">
        <f t="shared" si="0"/>
        <v>insert into ins_premium_det (premium_rcv_code,assorted_code, rec_amount,premium_rcv_detail_code,remaining_amt, payrec, mode_code,coinsurance_code,class_cd,it_remarks) values</v>
      </c>
      <c r="G44" s="48" t="str">
        <f t="shared" si="2"/>
        <v>('04Feb250013','070000172376','29461',(select max(to_number(i.premium_rcv_detail_code))+1
from ins_premium_det i),'29461','29461','02', '11000003','00','Request by Mr. Saqib Saleem 04-Feb-2024');</v>
      </c>
      <c r="H44" s="49" t="str">
        <f t="shared" si="3"/>
        <v>insert into ins_premium_det (premium_rcv_code,assorted_code, rec_amount,premium_rcv_detail_code,remaining_amt, payrec, mode_code,coinsurance_code,class_cd,it_remarks) values('04Feb250013','070000172376','29461',(select max(to_number(i.premium_rcv_detail_code))+1
from ins_premium_det i),'29461','29461','02', '11000003','00','Request by Mr. Saqib Saleem 04-Feb-2024');</v>
      </c>
    </row>
    <row r="45" spans="1:8" ht="105" x14ac:dyDescent="0.25">
      <c r="A45" s="36" t="s">
        <v>309</v>
      </c>
      <c r="B45" s="40" t="str">
        <f>VLOOKUP(A45,policy!B:C,2,0)</f>
        <v>070000172412</v>
      </c>
      <c r="C45" s="38">
        <v>29461</v>
      </c>
      <c r="D45" s="46">
        <f t="shared" si="1"/>
        <v>29461</v>
      </c>
      <c r="E45" s="52" t="s">
        <v>1735</v>
      </c>
      <c r="F45" s="47" t="str">
        <f t="shared" si="0"/>
        <v>insert into ins_premium_det (premium_rcv_code,assorted_code, rec_amount,premium_rcv_detail_code,remaining_amt, payrec, mode_code,coinsurance_code,class_cd,it_remarks) values</v>
      </c>
      <c r="G45" s="48" t="str">
        <f t="shared" si="2"/>
        <v>('04Feb250013','070000172412','29461',(select max(to_number(i.premium_rcv_detail_code))+1
from ins_premium_det i),'29461','29461','02', '11000003','00','Request by Mr. Saqib Saleem 04-Feb-2024');</v>
      </c>
      <c r="H45" s="49" t="str">
        <f t="shared" si="3"/>
        <v>insert into ins_premium_det (premium_rcv_code,assorted_code, rec_amount,premium_rcv_detail_code,remaining_amt, payrec, mode_code,coinsurance_code,class_cd,it_remarks) values('04Feb250013','070000172412','29461',(select max(to_number(i.premium_rcv_detail_code))+1
from ins_premium_det i),'29461','29461','02', '11000003','00','Request by Mr. Saqib Saleem 04-Feb-2024');</v>
      </c>
    </row>
    <row r="46" spans="1:8" ht="105" x14ac:dyDescent="0.25">
      <c r="A46" s="36" t="s">
        <v>315</v>
      </c>
      <c r="B46" s="40" t="str">
        <f>VLOOKUP(A46,policy!B:C,2,0)</f>
        <v>070000172372</v>
      </c>
      <c r="C46" s="38">
        <v>29461</v>
      </c>
      <c r="D46" s="46">
        <f t="shared" si="1"/>
        <v>29461</v>
      </c>
      <c r="E46" s="52" t="s">
        <v>1735</v>
      </c>
      <c r="F46" s="47" t="str">
        <f t="shared" si="0"/>
        <v>insert into ins_premium_det (premium_rcv_code,assorted_code, rec_amount,premium_rcv_detail_code,remaining_amt, payrec, mode_code,coinsurance_code,class_cd,it_remarks) values</v>
      </c>
      <c r="G46" s="48" t="str">
        <f t="shared" si="2"/>
        <v>('04Feb250013','070000172372','29461',(select max(to_number(i.premium_rcv_detail_code))+1
from ins_premium_det i),'29461','29461','02', '11000003','00','Request by Mr. Saqib Saleem 04-Feb-2024');</v>
      </c>
      <c r="H46" s="49" t="str">
        <f t="shared" si="3"/>
        <v>insert into ins_premium_det (premium_rcv_code,assorted_code, rec_amount,premium_rcv_detail_code,remaining_amt, payrec, mode_code,coinsurance_code,class_cd,it_remarks) values('04Feb250013','070000172372','29461',(select max(to_number(i.premium_rcv_detail_code))+1
from ins_premium_det i),'29461','29461','02', '11000003','00','Request by Mr. Saqib Saleem 04-Feb-2024');</v>
      </c>
    </row>
    <row r="47" spans="1:8" ht="105" x14ac:dyDescent="0.25">
      <c r="A47" s="36" t="s">
        <v>321</v>
      </c>
      <c r="B47" s="40" t="str">
        <f>VLOOKUP(A47,policy!B:C,2,0)</f>
        <v>070000172397</v>
      </c>
      <c r="C47" s="38">
        <v>29461</v>
      </c>
      <c r="D47" s="46">
        <f t="shared" si="1"/>
        <v>29461</v>
      </c>
      <c r="E47" s="52" t="s">
        <v>1735</v>
      </c>
      <c r="F47" s="47" t="str">
        <f t="shared" si="0"/>
        <v>insert into ins_premium_det (premium_rcv_code,assorted_code, rec_amount,premium_rcv_detail_code,remaining_amt, payrec, mode_code,coinsurance_code,class_cd,it_remarks) values</v>
      </c>
      <c r="G47" s="48" t="str">
        <f t="shared" si="2"/>
        <v>('04Feb250013','070000172397','29461',(select max(to_number(i.premium_rcv_detail_code))+1
from ins_premium_det i),'29461','29461','02', '11000003','00','Request by Mr. Saqib Saleem 04-Feb-2024');</v>
      </c>
      <c r="H47" s="49" t="str">
        <f t="shared" si="3"/>
        <v>insert into ins_premium_det (premium_rcv_code,assorted_code, rec_amount,premium_rcv_detail_code,remaining_amt, payrec, mode_code,coinsurance_code,class_cd,it_remarks) values('04Feb250013','070000172397','29461',(select max(to_number(i.premium_rcv_detail_code))+1
from ins_premium_det i),'29461','29461','02', '11000003','00','Request by Mr. Saqib Saleem 04-Feb-2024');</v>
      </c>
    </row>
    <row r="48" spans="1:8" ht="105" x14ac:dyDescent="0.25">
      <c r="A48" s="36" t="s">
        <v>328</v>
      </c>
      <c r="B48" s="40" t="str">
        <f>VLOOKUP(A48,policy!B:C,2,0)</f>
        <v>070000172449</v>
      </c>
      <c r="C48" s="38">
        <v>25200</v>
      </c>
      <c r="D48" s="46">
        <f t="shared" si="1"/>
        <v>25200</v>
      </c>
      <c r="E48" s="52" t="s">
        <v>1735</v>
      </c>
      <c r="F48" s="47" t="str">
        <f t="shared" si="0"/>
        <v>insert into ins_premium_det (premium_rcv_code,assorted_code, rec_amount,premium_rcv_detail_code,remaining_amt, payrec, mode_code,coinsurance_code,class_cd,it_remarks) values</v>
      </c>
      <c r="G48" s="48" t="str">
        <f t="shared" si="2"/>
        <v>('04Feb250013','070000172449','25200',(select max(to_number(i.premium_rcv_detail_code))+1
from ins_premium_det i),'25200','25200','02', '11000003','00','Request by Mr. Saqib Saleem 04-Feb-2024');</v>
      </c>
      <c r="H48" s="49" t="str">
        <f t="shared" si="3"/>
        <v>insert into ins_premium_det (premium_rcv_code,assorted_code, rec_amount,premium_rcv_detail_code,remaining_amt, payrec, mode_code,coinsurance_code,class_cd,it_remarks) values('04Feb250013','070000172449','25200',(select max(to_number(i.premium_rcv_detail_code))+1
from ins_premium_det i),'25200','25200','02', '11000003','00','Request by Mr. Saqib Saleem 04-Feb-2024');</v>
      </c>
    </row>
    <row r="49" spans="1:8" ht="105" x14ac:dyDescent="0.25">
      <c r="A49" s="36" t="s">
        <v>334</v>
      </c>
      <c r="B49" s="40" t="str">
        <f>VLOOKUP(A49,policy!B:C,2,0)</f>
        <v>070000172395</v>
      </c>
      <c r="C49" s="38">
        <v>30600</v>
      </c>
      <c r="D49" s="46">
        <f t="shared" si="1"/>
        <v>30600</v>
      </c>
      <c r="E49" s="52" t="s">
        <v>1735</v>
      </c>
      <c r="F49" s="47" t="str">
        <f t="shared" si="0"/>
        <v>insert into ins_premium_det (premium_rcv_code,assorted_code, rec_amount,premium_rcv_detail_code,remaining_amt, payrec, mode_code,coinsurance_code,class_cd,it_remarks) values</v>
      </c>
      <c r="G49" s="48" t="str">
        <f t="shared" si="2"/>
        <v>('04Feb250013','070000172395','30600',(select max(to_number(i.premium_rcv_detail_code))+1
from ins_premium_det i),'30600','30600','02', '11000003','00','Request by Mr. Saqib Saleem 04-Feb-2024');</v>
      </c>
      <c r="H49" s="49" t="str">
        <f t="shared" si="3"/>
        <v>insert into ins_premium_det (premium_rcv_code,assorted_code, rec_amount,premium_rcv_detail_code,remaining_amt, payrec, mode_code,coinsurance_code,class_cd,it_remarks) values('04Feb250013','070000172395','30600',(select max(to_number(i.premium_rcv_detail_code))+1
from ins_premium_det i),'30600','30600','02', '11000003','00','Request by Mr. Saqib Saleem 04-Feb-2024');</v>
      </c>
    </row>
    <row r="50" spans="1:8" ht="105" x14ac:dyDescent="0.25">
      <c r="A50" s="36" t="s">
        <v>340</v>
      </c>
      <c r="B50" s="40" t="str">
        <f>VLOOKUP(A50,policy!B:C,2,0)</f>
        <v>070000172405</v>
      </c>
      <c r="C50" s="38">
        <v>30600</v>
      </c>
      <c r="D50" s="46">
        <f t="shared" si="1"/>
        <v>30600</v>
      </c>
      <c r="E50" s="52" t="s">
        <v>1735</v>
      </c>
      <c r="F50" s="47" t="str">
        <f t="shared" si="0"/>
        <v>insert into ins_premium_det (premium_rcv_code,assorted_code, rec_amount,premium_rcv_detail_code,remaining_amt, payrec, mode_code,coinsurance_code,class_cd,it_remarks) values</v>
      </c>
      <c r="G50" s="48" t="str">
        <f t="shared" si="2"/>
        <v>('04Feb250013','070000172405','30600',(select max(to_number(i.premium_rcv_detail_code))+1
from ins_premium_det i),'30600','30600','02', '11000003','00','Request by Mr. Saqib Saleem 04-Feb-2024');</v>
      </c>
      <c r="H50" s="49" t="str">
        <f t="shared" si="3"/>
        <v>insert into ins_premium_det (premium_rcv_code,assorted_code, rec_amount,premium_rcv_detail_code,remaining_amt, payrec, mode_code,coinsurance_code,class_cd,it_remarks) values('04Feb250013','070000172405','30600',(select max(to_number(i.premium_rcv_detail_code))+1
from ins_premium_det i),'30600','30600','02', '11000003','00','Request by Mr. Saqib Saleem 04-Feb-2024');</v>
      </c>
    </row>
    <row r="51" spans="1:8" ht="105" x14ac:dyDescent="0.25">
      <c r="A51" s="36" t="s">
        <v>348</v>
      </c>
      <c r="B51" s="40" t="str">
        <f>VLOOKUP(A51,policy!B:C,2,0)</f>
        <v>070000172424</v>
      </c>
      <c r="C51" s="38">
        <v>25928</v>
      </c>
      <c r="D51" s="46">
        <f t="shared" si="1"/>
        <v>25928</v>
      </c>
      <c r="E51" s="52" t="s">
        <v>1735</v>
      </c>
      <c r="F51" s="47" t="str">
        <f t="shared" si="0"/>
        <v>insert into ins_premium_det (premium_rcv_code,assorted_code, rec_amount,premium_rcv_detail_code,remaining_amt, payrec, mode_code,coinsurance_code,class_cd,it_remarks) values</v>
      </c>
      <c r="G51" s="48" t="str">
        <f t="shared" si="2"/>
        <v>('04Feb250013','070000172424','25928',(select max(to_number(i.premium_rcv_detail_code))+1
from ins_premium_det i),'25928','25928','02', '11000003','00','Request by Mr. Saqib Saleem 04-Feb-2024');</v>
      </c>
      <c r="H51" s="49" t="str">
        <f t="shared" si="3"/>
        <v>insert into ins_premium_det (premium_rcv_code,assorted_code, rec_amount,premium_rcv_detail_code,remaining_amt, payrec, mode_code,coinsurance_code,class_cd,it_remarks) values('04Feb250013','070000172424','25928',(select max(to_number(i.premium_rcv_detail_code))+1
from ins_premium_det i),'25928','25928','02', '11000003','00','Request by Mr. Saqib Saleem 04-Feb-2024');</v>
      </c>
    </row>
    <row r="52" spans="1:8" ht="105" x14ac:dyDescent="0.25">
      <c r="A52" s="36" t="s">
        <v>355</v>
      </c>
      <c r="B52" s="40" t="str">
        <f>VLOOKUP(A52,policy!B:C,2,0)</f>
        <v>070000172430</v>
      </c>
      <c r="C52" s="38">
        <v>25928</v>
      </c>
      <c r="D52" s="46">
        <f t="shared" si="1"/>
        <v>25928</v>
      </c>
      <c r="E52" s="52" t="s">
        <v>1735</v>
      </c>
      <c r="F52" s="47" t="str">
        <f t="shared" si="0"/>
        <v>insert into ins_premium_det (premium_rcv_code,assorted_code, rec_amount,premium_rcv_detail_code,remaining_amt, payrec, mode_code,coinsurance_code,class_cd,it_remarks) values</v>
      </c>
      <c r="G52" s="48" t="str">
        <f t="shared" si="2"/>
        <v>('04Feb250013','070000172430','25928',(select max(to_number(i.premium_rcv_detail_code))+1
from ins_premium_det i),'25928','25928','02', '11000003','00','Request by Mr. Saqib Saleem 04-Feb-2024');</v>
      </c>
      <c r="H52" s="49" t="str">
        <f t="shared" si="3"/>
        <v>insert into ins_premium_det (premium_rcv_code,assorted_code, rec_amount,premium_rcv_detail_code,remaining_amt, payrec, mode_code,coinsurance_code,class_cd,it_remarks) values('04Feb250013','070000172430','25928',(select max(to_number(i.premium_rcv_detail_code))+1
from ins_premium_det i),'25928','25928','02', '11000003','00','Request by Mr. Saqib Saleem 04-Feb-2024');</v>
      </c>
    </row>
    <row r="53" spans="1:8" ht="105" x14ac:dyDescent="0.25">
      <c r="A53" s="36" t="s">
        <v>361</v>
      </c>
      <c r="B53" s="40" t="str">
        <f>VLOOKUP(A53,policy!B:C,2,0)</f>
        <v>070000172431</v>
      </c>
      <c r="C53" s="38">
        <v>25928</v>
      </c>
      <c r="D53" s="46">
        <f t="shared" si="1"/>
        <v>25928</v>
      </c>
      <c r="E53" s="52" t="s">
        <v>1735</v>
      </c>
      <c r="F53" s="47" t="str">
        <f t="shared" si="0"/>
        <v>insert into ins_premium_det (premium_rcv_code,assorted_code, rec_amount,premium_rcv_detail_code,remaining_amt, payrec, mode_code,coinsurance_code,class_cd,it_remarks) values</v>
      </c>
      <c r="G53" s="48" t="str">
        <f t="shared" si="2"/>
        <v>('04Feb250013','070000172431','25928',(select max(to_number(i.premium_rcv_detail_code))+1
from ins_premium_det i),'25928','25928','02', '11000003','00','Request by Mr. Saqib Saleem 04-Feb-2024');</v>
      </c>
      <c r="H53" s="49" t="str">
        <f t="shared" si="3"/>
        <v>insert into ins_premium_det (premium_rcv_code,assorted_code, rec_amount,premium_rcv_detail_code,remaining_amt, payrec, mode_code,coinsurance_code,class_cd,it_remarks) values('04Feb250013','070000172431','25928',(select max(to_number(i.premium_rcv_detail_code))+1
from ins_premium_det i),'25928','25928','02', '11000003','00','Request by Mr. Saqib Saleem 04-Feb-2024');</v>
      </c>
    </row>
    <row r="54" spans="1:8" ht="105" x14ac:dyDescent="0.25">
      <c r="A54" s="36" t="s">
        <v>367</v>
      </c>
      <c r="B54" s="40" t="str">
        <f>VLOOKUP(A54,policy!B:C,2,0)</f>
        <v>070000172433</v>
      </c>
      <c r="C54" s="38">
        <v>25928</v>
      </c>
      <c r="D54" s="46">
        <f t="shared" si="1"/>
        <v>25928</v>
      </c>
      <c r="E54" s="52" t="s">
        <v>1735</v>
      </c>
      <c r="F54" s="47" t="str">
        <f t="shared" si="0"/>
        <v>insert into ins_premium_det (premium_rcv_code,assorted_code, rec_amount,premium_rcv_detail_code,remaining_amt, payrec, mode_code,coinsurance_code,class_cd,it_remarks) values</v>
      </c>
      <c r="G54" s="48" t="str">
        <f t="shared" si="2"/>
        <v>('04Feb250013','070000172433','25928',(select max(to_number(i.premium_rcv_detail_code))+1
from ins_premium_det i),'25928','25928','02', '11000003','00','Request by Mr. Saqib Saleem 04-Feb-2024');</v>
      </c>
      <c r="H54" s="49" t="str">
        <f t="shared" si="3"/>
        <v>insert into ins_premium_det (premium_rcv_code,assorted_code, rec_amount,premium_rcv_detail_code,remaining_amt, payrec, mode_code,coinsurance_code,class_cd,it_remarks) values('04Feb250013','070000172433','25928',(select max(to_number(i.premium_rcv_detail_code))+1
from ins_premium_det i),'25928','25928','02', '11000003','00','Request by Mr. Saqib Saleem 04-Feb-2024');</v>
      </c>
    </row>
    <row r="55" spans="1:8" ht="105" x14ac:dyDescent="0.25">
      <c r="A55" s="36" t="s">
        <v>373</v>
      </c>
      <c r="B55" s="40" t="str">
        <f>VLOOKUP(A55,policy!B:C,2,0)</f>
        <v>070000172434</v>
      </c>
      <c r="C55" s="38">
        <v>25928</v>
      </c>
      <c r="D55" s="46">
        <f t="shared" si="1"/>
        <v>25928</v>
      </c>
      <c r="E55" s="52" t="s">
        <v>1735</v>
      </c>
      <c r="F55" s="47" t="str">
        <f t="shared" si="0"/>
        <v>insert into ins_premium_det (premium_rcv_code,assorted_code, rec_amount,premium_rcv_detail_code,remaining_amt, payrec, mode_code,coinsurance_code,class_cd,it_remarks) values</v>
      </c>
      <c r="G55" s="48" t="str">
        <f t="shared" si="2"/>
        <v>('04Feb250013','070000172434','25928',(select max(to_number(i.premium_rcv_detail_code))+1
from ins_premium_det i),'25928','25928','02', '11000003','00','Request by Mr. Saqib Saleem 04-Feb-2024');</v>
      </c>
      <c r="H55" s="49" t="str">
        <f t="shared" si="3"/>
        <v>insert into ins_premium_det (premium_rcv_code,assorted_code, rec_amount,premium_rcv_detail_code,remaining_amt, payrec, mode_code,coinsurance_code,class_cd,it_remarks) values('04Feb250013','070000172434','25928',(select max(to_number(i.premium_rcv_detail_code))+1
from ins_premium_det i),'25928','25928','02', '11000003','00','Request by Mr. Saqib Saleem 04-Feb-2024');</v>
      </c>
    </row>
    <row r="56" spans="1:8" ht="105" x14ac:dyDescent="0.25">
      <c r="A56" s="36" t="s">
        <v>380</v>
      </c>
      <c r="B56" s="40" t="str">
        <f>VLOOKUP(A56,policy!B:C,2,0)</f>
        <v>070000172436</v>
      </c>
      <c r="C56" s="38">
        <v>25928</v>
      </c>
      <c r="D56" s="46">
        <f t="shared" si="1"/>
        <v>25928</v>
      </c>
      <c r="E56" s="52" t="s">
        <v>1735</v>
      </c>
      <c r="F56" s="47" t="str">
        <f t="shared" si="0"/>
        <v>insert into ins_premium_det (premium_rcv_code,assorted_code, rec_amount,premium_rcv_detail_code,remaining_amt, payrec, mode_code,coinsurance_code,class_cd,it_remarks) values</v>
      </c>
      <c r="G56" s="48" t="str">
        <f t="shared" si="2"/>
        <v>('04Feb250013','070000172436','25928',(select max(to_number(i.premium_rcv_detail_code))+1
from ins_premium_det i),'25928','25928','02', '11000003','00','Request by Mr. Saqib Saleem 04-Feb-2024');</v>
      </c>
      <c r="H56" s="49" t="str">
        <f t="shared" si="3"/>
        <v>insert into ins_premium_det (premium_rcv_code,assorted_code, rec_amount,premium_rcv_detail_code,remaining_amt, payrec, mode_code,coinsurance_code,class_cd,it_remarks) values('04Feb250013','070000172436','25928',(select max(to_number(i.premium_rcv_detail_code))+1
from ins_premium_det i),'25928','25928','02', '11000003','00','Request by Mr. Saqib Saleem 04-Feb-2024');</v>
      </c>
    </row>
    <row r="57" spans="1:8" ht="105" x14ac:dyDescent="0.25">
      <c r="A57" s="36" t="s">
        <v>386</v>
      </c>
      <c r="B57" s="40" t="str">
        <f>VLOOKUP(A57,policy!B:C,2,0)</f>
        <v>070000172459</v>
      </c>
      <c r="C57" s="38">
        <v>25928</v>
      </c>
      <c r="D57" s="46">
        <f t="shared" si="1"/>
        <v>25928</v>
      </c>
      <c r="E57" s="52" t="s">
        <v>1735</v>
      </c>
      <c r="F57" s="47" t="str">
        <f t="shared" si="0"/>
        <v>insert into ins_premium_det (premium_rcv_code,assorted_code, rec_amount,premium_rcv_detail_code,remaining_amt, payrec, mode_code,coinsurance_code,class_cd,it_remarks) values</v>
      </c>
      <c r="G57" s="48" t="str">
        <f t="shared" si="2"/>
        <v>('04Feb250013','070000172459','25928',(select max(to_number(i.premium_rcv_detail_code))+1
from ins_premium_det i),'25928','25928','02', '11000003','00','Request by Mr. Saqib Saleem 04-Feb-2024');</v>
      </c>
      <c r="H57" s="49" t="str">
        <f t="shared" si="3"/>
        <v>insert into ins_premium_det (premium_rcv_code,assorted_code, rec_amount,premium_rcv_detail_code,remaining_amt, payrec, mode_code,coinsurance_code,class_cd,it_remarks) values('04Feb250013','070000172459','25928',(select max(to_number(i.premium_rcv_detail_code))+1
from ins_premium_det i),'25928','25928','02', '11000003','00','Request by Mr. Saqib Saleem 04-Feb-2024');</v>
      </c>
    </row>
    <row r="58" spans="1:8" ht="105" x14ac:dyDescent="0.25">
      <c r="A58" s="36" t="s">
        <v>394</v>
      </c>
      <c r="B58" s="40" t="str">
        <f>VLOOKUP(A58,policy!B:C,2,0)</f>
        <v>070000172481</v>
      </c>
      <c r="C58" s="38">
        <v>35438</v>
      </c>
      <c r="D58" s="46">
        <f t="shared" si="1"/>
        <v>35438</v>
      </c>
      <c r="E58" s="52" t="s">
        <v>1735</v>
      </c>
      <c r="F58" s="47" t="str">
        <f t="shared" si="0"/>
        <v>insert into ins_premium_det (premium_rcv_code,assorted_code, rec_amount,premium_rcv_detail_code,remaining_amt, payrec, mode_code,coinsurance_code,class_cd,it_remarks) values</v>
      </c>
      <c r="G58" s="48" t="str">
        <f t="shared" si="2"/>
        <v>('04Feb250013','070000172481','35438',(select max(to_number(i.premium_rcv_detail_code))+1
from ins_premium_det i),'35438','35438','02', '11000003','00','Request by Mr. Saqib Saleem 04-Feb-2024');</v>
      </c>
      <c r="H58" s="49" t="str">
        <f t="shared" si="3"/>
        <v>insert into ins_premium_det (premium_rcv_code,assorted_code, rec_amount,premium_rcv_detail_code,remaining_amt, payrec, mode_code,coinsurance_code,class_cd,it_remarks) values('04Feb250013','070000172481','35438',(select max(to_number(i.premium_rcv_detail_code))+1
from ins_premium_det i),'35438','35438','02', '11000003','00','Request by Mr. Saqib Saleem 04-Feb-2024');</v>
      </c>
    </row>
    <row r="59" spans="1:8" ht="105" x14ac:dyDescent="0.25">
      <c r="A59" s="36" t="s">
        <v>400</v>
      </c>
      <c r="B59" s="40" t="str">
        <f>VLOOKUP(A59,policy!B:C,2,0)</f>
        <v>070000172357</v>
      </c>
      <c r="C59" s="38">
        <v>34200</v>
      </c>
      <c r="D59" s="46">
        <f t="shared" si="1"/>
        <v>34200</v>
      </c>
      <c r="E59" s="52" t="s">
        <v>1735</v>
      </c>
      <c r="F59" s="47" t="str">
        <f t="shared" si="0"/>
        <v>insert into ins_premium_det (premium_rcv_code,assorted_code, rec_amount,premium_rcv_detail_code,remaining_amt, payrec, mode_code,coinsurance_code,class_cd,it_remarks) values</v>
      </c>
      <c r="G59" s="48" t="str">
        <f t="shared" si="2"/>
        <v>('04Feb250013','070000172357','34200',(select max(to_number(i.premium_rcv_detail_code))+1
from ins_premium_det i),'34200','34200','02', '11000003','00','Request by Mr. Saqib Saleem 04-Feb-2024');</v>
      </c>
      <c r="H59" s="49" t="str">
        <f t="shared" si="3"/>
        <v>insert into ins_premium_det (premium_rcv_code,assorted_code, rec_amount,premium_rcv_detail_code,remaining_amt, payrec, mode_code,coinsurance_code,class_cd,it_remarks) values('04Feb250013','070000172357','34200',(select max(to_number(i.premium_rcv_detail_code))+1
from ins_premium_det i),'34200','34200','02', '11000003','00','Request by Mr. Saqib Saleem 04-Feb-2024');</v>
      </c>
    </row>
    <row r="60" spans="1:8" ht="105" x14ac:dyDescent="0.25">
      <c r="A60" s="36" t="s">
        <v>407</v>
      </c>
      <c r="B60" s="40" t="str">
        <f>VLOOKUP(A60,policy!B:C,2,0)</f>
        <v>070000172367</v>
      </c>
      <c r="C60" s="38">
        <v>41459</v>
      </c>
      <c r="D60" s="46">
        <f t="shared" si="1"/>
        <v>41459</v>
      </c>
      <c r="E60" s="52" t="s">
        <v>1735</v>
      </c>
      <c r="F60" s="47" t="str">
        <f t="shared" si="0"/>
        <v>insert into ins_premium_det (premium_rcv_code,assorted_code, rec_amount,premium_rcv_detail_code,remaining_amt, payrec, mode_code,coinsurance_code,class_cd,it_remarks) values</v>
      </c>
      <c r="G60" s="48" t="str">
        <f t="shared" si="2"/>
        <v>('04Feb250013','070000172367','41459',(select max(to_number(i.premium_rcv_detail_code))+1
from ins_premium_det i),'41459','41459','02', '11000003','00','Request by Mr. Saqib Saleem 04-Feb-2024');</v>
      </c>
      <c r="H60" s="49" t="str">
        <f t="shared" si="3"/>
        <v>insert into ins_premium_det (premium_rcv_code,assorted_code, rec_amount,premium_rcv_detail_code,remaining_amt, payrec, mode_code,coinsurance_code,class_cd,it_remarks) values('04Feb250013','070000172367','41459',(select max(to_number(i.premium_rcv_detail_code))+1
from ins_premium_det i),'41459','41459','02', '11000003','00','Request by Mr. Saqib Saleem 04-Feb-2024');</v>
      </c>
    </row>
    <row r="61" spans="1:8" ht="105" x14ac:dyDescent="0.25">
      <c r="A61" s="36" t="s">
        <v>414</v>
      </c>
      <c r="B61" s="40" t="str">
        <f>VLOOKUP(A61,policy!B:C,2,0)</f>
        <v>070000172377</v>
      </c>
      <c r="C61" s="38">
        <v>41459</v>
      </c>
      <c r="D61" s="46">
        <f t="shared" si="1"/>
        <v>41459</v>
      </c>
      <c r="E61" s="52" t="s">
        <v>1735</v>
      </c>
      <c r="F61" s="47" t="str">
        <f t="shared" si="0"/>
        <v>insert into ins_premium_det (premium_rcv_code,assorted_code, rec_amount,premium_rcv_detail_code,remaining_amt, payrec, mode_code,coinsurance_code,class_cd,it_remarks) values</v>
      </c>
      <c r="G61" s="48" t="str">
        <f t="shared" si="2"/>
        <v>('04Feb250013','070000172377','41459',(select max(to_number(i.premium_rcv_detail_code))+1
from ins_premium_det i),'41459','41459','02', '11000003','00','Request by Mr. Saqib Saleem 04-Feb-2024');</v>
      </c>
      <c r="H61" s="49" t="str">
        <f t="shared" si="3"/>
        <v>insert into ins_premium_det (premium_rcv_code,assorted_code, rec_amount,premium_rcv_detail_code,remaining_amt, payrec, mode_code,coinsurance_code,class_cd,it_remarks) values('04Feb250013','070000172377','41459',(select max(to_number(i.premium_rcv_detail_code))+1
from ins_premium_det i),'41459','41459','02', '11000003','00','Request by Mr. Saqib Saleem 04-Feb-2024');</v>
      </c>
    </row>
    <row r="62" spans="1:8" ht="105" x14ac:dyDescent="0.25">
      <c r="A62" s="36" t="s">
        <v>421</v>
      </c>
      <c r="B62" s="40" t="str">
        <f>VLOOKUP(A62,policy!B:C,2,0)</f>
        <v>070000172380</v>
      </c>
      <c r="C62" s="38">
        <v>41459</v>
      </c>
      <c r="D62" s="46">
        <f t="shared" si="1"/>
        <v>41459</v>
      </c>
      <c r="E62" s="52" t="s">
        <v>1735</v>
      </c>
      <c r="F62" s="47" t="str">
        <f t="shared" si="0"/>
        <v>insert into ins_premium_det (premium_rcv_code,assorted_code, rec_amount,premium_rcv_detail_code,remaining_amt, payrec, mode_code,coinsurance_code,class_cd,it_remarks) values</v>
      </c>
      <c r="G62" s="48" t="str">
        <f t="shared" si="2"/>
        <v>('04Feb250013','070000172380','41459',(select max(to_number(i.premium_rcv_detail_code))+1
from ins_premium_det i),'41459','41459','02', '11000003','00','Request by Mr. Saqib Saleem 04-Feb-2024');</v>
      </c>
      <c r="H62" s="49" t="str">
        <f t="shared" si="3"/>
        <v>insert into ins_premium_det (premium_rcv_code,assorted_code, rec_amount,premium_rcv_detail_code,remaining_amt, payrec, mode_code,coinsurance_code,class_cd,it_remarks) values('04Feb250013','070000172380','41459',(select max(to_number(i.premium_rcv_detail_code))+1
from ins_premium_det i),'41459','41459','02', '11000003','00','Request by Mr. Saqib Saleem 04-Feb-2024');</v>
      </c>
    </row>
    <row r="63" spans="1:8" ht="105" x14ac:dyDescent="0.25">
      <c r="A63" s="36" t="s">
        <v>428</v>
      </c>
      <c r="B63" s="40" t="str">
        <f>VLOOKUP(A63,policy!B:C,2,0)</f>
        <v>070000172381</v>
      </c>
      <c r="C63" s="38">
        <v>33167</v>
      </c>
      <c r="D63" s="46">
        <f t="shared" si="1"/>
        <v>33167</v>
      </c>
      <c r="E63" s="52" t="s">
        <v>1735</v>
      </c>
      <c r="F63" s="47" t="str">
        <f t="shared" si="0"/>
        <v>insert into ins_premium_det (premium_rcv_code,assorted_code, rec_amount,premium_rcv_detail_code,remaining_amt, payrec, mode_code,coinsurance_code,class_cd,it_remarks) values</v>
      </c>
      <c r="G63" s="48" t="str">
        <f t="shared" si="2"/>
        <v>('04Feb250013','070000172381','33167',(select max(to_number(i.premium_rcv_detail_code))+1
from ins_premium_det i),'33167','33167','02', '11000003','00','Request by Mr. Saqib Saleem 04-Feb-2024');</v>
      </c>
      <c r="H63" s="49" t="str">
        <f t="shared" si="3"/>
        <v>insert into ins_premium_det (premium_rcv_code,assorted_code, rec_amount,premium_rcv_detail_code,remaining_amt, payrec, mode_code,coinsurance_code,class_cd,it_remarks) values('04Feb250013','070000172381','33167',(select max(to_number(i.premium_rcv_detail_code))+1
from ins_premium_det i),'33167','33167','02', '11000003','00','Request by Mr. Saqib Saleem 04-Feb-2024');</v>
      </c>
    </row>
    <row r="64" spans="1:8" ht="105" x14ac:dyDescent="0.25">
      <c r="A64" s="36" t="s">
        <v>435</v>
      </c>
      <c r="B64" s="40" t="str">
        <f>VLOOKUP(A64,policy!B:C,2,0)</f>
        <v>070000172398</v>
      </c>
      <c r="C64" s="38">
        <v>41459</v>
      </c>
      <c r="D64" s="46">
        <f t="shared" si="1"/>
        <v>41459</v>
      </c>
      <c r="E64" s="52" t="s">
        <v>1735</v>
      </c>
      <c r="F64" s="47" t="str">
        <f t="shared" si="0"/>
        <v>insert into ins_premium_det (premium_rcv_code,assorted_code, rec_amount,premium_rcv_detail_code,remaining_amt, payrec, mode_code,coinsurance_code,class_cd,it_remarks) values</v>
      </c>
      <c r="G64" s="48" t="str">
        <f t="shared" si="2"/>
        <v>('04Feb250013','070000172398','41459',(select max(to_number(i.premium_rcv_detail_code))+1
from ins_premium_det i),'41459','41459','02', '11000003','00','Request by Mr. Saqib Saleem 04-Feb-2024');</v>
      </c>
      <c r="H64" s="49" t="str">
        <f t="shared" si="3"/>
        <v>insert into ins_premium_det (premium_rcv_code,assorted_code, rec_amount,premium_rcv_detail_code,remaining_amt, payrec, mode_code,coinsurance_code,class_cd,it_remarks) values('04Feb250013','070000172398','41459',(select max(to_number(i.premium_rcv_detail_code))+1
from ins_premium_det i),'41459','41459','02', '11000003','00','Request by Mr. Saqib Saleem 04-Feb-2024');</v>
      </c>
    </row>
    <row r="65" spans="1:8" ht="105" x14ac:dyDescent="0.25">
      <c r="A65" s="36" t="s">
        <v>442</v>
      </c>
      <c r="B65" s="40" t="str">
        <f>VLOOKUP(A65,policy!B:C,2,0)</f>
        <v>070000172484</v>
      </c>
      <c r="C65" s="38">
        <v>36938</v>
      </c>
      <c r="D65" s="46">
        <f t="shared" si="1"/>
        <v>36938</v>
      </c>
      <c r="E65" s="52" t="s">
        <v>1735</v>
      </c>
      <c r="F65" s="47" t="str">
        <f t="shared" si="0"/>
        <v>insert into ins_premium_det (premium_rcv_code,assorted_code, rec_amount,premium_rcv_detail_code,remaining_amt, payrec, mode_code,coinsurance_code,class_cd,it_remarks) values</v>
      </c>
      <c r="G65" s="48" t="str">
        <f t="shared" si="2"/>
        <v>('04Feb250013','070000172484','36938',(select max(to_number(i.premium_rcv_detail_code))+1
from ins_premium_det i),'36938','36938','02', '11000003','00','Request by Mr. Saqib Saleem 04-Feb-2024');</v>
      </c>
      <c r="H65" s="49" t="str">
        <f t="shared" si="3"/>
        <v>insert into ins_premium_det (premium_rcv_code,assorted_code, rec_amount,premium_rcv_detail_code,remaining_amt, payrec, mode_code,coinsurance_code,class_cd,it_remarks) values('04Feb250013','070000172484','36938',(select max(to_number(i.premium_rcv_detail_code))+1
from ins_premium_det i),'36938','36938','02', '11000003','00','Request by Mr. Saqib Saleem 04-Feb-2024');</v>
      </c>
    </row>
    <row r="66" spans="1:8" ht="105" x14ac:dyDescent="0.25">
      <c r="A66" s="36" t="s">
        <v>448</v>
      </c>
      <c r="B66" s="40" t="str">
        <f>VLOOKUP(A66,policy!B:C,2,0)</f>
        <v>070000172410</v>
      </c>
      <c r="C66" s="38">
        <v>41990</v>
      </c>
      <c r="D66" s="46">
        <f t="shared" si="1"/>
        <v>41990</v>
      </c>
      <c r="E66" s="52" t="s">
        <v>1735</v>
      </c>
      <c r="F66" s="47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8" t="str">
        <f t="shared" si="2"/>
        <v>('04Feb250013','070000172410','41990',(select max(to_number(i.premium_rcv_detail_code))+1
from ins_premium_det i),'41990','41990','02', '11000003','00','Request by Mr. Saqib Saleem 04-Feb-2024');</v>
      </c>
      <c r="H66" s="49" t="str">
        <f t="shared" si="3"/>
        <v>insert into ins_premium_det (premium_rcv_code,assorted_code, rec_amount,premium_rcv_detail_code,remaining_amt, payrec, mode_code,coinsurance_code,class_cd,it_remarks) values('04Feb250013','070000172410','41990',(select max(to_number(i.premium_rcv_detail_code))+1
from ins_premium_det i),'41990','41990','02', '11000003','00','Request by Mr. Saqib Saleem 04-Feb-2024');</v>
      </c>
    </row>
    <row r="67" spans="1:8" ht="105" x14ac:dyDescent="0.25">
      <c r="A67" s="36" t="s">
        <v>456</v>
      </c>
      <c r="B67" s="40" t="str">
        <f>VLOOKUP(A67,policy!B:C,2,0)</f>
        <v>070000172408</v>
      </c>
      <c r="C67" s="38">
        <v>33592</v>
      </c>
      <c r="D67" s="46">
        <f t="shared" ref="D67:D130" si="5">ROUND(C67,0)</f>
        <v>33592</v>
      </c>
      <c r="E67" s="52" t="s">
        <v>1735</v>
      </c>
      <c r="F67" s="47" t="str">
        <f t="shared" si="4"/>
        <v>insert into ins_premium_det (premium_rcv_code,assorted_code, rec_amount,premium_rcv_detail_code,remaining_amt, payrec, mode_code,coinsurance_code,class_cd,it_remarks) values</v>
      </c>
      <c r="G67" s="48" t="str">
        <f t="shared" ref="G67:G130" si="6">"('"&amp;E67&amp;"','"&amp;B67&amp;"','"&amp;D67&amp;"',(select max(to_number(i.premium_rcv_detail_code))+1
from ins_premium_det i),'"&amp;D67&amp;"','"&amp;D67&amp;"','02', '11000003','00','Request by Mr. Saqib Saleem 04-Feb-2024');"</f>
        <v>('04Feb250013','070000172408','33592',(select max(to_number(i.premium_rcv_detail_code))+1
from ins_premium_det i),'33592','33592','02', '11000003','00','Request by Mr. Saqib Saleem 04-Feb-2024');</v>
      </c>
      <c r="H67" s="49" t="str">
        <f t="shared" ref="H67:H130" si="7">F67&amp;G67</f>
        <v>insert into ins_premium_det (premium_rcv_code,assorted_code, rec_amount,premium_rcv_detail_code,remaining_amt, payrec, mode_code,coinsurance_code,class_cd,it_remarks) values('04Feb250013','070000172408','33592',(select max(to_number(i.premium_rcv_detail_code))+1
from ins_premium_det i),'33592','33592','02', '11000003','00','Request by Mr. Saqib Saleem 04-Feb-2024');</v>
      </c>
    </row>
    <row r="68" spans="1:8" ht="105" x14ac:dyDescent="0.25">
      <c r="A68" s="36" t="s">
        <v>462</v>
      </c>
      <c r="B68" s="40" t="str">
        <f>VLOOKUP(A68,policy!B:C,2,0)</f>
        <v>070000172366</v>
      </c>
      <c r="C68" s="38">
        <v>36000</v>
      </c>
      <c r="D68" s="46">
        <f t="shared" si="5"/>
        <v>36000</v>
      </c>
      <c r="E68" s="52" t="s">
        <v>1735</v>
      </c>
      <c r="F68" s="47" t="str">
        <f t="shared" si="4"/>
        <v>insert into ins_premium_det (premium_rcv_code,assorted_code, rec_amount,premium_rcv_detail_code,remaining_amt, payrec, mode_code,coinsurance_code,class_cd,it_remarks) values</v>
      </c>
      <c r="G68" s="48" t="str">
        <f t="shared" si="6"/>
        <v>('04Feb250013','070000172366','36000',(select max(to_number(i.premium_rcv_detail_code))+1
from ins_premium_det i),'36000','36000','02', '11000003','00','Request by Mr. Saqib Saleem 04-Feb-2024');</v>
      </c>
      <c r="H68" s="49" t="str">
        <f t="shared" si="7"/>
        <v>insert into ins_premium_det (premium_rcv_code,assorted_code, rec_amount,premium_rcv_detail_code,remaining_amt, payrec, mode_code,coinsurance_code,class_cd,it_remarks) values('04Feb250013','070000172366','36000',(select max(to_number(i.premium_rcv_detail_code))+1
from ins_premium_det i),'36000','36000','02', '11000003','00','Request by Mr. Saqib Saleem 04-Feb-2024');</v>
      </c>
    </row>
    <row r="69" spans="1:8" ht="105" x14ac:dyDescent="0.25">
      <c r="A69" s="36" t="s">
        <v>468</v>
      </c>
      <c r="B69" s="40" t="str">
        <f>VLOOKUP(A69,policy!B:C,2,0)</f>
        <v>070000172439</v>
      </c>
      <c r="C69" s="38">
        <v>28000</v>
      </c>
      <c r="D69" s="46">
        <f t="shared" si="5"/>
        <v>28000</v>
      </c>
      <c r="E69" s="52" t="s">
        <v>1735</v>
      </c>
      <c r="F69" s="47" t="str">
        <f t="shared" si="4"/>
        <v>insert into ins_premium_det (premium_rcv_code,assorted_code, rec_amount,premium_rcv_detail_code,remaining_amt, payrec, mode_code,coinsurance_code,class_cd,it_remarks) values</v>
      </c>
      <c r="G69" s="48" t="str">
        <f t="shared" si="6"/>
        <v>('04Feb250013','070000172439','28000',(select max(to_number(i.premium_rcv_detail_code))+1
from ins_premium_det i),'28000','28000','02', '11000003','00','Request by Mr. Saqib Saleem 04-Feb-2024');</v>
      </c>
      <c r="H69" s="49" t="str">
        <f t="shared" si="7"/>
        <v>insert into ins_premium_det (premium_rcv_code,assorted_code, rec_amount,premium_rcv_detail_code,remaining_amt, payrec, mode_code,coinsurance_code,class_cd,it_remarks) values('04Feb250013','070000172439','28000',(select max(to_number(i.premium_rcv_detail_code))+1
from ins_premium_det i),'28000','28000','02', '11000003','00','Request by Mr. Saqib Saleem 04-Feb-2024');</v>
      </c>
    </row>
    <row r="70" spans="1:8" ht="105" x14ac:dyDescent="0.25">
      <c r="A70" s="36" t="s">
        <v>475</v>
      </c>
      <c r="B70" s="40" t="str">
        <f>VLOOKUP(A70,policy!B:C,2,0)</f>
        <v>070000172470</v>
      </c>
      <c r="C70" s="38">
        <v>37500</v>
      </c>
      <c r="D70" s="46">
        <f t="shared" si="5"/>
        <v>37500</v>
      </c>
      <c r="E70" s="52" t="s">
        <v>1735</v>
      </c>
      <c r="F70" s="47" t="str">
        <f t="shared" si="4"/>
        <v>insert into ins_premium_det (premium_rcv_code,assorted_code, rec_amount,premium_rcv_detail_code,remaining_amt, payrec, mode_code,coinsurance_code,class_cd,it_remarks) values</v>
      </c>
      <c r="G70" s="48" t="str">
        <f t="shared" si="6"/>
        <v>('04Feb250013','070000172470','37500',(select max(to_number(i.premium_rcv_detail_code))+1
from ins_premium_det i),'37500','37500','02', '11000003','00','Request by Mr. Saqib Saleem 04-Feb-2024');</v>
      </c>
      <c r="H70" s="49" t="str">
        <f t="shared" si="7"/>
        <v>insert into ins_premium_det (premium_rcv_code,assorted_code, rec_amount,premium_rcv_detail_code,remaining_amt, payrec, mode_code,coinsurance_code,class_cd,it_remarks) values('04Feb250013','070000172470','37500',(select max(to_number(i.premium_rcv_detail_code))+1
from ins_premium_det i),'37500','37500','02', '11000003','00','Request by Mr. Saqib Saleem 04-Feb-2024');</v>
      </c>
    </row>
    <row r="71" spans="1:8" ht="105" x14ac:dyDescent="0.25">
      <c r="A71" s="36" t="s">
        <v>483</v>
      </c>
      <c r="B71" s="40" t="str">
        <f>VLOOKUP(A71,policy!B:C,2,0)</f>
        <v>070000172358</v>
      </c>
      <c r="C71" s="38">
        <v>36000</v>
      </c>
      <c r="D71" s="46">
        <f t="shared" si="5"/>
        <v>36000</v>
      </c>
      <c r="E71" s="52" t="s">
        <v>1735</v>
      </c>
      <c r="F71" s="47" t="str">
        <f t="shared" si="4"/>
        <v>insert into ins_premium_det (premium_rcv_code,assorted_code, rec_amount,premium_rcv_detail_code,remaining_amt, payrec, mode_code,coinsurance_code,class_cd,it_remarks) values</v>
      </c>
      <c r="G71" s="48" t="str">
        <f t="shared" si="6"/>
        <v>('04Feb250013','070000172358','36000',(select max(to_number(i.premium_rcv_detail_code))+1
from ins_premium_det i),'36000','36000','02', '11000003','00','Request by Mr. Saqib Saleem 04-Feb-2024');</v>
      </c>
      <c r="H71" s="49" t="str">
        <f t="shared" si="7"/>
        <v>insert into ins_premium_det (premium_rcv_code,assorted_code, rec_amount,premium_rcv_detail_code,remaining_amt, payrec, mode_code,coinsurance_code,class_cd,it_remarks) values('04Feb250013','070000172358','36000',(select max(to_number(i.premium_rcv_detail_code))+1
from ins_premium_det i),'36000','36000','02', '11000003','00','Request by Mr. Saqib Saleem 04-Feb-2024');</v>
      </c>
    </row>
    <row r="72" spans="1:8" ht="105" x14ac:dyDescent="0.25">
      <c r="A72" s="36" t="s">
        <v>490</v>
      </c>
      <c r="B72" s="40" t="str">
        <f>VLOOKUP(A72,policy!B:C,2,0)</f>
        <v>070000172460</v>
      </c>
      <c r="C72" s="38">
        <v>28336</v>
      </c>
      <c r="D72" s="46">
        <f t="shared" si="5"/>
        <v>28336</v>
      </c>
      <c r="E72" s="52" t="s">
        <v>1735</v>
      </c>
      <c r="F72" s="47" t="str">
        <f t="shared" si="4"/>
        <v>insert into ins_premium_det (premium_rcv_code,assorted_code, rec_amount,premium_rcv_detail_code,remaining_amt, payrec, mode_code,coinsurance_code,class_cd,it_remarks) values</v>
      </c>
      <c r="G72" s="48" t="str">
        <f t="shared" si="6"/>
        <v>('04Feb250013','070000172460','28336',(select max(to_number(i.premium_rcv_detail_code))+1
from ins_premium_det i),'28336','28336','02', '11000003','00','Request by Mr. Saqib Saleem 04-Feb-2024');</v>
      </c>
      <c r="H72" s="49" t="str">
        <f t="shared" si="7"/>
        <v>insert into ins_premium_det (premium_rcv_code,assorted_code, rec_amount,premium_rcv_detail_code,remaining_amt, payrec, mode_code,coinsurance_code,class_cd,it_remarks) values('04Feb250013','070000172460','28336',(select max(to_number(i.premium_rcv_detail_code))+1
from ins_premium_det i),'28336','28336','02', '11000003','00','Request by Mr. Saqib Saleem 04-Feb-2024');</v>
      </c>
    </row>
    <row r="73" spans="1:8" ht="105" x14ac:dyDescent="0.25">
      <c r="A73" s="36" t="s">
        <v>499</v>
      </c>
      <c r="B73" s="40" t="str">
        <f>VLOOKUP(A73,policy!B:C,2,0)</f>
        <v>070000172363</v>
      </c>
      <c r="C73" s="38">
        <v>37800</v>
      </c>
      <c r="D73" s="46">
        <f t="shared" si="5"/>
        <v>37800</v>
      </c>
      <c r="E73" s="52" t="s">
        <v>1735</v>
      </c>
      <c r="F73" s="47" t="str">
        <f t="shared" si="4"/>
        <v>insert into ins_premium_det (premium_rcv_code,assorted_code, rec_amount,premium_rcv_detail_code,remaining_amt, payrec, mode_code,coinsurance_code,class_cd,it_remarks) values</v>
      </c>
      <c r="G73" s="48" t="str">
        <f t="shared" si="6"/>
        <v>('04Feb250013','070000172363','37800',(select max(to_number(i.premium_rcv_detail_code))+1
from ins_premium_det i),'37800','37800','02', '11000003','00','Request by Mr. Saqib Saleem 04-Feb-2024');</v>
      </c>
      <c r="H73" s="49" t="str">
        <f t="shared" si="7"/>
        <v>insert into ins_premium_det (premium_rcv_code,assorted_code, rec_amount,premium_rcv_detail_code,remaining_amt, payrec, mode_code,coinsurance_code,class_cd,it_remarks) values('04Feb250013','070000172363','37800',(select max(to_number(i.premium_rcv_detail_code))+1
from ins_premium_det i),'37800','37800','02', '11000003','00','Request by Mr. Saqib Saleem 04-Feb-2024');</v>
      </c>
    </row>
    <row r="74" spans="1:8" ht="105" x14ac:dyDescent="0.25">
      <c r="A74" s="36" t="s">
        <v>506</v>
      </c>
      <c r="B74" s="40" t="str">
        <f>VLOOKUP(A74,policy!B:C,2,0)</f>
        <v>070000172429</v>
      </c>
      <c r="C74" s="38">
        <v>29470</v>
      </c>
      <c r="D74" s="46">
        <f t="shared" si="5"/>
        <v>29470</v>
      </c>
      <c r="E74" s="52" t="s">
        <v>1735</v>
      </c>
      <c r="F74" s="47" t="str">
        <f t="shared" si="4"/>
        <v>insert into ins_premium_det (premium_rcv_code,assorted_code, rec_amount,premium_rcv_detail_code,remaining_amt, payrec, mode_code,coinsurance_code,class_cd,it_remarks) values</v>
      </c>
      <c r="G74" s="48" t="str">
        <f t="shared" si="6"/>
        <v>('04Feb250013','070000172429','29470',(select max(to_number(i.premium_rcv_detail_code))+1
from ins_premium_det i),'29470','29470','02', '11000003','00','Request by Mr. Saqib Saleem 04-Feb-2024');</v>
      </c>
      <c r="H74" s="49" t="str">
        <f t="shared" si="7"/>
        <v>insert into ins_premium_det (premium_rcv_code,assorted_code, rec_amount,premium_rcv_detail_code,remaining_amt, payrec, mode_code,coinsurance_code,class_cd,it_remarks) values('04Feb250013','070000172429','29470',(select max(to_number(i.premium_rcv_detail_code))+1
from ins_premium_det i),'29470','29470','02', '11000003','00','Request by Mr. Saqib Saleem 04-Feb-2024');</v>
      </c>
    </row>
    <row r="75" spans="1:8" ht="105" x14ac:dyDescent="0.25">
      <c r="A75" s="36" t="s">
        <v>513</v>
      </c>
      <c r="B75" s="40" t="str">
        <f>VLOOKUP(A75,policy!B:C,2,0)</f>
        <v>070000172466</v>
      </c>
      <c r="C75" s="38">
        <v>29470</v>
      </c>
      <c r="D75" s="46">
        <f t="shared" si="5"/>
        <v>29470</v>
      </c>
      <c r="E75" s="52" t="s">
        <v>1735</v>
      </c>
      <c r="F75" s="47" t="str">
        <f t="shared" si="4"/>
        <v>insert into ins_premium_det (premium_rcv_code,assorted_code, rec_amount,premium_rcv_detail_code,remaining_amt, payrec, mode_code,coinsurance_code,class_cd,it_remarks) values</v>
      </c>
      <c r="G75" s="48" t="str">
        <f t="shared" si="6"/>
        <v>('04Feb250013','070000172466','29470',(select max(to_number(i.premium_rcv_detail_code))+1
from ins_premium_det i),'29470','29470','02', '11000003','00','Request by Mr. Saqib Saleem 04-Feb-2024');</v>
      </c>
      <c r="H75" s="49" t="str">
        <f t="shared" si="7"/>
        <v>insert into ins_premium_det (premium_rcv_code,assorted_code, rec_amount,premium_rcv_detail_code,remaining_amt, payrec, mode_code,coinsurance_code,class_cd,it_remarks) values('04Feb250013','070000172466','29470',(select max(to_number(i.premium_rcv_detail_code))+1
from ins_premium_det i),'29470','29470','02', '11000003','00','Request by Mr. Saqib Saleem 04-Feb-2024');</v>
      </c>
    </row>
    <row r="76" spans="1:8" ht="105" x14ac:dyDescent="0.25">
      <c r="A76" s="36" t="s">
        <v>519</v>
      </c>
      <c r="B76" s="40" t="str">
        <f>VLOOKUP(A76,policy!B:C,2,0)</f>
        <v>070000172383</v>
      </c>
      <c r="C76" s="38">
        <v>36040</v>
      </c>
      <c r="D76" s="46">
        <f t="shared" si="5"/>
        <v>36040</v>
      </c>
      <c r="E76" s="52" t="s">
        <v>1735</v>
      </c>
      <c r="F76" s="47" t="str">
        <f t="shared" si="4"/>
        <v>insert into ins_premium_det (premium_rcv_code,assorted_code, rec_amount,premium_rcv_detail_code,remaining_amt, payrec, mode_code,coinsurance_code,class_cd,it_remarks) values</v>
      </c>
      <c r="G76" s="48" t="str">
        <f t="shared" si="6"/>
        <v>('04Feb250013','070000172383','36040',(select max(to_number(i.premium_rcv_detail_code))+1
from ins_premium_det i),'36040','36040','02', '11000003','00','Request by Mr. Saqib Saleem 04-Feb-2024');</v>
      </c>
      <c r="H76" s="49" t="str">
        <f t="shared" si="7"/>
        <v>insert into ins_premium_det (premium_rcv_code,assorted_code, rec_amount,premium_rcv_detail_code,remaining_amt, payrec, mode_code,coinsurance_code,class_cd,it_remarks) values('04Feb250013','070000172383','36040',(select max(to_number(i.premium_rcv_detail_code))+1
from ins_premium_det i),'36040','36040','02', '11000003','00','Request by Mr. Saqib Saleem 04-Feb-2024');</v>
      </c>
    </row>
    <row r="77" spans="1:8" ht="105" x14ac:dyDescent="0.25">
      <c r="A77" s="36" t="s">
        <v>525</v>
      </c>
      <c r="B77" s="40" t="str">
        <f>VLOOKUP(A77,policy!B:C,2,0)</f>
        <v>070000172407</v>
      </c>
      <c r="C77" s="38">
        <v>37791</v>
      </c>
      <c r="D77" s="46">
        <f t="shared" si="5"/>
        <v>37791</v>
      </c>
      <c r="E77" s="52" t="s">
        <v>1735</v>
      </c>
      <c r="F77" s="47" t="str">
        <f t="shared" si="4"/>
        <v>insert into ins_premium_det (premium_rcv_code,assorted_code, rec_amount,premium_rcv_detail_code,remaining_amt, payrec, mode_code,coinsurance_code,class_cd,it_remarks) values</v>
      </c>
      <c r="G77" s="48" t="str">
        <f t="shared" si="6"/>
        <v>('04Feb250013','070000172407','37791',(select max(to_number(i.premium_rcv_detail_code))+1
from ins_premium_det i),'37791','37791','02', '11000003','00','Request by Mr. Saqib Saleem 04-Feb-2024');</v>
      </c>
      <c r="H77" s="49" t="str">
        <f t="shared" si="7"/>
        <v>insert into ins_premium_det (premium_rcv_code,assorted_code, rec_amount,premium_rcv_detail_code,remaining_amt, payrec, mode_code,coinsurance_code,class_cd,it_remarks) values('04Feb250013','070000172407','37791',(select max(to_number(i.premium_rcv_detail_code))+1
from ins_premium_det i),'37791','37791','02', '11000003','00','Request by Mr. Saqib Saleem 04-Feb-2024');</v>
      </c>
    </row>
    <row r="78" spans="1:8" ht="105" x14ac:dyDescent="0.25">
      <c r="A78" s="36" t="s">
        <v>531</v>
      </c>
      <c r="B78" s="40" t="str">
        <f>VLOOKUP(A78,policy!B:C,2,0)</f>
        <v>070000172409</v>
      </c>
      <c r="C78" s="38">
        <v>37791</v>
      </c>
      <c r="D78" s="46">
        <f t="shared" si="5"/>
        <v>37791</v>
      </c>
      <c r="E78" s="52" t="s">
        <v>1735</v>
      </c>
      <c r="F78" s="47" t="str">
        <f t="shared" si="4"/>
        <v>insert into ins_premium_det (premium_rcv_code,assorted_code, rec_amount,premium_rcv_detail_code,remaining_amt, payrec, mode_code,coinsurance_code,class_cd,it_remarks) values</v>
      </c>
      <c r="G78" s="48" t="str">
        <f t="shared" si="6"/>
        <v>('04Feb250013','070000172409','37791',(select max(to_number(i.premium_rcv_detail_code))+1
from ins_premium_det i),'37791','37791','02', '11000003','00','Request by Mr. Saqib Saleem 04-Feb-2024');</v>
      </c>
      <c r="H78" s="49" t="str">
        <f t="shared" si="7"/>
        <v>insert into ins_premium_det (premium_rcv_code,assorted_code, rec_amount,premium_rcv_detail_code,remaining_amt, payrec, mode_code,coinsurance_code,class_cd,it_remarks) values('04Feb250013','070000172409','37791',(select max(to_number(i.premium_rcv_detail_code))+1
from ins_premium_det i),'37791','37791','02', '11000003','00','Request by Mr. Saqib Saleem 04-Feb-2024');</v>
      </c>
    </row>
    <row r="79" spans="1:8" ht="105" x14ac:dyDescent="0.25">
      <c r="A79" s="36" t="s">
        <v>537</v>
      </c>
      <c r="B79" s="40" t="str">
        <f>VLOOKUP(A79,policy!B:C,2,0)</f>
        <v>070000172464</v>
      </c>
      <c r="C79" s="38">
        <v>31808</v>
      </c>
      <c r="D79" s="46">
        <f t="shared" si="5"/>
        <v>31808</v>
      </c>
      <c r="E79" s="52" t="s">
        <v>1735</v>
      </c>
      <c r="F79" s="47" t="str">
        <f t="shared" si="4"/>
        <v>insert into ins_premium_det (premium_rcv_code,assorted_code, rec_amount,premium_rcv_detail_code,remaining_amt, payrec, mode_code,coinsurance_code,class_cd,it_remarks) values</v>
      </c>
      <c r="G79" s="48" t="str">
        <f t="shared" si="6"/>
        <v>('04Feb250013','070000172464','31808',(select max(to_number(i.premium_rcv_detail_code))+1
from ins_premium_det i),'31808','31808','02', '11000003','00','Request by Mr. Saqib Saleem 04-Feb-2024');</v>
      </c>
      <c r="H79" s="49" t="str">
        <f t="shared" si="7"/>
        <v>insert into ins_premium_det (premium_rcv_code,assorted_code, rec_amount,premium_rcv_detail_code,remaining_amt, payrec, mode_code,coinsurance_code,class_cd,it_remarks) values('04Feb250013','070000172464','31808',(select max(to_number(i.premium_rcv_detail_code))+1
from ins_premium_det i),'31808','31808','02', '11000003','00','Request by Mr. Saqib Saleem 04-Feb-2024');</v>
      </c>
    </row>
    <row r="80" spans="1:8" ht="105" x14ac:dyDescent="0.25">
      <c r="A80" s="36" t="s">
        <v>543</v>
      </c>
      <c r="B80" s="40" t="str">
        <f>VLOOKUP(A80,policy!B:C,2,0)</f>
        <v>070000172428</v>
      </c>
      <c r="C80" s="38">
        <v>48860</v>
      </c>
      <c r="D80" s="46">
        <f t="shared" si="5"/>
        <v>48860</v>
      </c>
      <c r="E80" s="52" t="s">
        <v>1735</v>
      </c>
      <c r="F80" s="47" t="str">
        <f t="shared" si="4"/>
        <v>insert into ins_premium_det (premium_rcv_code,assorted_code, rec_amount,premium_rcv_detail_code,remaining_amt, payrec, mode_code,coinsurance_code,class_cd,it_remarks) values</v>
      </c>
      <c r="G80" s="48" t="str">
        <f t="shared" si="6"/>
        <v>('04Feb250013','070000172428','48860',(select max(to_number(i.premium_rcv_detail_code))+1
from ins_premium_det i),'48860','48860','02', '11000003','00','Request by Mr. Saqib Saleem 04-Feb-2024');</v>
      </c>
      <c r="H80" s="49" t="str">
        <f t="shared" si="7"/>
        <v>insert into ins_premium_det (premium_rcv_code,assorted_code, rec_amount,premium_rcv_detail_code,remaining_amt, payrec, mode_code,coinsurance_code,class_cd,it_remarks) values('04Feb250013','070000172428','48860',(select max(to_number(i.premium_rcv_detail_code))+1
from ins_premium_det i),'48860','48860','02', '11000003','00','Request by Mr. Saqib Saleem 04-Feb-2024');</v>
      </c>
    </row>
    <row r="81" spans="1:8" ht="105" x14ac:dyDescent="0.25">
      <c r="A81" s="36" t="s">
        <v>551</v>
      </c>
      <c r="B81" s="40" t="str">
        <f>VLOOKUP(A81,policy!B:C,2,0)</f>
        <v>070000172385</v>
      </c>
      <c r="C81" s="38">
        <v>41650</v>
      </c>
      <c r="D81" s="46">
        <f t="shared" si="5"/>
        <v>41650</v>
      </c>
      <c r="E81" s="52" t="s">
        <v>1735</v>
      </c>
      <c r="F81" s="47" t="str">
        <f t="shared" si="4"/>
        <v>insert into ins_premium_det (premium_rcv_code,assorted_code, rec_amount,premium_rcv_detail_code,remaining_amt, payrec, mode_code,coinsurance_code,class_cd,it_remarks) values</v>
      </c>
      <c r="G81" s="48" t="str">
        <f t="shared" si="6"/>
        <v>('04Feb250013','070000172385','41650',(select max(to_number(i.premium_rcv_detail_code))+1
from ins_premium_det i),'41650','41650','02', '11000003','00','Request by Mr. Saqib Saleem 04-Feb-2024');</v>
      </c>
      <c r="H81" s="49" t="str">
        <f t="shared" si="7"/>
        <v>insert into ins_premium_det (premium_rcv_code,assorted_code, rec_amount,premium_rcv_detail_code,remaining_amt, payrec, mode_code,coinsurance_code,class_cd,it_remarks) values('04Feb250013','070000172385','41650',(select max(to_number(i.premium_rcv_detail_code))+1
from ins_premium_det i),'41650','41650','02', '11000003','00','Request by Mr. Saqib Saleem 04-Feb-2024');</v>
      </c>
    </row>
    <row r="82" spans="1:8" ht="105" x14ac:dyDescent="0.25">
      <c r="A82" s="36" t="s">
        <v>558</v>
      </c>
      <c r="B82" s="40" t="str">
        <f>VLOOKUP(A82,policy!B:C,2,0)</f>
        <v>070000172365</v>
      </c>
      <c r="C82" s="38">
        <v>45000</v>
      </c>
      <c r="D82" s="46">
        <f t="shared" si="5"/>
        <v>45000</v>
      </c>
      <c r="E82" s="52" t="s">
        <v>1735</v>
      </c>
      <c r="F82" s="47" t="str">
        <f t="shared" si="4"/>
        <v>insert into ins_premium_det (premium_rcv_code,assorted_code, rec_amount,premium_rcv_detail_code,remaining_amt, payrec, mode_code,coinsurance_code,class_cd,it_remarks) values</v>
      </c>
      <c r="G82" s="48" t="str">
        <f t="shared" si="6"/>
        <v>('04Feb250013','070000172365','45000',(select max(to_number(i.premium_rcv_detail_code))+1
from ins_premium_det i),'45000','45000','02', '11000003','00','Request by Mr. Saqib Saleem 04-Feb-2024');</v>
      </c>
      <c r="H82" s="49" t="str">
        <f t="shared" si="7"/>
        <v>insert into ins_premium_det (premium_rcv_code,assorted_code, rec_amount,premium_rcv_detail_code,remaining_amt, payrec, mode_code,coinsurance_code,class_cd,it_remarks) values('04Feb250013','070000172365','45000',(select max(to_number(i.premium_rcv_detail_code))+1
from ins_premium_det i),'45000','45000','02', '11000003','00','Request by Mr. Saqib Saleem 04-Feb-2024');</v>
      </c>
    </row>
    <row r="83" spans="1:8" ht="105" x14ac:dyDescent="0.25">
      <c r="A83" s="36" t="s">
        <v>564</v>
      </c>
      <c r="B83" s="40" t="str">
        <f>VLOOKUP(A83,policy!B:C,2,0)</f>
        <v>070000172458</v>
      </c>
      <c r="C83" s="38">
        <v>35000</v>
      </c>
      <c r="D83" s="46">
        <f t="shared" si="5"/>
        <v>35000</v>
      </c>
      <c r="E83" s="52" t="s">
        <v>1735</v>
      </c>
      <c r="F83" s="47" t="str">
        <f t="shared" si="4"/>
        <v>insert into ins_premium_det (premium_rcv_code,assorted_code, rec_amount,premium_rcv_detail_code,remaining_amt, payrec, mode_code,coinsurance_code,class_cd,it_remarks) values</v>
      </c>
      <c r="G83" s="48" t="str">
        <f t="shared" si="6"/>
        <v>('04Feb250013','070000172458','35000',(select max(to_number(i.premium_rcv_detail_code))+1
from ins_premium_det i),'35000','35000','02', '11000003','00','Request by Mr. Saqib Saleem 04-Feb-2024');</v>
      </c>
      <c r="H83" s="49" t="str">
        <f t="shared" si="7"/>
        <v>insert into ins_premium_det (premium_rcv_code,assorted_code, rec_amount,premium_rcv_detail_code,remaining_amt, payrec, mode_code,coinsurance_code,class_cd,it_remarks) values('04Feb250013','070000172458','35000',(select max(to_number(i.premium_rcv_detail_code))+1
from ins_premium_det i),'35000','35000','02', '11000003','00','Request by Mr. Saqib Saleem 04-Feb-2024');</v>
      </c>
    </row>
    <row r="84" spans="1:8" ht="105" x14ac:dyDescent="0.25">
      <c r="A84" s="36" t="s">
        <v>571</v>
      </c>
      <c r="B84" s="40" t="str">
        <f>VLOOKUP(A84,policy!B:C,2,0)</f>
        <v>070000172476</v>
      </c>
      <c r="C84" s="38">
        <v>46875</v>
      </c>
      <c r="D84" s="46">
        <f t="shared" si="5"/>
        <v>46875</v>
      </c>
      <c r="E84" s="52" t="s">
        <v>1735</v>
      </c>
      <c r="F84" s="47" t="str">
        <f t="shared" si="4"/>
        <v>insert into ins_premium_det (premium_rcv_code,assorted_code, rec_amount,premium_rcv_detail_code,remaining_amt, payrec, mode_code,coinsurance_code,class_cd,it_remarks) values</v>
      </c>
      <c r="G84" s="48" t="str">
        <f t="shared" si="6"/>
        <v>('04Feb250013','070000172476','46875',(select max(to_number(i.premium_rcv_detail_code))+1
from ins_premium_det i),'46875','46875','02', '11000003','00','Request by Mr. Saqib Saleem 04-Feb-2024');</v>
      </c>
      <c r="H84" s="49" t="str">
        <f t="shared" si="7"/>
        <v>insert into ins_premium_det (premium_rcv_code,assorted_code, rec_amount,premium_rcv_detail_code,remaining_amt, payrec, mode_code,coinsurance_code,class_cd,it_remarks) values('04Feb250013','070000172476','46875',(select max(to_number(i.premium_rcv_detail_code))+1
from ins_premium_det i),'46875','46875','02', '11000003','00','Request by Mr. Saqib Saleem 04-Feb-2024');</v>
      </c>
    </row>
    <row r="85" spans="1:8" ht="105" x14ac:dyDescent="0.25">
      <c r="A85" s="36" t="s">
        <v>578</v>
      </c>
      <c r="B85" s="40" t="str">
        <f>VLOOKUP(A85,policy!B:C,2,0)</f>
        <v>070000172379</v>
      </c>
      <c r="C85" s="38">
        <v>43588</v>
      </c>
      <c r="D85" s="46">
        <f t="shared" si="5"/>
        <v>43588</v>
      </c>
      <c r="E85" s="52" t="s">
        <v>1735</v>
      </c>
      <c r="F85" s="47" t="str">
        <f t="shared" si="4"/>
        <v>insert into ins_premium_det (premium_rcv_code,assorted_code, rec_amount,premium_rcv_detail_code,remaining_amt, payrec, mode_code,coinsurance_code,class_cd,it_remarks) values</v>
      </c>
      <c r="G85" s="48" t="str">
        <f t="shared" si="6"/>
        <v>('04Feb250013','070000172379','43588',(select max(to_number(i.premium_rcv_detail_code))+1
from ins_premium_det i),'43588','43588','02', '11000003','00','Request by Mr. Saqib Saleem 04-Feb-2024');</v>
      </c>
      <c r="H85" s="49" t="str">
        <f t="shared" si="7"/>
        <v>insert into ins_premium_det (premium_rcv_code,assorted_code, rec_amount,premium_rcv_detail_code,remaining_amt, payrec, mode_code,coinsurance_code,class_cd,it_remarks) values('04Feb250013','070000172379','43588',(select max(to_number(i.premium_rcv_detail_code))+1
from ins_premium_det i),'43588','43588','02', '11000003','00','Request by Mr. Saqib Saleem 04-Feb-2024');</v>
      </c>
    </row>
    <row r="86" spans="1:8" ht="105" x14ac:dyDescent="0.25">
      <c r="A86" s="36" t="s">
        <v>584</v>
      </c>
      <c r="B86" s="40" t="str">
        <f>VLOOKUP(A86,policy!B:C,2,0)</f>
        <v>070000172390</v>
      </c>
      <c r="C86" s="38">
        <v>43588</v>
      </c>
      <c r="D86" s="46">
        <f t="shared" si="5"/>
        <v>43588</v>
      </c>
      <c r="E86" s="52" t="s">
        <v>1735</v>
      </c>
      <c r="F86" s="47" t="str">
        <f t="shared" si="4"/>
        <v>insert into ins_premium_det (premium_rcv_code,assorted_code, rec_amount,premium_rcv_detail_code,remaining_amt, payrec, mode_code,coinsurance_code,class_cd,it_remarks) values</v>
      </c>
      <c r="G86" s="48" t="str">
        <f t="shared" si="6"/>
        <v>('04Feb250013','070000172390','43588',(select max(to_number(i.premium_rcv_detail_code))+1
from ins_premium_det i),'43588','43588','02', '11000003','00','Request by Mr. Saqib Saleem 04-Feb-2024');</v>
      </c>
      <c r="H86" s="49" t="str">
        <f t="shared" si="7"/>
        <v>insert into ins_premium_det (premium_rcv_code,assorted_code, rec_amount,premium_rcv_detail_code,remaining_amt, payrec, mode_code,coinsurance_code,class_cd,it_remarks) values('04Feb250013','070000172390','43588',(select max(to_number(i.premium_rcv_detail_code))+1
from ins_premium_det i),'43588','43588','02', '11000003','00','Request by Mr. Saqib Saleem 04-Feb-2024');</v>
      </c>
    </row>
    <row r="87" spans="1:8" ht="105" x14ac:dyDescent="0.25">
      <c r="A87" s="36" t="s">
        <v>590</v>
      </c>
      <c r="B87" s="40" t="str">
        <f>VLOOKUP(A87,policy!B:C,2,0)</f>
        <v>070000172441</v>
      </c>
      <c r="C87" s="38">
        <v>36246</v>
      </c>
      <c r="D87" s="46">
        <f t="shared" si="5"/>
        <v>36246</v>
      </c>
      <c r="E87" s="52" t="s">
        <v>1735</v>
      </c>
      <c r="F87" s="47" t="str">
        <f t="shared" si="4"/>
        <v>insert into ins_premium_det (premium_rcv_code,assorted_code, rec_amount,premium_rcv_detail_code,remaining_amt, payrec, mode_code,coinsurance_code,class_cd,it_remarks) values</v>
      </c>
      <c r="G87" s="48" t="str">
        <f t="shared" si="6"/>
        <v>('04Feb250013','070000172441','36246',(select max(to_number(i.premium_rcv_detail_code))+1
from ins_premium_det i),'36246','36246','02', '11000003','00','Request by Mr. Saqib Saleem 04-Feb-2024');</v>
      </c>
      <c r="H87" s="49" t="str">
        <f t="shared" si="7"/>
        <v>insert into ins_premium_det (premium_rcv_code,assorted_code, rec_amount,premium_rcv_detail_code,remaining_amt, payrec, mode_code,coinsurance_code,class_cd,it_remarks) values('04Feb250013','070000172441','36246',(select max(to_number(i.premium_rcv_detail_code))+1
from ins_premium_det i),'36246','36246','02', '11000003','00','Request by Mr. Saqib Saleem 04-Feb-2024');</v>
      </c>
    </row>
    <row r="88" spans="1:8" ht="105" x14ac:dyDescent="0.25">
      <c r="A88" s="36" t="s">
        <v>597</v>
      </c>
      <c r="B88" s="40" t="str">
        <f>VLOOKUP(A88,policy!B:C,2,0)</f>
        <v>070000172343</v>
      </c>
      <c r="C88" s="38">
        <v>46800</v>
      </c>
      <c r="D88" s="46">
        <f t="shared" si="5"/>
        <v>46800</v>
      </c>
      <c r="E88" s="52" t="s">
        <v>1735</v>
      </c>
      <c r="F88" s="47" t="str">
        <f t="shared" si="4"/>
        <v>insert into ins_premium_det (premium_rcv_code,assorted_code, rec_amount,premium_rcv_detail_code,remaining_amt, payrec, mode_code,coinsurance_code,class_cd,it_remarks) values</v>
      </c>
      <c r="G88" s="48" t="str">
        <f t="shared" si="6"/>
        <v>('04Feb250013','070000172343','46800',(select max(to_number(i.premium_rcv_detail_code))+1
from ins_premium_det i),'46800','46800','02', '11000003','00','Request by Mr. Saqib Saleem 04-Feb-2024');</v>
      </c>
      <c r="H88" s="49" t="str">
        <f t="shared" si="7"/>
        <v>insert into ins_premium_det (premium_rcv_code,assorted_code, rec_amount,premium_rcv_detail_code,remaining_amt, payrec, mode_code,coinsurance_code,class_cd,it_remarks) values('04Feb250013','070000172343','46800',(select max(to_number(i.premium_rcv_detail_code))+1
from ins_premium_det i),'46800','46800','02', '11000003','00','Request by Mr. Saqib Saleem 04-Feb-2024');</v>
      </c>
    </row>
    <row r="89" spans="1:8" ht="105" x14ac:dyDescent="0.25">
      <c r="A89" s="36" t="s">
        <v>604</v>
      </c>
      <c r="B89" s="40" t="str">
        <f>VLOOKUP(A89,policy!B:C,2,0)</f>
        <v>070000172342</v>
      </c>
      <c r="C89" s="38">
        <v>47016</v>
      </c>
      <c r="D89" s="46">
        <f t="shared" si="5"/>
        <v>47016</v>
      </c>
      <c r="E89" s="52" t="s">
        <v>1735</v>
      </c>
      <c r="F89" s="47" t="str">
        <f t="shared" si="4"/>
        <v>insert into ins_premium_det (premium_rcv_code,assorted_code, rec_amount,premium_rcv_detail_code,remaining_amt, payrec, mode_code,coinsurance_code,class_cd,it_remarks) values</v>
      </c>
      <c r="G89" s="48" t="str">
        <f t="shared" si="6"/>
        <v>('04Feb250013','070000172342','47016',(select max(to_number(i.premium_rcv_detail_code))+1
from ins_premium_det i),'47016','47016','02', '11000003','00','Request by Mr. Saqib Saleem 04-Feb-2024');</v>
      </c>
      <c r="H89" s="49" t="str">
        <f t="shared" si="7"/>
        <v>insert into ins_premium_det (premium_rcv_code,assorted_code, rec_amount,premium_rcv_detail_code,remaining_amt, payrec, mode_code,coinsurance_code,class_cd,it_remarks) values('04Feb250013','070000172342','47016',(select max(to_number(i.premium_rcv_detail_code))+1
from ins_premium_det i),'47016','47016','02', '11000003','00','Request by Mr. Saqib Saleem 04-Feb-2024');</v>
      </c>
    </row>
    <row r="90" spans="1:8" ht="105" x14ac:dyDescent="0.25">
      <c r="A90" s="36" t="s">
        <v>611</v>
      </c>
      <c r="B90" s="40" t="str">
        <f>VLOOKUP(A90,policy!B:C,2,0)</f>
        <v>070000172345</v>
      </c>
      <c r="C90" s="38">
        <v>47016</v>
      </c>
      <c r="D90" s="46">
        <f t="shared" si="5"/>
        <v>47016</v>
      </c>
      <c r="E90" s="52" t="s">
        <v>1735</v>
      </c>
      <c r="F90" s="47" t="str">
        <f t="shared" si="4"/>
        <v>insert into ins_premium_det (premium_rcv_code,assorted_code, rec_amount,premium_rcv_detail_code,remaining_amt, payrec, mode_code,coinsurance_code,class_cd,it_remarks) values</v>
      </c>
      <c r="G90" s="48" t="str">
        <f t="shared" si="6"/>
        <v>('04Feb250013','070000172345','47016',(select max(to_number(i.premium_rcv_detail_code))+1
from ins_premium_det i),'47016','47016','02', '11000003','00','Request by Mr. Saqib Saleem 04-Feb-2024');</v>
      </c>
      <c r="H90" s="49" t="str">
        <f t="shared" si="7"/>
        <v>insert into ins_premium_det (premium_rcv_code,assorted_code, rec_amount,premium_rcv_detail_code,remaining_amt, payrec, mode_code,coinsurance_code,class_cd,it_remarks) values('04Feb250013','070000172345','47016',(select max(to_number(i.premium_rcv_detail_code))+1
from ins_premium_det i),'47016','47016','02', '11000003','00','Request by Mr. Saqib Saleem 04-Feb-2024');</v>
      </c>
    </row>
    <row r="91" spans="1:8" ht="105" x14ac:dyDescent="0.25">
      <c r="A91" s="36" t="s">
        <v>617</v>
      </c>
      <c r="B91" s="40" t="str">
        <f>VLOOKUP(A91,policy!B:C,2,0)</f>
        <v>070000172349</v>
      </c>
      <c r="C91" s="38">
        <v>47016</v>
      </c>
      <c r="D91" s="46">
        <f t="shared" si="5"/>
        <v>47016</v>
      </c>
      <c r="E91" s="52" t="s">
        <v>1735</v>
      </c>
      <c r="F91" s="47" t="str">
        <f t="shared" si="4"/>
        <v>insert into ins_premium_det (premium_rcv_code,assorted_code, rec_amount,premium_rcv_detail_code,remaining_amt, payrec, mode_code,coinsurance_code,class_cd,it_remarks) values</v>
      </c>
      <c r="G91" s="48" t="str">
        <f t="shared" si="6"/>
        <v>('04Feb250013','070000172349','47016',(select max(to_number(i.premium_rcv_detail_code))+1
from ins_premium_det i),'47016','47016','02', '11000003','00','Request by Mr. Saqib Saleem 04-Feb-2024');</v>
      </c>
      <c r="H91" s="49" t="str">
        <f t="shared" si="7"/>
        <v>insert into ins_premium_det (premium_rcv_code,assorted_code, rec_amount,premium_rcv_detail_code,remaining_amt, payrec, mode_code,coinsurance_code,class_cd,it_remarks) values('04Feb250013','070000172349','47016',(select max(to_number(i.premium_rcv_detail_code))+1
from ins_premium_det i),'47016','47016','02', '11000003','00','Request by Mr. Saqib Saleem 04-Feb-2024');</v>
      </c>
    </row>
    <row r="92" spans="1:8" ht="105" x14ac:dyDescent="0.25">
      <c r="A92" s="36" t="s">
        <v>624</v>
      </c>
      <c r="B92" s="40" t="str">
        <f>VLOOKUP(A92,policy!B:C,2,0)</f>
        <v>070000172469</v>
      </c>
      <c r="C92" s="38">
        <v>39675</v>
      </c>
      <c r="D92" s="46">
        <f t="shared" si="5"/>
        <v>39675</v>
      </c>
      <c r="E92" s="52" t="s">
        <v>1735</v>
      </c>
      <c r="F92" s="47" t="str">
        <f t="shared" si="4"/>
        <v>insert into ins_premium_det (premium_rcv_code,assorted_code, rec_amount,premium_rcv_detail_code,remaining_amt, payrec, mode_code,coinsurance_code,class_cd,it_remarks) values</v>
      </c>
      <c r="G92" s="48" t="str">
        <f t="shared" si="6"/>
        <v>('04Feb250013','070000172469','39675',(select max(to_number(i.premium_rcv_detail_code))+1
from ins_premium_det i),'39675','39675','02', '11000003','00','Request by Mr. Saqib Saleem 04-Feb-2024');</v>
      </c>
      <c r="H92" s="49" t="str">
        <f t="shared" si="7"/>
        <v>insert into ins_premium_det (premium_rcv_code,assorted_code, rec_amount,premium_rcv_detail_code,remaining_amt, payrec, mode_code,coinsurance_code,class_cd,it_remarks) values('04Feb250013','070000172469','39675',(select max(to_number(i.premium_rcv_detail_code))+1
from ins_premium_det i),'39675','39675','02', '11000003','00','Request by Mr. Saqib Saleem 04-Feb-2024');</v>
      </c>
    </row>
    <row r="93" spans="1:8" ht="105" x14ac:dyDescent="0.25">
      <c r="A93" s="36" t="s">
        <v>631</v>
      </c>
      <c r="B93" s="40" t="str">
        <f>VLOOKUP(A93,policy!B:C,2,0)</f>
        <v>070000172422</v>
      </c>
      <c r="C93" s="38">
        <v>32100</v>
      </c>
      <c r="D93" s="46">
        <f t="shared" si="5"/>
        <v>32100</v>
      </c>
      <c r="E93" s="52" t="s">
        <v>1735</v>
      </c>
      <c r="F93" s="47" t="str">
        <f t="shared" si="4"/>
        <v>insert into ins_premium_det (premium_rcv_code,assorted_code, rec_amount,premium_rcv_detail_code,remaining_amt, payrec, mode_code,coinsurance_code,class_cd,it_remarks) values</v>
      </c>
      <c r="G93" s="48" t="str">
        <f t="shared" si="6"/>
        <v>('04Feb250013','070000172422','32100',(select max(to_number(i.premium_rcv_detail_code))+1
from ins_premium_det i),'32100','32100','02', '11000003','00','Request by Mr. Saqib Saleem 04-Feb-2024');</v>
      </c>
      <c r="H93" s="49" t="str">
        <f t="shared" si="7"/>
        <v>insert into ins_premium_det (premium_rcv_code,assorted_code, rec_amount,premium_rcv_detail_code,remaining_amt, payrec, mode_code,coinsurance_code,class_cd,it_remarks) values('04Feb250013','070000172422','32100',(select max(to_number(i.premium_rcv_detail_code))+1
from ins_premium_det i),'32100','32100','02', '11000003','00','Request by Mr. Saqib Saleem 04-Feb-2024');</v>
      </c>
    </row>
    <row r="94" spans="1:8" ht="105" x14ac:dyDescent="0.25">
      <c r="A94" s="36" t="s">
        <v>638</v>
      </c>
      <c r="B94" s="40" t="str">
        <f>VLOOKUP(A94,policy!B:C,2,0)</f>
        <v>070000172364</v>
      </c>
      <c r="C94" s="38">
        <v>48600</v>
      </c>
      <c r="D94" s="46">
        <f t="shared" si="5"/>
        <v>48600</v>
      </c>
      <c r="E94" s="52" t="s">
        <v>1735</v>
      </c>
      <c r="F94" s="47" t="str">
        <f t="shared" si="4"/>
        <v>insert into ins_premium_det (premium_rcv_code,assorted_code, rec_amount,premium_rcv_detail_code,remaining_amt, payrec, mode_code,coinsurance_code,class_cd,it_remarks) values</v>
      </c>
      <c r="G94" s="48" t="str">
        <f t="shared" si="6"/>
        <v>('04Feb250013','070000172364','48600',(select max(to_number(i.premium_rcv_detail_code))+1
from ins_premium_det i),'48600','48600','02', '11000003','00','Request by Mr. Saqib Saleem 04-Feb-2024');</v>
      </c>
      <c r="H94" s="49" t="str">
        <f t="shared" si="7"/>
        <v>insert into ins_premium_det (premium_rcv_code,assorted_code, rec_amount,premium_rcv_detail_code,remaining_amt, payrec, mode_code,coinsurance_code,class_cd,it_remarks) values('04Feb250013','070000172364','48600',(select max(to_number(i.premium_rcv_detail_code))+1
from ins_premium_det i),'48600','48600','02', '11000003','00','Request by Mr. Saqib Saleem 04-Feb-2024');</v>
      </c>
    </row>
    <row r="95" spans="1:8" ht="105" x14ac:dyDescent="0.25">
      <c r="A95" s="36" t="s">
        <v>644</v>
      </c>
      <c r="B95" s="40" t="str">
        <f>VLOOKUP(A95,policy!B:C,2,0)</f>
        <v>070000172444</v>
      </c>
      <c r="C95" s="38">
        <v>54060</v>
      </c>
      <c r="D95" s="46">
        <f t="shared" si="5"/>
        <v>54060</v>
      </c>
      <c r="E95" s="52" t="s">
        <v>1735</v>
      </c>
      <c r="F95" s="47" t="str">
        <f t="shared" si="4"/>
        <v>insert into ins_premium_det (premium_rcv_code,assorted_code, rec_amount,premium_rcv_detail_code,remaining_amt, payrec, mode_code,coinsurance_code,class_cd,it_remarks) values</v>
      </c>
      <c r="G95" s="48" t="str">
        <f t="shared" si="6"/>
        <v>('04Feb250013','070000172444','54060',(select max(to_number(i.premium_rcv_detail_code))+1
from ins_premium_det i),'54060','54060','02', '11000003','00','Request by Mr. Saqib Saleem 04-Feb-2024');</v>
      </c>
      <c r="H95" s="49" t="str">
        <f t="shared" si="7"/>
        <v>insert into ins_premium_det (premium_rcv_code,assorted_code, rec_amount,premium_rcv_detail_code,remaining_amt, payrec, mode_code,coinsurance_code,class_cd,it_remarks) values('04Feb250013','070000172444','54060',(select max(to_number(i.premium_rcv_detail_code))+1
from ins_premium_det i),'54060','54060','02', '11000003','00','Request by Mr. Saqib Saleem 04-Feb-2024');</v>
      </c>
    </row>
    <row r="96" spans="1:8" ht="105" x14ac:dyDescent="0.25">
      <c r="A96" s="36" t="s">
        <v>652</v>
      </c>
      <c r="B96" s="40" t="str">
        <f>VLOOKUP(A96,policy!B:C,2,0)</f>
        <v>070000172438</v>
      </c>
      <c r="C96" s="38">
        <v>37842</v>
      </c>
      <c r="D96" s="46">
        <f t="shared" si="5"/>
        <v>37842</v>
      </c>
      <c r="E96" s="52" t="s">
        <v>1735</v>
      </c>
      <c r="F96" s="47" t="str">
        <f t="shared" si="4"/>
        <v>insert into ins_premium_det (premium_rcv_code,assorted_code, rec_amount,premium_rcv_detail_code,remaining_amt, payrec, mode_code,coinsurance_code,class_cd,it_remarks) values</v>
      </c>
      <c r="G96" s="48" t="str">
        <f t="shared" si="6"/>
        <v>('04Feb250013','070000172438','37842',(select max(to_number(i.premium_rcv_detail_code))+1
from ins_premium_det i),'37842','37842','02', '11000003','00','Request by Mr. Saqib Saleem 04-Feb-2024');</v>
      </c>
      <c r="H96" s="49" t="str">
        <f t="shared" si="7"/>
        <v>insert into ins_premium_det (premium_rcv_code,assorted_code, rec_amount,premium_rcv_detail_code,remaining_amt, payrec, mode_code,coinsurance_code,class_cd,it_remarks) values('04Feb250013','070000172438','37842',(select max(to_number(i.premium_rcv_detail_code))+1
from ins_premium_det i),'37842','37842','02', '11000003','00','Request by Mr. Saqib Saleem 04-Feb-2024');</v>
      </c>
    </row>
    <row r="97" spans="1:8" ht="105" x14ac:dyDescent="0.25">
      <c r="A97" s="36" t="s">
        <v>660</v>
      </c>
      <c r="B97" s="40" t="str">
        <f>VLOOKUP(A97,policy!B:C,2,0)</f>
        <v>070000172440</v>
      </c>
      <c r="C97" s="38">
        <v>54060</v>
      </c>
      <c r="D97" s="46">
        <f t="shared" si="5"/>
        <v>54060</v>
      </c>
      <c r="E97" s="52" t="s">
        <v>1735</v>
      </c>
      <c r="F97" s="47" t="str">
        <f t="shared" si="4"/>
        <v>insert into ins_premium_det (premium_rcv_code,assorted_code, rec_amount,premium_rcv_detail_code,remaining_amt, payrec, mode_code,coinsurance_code,class_cd,it_remarks) values</v>
      </c>
      <c r="G97" s="48" t="str">
        <f t="shared" si="6"/>
        <v>('04Feb250013','070000172440','54060',(select max(to_number(i.premium_rcv_detail_code))+1
from ins_premium_det i),'54060','54060','02', '11000003','00','Request by Mr. Saqib Saleem 04-Feb-2024');</v>
      </c>
      <c r="H97" s="49" t="str">
        <f t="shared" si="7"/>
        <v>insert into ins_premium_det (premium_rcv_code,assorted_code, rec_amount,premium_rcv_detail_code,remaining_amt, payrec, mode_code,coinsurance_code,class_cd,it_remarks) values('04Feb250013','070000172440','54060',(select max(to_number(i.premium_rcv_detail_code))+1
from ins_premium_det i),'54060','54060','02', '11000003','00','Request by Mr. Saqib Saleem 04-Feb-2024');</v>
      </c>
    </row>
    <row r="98" spans="1:8" ht="105" x14ac:dyDescent="0.25">
      <c r="A98" s="36" t="s">
        <v>668</v>
      </c>
      <c r="B98" s="40" t="str">
        <f>VLOOKUP(A98,policy!B:C,2,0)</f>
        <v>070000172483</v>
      </c>
      <c r="C98" s="38">
        <v>51713</v>
      </c>
      <c r="D98" s="46">
        <f t="shared" si="5"/>
        <v>51713</v>
      </c>
      <c r="E98" s="52" t="s">
        <v>1735</v>
      </c>
      <c r="F98" s="47" t="str">
        <f t="shared" si="4"/>
        <v>insert into ins_premium_det (premium_rcv_code,assorted_code, rec_amount,premium_rcv_detail_code,remaining_amt, payrec, mode_code,coinsurance_code,class_cd,it_remarks) values</v>
      </c>
      <c r="G98" s="48" t="str">
        <f t="shared" si="6"/>
        <v>('04Feb250013','070000172483','51713',(select max(to_number(i.premium_rcv_detail_code))+1
from ins_premium_det i),'51713','51713','02', '11000003','00','Request by Mr. Saqib Saleem 04-Feb-2024');</v>
      </c>
      <c r="H98" s="49" t="str">
        <f t="shared" si="7"/>
        <v>insert into ins_premium_det (premium_rcv_code,assorted_code, rec_amount,premium_rcv_detail_code,remaining_amt, payrec, mode_code,coinsurance_code,class_cd,it_remarks) values('04Feb250013','070000172483','51713',(select max(to_number(i.premium_rcv_detail_code))+1
from ins_premium_det i),'51713','51713','02', '11000003','00','Request by Mr. Saqib Saleem 04-Feb-2024');</v>
      </c>
    </row>
    <row r="99" spans="1:8" ht="105" x14ac:dyDescent="0.25">
      <c r="A99" s="36" t="s">
        <v>676</v>
      </c>
      <c r="B99" s="40" t="str">
        <f>VLOOKUP(A99,policy!B:C,2,0)</f>
        <v>070000172384</v>
      </c>
      <c r="C99" s="38">
        <v>58693</v>
      </c>
      <c r="D99" s="46">
        <f t="shared" si="5"/>
        <v>58693</v>
      </c>
      <c r="E99" s="52" t="s">
        <v>1735</v>
      </c>
      <c r="F99" s="47" t="str">
        <f t="shared" si="4"/>
        <v>insert into ins_premium_det (premium_rcv_code,assorted_code, rec_amount,premium_rcv_detail_code,remaining_amt, payrec, mode_code,coinsurance_code,class_cd,it_remarks) values</v>
      </c>
      <c r="G99" s="48" t="str">
        <f t="shared" si="6"/>
        <v>('04Feb250013','070000172384','58693',(select max(to_number(i.premium_rcv_detail_code))+1
from ins_premium_det i),'58693','58693','02', '11000003','00','Request by Mr. Saqib Saleem 04-Feb-2024');</v>
      </c>
      <c r="H99" s="49" t="str">
        <f t="shared" si="7"/>
        <v>insert into ins_premium_det (premium_rcv_code,assorted_code, rec_amount,premium_rcv_detail_code,remaining_amt, payrec, mode_code,coinsurance_code,class_cd,it_remarks) values('04Feb250013','070000172384','58693',(select max(to_number(i.premium_rcv_detail_code))+1
from ins_premium_det i),'58693','58693','02', '11000003','00','Request by Mr. Saqib Saleem 04-Feb-2024');</v>
      </c>
    </row>
    <row r="100" spans="1:8" ht="105" x14ac:dyDescent="0.25">
      <c r="A100" s="36" t="s">
        <v>683</v>
      </c>
      <c r="B100" s="40" t="str">
        <f>VLOOKUP(A100,policy!B:C,2,0)</f>
        <v>070000172339</v>
      </c>
      <c r="C100" s="38">
        <v>50400</v>
      </c>
      <c r="D100" s="46">
        <f t="shared" si="5"/>
        <v>50400</v>
      </c>
      <c r="E100" s="52" t="s">
        <v>1735</v>
      </c>
      <c r="F100" s="47" t="str">
        <f t="shared" si="4"/>
        <v>insert into ins_premium_det (premium_rcv_code,assorted_code, rec_amount,premium_rcv_detail_code,remaining_amt, payrec, mode_code,coinsurance_code,class_cd,it_remarks) values</v>
      </c>
      <c r="G100" s="48" t="str">
        <f t="shared" si="6"/>
        <v>('04Feb250013','070000172339','50400',(select max(to_number(i.premium_rcv_detail_code))+1
from ins_premium_det i),'50400','50400','02', '11000003','00','Request by Mr. Saqib Saleem 04-Feb-2024');</v>
      </c>
      <c r="H100" s="49" t="str">
        <f t="shared" si="7"/>
        <v>insert into ins_premium_det (premium_rcv_code,assorted_code, rec_amount,premium_rcv_detail_code,remaining_amt, payrec, mode_code,coinsurance_code,class_cd,it_remarks) values('04Feb250013','070000172339','50400',(select max(to_number(i.premium_rcv_detail_code))+1
from ins_premium_det i),'50400','50400','02', '11000003','00','Request by Mr. Saqib Saleem 04-Feb-2024');</v>
      </c>
    </row>
    <row r="101" spans="1:8" ht="105" x14ac:dyDescent="0.25">
      <c r="A101" s="36" t="s">
        <v>690</v>
      </c>
      <c r="B101" s="40" t="str">
        <f>VLOOKUP(A101,policy!B:C,2,0)</f>
        <v>070000172426</v>
      </c>
      <c r="C101" s="38">
        <v>40096</v>
      </c>
      <c r="D101" s="46">
        <f t="shared" si="5"/>
        <v>40096</v>
      </c>
      <c r="E101" s="52" t="s">
        <v>1735</v>
      </c>
      <c r="F101" s="47" t="str">
        <f t="shared" si="4"/>
        <v>insert into ins_premium_det (premium_rcv_code,assorted_code, rec_amount,premium_rcv_detail_code,remaining_amt, payrec, mode_code,coinsurance_code,class_cd,it_remarks) values</v>
      </c>
      <c r="G101" s="48" t="str">
        <f t="shared" si="6"/>
        <v>('04Feb250013','070000172426','40096',(select max(to_number(i.premium_rcv_detail_code))+1
from ins_premium_det i),'40096','40096','02', '11000003','00','Request by Mr. Saqib Saleem 04-Feb-2024');</v>
      </c>
      <c r="H101" s="49" t="str">
        <f t="shared" si="7"/>
        <v>insert into ins_premium_det (premium_rcv_code,assorted_code, rec_amount,premium_rcv_detail_code,remaining_amt, payrec, mode_code,coinsurance_code,class_cd,it_remarks) values('04Feb250013','070000172426','40096',(select max(to_number(i.premium_rcv_detail_code))+1
from ins_premium_det i),'40096','40096','02', '11000003','00','Request by Mr. Saqib Saleem 04-Feb-2024');</v>
      </c>
    </row>
    <row r="102" spans="1:8" ht="105" x14ac:dyDescent="0.25">
      <c r="A102" s="36" t="s">
        <v>696</v>
      </c>
      <c r="B102" s="40" t="str">
        <f>VLOOKUP(A102,policy!B:C,2,0)</f>
        <v>070000172491</v>
      </c>
      <c r="C102" s="38">
        <v>60543</v>
      </c>
      <c r="D102" s="46">
        <f t="shared" si="5"/>
        <v>60543</v>
      </c>
      <c r="E102" s="52" t="s">
        <v>1735</v>
      </c>
      <c r="F102" s="47" t="str">
        <f t="shared" si="4"/>
        <v>insert into ins_premium_det (premium_rcv_code,assorted_code, rec_amount,premium_rcv_detail_code,remaining_amt, payrec, mode_code,coinsurance_code,class_cd,it_remarks) values</v>
      </c>
      <c r="G102" s="48" t="str">
        <f t="shared" si="6"/>
        <v>('04Feb250013','070000172491','60543',(select max(to_number(i.premium_rcv_detail_code))+1
from ins_premium_det i),'60543','60543','02', '11000003','00','Request by Mr. Saqib Saleem 04-Feb-2024');</v>
      </c>
      <c r="H102" s="49" t="str">
        <f t="shared" si="7"/>
        <v>insert into ins_premium_det (premium_rcv_code,assorted_code, rec_amount,premium_rcv_detail_code,remaining_amt, payrec, mode_code,coinsurance_code,class_cd,it_remarks) values('04Feb250013','070000172491','60543',(select max(to_number(i.premium_rcv_detail_code))+1
from ins_premium_det i),'60543','60543','02', '11000003','00','Request by Mr. Saqib Saleem 04-Feb-2024');</v>
      </c>
    </row>
    <row r="103" spans="1:8" ht="105" x14ac:dyDescent="0.25">
      <c r="A103" s="36" t="s">
        <v>705</v>
      </c>
      <c r="B103" s="40" t="str">
        <f>VLOOKUP(A103,policy!B:C,2,0)</f>
        <v>070000172334</v>
      </c>
      <c r="C103" s="38">
        <v>52830</v>
      </c>
      <c r="D103" s="46">
        <f t="shared" si="5"/>
        <v>52830</v>
      </c>
      <c r="E103" s="52" t="s">
        <v>1735</v>
      </c>
      <c r="F103" s="47" t="str">
        <f t="shared" si="4"/>
        <v>insert into ins_premium_det (premium_rcv_code,assorted_code, rec_amount,premium_rcv_detail_code,remaining_amt, payrec, mode_code,coinsurance_code,class_cd,it_remarks) values</v>
      </c>
      <c r="G103" s="48" t="str">
        <f t="shared" si="6"/>
        <v>('04Feb250013','070000172334','52830',(select max(to_number(i.premium_rcv_detail_code))+1
from ins_premium_det i),'52830','52830','02', '11000003','00','Request by Mr. Saqib Saleem 04-Feb-2024');</v>
      </c>
      <c r="H103" s="49" t="str">
        <f t="shared" si="7"/>
        <v>insert into ins_premium_det (premium_rcv_code,assorted_code, rec_amount,premium_rcv_detail_code,remaining_amt, payrec, mode_code,coinsurance_code,class_cd,it_remarks) values('04Feb250013','070000172334','52830',(select max(to_number(i.premium_rcv_detail_code))+1
from ins_premium_det i),'52830','52830','02', '11000003','00','Request by Mr. Saqib Saleem 04-Feb-2024');</v>
      </c>
    </row>
    <row r="104" spans="1:8" ht="105" x14ac:dyDescent="0.25">
      <c r="A104" s="36" t="s">
        <v>711</v>
      </c>
      <c r="B104" s="40" t="str">
        <f>VLOOKUP(A104,policy!B:C,2,0)</f>
        <v>070000172382</v>
      </c>
      <c r="C104" s="38">
        <v>51408</v>
      </c>
      <c r="D104" s="46">
        <f t="shared" si="5"/>
        <v>51408</v>
      </c>
      <c r="E104" s="52" t="s">
        <v>1735</v>
      </c>
      <c r="F104" s="47" t="str">
        <f t="shared" si="4"/>
        <v>insert into ins_premium_det (premium_rcv_code,assorted_code, rec_amount,premium_rcv_detail_code,remaining_amt, payrec, mode_code,coinsurance_code,class_cd,it_remarks) values</v>
      </c>
      <c r="G104" s="48" t="str">
        <f t="shared" si="6"/>
        <v>('04Feb250013','070000172382','51408',(select max(to_number(i.premium_rcv_detail_code))+1
from ins_premium_det i),'51408','51408','02', '11000003','00','Request by Mr. Saqib Saleem 04-Feb-2024');</v>
      </c>
      <c r="H104" s="49" t="str">
        <f t="shared" si="7"/>
        <v>insert into ins_premium_det (premium_rcv_code,assorted_code, rec_amount,premium_rcv_detail_code,remaining_amt, payrec, mode_code,coinsurance_code,class_cd,it_remarks) values('04Feb250013','070000172382','51408',(select max(to_number(i.premium_rcv_detail_code))+1
from ins_premium_det i),'51408','51408','02', '11000003','00','Request by Mr. Saqib Saleem 04-Feb-2024');</v>
      </c>
    </row>
    <row r="105" spans="1:8" ht="105" x14ac:dyDescent="0.25">
      <c r="A105" s="36" t="s">
        <v>718</v>
      </c>
      <c r="B105" s="40" t="str">
        <f>VLOOKUP(A105,policy!B:C,2,0)</f>
        <v>070000172335</v>
      </c>
      <c r="C105" s="38">
        <v>57600</v>
      </c>
      <c r="D105" s="46">
        <f t="shared" si="5"/>
        <v>57600</v>
      </c>
      <c r="E105" s="52" t="s">
        <v>1735</v>
      </c>
      <c r="F105" s="47" t="str">
        <f t="shared" si="4"/>
        <v>insert into ins_premium_det (premium_rcv_code,assorted_code, rec_amount,premium_rcv_detail_code,remaining_amt, payrec, mode_code,coinsurance_code,class_cd,it_remarks) values</v>
      </c>
      <c r="G105" s="48" t="str">
        <f t="shared" si="6"/>
        <v>('04Feb250013','070000172335','57600',(select max(to_number(i.premium_rcv_detail_code))+1
from ins_premium_det i),'57600','57600','02', '11000003','00','Request by Mr. Saqib Saleem 04-Feb-2024');</v>
      </c>
      <c r="H105" s="49" t="str">
        <f t="shared" si="7"/>
        <v>insert into ins_premium_det (premium_rcv_code,assorted_code, rec_amount,premium_rcv_detail_code,remaining_amt, payrec, mode_code,coinsurance_code,class_cd,it_remarks) values('04Feb250013','070000172335','57600',(select max(to_number(i.premium_rcv_detail_code))+1
from ins_premium_det i),'57600','57600','02', '11000003','00','Request by Mr. Saqib Saleem 04-Feb-2024');</v>
      </c>
    </row>
    <row r="106" spans="1:8" ht="105" x14ac:dyDescent="0.25">
      <c r="A106" s="36" t="s">
        <v>725</v>
      </c>
      <c r="B106" s="40" t="str">
        <f>VLOOKUP(A106,policy!B:C,2,0)</f>
        <v>070000172403</v>
      </c>
      <c r="C106" s="38">
        <v>54978</v>
      </c>
      <c r="D106" s="46">
        <f t="shared" si="5"/>
        <v>54978</v>
      </c>
      <c r="E106" s="52" t="s">
        <v>1735</v>
      </c>
      <c r="F106" s="47" t="str">
        <f t="shared" si="4"/>
        <v>insert into ins_premium_det (premium_rcv_code,assorted_code, rec_amount,premium_rcv_detail_code,remaining_amt, payrec, mode_code,coinsurance_code,class_cd,it_remarks) values</v>
      </c>
      <c r="G106" s="48" t="str">
        <f t="shared" si="6"/>
        <v>('04Feb250013','070000172403','54978',(select max(to_number(i.premium_rcv_detail_code))+1
from ins_premium_det i),'54978','54978','02', '11000003','00','Request by Mr. Saqib Saleem 04-Feb-2024');</v>
      </c>
      <c r="H106" s="49" t="str">
        <f t="shared" si="7"/>
        <v>insert into ins_premium_det (premium_rcv_code,assorted_code, rec_amount,premium_rcv_detail_code,remaining_amt, payrec, mode_code,coinsurance_code,class_cd,it_remarks) values('04Feb250013','070000172403','54978',(select max(to_number(i.premium_rcv_detail_code))+1
from ins_premium_det i),'54978','54978','02', '11000003','00','Request by Mr. Saqib Saleem 04-Feb-2024');</v>
      </c>
    </row>
    <row r="107" spans="1:8" ht="105" x14ac:dyDescent="0.25">
      <c r="A107" s="36" t="s">
        <v>732</v>
      </c>
      <c r="B107" s="40" t="str">
        <f>VLOOKUP(A107,policy!B:C,2,0)</f>
        <v>070000172402</v>
      </c>
      <c r="C107" s="38">
        <v>56066</v>
      </c>
      <c r="D107" s="46">
        <f t="shared" si="5"/>
        <v>56066</v>
      </c>
      <c r="E107" s="52" t="s">
        <v>1735</v>
      </c>
      <c r="F107" s="47" t="str">
        <f t="shared" si="4"/>
        <v>insert into ins_premium_det (premium_rcv_code,assorted_code, rec_amount,premium_rcv_detail_code,remaining_amt, payrec, mode_code,coinsurance_code,class_cd,it_remarks) values</v>
      </c>
      <c r="G107" s="48" t="str">
        <f t="shared" si="6"/>
        <v>('04Feb250013','070000172402','56066',(select max(to_number(i.premium_rcv_detail_code))+1
from ins_premium_det i),'56066','56066','02', '11000003','00','Request by Mr. Saqib Saleem 04-Feb-2024');</v>
      </c>
      <c r="H107" s="49" t="str">
        <f t="shared" si="7"/>
        <v>insert into ins_premium_det (premium_rcv_code,assorted_code, rec_amount,premium_rcv_detail_code,remaining_amt, payrec, mode_code,coinsurance_code,class_cd,it_remarks) values('04Feb250013','070000172402','56066',(select max(to_number(i.premium_rcv_detail_code))+1
from ins_premium_det i),'56066','56066','02', '11000003','00','Request by Mr. Saqib Saleem 04-Feb-2024');</v>
      </c>
    </row>
    <row r="108" spans="1:8" ht="105" x14ac:dyDescent="0.25">
      <c r="A108" s="36" t="s">
        <v>740</v>
      </c>
      <c r="B108" s="40" t="str">
        <f>VLOOKUP(A108,policy!B:C,2,0)</f>
        <v>070000172387</v>
      </c>
      <c r="C108" s="38">
        <v>57800</v>
      </c>
      <c r="D108" s="46">
        <f t="shared" si="5"/>
        <v>57800</v>
      </c>
      <c r="E108" s="52" t="s">
        <v>1735</v>
      </c>
      <c r="F108" s="47" t="str">
        <f t="shared" si="4"/>
        <v>insert into ins_premium_det (premium_rcv_code,assorted_code, rec_amount,premium_rcv_detail_code,remaining_amt, payrec, mode_code,coinsurance_code,class_cd,it_remarks) values</v>
      </c>
      <c r="G108" s="48" t="str">
        <f t="shared" si="6"/>
        <v>('04Feb250013','070000172387','57800',(select max(to_number(i.premium_rcv_detail_code))+1
from ins_premium_det i),'57800','57800','02', '11000003','00','Request by Mr. Saqib Saleem 04-Feb-2024');</v>
      </c>
      <c r="H108" s="49" t="str">
        <f t="shared" si="7"/>
        <v>insert into ins_premium_det (premium_rcv_code,assorted_code, rec_amount,premium_rcv_detail_code,remaining_amt, payrec, mode_code,coinsurance_code,class_cd,it_remarks) values('04Feb250013','070000172387','57800',(select max(to_number(i.premium_rcv_detail_code))+1
from ins_premium_det i),'57800','57800','02', '11000003','00','Request by Mr. Saqib Saleem 04-Feb-2024');</v>
      </c>
    </row>
    <row r="109" spans="1:8" ht="105" x14ac:dyDescent="0.25">
      <c r="A109" s="36" t="s">
        <v>748</v>
      </c>
      <c r="B109" s="40" t="str">
        <f>VLOOKUP(A109,policy!B:C,2,0)</f>
        <v>070000172421</v>
      </c>
      <c r="C109" s="38">
        <v>42000</v>
      </c>
      <c r="D109" s="46">
        <f t="shared" si="5"/>
        <v>42000</v>
      </c>
      <c r="E109" s="52" t="s">
        <v>1735</v>
      </c>
      <c r="F109" s="47" t="str">
        <f t="shared" si="4"/>
        <v>insert into ins_premium_det (premium_rcv_code,assorted_code, rec_amount,premium_rcv_detail_code,remaining_amt, payrec, mode_code,coinsurance_code,class_cd,it_remarks) values</v>
      </c>
      <c r="G109" s="48" t="str">
        <f t="shared" si="6"/>
        <v>('04Feb250013','070000172421','42000',(select max(to_number(i.premium_rcv_detail_code))+1
from ins_premium_det i),'42000','42000','02', '11000003','00','Request by Mr. Saqib Saleem 04-Feb-2024');</v>
      </c>
      <c r="H109" s="49" t="str">
        <f t="shared" si="7"/>
        <v>insert into ins_premium_det (premium_rcv_code,assorted_code, rec_amount,premium_rcv_detail_code,remaining_amt, payrec, mode_code,coinsurance_code,class_cd,it_remarks) values('04Feb250013','070000172421','42000',(select max(to_number(i.premium_rcv_detail_code))+1
from ins_premium_det i),'42000','42000','02', '11000003','00','Request by Mr. Saqib Saleem 04-Feb-2024');</v>
      </c>
    </row>
    <row r="110" spans="1:8" ht="105" x14ac:dyDescent="0.25">
      <c r="A110" s="36" t="s">
        <v>754</v>
      </c>
      <c r="B110" s="40" t="str">
        <f>VLOOKUP(A110,policy!B:C,2,0)</f>
        <v>070000172423</v>
      </c>
      <c r="C110" s="38">
        <v>42000</v>
      </c>
      <c r="D110" s="46">
        <f t="shared" si="5"/>
        <v>42000</v>
      </c>
      <c r="E110" s="52" t="s">
        <v>1735</v>
      </c>
      <c r="F110" s="47" t="str">
        <f t="shared" si="4"/>
        <v>insert into ins_premium_det (premium_rcv_code,assorted_code, rec_amount,premium_rcv_detail_code,remaining_amt, payrec, mode_code,coinsurance_code,class_cd,it_remarks) values</v>
      </c>
      <c r="G110" s="48" t="str">
        <f t="shared" si="6"/>
        <v>('04Feb250013','070000172423','42000',(select max(to_number(i.premium_rcv_detail_code))+1
from ins_premium_det i),'42000','42000','02', '11000003','00','Request by Mr. Saqib Saleem 04-Feb-2024');</v>
      </c>
      <c r="H110" s="49" t="str">
        <f t="shared" si="7"/>
        <v>insert into ins_premium_det (premium_rcv_code,assorted_code, rec_amount,premium_rcv_detail_code,remaining_amt, payrec, mode_code,coinsurance_code,class_cd,it_remarks) values('04Feb250013','070000172423','42000',(select max(to_number(i.premium_rcv_detail_code))+1
from ins_premium_det i),'42000','42000','02', '11000003','00','Request by Mr. Saqib Saleem 04-Feb-2024');</v>
      </c>
    </row>
    <row r="111" spans="1:8" ht="105" x14ac:dyDescent="0.25">
      <c r="A111" s="36" t="s">
        <v>762</v>
      </c>
      <c r="B111" s="40" t="str">
        <f>VLOOKUP(A111,policy!B:C,2,0)</f>
        <v>070000172425</v>
      </c>
      <c r="C111" s="38">
        <v>44400</v>
      </c>
      <c r="D111" s="46">
        <f t="shared" si="5"/>
        <v>44400</v>
      </c>
      <c r="E111" s="52" t="s">
        <v>1735</v>
      </c>
      <c r="F111" s="47" t="str">
        <f t="shared" si="4"/>
        <v>insert into ins_premium_det (premium_rcv_code,assorted_code, rec_amount,premium_rcv_detail_code,remaining_amt, payrec, mode_code,coinsurance_code,class_cd,it_remarks) values</v>
      </c>
      <c r="G111" s="48" t="str">
        <f t="shared" si="6"/>
        <v>('04Feb250013','070000172425','44400',(select max(to_number(i.premium_rcv_detail_code))+1
from ins_premium_det i),'44400','44400','02', '11000003','00','Request by Mr. Saqib Saleem 04-Feb-2024');</v>
      </c>
      <c r="H111" s="49" t="str">
        <f t="shared" si="7"/>
        <v>insert into ins_premium_det (premium_rcv_code,assorted_code, rec_amount,premium_rcv_detail_code,remaining_amt, payrec, mode_code,coinsurance_code,class_cd,it_remarks) values('04Feb250013','070000172425','44400',(select max(to_number(i.premium_rcv_detail_code))+1
from ins_premium_det i),'44400','44400','02', '11000003','00','Request by Mr. Saqib Saleem 04-Feb-2024');</v>
      </c>
    </row>
    <row r="112" spans="1:8" ht="105" x14ac:dyDescent="0.25">
      <c r="A112" s="36" t="s">
        <v>768</v>
      </c>
      <c r="B112" s="40" t="str">
        <f>VLOOKUP(A112,policy!B:C,2,0)</f>
        <v>070000172350</v>
      </c>
      <c r="C112" s="38">
        <v>49950</v>
      </c>
      <c r="D112" s="46">
        <f t="shared" si="5"/>
        <v>49950</v>
      </c>
      <c r="E112" s="52" t="s">
        <v>1735</v>
      </c>
      <c r="F112" s="47" t="str">
        <f t="shared" si="4"/>
        <v>insert into ins_premium_det (premium_rcv_code,assorted_code, rec_amount,premium_rcv_detail_code,remaining_amt, payrec, mode_code,coinsurance_code,class_cd,it_remarks) values</v>
      </c>
      <c r="G112" s="48" t="str">
        <f t="shared" si="6"/>
        <v>('04Feb250013','070000172350','49950',(select max(to_number(i.premium_rcv_detail_code))+1
from ins_premium_det i),'49950','49950','02', '11000003','00','Request by Mr. Saqib Saleem 04-Feb-2024');</v>
      </c>
      <c r="H112" s="49" t="str">
        <f t="shared" si="7"/>
        <v>insert into ins_premium_det (premium_rcv_code,assorted_code, rec_amount,premium_rcv_detail_code,remaining_amt, payrec, mode_code,coinsurance_code,class_cd,it_remarks) values('04Feb250013','070000172350','49950',(select max(to_number(i.premium_rcv_detail_code))+1
from ins_premium_det i),'49950','49950','02', '11000003','00','Request by Mr. Saqib Saleem 04-Feb-2024');</v>
      </c>
    </row>
    <row r="113" spans="1:8" ht="105" x14ac:dyDescent="0.25">
      <c r="A113" s="36" t="s">
        <v>776</v>
      </c>
      <c r="B113" s="40" t="str">
        <f>VLOOKUP(A113,policy!B:C,2,0)</f>
        <v>070000172404</v>
      </c>
      <c r="C113" s="38">
        <v>47175</v>
      </c>
      <c r="D113" s="46">
        <f t="shared" si="5"/>
        <v>47175</v>
      </c>
      <c r="E113" s="52" t="s">
        <v>1735</v>
      </c>
      <c r="F113" s="47" t="str">
        <f t="shared" si="4"/>
        <v>insert into ins_premium_det (premium_rcv_code,assorted_code, rec_amount,premium_rcv_detail_code,remaining_amt, payrec, mode_code,coinsurance_code,class_cd,it_remarks) values</v>
      </c>
      <c r="G113" s="48" t="str">
        <f t="shared" si="6"/>
        <v>('04Feb250013','070000172404','47175',(select max(to_number(i.premium_rcv_detail_code))+1
from ins_premium_det i),'47175','47175','02', '11000003','00','Request by Mr. Saqib Saleem 04-Feb-2024');</v>
      </c>
      <c r="H113" s="49" t="str">
        <f t="shared" si="7"/>
        <v>insert into ins_premium_det (premium_rcv_code,assorted_code, rec_amount,premium_rcv_detail_code,remaining_amt, payrec, mode_code,coinsurance_code,class_cd,it_remarks) values('04Feb250013','070000172404','47175',(select max(to_number(i.premium_rcv_detail_code))+1
from ins_premium_det i),'47175','47175','02', '11000003','00','Request by Mr. Saqib Saleem 04-Feb-2024');</v>
      </c>
    </row>
    <row r="114" spans="1:8" ht="105" x14ac:dyDescent="0.25">
      <c r="A114" s="36" t="s">
        <v>784</v>
      </c>
      <c r="B114" s="40" t="str">
        <f>VLOOKUP(A114,policy!B:C,2,0)</f>
        <v>070000172391</v>
      </c>
      <c r="C114" s="38">
        <v>47940</v>
      </c>
      <c r="D114" s="46">
        <f t="shared" si="5"/>
        <v>47940</v>
      </c>
      <c r="E114" s="52" t="s">
        <v>1735</v>
      </c>
      <c r="F114" s="47" t="str">
        <f t="shared" si="4"/>
        <v>insert into ins_premium_det (premium_rcv_code,assorted_code, rec_amount,premium_rcv_detail_code,remaining_amt, payrec, mode_code,coinsurance_code,class_cd,it_remarks) values</v>
      </c>
      <c r="G114" s="48" t="str">
        <f t="shared" si="6"/>
        <v>('04Feb250013','070000172391','47940',(select max(to_number(i.premium_rcv_detail_code))+1
from ins_premium_det i),'47940','47940','02', '11000003','00','Request by Mr. Saqib Saleem 04-Feb-2024');</v>
      </c>
      <c r="H114" s="49" t="str">
        <f t="shared" si="7"/>
        <v>insert into ins_premium_det (premium_rcv_code,assorted_code, rec_amount,premium_rcv_detail_code,remaining_amt, payrec, mode_code,coinsurance_code,class_cd,it_remarks) values('04Feb250013','070000172391','47940',(select max(to_number(i.premium_rcv_detail_code))+1
from ins_premium_det i),'47940','47940','02', '11000003','00','Request by Mr. Saqib Saleem 04-Feb-2024');</v>
      </c>
    </row>
    <row r="115" spans="1:8" ht="105" x14ac:dyDescent="0.25">
      <c r="A115" s="36" t="s">
        <v>790</v>
      </c>
      <c r="B115" s="40" t="str">
        <f>VLOOKUP(A115,policy!B:C,2,0)</f>
        <v>070000172471</v>
      </c>
      <c r="C115" s="38">
        <v>42750</v>
      </c>
      <c r="D115" s="46">
        <f t="shared" si="5"/>
        <v>42750</v>
      </c>
      <c r="E115" s="52" t="s">
        <v>1735</v>
      </c>
      <c r="F115" s="47" t="str">
        <f t="shared" si="4"/>
        <v>insert into ins_premium_det (premium_rcv_code,assorted_code, rec_amount,premium_rcv_detail_code,remaining_amt, payrec, mode_code,coinsurance_code,class_cd,it_remarks) values</v>
      </c>
      <c r="G115" s="48" t="str">
        <f t="shared" si="6"/>
        <v>('04Feb250013','070000172471','42750',(select max(to_number(i.premium_rcv_detail_code))+1
from ins_premium_det i),'42750','42750','02', '11000003','00','Request by Mr. Saqib Saleem 04-Feb-2024');</v>
      </c>
      <c r="H115" s="49" t="str">
        <f t="shared" si="7"/>
        <v>insert into ins_premium_det (premium_rcv_code,assorted_code, rec_amount,premium_rcv_detail_code,remaining_amt, payrec, mode_code,coinsurance_code,class_cd,it_remarks) values('04Feb250013','070000172471','42750',(select max(to_number(i.premium_rcv_detail_code))+1
from ins_premium_det i),'42750','42750','02', '11000003','00','Request by Mr. Saqib Saleem 04-Feb-2024');</v>
      </c>
    </row>
    <row r="116" spans="1:8" ht="105" x14ac:dyDescent="0.25">
      <c r="A116" s="36" t="s">
        <v>797</v>
      </c>
      <c r="B116" s="40" t="str">
        <f>VLOOKUP(A116,policy!B:C,2,0)</f>
        <v>070000172413</v>
      </c>
      <c r="C116" s="38">
        <v>49840</v>
      </c>
      <c r="D116" s="46">
        <f t="shared" si="5"/>
        <v>49840</v>
      </c>
      <c r="E116" s="52" t="s">
        <v>1735</v>
      </c>
      <c r="F116" s="47" t="str">
        <f t="shared" si="4"/>
        <v>insert into ins_premium_det (premium_rcv_code,assorted_code, rec_amount,premium_rcv_detail_code,remaining_amt, payrec, mode_code,coinsurance_code,class_cd,it_remarks) values</v>
      </c>
      <c r="G116" s="48" t="str">
        <f t="shared" si="6"/>
        <v>('04Feb250013','070000172413','49840',(select max(to_number(i.premium_rcv_detail_code))+1
from ins_premium_det i),'49840','49840','02', '11000003','00','Request by Mr. Saqib Saleem 04-Feb-2024');</v>
      </c>
      <c r="H116" s="49" t="str">
        <f t="shared" si="7"/>
        <v>insert into ins_premium_det (premium_rcv_code,assorted_code, rec_amount,premium_rcv_detail_code,remaining_amt, payrec, mode_code,coinsurance_code,class_cd,it_remarks) values('04Feb250013','070000172413','49840',(select max(to_number(i.premium_rcv_detail_code))+1
from ins_premium_det i),'49840','49840','02', '11000003','00','Request by Mr. Saqib Saleem 04-Feb-2024');</v>
      </c>
    </row>
    <row r="117" spans="1:8" ht="105" x14ac:dyDescent="0.25">
      <c r="A117" s="36" t="s">
        <v>804</v>
      </c>
      <c r="B117" s="40" t="str">
        <f>VLOOKUP(A117,policy!B:C,2,0)</f>
        <v>070000172353</v>
      </c>
      <c r="C117" s="38">
        <v>55350</v>
      </c>
      <c r="D117" s="46">
        <f t="shared" si="5"/>
        <v>55350</v>
      </c>
      <c r="E117" s="52" t="s">
        <v>1735</v>
      </c>
      <c r="F117" s="47" t="str">
        <f t="shared" si="4"/>
        <v>insert into ins_premium_det (premium_rcv_code,assorted_code, rec_amount,premium_rcv_detail_code,remaining_amt, payrec, mode_code,coinsurance_code,class_cd,it_remarks) values</v>
      </c>
      <c r="G117" s="48" t="str">
        <f t="shared" si="6"/>
        <v>('04Feb250013','070000172353','55350',(select max(to_number(i.premium_rcv_detail_code))+1
from ins_premium_det i),'55350','55350','02', '11000003','00','Request by Mr. Saqib Saleem 04-Feb-2024');</v>
      </c>
      <c r="H117" s="49" t="str">
        <f t="shared" si="7"/>
        <v>insert into ins_premium_det (premium_rcv_code,assorted_code, rec_amount,premium_rcv_detail_code,remaining_amt, payrec, mode_code,coinsurance_code,class_cd,it_remarks) values('04Feb250013','070000172353','55350',(select max(to_number(i.premium_rcv_detail_code))+1
from ins_premium_det i),'55350','55350','02', '11000003','00','Request by Mr. Saqib Saleem 04-Feb-2024');</v>
      </c>
    </row>
    <row r="118" spans="1:8" ht="105" x14ac:dyDescent="0.25">
      <c r="A118" s="36" t="s">
        <v>812</v>
      </c>
      <c r="B118" s="40" t="str">
        <f>VLOOKUP(A118,policy!B:C,2,0)</f>
        <v>070000172473</v>
      </c>
      <c r="C118" s="38">
        <v>46429</v>
      </c>
      <c r="D118" s="46">
        <f t="shared" si="5"/>
        <v>46429</v>
      </c>
      <c r="E118" s="52" t="s">
        <v>1735</v>
      </c>
      <c r="F118" s="47" t="str">
        <f t="shared" si="4"/>
        <v>insert into ins_premium_det (premium_rcv_code,assorted_code, rec_amount,premium_rcv_detail_code,remaining_amt, payrec, mode_code,coinsurance_code,class_cd,it_remarks) values</v>
      </c>
      <c r="G118" s="48" t="str">
        <f t="shared" si="6"/>
        <v>('04Feb250013','070000172473','46429',(select max(to_number(i.premium_rcv_detail_code))+1
from ins_premium_det i),'46429','46429','02', '11000003','00','Request by Mr. Saqib Saleem 04-Feb-2024');</v>
      </c>
      <c r="H118" s="49" t="str">
        <f t="shared" si="7"/>
        <v>insert into ins_premium_det (premium_rcv_code,assorted_code, rec_amount,premium_rcv_detail_code,remaining_amt, payrec, mode_code,coinsurance_code,class_cd,it_remarks) values('04Feb250013','070000172473','46429',(select max(to_number(i.premium_rcv_detail_code))+1
from ins_premium_det i),'46429','46429','02', '11000003','00','Request by Mr. Saqib Saleem 04-Feb-2024');</v>
      </c>
    </row>
    <row r="119" spans="1:8" ht="105" x14ac:dyDescent="0.25">
      <c r="A119" s="36" t="s">
        <v>818</v>
      </c>
      <c r="B119" s="40" t="str">
        <f>VLOOKUP(A119,policy!B:C,2,0)</f>
        <v>070000172348</v>
      </c>
      <c r="C119" s="38">
        <v>56700</v>
      </c>
      <c r="D119" s="46">
        <f t="shared" si="5"/>
        <v>56700</v>
      </c>
      <c r="E119" s="52" t="s">
        <v>1735</v>
      </c>
      <c r="F119" s="47" t="str">
        <f t="shared" si="4"/>
        <v>insert into ins_premium_det (premium_rcv_code,assorted_code, rec_amount,premium_rcv_detail_code,remaining_amt, payrec, mode_code,coinsurance_code,class_cd,it_remarks) values</v>
      </c>
      <c r="G119" s="48" t="str">
        <f t="shared" si="6"/>
        <v>('04Feb250013','070000172348','56700',(select max(to_number(i.premium_rcv_detail_code))+1
from ins_premium_det i),'56700','56700','02', '11000003','00','Request by Mr. Saqib Saleem 04-Feb-2024');</v>
      </c>
      <c r="H119" s="49" t="str">
        <f t="shared" si="7"/>
        <v>insert into ins_premium_det (premium_rcv_code,assorted_code, rec_amount,premium_rcv_detail_code,remaining_amt, payrec, mode_code,coinsurance_code,class_cd,it_remarks) values('04Feb250013','070000172348','56700',(select max(to_number(i.premium_rcv_detail_code))+1
from ins_premium_det i),'56700','56700','02', '11000003','00','Request by Mr. Saqib Saleem 04-Feb-2024');</v>
      </c>
    </row>
    <row r="120" spans="1:8" ht="105" x14ac:dyDescent="0.25">
      <c r="A120" s="36" t="s">
        <v>824</v>
      </c>
      <c r="B120" s="40" t="str">
        <f>VLOOKUP(A120,policy!B:C,2,0)</f>
        <v>070000172359</v>
      </c>
      <c r="C120" s="38">
        <v>58050</v>
      </c>
      <c r="D120" s="46">
        <f t="shared" si="5"/>
        <v>58050</v>
      </c>
      <c r="E120" s="52" t="s">
        <v>1735</v>
      </c>
      <c r="F120" s="47" t="str">
        <f t="shared" si="4"/>
        <v>insert into ins_premium_det (premium_rcv_code,assorted_code, rec_amount,premium_rcv_detail_code,remaining_amt, payrec, mode_code,coinsurance_code,class_cd,it_remarks) values</v>
      </c>
      <c r="G120" s="48" t="str">
        <f t="shared" si="6"/>
        <v>('04Feb250013','070000172359','58050',(select max(to_number(i.premium_rcv_detail_code))+1
from ins_premium_det i),'58050','58050','02', '11000003','00','Request by Mr. Saqib Saleem 04-Feb-2024');</v>
      </c>
      <c r="H120" s="49" t="str">
        <f t="shared" si="7"/>
        <v>insert into ins_premium_det (premium_rcv_code,assorted_code, rec_amount,premium_rcv_detail_code,remaining_amt, payrec, mode_code,coinsurance_code,class_cd,it_remarks) values('04Feb250013','070000172359','58050',(select max(to_number(i.premium_rcv_detail_code))+1
from ins_premium_det i),'58050','58050','02', '11000003','00','Request by Mr. Saqib Saleem 04-Feb-2024');</v>
      </c>
    </row>
    <row r="121" spans="1:8" ht="105" x14ac:dyDescent="0.25">
      <c r="A121" s="36" t="s">
        <v>831</v>
      </c>
      <c r="B121" s="40" t="str">
        <f>VLOOKUP(A121,policy!B:C,2,0)</f>
        <v>070000172400</v>
      </c>
      <c r="C121" s="38">
        <v>55195</v>
      </c>
      <c r="D121" s="46">
        <f t="shared" si="5"/>
        <v>55195</v>
      </c>
      <c r="E121" s="52" t="s">
        <v>1735</v>
      </c>
      <c r="F121" s="47" t="str">
        <f t="shared" si="4"/>
        <v>insert into ins_premium_det (premium_rcv_code,assorted_code, rec_amount,premium_rcv_detail_code,remaining_amt, payrec, mode_code,coinsurance_code,class_cd,it_remarks) values</v>
      </c>
      <c r="G121" s="48" t="str">
        <f t="shared" si="6"/>
        <v>('04Feb250013','070000172400','55195',(select max(to_number(i.premium_rcv_detail_code))+1
from ins_premium_det i),'55195','55195','02', '11000003','00','Request by Mr. Saqib Saleem 04-Feb-2024');</v>
      </c>
      <c r="H121" s="49" t="str">
        <f t="shared" si="7"/>
        <v>insert into ins_premium_det (premium_rcv_code,assorted_code, rec_amount,premium_rcv_detail_code,remaining_amt, payrec, mode_code,coinsurance_code,class_cd,it_remarks) values('04Feb250013','070000172400','55195',(select max(to_number(i.premium_rcv_detail_code))+1
from ins_premium_det i),'55195','55195','02', '11000003','00','Request by Mr. Saqib Saleem 04-Feb-2024');</v>
      </c>
    </row>
    <row r="122" spans="1:8" ht="105" x14ac:dyDescent="0.25">
      <c r="A122" s="36" t="s">
        <v>838</v>
      </c>
      <c r="B122" s="40" t="str">
        <f>VLOOKUP(A122,policy!B:C,2,0)</f>
        <v>070000172418</v>
      </c>
      <c r="C122" s="38">
        <v>55200</v>
      </c>
      <c r="D122" s="46">
        <f t="shared" si="5"/>
        <v>55200</v>
      </c>
      <c r="E122" s="52" t="s">
        <v>1735</v>
      </c>
      <c r="F122" s="47" t="str">
        <f t="shared" si="4"/>
        <v>insert into ins_premium_det (premium_rcv_code,assorted_code, rec_amount,premium_rcv_detail_code,remaining_amt, payrec, mode_code,coinsurance_code,class_cd,it_remarks) values</v>
      </c>
      <c r="G122" s="48" t="str">
        <f t="shared" si="6"/>
        <v>('04Feb250013','070000172418','55200',(select max(to_number(i.premium_rcv_detail_code))+1
from ins_premium_det i),'55200','55200','02', '11000003','00','Request by Mr. Saqib Saleem 04-Feb-2024');</v>
      </c>
      <c r="H122" s="49" t="str">
        <f t="shared" si="7"/>
        <v>insert into ins_premium_det (premium_rcv_code,assorted_code, rec_amount,premium_rcv_detail_code,remaining_amt, payrec, mode_code,coinsurance_code,class_cd,it_remarks) values('04Feb250013','070000172418','55200',(select max(to_number(i.premium_rcv_detail_code))+1
from ins_premium_det i),'55200','55200','02', '11000003','00','Request by Mr. Saqib Saleem 04-Feb-2024');</v>
      </c>
    </row>
    <row r="123" spans="1:8" ht="105" x14ac:dyDescent="0.25">
      <c r="A123" s="36" t="s">
        <v>845</v>
      </c>
      <c r="B123" s="40" t="str">
        <f>VLOOKUP(A123,policy!B:C,2,0)</f>
        <v>070000172346</v>
      </c>
      <c r="C123" s="38">
        <v>62100</v>
      </c>
      <c r="D123" s="46">
        <f t="shared" si="5"/>
        <v>62100</v>
      </c>
      <c r="E123" s="52" t="s">
        <v>1735</v>
      </c>
      <c r="F123" s="47" t="str">
        <f t="shared" si="4"/>
        <v>insert into ins_premium_det (premium_rcv_code,assorted_code, rec_amount,premium_rcv_detail_code,remaining_amt, payrec, mode_code,coinsurance_code,class_cd,it_remarks) values</v>
      </c>
      <c r="G123" s="48" t="str">
        <f t="shared" si="6"/>
        <v>('04Feb250013','070000172346','62100',(select max(to_number(i.premium_rcv_detail_code))+1
from ins_premium_det i),'62100','62100','02', '11000003','00','Request by Mr. Saqib Saleem 04-Feb-2024');</v>
      </c>
      <c r="H123" s="49" t="str">
        <f t="shared" si="7"/>
        <v>insert into ins_premium_det (premium_rcv_code,assorted_code, rec_amount,premium_rcv_detail_code,remaining_amt, payrec, mode_code,coinsurance_code,class_cd,it_remarks) values('04Feb250013','070000172346','62100',(select max(to_number(i.premium_rcv_detail_code))+1
from ins_premium_det i),'62100','62100','02', '11000003','00','Request by Mr. Saqib Saleem 04-Feb-2024');</v>
      </c>
    </row>
    <row r="124" spans="1:8" ht="105" x14ac:dyDescent="0.25">
      <c r="A124" s="36" t="s">
        <v>853</v>
      </c>
      <c r="B124" s="40" t="str">
        <f>VLOOKUP(A124,policy!B:C,2,0)</f>
        <v>070000172417</v>
      </c>
      <c r="C124" s="38">
        <v>65880</v>
      </c>
      <c r="D124" s="46">
        <f t="shared" si="5"/>
        <v>65880</v>
      </c>
      <c r="E124" s="52" t="s">
        <v>1735</v>
      </c>
      <c r="F124" s="47" t="str">
        <f t="shared" si="4"/>
        <v>insert into ins_premium_det (premium_rcv_code,assorted_code, rec_amount,premium_rcv_detail_code,remaining_amt, payrec, mode_code,coinsurance_code,class_cd,it_remarks) values</v>
      </c>
      <c r="G124" s="48" t="str">
        <f t="shared" si="6"/>
        <v>('04Feb250013','070000172417','65880',(select max(to_number(i.premium_rcv_detail_code))+1
from ins_premium_det i),'65880','65880','02', '11000003','00','Request by Mr. Saqib Saleem 04-Feb-2024');</v>
      </c>
      <c r="H124" s="49" t="str">
        <f t="shared" si="7"/>
        <v>insert into ins_premium_det (premium_rcv_code,assorted_code, rec_amount,premium_rcv_detail_code,remaining_amt, payrec, mode_code,coinsurance_code,class_cd,it_remarks) values('04Feb250013','070000172417','65880',(select max(to_number(i.premium_rcv_detail_code))+1
from ins_premium_det i),'65880','65880','02', '11000003','00','Request by Mr. Saqib Saleem 04-Feb-2024');</v>
      </c>
    </row>
    <row r="125" spans="1:8" ht="105" x14ac:dyDescent="0.25">
      <c r="A125" s="36" t="s">
        <v>861</v>
      </c>
      <c r="B125" s="40" t="str">
        <f>VLOOKUP(A125,policy!B:C,2,0)</f>
        <v>070000172352</v>
      </c>
      <c r="C125" s="38">
        <v>74250</v>
      </c>
      <c r="D125" s="46">
        <f t="shared" si="5"/>
        <v>74250</v>
      </c>
      <c r="E125" s="52" t="s">
        <v>1735</v>
      </c>
      <c r="F125" s="47" t="str">
        <f t="shared" si="4"/>
        <v>insert into ins_premium_det (premium_rcv_code,assorted_code, rec_amount,premium_rcv_detail_code,remaining_amt, payrec, mode_code,coinsurance_code,class_cd,it_remarks) values</v>
      </c>
      <c r="G125" s="48" t="str">
        <f t="shared" si="6"/>
        <v>('04Feb250013','070000172352','74250',(select max(to_number(i.premium_rcv_detail_code))+1
from ins_premium_det i),'74250','74250','02', '11000003','00','Request by Mr. Saqib Saleem 04-Feb-2024');</v>
      </c>
      <c r="H125" s="49" t="str">
        <f t="shared" si="7"/>
        <v>insert into ins_premium_det (premium_rcv_code,assorted_code, rec_amount,premium_rcv_detail_code,remaining_amt, payrec, mode_code,coinsurance_code,class_cd,it_remarks) values('04Feb250013','070000172352','74250',(select max(to_number(i.premium_rcv_detail_code))+1
from ins_premium_det i),'74250','74250','02', '11000003','00','Request by Mr. Saqib Saleem 04-Feb-2024');</v>
      </c>
    </row>
    <row r="126" spans="1:8" ht="105" x14ac:dyDescent="0.25">
      <c r="A126" s="36" t="s">
        <v>868</v>
      </c>
      <c r="B126" s="40" t="str">
        <f>VLOOKUP(A126,policy!B:C,2,0)</f>
        <v>070000172351</v>
      </c>
      <c r="C126" s="38">
        <v>78300</v>
      </c>
      <c r="D126" s="46">
        <f t="shared" si="5"/>
        <v>78300</v>
      </c>
      <c r="E126" s="52" t="s">
        <v>1735</v>
      </c>
      <c r="F126" s="47" t="str">
        <f t="shared" si="4"/>
        <v>insert into ins_premium_det (premium_rcv_code,assorted_code, rec_amount,premium_rcv_detail_code,remaining_amt, payrec, mode_code,coinsurance_code,class_cd,it_remarks) values</v>
      </c>
      <c r="G126" s="48" t="str">
        <f t="shared" si="6"/>
        <v>('04Feb250013','070000172351','78300',(select max(to_number(i.premium_rcv_detail_code))+1
from ins_premium_det i),'78300','78300','02', '11000003','00','Request by Mr. Saqib Saleem 04-Feb-2024');</v>
      </c>
      <c r="H126" s="49" t="str">
        <f t="shared" si="7"/>
        <v>insert into ins_premium_det (premium_rcv_code,assorted_code, rec_amount,premium_rcv_detail_code,remaining_amt, payrec, mode_code,coinsurance_code,class_cd,it_remarks) values('04Feb250013','070000172351','78300',(select max(to_number(i.premium_rcv_detail_code))+1
from ins_premium_det i),'78300','78300','02', '11000003','00','Request by Mr. Saqib Saleem 04-Feb-2024');</v>
      </c>
    </row>
    <row r="127" spans="1:8" ht="105" x14ac:dyDescent="0.25">
      <c r="A127" s="36" t="s">
        <v>876</v>
      </c>
      <c r="B127" s="40" t="str">
        <f>VLOOKUP(A127,policy!B:C,2,0)</f>
        <v>070000172338</v>
      </c>
      <c r="C127" s="38">
        <v>87750</v>
      </c>
      <c r="D127" s="46">
        <f t="shared" si="5"/>
        <v>87750</v>
      </c>
      <c r="E127" s="52" t="s">
        <v>1735</v>
      </c>
      <c r="F127" s="47" t="str">
        <f t="shared" si="4"/>
        <v>insert into ins_premium_det (premium_rcv_code,assorted_code, rec_amount,premium_rcv_detail_code,remaining_amt, payrec, mode_code,coinsurance_code,class_cd,it_remarks) values</v>
      </c>
      <c r="G127" s="48" t="str">
        <f t="shared" si="6"/>
        <v>('04Feb250013','070000172338','87750',(select max(to_number(i.premium_rcv_detail_code))+1
from ins_premium_det i),'87750','87750','02', '11000003','00','Request by Mr. Saqib Saleem 04-Feb-2024');</v>
      </c>
      <c r="H127" s="49" t="str">
        <f t="shared" si="7"/>
        <v>insert into ins_premium_det (premium_rcv_code,assorted_code, rec_amount,premium_rcv_detail_code,remaining_amt, payrec, mode_code,coinsurance_code,class_cd,it_remarks) values('04Feb250013','070000172338','87750',(select max(to_number(i.premium_rcv_detail_code))+1
from ins_premium_det i),'87750','87750','02', '11000003','00','Request by Mr. Saqib Saleem 04-Feb-2024');</v>
      </c>
    </row>
    <row r="128" spans="1:8" ht="105" x14ac:dyDescent="0.25">
      <c r="A128" s="36" t="s">
        <v>884</v>
      </c>
      <c r="B128" s="40" t="str">
        <f>VLOOKUP(A128,policy!B:C,2,0)</f>
        <v>070000172461</v>
      </c>
      <c r="C128" s="38">
        <v>38290</v>
      </c>
      <c r="D128" s="46">
        <f t="shared" si="5"/>
        <v>38290</v>
      </c>
      <c r="E128" s="52" t="s">
        <v>1735</v>
      </c>
      <c r="F128" s="47" t="str">
        <f t="shared" si="4"/>
        <v>insert into ins_premium_det (premium_rcv_code,assorted_code, rec_amount,premium_rcv_detail_code,remaining_amt, payrec, mode_code,coinsurance_code,class_cd,it_remarks) values</v>
      </c>
      <c r="G128" s="48" t="str">
        <f t="shared" si="6"/>
        <v>('04Feb250013','070000172461','38290',(select max(to_number(i.premium_rcv_detail_code))+1
from ins_premium_det i),'38290','38290','02', '11000003','00','Request by Mr. Saqib Saleem 04-Feb-2024');</v>
      </c>
      <c r="H128" s="49" t="str">
        <f t="shared" si="7"/>
        <v>insert into ins_premium_det (premium_rcv_code,assorted_code, rec_amount,premium_rcv_detail_code,remaining_amt, payrec, mode_code,coinsurance_code,class_cd,it_remarks) values('04Feb250013','070000172461','38290',(select max(to_number(i.premium_rcv_detail_code))+1
from ins_premium_det i),'38290','38290','02', '11000003','00','Request by Mr. Saqib Saleem 04-Feb-2024');</v>
      </c>
    </row>
    <row r="129" spans="1:8" ht="105" x14ac:dyDescent="0.25">
      <c r="A129" s="36" t="s">
        <v>891</v>
      </c>
      <c r="B129" s="40" t="str">
        <f>VLOOKUP(A129,policy!B:C,2,0)</f>
        <v>070000172370</v>
      </c>
      <c r="C129" s="38">
        <v>35955</v>
      </c>
      <c r="D129" s="46">
        <f t="shared" si="5"/>
        <v>35955</v>
      </c>
      <c r="E129" s="52" t="s">
        <v>1735</v>
      </c>
      <c r="F129" s="47" t="str">
        <f t="shared" si="4"/>
        <v>insert into ins_premium_det (premium_rcv_code,assorted_code, rec_amount,premium_rcv_detail_code,remaining_amt, payrec, mode_code,coinsurance_code,class_cd,it_remarks) values</v>
      </c>
      <c r="G129" s="48" t="str">
        <f t="shared" si="6"/>
        <v>('04Feb250013','070000172370','35955',(select max(to_number(i.premium_rcv_detail_code))+1
from ins_premium_det i),'35955','35955','02', '11000003','00','Request by Mr. Saqib Saleem 04-Feb-2024');</v>
      </c>
      <c r="H129" s="49" t="str">
        <f t="shared" si="7"/>
        <v>insert into ins_premium_det (premium_rcv_code,assorted_code, rec_amount,premium_rcv_detail_code,remaining_amt, payrec, mode_code,coinsurance_code,class_cd,it_remarks) values('04Feb250013','070000172370','35955',(select max(to_number(i.premium_rcv_detail_code))+1
from ins_premium_det i),'35955','35955','02', '11000003','00','Request by Mr. Saqib Saleem 04-Feb-2024');</v>
      </c>
    </row>
    <row r="130" spans="1:8" ht="105" x14ac:dyDescent="0.25">
      <c r="A130" s="36" t="s">
        <v>898</v>
      </c>
      <c r="B130" s="40" t="str">
        <f>VLOOKUP(A130,policy!B:C,2,0)</f>
        <v>070000172371</v>
      </c>
      <c r="C130" s="38">
        <v>57999</v>
      </c>
      <c r="D130" s="46">
        <f t="shared" si="5"/>
        <v>57999</v>
      </c>
      <c r="E130" s="52" t="s">
        <v>1735</v>
      </c>
      <c r="F130" s="47" t="str">
        <f t="shared" ref="F130:F162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48" t="str">
        <f t="shared" si="6"/>
        <v>('04Feb250013','070000172371','57999',(select max(to_number(i.premium_rcv_detail_code))+1
from ins_premium_det i),'57999','57999','02', '11000003','00','Request by Mr. Saqib Saleem 04-Feb-2024');</v>
      </c>
      <c r="H130" s="49" t="str">
        <f t="shared" si="7"/>
        <v>insert into ins_premium_det (premium_rcv_code,assorted_code, rec_amount,premium_rcv_detail_code,remaining_amt, payrec, mode_code,coinsurance_code,class_cd,it_remarks) values('04Feb250013','070000172371','57999',(select max(to_number(i.premium_rcv_detail_code))+1
from ins_premium_det i),'57999','57999','02', '11000003','00','Request by Mr. Saqib Saleem 04-Feb-2024');</v>
      </c>
    </row>
    <row r="131" spans="1:8" ht="105" x14ac:dyDescent="0.25">
      <c r="A131" s="36" t="s">
        <v>905</v>
      </c>
      <c r="B131" s="40" t="str">
        <f>VLOOKUP(A131,policy!B:C,2,0)</f>
        <v>070000172362</v>
      </c>
      <c r="C131" s="41">
        <v>42750</v>
      </c>
      <c r="D131" s="46">
        <f t="shared" ref="D131:D162" si="9">ROUND(C131,0)</f>
        <v>42750</v>
      </c>
      <c r="E131" s="52" t="s">
        <v>1735</v>
      </c>
      <c r="F131" s="47" t="str">
        <f t="shared" si="8"/>
        <v>insert into ins_premium_det (premium_rcv_code,assorted_code, rec_amount,premium_rcv_detail_code,remaining_amt, payrec, mode_code,coinsurance_code,class_cd,it_remarks) values</v>
      </c>
      <c r="G131" s="48" t="str">
        <f t="shared" ref="G131:G162" si="10">"('"&amp;E131&amp;"','"&amp;B131&amp;"','"&amp;D131&amp;"',(select max(to_number(i.premium_rcv_detail_code))+1
from ins_premium_det i),'"&amp;D131&amp;"','"&amp;D131&amp;"','02', '11000003','00','Request by Mr. Saqib Saleem 04-Feb-2024');"</f>
        <v>('04Feb250013','070000172362','42750',(select max(to_number(i.premium_rcv_detail_code))+1
from ins_premium_det i),'42750','42750','02', '11000003','00','Request by Mr. Saqib Saleem 04-Feb-2024');</v>
      </c>
      <c r="H131" s="49" t="str">
        <f t="shared" ref="H131:H162" si="11">F131&amp;G131</f>
        <v>insert into ins_premium_det (premium_rcv_code,assorted_code, rec_amount,premium_rcv_detail_code,remaining_amt, payrec, mode_code,coinsurance_code,class_cd,it_remarks) values('04Feb250013','070000172362','42750',(select max(to_number(i.premium_rcv_detail_code))+1
from ins_premium_det i),'42750','42750','02', '11000003','00','Request by Mr. Saqib Saleem 04-Feb-2024');</v>
      </c>
    </row>
    <row r="132" spans="1:8" ht="105" x14ac:dyDescent="0.25">
      <c r="A132" s="36" t="s">
        <v>913</v>
      </c>
      <c r="B132" s="40" t="str">
        <f>VLOOKUP(A132,policy!B:C,2,0)</f>
        <v>070000172336</v>
      </c>
      <c r="C132" s="38">
        <v>50504</v>
      </c>
      <c r="D132" s="46">
        <f t="shared" si="9"/>
        <v>50504</v>
      </c>
      <c r="E132" s="52" t="s">
        <v>1735</v>
      </c>
      <c r="F132" s="47" t="str">
        <f t="shared" si="8"/>
        <v>insert into ins_premium_det (premium_rcv_code,assorted_code, rec_amount,premium_rcv_detail_code,remaining_amt, payrec, mode_code,coinsurance_code,class_cd,it_remarks) values</v>
      </c>
      <c r="G132" s="48" t="str">
        <f t="shared" si="10"/>
        <v>('04Feb250013','070000172336','50504',(select max(to_number(i.premium_rcv_detail_code))+1
from ins_premium_det i),'50504','50504','02', '11000003','00','Request by Mr. Saqib Saleem 04-Feb-2024');</v>
      </c>
      <c r="H132" s="49" t="str">
        <f t="shared" si="11"/>
        <v>insert into ins_premium_det (premium_rcv_code,assorted_code, rec_amount,premium_rcv_detail_code,remaining_amt, payrec, mode_code,coinsurance_code,class_cd,it_remarks) values('04Feb250013','070000172336','50504',(select max(to_number(i.premium_rcv_detail_code))+1
from ins_premium_det i),'50504','50504','02', '11000003','00','Request by Mr. Saqib Saleem 04-Feb-2024');</v>
      </c>
    </row>
    <row r="133" spans="1:8" ht="105" x14ac:dyDescent="0.25">
      <c r="A133" s="36" t="s">
        <v>919</v>
      </c>
      <c r="B133" s="40" t="str">
        <f>VLOOKUP(A133,policy!B:C,2,0)</f>
        <v>070000172337</v>
      </c>
      <c r="C133" s="38">
        <v>53325</v>
      </c>
      <c r="D133" s="46">
        <f t="shared" si="9"/>
        <v>53325</v>
      </c>
      <c r="E133" s="52" t="s">
        <v>1735</v>
      </c>
      <c r="F133" s="47" t="str">
        <f t="shared" si="8"/>
        <v>insert into ins_premium_det (premium_rcv_code,assorted_code, rec_amount,premium_rcv_detail_code,remaining_amt, payrec, mode_code,coinsurance_code,class_cd,it_remarks) values</v>
      </c>
      <c r="G133" s="48" t="str">
        <f t="shared" si="10"/>
        <v>('04Feb250013','070000172337','53325',(select max(to_number(i.premium_rcv_detail_code))+1
from ins_premium_det i),'53325','53325','02', '11000003','00','Request by Mr. Saqib Saleem 04-Feb-2024');</v>
      </c>
      <c r="H133" s="49" t="str">
        <f t="shared" si="11"/>
        <v>insert into ins_premium_det (premium_rcv_code,assorted_code, rec_amount,premium_rcv_detail_code,remaining_amt, payrec, mode_code,coinsurance_code,class_cd,it_remarks) values('04Feb250013','070000172337','53325',(select max(to_number(i.premium_rcv_detail_code))+1
from ins_premium_det i),'53325','53325','02', '11000003','00','Request by Mr. Saqib Saleem 04-Feb-2024');</v>
      </c>
    </row>
    <row r="134" spans="1:8" ht="105" x14ac:dyDescent="0.25">
      <c r="A134" s="36" t="s">
        <v>927</v>
      </c>
      <c r="B134" s="40" t="str">
        <f>VLOOKUP(A134,policy!B:C,2,0)</f>
        <v>070000172373</v>
      </c>
      <c r="C134" s="38">
        <v>57734</v>
      </c>
      <c r="D134" s="46">
        <f t="shared" si="9"/>
        <v>57734</v>
      </c>
      <c r="E134" s="52" t="s">
        <v>1735</v>
      </c>
      <c r="F134" s="47" t="str">
        <f t="shared" si="8"/>
        <v>insert into ins_premium_det (premium_rcv_code,assorted_code, rec_amount,premium_rcv_detail_code,remaining_amt, payrec, mode_code,coinsurance_code,class_cd,it_remarks) values</v>
      </c>
      <c r="G134" s="48" t="str">
        <f t="shared" si="10"/>
        <v>('04Feb250013','070000172373','57734',(select max(to_number(i.premium_rcv_detail_code))+1
from ins_premium_det i),'57734','57734','02', '11000003','00','Request by Mr. Saqib Saleem 04-Feb-2024');</v>
      </c>
      <c r="H134" s="49" t="str">
        <f t="shared" si="11"/>
        <v>insert into ins_premium_det (premium_rcv_code,assorted_code, rec_amount,premium_rcv_detail_code,remaining_amt, payrec, mode_code,coinsurance_code,class_cd,it_remarks) values('04Feb250013','070000172373','57734',(select max(to_number(i.premium_rcv_detail_code))+1
from ins_premium_det i),'57734','57734','02', '11000003','00','Request by Mr. Saqib Saleem 04-Feb-2024');</v>
      </c>
    </row>
    <row r="135" spans="1:8" ht="105" x14ac:dyDescent="0.25">
      <c r="A135" s="36" t="s">
        <v>935</v>
      </c>
      <c r="B135" s="40" t="str">
        <f>VLOOKUP(A135,policy!B:C,2,0)</f>
        <v>070000172755</v>
      </c>
      <c r="C135" s="38">
        <v>33400</v>
      </c>
      <c r="D135" s="46">
        <f t="shared" si="9"/>
        <v>33400</v>
      </c>
      <c r="E135" s="52" t="s">
        <v>1735</v>
      </c>
      <c r="F135" s="47" t="str">
        <f t="shared" si="8"/>
        <v>insert into ins_premium_det (premium_rcv_code,assorted_code, rec_amount,premium_rcv_detail_code,remaining_amt, payrec, mode_code,coinsurance_code,class_cd,it_remarks) values</v>
      </c>
      <c r="G135" s="48" t="str">
        <f t="shared" si="10"/>
        <v>('04Feb250013','070000172755','33400',(select max(to_number(i.premium_rcv_detail_code))+1
from ins_premium_det i),'33400','33400','02', '11000003','00','Request by Mr. Saqib Saleem 04-Feb-2024');</v>
      </c>
      <c r="H135" s="49" t="str">
        <f t="shared" si="11"/>
        <v>insert into ins_premium_det (premium_rcv_code,assorted_code, rec_amount,premium_rcv_detail_code,remaining_amt, payrec, mode_code,coinsurance_code,class_cd,it_remarks) values('04Feb250013','070000172755','33400',(select max(to_number(i.premium_rcv_detail_code))+1
from ins_premium_det i),'33400','33400','02', '11000003','00','Request by Mr. Saqib Saleem 04-Feb-2024');</v>
      </c>
    </row>
    <row r="136" spans="1:8" ht="105" x14ac:dyDescent="0.25">
      <c r="A136" s="36" t="s">
        <v>941</v>
      </c>
      <c r="B136" s="40" t="str">
        <f>VLOOKUP(A136,policy!B:C,2,0)</f>
        <v>070000172378</v>
      </c>
      <c r="C136" s="38">
        <v>76118</v>
      </c>
      <c r="D136" s="46">
        <f t="shared" si="9"/>
        <v>76118</v>
      </c>
      <c r="E136" s="52" t="s">
        <v>1735</v>
      </c>
      <c r="F136" s="47" t="str">
        <f t="shared" si="8"/>
        <v>insert into ins_premium_det (premium_rcv_code,assorted_code, rec_amount,premium_rcv_detail_code,remaining_amt, payrec, mode_code,coinsurance_code,class_cd,it_remarks) values</v>
      </c>
      <c r="G136" s="48" t="str">
        <f t="shared" si="10"/>
        <v>('04Feb250013','070000172378','76118',(select max(to_number(i.premium_rcv_detail_code))+1
from ins_premium_det i),'76118','76118','02', '11000003','00','Request by Mr. Saqib Saleem 04-Feb-2024');</v>
      </c>
      <c r="H136" s="49" t="str">
        <f t="shared" si="11"/>
        <v>insert into ins_premium_det (premium_rcv_code,assorted_code, rec_amount,premium_rcv_detail_code,remaining_amt, payrec, mode_code,coinsurance_code,class_cd,it_remarks) values('04Feb250013','070000172378','76118',(select max(to_number(i.premium_rcv_detail_code))+1
from ins_premium_det i),'76118','76118','02', '11000003','00','Request by Mr. Saqib Saleem 04-Feb-2024');</v>
      </c>
    </row>
    <row r="137" spans="1:8" ht="105" x14ac:dyDescent="0.25">
      <c r="A137" s="36" t="s">
        <v>947</v>
      </c>
      <c r="B137" s="40" t="str">
        <f>VLOOKUP(A137,policy!B:C,2,0)</f>
        <v>070000172340</v>
      </c>
      <c r="C137" s="38">
        <v>67176</v>
      </c>
      <c r="D137" s="46">
        <f t="shared" si="9"/>
        <v>67176</v>
      </c>
      <c r="E137" s="52" t="s">
        <v>1735</v>
      </c>
      <c r="F137" s="47" t="str">
        <f t="shared" si="8"/>
        <v>insert into ins_premium_det (premium_rcv_code,assorted_code, rec_amount,premium_rcv_detail_code,remaining_amt, payrec, mode_code,coinsurance_code,class_cd,it_remarks) values</v>
      </c>
      <c r="G137" s="48" t="str">
        <f t="shared" si="10"/>
        <v>('04Feb250013','070000172340','67176',(select max(to_number(i.premium_rcv_detail_code))+1
from ins_premium_det i),'67176','67176','02', '11000003','00','Request by Mr. Saqib Saleem 04-Feb-2024');</v>
      </c>
      <c r="H137" s="49" t="str">
        <f t="shared" si="11"/>
        <v>insert into ins_premium_det (premium_rcv_code,assorted_code, rec_amount,premium_rcv_detail_code,remaining_amt, payrec, mode_code,coinsurance_code,class_cd,it_remarks) values('04Feb250013','070000172340','67176',(select max(to_number(i.premium_rcv_detail_code))+1
from ins_premium_det i),'67176','67176','02', '11000003','00','Request by Mr. Saqib Saleem 04-Feb-2024');</v>
      </c>
    </row>
    <row r="138" spans="1:8" ht="105" x14ac:dyDescent="0.25">
      <c r="A138" s="36" t="s">
        <v>954</v>
      </c>
      <c r="B138" s="40" t="str">
        <f>VLOOKUP(A138,policy!B:C,2,0)</f>
        <v>070000172344</v>
      </c>
      <c r="C138" s="38">
        <v>48060</v>
      </c>
      <c r="D138" s="46">
        <f t="shared" si="9"/>
        <v>48060</v>
      </c>
      <c r="E138" s="52" t="s">
        <v>1735</v>
      </c>
      <c r="F138" s="47" t="str">
        <f t="shared" si="8"/>
        <v>insert into ins_premium_det (premium_rcv_code,assorted_code, rec_amount,premium_rcv_detail_code,remaining_amt, payrec, mode_code,coinsurance_code,class_cd,it_remarks) values</v>
      </c>
      <c r="G138" s="48" t="str">
        <f t="shared" si="10"/>
        <v>('04Feb250013','070000172344','48060',(select max(to_number(i.premium_rcv_detail_code))+1
from ins_premium_det i),'48060','48060','02', '11000003','00','Request by Mr. Saqib Saleem 04-Feb-2024');</v>
      </c>
      <c r="H138" s="49" t="str">
        <f t="shared" si="11"/>
        <v>insert into ins_premium_det (premium_rcv_code,assorted_code, rec_amount,premium_rcv_detail_code,remaining_amt, payrec, mode_code,coinsurance_code,class_cd,it_remarks) values('04Feb250013','070000172344','48060',(select max(to_number(i.premium_rcv_detail_code))+1
from ins_premium_det i),'48060','48060','02', '11000003','00','Request by Mr. Saqib Saleem 04-Feb-2024');</v>
      </c>
    </row>
    <row r="139" spans="1:8" ht="105" x14ac:dyDescent="0.25">
      <c r="A139" s="36" t="s">
        <v>960</v>
      </c>
      <c r="B139" s="40" t="str">
        <f>VLOOKUP(A139,policy!B:C,2,0)</f>
        <v>070000172386</v>
      </c>
      <c r="C139" s="38">
        <v>42755</v>
      </c>
      <c r="D139" s="46">
        <f t="shared" si="9"/>
        <v>42755</v>
      </c>
      <c r="E139" s="52" t="s">
        <v>1735</v>
      </c>
      <c r="F139" s="47" t="str">
        <f t="shared" si="8"/>
        <v>insert into ins_premium_det (premium_rcv_code,assorted_code, rec_amount,premium_rcv_detail_code,remaining_amt, payrec, mode_code,coinsurance_code,class_cd,it_remarks) values</v>
      </c>
      <c r="G139" s="48" t="str">
        <f t="shared" si="10"/>
        <v>('04Feb250013','070000172386','42755',(select max(to_number(i.premium_rcv_detail_code))+1
from ins_premium_det i),'42755','42755','02', '11000003','00','Request by Mr. Saqib Saleem 04-Feb-2024');</v>
      </c>
      <c r="H139" s="49" t="str">
        <f t="shared" si="11"/>
        <v>insert into ins_premium_det (premium_rcv_code,assorted_code, rec_amount,premium_rcv_detail_code,remaining_amt, payrec, mode_code,coinsurance_code,class_cd,it_remarks) values('04Feb250013','070000172386','42755',(select max(to_number(i.premium_rcv_detail_code))+1
from ins_premium_det i),'42755','42755','02', '11000003','00','Request by Mr. Saqib Saleem 04-Feb-2024');</v>
      </c>
    </row>
    <row r="140" spans="1:8" ht="105" x14ac:dyDescent="0.25">
      <c r="A140" s="36" t="s">
        <v>966</v>
      </c>
      <c r="B140" s="40" t="str">
        <f>VLOOKUP(A140,policy!B:C,2,0)</f>
        <v>070000172443</v>
      </c>
      <c r="C140" s="38">
        <v>92268</v>
      </c>
      <c r="D140" s="46">
        <f t="shared" si="9"/>
        <v>92268</v>
      </c>
      <c r="E140" s="52" t="s">
        <v>1735</v>
      </c>
      <c r="F140" s="47" t="str">
        <f t="shared" si="8"/>
        <v>insert into ins_premium_det (premium_rcv_code,assorted_code, rec_amount,premium_rcv_detail_code,remaining_amt, payrec, mode_code,coinsurance_code,class_cd,it_remarks) values</v>
      </c>
      <c r="G140" s="48" t="str">
        <f t="shared" si="10"/>
        <v>('04Feb250013','070000172443','92268',(select max(to_number(i.premium_rcv_detail_code))+1
from ins_premium_det i),'92268','92268','02', '11000003','00','Request by Mr. Saqib Saleem 04-Feb-2024');</v>
      </c>
      <c r="H140" s="49" t="str">
        <f t="shared" si="11"/>
        <v>insert into ins_premium_det (premium_rcv_code,assorted_code, rec_amount,premium_rcv_detail_code,remaining_amt, payrec, mode_code,coinsurance_code,class_cd,it_remarks) values('04Feb250013','070000172443','92268',(select max(to_number(i.premium_rcv_detail_code))+1
from ins_premium_det i),'92268','92268','02', '11000003','00','Request by Mr. Saqib Saleem 04-Feb-2024');</v>
      </c>
    </row>
    <row r="141" spans="1:8" ht="105" x14ac:dyDescent="0.25">
      <c r="A141" s="36" t="s">
        <v>974</v>
      </c>
      <c r="B141" s="40" t="str">
        <f>VLOOKUP(A141,policy!B:C,2,0)</f>
        <v>070000172445</v>
      </c>
      <c r="C141" s="38">
        <v>30520</v>
      </c>
      <c r="D141" s="46">
        <f t="shared" si="9"/>
        <v>30520</v>
      </c>
      <c r="E141" s="52" t="s">
        <v>1735</v>
      </c>
      <c r="F141" s="47" t="str">
        <f t="shared" si="8"/>
        <v>insert into ins_premium_det (premium_rcv_code,assorted_code, rec_amount,premium_rcv_detail_code,remaining_amt, payrec, mode_code,coinsurance_code,class_cd,it_remarks) values</v>
      </c>
      <c r="G141" s="48" t="str">
        <f t="shared" si="10"/>
        <v>('04Feb250013','070000172445','30520',(select max(to_number(i.premium_rcv_detail_code))+1
from ins_premium_det i),'30520','30520','02', '11000003','00','Request by Mr. Saqib Saleem 04-Feb-2024');</v>
      </c>
      <c r="H141" s="49" t="str">
        <f t="shared" si="11"/>
        <v>insert into ins_premium_det (premium_rcv_code,assorted_code, rec_amount,premium_rcv_detail_code,remaining_amt, payrec, mode_code,coinsurance_code,class_cd,it_remarks) values('04Feb250013','070000172445','30520',(select max(to_number(i.premium_rcv_detail_code))+1
from ins_premium_det i),'30520','30520','02', '11000003','00','Request by Mr. Saqib Saleem 04-Feb-2024');</v>
      </c>
    </row>
    <row r="142" spans="1:8" ht="105" x14ac:dyDescent="0.25">
      <c r="A142" s="36" t="s">
        <v>981</v>
      </c>
      <c r="B142" s="40" t="str">
        <f>VLOOKUP(A142,policy!B:C,2,0)</f>
        <v>070000172488</v>
      </c>
      <c r="C142" s="38">
        <v>49313</v>
      </c>
      <c r="D142" s="46">
        <f t="shared" si="9"/>
        <v>49313</v>
      </c>
      <c r="E142" s="52" t="s">
        <v>1735</v>
      </c>
      <c r="F142" s="47" t="str">
        <f t="shared" si="8"/>
        <v>insert into ins_premium_det (premium_rcv_code,assorted_code, rec_amount,premium_rcv_detail_code,remaining_amt, payrec, mode_code,coinsurance_code,class_cd,it_remarks) values</v>
      </c>
      <c r="G142" s="48" t="str">
        <f t="shared" si="10"/>
        <v>('04Feb250013','070000172488','49313',(select max(to_number(i.premium_rcv_detail_code))+1
from ins_premium_det i),'49313','49313','02', '11000003','00','Request by Mr. Saqib Saleem 04-Feb-2024');</v>
      </c>
      <c r="H142" s="49" t="str">
        <f t="shared" si="11"/>
        <v>insert into ins_premium_det (premium_rcv_code,assorted_code, rec_amount,premium_rcv_detail_code,remaining_amt, payrec, mode_code,coinsurance_code,class_cd,it_remarks) values('04Feb250013','070000172488','49313',(select max(to_number(i.premium_rcv_detail_code))+1
from ins_premium_det i),'49313','49313','02', '11000003','00','Request by Mr. Saqib Saleem 04-Feb-2024');</v>
      </c>
    </row>
    <row r="143" spans="1:8" ht="105" x14ac:dyDescent="0.25">
      <c r="A143" s="36" t="s">
        <v>989</v>
      </c>
      <c r="B143" s="40" t="str">
        <f>VLOOKUP(A143,policy!B:C,2,0)</f>
        <v>070000172389</v>
      </c>
      <c r="C143" s="38">
        <v>65242</v>
      </c>
      <c r="D143" s="46">
        <f t="shared" si="9"/>
        <v>65242</v>
      </c>
      <c r="E143" s="52" t="s">
        <v>1735</v>
      </c>
      <c r="F143" s="47" t="str">
        <f t="shared" si="8"/>
        <v>insert into ins_premium_det (premium_rcv_code,assorted_code, rec_amount,premium_rcv_detail_code,remaining_amt, payrec, mode_code,coinsurance_code,class_cd,it_remarks) values</v>
      </c>
      <c r="G143" s="48" t="str">
        <f t="shared" si="10"/>
        <v>('04Feb250013','070000172389','65242',(select max(to_number(i.premium_rcv_detail_code))+1
from ins_premium_det i),'65242','65242','02', '11000003','00','Request by Mr. Saqib Saleem 04-Feb-2024');</v>
      </c>
      <c r="H143" s="49" t="str">
        <f t="shared" si="11"/>
        <v>insert into ins_premium_det (premium_rcv_code,assorted_code, rec_amount,premium_rcv_detail_code,remaining_amt, payrec, mode_code,coinsurance_code,class_cd,it_remarks) values('04Feb250013','070000172389','65242',(select max(to_number(i.premium_rcv_detail_code))+1
from ins_premium_det i),'65242','65242','02', '11000003','00','Request by Mr. Saqib Saleem 04-Feb-2024');</v>
      </c>
    </row>
    <row r="144" spans="1:8" ht="105" x14ac:dyDescent="0.25">
      <c r="A144" s="36" t="s">
        <v>996</v>
      </c>
      <c r="B144" s="40" t="str">
        <f>VLOOKUP(A144,policy!B:C,2,0)</f>
        <v>070000172448</v>
      </c>
      <c r="C144" s="38">
        <v>46872</v>
      </c>
      <c r="D144" s="46">
        <f t="shared" si="9"/>
        <v>46872</v>
      </c>
      <c r="E144" s="52" t="s">
        <v>1735</v>
      </c>
      <c r="F144" s="47" t="str">
        <f t="shared" si="8"/>
        <v>insert into ins_premium_det (premium_rcv_code,assorted_code, rec_amount,premium_rcv_detail_code,remaining_amt, payrec, mode_code,coinsurance_code,class_cd,it_remarks) values</v>
      </c>
      <c r="G144" s="48" t="str">
        <f t="shared" si="10"/>
        <v>('04Feb250013','070000172448','46872',(select max(to_number(i.premium_rcv_detail_code))+1
from ins_premium_det i),'46872','46872','02', '11000003','00','Request by Mr. Saqib Saleem 04-Feb-2024');</v>
      </c>
      <c r="H144" s="49" t="str">
        <f t="shared" si="11"/>
        <v>insert into ins_premium_det (premium_rcv_code,assorted_code, rec_amount,premium_rcv_detail_code,remaining_amt, payrec, mode_code,coinsurance_code,class_cd,it_remarks) values('04Feb250013','070000172448','46872',(select max(to_number(i.premium_rcv_detail_code))+1
from ins_premium_det i),'46872','46872','02', '11000003','00','Request by Mr. Saqib Saleem 04-Feb-2024');</v>
      </c>
    </row>
    <row r="145" spans="1:8" ht="105" x14ac:dyDescent="0.25">
      <c r="A145" s="36" t="s">
        <v>1003</v>
      </c>
      <c r="B145" s="40" t="str">
        <f>VLOOKUP(A145,policy!B:C,2,0)</f>
        <v>070000172347</v>
      </c>
      <c r="C145" s="38">
        <v>18000</v>
      </c>
      <c r="D145" s="46">
        <f t="shared" si="9"/>
        <v>18000</v>
      </c>
      <c r="E145" s="52" t="s">
        <v>1735</v>
      </c>
      <c r="F145" s="47" t="str">
        <f t="shared" si="8"/>
        <v>insert into ins_premium_det (premium_rcv_code,assorted_code, rec_amount,premium_rcv_detail_code,remaining_amt, payrec, mode_code,coinsurance_code,class_cd,it_remarks) values</v>
      </c>
      <c r="G145" s="48" t="str">
        <f t="shared" si="10"/>
        <v>('04Feb250013','070000172347','18000',(select max(to_number(i.premium_rcv_detail_code))+1
from ins_premium_det i),'18000','18000','02', '11000003','00','Request by Mr. Saqib Saleem 04-Feb-2024');</v>
      </c>
      <c r="H145" s="49" t="str">
        <f t="shared" si="11"/>
        <v>insert into ins_premium_det (premium_rcv_code,assorted_code, rec_amount,premium_rcv_detail_code,remaining_amt, payrec, mode_code,coinsurance_code,class_cd,it_remarks) values('04Feb250013','070000172347','18000',(select max(to_number(i.premium_rcv_detail_code))+1
from ins_premium_det i),'18000','18000','02', '11000003','00','Request by Mr. Saqib Saleem 04-Feb-2024');</v>
      </c>
    </row>
    <row r="146" spans="1:8" ht="105" x14ac:dyDescent="0.25">
      <c r="A146" s="36" t="s">
        <v>1010</v>
      </c>
      <c r="B146" s="40" t="str">
        <f>VLOOKUP(A146,policy!B:C,2,0)</f>
        <v>070000172393</v>
      </c>
      <c r="C146" s="38">
        <v>79356</v>
      </c>
      <c r="D146" s="46">
        <f t="shared" si="9"/>
        <v>79356</v>
      </c>
      <c r="E146" s="52" t="s">
        <v>1735</v>
      </c>
      <c r="F146" s="47" t="str">
        <f t="shared" si="8"/>
        <v>insert into ins_premium_det (premium_rcv_code,assorted_code, rec_amount,premium_rcv_detail_code,remaining_amt, payrec, mode_code,coinsurance_code,class_cd,it_remarks) values</v>
      </c>
      <c r="G146" s="48" t="str">
        <f t="shared" si="10"/>
        <v>('04Feb250013','070000172393','79356',(select max(to_number(i.premium_rcv_detail_code))+1
from ins_premium_det i),'79356','79356','02', '11000003','00','Request by Mr. Saqib Saleem 04-Feb-2024');</v>
      </c>
      <c r="H146" s="49" t="str">
        <f t="shared" si="11"/>
        <v>insert into ins_premium_det (premium_rcv_code,assorted_code, rec_amount,premium_rcv_detail_code,remaining_amt, payrec, mode_code,coinsurance_code,class_cd,it_remarks) values('04Feb250013','070000172393','79356',(select max(to_number(i.premium_rcv_detail_code))+1
from ins_premium_det i),'79356','79356','02', '11000003','00','Request by Mr. Saqib Saleem 04-Feb-2024');</v>
      </c>
    </row>
    <row r="147" spans="1:8" ht="105" x14ac:dyDescent="0.25">
      <c r="A147" s="36" t="s">
        <v>1018</v>
      </c>
      <c r="B147" s="40" t="str">
        <f>VLOOKUP(A147,policy!B:C,2,0)</f>
        <v>070000172399</v>
      </c>
      <c r="C147" s="38">
        <v>35275</v>
      </c>
      <c r="D147" s="46">
        <f t="shared" si="9"/>
        <v>35275</v>
      </c>
      <c r="E147" s="52" t="s">
        <v>1735</v>
      </c>
      <c r="F147" s="47" t="str">
        <f t="shared" si="8"/>
        <v>insert into ins_premium_det (premium_rcv_code,assorted_code, rec_amount,premium_rcv_detail_code,remaining_amt, payrec, mode_code,coinsurance_code,class_cd,it_remarks) values</v>
      </c>
      <c r="G147" s="48" t="str">
        <f t="shared" si="10"/>
        <v>('04Feb250013','070000172399','35275',(select max(to_number(i.premium_rcv_detail_code))+1
from ins_premium_det i),'35275','35275','02', '11000003','00','Request by Mr. Saqib Saleem 04-Feb-2024');</v>
      </c>
      <c r="H147" s="49" t="str">
        <f t="shared" si="11"/>
        <v>insert into ins_premium_det (premium_rcv_code,assorted_code, rec_amount,premium_rcv_detail_code,remaining_amt, payrec, mode_code,coinsurance_code,class_cd,it_remarks) values('04Feb250013','070000172399','35275',(select max(to_number(i.premium_rcv_detail_code))+1
from ins_premium_det i),'35275','35275','02', '11000003','00','Request by Mr. Saqib Saleem 04-Feb-2024');</v>
      </c>
    </row>
    <row r="148" spans="1:8" ht="105" x14ac:dyDescent="0.25">
      <c r="A148" s="36" t="s">
        <v>1025</v>
      </c>
      <c r="B148" s="40" t="str">
        <f>VLOOKUP(A148,policy!B:C,2,0)</f>
        <v>070000172454</v>
      </c>
      <c r="C148" s="38">
        <v>30420</v>
      </c>
      <c r="D148" s="46">
        <f t="shared" si="9"/>
        <v>30420</v>
      </c>
      <c r="E148" s="52" t="s">
        <v>1735</v>
      </c>
      <c r="F148" s="47" t="str">
        <f t="shared" si="8"/>
        <v>insert into ins_premium_det (premium_rcv_code,assorted_code, rec_amount,premium_rcv_detail_code,remaining_amt, payrec, mode_code,coinsurance_code,class_cd,it_remarks) values</v>
      </c>
      <c r="G148" s="48" t="str">
        <f t="shared" si="10"/>
        <v>('04Feb250013','070000172454','30420',(select max(to_number(i.premium_rcv_detail_code))+1
from ins_premium_det i),'30420','30420','02', '11000003','00','Request by Mr. Saqib Saleem 04-Feb-2024');</v>
      </c>
      <c r="H148" s="49" t="str">
        <f t="shared" si="11"/>
        <v>insert into ins_premium_det (premium_rcv_code,assorted_code, rec_amount,premium_rcv_detail_code,remaining_amt, payrec, mode_code,coinsurance_code,class_cd,it_remarks) values('04Feb250013','070000172454','30420',(select max(to_number(i.premium_rcv_detail_code))+1
from ins_premium_det i),'30420','30420','02', '11000003','00','Request by Mr. Saqib Saleem 04-Feb-2024');</v>
      </c>
    </row>
    <row r="149" spans="1:8" ht="105" x14ac:dyDescent="0.25">
      <c r="A149" s="36" t="s">
        <v>1031</v>
      </c>
      <c r="B149" s="40" t="str">
        <f>VLOOKUP(A149,policy!B:C,2,0)</f>
        <v>070000172455</v>
      </c>
      <c r="C149" s="38">
        <v>15400</v>
      </c>
      <c r="D149" s="46">
        <f t="shared" si="9"/>
        <v>15400</v>
      </c>
      <c r="E149" s="52" t="s">
        <v>1735</v>
      </c>
      <c r="F149" s="47" t="str">
        <f t="shared" si="8"/>
        <v>insert into ins_premium_det (premium_rcv_code,assorted_code, rec_amount,premium_rcv_detail_code,remaining_amt, payrec, mode_code,coinsurance_code,class_cd,it_remarks) values</v>
      </c>
      <c r="G149" s="48" t="str">
        <f t="shared" si="10"/>
        <v>('04Feb250013','070000172455','15400',(select max(to_number(i.premium_rcv_detail_code))+1
from ins_premium_det i),'15400','15400','02', '11000003','00','Request by Mr. Saqib Saleem 04-Feb-2024');</v>
      </c>
      <c r="H149" s="49" t="str">
        <f t="shared" si="11"/>
        <v>insert into ins_premium_det (premium_rcv_code,assorted_code, rec_amount,premium_rcv_detail_code,remaining_amt, payrec, mode_code,coinsurance_code,class_cd,it_remarks) values('04Feb250013','070000172455','15400',(select max(to_number(i.premium_rcv_detail_code))+1
from ins_premium_det i),'15400','15400','02', '11000003','00','Request by Mr. Saqib Saleem 04-Feb-2024');</v>
      </c>
    </row>
    <row r="150" spans="1:8" ht="105" x14ac:dyDescent="0.25">
      <c r="A150" s="36" t="s">
        <v>1039</v>
      </c>
      <c r="B150" s="40" t="str">
        <f>VLOOKUP(A150,policy!B:C,2,0)</f>
        <v>070000172457</v>
      </c>
      <c r="C150" s="38">
        <v>46896</v>
      </c>
      <c r="D150" s="46">
        <f t="shared" si="9"/>
        <v>46896</v>
      </c>
      <c r="E150" s="52" t="s">
        <v>1735</v>
      </c>
      <c r="F150" s="47" t="str">
        <f t="shared" si="8"/>
        <v>insert into ins_premium_det (premium_rcv_code,assorted_code, rec_amount,premium_rcv_detail_code,remaining_amt, payrec, mode_code,coinsurance_code,class_cd,it_remarks) values</v>
      </c>
      <c r="G150" s="48" t="str">
        <f t="shared" si="10"/>
        <v>('04Feb250013','070000172457','46896',(select max(to_number(i.premium_rcv_detail_code))+1
from ins_premium_det i),'46896','46896','02', '11000003','00','Request by Mr. Saqib Saleem 04-Feb-2024');</v>
      </c>
      <c r="H150" s="49" t="str">
        <f t="shared" si="11"/>
        <v>insert into ins_premium_det (premium_rcv_code,assorted_code, rec_amount,premium_rcv_detail_code,remaining_amt, payrec, mode_code,coinsurance_code,class_cd,it_remarks) values('04Feb250013','070000172457','46896',(select max(to_number(i.premium_rcv_detail_code))+1
from ins_premium_det i),'46896','46896','02', '11000003','00','Request by Mr. Saqib Saleem 04-Feb-2024');</v>
      </c>
    </row>
    <row r="151" spans="1:8" ht="105" x14ac:dyDescent="0.25">
      <c r="A151" s="36" t="s">
        <v>1047</v>
      </c>
      <c r="B151" s="40" t="str">
        <f>VLOOKUP(A151,policy!B:C,2,0)</f>
        <v>070000172354</v>
      </c>
      <c r="C151" s="38">
        <v>40950</v>
      </c>
      <c r="D151" s="46">
        <f t="shared" si="9"/>
        <v>40950</v>
      </c>
      <c r="E151" s="52" t="s">
        <v>1735</v>
      </c>
      <c r="F151" s="47" t="str">
        <f t="shared" si="8"/>
        <v>insert into ins_premium_det (premium_rcv_code,assorted_code, rec_amount,premium_rcv_detail_code,remaining_amt, payrec, mode_code,coinsurance_code,class_cd,it_remarks) values</v>
      </c>
      <c r="G151" s="48" t="str">
        <f t="shared" si="10"/>
        <v>('04Feb250013','070000172354','40950',(select max(to_number(i.premium_rcv_detail_code))+1
from ins_premium_det i),'40950','40950','02', '11000003','00','Request by Mr. Saqib Saleem 04-Feb-2024');</v>
      </c>
      <c r="H151" s="49" t="str">
        <f t="shared" si="11"/>
        <v>insert into ins_premium_det (premium_rcv_code,assorted_code, rec_amount,premium_rcv_detail_code,remaining_amt, payrec, mode_code,coinsurance_code,class_cd,it_remarks) values('04Feb250013','070000172354','40950',(select max(to_number(i.premium_rcv_detail_code))+1
from ins_premium_det i),'40950','40950','02', '11000003','00','Request by Mr. Saqib Saleem 04-Feb-2024');</v>
      </c>
    </row>
    <row r="152" spans="1:8" ht="105" x14ac:dyDescent="0.25">
      <c r="A152" s="36" t="s">
        <v>1054</v>
      </c>
      <c r="B152" s="40" t="str">
        <f>VLOOKUP(A152,policy!B:C,2,0)</f>
        <v>070000172355</v>
      </c>
      <c r="C152" s="38">
        <v>39420</v>
      </c>
      <c r="D152" s="46">
        <f t="shared" si="9"/>
        <v>39420</v>
      </c>
      <c r="E152" s="52" t="s">
        <v>1735</v>
      </c>
      <c r="F152" s="47" t="str">
        <f t="shared" si="8"/>
        <v>insert into ins_premium_det (premium_rcv_code,assorted_code, rec_amount,premium_rcv_detail_code,remaining_amt, payrec, mode_code,coinsurance_code,class_cd,it_remarks) values</v>
      </c>
      <c r="G152" s="48" t="str">
        <f t="shared" si="10"/>
        <v>('04Feb250013','070000172355','39420',(select max(to_number(i.premium_rcv_detail_code))+1
from ins_premium_det i),'39420','39420','02', '11000003','00','Request by Mr. Saqib Saleem 04-Feb-2024');</v>
      </c>
      <c r="H152" s="49" t="str">
        <f t="shared" si="11"/>
        <v>insert into ins_premium_det (premium_rcv_code,assorted_code, rec_amount,premium_rcv_detail_code,remaining_amt, payrec, mode_code,coinsurance_code,class_cd,it_remarks) values('04Feb250013','070000172355','39420',(select max(to_number(i.premium_rcv_detail_code))+1
from ins_premium_det i),'39420','39420','02', '11000003','00','Request by Mr. Saqib Saleem 04-Feb-2024');</v>
      </c>
    </row>
    <row r="153" spans="1:8" ht="105" x14ac:dyDescent="0.25">
      <c r="A153" s="36" t="s">
        <v>1062</v>
      </c>
      <c r="B153" s="40" t="str">
        <f>VLOOKUP(A153,policy!B:C,2,0)</f>
        <v>070000172356</v>
      </c>
      <c r="C153" s="38">
        <v>77625</v>
      </c>
      <c r="D153" s="46">
        <f t="shared" si="9"/>
        <v>77625</v>
      </c>
      <c r="E153" s="52" t="s">
        <v>1735</v>
      </c>
      <c r="F153" s="47" t="str">
        <f t="shared" si="8"/>
        <v>insert into ins_premium_det (premium_rcv_code,assorted_code, rec_amount,premium_rcv_detail_code,remaining_amt, payrec, mode_code,coinsurance_code,class_cd,it_remarks) values</v>
      </c>
      <c r="G153" s="48" t="str">
        <f t="shared" si="10"/>
        <v>('04Feb250013','070000172356','77625',(select max(to_number(i.premium_rcv_detail_code))+1
from ins_premium_det i),'77625','77625','02', '11000003','00','Request by Mr. Saqib Saleem 04-Feb-2024');</v>
      </c>
      <c r="H153" s="49" t="str">
        <f t="shared" si="11"/>
        <v>insert into ins_premium_det (premium_rcv_code,assorted_code, rec_amount,premium_rcv_detail_code,remaining_amt, payrec, mode_code,coinsurance_code,class_cd,it_remarks) values('04Feb250013','070000172356','77625',(select max(to_number(i.premium_rcv_detail_code))+1
from ins_premium_det i),'77625','77625','02', '11000003','00','Request by Mr. Saqib Saleem 04-Feb-2024');</v>
      </c>
    </row>
    <row r="154" spans="1:8" ht="105" x14ac:dyDescent="0.25">
      <c r="A154" s="36" t="s">
        <v>1070</v>
      </c>
      <c r="B154" s="40" t="str">
        <f>VLOOKUP(A154,policy!B:C,2,0)</f>
        <v>070000172360</v>
      </c>
      <c r="C154" s="38">
        <v>55134</v>
      </c>
      <c r="D154" s="46">
        <f t="shared" si="9"/>
        <v>55134</v>
      </c>
      <c r="E154" s="52" t="s">
        <v>1735</v>
      </c>
      <c r="F154" s="47" t="str">
        <f t="shared" si="8"/>
        <v>insert into ins_premium_det (premium_rcv_code,assorted_code, rec_amount,premium_rcv_detail_code,remaining_amt, payrec, mode_code,coinsurance_code,class_cd,it_remarks) values</v>
      </c>
      <c r="G154" s="48" t="str">
        <f t="shared" si="10"/>
        <v>('04Feb250013','070000172360','55134',(select max(to_number(i.premium_rcv_detail_code))+1
from ins_premium_det i),'55134','55134','02', '11000003','00','Request by Mr. Saqib Saleem 04-Feb-2024');</v>
      </c>
      <c r="H154" s="49" t="str">
        <f t="shared" si="11"/>
        <v>insert into ins_premium_det (premium_rcv_code,assorted_code, rec_amount,premium_rcv_detail_code,remaining_amt, payrec, mode_code,coinsurance_code,class_cd,it_remarks) values('04Feb250013','070000172360','55134',(select max(to_number(i.premium_rcv_detail_code))+1
from ins_premium_det i),'55134','55134','02', '11000003','00','Request by Mr. Saqib Saleem 04-Feb-2024');</v>
      </c>
    </row>
    <row r="155" spans="1:8" ht="105" x14ac:dyDescent="0.25">
      <c r="A155" s="36" t="s">
        <v>1076</v>
      </c>
      <c r="B155" s="40" t="str">
        <f>VLOOKUP(A155,policy!B:C,2,0)</f>
        <v>070000172401</v>
      </c>
      <c r="C155" s="38">
        <v>36125</v>
      </c>
      <c r="D155" s="46">
        <f t="shared" si="9"/>
        <v>36125</v>
      </c>
      <c r="E155" s="52" t="s">
        <v>1735</v>
      </c>
      <c r="F155" s="47" t="str">
        <f t="shared" si="8"/>
        <v>insert into ins_premium_det (premium_rcv_code,assorted_code, rec_amount,premium_rcv_detail_code,remaining_amt, payrec, mode_code,coinsurance_code,class_cd,it_remarks) values</v>
      </c>
      <c r="G155" s="48" t="str">
        <f t="shared" si="10"/>
        <v>('04Feb250013','070000172401','36125',(select max(to_number(i.premium_rcv_detail_code))+1
from ins_premium_det i),'36125','36125','02', '11000003','00','Request by Mr. Saqib Saleem 04-Feb-2024');</v>
      </c>
      <c r="H155" s="49" t="str">
        <f t="shared" si="11"/>
        <v>insert into ins_premium_det (premium_rcv_code,assorted_code, rec_amount,premium_rcv_detail_code,remaining_amt, payrec, mode_code,coinsurance_code,class_cd,it_remarks) values('04Feb250013','070000172401','36125',(select max(to_number(i.premium_rcv_detail_code))+1
from ins_premium_det i),'36125','36125','02', '11000003','00','Request by Mr. Saqib Saleem 04-Feb-2024');</v>
      </c>
    </row>
    <row r="156" spans="1:8" ht="105" x14ac:dyDescent="0.25">
      <c r="A156" s="36" t="s">
        <v>1083</v>
      </c>
      <c r="B156" s="40" t="str">
        <f>VLOOKUP(A156,policy!B:C,2,0)</f>
        <v>070000172463</v>
      </c>
      <c r="C156" s="38">
        <v>20972</v>
      </c>
      <c r="D156" s="46">
        <f t="shared" si="9"/>
        <v>20972</v>
      </c>
      <c r="E156" s="52" t="s">
        <v>1735</v>
      </c>
      <c r="F156" s="47" t="str">
        <f t="shared" si="8"/>
        <v>insert into ins_premium_det (premium_rcv_code,assorted_code, rec_amount,premium_rcv_detail_code,remaining_amt, payrec, mode_code,coinsurance_code,class_cd,it_remarks) values</v>
      </c>
      <c r="G156" s="48" t="str">
        <f t="shared" si="10"/>
        <v>('04Feb250013','070000172463','20972',(select max(to_number(i.premium_rcv_detail_code))+1
from ins_premium_det i),'20972','20972','02', '11000003','00','Request by Mr. Saqib Saleem 04-Feb-2024');</v>
      </c>
      <c r="H156" s="49" t="str">
        <f t="shared" si="11"/>
        <v>insert into ins_premium_det (premium_rcv_code,assorted_code, rec_amount,premium_rcv_detail_code,remaining_amt, payrec, mode_code,coinsurance_code,class_cd,it_remarks) values('04Feb250013','070000172463','20972',(select max(to_number(i.premium_rcv_detail_code))+1
from ins_premium_det i),'20972','20972','02', '11000003','00','Request by Mr. Saqib Saleem 04-Feb-2024');</v>
      </c>
    </row>
    <row r="157" spans="1:8" ht="105" x14ac:dyDescent="0.25">
      <c r="A157" s="36" t="s">
        <v>1090</v>
      </c>
      <c r="B157" s="40" t="str">
        <f>VLOOKUP(A157,policy!B:C,2,0)</f>
        <v>070000172480</v>
      </c>
      <c r="C157" s="38">
        <v>46172</v>
      </c>
      <c r="D157" s="46">
        <f t="shared" si="9"/>
        <v>46172</v>
      </c>
      <c r="E157" s="52" t="s">
        <v>1735</v>
      </c>
      <c r="F157" s="47" t="str">
        <f t="shared" si="8"/>
        <v>insert into ins_premium_det (premium_rcv_code,assorted_code, rec_amount,premium_rcv_detail_code,remaining_amt, payrec, mode_code,coinsurance_code,class_cd,it_remarks) values</v>
      </c>
      <c r="G157" s="48" t="str">
        <f t="shared" si="10"/>
        <v>('04Feb250013','070000172480','46172',(select max(to_number(i.premium_rcv_detail_code))+1
from ins_premium_det i),'46172','46172','02', '11000003','00','Request by Mr. Saqib Saleem 04-Feb-2024');</v>
      </c>
      <c r="H157" s="49" t="str">
        <f t="shared" si="11"/>
        <v>insert into ins_premium_det (premium_rcv_code,assorted_code, rec_amount,premium_rcv_detail_code,remaining_amt, payrec, mode_code,coinsurance_code,class_cd,it_remarks) values('04Feb250013','070000172480','46172',(select max(to_number(i.premium_rcv_detail_code))+1
from ins_premium_det i),'46172','46172','02', '11000003','00','Request by Mr. Saqib Saleem 04-Feb-2024');</v>
      </c>
    </row>
    <row r="158" spans="1:8" ht="105" x14ac:dyDescent="0.25">
      <c r="A158" s="36" t="s">
        <v>1097</v>
      </c>
      <c r="B158" s="40" t="str">
        <f>VLOOKUP(A158,policy!B:C,2,0)</f>
        <v>070000169916</v>
      </c>
      <c r="C158" s="38">
        <v>24208</v>
      </c>
      <c r="D158" s="46">
        <f t="shared" si="9"/>
        <v>24208</v>
      </c>
      <c r="E158" s="52" t="s">
        <v>1735</v>
      </c>
      <c r="F158" s="47" t="str">
        <f t="shared" si="8"/>
        <v>insert into ins_premium_det (premium_rcv_code,assorted_code, rec_amount,premium_rcv_detail_code,remaining_amt, payrec, mode_code,coinsurance_code,class_cd,it_remarks) values</v>
      </c>
      <c r="G158" s="48" t="str">
        <f t="shared" si="10"/>
        <v>('04Feb250013','070000169916','24208',(select max(to_number(i.premium_rcv_detail_code))+1
from ins_premium_det i),'24208','24208','02', '11000003','00','Request by Mr. Saqib Saleem 04-Feb-2024');</v>
      </c>
      <c r="H158" s="49" t="str">
        <f t="shared" si="11"/>
        <v>insert into ins_premium_det (premium_rcv_code,assorted_code, rec_amount,premium_rcv_detail_code,remaining_amt, payrec, mode_code,coinsurance_code,class_cd,it_remarks) values('04Feb250013','070000169916','24208',(select max(to_number(i.premium_rcv_detail_code))+1
from ins_premium_det i),'24208','24208','02', '11000003','00','Request by Mr. Saqib Saleem 04-Feb-2024');</v>
      </c>
    </row>
    <row r="159" spans="1:8" ht="105" x14ac:dyDescent="0.25">
      <c r="A159" s="36" t="s">
        <v>1105</v>
      </c>
      <c r="B159" s="40" t="str">
        <f>VLOOKUP(A159,policy!B:C,2,0)</f>
        <v>070000169126</v>
      </c>
      <c r="C159" s="38">
        <v>26700</v>
      </c>
      <c r="D159" s="46">
        <f t="shared" si="9"/>
        <v>26700</v>
      </c>
      <c r="E159" s="52" t="s">
        <v>1735</v>
      </c>
      <c r="F159" s="47" t="str">
        <f t="shared" si="8"/>
        <v>insert into ins_premium_det (premium_rcv_code,assorted_code, rec_amount,premium_rcv_detail_code,remaining_amt, payrec, mode_code,coinsurance_code,class_cd,it_remarks) values</v>
      </c>
      <c r="G159" s="48" t="str">
        <f t="shared" si="10"/>
        <v>('04Feb250013','070000169126','26700',(select max(to_number(i.premium_rcv_detail_code))+1
from ins_premium_det i),'26700','26700','02', '11000003','00','Request by Mr. Saqib Saleem 04-Feb-2024');</v>
      </c>
      <c r="H159" s="49" t="str">
        <f t="shared" si="11"/>
        <v>insert into ins_premium_det (premium_rcv_code,assorted_code, rec_amount,premium_rcv_detail_code,remaining_amt, payrec, mode_code,coinsurance_code,class_cd,it_remarks) values('04Feb250013','070000169126','26700',(select max(to_number(i.premium_rcv_detail_code))+1
from ins_premium_det i),'26700','26700','02', '11000003','00','Request by Mr. Saqib Saleem 04-Feb-2024');</v>
      </c>
    </row>
    <row r="160" spans="1:8" ht="105" x14ac:dyDescent="0.25">
      <c r="A160" s="36" t="s">
        <v>1111</v>
      </c>
      <c r="B160" s="40" t="str">
        <f>VLOOKUP(A160,policy!B:C,2,0)</f>
        <v>070000163881</v>
      </c>
      <c r="C160" s="38">
        <v>22997</v>
      </c>
      <c r="D160" s="46">
        <f t="shared" si="9"/>
        <v>22997</v>
      </c>
      <c r="E160" s="52" t="s">
        <v>1735</v>
      </c>
      <c r="F160" s="47" t="str">
        <f t="shared" si="8"/>
        <v>insert into ins_premium_det (premium_rcv_code,assorted_code, rec_amount,premium_rcv_detail_code,remaining_amt, payrec, mode_code,coinsurance_code,class_cd,it_remarks) values</v>
      </c>
      <c r="G160" s="48" t="str">
        <f t="shared" si="10"/>
        <v>('04Feb250013','070000163881','22997',(select max(to_number(i.premium_rcv_detail_code))+1
from ins_premium_det i),'22997','22997','02', '11000003','00','Request by Mr. Saqib Saleem 04-Feb-2024');</v>
      </c>
      <c r="H160" s="49" t="str">
        <f t="shared" si="11"/>
        <v>insert into ins_premium_det (premium_rcv_code,assorted_code, rec_amount,premium_rcv_detail_code,remaining_amt, payrec, mode_code,coinsurance_code,class_cd,it_remarks) values('04Feb250013','070000163881','22997',(select max(to_number(i.premium_rcv_detail_code))+1
from ins_premium_det i),'22997','22997','02', '11000003','00','Request by Mr. Saqib Saleem 04-Feb-2024');</v>
      </c>
    </row>
    <row r="161" spans="1:8" ht="105" x14ac:dyDescent="0.25">
      <c r="A161" s="40" t="s">
        <v>1117</v>
      </c>
      <c r="B161" s="40" t="str">
        <f>VLOOKUP(A161,policy!B:C,2,0)</f>
        <v>070000162441</v>
      </c>
      <c r="C161" s="38">
        <v>20400</v>
      </c>
      <c r="D161" s="46">
        <f t="shared" si="9"/>
        <v>20400</v>
      </c>
      <c r="E161" s="52" t="s">
        <v>1735</v>
      </c>
      <c r="F161" s="47" t="str">
        <f t="shared" si="8"/>
        <v>insert into ins_premium_det (premium_rcv_code,assorted_code, rec_amount,premium_rcv_detail_code,remaining_amt, payrec, mode_code,coinsurance_code,class_cd,it_remarks) values</v>
      </c>
      <c r="G161" s="48" t="str">
        <f t="shared" si="10"/>
        <v>('04Feb250013','070000162441','20400',(select max(to_number(i.premium_rcv_detail_code))+1
from ins_premium_det i),'20400','20400','02', '11000003','00','Request by Mr. Saqib Saleem 04-Feb-2024');</v>
      </c>
      <c r="H161" s="49" t="str">
        <f t="shared" si="11"/>
        <v>insert into ins_premium_det (premium_rcv_code,assorted_code, rec_amount,premium_rcv_detail_code,remaining_amt, payrec, mode_code,coinsurance_code,class_cd,it_remarks) values('04Feb250013','070000162441','20400',(select max(to_number(i.premium_rcv_detail_code))+1
from ins_premium_det i),'20400','20400','02', '11000003','00','Request by Mr. Saqib Saleem 04-Feb-2024');</v>
      </c>
    </row>
    <row r="162" spans="1:8" ht="105" x14ac:dyDescent="0.25">
      <c r="A162" s="36" t="s">
        <v>1123</v>
      </c>
      <c r="B162" s="40" t="str">
        <f>VLOOKUP(A162,policy!B:C,2,0)</f>
        <v>070000156947</v>
      </c>
      <c r="C162" s="38">
        <v>41412</v>
      </c>
      <c r="D162" s="46">
        <f t="shared" si="9"/>
        <v>41412</v>
      </c>
      <c r="E162" s="52" t="s">
        <v>1735</v>
      </c>
      <c r="F162" s="47" t="str">
        <f t="shared" si="8"/>
        <v>insert into ins_premium_det (premium_rcv_code,assorted_code, rec_amount,premium_rcv_detail_code,remaining_amt, payrec, mode_code,coinsurance_code,class_cd,it_remarks) values</v>
      </c>
      <c r="G162" s="48" t="str">
        <f t="shared" si="10"/>
        <v>('04Feb250013','070000156947','41412',(select max(to_number(i.premium_rcv_detail_code))+1
from ins_premium_det i),'41412','41412','02', '11000003','00','Request by Mr. Saqib Saleem 04-Feb-2024');</v>
      </c>
      <c r="H162" s="49" t="str">
        <f t="shared" si="11"/>
        <v>insert into ins_premium_det (premium_rcv_code,assorted_code, rec_amount,premium_rcv_detail_code,remaining_amt, payrec, mode_code,coinsurance_code,class_cd,it_remarks) values('04Feb250013','070000156947','41412',(select max(to_number(i.premium_rcv_detail_code))+1
from ins_premium_det i),'41412','41412','02', '11000003','00','Request by Mr. Saqib Saleem 04-Feb-2024');</v>
      </c>
    </row>
    <row r="164" spans="1:8" x14ac:dyDescent="0.25">
      <c r="D164" s="51">
        <f>SUM(D2:D162)</f>
        <v>6207994</v>
      </c>
    </row>
  </sheetData>
  <conditionalFormatting sqref="A1">
    <cfRule type="duplicateValues" dxfId="3" priority="1"/>
  </conditionalFormatting>
  <conditionalFormatting sqref="B2:B162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9770-9F89-450B-8295-CC3B968CC968}">
  <dimension ref="A1:J161"/>
  <sheetViews>
    <sheetView workbookViewId="0">
      <selection activeCell="J1" sqref="J1:J161"/>
    </sheetView>
  </sheetViews>
  <sheetFormatPr defaultRowHeight="15" x14ac:dyDescent="0.25"/>
  <cols>
    <col min="1" max="1" width="42.7109375" bestFit="1" customWidth="1"/>
  </cols>
  <sheetData>
    <row r="1" spans="1:10" x14ac:dyDescent="0.25">
      <c r="A1" s="36" t="s">
        <v>3</v>
      </c>
      <c r="B1" t="s">
        <v>1415</v>
      </c>
      <c r="H1">
        <v>103764</v>
      </c>
      <c r="I1" t="s">
        <v>1421</v>
      </c>
      <c r="J1" t="str">
        <f>"ia.assorted_string like '%"&amp;H1&amp;"-"&amp;I1&amp;B1&amp;"%' or"</f>
        <v>ia.assorted_string like '%103764-00008-12-2024%' or</v>
      </c>
    </row>
    <row r="2" spans="1:10" x14ac:dyDescent="0.25">
      <c r="A2" s="36" t="s">
        <v>14</v>
      </c>
      <c r="B2" t="s">
        <v>1415</v>
      </c>
      <c r="H2">
        <v>104416</v>
      </c>
      <c r="I2" t="s">
        <v>1422</v>
      </c>
      <c r="J2" t="str">
        <f t="shared" ref="J2:J65" si="0">"ia.assorted_string like '%"&amp;H2&amp;"-"&amp;I2&amp;B2&amp;"%' or"</f>
        <v>ia.assorted_string like '%104416-00001-12-2024%' or</v>
      </c>
    </row>
    <row r="3" spans="1:10" x14ac:dyDescent="0.25">
      <c r="A3" s="36" t="s">
        <v>23</v>
      </c>
      <c r="B3" t="s">
        <v>1415</v>
      </c>
      <c r="H3">
        <v>104416</v>
      </c>
      <c r="I3" t="s">
        <v>1423</v>
      </c>
      <c r="J3" t="str">
        <f t="shared" si="0"/>
        <v>ia.assorted_string like '%104416-00002-12-2024%' or</v>
      </c>
    </row>
    <row r="4" spans="1:10" x14ac:dyDescent="0.25">
      <c r="A4" s="36" t="s">
        <v>31</v>
      </c>
      <c r="B4" t="s">
        <v>1415</v>
      </c>
      <c r="H4">
        <v>103764</v>
      </c>
      <c r="I4" t="s">
        <v>1424</v>
      </c>
      <c r="J4" t="str">
        <f t="shared" si="0"/>
        <v>ia.assorted_string like '%103764-00094-12-2024%' or</v>
      </c>
    </row>
    <row r="5" spans="1:10" x14ac:dyDescent="0.25">
      <c r="A5" s="36" t="s">
        <v>39</v>
      </c>
      <c r="B5" t="s">
        <v>1415</v>
      </c>
      <c r="H5">
        <v>104415</v>
      </c>
      <c r="I5" t="s">
        <v>1422</v>
      </c>
      <c r="J5" t="str">
        <f t="shared" si="0"/>
        <v>ia.assorted_string like '%104415-00001-12-2024%' or</v>
      </c>
    </row>
    <row r="6" spans="1:10" x14ac:dyDescent="0.25">
      <c r="A6" s="36" t="s">
        <v>45</v>
      </c>
      <c r="B6" t="s">
        <v>1415</v>
      </c>
      <c r="H6">
        <v>104415</v>
      </c>
      <c r="I6" t="s">
        <v>1423</v>
      </c>
      <c r="J6" t="str">
        <f t="shared" si="0"/>
        <v>ia.assorted_string like '%104415-00002-12-2024%' or</v>
      </c>
    </row>
    <row r="7" spans="1:10" x14ac:dyDescent="0.25">
      <c r="A7" s="36" t="s">
        <v>51</v>
      </c>
      <c r="B7" t="s">
        <v>1415</v>
      </c>
      <c r="H7">
        <v>104415</v>
      </c>
      <c r="I7" t="s">
        <v>1425</v>
      </c>
      <c r="J7" t="str">
        <f t="shared" si="0"/>
        <v>ia.assorted_string like '%104415-00003-12-2024%' or</v>
      </c>
    </row>
    <row r="8" spans="1:10" x14ac:dyDescent="0.25">
      <c r="A8" s="36" t="s">
        <v>57</v>
      </c>
      <c r="B8" t="s">
        <v>1415</v>
      </c>
      <c r="H8">
        <v>104415</v>
      </c>
      <c r="I8" t="s">
        <v>1426</v>
      </c>
      <c r="J8" t="str">
        <f t="shared" si="0"/>
        <v>ia.assorted_string like '%104415-00004-12-2024%' or</v>
      </c>
    </row>
    <row r="9" spans="1:10" x14ac:dyDescent="0.25">
      <c r="A9" s="36" t="s">
        <v>63</v>
      </c>
      <c r="B9" t="s">
        <v>1415</v>
      </c>
      <c r="H9">
        <v>104415</v>
      </c>
      <c r="I9" t="s">
        <v>1427</v>
      </c>
      <c r="J9" t="str">
        <f t="shared" si="0"/>
        <v>ia.assorted_string like '%104415-00005-12-2024%' or</v>
      </c>
    </row>
    <row r="10" spans="1:10" x14ac:dyDescent="0.25">
      <c r="A10" s="36" t="s">
        <v>69</v>
      </c>
      <c r="B10" t="s">
        <v>1415</v>
      </c>
      <c r="H10">
        <v>103764</v>
      </c>
      <c r="I10" t="s">
        <v>1428</v>
      </c>
      <c r="J10" t="str">
        <f t="shared" si="0"/>
        <v>ia.assorted_string like '%103764-00087-12-2024%' or</v>
      </c>
    </row>
    <row r="11" spans="1:10" x14ac:dyDescent="0.25">
      <c r="A11" s="36" t="s">
        <v>77</v>
      </c>
      <c r="B11" t="s">
        <v>1415</v>
      </c>
      <c r="H11">
        <v>103764</v>
      </c>
      <c r="I11" t="s">
        <v>1429</v>
      </c>
      <c r="J11" t="str">
        <f t="shared" si="0"/>
        <v>ia.assorted_string like '%103764-00132-12-2024%' or</v>
      </c>
    </row>
    <row r="12" spans="1:10" x14ac:dyDescent="0.25">
      <c r="A12" s="36" t="s">
        <v>85</v>
      </c>
      <c r="B12" t="s">
        <v>1415</v>
      </c>
      <c r="H12">
        <v>103764</v>
      </c>
      <c r="I12" t="s">
        <v>1430</v>
      </c>
      <c r="J12" t="str">
        <f t="shared" si="0"/>
        <v>ia.assorted_string like '%103764-00078-12-2024%' or</v>
      </c>
    </row>
    <row r="13" spans="1:10" x14ac:dyDescent="0.25">
      <c r="A13" s="36" t="s">
        <v>93</v>
      </c>
      <c r="B13" t="s">
        <v>1415</v>
      </c>
      <c r="H13">
        <v>103764</v>
      </c>
      <c r="I13" t="s">
        <v>1431</v>
      </c>
      <c r="J13" t="str">
        <f t="shared" si="0"/>
        <v>ia.assorted_string like '%103764-00059-12-2024%' or</v>
      </c>
    </row>
    <row r="14" spans="1:10" x14ac:dyDescent="0.25">
      <c r="A14" s="36" t="s">
        <v>101</v>
      </c>
      <c r="B14" t="s">
        <v>1415</v>
      </c>
      <c r="H14">
        <v>103764</v>
      </c>
      <c r="I14" t="s">
        <v>1432</v>
      </c>
      <c r="J14" t="str">
        <f t="shared" si="0"/>
        <v>ia.assorted_string like '%103764-00063-12-2024%' or</v>
      </c>
    </row>
    <row r="15" spans="1:10" x14ac:dyDescent="0.25">
      <c r="A15" s="36" t="s">
        <v>109</v>
      </c>
      <c r="B15" t="s">
        <v>1415</v>
      </c>
      <c r="H15">
        <v>103764</v>
      </c>
      <c r="I15" t="s">
        <v>1433</v>
      </c>
      <c r="J15" t="str">
        <f t="shared" si="0"/>
        <v>ia.assorted_string like '%103764-00157-12-2024%' or</v>
      </c>
    </row>
    <row r="16" spans="1:10" x14ac:dyDescent="0.25">
      <c r="A16" s="36" t="s">
        <v>117</v>
      </c>
      <c r="B16" t="s">
        <v>1415</v>
      </c>
      <c r="H16">
        <v>103764</v>
      </c>
      <c r="I16" t="s">
        <v>1434</v>
      </c>
      <c r="J16" t="str">
        <f t="shared" si="0"/>
        <v>ia.assorted_string like '%103764-00156-12-2024%' or</v>
      </c>
    </row>
    <row r="17" spans="1:10" x14ac:dyDescent="0.25">
      <c r="A17" s="36" t="s">
        <v>123</v>
      </c>
      <c r="B17" t="s">
        <v>1415</v>
      </c>
      <c r="H17">
        <v>103764</v>
      </c>
      <c r="I17" t="s">
        <v>1435</v>
      </c>
      <c r="J17" t="str">
        <f t="shared" si="0"/>
        <v>ia.assorted_string like '%103764-00099-12-2024%' or</v>
      </c>
    </row>
    <row r="18" spans="1:10" x14ac:dyDescent="0.25">
      <c r="A18" s="36" t="s">
        <v>132</v>
      </c>
      <c r="B18" t="s">
        <v>1415</v>
      </c>
      <c r="H18">
        <v>103764</v>
      </c>
      <c r="I18" t="s">
        <v>1436</v>
      </c>
      <c r="J18" t="str">
        <f t="shared" si="0"/>
        <v>ia.assorted_string like '%103764-00109-12-2024%' or</v>
      </c>
    </row>
    <row r="19" spans="1:10" x14ac:dyDescent="0.25">
      <c r="A19" s="36" t="s">
        <v>139</v>
      </c>
      <c r="B19" t="s">
        <v>1415</v>
      </c>
      <c r="H19">
        <v>103764</v>
      </c>
      <c r="I19" t="s">
        <v>1437</v>
      </c>
      <c r="J19" t="str">
        <f t="shared" si="0"/>
        <v>ia.assorted_string like '%103764-00118-12-2024%' or</v>
      </c>
    </row>
    <row r="20" spans="1:10" x14ac:dyDescent="0.25">
      <c r="A20" s="36" t="s">
        <v>145</v>
      </c>
      <c r="B20" t="s">
        <v>1415</v>
      </c>
      <c r="H20">
        <v>103764</v>
      </c>
      <c r="I20" t="s">
        <v>1438</v>
      </c>
      <c r="J20" t="str">
        <f t="shared" si="0"/>
        <v>ia.assorted_string like '%103764-00120-12-2024%' or</v>
      </c>
    </row>
    <row r="21" spans="1:10" x14ac:dyDescent="0.25">
      <c r="A21" s="36" t="s">
        <v>151</v>
      </c>
      <c r="B21" t="s">
        <v>1415</v>
      </c>
      <c r="H21">
        <v>104418</v>
      </c>
      <c r="I21" t="s">
        <v>1422</v>
      </c>
      <c r="J21" t="str">
        <f t="shared" si="0"/>
        <v>ia.assorted_string like '%104418-00001-12-2024%' or</v>
      </c>
    </row>
    <row r="22" spans="1:10" x14ac:dyDescent="0.25">
      <c r="A22" s="36" t="s">
        <v>157</v>
      </c>
      <c r="B22" t="s">
        <v>1415</v>
      </c>
      <c r="H22">
        <v>104418</v>
      </c>
      <c r="I22" t="s">
        <v>1423</v>
      </c>
      <c r="J22" t="str">
        <f t="shared" si="0"/>
        <v>ia.assorted_string like '%104418-00002-12-2024%' or</v>
      </c>
    </row>
    <row r="23" spans="1:10" x14ac:dyDescent="0.25">
      <c r="A23" s="36" t="s">
        <v>164</v>
      </c>
      <c r="B23" t="s">
        <v>1415</v>
      </c>
      <c r="H23">
        <v>103764</v>
      </c>
      <c r="I23" t="s">
        <v>1439</v>
      </c>
      <c r="J23" t="str">
        <f t="shared" si="0"/>
        <v>ia.assorted_string like '%103764-00135-12-2024%' or</v>
      </c>
    </row>
    <row r="24" spans="1:10" x14ac:dyDescent="0.25">
      <c r="A24" s="36" t="s">
        <v>170</v>
      </c>
      <c r="B24" t="s">
        <v>1415</v>
      </c>
      <c r="H24">
        <v>103764</v>
      </c>
      <c r="I24" t="s">
        <v>1440</v>
      </c>
      <c r="J24" t="str">
        <f t="shared" si="0"/>
        <v>ia.assorted_string like '%103764-00146-12-2024%' or</v>
      </c>
    </row>
    <row r="25" spans="1:10" x14ac:dyDescent="0.25">
      <c r="A25" s="36" t="s">
        <v>177</v>
      </c>
      <c r="B25" t="s">
        <v>1415</v>
      </c>
      <c r="H25">
        <v>103764</v>
      </c>
      <c r="I25" t="s">
        <v>1441</v>
      </c>
      <c r="J25" t="str">
        <f t="shared" si="0"/>
        <v>ia.assorted_string like '%103764-00142-12-2024%' or</v>
      </c>
    </row>
    <row r="26" spans="1:10" x14ac:dyDescent="0.25">
      <c r="A26" s="36" t="s">
        <v>183</v>
      </c>
      <c r="B26" t="s">
        <v>1415</v>
      </c>
      <c r="H26">
        <v>103764</v>
      </c>
      <c r="I26" t="s">
        <v>1442</v>
      </c>
      <c r="J26" t="str">
        <f t="shared" si="0"/>
        <v>ia.assorted_string like '%103764-00061-12-2024%' or</v>
      </c>
    </row>
    <row r="27" spans="1:10" x14ac:dyDescent="0.25">
      <c r="A27" s="36" t="s">
        <v>190</v>
      </c>
      <c r="B27" t="s">
        <v>1415</v>
      </c>
      <c r="H27">
        <v>103764</v>
      </c>
      <c r="I27" t="s">
        <v>1443</v>
      </c>
      <c r="J27" t="str">
        <f t="shared" si="0"/>
        <v>ia.assorted_string like '%103764-00102-12-2024%' or</v>
      </c>
    </row>
    <row r="28" spans="1:10" x14ac:dyDescent="0.25">
      <c r="A28" s="36" t="s">
        <v>196</v>
      </c>
      <c r="B28" t="s">
        <v>1415</v>
      </c>
      <c r="H28">
        <v>103764</v>
      </c>
      <c r="I28" t="s">
        <v>1444</v>
      </c>
      <c r="J28" t="str">
        <f t="shared" si="0"/>
        <v>ia.assorted_string like '%103764-00114-12-2024%' or</v>
      </c>
    </row>
    <row r="29" spans="1:10" x14ac:dyDescent="0.25">
      <c r="A29" s="36" t="s">
        <v>205</v>
      </c>
      <c r="B29" t="s">
        <v>1415</v>
      </c>
      <c r="H29">
        <v>103764</v>
      </c>
      <c r="I29" t="s">
        <v>1445</v>
      </c>
      <c r="J29" t="str">
        <f t="shared" si="0"/>
        <v>ia.assorted_string like '%103764-00123-12-2024%' or</v>
      </c>
    </row>
    <row r="30" spans="1:10" x14ac:dyDescent="0.25">
      <c r="A30" s="36" t="s">
        <v>212</v>
      </c>
      <c r="B30" t="s">
        <v>1415</v>
      </c>
      <c r="H30">
        <v>103764</v>
      </c>
      <c r="I30" t="s">
        <v>1446</v>
      </c>
      <c r="J30" t="str">
        <f t="shared" si="0"/>
        <v>ia.assorted_string like '%103764-00082-12-2024%' or</v>
      </c>
    </row>
    <row r="31" spans="1:10" x14ac:dyDescent="0.25">
      <c r="A31" s="36" t="s">
        <v>219</v>
      </c>
      <c r="B31" t="s">
        <v>1415</v>
      </c>
      <c r="H31">
        <v>103764</v>
      </c>
      <c r="I31" t="s">
        <v>1447</v>
      </c>
      <c r="J31" t="str">
        <f t="shared" si="0"/>
        <v>ia.assorted_string like '%103764-00041-12-2024%' or</v>
      </c>
    </row>
    <row r="32" spans="1:10" x14ac:dyDescent="0.25">
      <c r="A32" s="36" t="s">
        <v>226</v>
      </c>
      <c r="B32" t="s">
        <v>1415</v>
      </c>
      <c r="H32">
        <v>103764</v>
      </c>
      <c r="I32" t="s">
        <v>1448</v>
      </c>
      <c r="J32" t="str">
        <f t="shared" si="0"/>
        <v>ia.assorted_string like '%103764-00119-12-2024%' or</v>
      </c>
    </row>
    <row r="33" spans="1:10" x14ac:dyDescent="0.25">
      <c r="A33" s="36" t="s">
        <v>234</v>
      </c>
      <c r="B33" t="s">
        <v>1415</v>
      </c>
      <c r="H33">
        <v>103764</v>
      </c>
      <c r="I33" t="s">
        <v>1449</v>
      </c>
      <c r="J33" t="str">
        <f t="shared" si="0"/>
        <v>ia.assorted_string like '%103764-00083-12-2024%' or</v>
      </c>
    </row>
    <row r="34" spans="1:10" x14ac:dyDescent="0.25">
      <c r="A34" s="36" t="s">
        <v>240</v>
      </c>
      <c r="B34" t="s">
        <v>1415</v>
      </c>
      <c r="H34">
        <v>103764</v>
      </c>
      <c r="I34" t="s">
        <v>1450</v>
      </c>
      <c r="J34" t="str">
        <f t="shared" si="0"/>
        <v>ia.assorted_string like '%103764-00104-12-2024%' or</v>
      </c>
    </row>
    <row r="35" spans="1:10" x14ac:dyDescent="0.25">
      <c r="A35" s="36" t="s">
        <v>248</v>
      </c>
      <c r="B35" t="s">
        <v>1415</v>
      </c>
      <c r="H35">
        <v>103764</v>
      </c>
      <c r="I35" t="s">
        <v>1451</v>
      </c>
      <c r="J35" t="str">
        <f t="shared" si="0"/>
        <v>ia.assorted_string like '%103764-00129-12-2024%' or</v>
      </c>
    </row>
    <row r="36" spans="1:10" x14ac:dyDescent="0.25">
      <c r="A36" s="36" t="s">
        <v>254</v>
      </c>
      <c r="B36" t="s">
        <v>1415</v>
      </c>
      <c r="H36">
        <v>103764</v>
      </c>
      <c r="I36" t="s">
        <v>1452</v>
      </c>
      <c r="J36" t="str">
        <f t="shared" si="0"/>
        <v>ia.assorted_string like '%103764-00152-12-2024%' or</v>
      </c>
    </row>
    <row r="37" spans="1:10" x14ac:dyDescent="0.25">
      <c r="A37" s="36" t="s">
        <v>261</v>
      </c>
      <c r="B37" t="s">
        <v>1415</v>
      </c>
      <c r="H37">
        <v>103764</v>
      </c>
      <c r="I37" t="s">
        <v>1453</v>
      </c>
      <c r="J37" t="str">
        <f t="shared" si="0"/>
        <v>ia.assorted_string like '%103764-00154-12-2024%' or</v>
      </c>
    </row>
    <row r="38" spans="1:10" x14ac:dyDescent="0.25">
      <c r="A38" s="36" t="s">
        <v>267</v>
      </c>
      <c r="B38" t="s">
        <v>1415</v>
      </c>
      <c r="H38">
        <v>103764</v>
      </c>
      <c r="I38" t="s">
        <v>1454</v>
      </c>
      <c r="J38" t="str">
        <f t="shared" si="0"/>
        <v>ia.assorted_string like '%103764-00149-12-2024%' or</v>
      </c>
    </row>
    <row r="39" spans="1:10" x14ac:dyDescent="0.25">
      <c r="A39" s="36" t="s">
        <v>273</v>
      </c>
      <c r="B39" t="s">
        <v>1415</v>
      </c>
      <c r="H39">
        <v>103764</v>
      </c>
      <c r="I39" t="s">
        <v>1455</v>
      </c>
      <c r="J39" t="str">
        <f t="shared" si="0"/>
        <v>ia.assorted_string like '%103764-00086-12-2024%' or</v>
      </c>
    </row>
    <row r="40" spans="1:10" x14ac:dyDescent="0.25">
      <c r="A40" s="36" t="s">
        <v>279</v>
      </c>
      <c r="B40" t="s">
        <v>1415</v>
      </c>
      <c r="H40">
        <v>103764</v>
      </c>
      <c r="I40" t="s">
        <v>1456</v>
      </c>
      <c r="J40" t="str">
        <f t="shared" si="0"/>
        <v>ia.assorted_string like '%103764-00073-12-2024%' or</v>
      </c>
    </row>
    <row r="41" spans="1:10" x14ac:dyDescent="0.25">
      <c r="A41" s="36" t="s">
        <v>286</v>
      </c>
      <c r="B41" t="s">
        <v>1415</v>
      </c>
      <c r="H41">
        <v>103764</v>
      </c>
      <c r="I41" t="s">
        <v>1457</v>
      </c>
      <c r="J41" t="str">
        <f t="shared" si="0"/>
        <v>ia.assorted_string like '%103764-00153-12-2024%' or</v>
      </c>
    </row>
    <row r="42" spans="1:10" x14ac:dyDescent="0.25">
      <c r="A42" s="36" t="s">
        <v>293</v>
      </c>
      <c r="B42" t="s">
        <v>1415</v>
      </c>
      <c r="H42">
        <v>103764</v>
      </c>
      <c r="I42" t="s">
        <v>1458</v>
      </c>
      <c r="J42" t="str">
        <f t="shared" si="0"/>
        <v>ia.assorted_string like '%103764-00081-12-2024%' or</v>
      </c>
    </row>
    <row r="43" spans="1:10" x14ac:dyDescent="0.25">
      <c r="A43" s="36" t="s">
        <v>301</v>
      </c>
      <c r="B43" t="s">
        <v>1415</v>
      </c>
      <c r="H43">
        <v>103764</v>
      </c>
      <c r="I43" t="s">
        <v>1459</v>
      </c>
      <c r="J43" t="str">
        <f t="shared" si="0"/>
        <v>ia.assorted_string like '%103764-00043-12-2024%' or</v>
      </c>
    </row>
    <row r="44" spans="1:10" x14ac:dyDescent="0.25">
      <c r="A44" s="36" t="s">
        <v>309</v>
      </c>
      <c r="B44" t="s">
        <v>1415</v>
      </c>
      <c r="H44">
        <v>103764</v>
      </c>
      <c r="I44" t="s">
        <v>1460</v>
      </c>
      <c r="J44" t="str">
        <f t="shared" si="0"/>
        <v>ia.assorted_string like '%103764-00079-12-2024%' or</v>
      </c>
    </row>
    <row r="45" spans="1:10" x14ac:dyDescent="0.25">
      <c r="A45" s="36" t="s">
        <v>315</v>
      </c>
      <c r="B45" t="s">
        <v>1415</v>
      </c>
      <c r="H45">
        <v>103764</v>
      </c>
      <c r="I45" t="s">
        <v>1461</v>
      </c>
      <c r="J45" t="str">
        <f t="shared" si="0"/>
        <v>ia.assorted_string like '%103764-00039-12-2024%' or</v>
      </c>
    </row>
    <row r="46" spans="1:10" x14ac:dyDescent="0.25">
      <c r="A46" s="36" t="s">
        <v>321</v>
      </c>
      <c r="B46" t="s">
        <v>1415</v>
      </c>
      <c r="H46">
        <v>103764</v>
      </c>
      <c r="I46" t="s">
        <v>1462</v>
      </c>
      <c r="J46" t="str">
        <f t="shared" si="0"/>
        <v>ia.assorted_string like '%103764-00064-12-2024%' or</v>
      </c>
    </row>
    <row r="47" spans="1:10" x14ac:dyDescent="0.25">
      <c r="A47" s="36" t="s">
        <v>328</v>
      </c>
      <c r="B47" t="s">
        <v>1415</v>
      </c>
      <c r="H47">
        <v>103764</v>
      </c>
      <c r="I47" t="s">
        <v>1463</v>
      </c>
      <c r="J47" t="str">
        <f t="shared" si="0"/>
        <v>ia.assorted_string like '%103764-00116-12-2024%' or</v>
      </c>
    </row>
    <row r="48" spans="1:10" x14ac:dyDescent="0.25">
      <c r="A48" s="36" t="s">
        <v>334</v>
      </c>
      <c r="B48" t="s">
        <v>1415</v>
      </c>
      <c r="H48">
        <v>103764</v>
      </c>
      <c r="I48" t="s">
        <v>1464</v>
      </c>
      <c r="J48" t="str">
        <f t="shared" si="0"/>
        <v>ia.assorted_string like '%103764-00062-12-2024%' or</v>
      </c>
    </row>
    <row r="49" spans="1:10" x14ac:dyDescent="0.25">
      <c r="A49" s="36" t="s">
        <v>340</v>
      </c>
      <c r="B49" t="s">
        <v>1415</v>
      </c>
      <c r="H49">
        <v>103764</v>
      </c>
      <c r="I49" t="s">
        <v>1465</v>
      </c>
      <c r="J49" t="str">
        <f t="shared" si="0"/>
        <v>ia.assorted_string like '%103764-00072-12-2024%' or</v>
      </c>
    </row>
    <row r="50" spans="1:10" x14ac:dyDescent="0.25">
      <c r="A50" s="36" t="s">
        <v>348</v>
      </c>
      <c r="B50" t="s">
        <v>1415</v>
      </c>
      <c r="H50">
        <v>103764</v>
      </c>
      <c r="I50" t="s">
        <v>1466</v>
      </c>
      <c r="J50" t="str">
        <f t="shared" si="0"/>
        <v>ia.assorted_string like '%103764-00091-12-2024%' or</v>
      </c>
    </row>
    <row r="51" spans="1:10" x14ac:dyDescent="0.25">
      <c r="A51" s="36" t="s">
        <v>355</v>
      </c>
      <c r="B51" t="s">
        <v>1415</v>
      </c>
      <c r="H51">
        <v>103764</v>
      </c>
      <c r="I51" t="s">
        <v>1467</v>
      </c>
      <c r="J51" t="str">
        <f t="shared" si="0"/>
        <v>ia.assorted_string like '%103764-00097-12-2024%' or</v>
      </c>
    </row>
    <row r="52" spans="1:10" x14ac:dyDescent="0.25">
      <c r="A52" s="36" t="s">
        <v>361</v>
      </c>
      <c r="B52" t="s">
        <v>1415</v>
      </c>
      <c r="H52">
        <v>103764</v>
      </c>
      <c r="I52" t="s">
        <v>1468</v>
      </c>
      <c r="J52" t="str">
        <f t="shared" si="0"/>
        <v>ia.assorted_string like '%103764-00098-12-2024%' or</v>
      </c>
    </row>
    <row r="53" spans="1:10" x14ac:dyDescent="0.25">
      <c r="A53" s="36" t="s">
        <v>367</v>
      </c>
      <c r="B53" t="s">
        <v>1415</v>
      </c>
      <c r="H53">
        <v>103764</v>
      </c>
      <c r="I53" t="s">
        <v>1469</v>
      </c>
      <c r="J53" t="str">
        <f t="shared" si="0"/>
        <v>ia.assorted_string like '%103764-00100-12-2024%' or</v>
      </c>
    </row>
    <row r="54" spans="1:10" x14ac:dyDescent="0.25">
      <c r="A54" s="36" t="s">
        <v>373</v>
      </c>
      <c r="B54" t="s">
        <v>1415</v>
      </c>
      <c r="H54">
        <v>103764</v>
      </c>
      <c r="I54" t="s">
        <v>1470</v>
      </c>
      <c r="J54" t="str">
        <f t="shared" si="0"/>
        <v>ia.assorted_string like '%103764-00101-12-2024%' or</v>
      </c>
    </row>
    <row r="55" spans="1:10" x14ac:dyDescent="0.25">
      <c r="A55" s="36" t="s">
        <v>380</v>
      </c>
      <c r="B55" t="s">
        <v>1415</v>
      </c>
      <c r="H55">
        <v>103764</v>
      </c>
      <c r="I55" t="s">
        <v>1471</v>
      </c>
      <c r="J55" t="str">
        <f t="shared" si="0"/>
        <v>ia.assorted_string like '%103764-00103-12-2024%' or</v>
      </c>
    </row>
    <row r="56" spans="1:10" x14ac:dyDescent="0.25">
      <c r="A56" s="36" t="s">
        <v>386</v>
      </c>
      <c r="B56" t="s">
        <v>1415</v>
      </c>
      <c r="H56">
        <v>103764</v>
      </c>
      <c r="I56" t="s">
        <v>1472</v>
      </c>
      <c r="J56" t="str">
        <f t="shared" si="0"/>
        <v>ia.assorted_string like '%103764-00126-12-2024%' or</v>
      </c>
    </row>
    <row r="57" spans="1:10" x14ac:dyDescent="0.25">
      <c r="A57" s="36" t="s">
        <v>394</v>
      </c>
      <c r="B57" t="s">
        <v>1415</v>
      </c>
      <c r="H57">
        <v>103764</v>
      </c>
      <c r="I57" t="s">
        <v>1473</v>
      </c>
      <c r="J57" t="str">
        <f t="shared" si="0"/>
        <v>ia.assorted_string like '%103764-00148-12-2024%' or</v>
      </c>
    </row>
    <row r="58" spans="1:10" x14ac:dyDescent="0.25">
      <c r="A58" s="36" t="s">
        <v>400</v>
      </c>
      <c r="B58" t="s">
        <v>1415</v>
      </c>
      <c r="H58">
        <v>103764</v>
      </c>
      <c r="I58" t="s">
        <v>1474</v>
      </c>
      <c r="J58" t="str">
        <f t="shared" si="0"/>
        <v>ia.assorted_string like '%103764-00024-12-2024%' or</v>
      </c>
    </row>
    <row r="59" spans="1:10" x14ac:dyDescent="0.25">
      <c r="A59" s="36" t="s">
        <v>407</v>
      </c>
      <c r="B59" t="s">
        <v>1415</v>
      </c>
      <c r="H59">
        <v>103764</v>
      </c>
      <c r="I59" t="s">
        <v>1475</v>
      </c>
      <c r="J59" t="str">
        <f t="shared" si="0"/>
        <v>ia.assorted_string like '%103764-00034-12-2024%' or</v>
      </c>
    </row>
    <row r="60" spans="1:10" x14ac:dyDescent="0.25">
      <c r="A60" s="36" t="s">
        <v>414</v>
      </c>
      <c r="B60" t="s">
        <v>1415</v>
      </c>
      <c r="H60">
        <v>103764</v>
      </c>
      <c r="I60" t="s">
        <v>1476</v>
      </c>
      <c r="J60" t="str">
        <f t="shared" si="0"/>
        <v>ia.assorted_string like '%103764-00044-12-2024%' or</v>
      </c>
    </row>
    <row r="61" spans="1:10" x14ac:dyDescent="0.25">
      <c r="A61" s="36" t="s">
        <v>421</v>
      </c>
      <c r="B61" t="s">
        <v>1415</v>
      </c>
      <c r="H61">
        <v>103764</v>
      </c>
      <c r="I61" t="s">
        <v>1477</v>
      </c>
      <c r="J61" t="str">
        <f t="shared" si="0"/>
        <v>ia.assorted_string like '%103764-00047-12-2024%' or</v>
      </c>
    </row>
    <row r="62" spans="1:10" x14ac:dyDescent="0.25">
      <c r="A62" s="36" t="s">
        <v>428</v>
      </c>
      <c r="B62" t="s">
        <v>1415</v>
      </c>
      <c r="H62">
        <v>103764</v>
      </c>
      <c r="I62" t="s">
        <v>1478</v>
      </c>
      <c r="J62" t="str">
        <f t="shared" si="0"/>
        <v>ia.assorted_string like '%103764-00048-12-2024%' or</v>
      </c>
    </row>
    <row r="63" spans="1:10" x14ac:dyDescent="0.25">
      <c r="A63" s="36" t="s">
        <v>435</v>
      </c>
      <c r="B63" t="s">
        <v>1415</v>
      </c>
      <c r="H63">
        <v>103764</v>
      </c>
      <c r="I63" t="s">
        <v>1479</v>
      </c>
      <c r="J63" t="str">
        <f t="shared" si="0"/>
        <v>ia.assorted_string like '%103764-00065-12-2024%' or</v>
      </c>
    </row>
    <row r="64" spans="1:10" x14ac:dyDescent="0.25">
      <c r="A64" s="36" t="s">
        <v>442</v>
      </c>
      <c r="B64" t="s">
        <v>1415</v>
      </c>
      <c r="H64">
        <v>103764</v>
      </c>
      <c r="I64" t="s">
        <v>1480</v>
      </c>
      <c r="J64" t="str">
        <f t="shared" si="0"/>
        <v>ia.assorted_string like '%103764-00151-12-2024%' or</v>
      </c>
    </row>
    <row r="65" spans="1:10" x14ac:dyDescent="0.25">
      <c r="A65" s="36" t="s">
        <v>448</v>
      </c>
      <c r="B65" t="s">
        <v>1415</v>
      </c>
      <c r="H65">
        <v>103764</v>
      </c>
      <c r="I65" t="s">
        <v>1481</v>
      </c>
      <c r="J65" t="str">
        <f t="shared" si="0"/>
        <v>ia.assorted_string like '%103764-00077-12-2024%' or</v>
      </c>
    </row>
    <row r="66" spans="1:10" x14ac:dyDescent="0.25">
      <c r="A66" s="36" t="s">
        <v>456</v>
      </c>
      <c r="B66" t="s">
        <v>1415</v>
      </c>
      <c r="H66">
        <v>103764</v>
      </c>
      <c r="I66" t="s">
        <v>1482</v>
      </c>
      <c r="J66" t="str">
        <f t="shared" ref="J66:J129" si="1">"ia.assorted_string like '%"&amp;H66&amp;"-"&amp;I66&amp;B66&amp;"%' or"</f>
        <v>ia.assorted_string like '%103764-00075-12-2024%' or</v>
      </c>
    </row>
    <row r="67" spans="1:10" x14ac:dyDescent="0.25">
      <c r="A67" s="36" t="s">
        <v>462</v>
      </c>
      <c r="B67" t="s">
        <v>1415</v>
      </c>
      <c r="H67">
        <v>103764</v>
      </c>
      <c r="I67" t="s">
        <v>1483</v>
      </c>
      <c r="J67" t="str">
        <f t="shared" si="1"/>
        <v>ia.assorted_string like '%103764-00033-12-2024%' or</v>
      </c>
    </row>
    <row r="68" spans="1:10" x14ac:dyDescent="0.25">
      <c r="A68" s="36" t="s">
        <v>468</v>
      </c>
      <c r="B68" t="s">
        <v>1415</v>
      </c>
      <c r="H68">
        <v>103764</v>
      </c>
      <c r="I68" t="s">
        <v>1484</v>
      </c>
      <c r="J68" t="str">
        <f t="shared" si="1"/>
        <v>ia.assorted_string like '%103764-00106-12-2024%' or</v>
      </c>
    </row>
    <row r="69" spans="1:10" x14ac:dyDescent="0.25">
      <c r="A69" s="36" t="s">
        <v>475</v>
      </c>
      <c r="B69" t="s">
        <v>1415</v>
      </c>
      <c r="H69">
        <v>103764</v>
      </c>
      <c r="I69" t="s">
        <v>1485</v>
      </c>
      <c r="J69" t="str">
        <f t="shared" si="1"/>
        <v>ia.assorted_string like '%103764-00137-12-2024%' or</v>
      </c>
    </row>
    <row r="70" spans="1:10" x14ac:dyDescent="0.25">
      <c r="A70" s="36" t="s">
        <v>483</v>
      </c>
      <c r="B70" t="s">
        <v>1415</v>
      </c>
      <c r="H70">
        <v>103764</v>
      </c>
      <c r="I70" t="s">
        <v>1486</v>
      </c>
      <c r="J70" t="str">
        <f t="shared" si="1"/>
        <v>ia.assorted_string like '%103764-00025-12-2024%' or</v>
      </c>
    </row>
    <row r="71" spans="1:10" x14ac:dyDescent="0.25">
      <c r="A71" s="36" t="s">
        <v>490</v>
      </c>
      <c r="B71" t="s">
        <v>1415</v>
      </c>
      <c r="H71">
        <v>103764</v>
      </c>
      <c r="I71" t="s">
        <v>1487</v>
      </c>
      <c r="J71" t="str">
        <f t="shared" si="1"/>
        <v>ia.assorted_string like '%103764-00127-12-2024%' or</v>
      </c>
    </row>
    <row r="72" spans="1:10" x14ac:dyDescent="0.25">
      <c r="A72" s="36" t="s">
        <v>499</v>
      </c>
      <c r="B72" t="s">
        <v>1415</v>
      </c>
      <c r="H72">
        <v>103764</v>
      </c>
      <c r="I72" t="s">
        <v>1488</v>
      </c>
      <c r="J72" t="str">
        <f t="shared" si="1"/>
        <v>ia.assorted_string like '%103764-00030-12-2024%' or</v>
      </c>
    </row>
    <row r="73" spans="1:10" x14ac:dyDescent="0.25">
      <c r="A73" s="36" t="s">
        <v>506</v>
      </c>
      <c r="B73" t="s">
        <v>1415</v>
      </c>
      <c r="H73">
        <v>103764</v>
      </c>
      <c r="I73" t="s">
        <v>1489</v>
      </c>
      <c r="J73" t="str">
        <f t="shared" si="1"/>
        <v>ia.assorted_string like '%103764-00096-12-2024%' or</v>
      </c>
    </row>
    <row r="74" spans="1:10" x14ac:dyDescent="0.25">
      <c r="A74" s="36" t="s">
        <v>513</v>
      </c>
      <c r="B74" t="s">
        <v>1415</v>
      </c>
      <c r="H74">
        <v>103764</v>
      </c>
      <c r="I74" t="s">
        <v>1490</v>
      </c>
      <c r="J74" t="str">
        <f t="shared" si="1"/>
        <v>ia.assorted_string like '%103764-00133-12-2024%' or</v>
      </c>
    </row>
    <row r="75" spans="1:10" x14ac:dyDescent="0.25">
      <c r="A75" s="36" t="s">
        <v>519</v>
      </c>
      <c r="B75" t="s">
        <v>1415</v>
      </c>
      <c r="H75">
        <v>103764</v>
      </c>
      <c r="I75" t="s">
        <v>1491</v>
      </c>
      <c r="J75" t="str">
        <f t="shared" si="1"/>
        <v>ia.assorted_string like '%103764-00050-12-2024%' or</v>
      </c>
    </row>
    <row r="76" spans="1:10" x14ac:dyDescent="0.25">
      <c r="A76" s="36" t="s">
        <v>525</v>
      </c>
      <c r="B76" t="s">
        <v>1415</v>
      </c>
      <c r="H76">
        <v>103764</v>
      </c>
      <c r="I76" t="s">
        <v>1492</v>
      </c>
      <c r="J76" t="str">
        <f t="shared" si="1"/>
        <v>ia.assorted_string like '%103764-00074-12-2024%' or</v>
      </c>
    </row>
    <row r="77" spans="1:10" x14ac:dyDescent="0.25">
      <c r="A77" s="36" t="s">
        <v>531</v>
      </c>
      <c r="B77" t="s">
        <v>1415</v>
      </c>
      <c r="H77">
        <v>103764</v>
      </c>
      <c r="I77" t="s">
        <v>1493</v>
      </c>
      <c r="J77" t="str">
        <f t="shared" si="1"/>
        <v>ia.assorted_string like '%103764-00076-12-2024%' or</v>
      </c>
    </row>
    <row r="78" spans="1:10" x14ac:dyDescent="0.25">
      <c r="A78" s="36" t="s">
        <v>537</v>
      </c>
      <c r="B78" t="s">
        <v>1415</v>
      </c>
      <c r="H78">
        <v>103764</v>
      </c>
      <c r="I78" t="s">
        <v>1494</v>
      </c>
      <c r="J78" t="str">
        <f t="shared" si="1"/>
        <v>ia.assorted_string like '%103764-00131-12-2024%' or</v>
      </c>
    </row>
    <row r="79" spans="1:10" x14ac:dyDescent="0.25">
      <c r="A79" s="36" t="s">
        <v>543</v>
      </c>
      <c r="B79" t="s">
        <v>1415</v>
      </c>
      <c r="H79">
        <v>103764</v>
      </c>
      <c r="I79" t="s">
        <v>1495</v>
      </c>
      <c r="J79" t="str">
        <f t="shared" si="1"/>
        <v>ia.assorted_string like '%103764-00095-12-2024%' or</v>
      </c>
    </row>
    <row r="80" spans="1:10" x14ac:dyDescent="0.25">
      <c r="A80" s="36" t="s">
        <v>551</v>
      </c>
      <c r="B80" t="s">
        <v>1415</v>
      </c>
      <c r="H80">
        <v>103764</v>
      </c>
      <c r="I80" t="s">
        <v>1496</v>
      </c>
      <c r="J80" t="str">
        <f t="shared" si="1"/>
        <v>ia.assorted_string like '%103764-00052-12-2024%' or</v>
      </c>
    </row>
    <row r="81" spans="1:10" x14ac:dyDescent="0.25">
      <c r="A81" s="36" t="s">
        <v>558</v>
      </c>
      <c r="B81" t="s">
        <v>1415</v>
      </c>
      <c r="H81">
        <v>103764</v>
      </c>
      <c r="I81" t="s">
        <v>1497</v>
      </c>
      <c r="J81" t="str">
        <f t="shared" si="1"/>
        <v>ia.assorted_string like '%103764-00032-12-2024%' or</v>
      </c>
    </row>
    <row r="82" spans="1:10" x14ac:dyDescent="0.25">
      <c r="A82" s="36" t="s">
        <v>564</v>
      </c>
      <c r="B82" t="s">
        <v>1415</v>
      </c>
      <c r="H82">
        <v>103764</v>
      </c>
      <c r="I82" t="s">
        <v>1498</v>
      </c>
      <c r="J82" t="str">
        <f t="shared" si="1"/>
        <v>ia.assorted_string like '%103764-00125-12-2024%' or</v>
      </c>
    </row>
    <row r="83" spans="1:10" x14ac:dyDescent="0.25">
      <c r="A83" s="36" t="s">
        <v>571</v>
      </c>
      <c r="B83" t="s">
        <v>1415</v>
      </c>
      <c r="H83">
        <v>103764</v>
      </c>
      <c r="I83" t="s">
        <v>1499</v>
      </c>
      <c r="J83" t="str">
        <f t="shared" si="1"/>
        <v>ia.assorted_string like '%103764-00143-12-2024%' or</v>
      </c>
    </row>
    <row r="84" spans="1:10" x14ac:dyDescent="0.25">
      <c r="A84" s="36" t="s">
        <v>578</v>
      </c>
      <c r="B84" t="s">
        <v>1415</v>
      </c>
      <c r="H84">
        <v>103764</v>
      </c>
      <c r="I84" t="s">
        <v>1500</v>
      </c>
      <c r="J84" t="str">
        <f t="shared" si="1"/>
        <v>ia.assorted_string like '%103764-00046-12-2024%' or</v>
      </c>
    </row>
    <row r="85" spans="1:10" x14ac:dyDescent="0.25">
      <c r="A85" s="36" t="s">
        <v>584</v>
      </c>
      <c r="B85" t="s">
        <v>1415</v>
      </c>
      <c r="H85">
        <v>103764</v>
      </c>
      <c r="I85" t="s">
        <v>1501</v>
      </c>
      <c r="J85" t="str">
        <f t="shared" si="1"/>
        <v>ia.assorted_string like '%103764-00057-12-2024%' or</v>
      </c>
    </row>
    <row r="86" spans="1:10" x14ac:dyDescent="0.25">
      <c r="A86" s="36" t="s">
        <v>590</v>
      </c>
      <c r="B86" t="s">
        <v>1415</v>
      </c>
      <c r="H86">
        <v>103764</v>
      </c>
      <c r="I86" t="s">
        <v>1502</v>
      </c>
      <c r="J86" t="str">
        <f t="shared" si="1"/>
        <v>ia.assorted_string like '%103764-00108-12-2024%' or</v>
      </c>
    </row>
    <row r="87" spans="1:10" x14ac:dyDescent="0.25">
      <c r="A87" s="36" t="s">
        <v>597</v>
      </c>
      <c r="B87" t="s">
        <v>1415</v>
      </c>
      <c r="H87">
        <v>103764</v>
      </c>
      <c r="I87" t="s">
        <v>1503</v>
      </c>
      <c r="J87" t="str">
        <f t="shared" si="1"/>
        <v>ia.assorted_string like '%103764-00010-12-2024%' or</v>
      </c>
    </row>
    <row r="88" spans="1:10" x14ac:dyDescent="0.25">
      <c r="A88" s="36" t="s">
        <v>604</v>
      </c>
      <c r="B88" t="s">
        <v>1415</v>
      </c>
      <c r="H88">
        <v>103764</v>
      </c>
      <c r="I88" t="s">
        <v>1504</v>
      </c>
      <c r="J88" t="str">
        <f t="shared" si="1"/>
        <v>ia.assorted_string like '%103764-00009-12-2024%' or</v>
      </c>
    </row>
    <row r="89" spans="1:10" x14ac:dyDescent="0.25">
      <c r="A89" s="36" t="s">
        <v>611</v>
      </c>
      <c r="B89" t="s">
        <v>1415</v>
      </c>
      <c r="H89">
        <v>103764</v>
      </c>
      <c r="I89" t="s">
        <v>1505</v>
      </c>
      <c r="J89" t="str">
        <f t="shared" si="1"/>
        <v>ia.assorted_string like '%103764-00012-12-2024%' or</v>
      </c>
    </row>
    <row r="90" spans="1:10" x14ac:dyDescent="0.25">
      <c r="A90" s="36" t="s">
        <v>617</v>
      </c>
      <c r="B90" t="s">
        <v>1415</v>
      </c>
      <c r="H90">
        <v>103764</v>
      </c>
      <c r="I90" t="s">
        <v>1506</v>
      </c>
      <c r="J90" t="str">
        <f t="shared" si="1"/>
        <v>ia.assorted_string like '%103764-00016-12-2024%' or</v>
      </c>
    </row>
    <row r="91" spans="1:10" x14ac:dyDescent="0.25">
      <c r="A91" s="36" t="s">
        <v>624</v>
      </c>
      <c r="B91" t="s">
        <v>1415</v>
      </c>
      <c r="H91">
        <v>103764</v>
      </c>
      <c r="I91" t="s">
        <v>1507</v>
      </c>
      <c r="J91" t="str">
        <f t="shared" si="1"/>
        <v>ia.assorted_string like '%103764-00136-12-2024%' or</v>
      </c>
    </row>
    <row r="92" spans="1:10" x14ac:dyDescent="0.25">
      <c r="A92" s="36" t="s">
        <v>631</v>
      </c>
      <c r="B92" t="s">
        <v>1415</v>
      </c>
      <c r="H92">
        <v>103764</v>
      </c>
      <c r="I92" t="s">
        <v>1508</v>
      </c>
      <c r="J92" t="str">
        <f t="shared" si="1"/>
        <v>ia.assorted_string like '%103764-00089-12-2024%' or</v>
      </c>
    </row>
    <row r="93" spans="1:10" x14ac:dyDescent="0.25">
      <c r="A93" s="36" t="s">
        <v>638</v>
      </c>
      <c r="B93" t="s">
        <v>1415</v>
      </c>
      <c r="H93">
        <v>103764</v>
      </c>
      <c r="I93" t="s">
        <v>1509</v>
      </c>
      <c r="J93" t="str">
        <f t="shared" si="1"/>
        <v>ia.assorted_string like '%103764-00031-12-2024%' or</v>
      </c>
    </row>
    <row r="94" spans="1:10" x14ac:dyDescent="0.25">
      <c r="A94" s="36" t="s">
        <v>644</v>
      </c>
      <c r="B94" t="s">
        <v>1415</v>
      </c>
      <c r="H94">
        <v>103764</v>
      </c>
      <c r="I94" t="s">
        <v>1510</v>
      </c>
      <c r="J94" t="str">
        <f t="shared" si="1"/>
        <v>ia.assorted_string like '%103764-00111-12-2024%' or</v>
      </c>
    </row>
    <row r="95" spans="1:10" x14ac:dyDescent="0.25">
      <c r="A95" s="36" t="s">
        <v>652</v>
      </c>
      <c r="B95" t="s">
        <v>1415</v>
      </c>
      <c r="H95">
        <v>103764</v>
      </c>
      <c r="I95" t="s">
        <v>1511</v>
      </c>
      <c r="J95" t="str">
        <f t="shared" si="1"/>
        <v>ia.assorted_string like '%103764-00105-12-2024%' or</v>
      </c>
    </row>
    <row r="96" spans="1:10" x14ac:dyDescent="0.25">
      <c r="A96" s="36" t="s">
        <v>660</v>
      </c>
      <c r="B96" t="s">
        <v>1415</v>
      </c>
      <c r="H96">
        <v>103764</v>
      </c>
      <c r="I96" t="s">
        <v>1512</v>
      </c>
      <c r="J96" t="str">
        <f t="shared" si="1"/>
        <v>ia.assorted_string like '%103764-00107-12-2024%' or</v>
      </c>
    </row>
    <row r="97" spans="1:10" x14ac:dyDescent="0.25">
      <c r="A97" s="36" t="s">
        <v>668</v>
      </c>
      <c r="B97" t="s">
        <v>1415</v>
      </c>
      <c r="H97">
        <v>103764</v>
      </c>
      <c r="I97" t="s">
        <v>1513</v>
      </c>
      <c r="J97" t="str">
        <f t="shared" si="1"/>
        <v>ia.assorted_string like '%103764-00150-12-2024%' or</v>
      </c>
    </row>
    <row r="98" spans="1:10" x14ac:dyDescent="0.25">
      <c r="A98" s="36" t="s">
        <v>676</v>
      </c>
      <c r="B98" t="s">
        <v>1415</v>
      </c>
      <c r="H98">
        <v>103764</v>
      </c>
      <c r="I98" t="s">
        <v>1514</v>
      </c>
      <c r="J98" t="str">
        <f t="shared" si="1"/>
        <v>ia.assorted_string like '%103764-00051-12-2024%' or</v>
      </c>
    </row>
    <row r="99" spans="1:10" x14ac:dyDescent="0.25">
      <c r="A99" s="36" t="s">
        <v>683</v>
      </c>
      <c r="B99" t="s">
        <v>1415</v>
      </c>
      <c r="H99">
        <v>103764</v>
      </c>
      <c r="I99" t="s">
        <v>1515</v>
      </c>
      <c r="J99" t="str">
        <f t="shared" si="1"/>
        <v>ia.assorted_string like '%103764-00006-12-2024%' or</v>
      </c>
    </row>
    <row r="100" spans="1:10" x14ac:dyDescent="0.25">
      <c r="A100" s="36" t="s">
        <v>690</v>
      </c>
      <c r="B100" t="s">
        <v>1415</v>
      </c>
      <c r="H100">
        <v>103764</v>
      </c>
      <c r="I100" t="s">
        <v>1516</v>
      </c>
      <c r="J100" t="str">
        <f t="shared" si="1"/>
        <v>ia.assorted_string like '%103764-00093-12-2024%' or</v>
      </c>
    </row>
    <row r="101" spans="1:10" x14ac:dyDescent="0.25">
      <c r="A101" s="36" t="s">
        <v>696</v>
      </c>
      <c r="B101" t="s">
        <v>1415</v>
      </c>
      <c r="H101">
        <v>103764</v>
      </c>
      <c r="I101" t="s">
        <v>1517</v>
      </c>
      <c r="J101" t="str">
        <f t="shared" si="1"/>
        <v>ia.assorted_string like '%103764-00158-12-2024%' or</v>
      </c>
    </row>
    <row r="102" spans="1:10" x14ac:dyDescent="0.25">
      <c r="A102" s="36" t="s">
        <v>705</v>
      </c>
      <c r="B102" t="s">
        <v>1415</v>
      </c>
      <c r="H102">
        <v>103764</v>
      </c>
      <c r="I102" t="s">
        <v>1422</v>
      </c>
      <c r="J102" t="str">
        <f t="shared" si="1"/>
        <v>ia.assorted_string like '%103764-00001-12-2024%' or</v>
      </c>
    </row>
    <row r="103" spans="1:10" x14ac:dyDescent="0.25">
      <c r="A103" s="36" t="s">
        <v>711</v>
      </c>
      <c r="B103" t="s">
        <v>1415</v>
      </c>
      <c r="H103">
        <v>103764</v>
      </c>
      <c r="I103" t="s">
        <v>1518</v>
      </c>
      <c r="J103" t="str">
        <f t="shared" si="1"/>
        <v>ia.assorted_string like '%103764-00049-12-2024%' or</v>
      </c>
    </row>
    <row r="104" spans="1:10" x14ac:dyDescent="0.25">
      <c r="A104" s="36" t="s">
        <v>718</v>
      </c>
      <c r="B104" t="s">
        <v>1415</v>
      </c>
      <c r="H104">
        <v>103764</v>
      </c>
      <c r="I104" t="s">
        <v>1423</v>
      </c>
      <c r="J104" t="str">
        <f t="shared" si="1"/>
        <v>ia.assorted_string like '%103764-00002-12-2024%' or</v>
      </c>
    </row>
    <row r="105" spans="1:10" x14ac:dyDescent="0.25">
      <c r="A105" s="36" t="s">
        <v>725</v>
      </c>
      <c r="B105" t="s">
        <v>1415</v>
      </c>
      <c r="H105">
        <v>103764</v>
      </c>
      <c r="I105" t="s">
        <v>1519</v>
      </c>
      <c r="J105" t="str">
        <f t="shared" si="1"/>
        <v>ia.assorted_string like '%103764-00070-12-2024%' or</v>
      </c>
    </row>
    <row r="106" spans="1:10" x14ac:dyDescent="0.25">
      <c r="A106" s="36" t="s">
        <v>732</v>
      </c>
      <c r="B106" t="s">
        <v>1415</v>
      </c>
      <c r="H106">
        <v>103764</v>
      </c>
      <c r="I106" t="s">
        <v>1520</v>
      </c>
      <c r="J106" t="str">
        <f t="shared" si="1"/>
        <v>ia.assorted_string like '%103764-00069-12-2024%' or</v>
      </c>
    </row>
    <row r="107" spans="1:10" x14ac:dyDescent="0.25">
      <c r="A107" s="36" t="s">
        <v>740</v>
      </c>
      <c r="B107" t="s">
        <v>1415</v>
      </c>
      <c r="H107">
        <v>103764</v>
      </c>
      <c r="I107" t="s">
        <v>1521</v>
      </c>
      <c r="J107" t="str">
        <f t="shared" si="1"/>
        <v>ia.assorted_string like '%103764-00054-12-2024%' or</v>
      </c>
    </row>
    <row r="108" spans="1:10" x14ac:dyDescent="0.25">
      <c r="A108" s="36" t="s">
        <v>748</v>
      </c>
      <c r="B108" t="s">
        <v>1415</v>
      </c>
      <c r="H108">
        <v>103764</v>
      </c>
      <c r="I108" t="s">
        <v>1522</v>
      </c>
      <c r="J108" t="str">
        <f t="shared" si="1"/>
        <v>ia.assorted_string like '%103764-00088-12-2024%' or</v>
      </c>
    </row>
    <row r="109" spans="1:10" x14ac:dyDescent="0.25">
      <c r="A109" s="36" t="s">
        <v>754</v>
      </c>
      <c r="B109" t="s">
        <v>1415</v>
      </c>
      <c r="H109">
        <v>103764</v>
      </c>
      <c r="I109" t="s">
        <v>1523</v>
      </c>
      <c r="J109" t="str">
        <f t="shared" si="1"/>
        <v>ia.assorted_string like '%103764-00090-12-2024%' or</v>
      </c>
    </row>
    <row r="110" spans="1:10" x14ac:dyDescent="0.25">
      <c r="A110" s="36" t="s">
        <v>762</v>
      </c>
      <c r="B110" t="s">
        <v>1415</v>
      </c>
      <c r="H110">
        <v>103764</v>
      </c>
      <c r="I110" t="s">
        <v>1524</v>
      </c>
      <c r="J110" t="str">
        <f t="shared" si="1"/>
        <v>ia.assorted_string like '%103764-00092-12-2024%' or</v>
      </c>
    </row>
    <row r="111" spans="1:10" x14ac:dyDescent="0.25">
      <c r="A111" s="36" t="s">
        <v>768</v>
      </c>
      <c r="B111" t="s">
        <v>1415</v>
      </c>
      <c r="H111">
        <v>103764</v>
      </c>
      <c r="I111" t="s">
        <v>1525</v>
      </c>
      <c r="J111" t="str">
        <f t="shared" si="1"/>
        <v>ia.assorted_string like '%103764-00017-12-2024%' or</v>
      </c>
    </row>
    <row r="112" spans="1:10" x14ac:dyDescent="0.25">
      <c r="A112" s="36" t="s">
        <v>776</v>
      </c>
      <c r="B112" t="s">
        <v>1415</v>
      </c>
      <c r="H112">
        <v>103764</v>
      </c>
      <c r="I112" t="s">
        <v>1526</v>
      </c>
      <c r="J112" t="str">
        <f t="shared" si="1"/>
        <v>ia.assorted_string like '%103764-00071-12-2024%' or</v>
      </c>
    </row>
    <row r="113" spans="1:10" x14ac:dyDescent="0.25">
      <c r="A113" s="36" t="s">
        <v>784</v>
      </c>
      <c r="B113" t="s">
        <v>1415</v>
      </c>
      <c r="H113">
        <v>103764</v>
      </c>
      <c r="I113" t="s">
        <v>1527</v>
      </c>
      <c r="J113" t="str">
        <f t="shared" si="1"/>
        <v>ia.assorted_string like '%103764-00058-12-2024%' or</v>
      </c>
    </row>
    <row r="114" spans="1:10" x14ac:dyDescent="0.25">
      <c r="A114" s="36" t="s">
        <v>790</v>
      </c>
      <c r="B114" t="s">
        <v>1415</v>
      </c>
      <c r="H114">
        <v>103764</v>
      </c>
      <c r="I114" t="s">
        <v>1528</v>
      </c>
      <c r="J114" t="str">
        <f t="shared" si="1"/>
        <v>ia.assorted_string like '%103764-00138-12-2024%' or</v>
      </c>
    </row>
    <row r="115" spans="1:10" x14ac:dyDescent="0.25">
      <c r="A115" s="36" t="s">
        <v>797</v>
      </c>
      <c r="B115" t="s">
        <v>1415</v>
      </c>
      <c r="H115">
        <v>103764</v>
      </c>
      <c r="I115" t="s">
        <v>1529</v>
      </c>
      <c r="J115" t="str">
        <f t="shared" si="1"/>
        <v>ia.assorted_string like '%103764-00080-12-2024%' or</v>
      </c>
    </row>
    <row r="116" spans="1:10" x14ac:dyDescent="0.25">
      <c r="A116" s="36" t="s">
        <v>804</v>
      </c>
      <c r="B116" t="s">
        <v>1415</v>
      </c>
      <c r="H116">
        <v>103764</v>
      </c>
      <c r="I116" t="s">
        <v>1530</v>
      </c>
      <c r="J116" t="str">
        <f t="shared" si="1"/>
        <v>ia.assorted_string like '%103764-00020-12-2024%' or</v>
      </c>
    </row>
    <row r="117" spans="1:10" x14ac:dyDescent="0.25">
      <c r="A117" s="36" t="s">
        <v>812</v>
      </c>
      <c r="B117" t="s">
        <v>1415</v>
      </c>
      <c r="H117">
        <v>103764</v>
      </c>
      <c r="I117" t="s">
        <v>1531</v>
      </c>
      <c r="J117" t="str">
        <f t="shared" si="1"/>
        <v>ia.assorted_string like '%103764-00140-12-2024%' or</v>
      </c>
    </row>
    <row r="118" spans="1:10" x14ac:dyDescent="0.25">
      <c r="A118" s="36" t="s">
        <v>818</v>
      </c>
      <c r="B118" t="s">
        <v>1415</v>
      </c>
      <c r="H118">
        <v>103764</v>
      </c>
      <c r="I118" t="s">
        <v>1532</v>
      </c>
      <c r="J118" t="str">
        <f t="shared" si="1"/>
        <v>ia.assorted_string like '%103764-00015-12-2024%' or</v>
      </c>
    </row>
    <row r="119" spans="1:10" x14ac:dyDescent="0.25">
      <c r="A119" s="36" t="s">
        <v>824</v>
      </c>
      <c r="B119" t="s">
        <v>1415</v>
      </c>
      <c r="H119">
        <v>103764</v>
      </c>
      <c r="I119" t="s">
        <v>1533</v>
      </c>
      <c r="J119" t="str">
        <f t="shared" si="1"/>
        <v>ia.assorted_string like '%103764-00026-12-2024%' or</v>
      </c>
    </row>
    <row r="120" spans="1:10" x14ac:dyDescent="0.25">
      <c r="A120" s="36" t="s">
        <v>831</v>
      </c>
      <c r="B120" t="s">
        <v>1415</v>
      </c>
      <c r="H120">
        <v>103764</v>
      </c>
      <c r="I120" t="s">
        <v>1534</v>
      </c>
      <c r="J120" t="str">
        <f t="shared" si="1"/>
        <v>ia.assorted_string like '%103764-00067-12-2024%' or</v>
      </c>
    </row>
    <row r="121" spans="1:10" x14ac:dyDescent="0.25">
      <c r="A121" s="36" t="s">
        <v>838</v>
      </c>
      <c r="B121" t="s">
        <v>1415</v>
      </c>
      <c r="H121">
        <v>103764</v>
      </c>
      <c r="I121" t="s">
        <v>1535</v>
      </c>
      <c r="J121" t="str">
        <f t="shared" si="1"/>
        <v>ia.assorted_string like '%103764-00085-12-2024%' or</v>
      </c>
    </row>
    <row r="122" spans="1:10" x14ac:dyDescent="0.25">
      <c r="A122" s="36" t="s">
        <v>845</v>
      </c>
      <c r="B122" t="s">
        <v>1415</v>
      </c>
      <c r="H122">
        <v>103764</v>
      </c>
      <c r="I122" t="s">
        <v>1536</v>
      </c>
      <c r="J122" t="str">
        <f t="shared" si="1"/>
        <v>ia.assorted_string like '%103764-00013-12-2024%' or</v>
      </c>
    </row>
    <row r="123" spans="1:10" x14ac:dyDescent="0.25">
      <c r="A123" s="36" t="s">
        <v>853</v>
      </c>
      <c r="B123" t="s">
        <v>1415</v>
      </c>
      <c r="H123">
        <v>103764</v>
      </c>
      <c r="I123" t="s">
        <v>1537</v>
      </c>
      <c r="J123" t="str">
        <f t="shared" si="1"/>
        <v>ia.assorted_string like '%103764-00084-12-2024%' or</v>
      </c>
    </row>
    <row r="124" spans="1:10" x14ac:dyDescent="0.25">
      <c r="A124" s="36" t="s">
        <v>861</v>
      </c>
      <c r="B124" t="s">
        <v>1415</v>
      </c>
      <c r="H124">
        <v>103764</v>
      </c>
      <c r="I124" t="s">
        <v>1538</v>
      </c>
      <c r="J124" t="str">
        <f t="shared" si="1"/>
        <v>ia.assorted_string like '%103764-00019-12-2024%' or</v>
      </c>
    </row>
    <row r="125" spans="1:10" x14ac:dyDescent="0.25">
      <c r="A125" s="36" t="s">
        <v>868</v>
      </c>
      <c r="B125" t="s">
        <v>1415</v>
      </c>
      <c r="H125">
        <v>103764</v>
      </c>
      <c r="I125" t="s">
        <v>1539</v>
      </c>
      <c r="J125" t="str">
        <f t="shared" si="1"/>
        <v>ia.assorted_string like '%103764-00018-12-2024%' or</v>
      </c>
    </row>
    <row r="126" spans="1:10" x14ac:dyDescent="0.25">
      <c r="A126" s="36" t="s">
        <v>876</v>
      </c>
      <c r="B126" t="s">
        <v>1415</v>
      </c>
      <c r="H126">
        <v>103764</v>
      </c>
      <c r="I126" t="s">
        <v>1427</v>
      </c>
      <c r="J126" t="str">
        <f t="shared" si="1"/>
        <v>ia.assorted_string like '%103764-00005-12-2024%' or</v>
      </c>
    </row>
    <row r="127" spans="1:10" x14ac:dyDescent="0.25">
      <c r="A127" s="36" t="s">
        <v>884</v>
      </c>
      <c r="B127" t="s">
        <v>1415</v>
      </c>
      <c r="H127">
        <v>103764</v>
      </c>
      <c r="I127" t="s">
        <v>1540</v>
      </c>
      <c r="J127" t="str">
        <f t="shared" si="1"/>
        <v>ia.assorted_string like '%103764-00128-12-2024%' or</v>
      </c>
    </row>
    <row r="128" spans="1:10" x14ac:dyDescent="0.25">
      <c r="A128" s="36" t="s">
        <v>891</v>
      </c>
      <c r="B128" t="s">
        <v>1415</v>
      </c>
      <c r="H128">
        <v>103764</v>
      </c>
      <c r="I128" t="s">
        <v>1541</v>
      </c>
      <c r="J128" t="str">
        <f t="shared" si="1"/>
        <v>ia.assorted_string like '%103764-00037-12-2024%' or</v>
      </c>
    </row>
    <row r="129" spans="1:10" x14ac:dyDescent="0.25">
      <c r="A129" s="36" t="s">
        <v>898</v>
      </c>
      <c r="B129" t="s">
        <v>1415</v>
      </c>
      <c r="H129">
        <v>103764</v>
      </c>
      <c r="I129" t="s">
        <v>1542</v>
      </c>
      <c r="J129" t="str">
        <f t="shared" si="1"/>
        <v>ia.assorted_string like '%103764-00038-12-2024%' or</v>
      </c>
    </row>
    <row r="130" spans="1:10" x14ac:dyDescent="0.25">
      <c r="A130" s="36" t="s">
        <v>905</v>
      </c>
      <c r="B130" t="s">
        <v>1415</v>
      </c>
      <c r="H130">
        <v>103764</v>
      </c>
      <c r="I130" t="s">
        <v>1543</v>
      </c>
      <c r="J130" t="str">
        <f t="shared" ref="J130:J161" si="2">"ia.assorted_string like '%"&amp;H130&amp;"-"&amp;I130&amp;B130&amp;"%' or"</f>
        <v>ia.assorted_string like '%103764-00029-12-2024%' or</v>
      </c>
    </row>
    <row r="131" spans="1:10" x14ac:dyDescent="0.25">
      <c r="A131" s="36" t="s">
        <v>913</v>
      </c>
      <c r="B131" t="s">
        <v>1415</v>
      </c>
      <c r="H131">
        <v>103764</v>
      </c>
      <c r="I131" t="s">
        <v>1425</v>
      </c>
      <c r="J131" t="str">
        <f t="shared" si="2"/>
        <v>ia.assorted_string like '%103764-00003-12-2024%' or</v>
      </c>
    </row>
    <row r="132" spans="1:10" x14ac:dyDescent="0.25">
      <c r="A132" s="36" t="s">
        <v>919</v>
      </c>
      <c r="B132" t="s">
        <v>1415</v>
      </c>
      <c r="H132">
        <v>103764</v>
      </c>
      <c r="I132" t="s">
        <v>1426</v>
      </c>
      <c r="J132" t="str">
        <f t="shared" si="2"/>
        <v>ia.assorted_string like '%103764-00004-12-2024%' or</v>
      </c>
    </row>
    <row r="133" spans="1:10" x14ac:dyDescent="0.25">
      <c r="A133" s="36" t="s">
        <v>927</v>
      </c>
      <c r="B133" t="s">
        <v>1415</v>
      </c>
      <c r="H133">
        <v>103764</v>
      </c>
      <c r="I133" t="s">
        <v>1544</v>
      </c>
      <c r="J133" t="str">
        <f t="shared" si="2"/>
        <v>ia.assorted_string like '%103764-00040-12-2024%' or</v>
      </c>
    </row>
    <row r="134" spans="1:10" x14ac:dyDescent="0.25">
      <c r="A134" s="36" t="s">
        <v>935</v>
      </c>
      <c r="B134" t="s">
        <v>1415</v>
      </c>
      <c r="H134">
        <v>104414</v>
      </c>
      <c r="I134" t="s">
        <v>1422</v>
      </c>
      <c r="J134" t="str">
        <f t="shared" si="2"/>
        <v>ia.assorted_string like '%104414-00001-12-2024%' or</v>
      </c>
    </row>
    <row r="135" spans="1:10" x14ac:dyDescent="0.25">
      <c r="A135" s="36" t="s">
        <v>941</v>
      </c>
      <c r="B135" t="s">
        <v>1415</v>
      </c>
      <c r="H135">
        <v>103764</v>
      </c>
      <c r="I135" t="s">
        <v>1545</v>
      </c>
      <c r="J135" t="str">
        <f t="shared" si="2"/>
        <v>ia.assorted_string like '%103764-00045-12-2024%' or</v>
      </c>
    </row>
    <row r="136" spans="1:10" x14ac:dyDescent="0.25">
      <c r="A136" s="36" t="s">
        <v>947</v>
      </c>
      <c r="B136" t="s">
        <v>1415</v>
      </c>
      <c r="H136">
        <v>103764</v>
      </c>
      <c r="I136" t="s">
        <v>1546</v>
      </c>
      <c r="J136" t="str">
        <f t="shared" si="2"/>
        <v>ia.assorted_string like '%103764-00007-12-2024%' or</v>
      </c>
    </row>
    <row r="137" spans="1:10" x14ac:dyDescent="0.25">
      <c r="A137" s="36" t="s">
        <v>954</v>
      </c>
      <c r="B137" t="s">
        <v>1415</v>
      </c>
      <c r="H137">
        <v>103764</v>
      </c>
      <c r="I137" t="s">
        <v>1547</v>
      </c>
      <c r="J137" t="str">
        <f t="shared" si="2"/>
        <v>ia.assorted_string like '%103764-00011-12-2024%' or</v>
      </c>
    </row>
    <row r="138" spans="1:10" x14ac:dyDescent="0.25">
      <c r="A138" s="36" t="s">
        <v>960</v>
      </c>
      <c r="B138" t="s">
        <v>1415</v>
      </c>
      <c r="H138">
        <v>103764</v>
      </c>
      <c r="I138" t="s">
        <v>1548</v>
      </c>
      <c r="J138" t="str">
        <f t="shared" si="2"/>
        <v>ia.assorted_string like '%103764-00053-12-2024%' or</v>
      </c>
    </row>
    <row r="139" spans="1:10" x14ac:dyDescent="0.25">
      <c r="A139" s="36" t="s">
        <v>966</v>
      </c>
      <c r="B139" t="s">
        <v>1415</v>
      </c>
      <c r="H139">
        <v>103764</v>
      </c>
      <c r="I139" t="s">
        <v>1549</v>
      </c>
      <c r="J139" t="str">
        <f t="shared" si="2"/>
        <v>ia.assorted_string like '%103764-00110-12-2024%' or</v>
      </c>
    </row>
    <row r="140" spans="1:10" x14ac:dyDescent="0.25">
      <c r="A140" s="36" t="s">
        <v>974</v>
      </c>
      <c r="B140" t="s">
        <v>1415</v>
      </c>
      <c r="H140">
        <v>103764</v>
      </c>
      <c r="I140" t="s">
        <v>1550</v>
      </c>
      <c r="J140" t="str">
        <f t="shared" si="2"/>
        <v>ia.assorted_string like '%103764-00112-12-2024%' or</v>
      </c>
    </row>
    <row r="141" spans="1:10" x14ac:dyDescent="0.25">
      <c r="A141" s="36" t="s">
        <v>981</v>
      </c>
      <c r="B141" t="s">
        <v>1415</v>
      </c>
      <c r="H141">
        <v>103764</v>
      </c>
      <c r="I141" t="s">
        <v>1551</v>
      </c>
      <c r="J141" t="str">
        <f t="shared" si="2"/>
        <v>ia.assorted_string like '%103764-00155-12-2024%' or</v>
      </c>
    </row>
    <row r="142" spans="1:10" x14ac:dyDescent="0.25">
      <c r="A142" s="36" t="s">
        <v>989</v>
      </c>
      <c r="B142" t="s">
        <v>1415</v>
      </c>
      <c r="H142">
        <v>103764</v>
      </c>
      <c r="I142" t="s">
        <v>1552</v>
      </c>
      <c r="J142" t="str">
        <f t="shared" si="2"/>
        <v>ia.assorted_string like '%103764-00056-12-2024%' or</v>
      </c>
    </row>
    <row r="143" spans="1:10" x14ac:dyDescent="0.25">
      <c r="A143" s="36" t="s">
        <v>996</v>
      </c>
      <c r="B143" t="s">
        <v>1415</v>
      </c>
      <c r="H143">
        <v>103764</v>
      </c>
      <c r="I143" t="s">
        <v>1553</v>
      </c>
      <c r="J143" t="str">
        <f t="shared" si="2"/>
        <v>ia.assorted_string like '%103764-00115-12-2024%' or</v>
      </c>
    </row>
    <row r="144" spans="1:10" x14ac:dyDescent="0.25">
      <c r="A144" s="36" t="s">
        <v>1003</v>
      </c>
      <c r="B144" t="s">
        <v>1415</v>
      </c>
      <c r="H144">
        <v>103764</v>
      </c>
      <c r="I144" t="s">
        <v>1554</v>
      </c>
      <c r="J144" t="str">
        <f t="shared" si="2"/>
        <v>ia.assorted_string like '%103764-00014-12-2024%' or</v>
      </c>
    </row>
    <row r="145" spans="1:10" x14ac:dyDescent="0.25">
      <c r="A145" s="36" t="s">
        <v>1010</v>
      </c>
      <c r="B145" t="s">
        <v>1415</v>
      </c>
      <c r="H145">
        <v>103764</v>
      </c>
      <c r="I145" t="s">
        <v>1555</v>
      </c>
      <c r="J145" t="str">
        <f t="shared" si="2"/>
        <v>ia.assorted_string like '%103764-00060-12-2024%' or</v>
      </c>
    </row>
    <row r="146" spans="1:10" x14ac:dyDescent="0.25">
      <c r="A146" s="36" t="s">
        <v>1018</v>
      </c>
      <c r="B146" t="s">
        <v>1415</v>
      </c>
      <c r="H146">
        <v>103764</v>
      </c>
      <c r="I146" t="s">
        <v>1556</v>
      </c>
      <c r="J146" t="str">
        <f t="shared" si="2"/>
        <v>ia.assorted_string like '%103764-00066-12-2024%' or</v>
      </c>
    </row>
    <row r="147" spans="1:10" x14ac:dyDescent="0.25">
      <c r="A147" s="36" t="s">
        <v>1025</v>
      </c>
      <c r="B147" t="s">
        <v>1415</v>
      </c>
      <c r="H147">
        <v>103764</v>
      </c>
      <c r="I147" t="s">
        <v>1557</v>
      </c>
      <c r="J147" t="str">
        <f t="shared" si="2"/>
        <v>ia.assorted_string like '%103764-00121-12-2024%' or</v>
      </c>
    </row>
    <row r="148" spans="1:10" x14ac:dyDescent="0.25">
      <c r="A148" s="36" t="s">
        <v>1031</v>
      </c>
      <c r="B148" t="s">
        <v>1415</v>
      </c>
      <c r="H148">
        <v>103764</v>
      </c>
      <c r="I148" t="s">
        <v>1558</v>
      </c>
      <c r="J148" t="str">
        <f t="shared" si="2"/>
        <v>ia.assorted_string like '%103764-00122-12-2024%' or</v>
      </c>
    </row>
    <row r="149" spans="1:10" x14ac:dyDescent="0.25">
      <c r="A149" s="36" t="s">
        <v>1039</v>
      </c>
      <c r="B149" t="s">
        <v>1415</v>
      </c>
      <c r="H149">
        <v>103764</v>
      </c>
      <c r="I149" t="s">
        <v>1559</v>
      </c>
      <c r="J149" t="str">
        <f t="shared" si="2"/>
        <v>ia.assorted_string like '%103764-00124-12-2024%' or</v>
      </c>
    </row>
    <row r="150" spans="1:10" x14ac:dyDescent="0.25">
      <c r="A150" s="36" t="s">
        <v>1047</v>
      </c>
      <c r="B150" t="s">
        <v>1415</v>
      </c>
      <c r="H150">
        <v>103764</v>
      </c>
      <c r="I150" t="s">
        <v>1560</v>
      </c>
      <c r="J150" t="str">
        <f t="shared" si="2"/>
        <v>ia.assorted_string like '%103764-00021-12-2024%' or</v>
      </c>
    </row>
    <row r="151" spans="1:10" x14ac:dyDescent="0.25">
      <c r="A151" s="36" t="s">
        <v>1054</v>
      </c>
      <c r="B151" t="s">
        <v>1415</v>
      </c>
      <c r="H151">
        <v>103764</v>
      </c>
      <c r="I151" t="s">
        <v>1561</v>
      </c>
      <c r="J151" t="str">
        <f t="shared" si="2"/>
        <v>ia.assorted_string like '%103764-00022-12-2024%' or</v>
      </c>
    </row>
    <row r="152" spans="1:10" x14ac:dyDescent="0.25">
      <c r="A152" s="36" t="s">
        <v>1062</v>
      </c>
      <c r="B152" t="s">
        <v>1415</v>
      </c>
      <c r="H152">
        <v>103764</v>
      </c>
      <c r="I152" t="s">
        <v>1562</v>
      </c>
      <c r="J152" t="str">
        <f t="shared" si="2"/>
        <v>ia.assorted_string like '%103764-00023-12-2024%' or</v>
      </c>
    </row>
    <row r="153" spans="1:10" x14ac:dyDescent="0.25">
      <c r="A153" s="36" t="s">
        <v>1070</v>
      </c>
      <c r="B153" t="s">
        <v>1415</v>
      </c>
      <c r="H153">
        <v>103764</v>
      </c>
      <c r="I153" t="s">
        <v>1563</v>
      </c>
      <c r="J153" t="str">
        <f t="shared" si="2"/>
        <v>ia.assorted_string like '%103764-00027-12-2024%' or</v>
      </c>
    </row>
    <row r="154" spans="1:10" x14ac:dyDescent="0.25">
      <c r="A154" s="36" t="s">
        <v>1076</v>
      </c>
      <c r="B154" t="s">
        <v>1415</v>
      </c>
      <c r="H154">
        <v>103764</v>
      </c>
      <c r="I154" t="s">
        <v>1564</v>
      </c>
      <c r="J154" t="str">
        <f t="shared" si="2"/>
        <v>ia.assorted_string like '%103764-00068-12-2024%' or</v>
      </c>
    </row>
    <row r="155" spans="1:10" x14ac:dyDescent="0.25">
      <c r="A155" s="36" t="s">
        <v>1083</v>
      </c>
      <c r="B155" t="s">
        <v>1415</v>
      </c>
      <c r="H155">
        <v>103764</v>
      </c>
      <c r="I155" t="s">
        <v>1565</v>
      </c>
      <c r="J155" t="str">
        <f t="shared" si="2"/>
        <v>ia.assorted_string like '%103764-00130-12-2024%' or</v>
      </c>
    </row>
    <row r="156" spans="1:10" x14ac:dyDescent="0.25">
      <c r="A156" s="36" t="s">
        <v>1090</v>
      </c>
      <c r="B156" t="s">
        <v>1415</v>
      </c>
      <c r="H156">
        <v>103764</v>
      </c>
      <c r="I156" t="s">
        <v>1566</v>
      </c>
      <c r="J156" t="str">
        <f t="shared" si="2"/>
        <v>ia.assorted_string like '%103764-00147-12-2024%' or</v>
      </c>
    </row>
    <row r="157" spans="1:10" x14ac:dyDescent="0.25">
      <c r="A157" s="36" t="s">
        <v>1097</v>
      </c>
      <c r="B157" t="s">
        <v>1416</v>
      </c>
      <c r="H157">
        <v>102121</v>
      </c>
      <c r="I157" t="s">
        <v>1425</v>
      </c>
      <c r="J157" t="str">
        <f t="shared" si="2"/>
        <v>ia.assorted_string like '%102121-00003-11-2024%' or</v>
      </c>
    </row>
    <row r="158" spans="1:10" x14ac:dyDescent="0.25">
      <c r="A158" s="36" t="s">
        <v>1105</v>
      </c>
      <c r="B158" t="s">
        <v>1417</v>
      </c>
      <c r="H158">
        <v>100245</v>
      </c>
      <c r="I158" t="s">
        <v>1567</v>
      </c>
      <c r="J158" t="str">
        <f t="shared" si="2"/>
        <v>ia.assorted_string like '%100245-00028-10-2024%' or</v>
      </c>
    </row>
    <row r="159" spans="1:10" x14ac:dyDescent="0.25">
      <c r="A159" s="36" t="s">
        <v>1111</v>
      </c>
      <c r="B159" t="s">
        <v>1418</v>
      </c>
      <c r="H159">
        <v>95230</v>
      </c>
      <c r="I159" t="s">
        <v>1488</v>
      </c>
      <c r="J159" t="str">
        <f t="shared" si="2"/>
        <v>ia.assorted_string like '%95230-00030-08-2024%' or</v>
      </c>
    </row>
    <row r="160" spans="1:10" x14ac:dyDescent="0.25">
      <c r="A160" s="40" t="s">
        <v>1117</v>
      </c>
      <c r="B160" t="s">
        <v>1419</v>
      </c>
      <c r="H160">
        <v>93454</v>
      </c>
      <c r="I160" t="s">
        <v>1425</v>
      </c>
      <c r="J160" t="str">
        <f t="shared" si="2"/>
        <v>ia.assorted_string like '%93454-00003-07-2024%' or</v>
      </c>
    </row>
    <row r="161" spans="1:10" x14ac:dyDescent="0.25">
      <c r="A161" s="36" t="s">
        <v>1123</v>
      </c>
      <c r="B161" t="s">
        <v>1420</v>
      </c>
      <c r="H161">
        <v>86646</v>
      </c>
      <c r="I161" t="s">
        <v>1495</v>
      </c>
      <c r="J161" t="str">
        <f t="shared" si="2"/>
        <v>ia.assorted_string like '%86646-00095-04-2024%' or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1BD9-8E7D-48AD-A84B-6DE626A2BE46}">
  <dimension ref="A1:C162"/>
  <sheetViews>
    <sheetView workbookViewId="0">
      <selection activeCell="B7" sqref="B7"/>
    </sheetView>
  </sheetViews>
  <sheetFormatPr defaultColWidth="7.85546875" defaultRowHeight="15" x14ac:dyDescent="0.25"/>
  <cols>
    <col min="1" max="1" width="4" bestFit="1" customWidth="1"/>
    <col min="2" max="2" width="42.7109375" bestFit="1" customWidth="1"/>
    <col min="3" max="3" width="15" bestFit="1" customWidth="1"/>
  </cols>
  <sheetData>
    <row r="1" spans="1:3" s="50" customFormat="1" ht="12" x14ac:dyDescent="0.2">
      <c r="A1" s="50" t="s">
        <v>1571</v>
      </c>
      <c r="B1" s="50" t="s">
        <v>1572</v>
      </c>
      <c r="C1" s="50" t="s">
        <v>1573</v>
      </c>
    </row>
    <row r="2" spans="1:3" x14ac:dyDescent="0.25">
      <c r="A2">
        <v>1</v>
      </c>
      <c r="B2" t="s">
        <v>1123</v>
      </c>
      <c r="C2" t="s">
        <v>1574</v>
      </c>
    </row>
    <row r="3" spans="1:3" x14ac:dyDescent="0.25">
      <c r="A3">
        <v>2</v>
      </c>
      <c r="B3" t="s">
        <v>1111</v>
      </c>
      <c r="C3" t="s">
        <v>1575</v>
      </c>
    </row>
    <row r="4" spans="1:3" x14ac:dyDescent="0.25">
      <c r="A4">
        <v>3</v>
      </c>
      <c r="B4" t="s">
        <v>1105</v>
      </c>
      <c r="C4" t="s">
        <v>1576</v>
      </c>
    </row>
    <row r="5" spans="1:3" x14ac:dyDescent="0.25">
      <c r="A5">
        <v>4</v>
      </c>
      <c r="B5" t="s">
        <v>1117</v>
      </c>
      <c r="C5" t="s">
        <v>1577</v>
      </c>
    </row>
    <row r="6" spans="1:3" x14ac:dyDescent="0.25">
      <c r="A6">
        <v>5</v>
      </c>
      <c r="B6" t="s">
        <v>151</v>
      </c>
      <c r="C6" t="s">
        <v>1578</v>
      </c>
    </row>
    <row r="7" spans="1:3" x14ac:dyDescent="0.25">
      <c r="A7">
        <v>6</v>
      </c>
      <c r="B7" t="s">
        <v>157</v>
      </c>
      <c r="C7" t="s">
        <v>1579</v>
      </c>
    </row>
    <row r="8" spans="1:3" x14ac:dyDescent="0.25">
      <c r="A8">
        <v>7</v>
      </c>
      <c r="B8" t="s">
        <v>39</v>
      </c>
      <c r="C8" t="s">
        <v>1580</v>
      </c>
    </row>
    <row r="9" spans="1:3" x14ac:dyDescent="0.25">
      <c r="A9">
        <v>8</v>
      </c>
      <c r="B9" t="s">
        <v>45</v>
      </c>
      <c r="C9" t="s">
        <v>1581</v>
      </c>
    </row>
    <row r="10" spans="1:3" x14ac:dyDescent="0.25">
      <c r="A10">
        <v>9</v>
      </c>
      <c r="B10" t="s">
        <v>51</v>
      </c>
      <c r="C10" t="s">
        <v>1582</v>
      </c>
    </row>
    <row r="11" spans="1:3" x14ac:dyDescent="0.25">
      <c r="A11">
        <v>10</v>
      </c>
      <c r="B11" t="s">
        <v>57</v>
      </c>
      <c r="C11" t="s">
        <v>1583</v>
      </c>
    </row>
    <row r="12" spans="1:3" x14ac:dyDescent="0.25">
      <c r="A12">
        <v>11</v>
      </c>
      <c r="B12" t="s">
        <v>63</v>
      </c>
      <c r="C12" t="s">
        <v>1584</v>
      </c>
    </row>
    <row r="13" spans="1:3" x14ac:dyDescent="0.25">
      <c r="A13">
        <v>12</v>
      </c>
      <c r="B13" t="s">
        <v>797</v>
      </c>
      <c r="C13" t="s">
        <v>1585</v>
      </c>
    </row>
    <row r="14" spans="1:3" x14ac:dyDescent="0.25">
      <c r="A14">
        <v>13</v>
      </c>
      <c r="B14" t="s">
        <v>293</v>
      </c>
      <c r="C14" t="s">
        <v>1586</v>
      </c>
    </row>
    <row r="15" spans="1:3" x14ac:dyDescent="0.25">
      <c r="A15">
        <v>14</v>
      </c>
      <c r="B15" t="s">
        <v>212</v>
      </c>
      <c r="C15" t="s">
        <v>1587</v>
      </c>
    </row>
    <row r="16" spans="1:3" x14ac:dyDescent="0.25">
      <c r="A16">
        <v>15</v>
      </c>
      <c r="B16" t="s">
        <v>234</v>
      </c>
      <c r="C16" t="s">
        <v>1588</v>
      </c>
    </row>
    <row r="17" spans="1:3" x14ac:dyDescent="0.25">
      <c r="A17">
        <v>16</v>
      </c>
      <c r="B17" t="s">
        <v>853</v>
      </c>
      <c r="C17" t="s">
        <v>1589</v>
      </c>
    </row>
    <row r="18" spans="1:3" x14ac:dyDescent="0.25">
      <c r="A18">
        <v>17</v>
      </c>
      <c r="B18" t="s">
        <v>838</v>
      </c>
      <c r="C18" t="s">
        <v>1590</v>
      </c>
    </row>
    <row r="19" spans="1:3" x14ac:dyDescent="0.25">
      <c r="A19">
        <v>18</v>
      </c>
      <c r="B19" t="s">
        <v>273</v>
      </c>
      <c r="C19" t="s">
        <v>1591</v>
      </c>
    </row>
    <row r="20" spans="1:3" x14ac:dyDescent="0.25">
      <c r="A20">
        <v>19</v>
      </c>
      <c r="B20" t="s">
        <v>69</v>
      </c>
      <c r="C20" t="s">
        <v>1592</v>
      </c>
    </row>
    <row r="21" spans="1:3" x14ac:dyDescent="0.25">
      <c r="A21">
        <v>20</v>
      </c>
      <c r="B21" t="s">
        <v>631</v>
      </c>
      <c r="C21" t="s">
        <v>1593</v>
      </c>
    </row>
    <row r="22" spans="1:3" x14ac:dyDescent="0.25">
      <c r="A22">
        <v>21</v>
      </c>
      <c r="B22" t="s">
        <v>754</v>
      </c>
      <c r="C22" t="s">
        <v>1594</v>
      </c>
    </row>
    <row r="23" spans="1:3" x14ac:dyDescent="0.25">
      <c r="A23">
        <v>22</v>
      </c>
      <c r="B23" t="s">
        <v>348</v>
      </c>
      <c r="C23" t="s">
        <v>1595</v>
      </c>
    </row>
    <row r="24" spans="1:3" x14ac:dyDescent="0.25">
      <c r="A24">
        <v>23</v>
      </c>
      <c r="B24" t="s">
        <v>690</v>
      </c>
      <c r="C24" t="s">
        <v>1596</v>
      </c>
    </row>
    <row r="25" spans="1:3" x14ac:dyDescent="0.25">
      <c r="A25">
        <v>24</v>
      </c>
      <c r="B25" t="s">
        <v>31</v>
      </c>
      <c r="C25" t="s">
        <v>1597</v>
      </c>
    </row>
    <row r="26" spans="1:3" x14ac:dyDescent="0.25">
      <c r="A26">
        <v>25</v>
      </c>
      <c r="B26" t="s">
        <v>506</v>
      </c>
      <c r="C26" t="s">
        <v>1598</v>
      </c>
    </row>
    <row r="27" spans="1:3" x14ac:dyDescent="0.25">
      <c r="A27">
        <v>26</v>
      </c>
      <c r="B27" t="s">
        <v>355</v>
      </c>
      <c r="C27" t="s">
        <v>1599</v>
      </c>
    </row>
    <row r="28" spans="1:3" x14ac:dyDescent="0.25">
      <c r="A28">
        <v>27</v>
      </c>
      <c r="B28" t="s">
        <v>123</v>
      </c>
      <c r="C28" t="s">
        <v>1600</v>
      </c>
    </row>
    <row r="29" spans="1:3" x14ac:dyDescent="0.25">
      <c r="A29">
        <v>28</v>
      </c>
      <c r="B29" t="s">
        <v>367</v>
      </c>
      <c r="C29" t="s">
        <v>1601</v>
      </c>
    </row>
    <row r="30" spans="1:3" x14ac:dyDescent="0.25">
      <c r="A30">
        <v>29</v>
      </c>
      <c r="B30" t="s">
        <v>373</v>
      </c>
      <c r="C30" t="s">
        <v>1602</v>
      </c>
    </row>
    <row r="31" spans="1:3" x14ac:dyDescent="0.25">
      <c r="A31">
        <v>30</v>
      </c>
      <c r="B31" t="s">
        <v>954</v>
      </c>
      <c r="C31" t="s">
        <v>1603</v>
      </c>
    </row>
    <row r="32" spans="1:3" x14ac:dyDescent="0.25">
      <c r="A32">
        <v>31</v>
      </c>
      <c r="B32" t="s">
        <v>1003</v>
      </c>
      <c r="C32" t="s">
        <v>1604</v>
      </c>
    </row>
    <row r="33" spans="1:3" x14ac:dyDescent="0.25">
      <c r="A33">
        <v>32</v>
      </c>
      <c r="B33" t="s">
        <v>868</v>
      </c>
      <c r="C33" t="s">
        <v>1605</v>
      </c>
    </row>
    <row r="34" spans="1:3" x14ac:dyDescent="0.25">
      <c r="A34">
        <v>33</v>
      </c>
      <c r="B34" t="s">
        <v>1047</v>
      </c>
      <c r="C34" t="s">
        <v>1606</v>
      </c>
    </row>
    <row r="35" spans="1:3" x14ac:dyDescent="0.25">
      <c r="A35">
        <v>34</v>
      </c>
      <c r="B35" t="s">
        <v>400</v>
      </c>
      <c r="C35" t="s">
        <v>1607</v>
      </c>
    </row>
    <row r="36" spans="1:3" x14ac:dyDescent="0.25">
      <c r="A36">
        <v>35</v>
      </c>
      <c r="B36" t="s">
        <v>898</v>
      </c>
      <c r="C36" t="s">
        <v>1608</v>
      </c>
    </row>
    <row r="37" spans="1:3" x14ac:dyDescent="0.25">
      <c r="A37">
        <v>36</v>
      </c>
      <c r="B37" t="s">
        <v>219</v>
      </c>
      <c r="C37" t="s">
        <v>1609</v>
      </c>
    </row>
    <row r="38" spans="1:3" x14ac:dyDescent="0.25">
      <c r="A38">
        <v>37</v>
      </c>
      <c r="B38" t="s">
        <v>941</v>
      </c>
      <c r="C38" t="s">
        <v>1610</v>
      </c>
    </row>
    <row r="39" spans="1:3" x14ac:dyDescent="0.25">
      <c r="A39">
        <v>38</v>
      </c>
      <c r="B39" t="s">
        <v>428</v>
      </c>
      <c r="C39" t="s">
        <v>1611</v>
      </c>
    </row>
    <row r="40" spans="1:3" x14ac:dyDescent="0.25">
      <c r="A40">
        <v>39</v>
      </c>
      <c r="B40" t="s">
        <v>334</v>
      </c>
      <c r="C40" t="s">
        <v>1612</v>
      </c>
    </row>
    <row r="41" spans="1:3" x14ac:dyDescent="0.25">
      <c r="A41">
        <v>40</v>
      </c>
      <c r="B41" t="s">
        <v>435</v>
      </c>
      <c r="C41" t="s">
        <v>1613</v>
      </c>
    </row>
    <row r="42" spans="1:3" x14ac:dyDescent="0.25">
      <c r="A42">
        <v>41</v>
      </c>
      <c r="B42" t="s">
        <v>1076</v>
      </c>
      <c r="C42" t="s">
        <v>1614</v>
      </c>
    </row>
    <row r="43" spans="1:3" x14ac:dyDescent="0.25">
      <c r="A43">
        <v>42</v>
      </c>
      <c r="B43" t="s">
        <v>340</v>
      </c>
      <c r="C43" t="s">
        <v>1615</v>
      </c>
    </row>
    <row r="44" spans="1:3" x14ac:dyDescent="0.25">
      <c r="A44">
        <v>43</v>
      </c>
      <c r="B44" t="s">
        <v>543</v>
      </c>
      <c r="C44" t="s">
        <v>1616</v>
      </c>
    </row>
    <row r="45" spans="1:3" x14ac:dyDescent="0.25">
      <c r="A45">
        <v>44</v>
      </c>
      <c r="B45" t="s">
        <v>361</v>
      </c>
      <c r="C45" t="s">
        <v>1617</v>
      </c>
    </row>
    <row r="46" spans="1:3" x14ac:dyDescent="0.25">
      <c r="A46">
        <v>45</v>
      </c>
      <c r="B46" t="s">
        <v>3</v>
      </c>
      <c r="C46" t="s">
        <v>1618</v>
      </c>
    </row>
    <row r="47" spans="1:3" x14ac:dyDescent="0.25">
      <c r="A47">
        <v>46</v>
      </c>
      <c r="B47" t="s">
        <v>676</v>
      </c>
      <c r="C47" t="s">
        <v>1619</v>
      </c>
    </row>
    <row r="48" spans="1:3" x14ac:dyDescent="0.25">
      <c r="A48">
        <v>47</v>
      </c>
      <c r="B48" t="s">
        <v>456</v>
      </c>
      <c r="C48" t="s">
        <v>1620</v>
      </c>
    </row>
    <row r="49" spans="1:3" x14ac:dyDescent="0.25">
      <c r="A49">
        <v>48</v>
      </c>
      <c r="B49" t="s">
        <v>85</v>
      </c>
      <c r="C49" t="s">
        <v>1621</v>
      </c>
    </row>
    <row r="50" spans="1:3" x14ac:dyDescent="0.25">
      <c r="A50">
        <v>49</v>
      </c>
      <c r="B50" t="s">
        <v>748</v>
      </c>
      <c r="C50" t="s">
        <v>1622</v>
      </c>
    </row>
    <row r="51" spans="1:3" x14ac:dyDescent="0.25">
      <c r="A51">
        <v>50</v>
      </c>
      <c r="B51" t="s">
        <v>762</v>
      </c>
      <c r="C51" t="s">
        <v>1623</v>
      </c>
    </row>
    <row r="52" spans="1:3" x14ac:dyDescent="0.25">
      <c r="A52">
        <v>51</v>
      </c>
      <c r="B52" t="s">
        <v>705</v>
      </c>
      <c r="C52" t="s">
        <v>1624</v>
      </c>
    </row>
    <row r="53" spans="1:3" x14ac:dyDescent="0.25">
      <c r="A53">
        <v>52</v>
      </c>
      <c r="B53" t="s">
        <v>718</v>
      </c>
      <c r="C53" t="s">
        <v>1625</v>
      </c>
    </row>
    <row r="54" spans="1:3" x14ac:dyDescent="0.25">
      <c r="A54">
        <v>53</v>
      </c>
      <c r="B54" t="s">
        <v>913</v>
      </c>
      <c r="C54" t="s">
        <v>1626</v>
      </c>
    </row>
    <row r="55" spans="1:3" x14ac:dyDescent="0.25">
      <c r="A55">
        <v>54</v>
      </c>
      <c r="B55" t="s">
        <v>919</v>
      </c>
      <c r="C55" t="s">
        <v>1627</v>
      </c>
    </row>
    <row r="56" spans="1:3" x14ac:dyDescent="0.25">
      <c r="A56">
        <v>55</v>
      </c>
      <c r="B56" t="s">
        <v>876</v>
      </c>
      <c r="C56" t="s">
        <v>1628</v>
      </c>
    </row>
    <row r="57" spans="1:3" x14ac:dyDescent="0.25">
      <c r="A57">
        <v>56</v>
      </c>
      <c r="B57" t="s">
        <v>683</v>
      </c>
      <c r="C57" t="s">
        <v>1629</v>
      </c>
    </row>
    <row r="58" spans="1:3" x14ac:dyDescent="0.25">
      <c r="A58">
        <v>57</v>
      </c>
      <c r="B58" t="s">
        <v>947</v>
      </c>
      <c r="C58" t="s">
        <v>1630</v>
      </c>
    </row>
    <row r="59" spans="1:3" x14ac:dyDescent="0.25">
      <c r="A59">
        <v>58</v>
      </c>
      <c r="B59" t="s">
        <v>604</v>
      </c>
      <c r="C59" t="s">
        <v>1631</v>
      </c>
    </row>
    <row r="60" spans="1:3" x14ac:dyDescent="0.25">
      <c r="A60">
        <v>59</v>
      </c>
      <c r="B60" t="s">
        <v>597</v>
      </c>
      <c r="C60" t="s">
        <v>1632</v>
      </c>
    </row>
    <row r="61" spans="1:3" x14ac:dyDescent="0.25">
      <c r="A61">
        <v>60</v>
      </c>
      <c r="B61" t="s">
        <v>611</v>
      </c>
      <c r="C61" t="s">
        <v>1633</v>
      </c>
    </row>
    <row r="62" spans="1:3" x14ac:dyDescent="0.25">
      <c r="A62">
        <v>61</v>
      </c>
      <c r="B62" t="s">
        <v>845</v>
      </c>
      <c r="C62" t="s">
        <v>1634</v>
      </c>
    </row>
    <row r="63" spans="1:3" x14ac:dyDescent="0.25">
      <c r="A63">
        <v>62</v>
      </c>
      <c r="B63" t="s">
        <v>818</v>
      </c>
      <c r="C63" t="s">
        <v>1635</v>
      </c>
    </row>
    <row r="64" spans="1:3" x14ac:dyDescent="0.25">
      <c r="A64">
        <v>63</v>
      </c>
      <c r="B64" t="s">
        <v>617</v>
      </c>
      <c r="C64" t="s">
        <v>1636</v>
      </c>
    </row>
    <row r="65" spans="1:3" x14ac:dyDescent="0.25">
      <c r="A65">
        <v>64</v>
      </c>
      <c r="B65" t="s">
        <v>768</v>
      </c>
      <c r="C65" t="s">
        <v>1637</v>
      </c>
    </row>
    <row r="66" spans="1:3" x14ac:dyDescent="0.25">
      <c r="A66">
        <v>65</v>
      </c>
      <c r="B66" t="s">
        <v>861</v>
      </c>
      <c r="C66" t="s">
        <v>1638</v>
      </c>
    </row>
    <row r="67" spans="1:3" x14ac:dyDescent="0.25">
      <c r="A67">
        <v>66</v>
      </c>
      <c r="B67" t="s">
        <v>804</v>
      </c>
      <c r="C67" t="s">
        <v>1639</v>
      </c>
    </row>
    <row r="68" spans="1:3" x14ac:dyDescent="0.25">
      <c r="A68">
        <v>67</v>
      </c>
      <c r="B68" t="s">
        <v>1054</v>
      </c>
      <c r="C68" t="s">
        <v>1640</v>
      </c>
    </row>
    <row r="69" spans="1:3" x14ac:dyDescent="0.25">
      <c r="A69">
        <v>68</v>
      </c>
      <c r="B69" t="s">
        <v>1062</v>
      </c>
      <c r="C69" t="s">
        <v>1641</v>
      </c>
    </row>
    <row r="70" spans="1:3" x14ac:dyDescent="0.25">
      <c r="A70">
        <v>69</v>
      </c>
      <c r="B70" t="s">
        <v>483</v>
      </c>
      <c r="C70" t="s">
        <v>1642</v>
      </c>
    </row>
    <row r="71" spans="1:3" x14ac:dyDescent="0.25">
      <c r="A71">
        <v>70</v>
      </c>
      <c r="B71" t="s">
        <v>824</v>
      </c>
      <c r="C71" t="s">
        <v>1643</v>
      </c>
    </row>
    <row r="72" spans="1:3" x14ac:dyDescent="0.25">
      <c r="A72">
        <v>71</v>
      </c>
      <c r="B72" t="s">
        <v>1070</v>
      </c>
      <c r="C72" t="s">
        <v>1644</v>
      </c>
    </row>
    <row r="73" spans="1:3" x14ac:dyDescent="0.25">
      <c r="A73">
        <v>72</v>
      </c>
      <c r="B73" t="s">
        <v>905</v>
      </c>
      <c r="C73" t="s">
        <v>1645</v>
      </c>
    </row>
    <row r="74" spans="1:3" x14ac:dyDescent="0.25">
      <c r="A74">
        <v>73</v>
      </c>
      <c r="B74" t="s">
        <v>499</v>
      </c>
      <c r="C74" t="s">
        <v>1646</v>
      </c>
    </row>
    <row r="75" spans="1:3" x14ac:dyDescent="0.25">
      <c r="A75">
        <v>74</v>
      </c>
      <c r="B75" t="s">
        <v>638</v>
      </c>
      <c r="C75" t="s">
        <v>1647</v>
      </c>
    </row>
    <row r="76" spans="1:3" x14ac:dyDescent="0.25">
      <c r="A76">
        <v>75</v>
      </c>
      <c r="B76" t="s">
        <v>558</v>
      </c>
      <c r="C76" t="s">
        <v>1648</v>
      </c>
    </row>
    <row r="77" spans="1:3" x14ac:dyDescent="0.25">
      <c r="A77">
        <v>76</v>
      </c>
      <c r="B77" t="s">
        <v>462</v>
      </c>
      <c r="C77" t="s">
        <v>1649</v>
      </c>
    </row>
    <row r="78" spans="1:3" x14ac:dyDescent="0.25">
      <c r="A78">
        <v>77</v>
      </c>
      <c r="B78" t="s">
        <v>407</v>
      </c>
      <c r="C78" t="s">
        <v>1650</v>
      </c>
    </row>
    <row r="79" spans="1:3" x14ac:dyDescent="0.25">
      <c r="A79">
        <v>78</v>
      </c>
      <c r="B79" t="s">
        <v>891</v>
      </c>
      <c r="C79" t="s">
        <v>1651</v>
      </c>
    </row>
    <row r="80" spans="1:3" x14ac:dyDescent="0.25">
      <c r="A80">
        <v>79</v>
      </c>
      <c r="B80" t="s">
        <v>315</v>
      </c>
      <c r="C80" t="s">
        <v>1652</v>
      </c>
    </row>
    <row r="81" spans="1:3" x14ac:dyDescent="0.25">
      <c r="A81">
        <v>80</v>
      </c>
      <c r="B81" t="s">
        <v>927</v>
      </c>
      <c r="C81" t="s">
        <v>1653</v>
      </c>
    </row>
    <row r="82" spans="1:3" x14ac:dyDescent="0.25">
      <c r="A82">
        <v>81</v>
      </c>
      <c r="B82" t="s">
        <v>301</v>
      </c>
      <c r="C82" t="s">
        <v>1654</v>
      </c>
    </row>
    <row r="83" spans="1:3" x14ac:dyDescent="0.25">
      <c r="A83">
        <v>82</v>
      </c>
      <c r="B83" t="s">
        <v>414</v>
      </c>
      <c r="C83" t="s">
        <v>1655</v>
      </c>
    </row>
    <row r="84" spans="1:3" x14ac:dyDescent="0.25">
      <c r="A84">
        <v>83</v>
      </c>
      <c r="B84" t="s">
        <v>578</v>
      </c>
      <c r="C84" t="s">
        <v>1656</v>
      </c>
    </row>
    <row r="85" spans="1:3" x14ac:dyDescent="0.25">
      <c r="A85">
        <v>84</v>
      </c>
      <c r="B85" t="s">
        <v>421</v>
      </c>
      <c r="C85" t="s">
        <v>1657</v>
      </c>
    </row>
    <row r="86" spans="1:3" x14ac:dyDescent="0.25">
      <c r="A86">
        <v>85</v>
      </c>
      <c r="B86" t="s">
        <v>711</v>
      </c>
      <c r="C86" t="s">
        <v>1658</v>
      </c>
    </row>
    <row r="87" spans="1:3" x14ac:dyDescent="0.25">
      <c r="A87">
        <v>86</v>
      </c>
      <c r="B87" t="s">
        <v>519</v>
      </c>
      <c r="C87" t="s">
        <v>1659</v>
      </c>
    </row>
    <row r="88" spans="1:3" x14ac:dyDescent="0.25">
      <c r="A88">
        <v>87</v>
      </c>
      <c r="B88" t="s">
        <v>551</v>
      </c>
      <c r="C88" t="s">
        <v>1660</v>
      </c>
    </row>
    <row r="89" spans="1:3" x14ac:dyDescent="0.25">
      <c r="A89">
        <v>88</v>
      </c>
      <c r="B89" t="s">
        <v>960</v>
      </c>
      <c r="C89" t="s">
        <v>1661</v>
      </c>
    </row>
    <row r="90" spans="1:3" x14ac:dyDescent="0.25">
      <c r="A90">
        <v>89</v>
      </c>
      <c r="B90" t="s">
        <v>740</v>
      </c>
      <c r="C90" t="s">
        <v>1662</v>
      </c>
    </row>
    <row r="91" spans="1:3" x14ac:dyDescent="0.25">
      <c r="A91">
        <v>90</v>
      </c>
      <c r="B91" t="s">
        <v>989</v>
      </c>
      <c r="C91" t="s">
        <v>1663</v>
      </c>
    </row>
    <row r="92" spans="1:3" x14ac:dyDescent="0.25">
      <c r="A92">
        <v>91</v>
      </c>
      <c r="B92" t="s">
        <v>584</v>
      </c>
      <c r="C92" t="s">
        <v>1664</v>
      </c>
    </row>
    <row r="93" spans="1:3" x14ac:dyDescent="0.25">
      <c r="A93">
        <v>92</v>
      </c>
      <c r="B93" t="s">
        <v>784</v>
      </c>
      <c r="C93" t="s">
        <v>1665</v>
      </c>
    </row>
    <row r="94" spans="1:3" x14ac:dyDescent="0.25">
      <c r="A94">
        <v>93</v>
      </c>
      <c r="B94" t="s">
        <v>93</v>
      </c>
      <c r="C94" t="s">
        <v>1666</v>
      </c>
    </row>
    <row r="95" spans="1:3" x14ac:dyDescent="0.25">
      <c r="A95">
        <v>94</v>
      </c>
      <c r="B95" t="s">
        <v>1010</v>
      </c>
      <c r="C95" t="s">
        <v>1667</v>
      </c>
    </row>
    <row r="96" spans="1:3" x14ac:dyDescent="0.25">
      <c r="A96">
        <v>95</v>
      </c>
      <c r="B96" t="s">
        <v>183</v>
      </c>
      <c r="C96" t="s">
        <v>1668</v>
      </c>
    </row>
    <row r="97" spans="1:3" x14ac:dyDescent="0.25">
      <c r="A97">
        <v>96</v>
      </c>
      <c r="B97" t="s">
        <v>101</v>
      </c>
      <c r="C97" t="s">
        <v>1669</v>
      </c>
    </row>
    <row r="98" spans="1:3" x14ac:dyDescent="0.25">
      <c r="A98">
        <v>97</v>
      </c>
      <c r="B98" t="s">
        <v>321</v>
      </c>
      <c r="C98" t="s">
        <v>1670</v>
      </c>
    </row>
    <row r="99" spans="1:3" x14ac:dyDescent="0.25">
      <c r="A99">
        <v>98</v>
      </c>
      <c r="B99" t="s">
        <v>1018</v>
      </c>
      <c r="C99" t="s">
        <v>1671</v>
      </c>
    </row>
    <row r="100" spans="1:3" x14ac:dyDescent="0.25">
      <c r="A100">
        <v>99</v>
      </c>
      <c r="B100" t="s">
        <v>831</v>
      </c>
      <c r="C100" t="s">
        <v>1672</v>
      </c>
    </row>
    <row r="101" spans="1:3" x14ac:dyDescent="0.25">
      <c r="A101">
        <v>100</v>
      </c>
      <c r="B101" t="s">
        <v>732</v>
      </c>
      <c r="C101" t="s">
        <v>1673</v>
      </c>
    </row>
    <row r="102" spans="1:3" x14ac:dyDescent="0.25">
      <c r="A102">
        <v>101</v>
      </c>
      <c r="B102" t="s">
        <v>725</v>
      </c>
      <c r="C102" t="s">
        <v>1674</v>
      </c>
    </row>
    <row r="103" spans="1:3" x14ac:dyDescent="0.25">
      <c r="A103">
        <v>102</v>
      </c>
      <c r="B103" t="s">
        <v>776</v>
      </c>
      <c r="C103" t="s">
        <v>1675</v>
      </c>
    </row>
    <row r="104" spans="1:3" x14ac:dyDescent="0.25">
      <c r="A104">
        <v>103</v>
      </c>
      <c r="B104" t="s">
        <v>279</v>
      </c>
      <c r="C104" t="s">
        <v>1676</v>
      </c>
    </row>
    <row r="105" spans="1:3" x14ac:dyDescent="0.25">
      <c r="A105">
        <v>104</v>
      </c>
      <c r="B105" t="s">
        <v>525</v>
      </c>
      <c r="C105" t="s">
        <v>1677</v>
      </c>
    </row>
    <row r="106" spans="1:3" x14ac:dyDescent="0.25">
      <c r="A106">
        <v>105</v>
      </c>
      <c r="B106" t="s">
        <v>531</v>
      </c>
      <c r="C106" t="s">
        <v>1678</v>
      </c>
    </row>
    <row r="107" spans="1:3" x14ac:dyDescent="0.25">
      <c r="A107">
        <v>106</v>
      </c>
      <c r="B107" t="s">
        <v>448</v>
      </c>
      <c r="C107" t="s">
        <v>1679</v>
      </c>
    </row>
    <row r="108" spans="1:3" x14ac:dyDescent="0.25">
      <c r="A108">
        <v>107</v>
      </c>
      <c r="B108" t="s">
        <v>309</v>
      </c>
      <c r="C108" t="s">
        <v>1680</v>
      </c>
    </row>
    <row r="109" spans="1:3" x14ac:dyDescent="0.25">
      <c r="A109">
        <v>108</v>
      </c>
      <c r="B109" t="s">
        <v>14</v>
      </c>
      <c r="C109" t="s">
        <v>1681</v>
      </c>
    </row>
    <row r="110" spans="1:3" x14ac:dyDescent="0.25">
      <c r="A110">
        <v>109</v>
      </c>
      <c r="B110" t="s">
        <v>23</v>
      </c>
      <c r="C110" t="s">
        <v>1682</v>
      </c>
    </row>
    <row r="111" spans="1:3" x14ac:dyDescent="0.25">
      <c r="A111">
        <v>110</v>
      </c>
      <c r="B111" t="s">
        <v>1097</v>
      </c>
      <c r="C111" t="s">
        <v>1683</v>
      </c>
    </row>
    <row r="112" spans="1:3" x14ac:dyDescent="0.25">
      <c r="A112">
        <v>111</v>
      </c>
      <c r="B112" t="s">
        <v>935</v>
      </c>
      <c r="C112" t="s">
        <v>1684</v>
      </c>
    </row>
    <row r="113" spans="1:3" x14ac:dyDescent="0.25">
      <c r="A113">
        <v>112</v>
      </c>
      <c r="B113" t="s">
        <v>644</v>
      </c>
      <c r="C113" t="s">
        <v>1685</v>
      </c>
    </row>
    <row r="114" spans="1:3" x14ac:dyDescent="0.25">
      <c r="A114">
        <v>113</v>
      </c>
      <c r="B114" t="s">
        <v>196</v>
      </c>
      <c r="C114" t="s">
        <v>1686</v>
      </c>
    </row>
    <row r="115" spans="1:3" x14ac:dyDescent="0.25">
      <c r="A115">
        <v>114</v>
      </c>
      <c r="B115" t="s">
        <v>139</v>
      </c>
      <c r="C115" t="s">
        <v>1687</v>
      </c>
    </row>
    <row r="116" spans="1:3" x14ac:dyDescent="0.25">
      <c r="A116">
        <v>115</v>
      </c>
      <c r="B116" t="s">
        <v>1025</v>
      </c>
      <c r="C116" t="s">
        <v>1688</v>
      </c>
    </row>
    <row r="117" spans="1:3" x14ac:dyDescent="0.25">
      <c r="A117">
        <v>116</v>
      </c>
      <c r="B117" t="s">
        <v>1039</v>
      </c>
      <c r="C117" t="s">
        <v>1689</v>
      </c>
    </row>
    <row r="118" spans="1:3" x14ac:dyDescent="0.25">
      <c r="A118">
        <v>117</v>
      </c>
      <c r="B118" t="s">
        <v>668</v>
      </c>
      <c r="C118" t="s">
        <v>1690</v>
      </c>
    </row>
    <row r="119" spans="1:3" x14ac:dyDescent="0.25">
      <c r="A119">
        <v>118</v>
      </c>
      <c r="B119" t="s">
        <v>286</v>
      </c>
      <c r="C119" t="s">
        <v>1691</v>
      </c>
    </row>
    <row r="120" spans="1:3" x14ac:dyDescent="0.25">
      <c r="A120">
        <v>119</v>
      </c>
      <c r="B120" t="s">
        <v>475</v>
      </c>
      <c r="C120" t="s">
        <v>1692</v>
      </c>
    </row>
    <row r="121" spans="1:3" x14ac:dyDescent="0.25">
      <c r="A121">
        <v>120</v>
      </c>
      <c r="B121" t="s">
        <v>812</v>
      </c>
      <c r="C121" t="s">
        <v>1693</v>
      </c>
    </row>
    <row r="122" spans="1:3" x14ac:dyDescent="0.25">
      <c r="A122">
        <v>121</v>
      </c>
      <c r="B122" t="s">
        <v>571</v>
      </c>
      <c r="C122" t="s">
        <v>1694</v>
      </c>
    </row>
    <row r="123" spans="1:3" x14ac:dyDescent="0.25">
      <c r="A123">
        <v>122</v>
      </c>
      <c r="B123" t="s">
        <v>1090</v>
      </c>
      <c r="C123" t="s">
        <v>1695</v>
      </c>
    </row>
    <row r="124" spans="1:3" x14ac:dyDescent="0.25">
      <c r="A124">
        <v>123</v>
      </c>
      <c r="B124" t="s">
        <v>190</v>
      </c>
      <c r="C124" t="s">
        <v>1696</v>
      </c>
    </row>
    <row r="125" spans="1:3" x14ac:dyDescent="0.25">
      <c r="A125">
        <v>124</v>
      </c>
      <c r="B125" t="s">
        <v>380</v>
      </c>
      <c r="C125" t="s">
        <v>1697</v>
      </c>
    </row>
    <row r="126" spans="1:3" x14ac:dyDescent="0.25">
      <c r="A126">
        <v>125</v>
      </c>
      <c r="B126" t="s">
        <v>240</v>
      </c>
      <c r="C126" t="s">
        <v>1698</v>
      </c>
    </row>
    <row r="127" spans="1:3" x14ac:dyDescent="0.25">
      <c r="A127">
        <v>126</v>
      </c>
      <c r="B127" t="s">
        <v>652</v>
      </c>
      <c r="C127" t="s">
        <v>1699</v>
      </c>
    </row>
    <row r="128" spans="1:3" x14ac:dyDescent="0.25">
      <c r="A128">
        <v>127</v>
      </c>
      <c r="B128" t="s">
        <v>468</v>
      </c>
      <c r="C128" t="s">
        <v>1700</v>
      </c>
    </row>
    <row r="129" spans="1:3" x14ac:dyDescent="0.25">
      <c r="A129">
        <v>128</v>
      </c>
      <c r="B129" t="s">
        <v>660</v>
      </c>
      <c r="C129" t="s">
        <v>1701</v>
      </c>
    </row>
    <row r="130" spans="1:3" x14ac:dyDescent="0.25">
      <c r="A130">
        <v>129</v>
      </c>
      <c r="B130" t="s">
        <v>590</v>
      </c>
      <c r="C130" t="s">
        <v>1702</v>
      </c>
    </row>
    <row r="131" spans="1:3" x14ac:dyDescent="0.25">
      <c r="A131">
        <v>130</v>
      </c>
      <c r="B131" t="s">
        <v>132</v>
      </c>
      <c r="C131" t="s">
        <v>1703</v>
      </c>
    </row>
    <row r="132" spans="1:3" x14ac:dyDescent="0.25">
      <c r="A132">
        <v>131</v>
      </c>
      <c r="B132" t="s">
        <v>966</v>
      </c>
      <c r="C132" t="s">
        <v>1704</v>
      </c>
    </row>
    <row r="133" spans="1:3" x14ac:dyDescent="0.25">
      <c r="A133">
        <v>132</v>
      </c>
      <c r="B133" t="s">
        <v>974</v>
      </c>
      <c r="C133" t="s">
        <v>1705</v>
      </c>
    </row>
    <row r="134" spans="1:3" x14ac:dyDescent="0.25">
      <c r="A134">
        <v>133</v>
      </c>
      <c r="B134" t="s">
        <v>996</v>
      </c>
      <c r="C134" t="s">
        <v>1706</v>
      </c>
    </row>
    <row r="135" spans="1:3" x14ac:dyDescent="0.25">
      <c r="A135">
        <v>134</v>
      </c>
      <c r="B135" t="s">
        <v>328</v>
      </c>
      <c r="C135" t="s">
        <v>1707</v>
      </c>
    </row>
    <row r="136" spans="1:3" x14ac:dyDescent="0.25">
      <c r="A136">
        <v>135</v>
      </c>
      <c r="B136" t="s">
        <v>226</v>
      </c>
      <c r="C136" t="s">
        <v>1708</v>
      </c>
    </row>
    <row r="137" spans="1:3" x14ac:dyDescent="0.25">
      <c r="A137">
        <v>136</v>
      </c>
      <c r="B137" t="s">
        <v>145</v>
      </c>
      <c r="C137" t="s">
        <v>1709</v>
      </c>
    </row>
    <row r="138" spans="1:3" x14ac:dyDescent="0.25">
      <c r="A138">
        <v>137</v>
      </c>
      <c r="B138" t="s">
        <v>1031</v>
      </c>
      <c r="C138" t="s">
        <v>1710</v>
      </c>
    </row>
    <row r="139" spans="1:3" x14ac:dyDescent="0.25">
      <c r="A139">
        <v>138</v>
      </c>
      <c r="B139" t="s">
        <v>205</v>
      </c>
      <c r="C139" t="s">
        <v>1711</v>
      </c>
    </row>
    <row r="140" spans="1:3" x14ac:dyDescent="0.25">
      <c r="A140">
        <v>139</v>
      </c>
      <c r="B140" t="s">
        <v>564</v>
      </c>
      <c r="C140" t="s">
        <v>1712</v>
      </c>
    </row>
    <row r="141" spans="1:3" x14ac:dyDescent="0.25">
      <c r="A141">
        <v>140</v>
      </c>
      <c r="B141" t="s">
        <v>386</v>
      </c>
      <c r="C141" t="s">
        <v>1713</v>
      </c>
    </row>
    <row r="142" spans="1:3" x14ac:dyDescent="0.25">
      <c r="A142">
        <v>141</v>
      </c>
      <c r="B142" t="s">
        <v>490</v>
      </c>
      <c r="C142" t="s">
        <v>1714</v>
      </c>
    </row>
    <row r="143" spans="1:3" x14ac:dyDescent="0.25">
      <c r="A143">
        <v>142</v>
      </c>
      <c r="B143" t="s">
        <v>884</v>
      </c>
      <c r="C143" t="s">
        <v>1715</v>
      </c>
    </row>
    <row r="144" spans="1:3" x14ac:dyDescent="0.25">
      <c r="A144">
        <v>143</v>
      </c>
      <c r="B144" t="s">
        <v>248</v>
      </c>
      <c r="C144" t="s">
        <v>1716</v>
      </c>
    </row>
    <row r="145" spans="1:3" x14ac:dyDescent="0.25">
      <c r="A145">
        <v>144</v>
      </c>
      <c r="B145" t="s">
        <v>1083</v>
      </c>
      <c r="C145" t="s">
        <v>1717</v>
      </c>
    </row>
    <row r="146" spans="1:3" x14ac:dyDescent="0.25">
      <c r="A146">
        <v>145</v>
      </c>
      <c r="B146" t="s">
        <v>537</v>
      </c>
      <c r="C146" t="s">
        <v>1718</v>
      </c>
    </row>
    <row r="147" spans="1:3" x14ac:dyDescent="0.25">
      <c r="A147">
        <v>146</v>
      </c>
      <c r="B147" t="s">
        <v>77</v>
      </c>
      <c r="C147" t="s">
        <v>1719</v>
      </c>
    </row>
    <row r="148" spans="1:3" x14ac:dyDescent="0.25">
      <c r="A148">
        <v>147</v>
      </c>
      <c r="B148" t="s">
        <v>513</v>
      </c>
      <c r="C148" t="s">
        <v>1720</v>
      </c>
    </row>
    <row r="149" spans="1:3" x14ac:dyDescent="0.25">
      <c r="A149">
        <v>148</v>
      </c>
      <c r="B149" t="s">
        <v>164</v>
      </c>
      <c r="C149" t="s">
        <v>1721</v>
      </c>
    </row>
    <row r="150" spans="1:3" x14ac:dyDescent="0.25">
      <c r="A150">
        <v>149</v>
      </c>
      <c r="B150" t="s">
        <v>624</v>
      </c>
      <c r="C150" t="s">
        <v>1722</v>
      </c>
    </row>
    <row r="151" spans="1:3" x14ac:dyDescent="0.25">
      <c r="A151">
        <v>150</v>
      </c>
      <c r="B151" t="s">
        <v>790</v>
      </c>
      <c r="C151" t="s">
        <v>1723</v>
      </c>
    </row>
    <row r="152" spans="1:3" x14ac:dyDescent="0.25">
      <c r="A152">
        <v>151</v>
      </c>
      <c r="B152" t="s">
        <v>177</v>
      </c>
      <c r="C152" t="s">
        <v>1724</v>
      </c>
    </row>
    <row r="153" spans="1:3" x14ac:dyDescent="0.25">
      <c r="A153">
        <v>152</v>
      </c>
      <c r="B153" t="s">
        <v>170</v>
      </c>
      <c r="C153" t="s">
        <v>1725</v>
      </c>
    </row>
    <row r="154" spans="1:3" x14ac:dyDescent="0.25">
      <c r="A154">
        <v>153</v>
      </c>
      <c r="B154" t="s">
        <v>394</v>
      </c>
      <c r="C154" t="s">
        <v>1726</v>
      </c>
    </row>
    <row r="155" spans="1:3" x14ac:dyDescent="0.25">
      <c r="A155">
        <v>154</v>
      </c>
      <c r="B155" t="s">
        <v>267</v>
      </c>
      <c r="C155" t="s">
        <v>1727</v>
      </c>
    </row>
    <row r="156" spans="1:3" x14ac:dyDescent="0.25">
      <c r="A156">
        <v>155</v>
      </c>
      <c r="B156" t="s">
        <v>442</v>
      </c>
      <c r="C156" t="s">
        <v>1728</v>
      </c>
    </row>
    <row r="157" spans="1:3" x14ac:dyDescent="0.25">
      <c r="A157">
        <v>156</v>
      </c>
      <c r="B157" t="s">
        <v>254</v>
      </c>
      <c r="C157" t="s">
        <v>1729</v>
      </c>
    </row>
    <row r="158" spans="1:3" x14ac:dyDescent="0.25">
      <c r="A158">
        <v>157</v>
      </c>
      <c r="B158" t="s">
        <v>261</v>
      </c>
      <c r="C158" t="s">
        <v>1730</v>
      </c>
    </row>
    <row r="159" spans="1:3" x14ac:dyDescent="0.25">
      <c r="A159">
        <v>158</v>
      </c>
      <c r="B159" t="s">
        <v>981</v>
      </c>
      <c r="C159" t="s">
        <v>1731</v>
      </c>
    </row>
    <row r="160" spans="1:3" x14ac:dyDescent="0.25">
      <c r="A160">
        <v>159</v>
      </c>
      <c r="B160" t="s">
        <v>117</v>
      </c>
      <c r="C160" t="s">
        <v>1732</v>
      </c>
    </row>
    <row r="161" spans="1:3" x14ac:dyDescent="0.25">
      <c r="A161">
        <v>160</v>
      </c>
      <c r="B161" t="s">
        <v>109</v>
      </c>
      <c r="C161" t="s">
        <v>1733</v>
      </c>
    </row>
    <row r="162" spans="1:3" x14ac:dyDescent="0.25">
      <c r="A162">
        <v>161</v>
      </c>
      <c r="B162" t="s">
        <v>696</v>
      </c>
      <c r="C162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Fresh</vt:lpstr>
      <vt:lpstr>Renewal</vt:lpstr>
      <vt:lpstr>WORKING</vt:lpstr>
      <vt:lpstr>Sheet1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2025-01-31T13:20:43Z</dcterms:created>
  <dcterms:modified xsi:type="dcterms:W3CDTF">2025-02-04T07:20:06Z</dcterms:modified>
</cp:coreProperties>
</file>