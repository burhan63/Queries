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BDE35047-C9C5-4D62-B7EF-F55322AA43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WORKING" sheetId="2" r:id="rId2"/>
    <sheet name="CERTIFICATE" sheetId="3" r:id="rId3"/>
  </sheets>
  <definedNames>
    <definedName name="_xlnm._FilterDatabase" localSheetId="2" hidden="1">CERTIFICATE!$H$1:$H$115</definedName>
    <definedName name="_xlnm._FilterDatabase" localSheetId="0" hidden="1">Sheet1!$A$1:$R$112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2" l="1"/>
  <c r="H112" i="2"/>
  <c r="H105" i="2"/>
  <c r="H104" i="2"/>
  <c r="H97" i="2"/>
  <c r="H96" i="2"/>
  <c r="H89" i="2"/>
  <c r="H88" i="2"/>
  <c r="H81" i="2"/>
  <c r="H80" i="2"/>
  <c r="H73" i="2"/>
  <c r="H72" i="2"/>
  <c r="H65" i="2"/>
  <c r="H61" i="2"/>
  <c r="H60" i="2"/>
  <c r="H57" i="2"/>
  <c r="H56" i="2"/>
  <c r="H53" i="2"/>
  <c r="H52" i="2"/>
  <c r="H49" i="2"/>
  <c r="H48" i="2"/>
  <c r="H45" i="2"/>
  <c r="H44" i="2"/>
  <c r="H41" i="2"/>
  <c r="H40" i="2"/>
  <c r="H37" i="2"/>
  <c r="H36" i="2"/>
  <c r="H33" i="2"/>
  <c r="H32" i="2"/>
  <c r="H29" i="2"/>
  <c r="H28" i="2"/>
  <c r="H25" i="2"/>
  <c r="H24" i="2"/>
  <c r="H20" i="2"/>
  <c r="H16" i="2"/>
  <c r="H12" i="2"/>
  <c r="H4" i="2"/>
  <c r="G5" i="2"/>
  <c r="H5" i="2" s="1"/>
  <c r="G6" i="2"/>
  <c r="H6" i="2" s="1"/>
  <c r="G11" i="2"/>
  <c r="H11" i="2" s="1"/>
  <c r="G25" i="2"/>
  <c r="G62" i="2"/>
  <c r="H62" i="2" s="1"/>
  <c r="G64" i="2"/>
  <c r="H64" i="2" s="1"/>
  <c r="G65" i="2"/>
  <c r="G66" i="2"/>
  <c r="H66" i="2" s="1"/>
  <c r="G67" i="2"/>
  <c r="H67" i="2" s="1"/>
  <c r="G68" i="2"/>
  <c r="H68" i="2" s="1"/>
  <c r="G70" i="2"/>
  <c r="H70" i="2" s="1"/>
  <c r="G72" i="2"/>
  <c r="G74" i="2"/>
  <c r="H74" i="2" s="1"/>
  <c r="G76" i="2"/>
  <c r="H76" i="2" s="1"/>
  <c r="G78" i="2"/>
  <c r="H78" i="2" s="1"/>
  <c r="G80" i="2"/>
  <c r="G82" i="2"/>
  <c r="H82" i="2" s="1"/>
  <c r="G84" i="2"/>
  <c r="H84" i="2" s="1"/>
  <c r="G86" i="2"/>
  <c r="H86" i="2" s="1"/>
  <c r="G88" i="2"/>
  <c r="G90" i="2"/>
  <c r="H90" i="2" s="1"/>
  <c r="G92" i="2"/>
  <c r="H92" i="2" s="1"/>
  <c r="G94" i="2"/>
  <c r="H94" i="2" s="1"/>
  <c r="G96" i="2"/>
  <c r="G98" i="2"/>
  <c r="H98" i="2" s="1"/>
  <c r="G100" i="2"/>
  <c r="H100" i="2" s="1"/>
  <c r="G102" i="2"/>
  <c r="H102" i="2" s="1"/>
  <c r="G104" i="2"/>
  <c r="G106" i="2"/>
  <c r="H106" i="2" s="1"/>
  <c r="G108" i="2"/>
  <c r="H108" i="2" s="1"/>
  <c r="G110" i="2"/>
  <c r="H110" i="2" s="1"/>
  <c r="G112" i="2"/>
  <c r="G114" i="2"/>
  <c r="H114" i="2" s="1"/>
  <c r="G1" i="2"/>
  <c r="G113" i="2"/>
  <c r="G111" i="2"/>
  <c r="H111" i="2" s="1"/>
  <c r="G109" i="2"/>
  <c r="H109" i="2" s="1"/>
  <c r="G107" i="2"/>
  <c r="H107" i="2" s="1"/>
  <c r="G105" i="2"/>
  <c r="G103" i="2"/>
  <c r="H103" i="2" s="1"/>
  <c r="G101" i="2"/>
  <c r="H101" i="2" s="1"/>
  <c r="G99" i="2"/>
  <c r="H99" i="2" s="1"/>
  <c r="G97" i="2"/>
  <c r="G95" i="2"/>
  <c r="H95" i="2" s="1"/>
  <c r="G93" i="2"/>
  <c r="H93" i="2" s="1"/>
  <c r="G91" i="2"/>
  <c r="H91" i="2" s="1"/>
  <c r="G89" i="2"/>
  <c r="G87" i="2"/>
  <c r="H87" i="2" s="1"/>
  <c r="G85" i="2"/>
  <c r="H85" i="2" s="1"/>
  <c r="G83" i="2"/>
  <c r="H83" i="2" s="1"/>
  <c r="G81" i="2"/>
  <c r="G79" i="2"/>
  <c r="H79" i="2" s="1"/>
  <c r="G77" i="2"/>
  <c r="H77" i="2" s="1"/>
  <c r="G75" i="2"/>
  <c r="H75" i="2" s="1"/>
  <c r="G73" i="2"/>
  <c r="G71" i="2"/>
  <c r="H71" i="2" s="1"/>
  <c r="G69" i="2"/>
  <c r="H69" i="2" s="1"/>
  <c r="G63" i="2"/>
  <c r="H63" i="2" s="1"/>
  <c r="G61" i="2"/>
  <c r="G60" i="2"/>
  <c r="G59" i="2"/>
  <c r="H59" i="2" s="1"/>
  <c r="G58" i="2"/>
  <c r="H58" i="2" s="1"/>
  <c r="G57" i="2"/>
  <c r="G56" i="2"/>
  <c r="G55" i="2"/>
  <c r="H55" i="2" s="1"/>
  <c r="G54" i="2"/>
  <c r="H54" i="2" s="1"/>
  <c r="G53" i="2"/>
  <c r="G52" i="2"/>
  <c r="G51" i="2"/>
  <c r="H51" i="2" s="1"/>
  <c r="G50" i="2"/>
  <c r="H50" i="2" s="1"/>
  <c r="G49" i="2"/>
  <c r="G48" i="2"/>
  <c r="G47" i="2"/>
  <c r="H47" i="2" s="1"/>
  <c r="G46" i="2"/>
  <c r="H46" i="2" s="1"/>
  <c r="G45" i="2"/>
  <c r="G44" i="2"/>
  <c r="G43" i="2"/>
  <c r="H43" i="2" s="1"/>
  <c r="G42" i="2"/>
  <c r="H42" i="2" s="1"/>
  <c r="G41" i="2"/>
  <c r="G40" i="2"/>
  <c r="G39" i="2"/>
  <c r="H39" i="2" s="1"/>
  <c r="G38" i="2"/>
  <c r="H38" i="2" s="1"/>
  <c r="G37" i="2"/>
  <c r="G36" i="2"/>
  <c r="G35" i="2"/>
  <c r="H35" i="2" s="1"/>
  <c r="G34" i="2"/>
  <c r="H34" i="2" s="1"/>
  <c r="G33" i="2"/>
  <c r="G32" i="2"/>
  <c r="G31" i="2"/>
  <c r="H31" i="2" s="1"/>
  <c r="G30" i="2"/>
  <c r="H30" i="2" s="1"/>
  <c r="G29" i="2"/>
  <c r="G28" i="2"/>
  <c r="G27" i="2"/>
  <c r="H27" i="2" s="1"/>
  <c r="G26" i="2"/>
  <c r="H26" i="2" s="1"/>
  <c r="G24" i="2"/>
  <c r="G23" i="2"/>
  <c r="H23" i="2" s="1"/>
  <c r="G22" i="2"/>
  <c r="H22" i="2" s="1"/>
  <c r="G21" i="2"/>
  <c r="H21" i="2" s="1"/>
  <c r="G20" i="2"/>
  <c r="G19" i="2"/>
  <c r="H19" i="2" s="1"/>
  <c r="G18" i="2"/>
  <c r="H18" i="2" s="1"/>
  <c r="G17" i="2"/>
  <c r="H17" i="2" s="1"/>
  <c r="G16" i="2"/>
  <c r="G15" i="2"/>
  <c r="H15" i="2" s="1"/>
  <c r="G14" i="2"/>
  <c r="H14" i="2" s="1"/>
  <c r="G13" i="2"/>
  <c r="H13" i="2" s="1"/>
  <c r="G12" i="2"/>
  <c r="G10" i="2"/>
  <c r="H10" i="2" s="1"/>
  <c r="G9" i="2"/>
  <c r="H9" i="2" s="1"/>
  <c r="G8" i="2"/>
  <c r="H8" i="2" s="1"/>
  <c r="G7" i="2"/>
  <c r="H7" i="2" s="1"/>
  <c r="G4" i="2"/>
  <c r="G3" i="2"/>
  <c r="H3" i="2" s="1"/>
  <c r="G2" i="2"/>
  <c r="H2" i="2" s="1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F1" i="2"/>
  <c r="D1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2" i="3"/>
  <c r="H1" i="2" l="1"/>
  <c r="L116" i="1" l="1"/>
</calcChain>
</file>

<file path=xl/sharedStrings.xml><?xml version="1.0" encoding="utf-8"?>
<sst xmlns="http://schemas.openxmlformats.org/spreadsheetml/2006/main" count="1956" uniqueCount="909">
  <si>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</si>
  <si>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</si>
  <si>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</si>
  <si>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</si>
  <si>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</si>
  <si>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</si>
  <si>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</si>
  <si>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</si>
  <si>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</si>
  <si>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</si>
  <si>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</si>
  <si>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</si>
  <si>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</si>
  <si>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</si>
  <si>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CI-2021-0108-1990</t>
  </si>
  <si>
    <t>PK0010002</t>
  </si>
  <si>
    <t>GUL MUHAMMAD</t>
  </si>
  <si>
    <t>CULTUS AGS</t>
  </si>
  <si>
    <t>PK10K175963</t>
  </si>
  <si>
    <t>H10075961</t>
  </si>
  <si>
    <t/>
  </si>
  <si>
    <t xml:space="preserve"> 12 MONTHS</t>
  </si>
  <si>
    <t>1.50</t>
  </si>
  <si>
    <t>CI-2021-6901-0220</t>
  </si>
  <si>
    <t>MUMTAZ ALI</t>
  </si>
  <si>
    <t>KIA PICANTO A/T</t>
  </si>
  <si>
    <t>P073948</t>
  </si>
  <si>
    <t>P710595</t>
  </si>
  <si>
    <t>BXH-069</t>
  </si>
  <si>
    <t>CI-2021-9201-5777</t>
  </si>
  <si>
    <t>SYED MUHAMMAD JAVED ZAIDI</t>
  </si>
  <si>
    <t>Alto VX</t>
  </si>
  <si>
    <t>R242313</t>
  </si>
  <si>
    <t>H1142343</t>
  </si>
  <si>
    <t>BXJ-116</t>
  </si>
  <si>
    <t>CI-2021-9201-7471</t>
  </si>
  <si>
    <t>ISHTIAQUE HUSSAIN</t>
  </si>
  <si>
    <t>Yaris 1.3 GLI MT</t>
  </si>
  <si>
    <t>2A55279</t>
  </si>
  <si>
    <t>R-7034925</t>
  </si>
  <si>
    <t>BXH-796</t>
  </si>
  <si>
    <t>CI-2021-9904-1706</t>
  </si>
  <si>
    <t>JAM AAMIR ALI KHAN</t>
  </si>
  <si>
    <t>BRVS CVT</t>
  </si>
  <si>
    <t>Z14806847</t>
  </si>
  <si>
    <t>MR023533</t>
  </si>
  <si>
    <t>-</t>
  </si>
  <si>
    <t>CI-2022-0164-0001</t>
  </si>
  <si>
    <t>ASMAT ULLAH</t>
  </si>
  <si>
    <t>Alto VXL AGS</t>
  </si>
  <si>
    <t>R247184</t>
  </si>
  <si>
    <t>H1147179</t>
  </si>
  <si>
    <t>BXK-157</t>
  </si>
  <si>
    <t>CI-2022-0177-0006</t>
  </si>
  <si>
    <t>QAZI MINHAJ ALI</t>
  </si>
  <si>
    <t>City 1.2 AT</t>
  </si>
  <si>
    <t>B51001858</t>
  </si>
  <si>
    <t>R002401</t>
  </si>
  <si>
    <t>BUN-767</t>
  </si>
  <si>
    <t>CI-2022-1020-0010</t>
  </si>
  <si>
    <t>FAHIM ASLAM</t>
  </si>
  <si>
    <t>Toyota Corolla GLI AT</t>
  </si>
  <si>
    <t>Z554261</t>
  </si>
  <si>
    <t>R-4179682</t>
  </si>
  <si>
    <t>BPS-041</t>
  </si>
  <si>
    <t>CI-2022-1034-0004</t>
  </si>
  <si>
    <t>HANNAN ANWAR</t>
  </si>
  <si>
    <t>Alto VXL</t>
  </si>
  <si>
    <t>R129751</t>
  </si>
  <si>
    <t>H1029761</t>
  </si>
  <si>
    <t>BVG-408</t>
  </si>
  <si>
    <t>CI-2022-4101-0017</t>
  </si>
  <si>
    <t>HUMERA YAMIN</t>
  </si>
  <si>
    <t>Alto VXR</t>
  </si>
  <si>
    <t>R247133</t>
  </si>
  <si>
    <t>H1147133</t>
  </si>
  <si>
    <t>BXK-156</t>
  </si>
  <si>
    <t>CI-2022-8601-0009</t>
  </si>
  <si>
    <t>SHABANA -</t>
  </si>
  <si>
    <t>R247253</t>
  </si>
  <si>
    <t>H1147288</t>
  </si>
  <si>
    <t>BXM-120</t>
  </si>
  <si>
    <t>CI-2022-9201-0017</t>
  </si>
  <si>
    <t>JAMEEL AHMED SOOMRO</t>
  </si>
  <si>
    <t>Wagon R VXR</t>
  </si>
  <si>
    <t>K108196738</t>
  </si>
  <si>
    <t>K10096711</t>
  </si>
  <si>
    <t>BRE-853</t>
  </si>
  <si>
    <t>CI-2022-9902-0012</t>
  </si>
  <si>
    <t>ASIM REHMAN</t>
  </si>
  <si>
    <t>R239972</t>
  </si>
  <si>
    <t>H1140008</t>
  </si>
  <si>
    <t>BXK-983</t>
  </si>
  <si>
    <t>CI-2022-9953-0004</t>
  </si>
  <si>
    <t>ABDUL GHAFOOR GULZAR</t>
  </si>
  <si>
    <t>R245257</t>
  </si>
  <si>
    <t>H1145262</t>
  </si>
  <si>
    <t>BXJ-675</t>
  </si>
  <si>
    <t>CI-2023-0106-0016</t>
  </si>
  <si>
    <t>ALI SHAH QUADRI</t>
  </si>
  <si>
    <t>Oshan X7 Future Sense</t>
  </si>
  <si>
    <t>H026089</t>
  </si>
  <si>
    <t>P1003654</t>
  </si>
  <si>
    <t>BL-5857</t>
  </si>
  <si>
    <t>CI-2023-0107-0025</t>
  </si>
  <si>
    <t>HAMMAD SAEED SHAMSI</t>
  </si>
  <si>
    <t>Cultus VXL</t>
  </si>
  <si>
    <t>K152320</t>
  </si>
  <si>
    <t>H10052313</t>
  </si>
  <si>
    <t>BQW-391</t>
  </si>
  <si>
    <t>CI-2023-0115-0005</t>
  </si>
  <si>
    <t>MUHAMMAD AAMIR CHURRA</t>
  </si>
  <si>
    <t>R280926</t>
  </si>
  <si>
    <t>H1180919</t>
  </si>
  <si>
    <t>BYZ-940</t>
  </si>
  <si>
    <t>CI-2023-9832-0002</t>
  </si>
  <si>
    <t>NAIMATULLAH -</t>
  </si>
  <si>
    <t>Cultus AGS</t>
  </si>
  <si>
    <t>K176211</t>
  </si>
  <si>
    <t>H10076225</t>
  </si>
  <si>
    <t>BUT-035</t>
  </si>
  <si>
    <t>CI-2023-9955-0003</t>
  </si>
  <si>
    <t>ALLAH DAD</t>
  </si>
  <si>
    <t>R171200</t>
  </si>
  <si>
    <t>H1071144</t>
  </si>
  <si>
    <t>BUJ-705</t>
  </si>
  <si>
    <t>CM-2018-9942-0011</t>
  </si>
  <si>
    <t>KHUDA BUX DASTI</t>
  </si>
  <si>
    <t>MEHRAN VX EURO II</t>
  </si>
  <si>
    <t>PKB734197</t>
  </si>
  <si>
    <t>SB308PK01272716</t>
  </si>
  <si>
    <t>BNH-119</t>
  </si>
  <si>
    <t>3.3</t>
  </si>
  <si>
    <t>CM-2019-0183-0505</t>
  </si>
  <si>
    <t>MAHMOOD ANWAR JAWAID</t>
  </si>
  <si>
    <t>HONDA BR V</t>
  </si>
  <si>
    <t>L15Z13516270</t>
  </si>
  <si>
    <t>NFBDG1830KR016340</t>
  </si>
  <si>
    <t>BH-4012</t>
  </si>
  <si>
    <t>2</t>
  </si>
  <si>
    <t>CM-2020-0131-0154</t>
  </si>
  <si>
    <t>GHAZALA RAZA</t>
  </si>
  <si>
    <t>SUZUKI WAGON R VXR E2</t>
  </si>
  <si>
    <t>PK10B194055</t>
  </si>
  <si>
    <t>A1J310PK10094005</t>
  </si>
  <si>
    <t>BRZ-247</t>
  </si>
  <si>
    <t>Salam Takaful Ltd.</t>
  </si>
  <si>
    <t>CI-2022-0000-0280</t>
  </si>
  <si>
    <t>PK0010007</t>
  </si>
  <si>
    <t>HAMEED UL HAQ</t>
  </si>
  <si>
    <t>6R247277</t>
  </si>
  <si>
    <t>NF1AET306H1147256</t>
  </si>
  <si>
    <t>AZZ-280</t>
  </si>
  <si>
    <t>CI-2022-1238-0002</t>
  </si>
  <si>
    <t>HUMA ZAFAR</t>
  </si>
  <si>
    <t>6R243195</t>
  </si>
  <si>
    <t>NF1AET306H1143157</t>
  </si>
  <si>
    <t>AZY-839</t>
  </si>
  <si>
    <t>CI-2023-0705-0008</t>
  </si>
  <si>
    <t>JAVED ANJUM</t>
  </si>
  <si>
    <t>Changan Karvaan Plus VAN</t>
  </si>
  <si>
    <t>JL466Q9N69U502090</t>
  </si>
  <si>
    <t>NKMAAB3D1P1017913</t>
  </si>
  <si>
    <t>CI-2023-1503-0005</t>
  </si>
  <si>
    <t>SAIMA BUKHARI</t>
  </si>
  <si>
    <t>Wagon R AGS</t>
  </si>
  <si>
    <t>PK10B245119</t>
  </si>
  <si>
    <t>A1J310PK10145112</t>
  </si>
  <si>
    <t>BCJ-569</t>
  </si>
  <si>
    <t>CM-2020-5601-0066</t>
  </si>
  <si>
    <t>SHAH KHISRO</t>
  </si>
  <si>
    <t>TOYOTA YARIS 1.5 ATIV</t>
  </si>
  <si>
    <t>2A33695</t>
  </si>
  <si>
    <t>NSP151R-9512748</t>
  </si>
  <si>
    <t>AUT-946</t>
  </si>
  <si>
    <t>1.5</t>
  </si>
  <si>
    <t>CM-2021-0701-0393</t>
  </si>
  <si>
    <t>MUHAMMAD FAIQ AHMED KHAN</t>
  </si>
  <si>
    <t>HONDA BRV</t>
  </si>
  <si>
    <t>L15Z14806120</t>
  </si>
  <si>
    <t>NFBDG1839MR022799</t>
  </si>
  <si>
    <t>AUS-736</t>
  </si>
  <si>
    <t>CI-2022-1403-0002</t>
  </si>
  <si>
    <t>PK0010008</t>
  </si>
  <si>
    <t>ZAFAR AZIZ</t>
  </si>
  <si>
    <t>6R246123</t>
  </si>
  <si>
    <t>NF1AET306H1146151</t>
  </si>
  <si>
    <t>APL</t>
  </si>
  <si>
    <t>CI-2022-1406-0009</t>
  </si>
  <si>
    <t>MUHAMMAD UZAIR ASLAM</t>
  </si>
  <si>
    <t>6R247899</t>
  </si>
  <si>
    <t>NF1AET306H1147843</t>
  </si>
  <si>
    <t>CI-2022-9853-0007</t>
  </si>
  <si>
    <t>NASIR HUSSAIN SHAH</t>
  </si>
  <si>
    <t>6R246120</t>
  </si>
  <si>
    <t>NF1AET306H1146175</t>
  </si>
  <si>
    <t>CI-2023-2662-0005</t>
  </si>
  <si>
    <t>GHULAM RAZA SHAH</t>
  </si>
  <si>
    <t>City MT 1.3L</t>
  </si>
  <si>
    <t>L13Z17501417</t>
  </si>
  <si>
    <t>NFBGM1541HR210810</t>
  </si>
  <si>
    <t>AFJ-579</t>
  </si>
  <si>
    <t>CI-2023-9861-0002</t>
  </si>
  <si>
    <t>YOUSAF JAMAL</t>
  </si>
  <si>
    <t>Z479506</t>
  </si>
  <si>
    <t>NZE170R4106831</t>
  </si>
  <si>
    <t>LEA-17-918</t>
  </si>
  <si>
    <t>CI-2023-0608-0005</t>
  </si>
  <si>
    <t>PK0010015</t>
  </si>
  <si>
    <t>MUHAMMAD FARYAL SAQIB</t>
  </si>
  <si>
    <t>Wagon R VXL</t>
  </si>
  <si>
    <t>PK10B244819</t>
  </si>
  <si>
    <t>A1J310PK10144828</t>
  </si>
  <si>
    <t>APU-522 (PUNJAB)</t>
  </si>
  <si>
    <t>CI-2023-0926-0003</t>
  </si>
  <si>
    <t>LUQMAN YOUSAF</t>
  </si>
  <si>
    <t>Alto VXR AGS</t>
  </si>
  <si>
    <t>6R279602</t>
  </si>
  <si>
    <t>NF1AET306H1179603</t>
  </si>
  <si>
    <t>APS-656 (PUNJAB)</t>
  </si>
  <si>
    <t>CM-2020-0601-0169</t>
  </si>
  <si>
    <t>SAGHIR ASGHAR</t>
  </si>
  <si>
    <t>KIA PICANTO M/T</t>
  </si>
  <si>
    <t>G3LAKP147956</t>
  </si>
  <si>
    <t>NNATA52AXKP500268</t>
  </si>
  <si>
    <t>AAB-852</t>
  </si>
  <si>
    <t>CM-2020-0601-0172</t>
  </si>
  <si>
    <t>ZAEEM AFZAL</t>
  </si>
  <si>
    <t>HONDA CITY PT</t>
  </si>
  <si>
    <t>L13Z17538836</t>
  </si>
  <si>
    <t>NFBGM1642LR260767</t>
  </si>
  <si>
    <t>ARC-138</t>
  </si>
  <si>
    <t>CM-2021-0601-0542</t>
  </si>
  <si>
    <t>MALIK MUHAMMAD YOUSAF</t>
  </si>
  <si>
    <t>G3LAMP089400</t>
  </si>
  <si>
    <t>NNATA52AXKP501985</t>
  </si>
  <si>
    <t>AEL-559 (PUNJAB)</t>
  </si>
  <si>
    <t>CM-2021-0905-0364</t>
  </si>
  <si>
    <t>ZAIN AMJAD</t>
  </si>
  <si>
    <t>HONDA BRV S</t>
  </si>
  <si>
    <t>L15Z14805879</t>
  </si>
  <si>
    <t>NFBDG1833MR022510</t>
  </si>
  <si>
    <t>AEC-399 (PUNJAB)</t>
  </si>
  <si>
    <t>CM-2021-0919-0603</t>
  </si>
  <si>
    <t>TARIQ MEHMOOD</t>
  </si>
  <si>
    <t>SUZUKI ALTO VXR</t>
  </si>
  <si>
    <t>6R179910</t>
  </si>
  <si>
    <t>NF1AET306H1079915</t>
  </si>
  <si>
    <t>AEH-864 (PUNJAB)</t>
  </si>
  <si>
    <t>CM-2020-0824-0121</t>
  </si>
  <si>
    <t>PK0010010</t>
  </si>
  <si>
    <t>MANSOOR ASHRAF</t>
  </si>
  <si>
    <t>SUZUKI SWIFT RS TURBO IMPORTED</t>
  </si>
  <si>
    <t>K10C-1053008</t>
  </si>
  <si>
    <t>JSAAZC13S00102540</t>
  </si>
  <si>
    <t>AQY-541</t>
  </si>
  <si>
    <t>CI-2022-0820-0007</t>
  </si>
  <si>
    <t>ARSALAN HAMEED</t>
  </si>
  <si>
    <t>City PT Aspire 1.5L</t>
  </si>
  <si>
    <t>L15Z81010232</t>
  </si>
  <si>
    <t>NFBGN9661NR023316</t>
  </si>
  <si>
    <t>AZW-216</t>
  </si>
  <si>
    <t>CM-2020-0301-0207</t>
  </si>
  <si>
    <t>MUHAMMAD TARIQ</t>
  </si>
  <si>
    <t>Honda City Manual</t>
  </si>
  <si>
    <t>L13Z17539069</t>
  </si>
  <si>
    <t>NFBGM1544LR260979</t>
  </si>
  <si>
    <t>AQZ-380</t>
  </si>
  <si>
    <t>CM-2021-0301-0610</t>
  </si>
  <si>
    <t>ALI ANWER</t>
  </si>
  <si>
    <t>L15Z14806145</t>
  </si>
  <si>
    <t>NFBDG1830MR022819</t>
  </si>
  <si>
    <t>AUH-661</t>
  </si>
  <si>
    <t>CM-2021-0307-0267</t>
  </si>
  <si>
    <t>ASAD ULLAH</t>
  </si>
  <si>
    <t>SUZUKI ALTO VX</t>
  </si>
  <si>
    <t>6R173887</t>
  </si>
  <si>
    <t>NF1AET306H1073861</t>
  </si>
  <si>
    <t>AUG-652</t>
  </si>
  <si>
    <t>CM-2018-0301-0036</t>
  </si>
  <si>
    <t>SYED ZEESHAN AHMED</t>
  </si>
  <si>
    <t>SUZUKI ALTOIMPORTED</t>
  </si>
  <si>
    <t>RO6A-K441643</t>
  </si>
  <si>
    <t>HA36S-313376</t>
  </si>
  <si>
    <t>AKB-201</t>
  </si>
  <si>
    <t>CI-2022-0000-0240</t>
  </si>
  <si>
    <t>PK0010011</t>
  </si>
  <si>
    <t>MUHAMMAD IKRAM</t>
  </si>
  <si>
    <t>6R244142</t>
  </si>
  <si>
    <t>NF1ET306H1144128</t>
  </si>
  <si>
    <t>ALL-532</t>
  </si>
  <si>
    <t>CI-2022-0000-0795</t>
  </si>
  <si>
    <t>WAQAR AZEEM</t>
  </si>
  <si>
    <t>6R246370</t>
  </si>
  <si>
    <t>NF1AET306H1146393</t>
  </si>
  <si>
    <t>BAE-422</t>
  </si>
  <si>
    <t>CI-2022-0515-0010</t>
  </si>
  <si>
    <t>MUHAMMAD HAMZA</t>
  </si>
  <si>
    <t>L15Z81010835</t>
  </si>
  <si>
    <t>NFBGN966XNR024223</t>
  </si>
  <si>
    <t>AZU-131</t>
  </si>
  <si>
    <t>CI-2022-0516-0014</t>
  </si>
  <si>
    <t>MUHAMMAD ZUBAIR</t>
  </si>
  <si>
    <t>City PT 1.3L</t>
  </si>
  <si>
    <t>L13Z17545570</t>
  </si>
  <si>
    <t>NFBGM1548MR270013</t>
  </si>
  <si>
    <t>AUE-324</t>
  </si>
  <si>
    <t>CI-2022-0519-0007</t>
  </si>
  <si>
    <t>RAFIQ AHMAD</t>
  </si>
  <si>
    <t>L15Z81011093</t>
  </si>
  <si>
    <t>NFBGN9663NR024368</t>
  </si>
  <si>
    <t>ALP-776</t>
  </si>
  <si>
    <t>CI-2022-1272-0001</t>
  </si>
  <si>
    <t>SAJID HUSSAIN</t>
  </si>
  <si>
    <t>6R245527</t>
  </si>
  <si>
    <t>NF1AET306H1145897</t>
  </si>
  <si>
    <t>ALK-220</t>
  </si>
  <si>
    <t>CI-2022-3501-0022</t>
  </si>
  <si>
    <t>MUHAMMAD SHERAZ</t>
  </si>
  <si>
    <t>6R246736</t>
  </si>
  <si>
    <t>NF1AET306H1146731</t>
  </si>
  <si>
    <t>ALR-969</t>
  </si>
  <si>
    <t>CI-2022-7701-0009</t>
  </si>
  <si>
    <t>ABDUL REHMAN</t>
  </si>
  <si>
    <t>6R247006</t>
  </si>
  <si>
    <t>NF1AET306H1146970</t>
  </si>
  <si>
    <t>ALP-893</t>
  </si>
  <si>
    <t>CI-2023-0507-0007</t>
  </si>
  <si>
    <t>AZAM KHAN</t>
  </si>
  <si>
    <t>PK10B244615</t>
  </si>
  <si>
    <t>A1J310PK10144629</t>
  </si>
  <si>
    <t>APR-226</t>
  </si>
  <si>
    <t>CI-2023-9887-0015</t>
  </si>
  <si>
    <t>ABDUL QAYYUM KHAN</t>
  </si>
  <si>
    <t>BRV CVT 1.5L</t>
  </si>
  <si>
    <t>L15Z14808536</t>
  </si>
  <si>
    <t>NFBDG1836NR025208</t>
  </si>
  <si>
    <t>CM-2021-0011-0491</t>
  </si>
  <si>
    <t>AKHLAQ AHMAD</t>
  </si>
  <si>
    <t>6R170277</t>
  </si>
  <si>
    <t>NF1AET306H1070260</t>
  </si>
  <si>
    <t>ABU-620</t>
  </si>
  <si>
    <t>CM-2021-0511-0499</t>
  </si>
  <si>
    <t>MUHAMMAD SHAFIQ GHORI</t>
  </si>
  <si>
    <t>TOYOTA COROLLA ALTIS 1.6</t>
  </si>
  <si>
    <t>Q079355</t>
  </si>
  <si>
    <t>ZRE171R-6056868</t>
  </si>
  <si>
    <t>AEL-083</t>
  </si>
  <si>
    <t>CM-2022-1297-0014</t>
  </si>
  <si>
    <t>MUHAMMAD SAFDAR</t>
  </si>
  <si>
    <t>6R242945</t>
  </si>
  <si>
    <t>NF1AET306H1142917</t>
  </si>
  <si>
    <t>ALN-770</t>
  </si>
  <si>
    <t>CI-2021-9876-4105</t>
  </si>
  <si>
    <t>PK0010014</t>
  </si>
  <si>
    <t>ASIF HUSSAIN</t>
  </si>
  <si>
    <t>Karvan</t>
  </si>
  <si>
    <t>JL466Q9N69U503017</t>
  </si>
  <si>
    <t>NKMAAB3D1N1016144</t>
  </si>
  <si>
    <t>AZZ-450</t>
  </si>
  <si>
    <t>CI-2022-0000-0918</t>
  </si>
  <si>
    <t>JAMSHED ALI AFAQ</t>
  </si>
  <si>
    <t>6R246796</t>
  </si>
  <si>
    <t>NF1AET306H1146777</t>
  </si>
  <si>
    <t>ALK-284</t>
  </si>
  <si>
    <t>CI-2022-2203-0009</t>
  </si>
  <si>
    <t>WAQAR MURTAZA</t>
  </si>
  <si>
    <t>6R246164</t>
  </si>
  <si>
    <t>NF1AET306H1146208</t>
  </si>
  <si>
    <t>AZZ-389</t>
  </si>
  <si>
    <t>CI-2022-2203-0013</t>
  </si>
  <si>
    <t>MUHAMMAD AFZAL ANSARI</t>
  </si>
  <si>
    <t>6R246160</t>
  </si>
  <si>
    <t>NF1AET306H1146182</t>
  </si>
  <si>
    <t>ALL-312</t>
  </si>
  <si>
    <t>CI-2022-2204-0005</t>
  </si>
  <si>
    <t>MIAN ANJUM SHAHZAD</t>
  </si>
  <si>
    <t>6R247893</t>
  </si>
  <si>
    <t>NF1AET306H1147868</t>
  </si>
  <si>
    <t>BAC-403</t>
  </si>
  <si>
    <t>CI-2022-2638-0003</t>
  </si>
  <si>
    <t>MUHAMMAD SHAFIQUE</t>
  </si>
  <si>
    <t>6R245321</t>
  </si>
  <si>
    <t>NF1AET306H1145303</t>
  </si>
  <si>
    <t>AZY-314</t>
  </si>
  <si>
    <t>CI-2022-2638-0007</t>
  </si>
  <si>
    <t>MUHAMMAD KHALID JAVED</t>
  </si>
  <si>
    <t>6R244776</t>
  </si>
  <si>
    <t>NF1AET306H1144906</t>
  </si>
  <si>
    <t>ALJ-482</t>
  </si>
  <si>
    <t>CI-2022-9897-0002</t>
  </si>
  <si>
    <t>MUHAMMAD YASIN</t>
  </si>
  <si>
    <t>6R246238</t>
  </si>
  <si>
    <t>NF1AET306H1146255</t>
  </si>
  <si>
    <t>ALM-911</t>
  </si>
  <si>
    <t>CM-2021-2205-0408</t>
  </si>
  <si>
    <t>MUHAMMAD AHSAN HAFEEZ</t>
  </si>
  <si>
    <t>HONDA CIVIC I VTEC ORIEL PT NAV UG</t>
  </si>
  <si>
    <t>R18Z16921838</t>
  </si>
  <si>
    <t>NFBFC6668MR074178</t>
  </si>
  <si>
    <t>AUK-354</t>
  </si>
  <si>
    <t>CM-2021-6501-0056</t>
  </si>
  <si>
    <t>KHAWAJA ADEEL ARSHAD</t>
  </si>
  <si>
    <t>PRINCE GLORY 580</t>
  </si>
  <si>
    <t>SFG15T-21013164</t>
  </si>
  <si>
    <t>PDF580PALR21H1495</t>
  </si>
  <si>
    <t>AUV-908</t>
  </si>
  <si>
    <t>CM-2021-6501-0314</t>
  </si>
  <si>
    <t>AHMAD KHAN</t>
  </si>
  <si>
    <t>SUZUKI WAGON R VXL PETROL</t>
  </si>
  <si>
    <t>PK10B217076</t>
  </si>
  <si>
    <t>A1J310PK10117047</t>
  </si>
  <si>
    <t>AEB-686</t>
  </si>
  <si>
    <t>CM-2021-7401-0172</t>
  </si>
  <si>
    <t>MUHAMMAD SHAHZAD ASHRAF</t>
  </si>
  <si>
    <t>PK10K179749</t>
  </si>
  <si>
    <t>NF1AVK31H10079743</t>
  </si>
  <si>
    <t>AEH-221</t>
  </si>
  <si>
    <t>CM-2021-9803-0148</t>
  </si>
  <si>
    <t>SHEIKH ZAFAR IQBAL</t>
  </si>
  <si>
    <t>ALTIS 1.6 AT</t>
  </si>
  <si>
    <t>Q077859</t>
  </si>
  <si>
    <t>ZRE171R-6055362</t>
  </si>
  <si>
    <t>AEF-547</t>
  </si>
  <si>
    <t>CM-2021-9803-0370</t>
  </si>
  <si>
    <t>SHARAFAT ALI</t>
  </si>
  <si>
    <t>SUZUKI SWIFT</t>
  </si>
  <si>
    <t>PKS13050615</t>
  </si>
  <si>
    <t>RS413PK10050547</t>
  </si>
  <si>
    <t>AUK-761</t>
  </si>
  <si>
    <t>CM-2021-9893-0356</t>
  </si>
  <si>
    <t>MUHAMMAD ASHRAF</t>
  </si>
  <si>
    <t>YARIS 1.5 ATIV X CVT</t>
  </si>
  <si>
    <t>2A32898</t>
  </si>
  <si>
    <t>NSP151R-9512528</t>
  </si>
  <si>
    <t>APPLIED FOR</t>
  </si>
  <si>
    <t>CI-2023-0881-0003</t>
  </si>
  <si>
    <t>PK0010016</t>
  </si>
  <si>
    <t>UMER FAROOQ</t>
  </si>
  <si>
    <t>PK10B196800</t>
  </si>
  <si>
    <t>A1J310PK10096793</t>
  </si>
  <si>
    <t>APB-532</t>
  </si>
  <si>
    <t>CM-2020-1201-0050</t>
  </si>
  <si>
    <t>PK0010017</t>
  </si>
  <si>
    <t>MOHSIN SHAFIQ</t>
  </si>
  <si>
    <t>HONDA CITY M/T</t>
  </si>
  <si>
    <t>L13Z17539111</t>
  </si>
  <si>
    <t>NFBGM1541LR261037</t>
  </si>
  <si>
    <t>ARC-136</t>
  </si>
  <si>
    <t>CM-2020-1902-0051</t>
  </si>
  <si>
    <t>NUMAN SHAFI</t>
  </si>
  <si>
    <t>6R136781</t>
  </si>
  <si>
    <t>NF1AET306H1036759</t>
  </si>
  <si>
    <t>ARC-129</t>
  </si>
  <si>
    <t>CM-2020-9821-0041</t>
  </si>
  <si>
    <t>MUHAMMAD SHAHBAZ</t>
  </si>
  <si>
    <t>BOLAN VX</t>
  </si>
  <si>
    <t>PKT1005183</t>
  </si>
  <si>
    <t>SV308PK01121694</t>
  </si>
  <si>
    <t>ARC-114</t>
  </si>
  <si>
    <t>CM-2021-0201-0197</t>
  </si>
  <si>
    <t>PK0010299</t>
  </si>
  <si>
    <t>MUHAMMAD IMRAN SHAKEEL KHAN</t>
  </si>
  <si>
    <t>TOYOTA YARIS ATIV 1.3 CVT</t>
  </si>
  <si>
    <t>2A33482</t>
  </si>
  <si>
    <t>NSP150R-7020748</t>
  </si>
  <si>
    <t>AEC 802</t>
  </si>
  <si>
    <t>CM-2021-0236-1148</t>
  </si>
  <si>
    <t>UZMA RIAZ</t>
  </si>
  <si>
    <t>HONDA BRV IVTEC S</t>
  </si>
  <si>
    <t>L15Z14806590</t>
  </si>
  <si>
    <t>NFBDG1833MR023270</t>
  </si>
  <si>
    <t>AEH 691</t>
  </si>
  <si>
    <t>CM-2021-0268-0671</t>
  </si>
  <si>
    <t>AHSAN ALI DOGAR</t>
  </si>
  <si>
    <t>SUZUKI CULTUS VXR</t>
  </si>
  <si>
    <t>PK10K177993</t>
  </si>
  <si>
    <t>NF1AVK31H10077990</t>
  </si>
  <si>
    <t>AEH 117</t>
  </si>
  <si>
    <t>CI-2022-0000-0915</t>
  </si>
  <si>
    <t>IMRAN HAIDER</t>
  </si>
  <si>
    <t>City 1.5LS CVT</t>
  </si>
  <si>
    <t>L15Z81010340</t>
  </si>
  <si>
    <t>NFBGN9647NR023500</t>
  </si>
  <si>
    <t>ALF 277</t>
  </si>
  <si>
    <t>1.25</t>
  </si>
  <si>
    <t>CM-2021-0214-0860</t>
  </si>
  <si>
    <t>USMAN IJAZ</t>
  </si>
  <si>
    <t>TOYOTA YARIS GLI CVT 1.3</t>
  </si>
  <si>
    <t>2A32567</t>
  </si>
  <si>
    <t>NSP150R-7020066</t>
  </si>
  <si>
    <t>ADW 916</t>
  </si>
  <si>
    <t>CM-2021-0254-1058</t>
  </si>
  <si>
    <t>MUHAMMAD NAEEM AHMAD</t>
  </si>
  <si>
    <t>TOYOTA YARIS GLI MT 1.3</t>
  </si>
  <si>
    <t>2A30010</t>
  </si>
  <si>
    <t>NSP150R-7018432</t>
  </si>
  <si>
    <t>ADY 750</t>
  </si>
  <si>
    <t>CI-2022-0274-0012</t>
  </si>
  <si>
    <t>MUHAMMAD USMAN AMEER</t>
  </si>
  <si>
    <t>6R246753</t>
  </si>
  <si>
    <t>NF1AET306H1146746</t>
  </si>
  <si>
    <t>ALL 356</t>
  </si>
  <si>
    <t>CI-2022-0290-0005</t>
  </si>
  <si>
    <t>SOHAIL ASLAM</t>
  </si>
  <si>
    <t>6R243675</t>
  </si>
  <si>
    <t>NF1AET306H1143655</t>
  </si>
  <si>
    <t>ALL-349</t>
  </si>
  <si>
    <t>CI-2022-1137-0002</t>
  </si>
  <si>
    <t>MUHAMMAD TAYYAB CHISHTI</t>
  </si>
  <si>
    <t>6R243763</t>
  </si>
  <si>
    <t>NF1AET306H1143696</t>
  </si>
  <si>
    <t>ALK 660</t>
  </si>
  <si>
    <t>CI-2022-0216-0008</t>
  </si>
  <si>
    <t>HAFIZ BILAL HAIDER</t>
  </si>
  <si>
    <t>PK10K200834</t>
  </si>
  <si>
    <t>NF1AVK31H10100831</t>
  </si>
  <si>
    <t>ALN 431</t>
  </si>
  <si>
    <t>CI-2022-0290-0010</t>
  </si>
  <si>
    <t>SHAJJAR ABBAS</t>
  </si>
  <si>
    <t>Corolla Altis 1.6 AT Special Edition</t>
  </si>
  <si>
    <t>Q098807</t>
  </si>
  <si>
    <t>ZRE171R-6076326</t>
  </si>
  <si>
    <t>ASK-572</t>
  </si>
  <si>
    <t>CI-2023-0221-0005</t>
  </si>
  <si>
    <t>PK0010300</t>
  </si>
  <si>
    <t>LAL ZAMAN AFRIDI</t>
  </si>
  <si>
    <t>Picanto AT</t>
  </si>
  <si>
    <t>G3LANP236313</t>
  </si>
  <si>
    <t>NNATA52AZPP712664</t>
  </si>
  <si>
    <t>APS 892</t>
  </si>
  <si>
    <t>CI-2023-0228-0024</t>
  </si>
  <si>
    <t>WAQAR SHAHID</t>
  </si>
  <si>
    <t>BR V CVT 1.5 L</t>
  </si>
  <si>
    <t>L15Z14811558</t>
  </si>
  <si>
    <t>NFBDG1834PR028238</t>
  </si>
  <si>
    <t>APS-992</t>
  </si>
  <si>
    <t>CI-2023-0285-0008</t>
  </si>
  <si>
    <t>WAHAJ AYUB</t>
  </si>
  <si>
    <t>Swift GLX CVT</t>
  </si>
  <si>
    <t>K12MR1015664</t>
  </si>
  <si>
    <t>NF1SZC63S00115665</t>
  </si>
  <si>
    <t>AQB-028</t>
  </si>
  <si>
    <t>CM-2021-0228-0758</t>
  </si>
  <si>
    <t>MUHAMMAD WASEEM ASLAM</t>
  </si>
  <si>
    <t>L15Z14806017</t>
  </si>
  <si>
    <t>NFBDG1836MR022694</t>
  </si>
  <si>
    <t>ADY-276</t>
  </si>
  <si>
    <t>CM-2021-0241-0733</t>
  </si>
  <si>
    <t>MUHAMMAD IMRAN</t>
  </si>
  <si>
    <t>KIA PICANTO AT</t>
  </si>
  <si>
    <t>G3LANP069151</t>
  </si>
  <si>
    <t>NNATA52AZKP710033</t>
  </si>
  <si>
    <t>ALQ-325</t>
  </si>
  <si>
    <t>CM-2021-1135-0539</t>
  </si>
  <si>
    <t>ALI SALMAN SHER</t>
  </si>
  <si>
    <t>G3LANP037980</t>
  </si>
  <si>
    <t>NNATA52AZKP710461</t>
  </si>
  <si>
    <t>ALH-851</t>
  </si>
  <si>
    <t>CI-2022-0000-0346</t>
  </si>
  <si>
    <t>PK0010499</t>
  </si>
  <si>
    <t>SHARJEEL SULTAN</t>
  </si>
  <si>
    <t>Suzuki Alto AGS</t>
  </si>
  <si>
    <t>6R246438</t>
  </si>
  <si>
    <t>NF1AET306H1146238</t>
  </si>
  <si>
    <t>AZX-402-ICT</t>
  </si>
  <si>
    <t>CI-2022-0000-0808</t>
  </si>
  <si>
    <t>MUHAMMAD SARFRAZ AHMAD</t>
  </si>
  <si>
    <t>6R248224</t>
  </si>
  <si>
    <t>NF1AET306H1148227</t>
  </si>
  <si>
    <t>ALR-529-PUNJAB</t>
  </si>
  <si>
    <t>CI-2022-0411-0025</t>
  </si>
  <si>
    <t>TARIQ MAHMOOD</t>
  </si>
  <si>
    <t>PK10B238650</t>
  </si>
  <si>
    <t>A1J310PK10138643</t>
  </si>
  <si>
    <t>ALX-521-ICT</t>
  </si>
  <si>
    <t>CI-2022-0412-0013</t>
  </si>
  <si>
    <t>MUHAMMAD USMAN</t>
  </si>
  <si>
    <t>6R246741</t>
  </si>
  <si>
    <t>NF1AET306H1146511</t>
  </si>
  <si>
    <t>BAB-583-ICT</t>
  </si>
  <si>
    <t>CI-2022-0415-0008</t>
  </si>
  <si>
    <t>ASAD REHMAN</t>
  </si>
  <si>
    <t>6R247874</t>
  </si>
  <si>
    <t>NF1AET306H1147882</t>
  </si>
  <si>
    <t>BAA-564-ICT</t>
  </si>
  <si>
    <t>CI-2022-0431-0014</t>
  </si>
  <si>
    <t>BILAL AHMAD</t>
  </si>
  <si>
    <t>6R248184</t>
  </si>
  <si>
    <t>NF1AET306H1148153</t>
  </si>
  <si>
    <t>BAB-940-ICT</t>
  </si>
  <si>
    <t>CI-2022-0432-0007</t>
  </si>
  <si>
    <t>SAJID ALI</t>
  </si>
  <si>
    <t>6R246740</t>
  </si>
  <si>
    <t>NF1AET306H1146295</t>
  </si>
  <si>
    <t>NA-253-ICT</t>
  </si>
  <si>
    <t>CI-2022-3301-0006</t>
  </si>
  <si>
    <t>MUHAMMAD JAMIL</t>
  </si>
  <si>
    <t>6R243876</t>
  </si>
  <si>
    <t>NF1AET306H1143861</t>
  </si>
  <si>
    <t>AZX-475-ICT</t>
  </si>
  <si>
    <t>CI-2022-9867-0013</t>
  </si>
  <si>
    <t>MUHAMMAD MUSA KHAN</t>
  </si>
  <si>
    <t>PK10K199954</t>
  </si>
  <si>
    <t>NF1AVK31H10099957</t>
  </si>
  <si>
    <t>AZX-508-ICT</t>
  </si>
  <si>
    <t>CI-2023-0404-0022</t>
  </si>
  <si>
    <t>KALIM AHMED</t>
  </si>
  <si>
    <t>Corolla GLI MT 1.3</t>
  </si>
  <si>
    <t>Z397970</t>
  </si>
  <si>
    <t>NZE170R-4063528</t>
  </si>
  <si>
    <t>LEB-16-140</t>
  </si>
  <si>
    <t>CI-2023-0482-0007</t>
  </si>
  <si>
    <t>MUHAMMAD IRTIZA QADEER</t>
  </si>
  <si>
    <t>BRV S CVT</t>
  </si>
  <si>
    <t>L15Z13510816</t>
  </si>
  <si>
    <t>NFBDG183XJR010818</t>
  </si>
  <si>
    <t>AKX-341-ICT</t>
  </si>
  <si>
    <t>CI-2023-9869-0003</t>
  </si>
  <si>
    <t>ZUBAIR AHMAD</t>
  </si>
  <si>
    <t>PK10K119739</t>
  </si>
  <si>
    <t>NF1AVK31H10019723</t>
  </si>
  <si>
    <t>LEE-18-5969</t>
  </si>
  <si>
    <t>CM-2020-0499-0036</t>
  </si>
  <si>
    <t>MUHAMMAD ANWAR</t>
  </si>
  <si>
    <t>TOYOTA COROLLA ALTIS A/T 1.6</t>
  </si>
  <si>
    <t>Q066565</t>
  </si>
  <si>
    <t>ZRE171R-6044048</t>
  </si>
  <si>
    <t>ARB-978</t>
  </si>
  <si>
    <t>CM-2020-3301-0486</t>
  </si>
  <si>
    <t>BILAL ANJUM</t>
  </si>
  <si>
    <t>SUZUKI BOLAN VX PETROL</t>
  </si>
  <si>
    <t>PKT1005235</t>
  </si>
  <si>
    <t>SV308PK01121746</t>
  </si>
  <si>
    <t>ARD-779</t>
  </si>
  <si>
    <t>CM-2021-0406-0136</t>
  </si>
  <si>
    <t>GHULAM MOHI UDDEEN</t>
  </si>
  <si>
    <t>HONDA CITY AT 1.3</t>
  </si>
  <si>
    <t>L13Z17503828</t>
  </si>
  <si>
    <t>NFBGM1546HR214707</t>
  </si>
  <si>
    <t>LEH-18-6399</t>
  </si>
  <si>
    <t>CM-2021-0406-0579</t>
  </si>
  <si>
    <t>RASHID SAEED</t>
  </si>
  <si>
    <t>TOYOTA YARIS 1.5 ATIV XCVT</t>
  </si>
  <si>
    <t>2A33146</t>
  </si>
  <si>
    <t>NSP151R-9512591</t>
  </si>
  <si>
    <t>AUG-758-ICT</t>
  </si>
  <si>
    <t>Policy No.</t>
  </si>
  <si>
    <t>sfaafrazzzzzzzzzzzzzzzzzzzzzzzzzzzzzzzzzzzzzzzzzzzzzzzzzzzzzzzzzzzzzzzzzzzzzzzzzzzzzzzzzzzzzzzzzzzzzzzzzzzzzzzzzzzzzzzzzzzzzzzzzzzzzzzzzzzzzzzzzzzzzzzzzzzzzzzzzzzzzzzzzzzzzzzzzzzzzzzzzzzzzzzzzzzzzzzzzzzzzzzzzzzzzzzzzzzzzzzzzzzzzzzzzzzzzz</t>
  </si>
  <si>
    <t>KHI/HO/D/MO/PC COMP/C/96079/1/08/2024</t>
  </si>
  <si>
    <t>KHI/HO/D/MO/PC COMP/C/96079/4/08/2024</t>
  </si>
  <si>
    <t>KHI/HO/D/MO/PC COMP/C/96079/5/08/2024</t>
  </si>
  <si>
    <t>KHI/HO/D/MO/PC COMP/C/96079/11/08/2024</t>
  </si>
  <si>
    <t>KHI/HO/D/MO/PC COMP/C/96079/3/08/2024</t>
  </si>
  <si>
    <t>KHI/HO/D/MO/PC COMP/C/96079/12/08/2024</t>
  </si>
  <si>
    <t>KHI/HO/D/MO/PC COMP/C/96079/6/08/2024</t>
  </si>
  <si>
    <t>KHI/HO/D/MO/PC COMP/C/96079/9/08/2024</t>
  </si>
  <si>
    <t>KHI/HO/D/MO/PC COMP/C/96079/10/08/2024</t>
  </si>
  <si>
    <t>KHI/HO/D/MO/PC COMP/C/96079/7/08/2024</t>
  </si>
  <si>
    <t>KHI/HO/D/MO/PC COMP/C/96079/2/08/2024</t>
  </si>
  <si>
    <t>KHI/HO/D/MO/PC COMP/C/96079/8/08/2024</t>
  </si>
  <si>
    <t>KHI/HO/D/MO/PC COMP/C/96078/4/08/2024</t>
  </si>
  <si>
    <t>KHI/HO/D/MO/PC COMP/C/96078/1/08/2024</t>
  </si>
  <si>
    <t>KHI/HO/D/MO/PC COMP/C/96078/5/08/2024</t>
  </si>
  <si>
    <t>KHI/HO/D/MO/PC COMP/C/96078/2/08/2024</t>
  </si>
  <si>
    <t>KHI/HO/D/MO/PC COMP/C/96078/3/08/2024</t>
  </si>
  <si>
    <t>KHI/HO/D/MO/PC COMP/C/96105/1/08/2024</t>
  </si>
  <si>
    <t>KHI/HO/D/MO/PC COMP/C/96106/1/08/2024</t>
  </si>
  <si>
    <t>KHI/HO/D/MO/PC COMP/C/96101/1/08/2024</t>
  </si>
  <si>
    <t>KHI/HO/D/MO/PC COMP/C/96214/2/08/2024</t>
  </si>
  <si>
    <t>KHI/HO/D/MO/PC COMP/C/96214/1/08/2024</t>
  </si>
  <si>
    <t>KHI/HO/D/MO/PC COMP/C/96216/2/08/2024</t>
  </si>
  <si>
    <t>KHI/HO/D/MO/PC COMP/C/96215/2/08/2024</t>
  </si>
  <si>
    <t>KHI/HO/D/MO/PC COMP/C/96215/1/08/2024</t>
  </si>
  <si>
    <t>KHI/HO/D/MO/PC COMP/C/96132/1/08/2024</t>
  </si>
  <si>
    <t>KHI/HO/D/MO/PC COMP/C/96134/1/08/2024</t>
  </si>
  <si>
    <t>KHI/HO/D/MO/PC COMP/C/96133/1/08/2024</t>
  </si>
  <si>
    <t>KHI/HO/D/MO/PC COMP/C/96135/1/08/2024</t>
  </si>
  <si>
    <t>KHI/HO/D/MO/PC COMP/C/96337/3/08/2024</t>
  </si>
  <si>
    <t>KHI/HO/D/MO/PC COMP/C/96212/1/08/2024</t>
  </si>
  <si>
    <t>KHI/HO/D/MO/PC COMP/C/96210/1/08/2024</t>
  </si>
  <si>
    <t>KHI/HO/D/MO/PC COMP/C/96209/2/08/2024</t>
  </si>
  <si>
    <t>KHI/HO/D/MO/PC COMP/C/96209/1/08/2024</t>
  </si>
  <si>
    <t>KHI/HO/D/MO/PC COMP/C/96211/1/08/2024</t>
  </si>
  <si>
    <t>KHI/HO/D/MO/PC COMP/C/96208/1/08/2024</t>
  </si>
  <si>
    <t>KHI/HO/D/MO/PC COMP/C/96208/2/08/2024</t>
  </si>
  <si>
    <t>KHI/HO/D/MO/PC COMP/C/95806/1/08/2024</t>
  </si>
  <si>
    <t>KHI/HO/D/MO/PC COMP/C/95806/2/08/2024</t>
  </si>
  <si>
    <t>KHI/HO/D/MO/PC COMP/C/95808/2/08/2024</t>
  </si>
  <si>
    <t>KHI/HO/D/MO/PC COMP/C/95808/3/08/2024</t>
  </si>
  <si>
    <t>KHI/HO/D/MO/PC COMP/C/95806/3/08/2024</t>
  </si>
  <si>
    <t>KHI/HO/D/MO/PC COMP/C/95808/1/08/2024</t>
  </si>
  <si>
    <t>KHI/HO/D/MO/PC COMP/C/96142/3/08/2024</t>
  </si>
  <si>
    <t>KHI/HO/D/MO/PC COMP/C/96148/3/08/2024</t>
  </si>
  <si>
    <t>KHI/HO/D/MO/PC COMP/C/96148/2/08/2024</t>
  </si>
  <si>
    <t>KHI/HO/D/MO/PC COMP/C/96148/1/08/2024</t>
  </si>
  <si>
    <t>KHI/HO/D/MO/PC COMP/C/96148/6/08/2024</t>
  </si>
  <si>
    <t>KHI/HO/D/MO/PC COMP/C/96142/1/08/2024</t>
  </si>
  <si>
    <t>KHI/HO/D/MO/PC COMP/C/96148/5/08/2024</t>
  </si>
  <si>
    <t>KHI/HO/D/MO/PC COMP/C/96148/4/08/2024</t>
  </si>
  <si>
    <t>KHI/HO/D/MO/PC COMP/C/96141/2/08/2024</t>
  </si>
  <si>
    <t>KHI/HO/D/MO/PC COMP/C/96141/1/08/2024</t>
  </si>
  <si>
    <t>KHI/HO/D/MO/PC COMP/C/96143/1/08/2024</t>
  </si>
  <si>
    <t>KHI/HO/D/MO/PC COMP/C/96147/1/08/2024</t>
  </si>
  <si>
    <t>KHI/HO/D/MO/PC COMP/C/96142/2/08/2024</t>
  </si>
  <si>
    <t>KHI/HO/D/MO/PC COMP/C/96170/6/08/2024</t>
  </si>
  <si>
    <t>KHI/HO/D/MO/PC COMP/C/96170/5/08/2024</t>
  </si>
  <si>
    <t>KHI/HO/D/MO/PC COMP/C/96170/7/08/2024</t>
  </si>
  <si>
    <t>KHI/HO/D/MO/PC COMP/C/96170/3/08/2024</t>
  </si>
  <si>
    <t>KHI/HO/D/MO/PC COMP/C/96170/8/08/2024</t>
  </si>
  <si>
    <t>KHI/HO/D/MO/PC COMP/C/96170/2/08/2024</t>
  </si>
  <si>
    <t>KHI/HO/D/MO/PC COMP/C/96170/1/08/2024</t>
  </si>
  <si>
    <t>KHI/HO/D/MO/PC COMP/C/96169/5/08/2024</t>
  </si>
  <si>
    <t>KHI/HO/D/MO/PC COMP/C/96169/7/08/2024</t>
  </si>
  <si>
    <t>KHI/HO/D/MO/PC COMP/C/96169/3/08/2024</t>
  </si>
  <si>
    <t>KHI/HO/D/MO/PC COMP/C/96169/2/08/2024</t>
  </si>
  <si>
    <t>KHI/HO/D/MO/PC COMP/C/96169/6/08/2024</t>
  </si>
  <si>
    <t>KHI/HO/D/MO/PC COMP/C/96169/1/08/2024</t>
  </si>
  <si>
    <t>KHI/HO/D/MO/PC COMP/C/96169/4/08/2024</t>
  </si>
  <si>
    <t>KHI/HO/D/MO/PC COMP/C/96224/1/08/2024</t>
  </si>
  <si>
    <t>KHI/HO/D/MO/PC COMP/C/96221/2/08/2024</t>
  </si>
  <si>
    <t>KHI/HO/D/MO/PC COMP/C/96221/3/08/2024</t>
  </si>
  <si>
    <t>KHI/HO/D/MO/PC COMP/C/96221/1/08/2024</t>
  </si>
  <si>
    <t>KHI/HO/D/MO/PC COMP/C/96090/1/08/2024</t>
  </si>
  <si>
    <t>KHI/HO/D/MO/PC COMP/C/96090/2/08/2024</t>
  </si>
  <si>
    <t>KHI/HO/D/MO/PC COMP/C/96090/3/08/2024</t>
  </si>
  <si>
    <t>KHI/HO/D/MO/PC COMP/C/95806/4/08/2024</t>
  </si>
  <si>
    <t>KHI/HO/D/MO/PC COMP/C/95799/1/08/2024</t>
  </si>
  <si>
    <t>KHI/HO/D/MO/PC COMP/C/95799/2/08/2024</t>
  </si>
  <si>
    <t>KHI/HO/D/MO/PC COMP/C/95809/3/08/2024</t>
  </si>
  <si>
    <t>KHI/HO/D/MO/PC COMP/C/95809/2/08/2024</t>
  </si>
  <si>
    <t>KHI/HO/D/MO/PC COMP/C/95809/1/08/2024</t>
  </si>
  <si>
    <t>KHI/HO/D/MO/PC COMP/C/95809/4/08/2024</t>
  </si>
  <si>
    <t>KHI/HO/D/MO/PC COMP/C/95809/5/08/2024</t>
  </si>
  <si>
    <t>KHI/HO/D/MO/PC COMP/C/96103/1/08/2024</t>
  </si>
  <si>
    <t>KHI/HO/D/MO/PC COMP/C/96094/1/08/2024</t>
  </si>
  <si>
    <t>KHI/HO/D/MO/PC COMP/C/96094/2/08/2024</t>
  </si>
  <si>
    <t>KHI/HO/D/MO/PC COMP/C/96086/1/08/2024</t>
  </si>
  <si>
    <t>KHI/HO/D/MO/PC COMP/C/96091/1/08/2024</t>
  </si>
  <si>
    <t>KHI/HO/D/MO/PC COMP/C/95806/5/08/2024</t>
  </si>
  <si>
    <t>KHI/HO/D/MO/PC COMP/C/96111/2/08/2024</t>
  </si>
  <si>
    <t>KHI/HO/D/MO/PC COMP/C/96111/8/08/2024</t>
  </si>
  <si>
    <t>KHI/HO/D/MO/PC COMP/C/96111/9/08/2024</t>
  </si>
  <si>
    <t>KHI/HO/D/MO/PC COMP/C/96111/7/08/2024</t>
  </si>
  <si>
    <t>KHI/HO/D/MO/PC COMP/C/96111/5/08/2024</t>
  </si>
  <si>
    <t>KHI/HO/D/MO/PC COMP/C/96111/6/08/2024</t>
  </si>
  <si>
    <t>KHI/HO/D/MO/PC COMP/C/96111/3/08/2024</t>
  </si>
  <si>
    <t>KHI/HO/D/MO/PC COMP/C/96111/1/08/2024</t>
  </si>
  <si>
    <t>KHI/HO/D/MO/PC COMP/C/96111/4/08/2024</t>
  </si>
  <si>
    <t>KHI/HO/D/MO/PC COMP/C/96337/4/08/2024</t>
  </si>
  <si>
    <t>KHI/HO/D/MO/PC COMP/C/96337/1/08/2024</t>
  </si>
  <si>
    <t>KHI/HO/D/MO/PC COMP/C/96337/2/08/2024</t>
  </si>
  <si>
    <t>KHI/HO/D/MO/PC COMP/C/96336/1/08/2024</t>
  </si>
  <si>
    <t>KHI/HO/D/MO/PC COMP/C/96336/2/08/2024</t>
  </si>
  <si>
    <t>KHI/HO/D/MO/PC COMP/C/96110/2/08/2024</t>
  </si>
  <si>
    <t>KHI/HO/D/MO/PC COMP/C/96110/1/08/2024</t>
  </si>
  <si>
    <t>TMS Premium</t>
  </si>
  <si>
    <t>Difference Amounr</t>
  </si>
  <si>
    <t>KHI/HO/D/MO/PC COMP/C/96096/1/08/2024</t>
  </si>
  <si>
    <t>Endorsement No.</t>
  </si>
  <si>
    <t xml:space="preserve">KHI/HO/D/MO/PC COMP/E/46138/00002/09/202    </t>
  </si>
  <si>
    <t>KHI/HO/D/MO/PC COMP/E/46138/00006/09/2024</t>
  </si>
  <si>
    <t>KHI/HO/D/MO/PC COMP/E/46140/00004/09/2024</t>
  </si>
  <si>
    <t>KHI/HO/D/MO/PC COMP/P/96097/01/08/2024</t>
  </si>
  <si>
    <t>KHI/HO/D/MO/PC COMP/P/96216/01/08/2024</t>
  </si>
  <si>
    <t>KHI/HO/D/MO/PC COMP/P/96170/04/08/2024</t>
  </si>
  <si>
    <t>CI-2021-0116-2014</t>
  </si>
  <si>
    <t>JAMAL KHAN SARHADI</t>
  </si>
  <si>
    <t>AQUA</t>
  </si>
  <si>
    <t>1NZ-572492 -1NZR572492</t>
  </si>
  <si>
    <t>NHP10-6658754</t>
  </si>
  <si>
    <t>BTA-374</t>
  </si>
  <si>
    <t>CI-2023-0000-0193</t>
  </si>
  <si>
    <t>Tucson FWD AT GLS Sport</t>
  </si>
  <si>
    <t>G4NAPU344750</t>
  </si>
  <si>
    <t>PMH2813MPN214353</t>
  </si>
  <si>
    <t>BCJ-656</t>
  </si>
  <si>
    <t>CI-2023-7702-0009</t>
  </si>
  <si>
    <t>MUHAMMAD AHSAN</t>
  </si>
  <si>
    <t>Civic 1.8 i VTEC CVT</t>
  </si>
  <si>
    <t>R18Z12905966</t>
  </si>
  <si>
    <t>NFBFC666GR008426</t>
  </si>
  <si>
    <t>LEA-16A-8967</t>
  </si>
  <si>
    <t>KHI/HO/D/MO/PC COMP/C/96145/1/08/2024</t>
  </si>
  <si>
    <t>KHI/HO/D/MO/PC COMP/C/96141/3/08/2024</t>
  </si>
  <si>
    <t>KHI/HO/D/MO/PC COMP/C/96096/2/08/2024</t>
  </si>
  <si>
    <t>-08-2024</t>
  </si>
  <si>
    <t xml:space="preserve"> </t>
  </si>
  <si>
    <t>00001</t>
  </si>
  <si>
    <t>00004</t>
  </si>
  <si>
    <t>00005</t>
  </si>
  <si>
    <t>000011</t>
  </si>
  <si>
    <t>00003</t>
  </si>
  <si>
    <t>000012</t>
  </si>
  <si>
    <t>00006</t>
  </si>
  <si>
    <t>00009</t>
  </si>
  <si>
    <t>000010</t>
  </si>
  <si>
    <t>00007</t>
  </si>
  <si>
    <t>00002</t>
  </si>
  <si>
    <t>00008</t>
  </si>
  <si>
    <t>070000164636</t>
  </si>
  <si>
    <t>070000164352</t>
  </si>
  <si>
    <t>070000164354</t>
  </si>
  <si>
    <t>070000164375</t>
  </si>
  <si>
    <t>070000164374</t>
  </si>
  <si>
    <t>070000164373</t>
  </si>
  <si>
    <t>070000164638</t>
  </si>
  <si>
    <t>070000164632</t>
  </si>
  <si>
    <t>070000164633</t>
  </si>
  <si>
    <t>070000164370</t>
  </si>
  <si>
    <t>070000164371</t>
  </si>
  <si>
    <t>070000164635</t>
  </si>
  <si>
    <t>070000164368</t>
  </si>
  <si>
    <t>25Sep240053</t>
  </si>
  <si>
    <t>070000164687</t>
  </si>
  <si>
    <t>070000164651</t>
  </si>
  <si>
    <t>070000164654</t>
  </si>
  <si>
    <t>070000164656</t>
  </si>
  <si>
    <t>070000164844</t>
  </si>
  <si>
    <t>070000164653</t>
  </si>
  <si>
    <t>070000164657</t>
  </si>
  <si>
    <t>070000164660</t>
  </si>
  <si>
    <t>070000164658</t>
  </si>
  <si>
    <t>070000164652</t>
  </si>
  <si>
    <t>070000164659</t>
  </si>
  <si>
    <t>070000164649</t>
  </si>
  <si>
    <t>070000164646</t>
  </si>
  <si>
    <t>070000164650</t>
  </si>
  <si>
    <t>070000164647</t>
  </si>
  <si>
    <t>070000164648</t>
  </si>
  <si>
    <t>070000164705</t>
  </si>
  <si>
    <t>070000164708</t>
  </si>
  <si>
    <t>070000164693</t>
  </si>
  <si>
    <t>070000164715</t>
  </si>
  <si>
    <t>070000164769</t>
  </si>
  <si>
    <t>070000164376</t>
  </si>
  <si>
    <t>070000164712</t>
  </si>
  <si>
    <t>070000164702</t>
  </si>
  <si>
    <t>070000164831</t>
  </si>
  <si>
    <t>070000164830</t>
  </si>
  <si>
    <t>070000164829</t>
  </si>
  <si>
    <t>070000164835</t>
  </si>
  <si>
    <t>070000164834</t>
  </si>
  <si>
    <t>070000164737</t>
  </si>
  <si>
    <t>070000164740</t>
  </si>
  <si>
    <t>070000164738</t>
  </si>
  <si>
    <t>070000164741</t>
  </si>
  <si>
    <t>070000164922</t>
  </si>
  <si>
    <t>070000164822</t>
  </si>
  <si>
    <t>070000164816</t>
  </si>
  <si>
    <t>070000164815</t>
  </si>
  <si>
    <t>070000164814</t>
  </si>
  <si>
    <t>070000164821</t>
  </si>
  <si>
    <t>070000164806</t>
  </si>
  <si>
    <t>070000164808</t>
  </si>
  <si>
    <t>070000164755</t>
  </si>
  <si>
    <t>070000164771</t>
  </si>
  <si>
    <t>070000164770</t>
  </si>
  <si>
    <t>070000164774</t>
  </si>
  <si>
    <t>070000164752</t>
  </si>
  <si>
    <t>070000164773</t>
  </si>
  <si>
    <t>070000164772</t>
  </si>
  <si>
    <t>070000164749</t>
  </si>
  <si>
    <t>070000164748</t>
  </si>
  <si>
    <t>070000164756</t>
  </si>
  <si>
    <t>070000164768</t>
  </si>
  <si>
    <t>070000164754</t>
  </si>
  <si>
    <t>070000164794</t>
  </si>
  <si>
    <t>070000164793</t>
  </si>
  <si>
    <t>070000164795</t>
  </si>
  <si>
    <t>070000164791</t>
  </si>
  <si>
    <t>070000164796</t>
  </si>
  <si>
    <t>070000164790</t>
  </si>
  <si>
    <t>070000164789</t>
  </si>
  <si>
    <t>070000164783</t>
  </si>
  <si>
    <t>070000164788</t>
  </si>
  <si>
    <t>070000164780</t>
  </si>
  <si>
    <t>070000164778</t>
  </si>
  <si>
    <t>070000164785</t>
  </si>
  <si>
    <t>070000164777</t>
  </si>
  <si>
    <t>070000164782</t>
  </si>
  <si>
    <t>070000164841</t>
  </si>
  <si>
    <t>070000164842</t>
  </si>
  <si>
    <t>070000164840</t>
  </si>
  <si>
    <t>070000164672</t>
  </si>
  <si>
    <t>070000164673</t>
  </si>
  <si>
    <t>070000164674</t>
  </si>
  <si>
    <t>070000164377</t>
  </si>
  <si>
    <t>070000164684</t>
  </si>
  <si>
    <t>070000164679</t>
  </si>
  <si>
    <t>070000164680</t>
  </si>
  <si>
    <t>070000164670</t>
  </si>
  <si>
    <t>070000164677</t>
  </si>
  <si>
    <t>070000164719</t>
  </si>
  <si>
    <t>070000164727</t>
  </si>
  <si>
    <t>070000164728</t>
  </si>
  <si>
    <t>070000164726</t>
  </si>
  <si>
    <t>070000164723</t>
  </si>
  <si>
    <t>070000164725</t>
  </si>
  <si>
    <t>070000164720</t>
  </si>
  <si>
    <t>070000164718</t>
  </si>
  <si>
    <t>070000164721</t>
  </si>
  <si>
    <t>070000164923</t>
  </si>
  <si>
    <t>070000164920</t>
  </si>
  <si>
    <t>070000164921</t>
  </si>
  <si>
    <t>070000164925</t>
  </si>
  <si>
    <t>070000164927</t>
  </si>
  <si>
    <t>070000164750</t>
  </si>
  <si>
    <t>070000164759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</si>
</sst>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5" fontId="0" fillId="0" borderId="4" xfId="0" applyNumberFormat="1" applyBorder="1"/>
    <xf numFmtId="165" fontId="0" fillId="0" borderId="4" xfId="1" applyNumberFormat="1" applyFont="1" applyBorder="1"/>
    <xf numFmtId="0" fontId="0" fillId="0" borderId="5" xfId="0" applyBorder="1"/>
    <xf numFmtId="0" fontId="0" fillId="0" borderId="6" xfId="0" applyBorder="1"/>
    <xf numFmtId="15" fontId="0" fillId="0" borderId="6" xfId="0" applyNumberFormat="1" applyBorder="1"/>
    <xf numFmtId="165" fontId="0" fillId="0" borderId="6" xfId="1" applyNumberFormat="1" applyFont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/>
    <xf numFmtId="165" fontId="0" fillId="3" borderId="6" xfId="1" applyNumberFormat="1" applyFont="1" applyFill="1" applyBorder="1"/>
    <xf numFmtId="165" fontId="0" fillId="3" borderId="7" xfId="0" applyNumberFormat="1" applyFill="1" applyBorder="1"/>
    <xf numFmtId="0" fontId="0" fillId="3" borderId="1" xfId="0" applyFill="1" applyBorder="1"/>
    <xf numFmtId="165" fontId="0" fillId="3" borderId="1" xfId="1" applyNumberFormat="1" applyFont="1" applyFill="1" applyBorder="1"/>
    <xf numFmtId="165" fontId="0" fillId="3" borderId="12" xfId="0" applyNumberFormat="1" applyFill="1" applyBorder="1"/>
    <xf numFmtId="0" fontId="0" fillId="3" borderId="4" xfId="0" applyFill="1" applyBorder="1"/>
    <xf numFmtId="165" fontId="0" fillId="3" borderId="4" xfId="1" applyNumberFormat="1" applyFont="1" applyFill="1" applyBorder="1"/>
    <xf numFmtId="165" fontId="0" fillId="3" borderId="13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4" xfId="0" applyFill="1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165" fontId="2" fillId="4" borderId="15" xfId="0" applyNumberFormat="1" applyFont="1" applyFill="1" applyBorder="1"/>
    <xf numFmtId="0" fontId="0" fillId="0" borderId="0" xfId="0" applyAlignment="1">
      <alignment vertical="top"/>
    </xf>
    <xf numFmtId="165" fontId="3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4" fillId="0" borderId="0" xfId="0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topLeftCell="I1" zoomScale="85" zoomScaleNormal="85" workbookViewId="0">
      <pane ySplit="1" topLeftCell="A80" activePane="bottomLeft" state="frozen"/>
      <selection pane="bottomLeft" activeCell="Q92" sqref="Q92"/>
    </sheetView>
  </sheetViews>
  <sheetFormatPr defaultRowHeight="15" x14ac:dyDescent="0.25"/>
  <cols>
    <col min="1" max="1" width="18.28515625" style="17" bestFit="1" customWidth="1"/>
    <col min="2" max="2" width="10.28515625" bestFit="1" customWidth="1"/>
    <col min="3" max="3" width="33.42578125" bestFit="1" customWidth="1"/>
    <col min="4" max="4" width="35.140625" bestFit="1" customWidth="1"/>
    <col min="5" max="5" width="23.5703125" bestFit="1" customWidth="1"/>
    <col min="6" max="6" width="21" bestFit="1" customWidth="1"/>
    <col min="7" max="7" width="211" bestFit="1" customWidth="1"/>
    <col min="8" max="8" width="9.85546875" bestFit="1" customWidth="1"/>
    <col min="9" max="9" width="11" bestFit="1" customWidth="1"/>
    <col min="10" max="10" width="11.85546875" bestFit="1" customWidth="1"/>
    <col min="11" max="11" width="14.140625" bestFit="1" customWidth="1"/>
    <col min="12" max="12" width="17" bestFit="1" customWidth="1"/>
    <col min="13" max="13" width="19" bestFit="1" customWidth="1"/>
    <col min="14" max="14" width="21" bestFit="1" customWidth="1"/>
    <col min="15" max="15" width="42.28515625" bestFit="1" customWidth="1"/>
    <col min="16" max="16" width="45.85546875" bestFit="1" customWidth="1"/>
    <col min="17" max="17" width="13.5703125" bestFit="1" customWidth="1"/>
    <col min="18" max="18" width="18.28515625" bestFit="1" customWidth="1"/>
  </cols>
  <sheetData>
    <row r="1" spans="1:18" s="4" customFormat="1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647</v>
      </c>
      <c r="P1" s="15" t="s">
        <v>759</v>
      </c>
      <c r="Q1" s="15" t="s">
        <v>756</v>
      </c>
      <c r="R1" s="16" t="s">
        <v>757</v>
      </c>
    </row>
    <row r="2" spans="1:18" x14ac:dyDescent="0.25">
      <c r="A2" s="10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2">
        <v>45519</v>
      </c>
      <c r="I2" s="12">
        <v>45884</v>
      </c>
      <c r="J2" s="11" t="s">
        <v>21</v>
      </c>
      <c r="K2" s="13">
        <v>1552770</v>
      </c>
      <c r="L2" s="13">
        <v>23292</v>
      </c>
      <c r="M2" s="11" t="s">
        <v>22</v>
      </c>
      <c r="N2" s="29" t="s">
        <v>146</v>
      </c>
      <c r="O2" s="26" t="s">
        <v>758</v>
      </c>
      <c r="P2" s="27"/>
      <c r="Q2" s="18">
        <v>23292</v>
      </c>
      <c r="R2" s="19">
        <v>0</v>
      </c>
    </row>
    <row r="3" spans="1:18" x14ac:dyDescent="0.25">
      <c r="A3" s="5" t="s">
        <v>23</v>
      </c>
      <c r="B3" s="1" t="s">
        <v>15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2">
        <v>45514</v>
      </c>
      <c r="I3" s="2">
        <v>45879</v>
      </c>
      <c r="J3" s="1" t="s">
        <v>21</v>
      </c>
      <c r="K3" s="3">
        <v>1867050</v>
      </c>
      <c r="L3" s="3">
        <v>28006</v>
      </c>
      <c r="M3" s="1" t="s">
        <v>22</v>
      </c>
      <c r="N3" s="30" t="s">
        <v>146</v>
      </c>
      <c r="O3" s="26" t="s">
        <v>649</v>
      </c>
      <c r="P3" s="20"/>
      <c r="Q3" s="21">
        <v>28006</v>
      </c>
      <c r="R3" s="22">
        <v>0</v>
      </c>
    </row>
    <row r="4" spans="1:18" x14ac:dyDescent="0.25">
      <c r="A4" s="5" t="s">
        <v>29</v>
      </c>
      <c r="B4" s="1" t="s">
        <v>15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2">
        <v>45519</v>
      </c>
      <c r="I4" s="2">
        <v>45884</v>
      </c>
      <c r="J4" s="1" t="s">
        <v>21</v>
      </c>
      <c r="K4" s="3">
        <v>1057860</v>
      </c>
      <c r="L4" s="3">
        <v>15868</v>
      </c>
      <c r="M4" s="1" t="s">
        <v>22</v>
      </c>
      <c r="N4" s="30" t="s">
        <v>146</v>
      </c>
      <c r="O4" s="26" t="s">
        <v>650</v>
      </c>
      <c r="P4" s="20"/>
      <c r="Q4" s="21">
        <v>15868</v>
      </c>
      <c r="R4" s="22">
        <v>0</v>
      </c>
    </row>
    <row r="5" spans="1:18" x14ac:dyDescent="0.25">
      <c r="A5" s="5" t="s">
        <v>35</v>
      </c>
      <c r="B5" s="1" t="s">
        <v>15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2">
        <v>45514</v>
      </c>
      <c r="I5" s="2">
        <v>45879</v>
      </c>
      <c r="J5" s="1" t="s">
        <v>21</v>
      </c>
      <c r="K5" s="3">
        <v>2146192</v>
      </c>
      <c r="L5" s="3">
        <v>32193</v>
      </c>
      <c r="M5" s="1" t="s">
        <v>22</v>
      </c>
      <c r="N5" s="30" t="s">
        <v>146</v>
      </c>
      <c r="O5" s="26" t="s">
        <v>651</v>
      </c>
      <c r="P5" s="20"/>
      <c r="Q5" s="21">
        <v>32193</v>
      </c>
      <c r="R5" s="22">
        <v>0</v>
      </c>
    </row>
    <row r="6" spans="1:18" x14ac:dyDescent="0.25">
      <c r="A6" s="5" t="s">
        <v>41</v>
      </c>
      <c r="B6" s="1" t="s">
        <v>15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>
        <v>45545</v>
      </c>
      <c r="I6" s="2">
        <v>45910</v>
      </c>
      <c r="J6" s="1" t="s">
        <v>21</v>
      </c>
      <c r="K6" s="3">
        <v>2472768</v>
      </c>
      <c r="L6" s="3">
        <v>37092</v>
      </c>
      <c r="M6" s="1" t="s">
        <v>22</v>
      </c>
      <c r="N6" s="30" t="s">
        <v>146</v>
      </c>
      <c r="O6" s="26" t="s">
        <v>763</v>
      </c>
      <c r="P6" s="20"/>
      <c r="Q6" s="21">
        <v>37092</v>
      </c>
      <c r="R6" s="22">
        <v>0</v>
      </c>
    </row>
    <row r="7" spans="1:18" x14ac:dyDescent="0.25">
      <c r="A7" s="5" t="s">
        <v>47</v>
      </c>
      <c r="B7" s="1" t="s">
        <v>15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2">
        <v>45529</v>
      </c>
      <c r="I7" s="2">
        <v>45894</v>
      </c>
      <c r="J7" s="1" t="s">
        <v>21</v>
      </c>
      <c r="K7" s="3">
        <v>1527660</v>
      </c>
      <c r="L7" s="3">
        <v>22915</v>
      </c>
      <c r="M7" s="1" t="s">
        <v>22</v>
      </c>
      <c r="N7" s="30" t="s">
        <v>146</v>
      </c>
      <c r="O7" s="26" t="s">
        <v>652</v>
      </c>
      <c r="P7" s="20"/>
      <c r="Q7" s="21">
        <v>22915</v>
      </c>
      <c r="R7" s="22">
        <v>0</v>
      </c>
    </row>
    <row r="8" spans="1:18" x14ac:dyDescent="0.25">
      <c r="A8" s="5" t="s">
        <v>53</v>
      </c>
      <c r="B8" s="1" t="s">
        <v>15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2">
        <v>45519</v>
      </c>
      <c r="I8" s="2">
        <v>45884</v>
      </c>
      <c r="J8" s="1" t="s">
        <v>21</v>
      </c>
      <c r="K8" s="3">
        <v>2643840</v>
      </c>
      <c r="L8" s="3">
        <v>39658</v>
      </c>
      <c r="M8" s="1" t="s">
        <v>22</v>
      </c>
      <c r="N8" s="30" t="s">
        <v>146</v>
      </c>
      <c r="O8" s="26" t="s">
        <v>653</v>
      </c>
      <c r="P8" s="20"/>
      <c r="Q8" s="21">
        <v>39658</v>
      </c>
      <c r="R8" s="22">
        <v>0</v>
      </c>
    </row>
    <row r="9" spans="1:18" x14ac:dyDescent="0.25">
      <c r="A9" s="5" t="s">
        <v>59</v>
      </c>
      <c r="B9" s="1" t="s">
        <v>15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2">
        <v>45529</v>
      </c>
      <c r="I9" s="2">
        <v>45894</v>
      </c>
      <c r="J9" s="1" t="s">
        <v>21</v>
      </c>
      <c r="K9" s="3">
        <v>2268000</v>
      </c>
      <c r="L9" s="3">
        <v>34020</v>
      </c>
      <c r="M9" s="1" t="s">
        <v>22</v>
      </c>
      <c r="N9" s="30" t="s">
        <v>146</v>
      </c>
      <c r="O9" s="26" t="s">
        <v>654</v>
      </c>
      <c r="P9" s="20"/>
      <c r="Q9" s="21">
        <v>34020</v>
      </c>
      <c r="R9" s="22">
        <v>0</v>
      </c>
    </row>
    <row r="10" spans="1:18" x14ac:dyDescent="0.25">
      <c r="A10" s="5" t="s">
        <v>65</v>
      </c>
      <c r="B10" s="1" t="s">
        <v>15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2">
        <v>45524</v>
      </c>
      <c r="I10" s="2">
        <v>45889</v>
      </c>
      <c r="J10" s="1" t="s">
        <v>21</v>
      </c>
      <c r="K10" s="3">
        <v>1458000</v>
      </c>
      <c r="L10" s="3">
        <v>21870</v>
      </c>
      <c r="M10" s="1" t="s">
        <v>22</v>
      </c>
      <c r="N10" s="30" t="s">
        <v>146</v>
      </c>
      <c r="O10" s="26" t="s">
        <v>655</v>
      </c>
      <c r="P10" s="20"/>
      <c r="Q10" s="21">
        <v>21870</v>
      </c>
      <c r="R10" s="22">
        <v>0</v>
      </c>
    </row>
    <row r="11" spans="1:18" x14ac:dyDescent="0.25">
      <c r="A11" s="5" t="s">
        <v>71</v>
      </c>
      <c r="B11" s="1" t="s">
        <v>15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2">
        <v>45529</v>
      </c>
      <c r="I11" s="2">
        <v>45894</v>
      </c>
      <c r="J11" s="1" t="s">
        <v>21</v>
      </c>
      <c r="K11" s="3">
        <v>1403730</v>
      </c>
      <c r="L11" s="3">
        <v>21056</v>
      </c>
      <c r="M11" s="1" t="s">
        <v>22</v>
      </c>
      <c r="N11" s="30" t="s">
        <v>146</v>
      </c>
      <c r="O11" s="26" t="s">
        <v>656</v>
      </c>
      <c r="P11" s="20"/>
      <c r="Q11" s="21">
        <v>21056</v>
      </c>
      <c r="R11" s="22">
        <v>0</v>
      </c>
    </row>
    <row r="12" spans="1:18" x14ac:dyDescent="0.25">
      <c r="A12" s="5" t="s">
        <v>77</v>
      </c>
      <c r="B12" s="1" t="s">
        <v>15</v>
      </c>
      <c r="C12" s="1" t="s">
        <v>78</v>
      </c>
      <c r="D12" s="1" t="s">
        <v>73</v>
      </c>
      <c r="E12" s="1" t="s">
        <v>79</v>
      </c>
      <c r="F12" s="1" t="s">
        <v>80</v>
      </c>
      <c r="G12" s="1" t="s">
        <v>81</v>
      </c>
      <c r="H12" s="2">
        <v>45529</v>
      </c>
      <c r="I12" s="2">
        <v>45894</v>
      </c>
      <c r="J12" s="1" t="s">
        <v>21</v>
      </c>
      <c r="K12" s="3">
        <v>1252260</v>
      </c>
      <c r="L12" s="3">
        <v>18784</v>
      </c>
      <c r="M12" s="1" t="s">
        <v>22</v>
      </c>
      <c r="N12" s="30" t="s">
        <v>146</v>
      </c>
      <c r="O12" s="26" t="s">
        <v>657</v>
      </c>
      <c r="P12" s="20"/>
      <c r="Q12" s="21">
        <v>18784</v>
      </c>
      <c r="R12" s="22">
        <v>0</v>
      </c>
    </row>
    <row r="13" spans="1:18" x14ac:dyDescent="0.25">
      <c r="A13" s="5" t="s">
        <v>82</v>
      </c>
      <c r="B13" s="1" t="s">
        <v>15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2">
        <v>45524</v>
      </c>
      <c r="I13" s="2">
        <v>45889</v>
      </c>
      <c r="J13" s="1" t="s">
        <v>21</v>
      </c>
      <c r="K13" s="3">
        <v>1296000</v>
      </c>
      <c r="L13" s="3">
        <v>19440</v>
      </c>
      <c r="M13" s="1" t="s">
        <v>22</v>
      </c>
      <c r="N13" s="30" t="s">
        <v>146</v>
      </c>
      <c r="O13" s="26" t="s">
        <v>658</v>
      </c>
      <c r="P13" s="20"/>
      <c r="Q13" s="21">
        <v>19440</v>
      </c>
      <c r="R13" s="22">
        <v>0</v>
      </c>
    </row>
    <row r="14" spans="1:18" x14ac:dyDescent="0.25">
      <c r="A14" s="5" t="s">
        <v>88</v>
      </c>
      <c r="B14" s="1" t="s">
        <v>15</v>
      </c>
      <c r="C14" s="1" t="s">
        <v>89</v>
      </c>
      <c r="D14" s="1" t="s">
        <v>49</v>
      </c>
      <c r="E14" s="1" t="s">
        <v>90</v>
      </c>
      <c r="F14" s="1" t="s">
        <v>91</v>
      </c>
      <c r="G14" s="1" t="s">
        <v>92</v>
      </c>
      <c r="H14" s="2">
        <v>45519</v>
      </c>
      <c r="I14" s="2">
        <v>45884</v>
      </c>
      <c r="J14" s="1" t="s">
        <v>21</v>
      </c>
      <c r="K14" s="3">
        <v>1527660</v>
      </c>
      <c r="L14" s="3">
        <v>22915</v>
      </c>
      <c r="M14" s="1" t="s">
        <v>22</v>
      </c>
      <c r="N14" s="30" t="s">
        <v>146</v>
      </c>
      <c r="O14" s="26" t="s">
        <v>659</v>
      </c>
      <c r="P14" s="20"/>
      <c r="Q14" s="21">
        <v>22915</v>
      </c>
      <c r="R14" s="22">
        <v>0</v>
      </c>
    </row>
    <row r="15" spans="1:18" x14ac:dyDescent="0.25">
      <c r="A15" s="5" t="s">
        <v>93</v>
      </c>
      <c r="B15" s="1" t="s">
        <v>15</v>
      </c>
      <c r="C15" s="1" t="s">
        <v>94</v>
      </c>
      <c r="D15" s="1" t="s">
        <v>49</v>
      </c>
      <c r="E15" s="1" t="s">
        <v>95</v>
      </c>
      <c r="F15" s="1" t="s">
        <v>96</v>
      </c>
      <c r="G15" s="1" t="s">
        <v>97</v>
      </c>
      <c r="H15" s="2">
        <v>45529</v>
      </c>
      <c r="I15" s="2">
        <v>45894</v>
      </c>
      <c r="J15" s="1" t="s">
        <v>21</v>
      </c>
      <c r="K15" s="3">
        <v>1415070</v>
      </c>
      <c r="L15" s="3">
        <v>21226</v>
      </c>
      <c r="M15" s="1" t="s">
        <v>22</v>
      </c>
      <c r="N15" s="30" t="s">
        <v>146</v>
      </c>
      <c r="O15" s="26" t="s">
        <v>660</v>
      </c>
      <c r="P15" s="20"/>
      <c r="Q15" s="21">
        <v>21226</v>
      </c>
      <c r="R15" s="22">
        <v>0</v>
      </c>
    </row>
    <row r="16" spans="1:18" x14ac:dyDescent="0.25">
      <c r="A16" s="5" t="s">
        <v>98</v>
      </c>
      <c r="B16" s="1" t="s">
        <v>15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2">
        <v>45545</v>
      </c>
      <c r="I16" s="2">
        <v>45910</v>
      </c>
      <c r="J16" s="1" t="s">
        <v>21</v>
      </c>
      <c r="K16" s="3">
        <v>8279100</v>
      </c>
      <c r="L16" s="3">
        <v>124187</v>
      </c>
      <c r="M16" s="1" t="s">
        <v>22</v>
      </c>
      <c r="N16" s="30" t="s">
        <v>146</v>
      </c>
      <c r="O16" s="26" t="s">
        <v>661</v>
      </c>
      <c r="P16" s="20"/>
      <c r="Q16" s="21">
        <v>124187</v>
      </c>
      <c r="R16" s="22">
        <v>0</v>
      </c>
    </row>
    <row r="17" spans="1:18" x14ac:dyDescent="0.25">
      <c r="A17" s="5" t="s">
        <v>104</v>
      </c>
      <c r="B17" s="1" t="s">
        <v>15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H17" s="2">
        <v>45529</v>
      </c>
      <c r="I17" s="2">
        <v>45894</v>
      </c>
      <c r="J17" s="1" t="s">
        <v>21</v>
      </c>
      <c r="K17" s="3">
        <v>2385000</v>
      </c>
      <c r="L17" s="3">
        <v>35775</v>
      </c>
      <c r="M17" s="1" t="s">
        <v>22</v>
      </c>
      <c r="N17" s="30" t="s">
        <v>146</v>
      </c>
      <c r="O17" s="26" t="s">
        <v>662</v>
      </c>
      <c r="P17" s="20"/>
      <c r="Q17" s="21">
        <v>35775</v>
      </c>
      <c r="R17" s="22">
        <v>0</v>
      </c>
    </row>
    <row r="18" spans="1:18" x14ac:dyDescent="0.25">
      <c r="A18" s="5" t="s">
        <v>110</v>
      </c>
      <c r="B18" s="1" t="s">
        <v>15</v>
      </c>
      <c r="C18" s="1" t="s">
        <v>111</v>
      </c>
      <c r="D18" s="1" t="s">
        <v>49</v>
      </c>
      <c r="E18" s="1" t="s">
        <v>112</v>
      </c>
      <c r="F18" s="1" t="s">
        <v>113</v>
      </c>
      <c r="G18" s="1" t="s">
        <v>114</v>
      </c>
      <c r="H18" s="2">
        <v>45545</v>
      </c>
      <c r="I18" s="2">
        <v>45910</v>
      </c>
      <c r="J18" s="1" t="s">
        <v>21</v>
      </c>
      <c r="K18" s="3">
        <v>2641500</v>
      </c>
      <c r="L18" s="3">
        <v>39623</v>
      </c>
      <c r="M18" s="1" t="s">
        <v>22</v>
      </c>
      <c r="N18" s="30" t="s">
        <v>146</v>
      </c>
      <c r="O18" s="26" t="s">
        <v>663</v>
      </c>
      <c r="P18" s="20"/>
      <c r="Q18" s="21">
        <v>39623</v>
      </c>
      <c r="R18" s="22">
        <v>0</v>
      </c>
    </row>
    <row r="19" spans="1:18" x14ac:dyDescent="0.25">
      <c r="A19" s="5" t="s">
        <v>115</v>
      </c>
      <c r="B19" s="1" t="s">
        <v>15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120</v>
      </c>
      <c r="H19" s="2">
        <v>45529</v>
      </c>
      <c r="I19" s="2">
        <v>45894</v>
      </c>
      <c r="J19" s="1" t="s">
        <v>21</v>
      </c>
      <c r="K19" s="3">
        <v>2925000</v>
      </c>
      <c r="L19" s="3">
        <v>43875</v>
      </c>
      <c r="M19" s="1" t="s">
        <v>22</v>
      </c>
      <c r="N19" s="30" t="s">
        <v>146</v>
      </c>
      <c r="O19" s="26" t="s">
        <v>664</v>
      </c>
      <c r="P19" s="20"/>
      <c r="Q19" s="21">
        <v>43875</v>
      </c>
      <c r="R19" s="22">
        <v>0</v>
      </c>
    </row>
    <row r="20" spans="1:18" x14ac:dyDescent="0.25">
      <c r="A20" s="5" t="s">
        <v>121</v>
      </c>
      <c r="B20" s="1" t="s">
        <v>15</v>
      </c>
      <c r="C20" s="1" t="s">
        <v>122</v>
      </c>
      <c r="D20" s="1" t="s">
        <v>73</v>
      </c>
      <c r="E20" s="1" t="s">
        <v>123</v>
      </c>
      <c r="F20" s="1" t="s">
        <v>124</v>
      </c>
      <c r="G20" s="1" t="s">
        <v>125</v>
      </c>
      <c r="H20" s="2">
        <v>45540</v>
      </c>
      <c r="I20" s="2">
        <v>45905</v>
      </c>
      <c r="J20" s="1" t="s">
        <v>21</v>
      </c>
      <c r="K20" s="3">
        <v>2007000</v>
      </c>
      <c r="L20" s="3">
        <v>30105</v>
      </c>
      <c r="M20" s="1" t="s">
        <v>22</v>
      </c>
      <c r="N20" s="30" t="s">
        <v>146</v>
      </c>
      <c r="O20" s="26" t="s">
        <v>665</v>
      </c>
      <c r="P20" s="20"/>
      <c r="Q20" s="21">
        <v>30105</v>
      </c>
      <c r="R20" s="22">
        <v>0</v>
      </c>
    </row>
    <row r="21" spans="1:18" x14ac:dyDescent="0.25">
      <c r="A21" s="5" t="s">
        <v>126</v>
      </c>
      <c r="B21" s="1" t="s">
        <v>15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  <c r="H21" s="2">
        <v>45545</v>
      </c>
      <c r="I21" s="2">
        <v>45910</v>
      </c>
      <c r="J21" s="1" t="s">
        <v>21</v>
      </c>
      <c r="K21" s="3">
        <v>408678</v>
      </c>
      <c r="L21" s="3">
        <v>13486</v>
      </c>
      <c r="M21" s="1" t="s">
        <v>132</v>
      </c>
      <c r="N21" s="30" t="s">
        <v>146</v>
      </c>
      <c r="O21" s="26" t="s">
        <v>666</v>
      </c>
      <c r="P21" s="20"/>
      <c r="Q21" s="21">
        <v>13486</v>
      </c>
      <c r="R21" s="22">
        <v>0</v>
      </c>
    </row>
    <row r="22" spans="1:18" x14ac:dyDescent="0.25">
      <c r="A22" s="5" t="s">
        <v>133</v>
      </c>
      <c r="B22" s="1" t="s">
        <v>15</v>
      </c>
      <c r="C22" s="1" t="s">
        <v>134</v>
      </c>
      <c r="D22" s="1" t="s">
        <v>135</v>
      </c>
      <c r="E22" s="1" t="s">
        <v>136</v>
      </c>
      <c r="F22" s="1" t="s">
        <v>137</v>
      </c>
      <c r="G22" s="1" t="s">
        <v>138</v>
      </c>
      <c r="H22" s="2">
        <v>45540</v>
      </c>
      <c r="I22" s="2">
        <v>45905</v>
      </c>
      <c r="J22" s="1" t="s">
        <v>21</v>
      </c>
      <c r="K22" s="3">
        <v>1840558</v>
      </c>
      <c r="L22" s="3">
        <v>36811</v>
      </c>
      <c r="M22" s="1" t="s">
        <v>139</v>
      </c>
      <c r="N22" s="30" t="s">
        <v>146</v>
      </c>
      <c r="O22" s="26" t="s">
        <v>667</v>
      </c>
      <c r="P22" s="20"/>
      <c r="Q22" s="21">
        <v>36811</v>
      </c>
      <c r="R22" s="22">
        <v>0</v>
      </c>
    </row>
    <row r="23" spans="1:18" x14ac:dyDescent="0.25">
      <c r="A23" s="5" t="s">
        <v>140</v>
      </c>
      <c r="B23" s="1" t="s">
        <v>15</v>
      </c>
      <c r="C23" s="1" t="s">
        <v>141</v>
      </c>
      <c r="D23" s="1" t="s">
        <v>142</v>
      </c>
      <c r="E23" s="1" t="s">
        <v>143</v>
      </c>
      <c r="F23" s="1" t="s">
        <v>144</v>
      </c>
      <c r="G23" s="1" t="s">
        <v>145</v>
      </c>
      <c r="H23" s="2">
        <v>45514</v>
      </c>
      <c r="I23" s="2">
        <v>45879</v>
      </c>
      <c r="J23" s="1" t="s">
        <v>21</v>
      </c>
      <c r="K23" s="3">
        <v>1053041</v>
      </c>
      <c r="L23" s="3">
        <v>21061</v>
      </c>
      <c r="M23" s="1" t="s">
        <v>139</v>
      </c>
      <c r="N23" s="30" t="s">
        <v>146</v>
      </c>
      <c r="O23" s="26" t="s">
        <v>668</v>
      </c>
      <c r="P23" s="20"/>
      <c r="Q23" s="21">
        <v>21061</v>
      </c>
      <c r="R23" s="22">
        <v>0</v>
      </c>
    </row>
    <row r="24" spans="1:18" x14ac:dyDescent="0.25">
      <c r="A24" s="5" t="s">
        <v>147</v>
      </c>
      <c r="B24" s="1" t="s">
        <v>148</v>
      </c>
      <c r="C24" s="1" t="s">
        <v>149</v>
      </c>
      <c r="D24" s="1" t="s">
        <v>73</v>
      </c>
      <c r="E24" s="1" t="s">
        <v>150</v>
      </c>
      <c r="F24" s="1" t="s">
        <v>151</v>
      </c>
      <c r="G24" s="1" t="s">
        <v>152</v>
      </c>
      <c r="H24" s="2">
        <v>45524</v>
      </c>
      <c r="I24" s="2">
        <v>45889</v>
      </c>
      <c r="J24" s="1" t="s">
        <v>21</v>
      </c>
      <c r="K24" s="3">
        <v>1252260</v>
      </c>
      <c r="L24" s="3">
        <v>18784</v>
      </c>
      <c r="M24" s="1" t="s">
        <v>22</v>
      </c>
      <c r="N24" s="30" t="s">
        <v>146</v>
      </c>
      <c r="O24" s="26" t="s">
        <v>669</v>
      </c>
      <c r="P24" s="20"/>
      <c r="Q24" s="21">
        <v>18784</v>
      </c>
      <c r="R24" s="22">
        <v>0</v>
      </c>
    </row>
    <row r="25" spans="1:18" x14ac:dyDescent="0.25">
      <c r="A25" s="5" t="s">
        <v>153</v>
      </c>
      <c r="B25" s="1" t="s">
        <v>148</v>
      </c>
      <c r="C25" s="1" t="s">
        <v>154</v>
      </c>
      <c r="D25" s="1" t="s">
        <v>67</v>
      </c>
      <c r="E25" s="1" t="s">
        <v>155</v>
      </c>
      <c r="F25" s="1" t="s">
        <v>156</v>
      </c>
      <c r="G25" s="1" t="s">
        <v>157</v>
      </c>
      <c r="H25" s="2">
        <v>45524</v>
      </c>
      <c r="I25" s="2">
        <v>45889</v>
      </c>
      <c r="J25" s="1" t="s">
        <v>21</v>
      </c>
      <c r="K25" s="3">
        <v>1415070</v>
      </c>
      <c r="L25" s="3">
        <v>21226</v>
      </c>
      <c r="M25" s="1" t="s">
        <v>22</v>
      </c>
      <c r="N25" s="30" t="s">
        <v>146</v>
      </c>
      <c r="O25" s="26" t="s">
        <v>670</v>
      </c>
      <c r="P25" s="20"/>
      <c r="Q25" s="21">
        <v>21226</v>
      </c>
      <c r="R25" s="22">
        <v>0</v>
      </c>
    </row>
    <row r="26" spans="1:18" x14ac:dyDescent="0.25">
      <c r="A26" s="5" t="s">
        <v>158</v>
      </c>
      <c r="B26" s="1" t="s">
        <v>148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648</v>
      </c>
      <c r="H26" s="2">
        <v>45524</v>
      </c>
      <c r="I26" s="2">
        <v>45889</v>
      </c>
      <c r="J26" s="1" t="s">
        <v>21</v>
      </c>
      <c r="K26" s="3">
        <v>2699100</v>
      </c>
      <c r="L26" s="3">
        <v>40487</v>
      </c>
      <c r="M26" s="1" t="s">
        <v>22</v>
      </c>
      <c r="N26" s="30" t="s">
        <v>146</v>
      </c>
      <c r="O26" s="26" t="s">
        <v>764</v>
      </c>
      <c r="P26" s="20"/>
      <c r="Q26" s="21">
        <v>40487</v>
      </c>
      <c r="R26" s="22">
        <v>0</v>
      </c>
    </row>
    <row r="27" spans="1:18" x14ac:dyDescent="0.25">
      <c r="A27" s="5" t="s">
        <v>163</v>
      </c>
      <c r="B27" s="1" t="s">
        <v>148</v>
      </c>
      <c r="C27" s="1" t="s">
        <v>164</v>
      </c>
      <c r="D27" s="1" t="s">
        <v>165</v>
      </c>
      <c r="E27" s="1" t="s">
        <v>166</v>
      </c>
      <c r="F27" s="1" t="s">
        <v>167</v>
      </c>
      <c r="G27" s="1" t="s">
        <v>168</v>
      </c>
      <c r="H27" s="2">
        <v>45545</v>
      </c>
      <c r="I27" s="2">
        <v>45910</v>
      </c>
      <c r="J27" s="1" t="s">
        <v>21</v>
      </c>
      <c r="K27" s="3">
        <v>3366900</v>
      </c>
      <c r="L27" s="3">
        <v>50504</v>
      </c>
      <c r="M27" s="1" t="s">
        <v>22</v>
      </c>
      <c r="N27" s="30" t="s">
        <v>146</v>
      </c>
      <c r="O27" s="26" t="s">
        <v>671</v>
      </c>
      <c r="P27" s="20"/>
      <c r="Q27" s="21">
        <v>50504</v>
      </c>
      <c r="R27" s="22">
        <v>0</v>
      </c>
    </row>
    <row r="28" spans="1:18" x14ac:dyDescent="0.25">
      <c r="A28" s="5" t="s">
        <v>169</v>
      </c>
      <c r="B28" s="1" t="s">
        <v>148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  <c r="H28" s="2">
        <v>45536</v>
      </c>
      <c r="I28" s="2">
        <v>45901</v>
      </c>
      <c r="J28" s="1" t="s">
        <v>21</v>
      </c>
      <c r="K28" s="3">
        <v>2140708</v>
      </c>
      <c r="L28" s="3">
        <v>32111</v>
      </c>
      <c r="M28" s="1" t="s">
        <v>175</v>
      </c>
      <c r="N28" s="30" t="s">
        <v>146</v>
      </c>
      <c r="O28" s="26" t="s">
        <v>672</v>
      </c>
      <c r="P28" s="20"/>
      <c r="Q28" s="21">
        <v>32111</v>
      </c>
      <c r="R28" s="22">
        <v>0</v>
      </c>
    </row>
    <row r="29" spans="1:18" x14ac:dyDescent="0.25">
      <c r="A29" s="5" t="s">
        <v>176</v>
      </c>
      <c r="B29" s="1" t="s">
        <v>148</v>
      </c>
      <c r="C29" s="1" t="s">
        <v>177</v>
      </c>
      <c r="D29" s="1" t="s">
        <v>178</v>
      </c>
      <c r="E29" s="1" t="s">
        <v>179</v>
      </c>
      <c r="F29" s="1" t="s">
        <v>180</v>
      </c>
      <c r="G29" s="1" t="s">
        <v>181</v>
      </c>
      <c r="H29" s="2">
        <v>45529</v>
      </c>
      <c r="I29" s="2">
        <v>45894</v>
      </c>
      <c r="J29" s="1" t="s">
        <v>21</v>
      </c>
      <c r="K29" s="3">
        <v>2468759</v>
      </c>
      <c r="L29" s="3">
        <v>37031</v>
      </c>
      <c r="M29" s="1" t="s">
        <v>175</v>
      </c>
      <c r="N29" s="30" t="s">
        <v>146</v>
      </c>
      <c r="O29" s="26" t="s">
        <v>673</v>
      </c>
      <c r="P29" s="20"/>
      <c r="Q29" s="21">
        <v>37031</v>
      </c>
      <c r="R29" s="22">
        <v>0</v>
      </c>
    </row>
    <row r="30" spans="1:18" x14ac:dyDescent="0.25">
      <c r="A30" s="5" t="s">
        <v>182</v>
      </c>
      <c r="B30" s="1" t="s">
        <v>183</v>
      </c>
      <c r="C30" s="1" t="s">
        <v>184</v>
      </c>
      <c r="D30" s="1" t="s">
        <v>73</v>
      </c>
      <c r="E30" s="1" t="s">
        <v>185</v>
      </c>
      <c r="F30" s="1" t="s">
        <v>186</v>
      </c>
      <c r="G30" s="1" t="s">
        <v>187</v>
      </c>
      <c r="H30" s="2">
        <v>45529</v>
      </c>
      <c r="I30" s="2">
        <v>45894</v>
      </c>
      <c r="J30" s="1" t="s">
        <v>21</v>
      </c>
      <c r="K30" s="3">
        <v>1252260</v>
      </c>
      <c r="L30" s="3">
        <v>18784</v>
      </c>
      <c r="M30" s="1" t="s">
        <v>22</v>
      </c>
      <c r="N30" s="30" t="s">
        <v>146</v>
      </c>
      <c r="O30" s="26" t="s">
        <v>674</v>
      </c>
      <c r="P30" s="20"/>
      <c r="Q30" s="21">
        <v>18784</v>
      </c>
      <c r="R30" s="22">
        <v>0</v>
      </c>
    </row>
    <row r="31" spans="1:18" x14ac:dyDescent="0.25">
      <c r="A31" s="5" t="s">
        <v>188</v>
      </c>
      <c r="B31" s="1" t="s">
        <v>183</v>
      </c>
      <c r="C31" s="1" t="s">
        <v>189</v>
      </c>
      <c r="D31" s="1" t="s">
        <v>73</v>
      </c>
      <c r="E31" s="1" t="s">
        <v>190</v>
      </c>
      <c r="F31" s="1" t="s">
        <v>191</v>
      </c>
      <c r="G31" s="1" t="s">
        <v>187</v>
      </c>
      <c r="H31" s="2">
        <v>45545</v>
      </c>
      <c r="I31" s="2">
        <v>45910</v>
      </c>
      <c r="J31" s="1" t="s">
        <v>21</v>
      </c>
      <c r="K31" s="3">
        <v>1403730</v>
      </c>
      <c r="L31" s="3">
        <v>21056</v>
      </c>
      <c r="M31" s="1" t="s">
        <v>22</v>
      </c>
      <c r="N31" s="30" t="s">
        <v>146</v>
      </c>
      <c r="O31" s="26" t="s">
        <v>675</v>
      </c>
      <c r="P31" s="20"/>
      <c r="Q31" s="21">
        <v>21056</v>
      </c>
      <c r="R31" s="22">
        <v>0</v>
      </c>
    </row>
    <row r="32" spans="1:18" x14ac:dyDescent="0.25">
      <c r="A32" s="5" t="s">
        <v>192</v>
      </c>
      <c r="B32" s="1" t="s">
        <v>183</v>
      </c>
      <c r="C32" s="1" t="s">
        <v>193</v>
      </c>
      <c r="D32" s="1" t="s">
        <v>73</v>
      </c>
      <c r="E32" s="1" t="s">
        <v>194</v>
      </c>
      <c r="F32" s="1" t="s">
        <v>195</v>
      </c>
      <c r="G32" s="1" t="s">
        <v>187</v>
      </c>
      <c r="H32" s="2">
        <v>45529</v>
      </c>
      <c r="I32" s="2">
        <v>45894</v>
      </c>
      <c r="J32" s="1" t="s">
        <v>21</v>
      </c>
      <c r="K32" s="3">
        <v>1252260</v>
      </c>
      <c r="L32" s="3">
        <v>18784</v>
      </c>
      <c r="M32" s="1" t="s">
        <v>22</v>
      </c>
      <c r="N32" s="30" t="s">
        <v>146</v>
      </c>
      <c r="O32" s="26" t="s">
        <v>676</v>
      </c>
      <c r="P32" s="20"/>
      <c r="Q32" s="21">
        <v>18784</v>
      </c>
      <c r="R32" s="22">
        <v>0</v>
      </c>
    </row>
    <row r="33" spans="1:18" x14ac:dyDescent="0.25">
      <c r="A33" s="5" t="s">
        <v>196</v>
      </c>
      <c r="B33" s="1" t="s">
        <v>183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201</v>
      </c>
      <c r="H33" s="2">
        <v>45545</v>
      </c>
      <c r="I33" s="2">
        <v>45910</v>
      </c>
      <c r="J33" s="1" t="s">
        <v>21</v>
      </c>
      <c r="K33" s="3">
        <v>2925000</v>
      </c>
      <c r="L33" s="3">
        <v>43875</v>
      </c>
      <c r="M33" s="1" t="s">
        <v>22</v>
      </c>
      <c r="N33" s="30" t="s">
        <v>146</v>
      </c>
      <c r="O33" s="26" t="s">
        <v>677</v>
      </c>
      <c r="P33" s="20"/>
      <c r="Q33" s="21">
        <v>43875</v>
      </c>
      <c r="R33" s="22">
        <v>0</v>
      </c>
    </row>
    <row r="34" spans="1:18" x14ac:dyDescent="0.25">
      <c r="A34" s="5" t="s">
        <v>202</v>
      </c>
      <c r="B34" s="1" t="s">
        <v>183</v>
      </c>
      <c r="C34" s="1" t="s">
        <v>203</v>
      </c>
      <c r="D34" s="1" t="s">
        <v>61</v>
      </c>
      <c r="E34" s="1" t="s">
        <v>204</v>
      </c>
      <c r="F34" s="1" t="s">
        <v>205</v>
      </c>
      <c r="G34" s="1" t="s">
        <v>206</v>
      </c>
      <c r="H34" s="2">
        <v>45529</v>
      </c>
      <c r="I34" s="2">
        <v>45894</v>
      </c>
      <c r="J34" s="1" t="s">
        <v>21</v>
      </c>
      <c r="K34" s="3">
        <v>3150000</v>
      </c>
      <c r="L34" s="3">
        <v>47250</v>
      </c>
      <c r="M34" s="1" t="s">
        <v>22</v>
      </c>
      <c r="N34" s="30" t="s">
        <v>146</v>
      </c>
      <c r="O34" s="26" t="s">
        <v>678</v>
      </c>
      <c r="P34" s="20"/>
      <c r="Q34" s="21">
        <v>47250</v>
      </c>
      <c r="R34" s="22">
        <v>0</v>
      </c>
    </row>
    <row r="35" spans="1:18" x14ac:dyDescent="0.25">
      <c r="A35" s="5" t="s">
        <v>207</v>
      </c>
      <c r="B35" s="1" t="s">
        <v>208</v>
      </c>
      <c r="C35" s="1" t="s">
        <v>209</v>
      </c>
      <c r="D35" s="1" t="s">
        <v>210</v>
      </c>
      <c r="E35" s="1" t="s">
        <v>211</v>
      </c>
      <c r="F35" s="1" t="s">
        <v>212</v>
      </c>
      <c r="G35" s="1" t="s">
        <v>213</v>
      </c>
      <c r="H35" s="2">
        <v>45545</v>
      </c>
      <c r="I35" s="2">
        <v>45910</v>
      </c>
      <c r="J35" s="1" t="s">
        <v>21</v>
      </c>
      <c r="K35" s="3">
        <v>3070800</v>
      </c>
      <c r="L35" s="3">
        <v>46062</v>
      </c>
      <c r="M35" s="1" t="s">
        <v>22</v>
      </c>
      <c r="N35" s="30" t="s">
        <v>146</v>
      </c>
      <c r="O35" s="26" t="s">
        <v>679</v>
      </c>
      <c r="P35" s="20"/>
      <c r="Q35" s="21">
        <v>46062</v>
      </c>
      <c r="R35" s="22">
        <v>0</v>
      </c>
    </row>
    <row r="36" spans="1:18" x14ac:dyDescent="0.25">
      <c r="A36" s="5" t="s">
        <v>214</v>
      </c>
      <c r="B36" s="1" t="s">
        <v>208</v>
      </c>
      <c r="C36" s="1" t="s">
        <v>215</v>
      </c>
      <c r="D36" s="1" t="s">
        <v>216</v>
      </c>
      <c r="E36" s="1" t="s">
        <v>217</v>
      </c>
      <c r="F36" s="1" t="s">
        <v>218</v>
      </c>
      <c r="G36" s="1" t="s">
        <v>219</v>
      </c>
      <c r="H36" s="2">
        <v>45540</v>
      </c>
      <c r="I36" s="2">
        <v>45905</v>
      </c>
      <c r="J36" s="1" t="s">
        <v>21</v>
      </c>
      <c r="K36" s="3">
        <v>2350800</v>
      </c>
      <c r="L36" s="3">
        <v>35262</v>
      </c>
      <c r="M36" s="1" t="s">
        <v>22</v>
      </c>
      <c r="N36" s="30" t="s">
        <v>146</v>
      </c>
      <c r="O36" s="26" t="s">
        <v>680</v>
      </c>
      <c r="P36" s="20"/>
      <c r="Q36" s="21">
        <v>35262</v>
      </c>
      <c r="R36" s="22">
        <v>0</v>
      </c>
    </row>
    <row r="37" spans="1:18" x14ac:dyDescent="0.25">
      <c r="A37" s="5" t="s">
        <v>220</v>
      </c>
      <c r="B37" s="1" t="s">
        <v>208</v>
      </c>
      <c r="C37" s="1" t="s">
        <v>221</v>
      </c>
      <c r="D37" s="1" t="s">
        <v>222</v>
      </c>
      <c r="E37" s="1" t="s">
        <v>223</v>
      </c>
      <c r="F37" s="1" t="s">
        <v>224</v>
      </c>
      <c r="G37" s="1" t="s">
        <v>225</v>
      </c>
      <c r="H37" s="2">
        <v>45529</v>
      </c>
      <c r="I37" s="2">
        <v>45894</v>
      </c>
      <c r="J37" s="1" t="s">
        <v>21</v>
      </c>
      <c r="K37" s="3">
        <v>1261024</v>
      </c>
      <c r="L37" s="3">
        <v>25220</v>
      </c>
      <c r="M37" s="1" t="s">
        <v>139</v>
      </c>
      <c r="N37" s="30" t="s">
        <v>146</v>
      </c>
      <c r="O37" s="26" t="s">
        <v>681</v>
      </c>
      <c r="P37" s="20"/>
      <c r="Q37" s="21">
        <v>25220</v>
      </c>
      <c r="R37" s="22">
        <v>0</v>
      </c>
    </row>
    <row r="38" spans="1:18" x14ac:dyDescent="0.25">
      <c r="A38" s="5" t="s">
        <v>226</v>
      </c>
      <c r="B38" s="1" t="s">
        <v>208</v>
      </c>
      <c r="C38" s="1" t="s">
        <v>227</v>
      </c>
      <c r="D38" s="1" t="s">
        <v>228</v>
      </c>
      <c r="E38" s="1" t="s">
        <v>229</v>
      </c>
      <c r="F38" s="1" t="s">
        <v>230</v>
      </c>
      <c r="G38" s="1" t="s">
        <v>231</v>
      </c>
      <c r="H38" s="2">
        <v>45529</v>
      </c>
      <c r="I38" s="2">
        <v>45894</v>
      </c>
      <c r="J38" s="1" t="s">
        <v>21</v>
      </c>
      <c r="K38" s="3">
        <v>1699299</v>
      </c>
      <c r="L38" s="3">
        <v>33986</v>
      </c>
      <c r="M38" s="1" t="s">
        <v>139</v>
      </c>
      <c r="N38" s="30" t="s">
        <v>146</v>
      </c>
      <c r="O38" s="26" t="s">
        <v>682</v>
      </c>
      <c r="P38" s="20"/>
      <c r="Q38" s="21">
        <v>33986</v>
      </c>
      <c r="R38" s="22">
        <v>0</v>
      </c>
    </row>
    <row r="39" spans="1:18" x14ac:dyDescent="0.25">
      <c r="A39" s="5" t="s">
        <v>232</v>
      </c>
      <c r="B39" s="1" t="s">
        <v>208</v>
      </c>
      <c r="C39" s="1" t="s">
        <v>233</v>
      </c>
      <c r="D39" s="1" t="s">
        <v>222</v>
      </c>
      <c r="E39" s="1" t="s">
        <v>234</v>
      </c>
      <c r="F39" s="1" t="s">
        <v>235</v>
      </c>
      <c r="G39" s="1" t="s">
        <v>236</v>
      </c>
      <c r="H39" s="2">
        <v>45540</v>
      </c>
      <c r="I39" s="2">
        <v>45905</v>
      </c>
      <c r="J39" s="1" t="s">
        <v>21</v>
      </c>
      <c r="K39" s="3">
        <v>1317303</v>
      </c>
      <c r="L39" s="3">
        <v>19760</v>
      </c>
      <c r="M39" s="1" t="s">
        <v>175</v>
      </c>
      <c r="N39" s="30" t="s">
        <v>146</v>
      </c>
      <c r="O39" s="26" t="s">
        <v>683</v>
      </c>
      <c r="P39" s="20"/>
      <c r="Q39" s="21">
        <v>19759</v>
      </c>
      <c r="R39" s="22">
        <v>-1</v>
      </c>
    </row>
    <row r="40" spans="1:18" x14ac:dyDescent="0.25">
      <c r="A40" s="5" t="s">
        <v>237</v>
      </c>
      <c r="B40" s="1" t="s">
        <v>208</v>
      </c>
      <c r="C40" s="1" t="s">
        <v>238</v>
      </c>
      <c r="D40" s="1" t="s">
        <v>239</v>
      </c>
      <c r="E40" s="1" t="s">
        <v>240</v>
      </c>
      <c r="F40" s="1" t="s">
        <v>241</v>
      </c>
      <c r="G40" s="1" t="s">
        <v>242</v>
      </c>
      <c r="H40" s="2">
        <v>45514</v>
      </c>
      <c r="I40" s="2">
        <v>45879</v>
      </c>
      <c r="J40" s="1" t="s">
        <v>21</v>
      </c>
      <c r="K40" s="3">
        <v>2465843</v>
      </c>
      <c r="L40" s="3">
        <v>36988</v>
      </c>
      <c r="M40" s="1" t="s">
        <v>175</v>
      </c>
      <c r="N40" s="30" t="s">
        <v>146</v>
      </c>
      <c r="O40" s="26" t="s">
        <v>684</v>
      </c>
      <c r="P40" s="20"/>
      <c r="Q40" s="21">
        <v>36988</v>
      </c>
      <c r="R40" s="22">
        <v>0</v>
      </c>
    </row>
    <row r="41" spans="1:18" x14ac:dyDescent="0.25">
      <c r="A41" s="5" t="s">
        <v>243</v>
      </c>
      <c r="B41" s="1" t="s">
        <v>208</v>
      </c>
      <c r="C41" s="1" t="s">
        <v>244</v>
      </c>
      <c r="D41" s="1" t="s">
        <v>245</v>
      </c>
      <c r="E41" s="1" t="s">
        <v>246</v>
      </c>
      <c r="F41" s="1" t="s">
        <v>247</v>
      </c>
      <c r="G41" s="1" t="s">
        <v>248</v>
      </c>
      <c r="H41" s="2">
        <v>45540</v>
      </c>
      <c r="I41" s="2">
        <v>45905</v>
      </c>
      <c r="J41" s="1" t="s">
        <v>21</v>
      </c>
      <c r="K41" s="3">
        <v>973215</v>
      </c>
      <c r="L41" s="3">
        <v>14598</v>
      </c>
      <c r="M41" s="1" t="s">
        <v>175</v>
      </c>
      <c r="N41" s="30" t="s">
        <v>146</v>
      </c>
      <c r="O41" s="26" t="s">
        <v>685</v>
      </c>
      <c r="P41" s="20"/>
      <c r="Q41" s="21">
        <v>14598</v>
      </c>
      <c r="R41" s="22">
        <v>0</v>
      </c>
    </row>
    <row r="42" spans="1:18" x14ac:dyDescent="0.25">
      <c r="A42" s="5" t="s">
        <v>249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254</v>
      </c>
      <c r="G42" s="1" t="s">
        <v>255</v>
      </c>
      <c r="H42" s="2">
        <v>45509</v>
      </c>
      <c r="I42" s="2">
        <v>45874</v>
      </c>
      <c r="J42" s="1" t="s">
        <v>21</v>
      </c>
      <c r="K42" s="3">
        <v>1902690</v>
      </c>
      <c r="L42" s="3">
        <v>38054</v>
      </c>
      <c r="M42" s="1" t="s">
        <v>139</v>
      </c>
      <c r="N42" s="30" t="s">
        <v>146</v>
      </c>
      <c r="O42" s="26" t="s">
        <v>686</v>
      </c>
      <c r="P42" s="20"/>
      <c r="Q42" s="21">
        <v>38054</v>
      </c>
      <c r="R42" s="22">
        <v>0</v>
      </c>
    </row>
    <row r="43" spans="1:18" x14ac:dyDescent="0.25">
      <c r="A43" s="5" t="s">
        <v>256</v>
      </c>
      <c r="B43" s="1" t="s">
        <v>250</v>
      </c>
      <c r="C43" s="1" t="s">
        <v>257</v>
      </c>
      <c r="D43" s="1" t="s">
        <v>258</v>
      </c>
      <c r="E43" s="1" t="s">
        <v>259</v>
      </c>
      <c r="F43" s="1" t="s">
        <v>260</v>
      </c>
      <c r="G43" s="1" t="s">
        <v>261</v>
      </c>
      <c r="H43" s="2">
        <v>45514</v>
      </c>
      <c r="I43" s="2">
        <v>45879</v>
      </c>
      <c r="J43" s="1" t="s">
        <v>21</v>
      </c>
      <c r="K43" s="3">
        <v>3206782</v>
      </c>
      <c r="L43" s="3">
        <v>48102</v>
      </c>
      <c r="M43" s="1" t="s">
        <v>22</v>
      </c>
      <c r="N43" s="30" t="s">
        <v>146</v>
      </c>
      <c r="O43" s="26" t="s">
        <v>687</v>
      </c>
      <c r="P43" s="20"/>
      <c r="Q43" s="21">
        <v>48102</v>
      </c>
      <c r="R43" s="22">
        <v>0</v>
      </c>
    </row>
    <row r="44" spans="1:18" x14ac:dyDescent="0.25">
      <c r="A44" s="5" t="s">
        <v>262</v>
      </c>
      <c r="B44" s="1" t="s">
        <v>250</v>
      </c>
      <c r="C44" s="1" t="s">
        <v>263</v>
      </c>
      <c r="D44" s="1" t="s">
        <v>264</v>
      </c>
      <c r="E44" s="1" t="s">
        <v>265</v>
      </c>
      <c r="F44" s="1" t="s">
        <v>266</v>
      </c>
      <c r="G44" s="1" t="s">
        <v>267</v>
      </c>
      <c r="H44" s="2">
        <v>45514</v>
      </c>
      <c r="I44" s="2">
        <v>45879</v>
      </c>
      <c r="J44" s="1" t="s">
        <v>21</v>
      </c>
      <c r="K44" s="3">
        <v>1577921</v>
      </c>
      <c r="L44" s="3">
        <v>31558</v>
      </c>
      <c r="M44" s="1" t="s">
        <v>139</v>
      </c>
      <c r="N44" s="30" t="s">
        <v>146</v>
      </c>
      <c r="O44" s="26" t="s">
        <v>688</v>
      </c>
      <c r="P44" s="20"/>
      <c r="Q44" s="21">
        <v>31558</v>
      </c>
      <c r="R44" s="22">
        <v>0</v>
      </c>
    </row>
    <row r="45" spans="1:18" x14ac:dyDescent="0.25">
      <c r="A45" s="5" t="s">
        <v>268</v>
      </c>
      <c r="B45" s="1" t="s">
        <v>250</v>
      </c>
      <c r="C45" s="1" t="s">
        <v>269</v>
      </c>
      <c r="D45" s="1" t="s">
        <v>239</v>
      </c>
      <c r="E45" s="1" t="s">
        <v>270</v>
      </c>
      <c r="F45" s="1" t="s">
        <v>271</v>
      </c>
      <c r="G45" s="1" t="s">
        <v>272</v>
      </c>
      <c r="H45" s="2">
        <v>45514</v>
      </c>
      <c r="I45" s="2">
        <v>45879</v>
      </c>
      <c r="J45" s="1" t="s">
        <v>21</v>
      </c>
      <c r="K45" s="3">
        <v>2472039</v>
      </c>
      <c r="L45" s="3">
        <v>37081</v>
      </c>
      <c r="M45" s="1" t="s">
        <v>175</v>
      </c>
      <c r="N45" s="30" t="s">
        <v>146</v>
      </c>
      <c r="O45" s="26" t="s">
        <v>689</v>
      </c>
      <c r="P45" s="20"/>
      <c r="Q45" s="21">
        <v>37080</v>
      </c>
      <c r="R45" s="22">
        <v>-1</v>
      </c>
    </row>
    <row r="46" spans="1:18" x14ac:dyDescent="0.25">
      <c r="A46" s="5" t="s">
        <v>273</v>
      </c>
      <c r="B46" s="1" t="s">
        <v>250</v>
      </c>
      <c r="C46" s="1" t="s">
        <v>274</v>
      </c>
      <c r="D46" s="1" t="s">
        <v>275</v>
      </c>
      <c r="E46" s="1" t="s">
        <v>276</v>
      </c>
      <c r="F46" s="1" t="s">
        <v>277</v>
      </c>
      <c r="G46" s="1" t="s">
        <v>278</v>
      </c>
      <c r="H46" s="2">
        <v>45514</v>
      </c>
      <c r="I46" s="2">
        <v>45879</v>
      </c>
      <c r="J46" s="1" t="s">
        <v>21</v>
      </c>
      <c r="K46" s="3">
        <v>848120</v>
      </c>
      <c r="L46" s="3">
        <v>12722</v>
      </c>
      <c r="M46" s="1" t="s">
        <v>175</v>
      </c>
      <c r="N46" s="30" t="s">
        <v>146</v>
      </c>
      <c r="O46" s="26" t="s">
        <v>690</v>
      </c>
      <c r="P46" s="20"/>
      <c r="Q46" s="21">
        <v>12722</v>
      </c>
      <c r="R46" s="22">
        <v>0</v>
      </c>
    </row>
    <row r="47" spans="1:18" x14ac:dyDescent="0.25">
      <c r="A47" s="5" t="s">
        <v>279</v>
      </c>
      <c r="B47" s="1" t="s">
        <v>250</v>
      </c>
      <c r="C47" s="1" t="s">
        <v>280</v>
      </c>
      <c r="D47" s="1" t="s">
        <v>281</v>
      </c>
      <c r="E47" s="1" t="s">
        <v>282</v>
      </c>
      <c r="F47" s="1" t="s">
        <v>283</v>
      </c>
      <c r="G47" s="1" t="s">
        <v>284</v>
      </c>
      <c r="H47" s="2">
        <v>45524</v>
      </c>
      <c r="I47" s="2">
        <v>45889</v>
      </c>
      <c r="J47" s="1" t="s">
        <v>21</v>
      </c>
      <c r="K47" s="3">
        <v>637729</v>
      </c>
      <c r="L47" s="3">
        <v>21045</v>
      </c>
      <c r="M47" s="1" t="s">
        <v>132</v>
      </c>
      <c r="N47" s="30" t="s">
        <v>146</v>
      </c>
      <c r="O47" s="26" t="s">
        <v>691</v>
      </c>
      <c r="P47" s="20"/>
      <c r="Q47" s="21">
        <v>21046</v>
      </c>
      <c r="R47" s="22">
        <v>1</v>
      </c>
    </row>
    <row r="48" spans="1:18" x14ac:dyDescent="0.25">
      <c r="A48" s="5" t="s">
        <v>285</v>
      </c>
      <c r="B48" s="1" t="s">
        <v>286</v>
      </c>
      <c r="C48" s="1" t="s">
        <v>287</v>
      </c>
      <c r="D48" s="1" t="s">
        <v>73</v>
      </c>
      <c r="E48" s="1" t="s">
        <v>288</v>
      </c>
      <c r="F48" s="1" t="s">
        <v>289</v>
      </c>
      <c r="G48" s="1" t="s">
        <v>290</v>
      </c>
      <c r="H48" s="2">
        <v>45529</v>
      </c>
      <c r="I48" s="2">
        <v>45894</v>
      </c>
      <c r="J48" s="1" t="s">
        <v>21</v>
      </c>
      <c r="K48" s="3">
        <v>1252260</v>
      </c>
      <c r="L48" s="3">
        <v>18784</v>
      </c>
      <c r="M48" s="1" t="s">
        <v>22</v>
      </c>
      <c r="N48" s="30" t="s">
        <v>146</v>
      </c>
      <c r="O48" s="26" t="s">
        <v>692</v>
      </c>
      <c r="P48" s="20"/>
      <c r="Q48" s="21">
        <v>18784</v>
      </c>
      <c r="R48" s="22">
        <v>0</v>
      </c>
    </row>
    <row r="49" spans="1:18" x14ac:dyDescent="0.25">
      <c r="A49" s="5" t="s">
        <v>291</v>
      </c>
      <c r="B49" s="1" t="s">
        <v>286</v>
      </c>
      <c r="C49" s="1" t="s">
        <v>292</v>
      </c>
      <c r="D49" s="1" t="s">
        <v>73</v>
      </c>
      <c r="E49" s="1" t="s">
        <v>293</v>
      </c>
      <c r="F49" s="1" t="s">
        <v>294</v>
      </c>
      <c r="G49" s="1" t="s">
        <v>295</v>
      </c>
      <c r="H49" s="2">
        <v>45545</v>
      </c>
      <c r="I49" s="2">
        <v>45910</v>
      </c>
      <c r="J49" s="1" t="s">
        <v>21</v>
      </c>
      <c r="K49" s="3">
        <v>1356750</v>
      </c>
      <c r="L49" s="3">
        <v>20351</v>
      </c>
      <c r="M49" s="1" t="s">
        <v>22</v>
      </c>
      <c r="N49" s="30" t="s">
        <v>146</v>
      </c>
      <c r="O49" s="26" t="s">
        <v>693</v>
      </c>
      <c r="P49" s="20"/>
      <c r="Q49" s="21">
        <v>20351</v>
      </c>
      <c r="R49" s="22">
        <v>0</v>
      </c>
    </row>
    <row r="50" spans="1:18" x14ac:dyDescent="0.25">
      <c r="A50" s="5" t="s">
        <v>296</v>
      </c>
      <c r="B50" s="1" t="s">
        <v>286</v>
      </c>
      <c r="C50" s="1" t="s">
        <v>297</v>
      </c>
      <c r="D50" s="1" t="s">
        <v>258</v>
      </c>
      <c r="E50" s="1" t="s">
        <v>298</v>
      </c>
      <c r="F50" s="1" t="s">
        <v>299</v>
      </c>
      <c r="G50" s="1" t="s">
        <v>300</v>
      </c>
      <c r="H50" s="2">
        <v>45540</v>
      </c>
      <c r="I50" s="2">
        <v>45905</v>
      </c>
      <c r="J50" s="1" t="s">
        <v>21</v>
      </c>
      <c r="K50" s="3">
        <v>3082455</v>
      </c>
      <c r="L50" s="3">
        <v>46237</v>
      </c>
      <c r="M50" s="1" t="s">
        <v>22</v>
      </c>
      <c r="N50" s="30" t="s">
        <v>146</v>
      </c>
      <c r="O50" s="26" t="s">
        <v>694</v>
      </c>
      <c r="P50" s="20"/>
      <c r="Q50" s="21">
        <v>46237</v>
      </c>
      <c r="R50" s="22">
        <v>0</v>
      </c>
    </row>
    <row r="51" spans="1:18" x14ac:dyDescent="0.25">
      <c r="A51" s="5" t="s">
        <v>301</v>
      </c>
      <c r="B51" s="1" t="s">
        <v>286</v>
      </c>
      <c r="C51" s="1" t="s">
        <v>302</v>
      </c>
      <c r="D51" s="1" t="s">
        <v>303</v>
      </c>
      <c r="E51" s="1" t="s">
        <v>304</v>
      </c>
      <c r="F51" s="1" t="s">
        <v>305</v>
      </c>
      <c r="G51" s="1" t="s">
        <v>306</v>
      </c>
      <c r="H51" s="2">
        <v>45540</v>
      </c>
      <c r="I51" s="2">
        <v>45905</v>
      </c>
      <c r="J51" s="1" t="s">
        <v>21</v>
      </c>
      <c r="K51" s="3">
        <v>2187000</v>
      </c>
      <c r="L51" s="3">
        <v>32805</v>
      </c>
      <c r="M51" s="1" t="s">
        <v>22</v>
      </c>
      <c r="N51" s="30" t="s">
        <v>146</v>
      </c>
      <c r="O51" s="26" t="s">
        <v>695</v>
      </c>
      <c r="P51" s="20"/>
      <c r="Q51" s="21">
        <v>32805</v>
      </c>
      <c r="R51" s="22">
        <v>0</v>
      </c>
    </row>
    <row r="52" spans="1:18" x14ac:dyDescent="0.25">
      <c r="A52" s="5" t="s">
        <v>307</v>
      </c>
      <c r="B52" s="1" t="s">
        <v>286</v>
      </c>
      <c r="C52" s="1" t="s">
        <v>308</v>
      </c>
      <c r="D52" s="1" t="s">
        <v>258</v>
      </c>
      <c r="E52" s="1" t="s">
        <v>309</v>
      </c>
      <c r="F52" s="1" t="s">
        <v>310</v>
      </c>
      <c r="G52" s="1" t="s">
        <v>311</v>
      </c>
      <c r="H52" s="2">
        <v>45550</v>
      </c>
      <c r="I52" s="2">
        <v>45915</v>
      </c>
      <c r="J52" s="1" t="s">
        <v>21</v>
      </c>
      <c r="K52" s="3">
        <v>3073140</v>
      </c>
      <c r="L52" s="3">
        <v>46097</v>
      </c>
      <c r="M52" s="1" t="s">
        <v>22</v>
      </c>
      <c r="N52" s="30" t="s">
        <v>146</v>
      </c>
      <c r="O52" s="26" t="s">
        <v>696</v>
      </c>
      <c r="P52" s="20"/>
      <c r="Q52" s="21">
        <v>46097</v>
      </c>
      <c r="R52" s="22">
        <v>0</v>
      </c>
    </row>
    <row r="53" spans="1:18" x14ac:dyDescent="0.25">
      <c r="A53" s="5" t="s">
        <v>312</v>
      </c>
      <c r="B53" s="1" t="s">
        <v>286</v>
      </c>
      <c r="C53" s="1" t="s">
        <v>313</v>
      </c>
      <c r="D53" s="1" t="s">
        <v>31</v>
      </c>
      <c r="E53" s="1" t="s">
        <v>314</v>
      </c>
      <c r="F53" s="1" t="s">
        <v>315</v>
      </c>
      <c r="G53" s="1" t="s">
        <v>316</v>
      </c>
      <c r="H53" s="2">
        <v>45514</v>
      </c>
      <c r="I53" s="2">
        <v>45879</v>
      </c>
      <c r="J53" s="1" t="s">
        <v>21</v>
      </c>
      <c r="K53" s="3">
        <v>1057860</v>
      </c>
      <c r="L53" s="3">
        <v>15868</v>
      </c>
      <c r="M53" s="1" t="s">
        <v>22</v>
      </c>
      <c r="N53" s="30" t="s">
        <v>146</v>
      </c>
      <c r="O53" s="26" t="s">
        <v>697</v>
      </c>
      <c r="P53" s="20"/>
      <c r="Q53" s="21">
        <v>15868</v>
      </c>
      <c r="R53" s="22">
        <v>0</v>
      </c>
    </row>
    <row r="54" spans="1:18" x14ac:dyDescent="0.25">
      <c r="A54" s="5" t="s">
        <v>317</v>
      </c>
      <c r="B54" s="1" t="s">
        <v>286</v>
      </c>
      <c r="C54" s="1" t="s">
        <v>318</v>
      </c>
      <c r="D54" s="1" t="s">
        <v>73</v>
      </c>
      <c r="E54" s="1" t="s">
        <v>319</v>
      </c>
      <c r="F54" s="1" t="s">
        <v>320</v>
      </c>
      <c r="G54" s="1" t="s">
        <v>321</v>
      </c>
      <c r="H54" s="2">
        <v>45545</v>
      </c>
      <c r="I54" s="2">
        <v>45910</v>
      </c>
      <c r="J54" s="1" t="s">
        <v>21</v>
      </c>
      <c r="K54" s="3">
        <v>1403730</v>
      </c>
      <c r="L54" s="3">
        <v>21056</v>
      </c>
      <c r="M54" s="1" t="s">
        <v>22</v>
      </c>
      <c r="N54" s="30" t="s">
        <v>146</v>
      </c>
      <c r="O54" s="26" t="s">
        <v>698</v>
      </c>
      <c r="P54" s="20"/>
      <c r="Q54" s="21">
        <v>21056</v>
      </c>
      <c r="R54" s="22">
        <v>0</v>
      </c>
    </row>
    <row r="55" spans="1:18" x14ac:dyDescent="0.25">
      <c r="A55" s="5" t="s">
        <v>322</v>
      </c>
      <c r="B55" s="1" t="s">
        <v>286</v>
      </c>
      <c r="C55" s="1" t="s">
        <v>323</v>
      </c>
      <c r="D55" s="1" t="s">
        <v>73</v>
      </c>
      <c r="E55" s="1" t="s">
        <v>324</v>
      </c>
      <c r="F55" s="1" t="s">
        <v>325</v>
      </c>
      <c r="G55" s="1" t="s">
        <v>326</v>
      </c>
      <c r="H55" s="2">
        <v>45545</v>
      </c>
      <c r="I55" s="2">
        <v>45910</v>
      </c>
      <c r="J55" s="1" t="s">
        <v>21</v>
      </c>
      <c r="K55" s="3">
        <v>1356750</v>
      </c>
      <c r="L55" s="3">
        <v>20351</v>
      </c>
      <c r="M55" s="1" t="s">
        <v>22</v>
      </c>
      <c r="N55" s="30" t="s">
        <v>146</v>
      </c>
      <c r="O55" s="26" t="s">
        <v>699</v>
      </c>
      <c r="P55" s="20"/>
      <c r="Q55" s="21">
        <v>20351</v>
      </c>
      <c r="R55" s="22">
        <v>0</v>
      </c>
    </row>
    <row r="56" spans="1:18" x14ac:dyDescent="0.25">
      <c r="A56" s="5" t="s">
        <v>327</v>
      </c>
      <c r="B56" s="1" t="s">
        <v>286</v>
      </c>
      <c r="C56" s="1" t="s">
        <v>328</v>
      </c>
      <c r="D56" s="1" t="s">
        <v>84</v>
      </c>
      <c r="E56" s="1" t="s">
        <v>329</v>
      </c>
      <c r="F56" s="1" t="s">
        <v>330</v>
      </c>
      <c r="G56" s="1" t="s">
        <v>331</v>
      </c>
      <c r="H56" s="2">
        <v>45529</v>
      </c>
      <c r="I56" s="2">
        <v>45894</v>
      </c>
      <c r="J56" s="1" t="s">
        <v>21</v>
      </c>
      <c r="K56" s="3">
        <v>2892600</v>
      </c>
      <c r="L56" s="3">
        <v>43389</v>
      </c>
      <c r="M56" s="1" t="s">
        <v>22</v>
      </c>
      <c r="N56" s="30" t="s">
        <v>146</v>
      </c>
      <c r="O56" s="26" t="s">
        <v>700</v>
      </c>
      <c r="P56" s="20"/>
      <c r="Q56" s="21">
        <v>43389</v>
      </c>
      <c r="R56" s="22">
        <v>0</v>
      </c>
    </row>
    <row r="57" spans="1:18" x14ac:dyDescent="0.25">
      <c r="A57" s="5" t="s">
        <v>332</v>
      </c>
      <c r="B57" s="1" t="s">
        <v>286</v>
      </c>
      <c r="C57" s="1" t="s">
        <v>333</v>
      </c>
      <c r="D57" s="1" t="s">
        <v>334</v>
      </c>
      <c r="E57" s="1" t="s">
        <v>335</v>
      </c>
      <c r="F57" s="1" t="s">
        <v>336</v>
      </c>
      <c r="G57" s="1" t="s">
        <v>46</v>
      </c>
      <c r="H57" s="2">
        <v>45524</v>
      </c>
      <c r="I57" s="2">
        <v>45889</v>
      </c>
      <c r="J57" s="1" t="s">
        <v>21</v>
      </c>
      <c r="K57" s="3">
        <v>3600000</v>
      </c>
      <c r="L57" s="3">
        <v>54000</v>
      </c>
      <c r="M57" s="1" t="s">
        <v>22</v>
      </c>
      <c r="N57" s="30" t="s">
        <v>146</v>
      </c>
      <c r="O57" s="26" t="s">
        <v>701</v>
      </c>
      <c r="P57" s="20"/>
      <c r="Q57" s="21">
        <v>54000</v>
      </c>
      <c r="R57" s="22">
        <v>0</v>
      </c>
    </row>
    <row r="58" spans="1:18" x14ac:dyDescent="0.25">
      <c r="A58" s="5" t="s">
        <v>337</v>
      </c>
      <c r="B58" s="1" t="s">
        <v>286</v>
      </c>
      <c r="C58" s="1" t="s">
        <v>338</v>
      </c>
      <c r="D58" s="1" t="s">
        <v>245</v>
      </c>
      <c r="E58" s="1" t="s">
        <v>339</v>
      </c>
      <c r="F58" s="1" t="s">
        <v>340</v>
      </c>
      <c r="G58" s="1" t="s">
        <v>341</v>
      </c>
      <c r="H58" s="2">
        <v>45519</v>
      </c>
      <c r="I58" s="2">
        <v>45884</v>
      </c>
      <c r="J58" s="1" t="s">
        <v>21</v>
      </c>
      <c r="K58" s="3">
        <v>1016869</v>
      </c>
      <c r="L58" s="3">
        <v>15253</v>
      </c>
      <c r="M58" s="1" t="s">
        <v>175</v>
      </c>
      <c r="N58" s="30" t="s">
        <v>146</v>
      </c>
      <c r="O58" s="26" t="s">
        <v>702</v>
      </c>
      <c r="P58" s="20"/>
      <c r="Q58" s="21">
        <v>15253</v>
      </c>
      <c r="R58" s="22">
        <v>0</v>
      </c>
    </row>
    <row r="59" spans="1:18" x14ac:dyDescent="0.25">
      <c r="A59" s="5" t="s">
        <v>342</v>
      </c>
      <c r="B59" s="1" t="s">
        <v>286</v>
      </c>
      <c r="C59" s="1" t="s">
        <v>343</v>
      </c>
      <c r="D59" s="1" t="s">
        <v>344</v>
      </c>
      <c r="E59" s="1" t="s">
        <v>345</v>
      </c>
      <c r="F59" s="1" t="s">
        <v>346</v>
      </c>
      <c r="G59" s="1" t="s">
        <v>347</v>
      </c>
      <c r="H59" s="2">
        <v>45545</v>
      </c>
      <c r="I59" s="2">
        <v>45910</v>
      </c>
      <c r="J59" s="1" t="s">
        <v>21</v>
      </c>
      <c r="K59" s="3">
        <v>2389662</v>
      </c>
      <c r="L59" s="3">
        <v>35845</v>
      </c>
      <c r="M59" s="1" t="s">
        <v>175</v>
      </c>
      <c r="N59" s="30" t="s">
        <v>146</v>
      </c>
      <c r="O59" s="26" t="s">
        <v>703</v>
      </c>
      <c r="P59" s="20"/>
      <c r="Q59" s="21">
        <v>35845</v>
      </c>
      <c r="R59" s="22">
        <v>0</v>
      </c>
    </row>
    <row r="60" spans="1:18" x14ac:dyDescent="0.25">
      <c r="A60" s="5" t="s">
        <v>348</v>
      </c>
      <c r="B60" s="1" t="s">
        <v>286</v>
      </c>
      <c r="C60" s="1" t="s">
        <v>349</v>
      </c>
      <c r="D60" s="1" t="s">
        <v>245</v>
      </c>
      <c r="E60" s="1" t="s">
        <v>350</v>
      </c>
      <c r="F60" s="1" t="s">
        <v>351</v>
      </c>
      <c r="G60" s="1" t="s">
        <v>352</v>
      </c>
      <c r="H60" s="2">
        <v>45514</v>
      </c>
      <c r="I60" s="2">
        <v>45879</v>
      </c>
      <c r="J60" s="1" t="s">
        <v>21</v>
      </c>
      <c r="K60" s="3">
        <v>1252260</v>
      </c>
      <c r="L60" s="3">
        <v>18784</v>
      </c>
      <c r="M60" s="1" t="s">
        <v>22</v>
      </c>
      <c r="N60" s="30" t="s">
        <v>146</v>
      </c>
      <c r="O60" s="26" t="s">
        <v>704</v>
      </c>
      <c r="P60" s="20"/>
      <c r="Q60" s="21">
        <v>18784</v>
      </c>
      <c r="R60" s="22">
        <v>0</v>
      </c>
    </row>
    <row r="61" spans="1:18" x14ac:dyDescent="0.25">
      <c r="A61" s="5" t="s">
        <v>353</v>
      </c>
      <c r="B61" s="1" t="s">
        <v>354</v>
      </c>
      <c r="C61" s="1" t="s">
        <v>355</v>
      </c>
      <c r="D61" s="1" t="s">
        <v>356</v>
      </c>
      <c r="E61" s="1" t="s">
        <v>357</v>
      </c>
      <c r="F61" s="1" t="s">
        <v>358</v>
      </c>
      <c r="G61" s="1" t="s">
        <v>359</v>
      </c>
      <c r="H61" s="2">
        <v>45529</v>
      </c>
      <c r="I61" s="2">
        <v>45894</v>
      </c>
      <c r="J61" s="1" t="s">
        <v>21</v>
      </c>
      <c r="K61" s="3">
        <v>1574640</v>
      </c>
      <c r="L61" s="3">
        <v>23620</v>
      </c>
      <c r="M61" s="1" t="s">
        <v>22</v>
      </c>
      <c r="N61" s="30" t="s">
        <v>146</v>
      </c>
      <c r="O61" s="26" t="s">
        <v>705</v>
      </c>
      <c r="P61" s="20"/>
      <c r="Q61" s="21">
        <v>23620</v>
      </c>
      <c r="R61" s="22">
        <v>0</v>
      </c>
    </row>
    <row r="62" spans="1:18" x14ac:dyDescent="0.25">
      <c r="A62" s="5" t="s">
        <v>360</v>
      </c>
      <c r="B62" s="1" t="s">
        <v>354</v>
      </c>
      <c r="C62" s="1" t="s">
        <v>361</v>
      </c>
      <c r="D62" s="1" t="s">
        <v>73</v>
      </c>
      <c r="E62" s="1" t="s">
        <v>362</v>
      </c>
      <c r="F62" s="1" t="s">
        <v>363</v>
      </c>
      <c r="G62" s="1" t="s">
        <v>364</v>
      </c>
      <c r="H62" s="2">
        <v>45524</v>
      </c>
      <c r="I62" s="2">
        <v>45889</v>
      </c>
      <c r="J62" s="1" t="s">
        <v>21</v>
      </c>
      <c r="K62" s="3">
        <v>1403730</v>
      </c>
      <c r="L62" s="3">
        <v>21056</v>
      </c>
      <c r="M62" s="1" t="s">
        <v>22</v>
      </c>
      <c r="N62" s="30" t="s">
        <v>146</v>
      </c>
      <c r="O62" s="26" t="s">
        <v>706</v>
      </c>
      <c r="P62" s="20"/>
      <c r="Q62" s="21">
        <v>21056</v>
      </c>
      <c r="R62" s="22">
        <v>0</v>
      </c>
    </row>
    <row r="63" spans="1:18" x14ac:dyDescent="0.25">
      <c r="A63" s="5" t="s">
        <v>365</v>
      </c>
      <c r="B63" s="1" t="s">
        <v>354</v>
      </c>
      <c r="C63" s="1" t="s">
        <v>366</v>
      </c>
      <c r="D63" s="1" t="s">
        <v>73</v>
      </c>
      <c r="E63" s="1" t="s">
        <v>367</v>
      </c>
      <c r="F63" s="1" t="s">
        <v>368</v>
      </c>
      <c r="G63" s="1" t="s">
        <v>369</v>
      </c>
      <c r="H63" s="2">
        <v>45529</v>
      </c>
      <c r="I63" s="2">
        <v>45894</v>
      </c>
      <c r="J63" s="1" t="s">
        <v>21</v>
      </c>
      <c r="K63" s="3">
        <v>1252260</v>
      </c>
      <c r="L63" s="3">
        <v>18784</v>
      </c>
      <c r="M63" s="1" t="s">
        <v>22</v>
      </c>
      <c r="N63" s="30" t="s">
        <v>146</v>
      </c>
      <c r="O63" s="26" t="s">
        <v>707</v>
      </c>
      <c r="P63" s="20"/>
      <c r="Q63" s="21">
        <v>18784</v>
      </c>
      <c r="R63" s="22">
        <v>0</v>
      </c>
    </row>
    <row r="64" spans="1:18" x14ac:dyDescent="0.25">
      <c r="A64" s="5" t="s">
        <v>370</v>
      </c>
      <c r="B64" s="1" t="s">
        <v>354</v>
      </c>
      <c r="C64" s="1" t="s">
        <v>371</v>
      </c>
      <c r="D64" s="1" t="s">
        <v>73</v>
      </c>
      <c r="E64" s="1" t="s">
        <v>372</v>
      </c>
      <c r="F64" s="1" t="s">
        <v>373</v>
      </c>
      <c r="G64" s="1" t="s">
        <v>374</v>
      </c>
      <c r="H64" s="2">
        <v>45524</v>
      </c>
      <c r="I64" s="2">
        <v>45889</v>
      </c>
      <c r="J64" s="1" t="s">
        <v>21</v>
      </c>
      <c r="K64" s="3">
        <v>1356750</v>
      </c>
      <c r="L64" s="3">
        <v>20351</v>
      </c>
      <c r="M64" s="1" t="s">
        <v>22</v>
      </c>
      <c r="N64" s="30" t="s">
        <v>146</v>
      </c>
      <c r="O64" s="26" t="s">
        <v>708</v>
      </c>
      <c r="P64" s="20"/>
      <c r="Q64" s="21">
        <v>20351</v>
      </c>
      <c r="R64" s="22">
        <v>0</v>
      </c>
    </row>
    <row r="65" spans="1:18" x14ac:dyDescent="0.25">
      <c r="A65" s="5" t="s">
        <v>375</v>
      </c>
      <c r="B65" s="1" t="s">
        <v>354</v>
      </c>
      <c r="C65" s="1" t="s">
        <v>376</v>
      </c>
      <c r="D65" s="1" t="s">
        <v>73</v>
      </c>
      <c r="E65" s="1" t="s">
        <v>377</v>
      </c>
      <c r="F65" s="1" t="s">
        <v>378</v>
      </c>
      <c r="G65" s="1" t="s">
        <v>379</v>
      </c>
      <c r="H65" s="2">
        <v>45545</v>
      </c>
      <c r="I65" s="2">
        <v>45910</v>
      </c>
      <c r="J65" s="1" t="s">
        <v>21</v>
      </c>
      <c r="K65" s="3">
        <v>1403730</v>
      </c>
      <c r="L65" s="3">
        <v>21056</v>
      </c>
      <c r="M65" s="1" t="s">
        <v>22</v>
      </c>
      <c r="N65" s="30" t="s">
        <v>146</v>
      </c>
      <c r="O65" s="26" t="s">
        <v>709</v>
      </c>
      <c r="P65" s="20"/>
      <c r="Q65" s="21">
        <v>21056</v>
      </c>
      <c r="R65" s="22">
        <v>0</v>
      </c>
    </row>
    <row r="66" spans="1:18" x14ac:dyDescent="0.25">
      <c r="A66" s="5" t="s">
        <v>380</v>
      </c>
      <c r="B66" s="1" t="s">
        <v>354</v>
      </c>
      <c r="C66" s="1" t="s">
        <v>381</v>
      </c>
      <c r="D66" s="1" t="s">
        <v>73</v>
      </c>
      <c r="E66" s="1" t="s">
        <v>382</v>
      </c>
      <c r="F66" s="1" t="s">
        <v>383</v>
      </c>
      <c r="G66" s="1" t="s">
        <v>384</v>
      </c>
      <c r="H66" s="2">
        <v>45519</v>
      </c>
      <c r="I66" s="2">
        <v>45884</v>
      </c>
      <c r="J66" s="1" t="s">
        <v>21</v>
      </c>
      <c r="K66" s="3">
        <v>1252260</v>
      </c>
      <c r="L66" s="3">
        <v>18784</v>
      </c>
      <c r="M66" s="1" t="s">
        <v>22</v>
      </c>
      <c r="N66" s="30" t="s">
        <v>146</v>
      </c>
      <c r="O66" s="26" t="s">
        <v>710</v>
      </c>
      <c r="P66" s="20"/>
      <c r="Q66" s="21">
        <v>18784</v>
      </c>
      <c r="R66" s="22">
        <v>0</v>
      </c>
    </row>
    <row r="67" spans="1:18" x14ac:dyDescent="0.25">
      <c r="A67" s="5" t="s">
        <v>385</v>
      </c>
      <c r="B67" s="1" t="s">
        <v>354</v>
      </c>
      <c r="C67" s="1" t="s">
        <v>386</v>
      </c>
      <c r="D67" s="1" t="s">
        <v>73</v>
      </c>
      <c r="E67" s="1" t="s">
        <v>387</v>
      </c>
      <c r="F67" s="1" t="s">
        <v>388</v>
      </c>
      <c r="G67" s="1" t="s">
        <v>389</v>
      </c>
      <c r="H67" s="2">
        <v>45519</v>
      </c>
      <c r="I67" s="2">
        <v>45884</v>
      </c>
      <c r="J67" s="1" t="s">
        <v>21</v>
      </c>
      <c r="K67" s="3">
        <v>1252260</v>
      </c>
      <c r="L67" s="3">
        <v>18784</v>
      </c>
      <c r="M67" s="1" t="s">
        <v>22</v>
      </c>
      <c r="N67" s="30" t="s">
        <v>146</v>
      </c>
      <c r="O67" s="26" t="s">
        <v>711</v>
      </c>
      <c r="P67" s="20"/>
      <c r="Q67" s="21">
        <v>18784</v>
      </c>
      <c r="R67" s="22">
        <v>0</v>
      </c>
    </row>
    <row r="68" spans="1:18" x14ac:dyDescent="0.25">
      <c r="A68" s="5" t="s">
        <v>390</v>
      </c>
      <c r="B68" s="1" t="s">
        <v>354</v>
      </c>
      <c r="C68" s="1" t="s">
        <v>391</v>
      </c>
      <c r="D68" s="1" t="s">
        <v>73</v>
      </c>
      <c r="E68" s="1" t="s">
        <v>392</v>
      </c>
      <c r="F68" s="1" t="s">
        <v>393</v>
      </c>
      <c r="G68" s="1" t="s">
        <v>394</v>
      </c>
      <c r="H68" s="2">
        <v>45524</v>
      </c>
      <c r="I68" s="2">
        <v>45889</v>
      </c>
      <c r="J68" s="1" t="s">
        <v>21</v>
      </c>
      <c r="K68" s="3">
        <v>1252260</v>
      </c>
      <c r="L68" s="3">
        <v>18784</v>
      </c>
      <c r="M68" s="1" t="s">
        <v>22</v>
      </c>
      <c r="N68" s="30" t="s">
        <v>146</v>
      </c>
      <c r="O68" s="26" t="s">
        <v>765</v>
      </c>
      <c r="P68" s="20"/>
      <c r="Q68" s="21">
        <v>18784</v>
      </c>
      <c r="R68" s="22">
        <v>0</v>
      </c>
    </row>
    <row r="69" spans="1:18" x14ac:dyDescent="0.25">
      <c r="A69" s="5" t="s">
        <v>395</v>
      </c>
      <c r="B69" s="1" t="s">
        <v>354</v>
      </c>
      <c r="C69" s="1" t="s">
        <v>396</v>
      </c>
      <c r="D69" s="1" t="s">
        <v>397</v>
      </c>
      <c r="E69" s="1" t="s">
        <v>398</v>
      </c>
      <c r="F69" s="1" t="s">
        <v>399</v>
      </c>
      <c r="G69" s="1" t="s">
        <v>400</v>
      </c>
      <c r="H69" s="2">
        <v>45524</v>
      </c>
      <c r="I69" s="2">
        <v>45889</v>
      </c>
      <c r="J69" s="1" t="s">
        <v>21</v>
      </c>
      <c r="K69" s="3">
        <v>3014051</v>
      </c>
      <c r="L69" s="3">
        <v>45211</v>
      </c>
      <c r="M69" s="1" t="s">
        <v>175</v>
      </c>
      <c r="N69" s="30" t="s">
        <v>146</v>
      </c>
      <c r="O69" s="26" t="s">
        <v>712</v>
      </c>
      <c r="P69" s="20"/>
      <c r="Q69" s="21">
        <v>45211</v>
      </c>
      <c r="R69" s="22">
        <v>0</v>
      </c>
    </row>
    <row r="70" spans="1:18" x14ac:dyDescent="0.25">
      <c r="A70" s="5" t="s">
        <v>401</v>
      </c>
      <c r="B70" s="1" t="s">
        <v>354</v>
      </c>
      <c r="C70" s="1" t="s">
        <v>402</v>
      </c>
      <c r="D70" s="1" t="s">
        <v>403</v>
      </c>
      <c r="E70" s="1" t="s">
        <v>404</v>
      </c>
      <c r="F70" s="1" t="s">
        <v>405</v>
      </c>
      <c r="G70" s="1" t="s">
        <v>406</v>
      </c>
      <c r="H70" s="2">
        <v>45536</v>
      </c>
      <c r="I70" s="2">
        <v>45901</v>
      </c>
      <c r="J70" s="1" t="s">
        <v>21</v>
      </c>
      <c r="K70" s="3">
        <v>3265920</v>
      </c>
      <c r="L70" s="3">
        <v>48989</v>
      </c>
      <c r="M70" s="1" t="s">
        <v>22</v>
      </c>
      <c r="N70" s="30" t="s">
        <v>146</v>
      </c>
      <c r="O70" s="26" t="s">
        <v>713</v>
      </c>
      <c r="P70" s="20"/>
      <c r="Q70" s="21">
        <v>48989</v>
      </c>
      <c r="R70" s="22">
        <v>0</v>
      </c>
    </row>
    <row r="71" spans="1:18" x14ac:dyDescent="0.25">
      <c r="A71" s="5" t="s">
        <v>407</v>
      </c>
      <c r="B71" s="1" t="s">
        <v>354</v>
      </c>
      <c r="C71" s="1" t="s">
        <v>408</v>
      </c>
      <c r="D71" s="1" t="s">
        <v>409</v>
      </c>
      <c r="E71" s="1" t="s">
        <v>410</v>
      </c>
      <c r="F71" s="1" t="s">
        <v>411</v>
      </c>
      <c r="G71" s="1" t="s">
        <v>412</v>
      </c>
      <c r="H71" s="2">
        <v>45514</v>
      </c>
      <c r="I71" s="2">
        <v>45879</v>
      </c>
      <c r="J71" s="1" t="s">
        <v>21</v>
      </c>
      <c r="K71" s="3">
        <v>1226527</v>
      </c>
      <c r="L71" s="3">
        <v>18398</v>
      </c>
      <c r="M71" s="1" t="s">
        <v>22</v>
      </c>
      <c r="N71" s="30" t="s">
        <v>146</v>
      </c>
      <c r="O71" s="26" t="s">
        <v>714</v>
      </c>
      <c r="P71" s="20"/>
      <c r="Q71" s="21">
        <v>18398</v>
      </c>
      <c r="R71" s="22">
        <v>0</v>
      </c>
    </row>
    <row r="72" spans="1:18" x14ac:dyDescent="0.25">
      <c r="A72" s="5" t="s">
        <v>413</v>
      </c>
      <c r="B72" s="1" t="s">
        <v>354</v>
      </c>
      <c r="C72" s="1" t="s">
        <v>414</v>
      </c>
      <c r="D72" s="1" t="s">
        <v>17</v>
      </c>
      <c r="E72" s="1" t="s">
        <v>415</v>
      </c>
      <c r="F72" s="1" t="s">
        <v>416</v>
      </c>
      <c r="G72" s="1" t="s">
        <v>417</v>
      </c>
      <c r="H72" s="2">
        <v>45514</v>
      </c>
      <c r="I72" s="2">
        <v>45879</v>
      </c>
      <c r="J72" s="1" t="s">
        <v>21</v>
      </c>
      <c r="K72" s="3">
        <v>1505417</v>
      </c>
      <c r="L72" s="3">
        <v>22581</v>
      </c>
      <c r="M72" s="1" t="s">
        <v>22</v>
      </c>
      <c r="N72" s="30" t="s">
        <v>146</v>
      </c>
      <c r="O72" s="26" t="s">
        <v>715</v>
      </c>
      <c r="P72" s="20" t="s">
        <v>760</v>
      </c>
      <c r="Q72" s="21">
        <v>22581</v>
      </c>
      <c r="R72" s="19">
        <v>0</v>
      </c>
    </row>
    <row r="73" spans="1:18" x14ac:dyDescent="0.25">
      <c r="A73" s="5" t="s">
        <v>418</v>
      </c>
      <c r="B73" s="1" t="s">
        <v>354</v>
      </c>
      <c r="C73" s="1" t="s">
        <v>419</v>
      </c>
      <c r="D73" s="1" t="s">
        <v>420</v>
      </c>
      <c r="E73" s="1" t="s">
        <v>421</v>
      </c>
      <c r="F73" s="1" t="s">
        <v>422</v>
      </c>
      <c r="G73" s="1" t="s">
        <v>423</v>
      </c>
      <c r="H73" s="2">
        <v>45524</v>
      </c>
      <c r="I73" s="2">
        <v>45889</v>
      </c>
      <c r="J73" s="1" t="s">
        <v>21</v>
      </c>
      <c r="K73" s="3">
        <v>2393307</v>
      </c>
      <c r="L73" s="3">
        <v>35900</v>
      </c>
      <c r="M73" s="1" t="s">
        <v>175</v>
      </c>
      <c r="N73" s="30" t="s">
        <v>146</v>
      </c>
      <c r="O73" s="26" t="s">
        <v>716</v>
      </c>
      <c r="P73" s="20" t="s">
        <v>761</v>
      </c>
      <c r="Q73" s="21">
        <v>35900</v>
      </c>
      <c r="R73" s="19">
        <v>0</v>
      </c>
    </row>
    <row r="74" spans="1:18" x14ac:dyDescent="0.25">
      <c r="A74" s="5" t="s">
        <v>424</v>
      </c>
      <c r="B74" s="1" t="s">
        <v>354</v>
      </c>
      <c r="C74" s="1" t="s">
        <v>425</v>
      </c>
      <c r="D74" s="1" t="s">
        <v>426</v>
      </c>
      <c r="E74" s="1" t="s">
        <v>427</v>
      </c>
      <c r="F74" s="1" t="s">
        <v>428</v>
      </c>
      <c r="G74" s="1" t="s">
        <v>429</v>
      </c>
      <c r="H74" s="2">
        <v>45514</v>
      </c>
      <c r="I74" s="2">
        <v>45879</v>
      </c>
      <c r="J74" s="1" t="s">
        <v>21</v>
      </c>
      <c r="K74" s="3">
        <v>1565892</v>
      </c>
      <c r="L74" s="3">
        <v>23488</v>
      </c>
      <c r="M74" s="1" t="s">
        <v>175</v>
      </c>
      <c r="N74" s="30" t="s">
        <v>146</v>
      </c>
      <c r="O74" s="26" t="s">
        <v>717</v>
      </c>
      <c r="P74" s="20"/>
      <c r="Q74" s="21">
        <v>23488</v>
      </c>
      <c r="R74" s="22">
        <v>0</v>
      </c>
    </row>
    <row r="75" spans="1:18" x14ac:dyDescent="0.25">
      <c r="A75" s="5" t="s">
        <v>430</v>
      </c>
      <c r="B75" s="1" t="s">
        <v>354</v>
      </c>
      <c r="C75" s="1" t="s">
        <v>431</v>
      </c>
      <c r="D75" s="1" t="s">
        <v>432</v>
      </c>
      <c r="E75" s="1" t="s">
        <v>433</v>
      </c>
      <c r="F75" s="1" t="s">
        <v>434</v>
      </c>
      <c r="G75" s="1" t="s">
        <v>435</v>
      </c>
      <c r="H75" s="2">
        <v>45519</v>
      </c>
      <c r="I75" s="2">
        <v>45884</v>
      </c>
      <c r="J75" s="1" t="s">
        <v>21</v>
      </c>
      <c r="K75" s="3">
        <v>2133054</v>
      </c>
      <c r="L75" s="3">
        <v>31996</v>
      </c>
      <c r="M75" s="1" t="s">
        <v>22</v>
      </c>
      <c r="N75" s="30" t="s">
        <v>146</v>
      </c>
      <c r="O75" s="26" t="s">
        <v>718</v>
      </c>
      <c r="P75" s="20"/>
      <c r="Q75" s="21">
        <v>31996</v>
      </c>
      <c r="R75" s="22">
        <v>0</v>
      </c>
    </row>
    <row r="76" spans="1:18" x14ac:dyDescent="0.25">
      <c r="A76" s="5" t="s">
        <v>436</v>
      </c>
      <c r="B76" s="1" t="s">
        <v>437</v>
      </c>
      <c r="C76" s="1" t="s">
        <v>438</v>
      </c>
      <c r="D76" s="1" t="s">
        <v>210</v>
      </c>
      <c r="E76" s="1" t="s">
        <v>439</v>
      </c>
      <c r="F76" s="1" t="s">
        <v>440</v>
      </c>
      <c r="G76" s="1" t="s">
        <v>441</v>
      </c>
      <c r="H76" s="2">
        <v>45540</v>
      </c>
      <c r="I76" s="2">
        <v>45905</v>
      </c>
      <c r="J76" s="1" t="s">
        <v>21</v>
      </c>
      <c r="K76" s="3">
        <v>2196000</v>
      </c>
      <c r="L76" s="3">
        <v>32940</v>
      </c>
      <c r="M76" s="1" t="s">
        <v>22</v>
      </c>
      <c r="N76" s="30" t="s">
        <v>146</v>
      </c>
      <c r="O76" s="26" t="s">
        <v>719</v>
      </c>
      <c r="P76" s="20"/>
      <c r="Q76" s="21">
        <v>32940</v>
      </c>
      <c r="R76" s="22">
        <v>0</v>
      </c>
    </row>
    <row r="77" spans="1:18" x14ac:dyDescent="0.25">
      <c r="A77" s="5" t="s">
        <v>442</v>
      </c>
      <c r="B77" s="1" t="s">
        <v>443</v>
      </c>
      <c r="C77" s="1" t="s">
        <v>444</v>
      </c>
      <c r="D77" s="1" t="s">
        <v>445</v>
      </c>
      <c r="E77" s="1" t="s">
        <v>446</v>
      </c>
      <c r="F77" s="1" t="s">
        <v>447</v>
      </c>
      <c r="G77" s="1" t="s">
        <v>448</v>
      </c>
      <c r="H77" s="2">
        <v>45532</v>
      </c>
      <c r="I77" s="2">
        <v>45897</v>
      </c>
      <c r="J77" s="1" t="s">
        <v>21</v>
      </c>
      <c r="K77" s="3">
        <v>1577002</v>
      </c>
      <c r="L77" s="3">
        <v>31540</v>
      </c>
      <c r="M77" s="1" t="s">
        <v>139</v>
      </c>
      <c r="N77" s="30" t="s">
        <v>146</v>
      </c>
      <c r="O77" s="26" t="s">
        <v>720</v>
      </c>
      <c r="P77" s="20"/>
      <c r="Q77" s="21">
        <v>31540</v>
      </c>
      <c r="R77" s="22">
        <v>0</v>
      </c>
    </row>
    <row r="78" spans="1:18" x14ac:dyDescent="0.25">
      <c r="A78" s="5" t="s">
        <v>449</v>
      </c>
      <c r="B78" s="1" t="s">
        <v>443</v>
      </c>
      <c r="C78" s="1" t="s">
        <v>450</v>
      </c>
      <c r="D78" s="1" t="s">
        <v>245</v>
      </c>
      <c r="E78" s="1" t="s">
        <v>451</v>
      </c>
      <c r="F78" s="1" t="s">
        <v>452</v>
      </c>
      <c r="G78" s="1" t="s">
        <v>453</v>
      </c>
      <c r="H78" s="2">
        <v>45532</v>
      </c>
      <c r="I78" s="2">
        <v>45897</v>
      </c>
      <c r="J78" s="1" t="s">
        <v>21</v>
      </c>
      <c r="K78" s="3">
        <v>917228</v>
      </c>
      <c r="L78" s="3">
        <v>18345</v>
      </c>
      <c r="M78" s="1" t="s">
        <v>139</v>
      </c>
      <c r="N78" s="30" t="s">
        <v>146</v>
      </c>
      <c r="O78" s="26" t="s">
        <v>721</v>
      </c>
      <c r="P78" s="20"/>
      <c r="Q78" s="21">
        <v>18345</v>
      </c>
      <c r="R78" s="22">
        <v>0</v>
      </c>
    </row>
    <row r="79" spans="1:18" x14ac:dyDescent="0.25">
      <c r="A79" s="5" t="s">
        <v>454</v>
      </c>
      <c r="B79" s="1" t="s">
        <v>443</v>
      </c>
      <c r="C79" s="1" t="s">
        <v>455</v>
      </c>
      <c r="D79" s="1" t="s">
        <v>456</v>
      </c>
      <c r="E79" s="1" t="s">
        <v>457</v>
      </c>
      <c r="F79" s="1" t="s">
        <v>458</v>
      </c>
      <c r="G79" s="1" t="s">
        <v>459</v>
      </c>
      <c r="H79" s="2">
        <v>45532</v>
      </c>
      <c r="I79" s="2">
        <v>45897</v>
      </c>
      <c r="J79" s="1" t="s">
        <v>21</v>
      </c>
      <c r="K79" s="3">
        <v>721054</v>
      </c>
      <c r="L79" s="3">
        <v>14421</v>
      </c>
      <c r="M79" s="1" t="s">
        <v>139</v>
      </c>
      <c r="N79" s="30" t="s">
        <v>146</v>
      </c>
      <c r="O79" s="26" t="s">
        <v>722</v>
      </c>
      <c r="P79" s="20"/>
      <c r="Q79" s="21">
        <v>14421</v>
      </c>
      <c r="R79" s="22">
        <v>0</v>
      </c>
    </row>
    <row r="80" spans="1:18" x14ac:dyDescent="0.25">
      <c r="A80" s="5" t="s">
        <v>460</v>
      </c>
      <c r="B80" s="1" t="s">
        <v>461</v>
      </c>
      <c r="C80" s="1" t="s">
        <v>462</v>
      </c>
      <c r="D80" s="1" t="s">
        <v>463</v>
      </c>
      <c r="E80" s="1" t="s">
        <v>464</v>
      </c>
      <c r="F80" s="1" t="s">
        <v>465</v>
      </c>
      <c r="G80" s="1" t="s">
        <v>466</v>
      </c>
      <c r="H80" s="2">
        <v>45519</v>
      </c>
      <c r="I80" s="2">
        <v>45884</v>
      </c>
      <c r="J80" s="1" t="s">
        <v>21</v>
      </c>
      <c r="K80" s="3">
        <v>1970487</v>
      </c>
      <c r="L80" s="3">
        <v>29557</v>
      </c>
      <c r="M80" s="1" t="s">
        <v>175</v>
      </c>
      <c r="N80" s="30" t="s">
        <v>146</v>
      </c>
      <c r="O80" s="26" t="s">
        <v>723</v>
      </c>
      <c r="P80" s="20"/>
      <c r="Q80" s="21">
        <v>29557</v>
      </c>
      <c r="R80" s="22">
        <v>0</v>
      </c>
    </row>
    <row r="81" spans="1:18" x14ac:dyDescent="0.25">
      <c r="A81" s="5" t="s">
        <v>467</v>
      </c>
      <c r="B81" s="1" t="s">
        <v>461</v>
      </c>
      <c r="C81" s="1" t="s">
        <v>468</v>
      </c>
      <c r="D81" s="1" t="s">
        <v>469</v>
      </c>
      <c r="E81" s="1" t="s">
        <v>470</v>
      </c>
      <c r="F81" s="1" t="s">
        <v>471</v>
      </c>
      <c r="G81" s="1" t="s">
        <v>472</v>
      </c>
      <c r="H81" s="2">
        <v>45540</v>
      </c>
      <c r="I81" s="2">
        <v>45905</v>
      </c>
      <c r="J81" s="1" t="s">
        <v>21</v>
      </c>
      <c r="K81" s="3">
        <v>2464020</v>
      </c>
      <c r="L81" s="3">
        <v>36960</v>
      </c>
      <c r="M81" s="1" t="s">
        <v>175</v>
      </c>
      <c r="N81" s="30" t="s">
        <v>146</v>
      </c>
      <c r="O81" s="26" t="s">
        <v>724</v>
      </c>
      <c r="P81" s="20"/>
      <c r="Q81" s="21">
        <v>36960</v>
      </c>
      <c r="R81" s="22">
        <v>0</v>
      </c>
    </row>
    <row r="82" spans="1:18" x14ac:dyDescent="0.25">
      <c r="A82" s="5" t="s">
        <v>473</v>
      </c>
      <c r="B82" s="1" t="s">
        <v>461</v>
      </c>
      <c r="C82" s="1" t="s">
        <v>474</v>
      </c>
      <c r="D82" s="1" t="s">
        <v>475</v>
      </c>
      <c r="E82" s="1" t="s">
        <v>476</v>
      </c>
      <c r="F82" s="1" t="s">
        <v>477</v>
      </c>
      <c r="G82" s="1" t="s">
        <v>478</v>
      </c>
      <c r="H82" s="2">
        <v>45540</v>
      </c>
      <c r="I82" s="2">
        <v>45905</v>
      </c>
      <c r="J82" s="1" t="s">
        <v>21</v>
      </c>
      <c r="K82" s="3">
        <v>1260983</v>
      </c>
      <c r="L82" s="3">
        <v>18915</v>
      </c>
      <c r="M82" s="1" t="s">
        <v>175</v>
      </c>
      <c r="N82" s="30" t="s">
        <v>146</v>
      </c>
      <c r="O82" s="26" t="s">
        <v>725</v>
      </c>
      <c r="P82" s="20"/>
      <c r="Q82" s="21">
        <v>18915</v>
      </c>
      <c r="R82" s="22">
        <v>0</v>
      </c>
    </row>
    <row r="83" spans="1:18" x14ac:dyDescent="0.25">
      <c r="A83" s="5" t="s">
        <v>479</v>
      </c>
      <c r="B83" s="1" t="s">
        <v>461</v>
      </c>
      <c r="C83" s="1" t="s">
        <v>480</v>
      </c>
      <c r="D83" s="1" t="s">
        <v>481</v>
      </c>
      <c r="E83" s="1" t="s">
        <v>482</v>
      </c>
      <c r="F83" s="1" t="s">
        <v>483</v>
      </c>
      <c r="G83" s="1" t="s">
        <v>484</v>
      </c>
      <c r="H83" s="2">
        <v>45509</v>
      </c>
      <c r="I83" s="2">
        <v>45874</v>
      </c>
      <c r="J83" s="1" t="s">
        <v>21</v>
      </c>
      <c r="K83" s="3">
        <v>2941831</v>
      </c>
      <c r="L83" s="3">
        <v>36773</v>
      </c>
      <c r="M83" s="1" t="s">
        <v>485</v>
      </c>
      <c r="N83" s="30" t="s">
        <v>146</v>
      </c>
      <c r="O83" s="26" t="s">
        <v>726</v>
      </c>
      <c r="P83" s="20" t="s">
        <v>762</v>
      </c>
      <c r="Q83" s="21">
        <v>36773</v>
      </c>
      <c r="R83" s="19">
        <v>0</v>
      </c>
    </row>
    <row r="84" spans="1:18" x14ac:dyDescent="0.25">
      <c r="A84" s="5" t="s">
        <v>486</v>
      </c>
      <c r="B84" s="1" t="s">
        <v>461</v>
      </c>
      <c r="C84" s="1" t="s">
        <v>487</v>
      </c>
      <c r="D84" s="1" t="s">
        <v>488</v>
      </c>
      <c r="E84" s="1" t="s">
        <v>489</v>
      </c>
      <c r="F84" s="1" t="s">
        <v>490</v>
      </c>
      <c r="G84" s="1" t="s">
        <v>491</v>
      </c>
      <c r="H84" s="2">
        <v>45509</v>
      </c>
      <c r="I84" s="2">
        <v>45874</v>
      </c>
      <c r="J84" s="1" t="s">
        <v>21</v>
      </c>
      <c r="K84" s="3">
        <v>1912167</v>
      </c>
      <c r="L84" s="3">
        <v>28683</v>
      </c>
      <c r="M84" s="1" t="s">
        <v>175</v>
      </c>
      <c r="N84" s="30" t="s">
        <v>146</v>
      </c>
      <c r="O84" s="26" t="s">
        <v>727</v>
      </c>
      <c r="P84" s="20"/>
      <c r="Q84" s="21">
        <v>28683</v>
      </c>
      <c r="R84" s="22">
        <v>0</v>
      </c>
    </row>
    <row r="85" spans="1:18" x14ac:dyDescent="0.25">
      <c r="A85" s="5" t="s">
        <v>492</v>
      </c>
      <c r="B85" s="1" t="s">
        <v>461</v>
      </c>
      <c r="C85" s="1" t="s">
        <v>493</v>
      </c>
      <c r="D85" s="1" t="s">
        <v>494</v>
      </c>
      <c r="E85" s="1" t="s">
        <v>495</v>
      </c>
      <c r="F85" s="1" t="s">
        <v>496</v>
      </c>
      <c r="G85" s="1" t="s">
        <v>497</v>
      </c>
      <c r="H85" s="2">
        <v>45509</v>
      </c>
      <c r="I85" s="2">
        <v>45874</v>
      </c>
      <c r="J85" s="1" t="s">
        <v>21</v>
      </c>
      <c r="K85" s="3">
        <v>1780947</v>
      </c>
      <c r="L85" s="3">
        <v>26714</v>
      </c>
      <c r="M85" s="1" t="s">
        <v>175</v>
      </c>
      <c r="N85" s="30" t="s">
        <v>146</v>
      </c>
      <c r="O85" s="26" t="s">
        <v>728</v>
      </c>
      <c r="P85" s="20"/>
      <c r="Q85" s="21">
        <v>26714</v>
      </c>
      <c r="R85" s="22">
        <v>0</v>
      </c>
    </row>
    <row r="86" spans="1:18" x14ac:dyDescent="0.25">
      <c r="A86" s="5" t="s">
        <v>498</v>
      </c>
      <c r="B86" s="1" t="s">
        <v>461</v>
      </c>
      <c r="C86" s="1" t="s">
        <v>499</v>
      </c>
      <c r="D86" s="1" t="s">
        <v>73</v>
      </c>
      <c r="E86" s="1" t="s">
        <v>500</v>
      </c>
      <c r="F86" s="1" t="s">
        <v>501</v>
      </c>
      <c r="G86" s="1" t="s">
        <v>502</v>
      </c>
      <c r="H86" s="2">
        <v>45519</v>
      </c>
      <c r="I86" s="2">
        <v>45884</v>
      </c>
      <c r="J86" s="1" t="s">
        <v>21</v>
      </c>
      <c r="K86" s="3">
        <v>1403730</v>
      </c>
      <c r="L86" s="3">
        <v>21056</v>
      </c>
      <c r="M86" s="1" t="s">
        <v>22</v>
      </c>
      <c r="N86" s="30" t="s">
        <v>146</v>
      </c>
      <c r="O86" s="26" t="s">
        <v>729</v>
      </c>
      <c r="P86" s="20"/>
      <c r="Q86" s="21">
        <v>21056</v>
      </c>
      <c r="R86" s="22">
        <v>0</v>
      </c>
    </row>
    <row r="87" spans="1:18" x14ac:dyDescent="0.25">
      <c r="A87" s="5" t="s">
        <v>503</v>
      </c>
      <c r="B87" s="1" t="s">
        <v>461</v>
      </c>
      <c r="C87" s="1" t="s">
        <v>504</v>
      </c>
      <c r="D87" s="1" t="s">
        <v>73</v>
      </c>
      <c r="E87" s="1" t="s">
        <v>505</v>
      </c>
      <c r="F87" s="1" t="s">
        <v>506</v>
      </c>
      <c r="G87" s="1" t="s">
        <v>507</v>
      </c>
      <c r="H87" s="2">
        <v>45519</v>
      </c>
      <c r="I87" s="2">
        <v>45884</v>
      </c>
      <c r="J87" s="1" t="s">
        <v>21</v>
      </c>
      <c r="K87" s="3">
        <v>1356750</v>
      </c>
      <c r="L87" s="3">
        <v>20351</v>
      </c>
      <c r="M87" s="1" t="s">
        <v>22</v>
      </c>
      <c r="N87" s="30" t="s">
        <v>146</v>
      </c>
      <c r="O87" s="26" t="s">
        <v>730</v>
      </c>
      <c r="P87" s="20"/>
      <c r="Q87" s="21">
        <v>20351</v>
      </c>
      <c r="R87" s="22">
        <v>0</v>
      </c>
    </row>
    <row r="88" spans="1:18" x14ac:dyDescent="0.25">
      <c r="A88" s="5" t="s">
        <v>508</v>
      </c>
      <c r="B88" s="1" t="s">
        <v>461</v>
      </c>
      <c r="C88" s="1" t="s">
        <v>509</v>
      </c>
      <c r="D88" s="1" t="s">
        <v>49</v>
      </c>
      <c r="E88" s="1" t="s">
        <v>510</v>
      </c>
      <c r="F88" s="1" t="s">
        <v>511</v>
      </c>
      <c r="G88" s="1" t="s">
        <v>512</v>
      </c>
      <c r="H88" s="2">
        <v>45519</v>
      </c>
      <c r="I88" s="2">
        <v>45884</v>
      </c>
      <c r="J88" s="1" t="s">
        <v>21</v>
      </c>
      <c r="K88" s="3">
        <v>1527660</v>
      </c>
      <c r="L88" s="3">
        <v>22915</v>
      </c>
      <c r="M88" s="1" t="s">
        <v>22</v>
      </c>
      <c r="N88" s="30" t="s">
        <v>146</v>
      </c>
      <c r="O88" s="26" t="s">
        <v>731</v>
      </c>
      <c r="P88" s="20"/>
      <c r="Q88" s="21">
        <v>22915</v>
      </c>
      <c r="R88" s="22">
        <v>0</v>
      </c>
    </row>
    <row r="89" spans="1:18" x14ac:dyDescent="0.25">
      <c r="A89" s="5" t="s">
        <v>513</v>
      </c>
      <c r="B89" s="1" t="s">
        <v>461</v>
      </c>
      <c r="C89" s="1" t="s">
        <v>514</v>
      </c>
      <c r="D89" s="1" t="s">
        <v>106</v>
      </c>
      <c r="E89" s="1" t="s">
        <v>515</v>
      </c>
      <c r="F89" s="1" t="s">
        <v>516</v>
      </c>
      <c r="G89" s="1" t="s">
        <v>517</v>
      </c>
      <c r="H89" s="2">
        <v>45529</v>
      </c>
      <c r="I89" s="2">
        <v>45894</v>
      </c>
      <c r="J89" s="1" t="s">
        <v>21</v>
      </c>
      <c r="K89" s="3">
        <v>2076840</v>
      </c>
      <c r="L89" s="3">
        <v>31153</v>
      </c>
      <c r="M89" s="1" t="s">
        <v>22</v>
      </c>
      <c r="N89" s="30" t="s">
        <v>146</v>
      </c>
      <c r="O89" s="26" t="s">
        <v>732</v>
      </c>
      <c r="P89" s="20"/>
      <c r="Q89" s="21">
        <v>31153</v>
      </c>
      <c r="R89" s="22">
        <v>0</v>
      </c>
    </row>
    <row r="90" spans="1:18" x14ac:dyDescent="0.25">
      <c r="A90" s="5" t="s">
        <v>518</v>
      </c>
      <c r="B90" s="1" t="s">
        <v>461</v>
      </c>
      <c r="C90" s="1" t="s">
        <v>519</v>
      </c>
      <c r="D90" s="1" t="s">
        <v>520</v>
      </c>
      <c r="E90" s="1" t="s">
        <v>521</v>
      </c>
      <c r="F90" s="1" t="s">
        <v>522</v>
      </c>
      <c r="G90" s="1" t="s">
        <v>523</v>
      </c>
      <c r="H90" s="2">
        <v>45529</v>
      </c>
      <c r="I90" s="2">
        <v>45894</v>
      </c>
      <c r="J90" s="1" t="s">
        <v>21</v>
      </c>
      <c r="K90" s="3">
        <v>3240745</v>
      </c>
      <c r="L90" s="3">
        <v>48611</v>
      </c>
      <c r="M90" s="1" t="s">
        <v>22</v>
      </c>
      <c r="N90" s="30" t="s">
        <v>146</v>
      </c>
      <c r="O90" s="26" t="s">
        <v>733</v>
      </c>
      <c r="P90" s="20"/>
      <c r="Q90" s="21">
        <v>48611</v>
      </c>
      <c r="R90" s="22">
        <v>0</v>
      </c>
    </row>
    <row r="91" spans="1:18" x14ac:dyDescent="0.25">
      <c r="A91" s="5" t="s">
        <v>524</v>
      </c>
      <c r="B91" s="1" t="s">
        <v>525</v>
      </c>
      <c r="C91" s="1" t="s">
        <v>526</v>
      </c>
      <c r="D91" s="1" t="s">
        <v>527</v>
      </c>
      <c r="E91" s="1" t="s">
        <v>528</v>
      </c>
      <c r="F91" s="1" t="s">
        <v>529</v>
      </c>
      <c r="G91" s="1" t="s">
        <v>530</v>
      </c>
      <c r="H91" s="2">
        <v>45550</v>
      </c>
      <c r="I91" s="2">
        <v>45915</v>
      </c>
      <c r="J91" s="1" t="s">
        <v>21</v>
      </c>
      <c r="K91" s="3">
        <v>3488400</v>
      </c>
      <c r="L91" s="3">
        <v>52326</v>
      </c>
      <c r="M91" s="1" t="s">
        <v>22</v>
      </c>
      <c r="N91" s="30" t="s">
        <v>146</v>
      </c>
      <c r="O91" s="26" t="s">
        <v>734</v>
      </c>
      <c r="P91" s="20"/>
      <c r="Q91" s="21">
        <v>52326</v>
      </c>
      <c r="R91" s="22">
        <v>0</v>
      </c>
    </row>
    <row r="92" spans="1:18" x14ac:dyDescent="0.25">
      <c r="A92" s="5" t="s">
        <v>531</v>
      </c>
      <c r="B92" s="1" t="s">
        <v>525</v>
      </c>
      <c r="C92" s="1" t="s">
        <v>532</v>
      </c>
      <c r="D92" s="1" t="s">
        <v>533</v>
      </c>
      <c r="E92" s="1" t="s">
        <v>534</v>
      </c>
      <c r="F92" s="1" t="s">
        <v>535</v>
      </c>
      <c r="G92" s="1" t="s">
        <v>536</v>
      </c>
      <c r="H92" s="2">
        <v>45545</v>
      </c>
      <c r="I92" s="2">
        <v>45910</v>
      </c>
      <c r="J92" s="1" t="s">
        <v>21</v>
      </c>
      <c r="K92" s="3">
        <v>5499000</v>
      </c>
      <c r="L92" s="3">
        <v>82485</v>
      </c>
      <c r="M92" s="1" t="s">
        <v>22</v>
      </c>
      <c r="N92" s="30" t="s">
        <v>146</v>
      </c>
      <c r="O92" s="26" t="s">
        <v>735</v>
      </c>
      <c r="P92" s="20"/>
      <c r="Q92" s="21">
        <v>82485</v>
      </c>
      <c r="R92" s="22">
        <v>0</v>
      </c>
    </row>
    <row r="93" spans="1:18" x14ac:dyDescent="0.25">
      <c r="A93" s="5" t="s">
        <v>537</v>
      </c>
      <c r="B93" s="1" t="s">
        <v>525</v>
      </c>
      <c r="C93" s="1" t="s">
        <v>538</v>
      </c>
      <c r="D93" s="1" t="s">
        <v>539</v>
      </c>
      <c r="E93" s="1" t="s">
        <v>540</v>
      </c>
      <c r="F93" s="1" t="s">
        <v>541</v>
      </c>
      <c r="G93" s="1" t="s">
        <v>542</v>
      </c>
      <c r="H93" s="2">
        <v>45545</v>
      </c>
      <c r="I93" s="2">
        <v>45910</v>
      </c>
      <c r="J93" s="1" t="s">
        <v>21</v>
      </c>
      <c r="K93" s="3">
        <v>4464000</v>
      </c>
      <c r="L93" s="3">
        <v>66960</v>
      </c>
      <c r="M93" s="1" t="s">
        <v>22</v>
      </c>
      <c r="N93" s="30" t="s">
        <v>146</v>
      </c>
      <c r="O93" s="26" t="s">
        <v>736</v>
      </c>
      <c r="P93" s="20"/>
      <c r="Q93" s="21">
        <v>66960</v>
      </c>
      <c r="R93" s="22">
        <v>0</v>
      </c>
    </row>
    <row r="94" spans="1:18" x14ac:dyDescent="0.25">
      <c r="A94" s="5" t="s">
        <v>543</v>
      </c>
      <c r="B94" s="1" t="s">
        <v>525</v>
      </c>
      <c r="C94" s="1" t="s">
        <v>544</v>
      </c>
      <c r="D94" s="1" t="s">
        <v>239</v>
      </c>
      <c r="E94" s="1" t="s">
        <v>545</v>
      </c>
      <c r="F94" s="1" t="s">
        <v>546</v>
      </c>
      <c r="G94" s="1" t="s">
        <v>547</v>
      </c>
      <c r="H94" s="2">
        <v>45509</v>
      </c>
      <c r="I94" s="2">
        <v>45874</v>
      </c>
      <c r="J94" s="1" t="s">
        <v>21</v>
      </c>
      <c r="K94" s="3">
        <v>2464020</v>
      </c>
      <c r="L94" s="3">
        <v>36960</v>
      </c>
      <c r="M94" s="1" t="s">
        <v>175</v>
      </c>
      <c r="N94" s="30" t="s">
        <v>146</v>
      </c>
      <c r="O94" s="26" t="s">
        <v>737</v>
      </c>
      <c r="P94" s="20"/>
      <c r="Q94" s="21">
        <v>36960</v>
      </c>
      <c r="R94" s="22">
        <v>0</v>
      </c>
    </row>
    <row r="95" spans="1:18" x14ac:dyDescent="0.25">
      <c r="A95" s="5" t="s">
        <v>548</v>
      </c>
      <c r="B95" s="1" t="s">
        <v>525</v>
      </c>
      <c r="C95" s="1" t="s">
        <v>549</v>
      </c>
      <c r="D95" s="1" t="s">
        <v>550</v>
      </c>
      <c r="E95" s="1" t="s">
        <v>551</v>
      </c>
      <c r="F95" s="1" t="s">
        <v>552</v>
      </c>
      <c r="G95" s="1" t="s">
        <v>553</v>
      </c>
      <c r="H95" s="2">
        <v>45540</v>
      </c>
      <c r="I95" s="2">
        <v>45905</v>
      </c>
      <c r="J95" s="1" t="s">
        <v>21</v>
      </c>
      <c r="K95" s="3">
        <v>1886490</v>
      </c>
      <c r="L95" s="3">
        <v>28297</v>
      </c>
      <c r="M95" s="1" t="s">
        <v>22</v>
      </c>
      <c r="N95" s="30" t="s">
        <v>146</v>
      </c>
      <c r="O95" s="26" t="s">
        <v>738</v>
      </c>
      <c r="P95" s="20"/>
      <c r="Q95" s="21">
        <v>28297</v>
      </c>
      <c r="R95" s="22">
        <v>0</v>
      </c>
    </row>
    <row r="96" spans="1:18" x14ac:dyDescent="0.25">
      <c r="A96" s="5" t="s">
        <v>554</v>
      </c>
      <c r="B96" s="1" t="s">
        <v>525</v>
      </c>
      <c r="C96" s="1" t="s">
        <v>555</v>
      </c>
      <c r="D96" s="1" t="s">
        <v>550</v>
      </c>
      <c r="E96" s="1" t="s">
        <v>556</v>
      </c>
      <c r="F96" s="1" t="s">
        <v>557</v>
      </c>
      <c r="G96" s="1" t="s">
        <v>558</v>
      </c>
      <c r="H96" s="2">
        <v>45519</v>
      </c>
      <c r="I96" s="2">
        <v>45884</v>
      </c>
      <c r="J96" s="1" t="s">
        <v>21</v>
      </c>
      <c r="K96" s="3">
        <v>2216970</v>
      </c>
      <c r="L96" s="3">
        <v>33255</v>
      </c>
      <c r="M96" s="1" t="s">
        <v>22</v>
      </c>
      <c r="N96" s="30" t="s">
        <v>146</v>
      </c>
      <c r="O96" s="26" t="s">
        <v>739</v>
      </c>
      <c r="P96" s="20"/>
      <c r="Q96" s="21">
        <v>33255</v>
      </c>
      <c r="R96" s="22">
        <v>0</v>
      </c>
    </row>
    <row r="97" spans="1:18" x14ac:dyDescent="0.25">
      <c r="A97" s="5" t="s">
        <v>559</v>
      </c>
      <c r="B97" s="1" t="s">
        <v>560</v>
      </c>
      <c r="C97" s="1" t="s">
        <v>561</v>
      </c>
      <c r="D97" s="1" t="s">
        <v>562</v>
      </c>
      <c r="E97" s="1" t="s">
        <v>563</v>
      </c>
      <c r="F97" s="1" t="s">
        <v>564</v>
      </c>
      <c r="G97" s="1" t="s">
        <v>565</v>
      </c>
      <c r="H97" s="2">
        <v>45519</v>
      </c>
      <c r="I97" s="2">
        <v>45884</v>
      </c>
      <c r="J97" s="1" t="s">
        <v>21</v>
      </c>
      <c r="K97" s="3">
        <v>1527660</v>
      </c>
      <c r="L97" s="3">
        <v>22915</v>
      </c>
      <c r="M97" s="1" t="s">
        <v>22</v>
      </c>
      <c r="N97" s="30" t="s">
        <v>146</v>
      </c>
      <c r="O97" s="26" t="s">
        <v>740</v>
      </c>
      <c r="P97" s="20"/>
      <c r="Q97" s="21">
        <v>22915</v>
      </c>
      <c r="R97" s="22">
        <v>0</v>
      </c>
    </row>
    <row r="98" spans="1:18" x14ac:dyDescent="0.25">
      <c r="A98" s="5" t="s">
        <v>566</v>
      </c>
      <c r="B98" s="1" t="s">
        <v>560</v>
      </c>
      <c r="C98" s="1" t="s">
        <v>567</v>
      </c>
      <c r="D98" s="1" t="s">
        <v>67</v>
      </c>
      <c r="E98" s="1" t="s">
        <v>568</v>
      </c>
      <c r="F98" s="1" t="s">
        <v>569</v>
      </c>
      <c r="G98" s="1" t="s">
        <v>570</v>
      </c>
      <c r="H98" s="2">
        <v>45545</v>
      </c>
      <c r="I98" s="2">
        <v>45910</v>
      </c>
      <c r="J98" s="1" t="s">
        <v>21</v>
      </c>
      <c r="K98" s="3">
        <v>1580310</v>
      </c>
      <c r="L98" s="3">
        <v>23705</v>
      </c>
      <c r="M98" s="1" t="s">
        <v>22</v>
      </c>
      <c r="N98" s="30" t="s">
        <v>146</v>
      </c>
      <c r="O98" s="26" t="s">
        <v>741</v>
      </c>
      <c r="P98" s="20"/>
      <c r="Q98" s="21">
        <v>23705</v>
      </c>
      <c r="R98" s="22">
        <v>0</v>
      </c>
    </row>
    <row r="99" spans="1:18" x14ac:dyDescent="0.25">
      <c r="A99" s="5" t="s">
        <v>571</v>
      </c>
      <c r="B99" s="1" t="s">
        <v>560</v>
      </c>
      <c r="C99" s="1" t="s">
        <v>572</v>
      </c>
      <c r="D99" s="1" t="s">
        <v>210</v>
      </c>
      <c r="E99" s="1" t="s">
        <v>573</v>
      </c>
      <c r="F99" s="1" t="s">
        <v>574</v>
      </c>
      <c r="G99" s="1" t="s">
        <v>575</v>
      </c>
      <c r="H99" s="2">
        <v>45545</v>
      </c>
      <c r="I99" s="2">
        <v>45910</v>
      </c>
      <c r="J99" s="1" t="s">
        <v>21</v>
      </c>
      <c r="K99" s="3">
        <v>1781190</v>
      </c>
      <c r="L99" s="3">
        <v>26718</v>
      </c>
      <c r="M99" s="1" t="s">
        <v>22</v>
      </c>
      <c r="N99" s="30" t="s">
        <v>146</v>
      </c>
      <c r="O99" s="26" t="s">
        <v>742</v>
      </c>
      <c r="P99" s="20"/>
      <c r="Q99" s="21">
        <v>26718</v>
      </c>
      <c r="R99" s="22">
        <v>0</v>
      </c>
    </row>
    <row r="100" spans="1:18" x14ac:dyDescent="0.25">
      <c r="A100" s="5" t="s">
        <v>576</v>
      </c>
      <c r="B100" s="1" t="s">
        <v>560</v>
      </c>
      <c r="C100" s="1" t="s">
        <v>577</v>
      </c>
      <c r="D100" s="1" t="s">
        <v>73</v>
      </c>
      <c r="E100" s="1" t="s">
        <v>578</v>
      </c>
      <c r="F100" s="1" t="s">
        <v>579</v>
      </c>
      <c r="G100" s="1" t="s">
        <v>580</v>
      </c>
      <c r="H100" s="2">
        <v>45545</v>
      </c>
      <c r="I100" s="2">
        <v>45910</v>
      </c>
      <c r="J100" s="1" t="s">
        <v>21</v>
      </c>
      <c r="K100" s="3">
        <v>1356750</v>
      </c>
      <c r="L100" s="3">
        <v>20351</v>
      </c>
      <c r="M100" s="1" t="s">
        <v>22</v>
      </c>
      <c r="N100" s="30" t="s">
        <v>146</v>
      </c>
      <c r="O100" s="26" t="s">
        <v>743</v>
      </c>
      <c r="P100" s="20"/>
      <c r="Q100" s="21">
        <v>20351</v>
      </c>
      <c r="R100" s="22">
        <v>0</v>
      </c>
    </row>
    <row r="101" spans="1:18" x14ac:dyDescent="0.25">
      <c r="A101" s="5" t="s">
        <v>581</v>
      </c>
      <c r="B101" s="1" t="s">
        <v>560</v>
      </c>
      <c r="C101" s="1" t="s">
        <v>582</v>
      </c>
      <c r="D101" s="1" t="s">
        <v>67</v>
      </c>
      <c r="E101" s="1" t="s">
        <v>583</v>
      </c>
      <c r="F101" s="1" t="s">
        <v>584</v>
      </c>
      <c r="G101" s="1" t="s">
        <v>585</v>
      </c>
      <c r="H101" s="2">
        <v>45540</v>
      </c>
      <c r="I101" s="2">
        <v>45905</v>
      </c>
      <c r="J101" s="1" t="s">
        <v>21</v>
      </c>
      <c r="K101" s="3">
        <v>1527660</v>
      </c>
      <c r="L101" s="3">
        <v>22915</v>
      </c>
      <c r="M101" s="1" t="s">
        <v>22</v>
      </c>
      <c r="N101" s="30" t="s">
        <v>146</v>
      </c>
      <c r="O101" s="26" t="s">
        <v>744</v>
      </c>
      <c r="P101" s="20"/>
      <c r="Q101" s="21">
        <v>22915</v>
      </c>
      <c r="R101" s="22">
        <v>0</v>
      </c>
    </row>
    <row r="102" spans="1:18" x14ac:dyDescent="0.25">
      <c r="A102" s="5" t="s">
        <v>586</v>
      </c>
      <c r="B102" s="1" t="s">
        <v>560</v>
      </c>
      <c r="C102" s="1" t="s">
        <v>587</v>
      </c>
      <c r="D102" s="1" t="s">
        <v>67</v>
      </c>
      <c r="E102" s="1" t="s">
        <v>588</v>
      </c>
      <c r="F102" s="1" t="s">
        <v>589</v>
      </c>
      <c r="G102" s="1" t="s">
        <v>590</v>
      </c>
      <c r="H102" s="2">
        <v>45545</v>
      </c>
      <c r="I102" s="2">
        <v>45910</v>
      </c>
      <c r="J102" s="1" t="s">
        <v>21</v>
      </c>
      <c r="K102" s="3">
        <v>1580310</v>
      </c>
      <c r="L102" s="3">
        <v>23705</v>
      </c>
      <c r="M102" s="1" t="s">
        <v>22</v>
      </c>
      <c r="N102" s="30" t="s">
        <v>146</v>
      </c>
      <c r="O102" s="26" t="s">
        <v>745</v>
      </c>
      <c r="P102" s="20"/>
      <c r="Q102" s="21">
        <v>23705</v>
      </c>
      <c r="R102" s="22">
        <v>0</v>
      </c>
    </row>
    <row r="103" spans="1:18" x14ac:dyDescent="0.25">
      <c r="A103" s="5" t="s">
        <v>591</v>
      </c>
      <c r="B103" s="1" t="s">
        <v>560</v>
      </c>
      <c r="C103" s="1" t="s">
        <v>592</v>
      </c>
      <c r="D103" s="1" t="s">
        <v>73</v>
      </c>
      <c r="E103" s="1" t="s">
        <v>593</v>
      </c>
      <c r="F103" s="1" t="s">
        <v>594</v>
      </c>
      <c r="G103" s="1" t="s">
        <v>595</v>
      </c>
      <c r="H103" s="2">
        <v>45524</v>
      </c>
      <c r="I103" s="2">
        <v>45889</v>
      </c>
      <c r="J103" s="1" t="s">
        <v>21</v>
      </c>
      <c r="K103" s="3">
        <v>1403730</v>
      </c>
      <c r="L103" s="3">
        <v>21056</v>
      </c>
      <c r="M103" s="1" t="s">
        <v>22</v>
      </c>
      <c r="N103" s="30" t="s">
        <v>146</v>
      </c>
      <c r="O103" s="26" t="s">
        <v>746</v>
      </c>
      <c r="P103" s="20"/>
      <c r="Q103" s="21">
        <v>21056</v>
      </c>
      <c r="R103" s="22">
        <v>0</v>
      </c>
    </row>
    <row r="104" spans="1:18" x14ac:dyDescent="0.25">
      <c r="A104" s="5" t="s">
        <v>596</v>
      </c>
      <c r="B104" s="1" t="s">
        <v>560</v>
      </c>
      <c r="C104" s="1" t="s">
        <v>597</v>
      </c>
      <c r="D104" s="1" t="s">
        <v>31</v>
      </c>
      <c r="E104" s="1" t="s">
        <v>598</v>
      </c>
      <c r="F104" s="1" t="s">
        <v>599</v>
      </c>
      <c r="G104" s="1" t="s">
        <v>600</v>
      </c>
      <c r="H104" s="2">
        <v>45519</v>
      </c>
      <c r="I104" s="2">
        <v>45884</v>
      </c>
      <c r="J104" s="1" t="s">
        <v>21</v>
      </c>
      <c r="K104" s="3">
        <v>1057860</v>
      </c>
      <c r="L104" s="3">
        <v>15868</v>
      </c>
      <c r="M104" s="1" t="s">
        <v>22</v>
      </c>
      <c r="N104" s="30" t="s">
        <v>146</v>
      </c>
      <c r="O104" s="26" t="s">
        <v>747</v>
      </c>
      <c r="P104" s="20"/>
      <c r="Q104" s="21">
        <v>15868</v>
      </c>
      <c r="R104" s="22">
        <v>0</v>
      </c>
    </row>
    <row r="105" spans="1:18" x14ac:dyDescent="0.25">
      <c r="A105" s="5" t="s">
        <v>601</v>
      </c>
      <c r="B105" s="1" t="s">
        <v>560</v>
      </c>
      <c r="C105" s="1" t="s">
        <v>602</v>
      </c>
      <c r="D105" s="1" t="s">
        <v>106</v>
      </c>
      <c r="E105" s="1" t="s">
        <v>603</v>
      </c>
      <c r="F105" s="1" t="s">
        <v>604</v>
      </c>
      <c r="G105" s="1" t="s">
        <v>605</v>
      </c>
      <c r="H105" s="2">
        <v>45524</v>
      </c>
      <c r="I105" s="2">
        <v>45889</v>
      </c>
      <c r="J105" s="1" t="s">
        <v>21</v>
      </c>
      <c r="K105" s="3">
        <v>2076840</v>
      </c>
      <c r="L105" s="3">
        <v>31153</v>
      </c>
      <c r="M105" s="1" t="s">
        <v>22</v>
      </c>
      <c r="N105" s="30" t="s">
        <v>146</v>
      </c>
      <c r="O105" s="26" t="s">
        <v>748</v>
      </c>
      <c r="P105" s="20"/>
      <c r="Q105" s="21">
        <v>31153</v>
      </c>
      <c r="R105" s="22">
        <v>0</v>
      </c>
    </row>
    <row r="106" spans="1:18" x14ac:dyDescent="0.25">
      <c r="A106" s="5" t="s">
        <v>606</v>
      </c>
      <c r="B106" s="1" t="s">
        <v>560</v>
      </c>
      <c r="C106" s="1" t="s">
        <v>607</v>
      </c>
      <c r="D106" s="1" t="s">
        <v>608</v>
      </c>
      <c r="E106" s="1" t="s">
        <v>609</v>
      </c>
      <c r="F106" s="1" t="s">
        <v>610</v>
      </c>
      <c r="G106" s="1" t="s">
        <v>611</v>
      </c>
      <c r="H106" s="2">
        <v>45545</v>
      </c>
      <c r="I106" s="2">
        <v>45910</v>
      </c>
      <c r="J106" s="1" t="s">
        <v>21</v>
      </c>
      <c r="K106" s="3">
        <v>2970000</v>
      </c>
      <c r="L106" s="3">
        <v>44550</v>
      </c>
      <c r="M106" s="1" t="s">
        <v>22</v>
      </c>
      <c r="N106" s="30" t="s">
        <v>146</v>
      </c>
      <c r="O106" s="26" t="s">
        <v>749</v>
      </c>
      <c r="P106" s="20"/>
      <c r="Q106" s="21">
        <v>44550</v>
      </c>
      <c r="R106" s="22">
        <v>0</v>
      </c>
    </row>
    <row r="107" spans="1:18" x14ac:dyDescent="0.25">
      <c r="A107" s="5" t="s">
        <v>612</v>
      </c>
      <c r="B107" s="1" t="s">
        <v>560</v>
      </c>
      <c r="C107" s="1" t="s">
        <v>613</v>
      </c>
      <c r="D107" s="1" t="s">
        <v>614</v>
      </c>
      <c r="E107" s="1" t="s">
        <v>615</v>
      </c>
      <c r="F107" s="1" t="s">
        <v>616</v>
      </c>
      <c r="G107" s="1" t="s">
        <v>617</v>
      </c>
      <c r="H107" s="2">
        <v>45540</v>
      </c>
      <c r="I107" s="2">
        <v>45905</v>
      </c>
      <c r="J107" s="1" t="s">
        <v>21</v>
      </c>
      <c r="K107" s="3">
        <v>3060000</v>
      </c>
      <c r="L107" s="3">
        <v>45900</v>
      </c>
      <c r="M107" s="1" t="s">
        <v>22</v>
      </c>
      <c r="N107" s="30" t="s">
        <v>146</v>
      </c>
      <c r="O107" s="26" t="s">
        <v>750</v>
      </c>
      <c r="P107" s="20"/>
      <c r="Q107" s="21">
        <v>45900</v>
      </c>
      <c r="R107" s="22">
        <v>0</v>
      </c>
    </row>
    <row r="108" spans="1:18" x14ac:dyDescent="0.25">
      <c r="A108" s="5" t="s">
        <v>618</v>
      </c>
      <c r="B108" s="1" t="s">
        <v>560</v>
      </c>
      <c r="C108" s="1" t="s">
        <v>619</v>
      </c>
      <c r="D108" s="1" t="s">
        <v>106</v>
      </c>
      <c r="E108" s="1" t="s">
        <v>620</v>
      </c>
      <c r="F108" s="1" t="s">
        <v>621</v>
      </c>
      <c r="G108" s="1" t="s">
        <v>622</v>
      </c>
      <c r="H108" s="2">
        <v>45545</v>
      </c>
      <c r="I108" s="2">
        <v>45910</v>
      </c>
      <c r="J108" s="1" t="s">
        <v>21</v>
      </c>
      <c r="K108" s="3">
        <v>2205000</v>
      </c>
      <c r="L108" s="3">
        <v>33075</v>
      </c>
      <c r="M108" s="1" t="s">
        <v>22</v>
      </c>
      <c r="N108" s="30" t="s">
        <v>146</v>
      </c>
      <c r="O108" s="26" t="s">
        <v>751</v>
      </c>
      <c r="P108" s="20"/>
      <c r="Q108" s="21">
        <v>33075</v>
      </c>
      <c r="R108" s="22">
        <v>0</v>
      </c>
    </row>
    <row r="109" spans="1:18" x14ac:dyDescent="0.25">
      <c r="A109" s="5" t="s">
        <v>623</v>
      </c>
      <c r="B109" s="1" t="s">
        <v>560</v>
      </c>
      <c r="C109" s="1" t="s">
        <v>624</v>
      </c>
      <c r="D109" s="1" t="s">
        <v>625</v>
      </c>
      <c r="E109" s="1" t="s">
        <v>626</v>
      </c>
      <c r="F109" s="1" t="s">
        <v>627</v>
      </c>
      <c r="G109" s="1" t="s">
        <v>628</v>
      </c>
      <c r="H109" s="2">
        <v>45524</v>
      </c>
      <c r="I109" s="2">
        <v>45889</v>
      </c>
      <c r="J109" s="1" t="s">
        <v>21</v>
      </c>
      <c r="K109" s="3">
        <v>2190062</v>
      </c>
      <c r="L109" s="3">
        <v>43801</v>
      </c>
      <c r="M109" s="1" t="s">
        <v>139</v>
      </c>
      <c r="N109" s="30" t="s">
        <v>146</v>
      </c>
      <c r="O109" s="26" t="s">
        <v>752</v>
      </c>
      <c r="P109" s="20"/>
      <c r="Q109" s="21">
        <v>43801</v>
      </c>
      <c r="R109" s="22">
        <v>0</v>
      </c>
    </row>
    <row r="110" spans="1:18" x14ac:dyDescent="0.25">
      <c r="A110" s="5" t="s">
        <v>629</v>
      </c>
      <c r="B110" s="1" t="s">
        <v>560</v>
      </c>
      <c r="C110" s="1" t="s">
        <v>630</v>
      </c>
      <c r="D110" s="1" t="s">
        <v>631</v>
      </c>
      <c r="E110" s="1" t="s">
        <v>632</v>
      </c>
      <c r="F110" s="1" t="s">
        <v>633</v>
      </c>
      <c r="G110" s="1" t="s">
        <v>634</v>
      </c>
      <c r="H110" s="2">
        <v>45540</v>
      </c>
      <c r="I110" s="2">
        <v>45905</v>
      </c>
      <c r="J110" s="1" t="s">
        <v>21</v>
      </c>
      <c r="K110" s="3">
        <v>744017</v>
      </c>
      <c r="L110" s="3">
        <v>14880</v>
      </c>
      <c r="M110" s="1" t="s">
        <v>139</v>
      </c>
      <c r="N110" s="30" t="s">
        <v>146</v>
      </c>
      <c r="O110" s="26" t="s">
        <v>753</v>
      </c>
      <c r="P110" s="20"/>
      <c r="Q110" s="21">
        <v>14880</v>
      </c>
      <c r="R110" s="22">
        <v>0</v>
      </c>
    </row>
    <row r="111" spans="1:18" x14ac:dyDescent="0.25">
      <c r="A111" s="5" t="s">
        <v>635</v>
      </c>
      <c r="B111" s="1" t="s">
        <v>560</v>
      </c>
      <c r="C111" s="1" t="s">
        <v>636</v>
      </c>
      <c r="D111" s="1" t="s">
        <v>637</v>
      </c>
      <c r="E111" s="1" t="s">
        <v>638</v>
      </c>
      <c r="F111" s="1" t="s">
        <v>639</v>
      </c>
      <c r="G111" s="1" t="s">
        <v>640</v>
      </c>
      <c r="H111" s="2">
        <v>45524</v>
      </c>
      <c r="I111" s="2">
        <v>45889</v>
      </c>
      <c r="J111" s="1" t="s">
        <v>21</v>
      </c>
      <c r="K111" s="3">
        <v>1129950</v>
      </c>
      <c r="L111" s="3">
        <v>16949</v>
      </c>
      <c r="M111" s="1" t="s">
        <v>175</v>
      </c>
      <c r="N111" s="30" t="s">
        <v>146</v>
      </c>
      <c r="O111" s="26" t="s">
        <v>754</v>
      </c>
      <c r="P111" s="20"/>
      <c r="Q111" s="21">
        <v>16949</v>
      </c>
      <c r="R111" s="22">
        <v>0</v>
      </c>
    </row>
    <row r="112" spans="1:18" x14ac:dyDescent="0.25">
      <c r="A112" s="5" t="s">
        <v>641</v>
      </c>
      <c r="B112" s="1" t="s">
        <v>560</v>
      </c>
      <c r="C112" s="1" t="s">
        <v>642</v>
      </c>
      <c r="D112" s="1" t="s">
        <v>643</v>
      </c>
      <c r="E112" s="1" t="s">
        <v>644</v>
      </c>
      <c r="F112" s="1" t="s">
        <v>645</v>
      </c>
      <c r="G112" s="1" t="s">
        <v>646</v>
      </c>
      <c r="H112" s="2">
        <v>45509</v>
      </c>
      <c r="I112" s="2">
        <v>45874</v>
      </c>
      <c r="J112" s="1" t="s">
        <v>21</v>
      </c>
      <c r="K112" s="3">
        <v>2138157</v>
      </c>
      <c r="L112" s="3">
        <v>32072</v>
      </c>
      <c r="M112" s="1" t="s">
        <v>175</v>
      </c>
      <c r="N112" s="30" t="s">
        <v>146</v>
      </c>
      <c r="O112" s="26" t="s">
        <v>755</v>
      </c>
      <c r="P112" s="20"/>
      <c r="Q112" s="21">
        <v>32072</v>
      </c>
      <c r="R112" s="22">
        <v>0</v>
      </c>
    </row>
    <row r="113" spans="1:18" x14ac:dyDescent="0.25">
      <c r="A113" s="5" t="s">
        <v>766</v>
      </c>
      <c r="B113" s="1" t="s">
        <v>15</v>
      </c>
      <c r="C113" s="1" t="s">
        <v>767</v>
      </c>
      <c r="D113" s="1" t="s">
        <v>768</v>
      </c>
      <c r="E113" s="1" t="s">
        <v>769</v>
      </c>
      <c r="F113" s="1" t="s">
        <v>770</v>
      </c>
      <c r="G113" s="1" t="s">
        <v>771</v>
      </c>
      <c r="H113" s="2">
        <v>45555</v>
      </c>
      <c r="I113" s="2">
        <v>45920</v>
      </c>
      <c r="J113" s="1" t="s">
        <v>21</v>
      </c>
      <c r="K113" s="3">
        <v>2332800</v>
      </c>
      <c r="L113" s="3">
        <v>34992</v>
      </c>
      <c r="M113" s="1" t="s">
        <v>22</v>
      </c>
      <c r="N113" s="30" t="s">
        <v>146</v>
      </c>
      <c r="O113" s="26" t="s">
        <v>785</v>
      </c>
      <c r="P113" s="20"/>
      <c r="Q113" s="21">
        <v>34992</v>
      </c>
      <c r="R113" s="22">
        <v>0</v>
      </c>
    </row>
    <row r="114" spans="1:18" x14ac:dyDescent="0.25">
      <c r="A114" s="5" t="s">
        <v>772</v>
      </c>
      <c r="B114" s="1" t="s">
        <v>286</v>
      </c>
      <c r="C114" s="1" t="s">
        <v>624</v>
      </c>
      <c r="D114" s="1" t="s">
        <v>773</v>
      </c>
      <c r="E114" s="1" t="s">
        <v>774</v>
      </c>
      <c r="F114" s="1" t="s">
        <v>775</v>
      </c>
      <c r="G114" s="1" t="s">
        <v>776</v>
      </c>
      <c r="H114" s="2">
        <v>45555</v>
      </c>
      <c r="I114" s="2">
        <v>45920</v>
      </c>
      <c r="J114" s="1" t="s">
        <v>21</v>
      </c>
      <c r="K114" s="3">
        <v>7425000</v>
      </c>
      <c r="L114" s="3">
        <v>111375</v>
      </c>
      <c r="M114" s="1" t="s">
        <v>22</v>
      </c>
      <c r="N114" s="30" t="s">
        <v>146</v>
      </c>
      <c r="O114" s="26" t="s">
        <v>784</v>
      </c>
      <c r="P114" s="20"/>
      <c r="Q114" s="21">
        <v>111375</v>
      </c>
      <c r="R114" s="22">
        <v>0</v>
      </c>
    </row>
    <row r="115" spans="1:18" ht="15.75" thickBot="1" x14ac:dyDescent="0.3">
      <c r="A115" s="6" t="s">
        <v>777</v>
      </c>
      <c r="B115" s="7" t="s">
        <v>286</v>
      </c>
      <c r="C115" s="7" t="s">
        <v>778</v>
      </c>
      <c r="D115" s="7" t="s">
        <v>779</v>
      </c>
      <c r="E115" s="7" t="s">
        <v>780</v>
      </c>
      <c r="F115" s="7" t="s">
        <v>781</v>
      </c>
      <c r="G115" s="7" t="s">
        <v>782</v>
      </c>
      <c r="H115" s="8">
        <v>45555</v>
      </c>
      <c r="I115" s="8">
        <v>45920</v>
      </c>
      <c r="J115" s="7" t="s">
        <v>21</v>
      </c>
      <c r="K115" s="9">
        <v>4230000</v>
      </c>
      <c r="L115" s="9">
        <v>63450</v>
      </c>
      <c r="M115" s="7" t="s">
        <v>22</v>
      </c>
      <c r="N115" s="31" t="s">
        <v>146</v>
      </c>
      <c r="O115" s="28" t="s">
        <v>783</v>
      </c>
      <c r="P115" s="23"/>
      <c r="Q115" s="24">
        <v>63450</v>
      </c>
      <c r="R115" s="25">
        <v>0</v>
      </c>
    </row>
    <row r="116" spans="1:18" ht="15.75" thickBot="1" x14ac:dyDescent="0.3">
      <c r="L116" s="32">
        <f>SUM(L2:L115)</f>
        <v>3598837</v>
      </c>
      <c r="Q116" s="32">
        <v>3598836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F089-43EF-4294-BD6B-587FA5859E0E}">
  <dimension ref="A1:H115"/>
  <sheetViews>
    <sheetView topLeftCell="A29" workbookViewId="0">
      <selection activeCell="C25" sqref="C25"/>
    </sheetView>
  </sheetViews>
  <sheetFormatPr defaultRowHeight="15" x14ac:dyDescent="0.25"/>
  <cols>
    <col min="1" max="1" width="48.5703125" customWidth="1"/>
    <col min="2" max="2" width="32" customWidth="1"/>
    <col min="3" max="3" width="14" bestFit="1" customWidth="1"/>
    <col min="4" max="4" width="9.5703125" bestFit="1" customWidth="1"/>
    <col min="5" max="5" width="17.28515625" customWidth="1"/>
    <col min="6" max="6" width="97.85546875" customWidth="1"/>
    <col min="7" max="7" width="84.140625" customWidth="1"/>
    <col min="8" max="8" width="77.28515625" customWidth="1"/>
  </cols>
  <sheetData>
    <row r="1" spans="1:8" ht="126" customHeight="1" x14ac:dyDescent="0.25">
      <c r="A1" s="26" t="s">
        <v>758</v>
      </c>
      <c r="B1" s="33" t="s">
        <v>814</v>
      </c>
      <c r="C1" s="18">
        <v>23292</v>
      </c>
      <c r="D1" s="34">
        <f>ROUND(C1,0)</f>
        <v>23292</v>
      </c>
      <c r="E1" s="38" t="s">
        <v>813</v>
      </c>
      <c r="F1" s="35" t="str">
        <f t="shared" ref="F1:F64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36" t="str">
        <f>"('"&amp;E1&amp;"','"&amp;B1&amp;"','"&amp;D1&amp;"',(select max(to_number(i.premium_rcv_detail_code))+1
from ins_premium_det i),'"&amp;D1&amp;"','"&amp;D1&amp;"','02', '11000003','00','Request by Mr.Saqib 26-Sep-2024');"</f>
        <v>('25Sep240053','070000164687','23292',(select max(to_number(i.premium_rcv_detail_code))+1
from ins_premium_det i),'23292','23292','02', '11000003','00','Request by Mr.Saqib 26-Sep-2024');</v>
      </c>
      <c r="H1" s="37" t="str">
        <f>F1&amp;G1</f>
        <v>insert into ins_premium_det (premium_rcv_code,assorted_code, rec_amount,premium_rcv_detail_code,remaining_amt, payrec, mode_code,coinsurance_code,class_cd,it_remarks) values('25Sep240053','070000164687','23292',(select max(to_number(i.premium_rcv_detail_code))+1
from ins_premium_det i),'23292','23292','02', '11000003','00','Request by Mr.Saqib 26-Sep-2024');</v>
      </c>
    </row>
    <row r="2" spans="1:8" ht="105" x14ac:dyDescent="0.25">
      <c r="A2" s="26" t="s">
        <v>649</v>
      </c>
      <c r="B2" s="33" t="s">
        <v>815</v>
      </c>
      <c r="C2" s="21">
        <v>28006</v>
      </c>
      <c r="D2" s="34">
        <f t="shared" ref="D2:D65" si="1">ROUND(C2,0)</f>
        <v>28006</v>
      </c>
      <c r="E2" s="38" t="s">
        <v>813</v>
      </c>
      <c r="F2" s="35" t="str">
        <f t="shared" si="0"/>
        <v>insert into ins_premium_det (premium_rcv_code,assorted_code, rec_amount,premium_rcv_detail_code,remaining_amt, payrec, mode_code,coinsurance_code,class_cd,it_remarks) values</v>
      </c>
      <c r="G2" s="36" t="str">
        <f t="shared" ref="G2:G65" si="2">"('"&amp;E2&amp;"','"&amp;B2&amp;"','"&amp;D2&amp;"',(select max(to_number(i.premium_rcv_detail_code))+1
from ins_premium_det i),'"&amp;D2&amp;"','"&amp;D2&amp;"','02', '11000003','00','Request by Mr.Saqib 26-Sep-2024');"</f>
        <v>('25Sep240053','070000164651','28006',(select max(to_number(i.premium_rcv_detail_code))+1
from ins_premium_det i),'28006','28006','02', '11000003','00','Request by Mr.Saqib 26-Sep-2024');</v>
      </c>
      <c r="H2" s="37" t="str">
        <f t="shared" ref="H2:H65" si="3">F2&amp;G2</f>
        <v>insert into ins_premium_det (premium_rcv_code,assorted_code, rec_amount,premium_rcv_detail_code,remaining_amt, payrec, mode_code,coinsurance_code,class_cd,it_remarks) values('25Sep240053','070000164651','28006',(select max(to_number(i.premium_rcv_detail_code))+1
from ins_premium_det i),'28006','28006','02', '11000003','00','Request by Mr.Saqib 26-Sep-2024');</v>
      </c>
    </row>
    <row r="3" spans="1:8" ht="105" x14ac:dyDescent="0.25">
      <c r="A3" s="26" t="s">
        <v>650</v>
      </c>
      <c r="B3" s="33" t="s">
        <v>816</v>
      </c>
      <c r="C3" s="21">
        <v>15868</v>
      </c>
      <c r="D3" s="34">
        <f t="shared" si="1"/>
        <v>15868</v>
      </c>
      <c r="E3" s="38" t="s">
        <v>813</v>
      </c>
      <c r="F3" s="35" t="str">
        <f t="shared" si="0"/>
        <v>insert into ins_premium_det (premium_rcv_code,assorted_code, rec_amount,premium_rcv_detail_code,remaining_amt, payrec, mode_code,coinsurance_code,class_cd,it_remarks) values</v>
      </c>
      <c r="G3" s="36" t="str">
        <f t="shared" si="2"/>
        <v>('25Sep240053','070000164654','15868',(select max(to_number(i.premium_rcv_detail_code))+1
from ins_premium_det i),'15868','15868','02', '11000003','00','Request by Mr.Saqib 26-Sep-2024');</v>
      </c>
      <c r="H3" s="37" t="str">
        <f t="shared" si="3"/>
        <v>insert into ins_premium_det (premium_rcv_code,assorted_code, rec_amount,premium_rcv_detail_code,remaining_amt, payrec, mode_code,coinsurance_code,class_cd,it_remarks) values('25Sep240053','070000164654','15868',(select max(to_number(i.premium_rcv_detail_code))+1
from ins_premium_det i),'15868','15868','02', '11000003','00','Request by Mr.Saqib 26-Sep-2024');</v>
      </c>
    </row>
    <row r="4" spans="1:8" ht="105" x14ac:dyDescent="0.25">
      <c r="A4" s="26" t="s">
        <v>651</v>
      </c>
      <c r="B4" s="33" t="s">
        <v>817</v>
      </c>
      <c r="C4" s="21">
        <v>32193</v>
      </c>
      <c r="D4" s="34">
        <f t="shared" si="1"/>
        <v>32193</v>
      </c>
      <c r="E4" s="38" t="s">
        <v>813</v>
      </c>
      <c r="F4" s="35" t="str">
        <f t="shared" si="0"/>
        <v>insert into ins_premium_det (premium_rcv_code,assorted_code, rec_amount,premium_rcv_detail_code,remaining_amt, payrec, mode_code,coinsurance_code,class_cd,it_remarks) values</v>
      </c>
      <c r="G4" s="36" t="str">
        <f t="shared" si="2"/>
        <v>('25Sep240053','070000164656','32193',(select max(to_number(i.premium_rcv_detail_code))+1
from ins_premium_det i),'32193','32193','02', '11000003','00','Request by Mr.Saqib 26-Sep-2024');</v>
      </c>
      <c r="H4" s="37" t="str">
        <f t="shared" si="3"/>
        <v>insert into ins_premium_det (premium_rcv_code,assorted_code, rec_amount,premium_rcv_detail_code,remaining_amt, payrec, mode_code,coinsurance_code,class_cd,it_remarks) values('25Sep240053','070000164656','32193',(select max(to_number(i.premium_rcv_detail_code))+1
from ins_premium_det i),'32193','32193','02', '11000003','00','Request by Mr.Saqib 26-Sep-2024');</v>
      </c>
    </row>
    <row r="5" spans="1:8" ht="105" x14ac:dyDescent="0.25">
      <c r="A5" s="26" t="s">
        <v>763</v>
      </c>
      <c r="B5" s="33">
        <v>70000164699</v>
      </c>
      <c r="C5" s="21">
        <v>37092</v>
      </c>
      <c r="D5" s="34">
        <f t="shared" si="1"/>
        <v>37092</v>
      </c>
      <c r="E5" s="38" t="s">
        <v>813</v>
      </c>
      <c r="F5" s="35" t="str">
        <f t="shared" si="0"/>
        <v>insert into ins_premium_det (premium_rcv_code,assorted_code, rec_amount,premium_rcv_detail_code,remaining_amt, payrec, mode_code,coinsurance_code,class_cd,it_remarks) values</v>
      </c>
      <c r="G5" s="36" t="str">
        <f t="shared" si="2"/>
        <v>('25Sep240053','70000164699','37092',(select max(to_number(i.premium_rcv_detail_code))+1
from ins_premium_det i),'37092','37092','02', '11000003','00','Request by Mr.Saqib 26-Sep-2024');</v>
      </c>
      <c r="H5" s="37" t="str">
        <f t="shared" si="3"/>
        <v>insert into ins_premium_det (premium_rcv_code,assorted_code, rec_amount,premium_rcv_detail_code,remaining_amt, payrec, mode_code,coinsurance_code,class_cd,it_remarks) values('25Sep240053','70000164699','37092',(select max(to_number(i.premium_rcv_detail_code))+1
from ins_premium_det i),'37092','37092','02', '11000003','00','Request by Mr.Saqib 26-Sep-2024');</v>
      </c>
    </row>
    <row r="6" spans="1:8" ht="105" x14ac:dyDescent="0.25">
      <c r="A6" s="26" t="s">
        <v>652</v>
      </c>
      <c r="B6" s="33">
        <v>70000164662</v>
      </c>
      <c r="C6" s="21">
        <v>22915</v>
      </c>
      <c r="D6" s="34">
        <f t="shared" si="1"/>
        <v>22915</v>
      </c>
      <c r="E6" s="38" t="s">
        <v>813</v>
      </c>
      <c r="F6" s="35" t="str">
        <f t="shared" si="0"/>
        <v>insert into ins_premium_det (premium_rcv_code,assorted_code, rec_amount,premium_rcv_detail_code,remaining_amt, payrec, mode_code,coinsurance_code,class_cd,it_remarks) values</v>
      </c>
      <c r="G6" s="36" t="str">
        <f t="shared" si="2"/>
        <v>('25Sep240053','70000164662','22915',(select max(to_number(i.premium_rcv_detail_code))+1
from ins_premium_det i),'22915','22915','02', '11000003','00','Request by Mr.Saqib 26-Sep-2024');</v>
      </c>
      <c r="H6" s="37" t="str">
        <f t="shared" si="3"/>
        <v>insert into ins_premium_det (premium_rcv_code,assorted_code, rec_amount,premium_rcv_detail_code,remaining_amt, payrec, mode_code,coinsurance_code,class_cd,it_remarks) values('25Sep240053','70000164662','22915',(select max(to_number(i.premium_rcv_detail_code))+1
from ins_premium_det i),'22915','22915','02', '11000003','00','Request by Mr.Saqib 26-Sep-2024');</v>
      </c>
    </row>
    <row r="7" spans="1:8" ht="105" x14ac:dyDescent="0.25">
      <c r="A7" s="26" t="s">
        <v>653</v>
      </c>
      <c r="B7" s="33" t="s">
        <v>819</v>
      </c>
      <c r="C7" s="21">
        <v>39658</v>
      </c>
      <c r="D7" s="34">
        <f t="shared" si="1"/>
        <v>39658</v>
      </c>
      <c r="E7" s="38" t="s">
        <v>813</v>
      </c>
      <c r="F7" s="35" t="str">
        <f t="shared" si="0"/>
        <v>insert into ins_premium_det (premium_rcv_code,assorted_code, rec_amount,premium_rcv_detail_code,remaining_amt, payrec, mode_code,coinsurance_code,class_cd,it_remarks) values</v>
      </c>
      <c r="G7" s="36" t="str">
        <f t="shared" si="2"/>
        <v>('25Sep240053','070000164653','39658',(select max(to_number(i.premium_rcv_detail_code))+1
from ins_premium_det i),'39658','39658','02', '11000003','00','Request by Mr.Saqib 26-Sep-2024');</v>
      </c>
      <c r="H7" s="37" t="str">
        <f t="shared" si="3"/>
        <v>insert into ins_premium_det (premium_rcv_code,assorted_code, rec_amount,premium_rcv_detail_code,remaining_amt, payrec, mode_code,coinsurance_code,class_cd,it_remarks) values('25Sep240053','070000164653','39658',(select max(to_number(i.premium_rcv_detail_code))+1
from ins_premium_det i),'39658','39658','02', '11000003','00','Request by Mr.Saqib 26-Sep-2024');</v>
      </c>
    </row>
    <row r="8" spans="1:8" ht="105" x14ac:dyDescent="0.25">
      <c r="A8" s="26" t="s">
        <v>654</v>
      </c>
      <c r="B8" s="33">
        <v>70000164663</v>
      </c>
      <c r="C8" s="21">
        <v>34020</v>
      </c>
      <c r="D8" s="34">
        <f t="shared" si="1"/>
        <v>34020</v>
      </c>
      <c r="E8" s="38" t="s">
        <v>813</v>
      </c>
      <c r="F8" s="35" t="str">
        <f t="shared" si="0"/>
        <v>insert into ins_premium_det (premium_rcv_code,assorted_code, rec_amount,premium_rcv_detail_code,remaining_amt, payrec, mode_code,coinsurance_code,class_cd,it_remarks) values</v>
      </c>
      <c r="G8" s="36" t="str">
        <f t="shared" si="2"/>
        <v>('25Sep240053','70000164663','34020',(select max(to_number(i.premium_rcv_detail_code))+1
from ins_premium_det i),'34020','34020','02', '11000003','00','Request by Mr.Saqib 26-Sep-2024');</v>
      </c>
      <c r="H8" s="37" t="str">
        <f t="shared" si="3"/>
        <v>insert into ins_premium_det (premium_rcv_code,assorted_code, rec_amount,premium_rcv_detail_code,remaining_amt, payrec, mode_code,coinsurance_code,class_cd,it_remarks) values('25Sep240053','70000164663','34020',(select max(to_number(i.premium_rcv_detail_code))+1
from ins_premium_det i),'34020','34020','02', '11000003','00','Request by Mr.Saqib 26-Sep-2024');</v>
      </c>
    </row>
    <row r="9" spans="1:8" ht="105" x14ac:dyDescent="0.25">
      <c r="A9" s="26" t="s">
        <v>655</v>
      </c>
      <c r="B9" s="33" t="s">
        <v>820</v>
      </c>
      <c r="C9" s="21">
        <v>21870</v>
      </c>
      <c r="D9" s="34">
        <f t="shared" si="1"/>
        <v>21870</v>
      </c>
      <c r="E9" s="38" t="s">
        <v>813</v>
      </c>
      <c r="F9" s="35" t="str">
        <f t="shared" si="0"/>
        <v>insert into ins_premium_det (premium_rcv_code,assorted_code, rec_amount,premium_rcv_detail_code,remaining_amt, payrec, mode_code,coinsurance_code,class_cd,it_remarks) values</v>
      </c>
      <c r="G9" s="36" t="str">
        <f t="shared" si="2"/>
        <v>('25Sep240053','070000164657','21870',(select max(to_number(i.premium_rcv_detail_code))+1
from ins_premium_det i),'21870','21870','02', '11000003','00','Request by Mr.Saqib 26-Sep-2024');</v>
      </c>
      <c r="H9" s="37" t="str">
        <f t="shared" si="3"/>
        <v>insert into ins_premium_det (premium_rcv_code,assorted_code, rec_amount,premium_rcv_detail_code,remaining_amt, payrec, mode_code,coinsurance_code,class_cd,it_remarks) values('25Sep240053','070000164657','21870',(select max(to_number(i.premium_rcv_detail_code))+1
from ins_premium_det i),'21870','21870','02', '11000003','00','Request by Mr.Saqib 26-Sep-2024');</v>
      </c>
    </row>
    <row r="10" spans="1:8" ht="105" x14ac:dyDescent="0.25">
      <c r="A10" s="26" t="s">
        <v>656</v>
      </c>
      <c r="B10" s="33" t="s">
        <v>821</v>
      </c>
      <c r="C10" s="21">
        <v>21056</v>
      </c>
      <c r="D10" s="34">
        <f t="shared" si="1"/>
        <v>21056</v>
      </c>
      <c r="E10" s="38" t="s">
        <v>813</v>
      </c>
      <c r="F10" s="35" t="str">
        <f t="shared" si="0"/>
        <v>insert into ins_premium_det (premium_rcv_code,assorted_code, rec_amount,premium_rcv_detail_code,remaining_amt, payrec, mode_code,coinsurance_code,class_cd,it_remarks) values</v>
      </c>
      <c r="G10" s="36" t="str">
        <f t="shared" si="2"/>
        <v>('25Sep240053','070000164660','21056',(select max(to_number(i.premium_rcv_detail_code))+1
from ins_premium_det i),'21056','21056','02', '11000003','00','Request by Mr.Saqib 26-Sep-2024');</v>
      </c>
      <c r="H10" s="37" t="str">
        <f t="shared" si="3"/>
        <v>insert into ins_premium_det (premium_rcv_code,assorted_code, rec_amount,premium_rcv_detail_code,remaining_amt, payrec, mode_code,coinsurance_code,class_cd,it_remarks) values('25Sep240053','070000164660','21056',(select max(to_number(i.premium_rcv_detail_code))+1
from ins_premium_det i),'21056','21056','02', '11000003','00','Request by Mr.Saqib 26-Sep-2024');</v>
      </c>
    </row>
    <row r="11" spans="1:8" ht="105" x14ac:dyDescent="0.25">
      <c r="A11" s="26" t="s">
        <v>657</v>
      </c>
      <c r="B11" s="33">
        <v>70000164661</v>
      </c>
      <c r="C11" s="21">
        <v>18784</v>
      </c>
      <c r="D11" s="34">
        <f t="shared" si="1"/>
        <v>18784</v>
      </c>
      <c r="E11" s="38" t="s">
        <v>813</v>
      </c>
      <c r="F11" s="35" t="str">
        <f t="shared" si="0"/>
        <v>insert into ins_premium_det (premium_rcv_code,assorted_code, rec_amount,premium_rcv_detail_code,remaining_amt, payrec, mode_code,coinsurance_code,class_cd,it_remarks) values</v>
      </c>
      <c r="G11" s="36" t="str">
        <f t="shared" si="2"/>
        <v>('25Sep240053','70000164661','18784',(select max(to_number(i.premium_rcv_detail_code))+1
from ins_premium_det i),'18784','18784','02', '11000003','00','Request by Mr.Saqib 26-Sep-2024');</v>
      </c>
      <c r="H11" s="37" t="str">
        <f t="shared" si="3"/>
        <v>insert into ins_premium_det (premium_rcv_code,assorted_code, rec_amount,premium_rcv_detail_code,remaining_amt, payrec, mode_code,coinsurance_code,class_cd,it_remarks) values('25Sep240053','70000164661','18784',(select max(to_number(i.premium_rcv_detail_code))+1
from ins_premium_det i),'18784','18784','02', '11000003','00','Request by Mr.Saqib 26-Sep-2024');</v>
      </c>
    </row>
    <row r="12" spans="1:8" ht="105" x14ac:dyDescent="0.25">
      <c r="A12" s="26" t="s">
        <v>658</v>
      </c>
      <c r="B12" s="33" t="s">
        <v>822</v>
      </c>
      <c r="C12" s="21">
        <v>19440</v>
      </c>
      <c r="D12" s="34">
        <f t="shared" si="1"/>
        <v>19440</v>
      </c>
      <c r="E12" s="38" t="s">
        <v>813</v>
      </c>
      <c r="F12" s="35" t="str">
        <f t="shared" si="0"/>
        <v>insert into ins_premium_det (premium_rcv_code,assorted_code, rec_amount,premium_rcv_detail_code,remaining_amt, payrec, mode_code,coinsurance_code,class_cd,it_remarks) values</v>
      </c>
      <c r="G12" s="36" t="str">
        <f t="shared" si="2"/>
        <v>('25Sep240053','070000164658','19440',(select max(to_number(i.premium_rcv_detail_code))+1
from ins_premium_det i),'19440','19440','02', '11000003','00','Request by Mr.Saqib 26-Sep-2024');</v>
      </c>
      <c r="H12" s="37" t="str">
        <f t="shared" si="3"/>
        <v>insert into ins_premium_det (premium_rcv_code,assorted_code, rec_amount,premium_rcv_detail_code,remaining_amt, payrec, mode_code,coinsurance_code,class_cd,it_remarks) values('25Sep240053','070000164658','19440',(select max(to_number(i.premium_rcv_detail_code))+1
from ins_premium_det i),'19440','19440','02', '11000003','00','Request by Mr.Saqib 26-Sep-2024');</v>
      </c>
    </row>
    <row r="13" spans="1:8" ht="105" x14ac:dyDescent="0.25">
      <c r="A13" s="26" t="s">
        <v>659</v>
      </c>
      <c r="B13" s="33" t="s">
        <v>823</v>
      </c>
      <c r="C13" s="21">
        <v>22915</v>
      </c>
      <c r="D13" s="34">
        <f t="shared" si="1"/>
        <v>22915</v>
      </c>
      <c r="E13" s="38" t="s">
        <v>813</v>
      </c>
      <c r="F13" s="35" t="str">
        <f t="shared" si="0"/>
        <v>insert into ins_premium_det (premium_rcv_code,assorted_code, rec_amount,premium_rcv_detail_code,remaining_amt, payrec, mode_code,coinsurance_code,class_cd,it_remarks) values</v>
      </c>
      <c r="G13" s="36" t="str">
        <f t="shared" si="2"/>
        <v>('25Sep240053','070000164652','22915',(select max(to_number(i.premium_rcv_detail_code))+1
from ins_premium_det i),'22915','22915','02', '11000003','00','Request by Mr.Saqib 26-Sep-2024');</v>
      </c>
      <c r="H13" s="37" t="str">
        <f t="shared" si="3"/>
        <v>insert into ins_premium_det (premium_rcv_code,assorted_code, rec_amount,premium_rcv_detail_code,remaining_amt, payrec, mode_code,coinsurance_code,class_cd,it_remarks) values('25Sep240053','070000164652','22915',(select max(to_number(i.premium_rcv_detail_code))+1
from ins_premium_det i),'22915','22915','02', '11000003','00','Request by Mr.Saqib 26-Sep-2024');</v>
      </c>
    </row>
    <row r="14" spans="1:8" ht="105" x14ac:dyDescent="0.25">
      <c r="A14" s="26" t="s">
        <v>660</v>
      </c>
      <c r="B14" s="33" t="s">
        <v>824</v>
      </c>
      <c r="C14" s="21">
        <v>21226</v>
      </c>
      <c r="D14" s="34">
        <f t="shared" si="1"/>
        <v>21226</v>
      </c>
      <c r="E14" s="38" t="s">
        <v>813</v>
      </c>
      <c r="F14" s="35" t="str">
        <f t="shared" si="0"/>
        <v>insert into ins_premium_det (premium_rcv_code,assorted_code, rec_amount,premium_rcv_detail_code,remaining_amt, payrec, mode_code,coinsurance_code,class_cd,it_remarks) values</v>
      </c>
      <c r="G14" s="36" t="str">
        <f t="shared" si="2"/>
        <v>('25Sep240053','070000164659','21226',(select max(to_number(i.premium_rcv_detail_code))+1
from ins_premium_det i),'21226','21226','02', '11000003','00','Request by Mr.Saqib 26-Sep-2024');</v>
      </c>
      <c r="H14" s="37" t="str">
        <f t="shared" si="3"/>
        <v>insert into ins_premium_det (premium_rcv_code,assorted_code, rec_amount,premium_rcv_detail_code,remaining_amt, payrec, mode_code,coinsurance_code,class_cd,it_remarks) values('25Sep240053','070000164659','21226',(select max(to_number(i.premium_rcv_detail_code))+1
from ins_premium_det i),'21226','21226','02', '11000003','00','Request by Mr.Saqib 26-Sep-2024');</v>
      </c>
    </row>
    <row r="15" spans="1:8" ht="105" x14ac:dyDescent="0.25">
      <c r="A15" s="26" t="s">
        <v>661</v>
      </c>
      <c r="B15" s="33" t="s">
        <v>825</v>
      </c>
      <c r="C15" s="21">
        <v>124187</v>
      </c>
      <c r="D15" s="34">
        <f t="shared" si="1"/>
        <v>124187</v>
      </c>
      <c r="E15" s="38" t="s">
        <v>813</v>
      </c>
      <c r="F15" s="35" t="str">
        <f t="shared" si="0"/>
        <v>insert into ins_premium_det (premium_rcv_code,assorted_code, rec_amount,premium_rcv_detail_code,remaining_amt, payrec, mode_code,coinsurance_code,class_cd,it_remarks) values</v>
      </c>
      <c r="G15" s="36" t="str">
        <f t="shared" si="2"/>
        <v>('25Sep240053','070000164649','124187',(select max(to_number(i.premium_rcv_detail_code))+1
from ins_premium_det i),'124187','124187','02', '11000003','00','Request by Mr.Saqib 26-Sep-2024');</v>
      </c>
      <c r="H15" s="37" t="str">
        <f t="shared" si="3"/>
        <v>insert into ins_premium_det (premium_rcv_code,assorted_code, rec_amount,premium_rcv_detail_code,remaining_amt, payrec, mode_code,coinsurance_code,class_cd,it_remarks) values('25Sep240053','070000164649','124187',(select max(to_number(i.premium_rcv_detail_code))+1
from ins_premium_det i),'124187','124187','02', '11000003','00','Request by Mr.Saqib 26-Sep-2024');</v>
      </c>
    </row>
    <row r="16" spans="1:8" ht="105" x14ac:dyDescent="0.25">
      <c r="A16" s="26" t="s">
        <v>662</v>
      </c>
      <c r="B16" s="33" t="s">
        <v>826</v>
      </c>
      <c r="C16" s="21">
        <v>35775</v>
      </c>
      <c r="D16" s="34">
        <f t="shared" si="1"/>
        <v>35775</v>
      </c>
      <c r="E16" s="38" t="s">
        <v>813</v>
      </c>
      <c r="F16" s="35" t="str">
        <f t="shared" si="0"/>
        <v>insert into ins_premium_det (premium_rcv_code,assorted_code, rec_amount,premium_rcv_detail_code,remaining_amt, payrec, mode_code,coinsurance_code,class_cd,it_remarks) values</v>
      </c>
      <c r="G16" s="36" t="str">
        <f t="shared" si="2"/>
        <v>('25Sep240053','070000164646','35775',(select max(to_number(i.premium_rcv_detail_code))+1
from ins_premium_det i),'35775','35775','02', '11000003','00','Request by Mr.Saqib 26-Sep-2024');</v>
      </c>
      <c r="H16" s="37" t="str">
        <f t="shared" si="3"/>
        <v>insert into ins_premium_det (premium_rcv_code,assorted_code, rec_amount,premium_rcv_detail_code,remaining_amt, payrec, mode_code,coinsurance_code,class_cd,it_remarks) values('25Sep240053','070000164646','35775',(select max(to_number(i.premium_rcv_detail_code))+1
from ins_premium_det i),'35775','35775','02', '11000003','00','Request by Mr.Saqib 26-Sep-2024');</v>
      </c>
    </row>
    <row r="17" spans="1:8" ht="105" x14ac:dyDescent="0.25">
      <c r="A17" s="26" t="s">
        <v>663</v>
      </c>
      <c r="B17" s="33" t="s">
        <v>827</v>
      </c>
      <c r="C17" s="21">
        <v>39623</v>
      </c>
      <c r="D17" s="34">
        <f t="shared" si="1"/>
        <v>39623</v>
      </c>
      <c r="E17" s="38" t="s">
        <v>813</v>
      </c>
      <c r="F17" s="35" t="str">
        <f t="shared" si="0"/>
        <v>insert into ins_premium_det (premium_rcv_code,assorted_code, rec_amount,premium_rcv_detail_code,remaining_amt, payrec, mode_code,coinsurance_code,class_cd,it_remarks) values</v>
      </c>
      <c r="G17" s="36" t="str">
        <f t="shared" si="2"/>
        <v>('25Sep240053','070000164650','39623',(select max(to_number(i.premium_rcv_detail_code))+1
from ins_premium_det i),'39623','39623','02', '11000003','00','Request by Mr.Saqib 26-Sep-2024');</v>
      </c>
      <c r="H17" s="37" t="str">
        <f t="shared" si="3"/>
        <v>insert into ins_premium_det (premium_rcv_code,assorted_code, rec_amount,premium_rcv_detail_code,remaining_amt, payrec, mode_code,coinsurance_code,class_cd,it_remarks) values('25Sep240053','070000164650','39623',(select max(to_number(i.premium_rcv_detail_code))+1
from ins_premium_det i),'39623','39623','02', '11000003','00','Request by Mr.Saqib 26-Sep-2024');</v>
      </c>
    </row>
    <row r="18" spans="1:8" ht="105" x14ac:dyDescent="0.25">
      <c r="A18" s="26" t="s">
        <v>664</v>
      </c>
      <c r="B18" s="33" t="s">
        <v>828</v>
      </c>
      <c r="C18" s="21">
        <v>43875</v>
      </c>
      <c r="D18" s="34">
        <f t="shared" si="1"/>
        <v>43875</v>
      </c>
      <c r="E18" s="38" t="s">
        <v>813</v>
      </c>
      <c r="F18" s="35" t="str">
        <f t="shared" si="0"/>
        <v>insert into ins_premium_det (premium_rcv_code,assorted_code, rec_amount,premium_rcv_detail_code,remaining_amt, payrec, mode_code,coinsurance_code,class_cd,it_remarks) values</v>
      </c>
      <c r="G18" s="36" t="str">
        <f t="shared" si="2"/>
        <v>('25Sep240053','070000164647','43875',(select max(to_number(i.premium_rcv_detail_code))+1
from ins_premium_det i),'43875','43875','02', '11000003','00','Request by Mr.Saqib 26-Sep-2024');</v>
      </c>
      <c r="H18" s="37" t="str">
        <f t="shared" si="3"/>
        <v>insert into ins_premium_det (premium_rcv_code,assorted_code, rec_amount,premium_rcv_detail_code,remaining_amt, payrec, mode_code,coinsurance_code,class_cd,it_remarks) values('25Sep240053','070000164647','43875',(select max(to_number(i.premium_rcv_detail_code))+1
from ins_premium_det i),'43875','43875','02', '11000003','00','Request by Mr.Saqib 26-Sep-2024');</v>
      </c>
    </row>
    <row r="19" spans="1:8" ht="105" x14ac:dyDescent="0.25">
      <c r="A19" s="26" t="s">
        <v>665</v>
      </c>
      <c r="B19" s="33" t="s">
        <v>829</v>
      </c>
      <c r="C19" s="21">
        <v>30105</v>
      </c>
      <c r="D19" s="34">
        <f t="shared" si="1"/>
        <v>30105</v>
      </c>
      <c r="E19" s="38" t="s">
        <v>813</v>
      </c>
      <c r="F19" s="35" t="str">
        <f t="shared" si="0"/>
        <v>insert into ins_premium_det (premium_rcv_code,assorted_code, rec_amount,premium_rcv_detail_code,remaining_amt, payrec, mode_code,coinsurance_code,class_cd,it_remarks) values</v>
      </c>
      <c r="G19" s="36" t="str">
        <f t="shared" si="2"/>
        <v>('25Sep240053','070000164648','30105',(select max(to_number(i.premium_rcv_detail_code))+1
from ins_premium_det i),'30105','30105','02', '11000003','00','Request by Mr.Saqib 26-Sep-2024');</v>
      </c>
      <c r="H19" s="37" t="str">
        <f t="shared" si="3"/>
        <v>insert into ins_premium_det (premium_rcv_code,assorted_code, rec_amount,premium_rcv_detail_code,remaining_amt, payrec, mode_code,coinsurance_code,class_cd,it_remarks) values('25Sep240053','070000164648','30105',(select max(to_number(i.premium_rcv_detail_code))+1
from ins_premium_det i),'30105','30105','02', '11000003','00','Request by Mr.Saqib 26-Sep-2024');</v>
      </c>
    </row>
    <row r="20" spans="1:8" ht="105" x14ac:dyDescent="0.25">
      <c r="A20" s="26" t="s">
        <v>666</v>
      </c>
      <c r="B20" s="33" t="s">
        <v>830</v>
      </c>
      <c r="C20" s="21">
        <v>13486</v>
      </c>
      <c r="D20" s="34">
        <f t="shared" si="1"/>
        <v>13486</v>
      </c>
      <c r="E20" s="38" t="s">
        <v>813</v>
      </c>
      <c r="F20" s="35" t="str">
        <f t="shared" si="0"/>
        <v>insert into ins_premium_det (premium_rcv_code,assorted_code, rec_amount,premium_rcv_detail_code,remaining_amt, payrec, mode_code,coinsurance_code,class_cd,it_remarks) values</v>
      </c>
      <c r="G20" s="36" t="str">
        <f t="shared" si="2"/>
        <v>('25Sep240053','070000164705','13486',(select max(to_number(i.premium_rcv_detail_code))+1
from ins_premium_det i),'13486','13486','02', '11000003','00','Request by Mr.Saqib 26-Sep-2024');</v>
      </c>
      <c r="H20" s="37" t="str">
        <f t="shared" si="3"/>
        <v>insert into ins_premium_det (premium_rcv_code,assorted_code, rec_amount,premium_rcv_detail_code,remaining_amt, payrec, mode_code,coinsurance_code,class_cd,it_remarks) values('25Sep240053','070000164705','13486',(select max(to_number(i.premium_rcv_detail_code))+1
from ins_premium_det i),'13486','13486','02', '11000003','00','Request by Mr.Saqib 26-Sep-2024');</v>
      </c>
    </row>
    <row r="21" spans="1:8" ht="105" x14ac:dyDescent="0.25">
      <c r="A21" s="26" t="s">
        <v>667</v>
      </c>
      <c r="B21" s="33" t="s">
        <v>831</v>
      </c>
      <c r="C21" s="21">
        <v>36811</v>
      </c>
      <c r="D21" s="34">
        <f t="shared" si="1"/>
        <v>36811</v>
      </c>
      <c r="E21" s="38" t="s">
        <v>813</v>
      </c>
      <c r="F21" s="35" t="str">
        <f t="shared" si="0"/>
        <v>insert into ins_premium_det (premium_rcv_code,assorted_code, rec_amount,premium_rcv_detail_code,remaining_amt, payrec, mode_code,coinsurance_code,class_cd,it_remarks) values</v>
      </c>
      <c r="G21" s="36" t="str">
        <f t="shared" si="2"/>
        <v>('25Sep240053','070000164708','36811',(select max(to_number(i.premium_rcv_detail_code))+1
from ins_premium_det i),'36811','36811','02', '11000003','00','Request by Mr.Saqib 26-Sep-2024');</v>
      </c>
      <c r="H21" s="37" t="str">
        <f t="shared" si="3"/>
        <v>insert into ins_premium_det (premium_rcv_code,assorted_code, rec_amount,premium_rcv_detail_code,remaining_amt, payrec, mode_code,coinsurance_code,class_cd,it_remarks) values('25Sep240053','070000164708','36811',(select max(to_number(i.premium_rcv_detail_code))+1
from ins_premium_det i),'36811','36811','02', '11000003','00','Request by Mr.Saqib 26-Sep-2024');</v>
      </c>
    </row>
    <row r="22" spans="1:8" ht="105" x14ac:dyDescent="0.25">
      <c r="A22" s="26" t="s">
        <v>668</v>
      </c>
      <c r="B22" s="33" t="s">
        <v>837</v>
      </c>
      <c r="C22" s="21">
        <v>21061</v>
      </c>
      <c r="D22" s="34">
        <f t="shared" si="1"/>
        <v>21061</v>
      </c>
      <c r="E22" s="38" t="s">
        <v>813</v>
      </c>
      <c r="F22" s="35" t="str">
        <f t="shared" si="0"/>
        <v>insert into ins_premium_det (premium_rcv_code,assorted_code, rec_amount,premium_rcv_detail_code,remaining_amt, payrec, mode_code,coinsurance_code,class_cd,it_remarks) values</v>
      </c>
      <c r="G22" s="36" t="str">
        <f t="shared" si="2"/>
        <v>('25Sep240053','070000164702','21061',(select max(to_number(i.premium_rcv_detail_code))+1
from ins_premium_det i),'21061','21061','02', '11000003','00','Request by Mr.Saqib 26-Sep-2024');</v>
      </c>
      <c r="H22" s="37" t="str">
        <f t="shared" si="3"/>
        <v>insert into ins_premium_det (premium_rcv_code,assorted_code, rec_amount,premium_rcv_detail_code,remaining_amt, payrec, mode_code,coinsurance_code,class_cd,it_remarks) values('25Sep240053','070000164702','21061',(select max(to_number(i.premium_rcv_detail_code))+1
from ins_premium_det i),'21061','21061','02', '11000003','00','Request by Mr.Saqib 26-Sep-2024');</v>
      </c>
    </row>
    <row r="23" spans="1:8" ht="105" x14ac:dyDescent="0.25">
      <c r="A23" s="26" t="s">
        <v>669</v>
      </c>
      <c r="B23" s="33" t="s">
        <v>838</v>
      </c>
      <c r="C23" s="21">
        <v>18784</v>
      </c>
      <c r="D23" s="34">
        <f t="shared" si="1"/>
        <v>18784</v>
      </c>
      <c r="E23" s="38" t="s">
        <v>813</v>
      </c>
      <c r="F23" s="35" t="str">
        <f t="shared" si="0"/>
        <v>insert into ins_premium_det (premium_rcv_code,assorted_code, rec_amount,premium_rcv_detail_code,remaining_amt, payrec, mode_code,coinsurance_code,class_cd,it_remarks) values</v>
      </c>
      <c r="G23" s="36" t="str">
        <f t="shared" si="2"/>
        <v>('25Sep240053','070000164831','18784',(select max(to_number(i.premium_rcv_detail_code))+1
from ins_premium_det i),'18784','18784','02', '11000003','00','Request by Mr.Saqib 26-Sep-2024');</v>
      </c>
      <c r="H23" s="37" t="str">
        <f t="shared" si="3"/>
        <v>insert into ins_premium_det (premium_rcv_code,assorted_code, rec_amount,premium_rcv_detail_code,remaining_amt, payrec, mode_code,coinsurance_code,class_cd,it_remarks) values('25Sep240053','070000164831','18784',(select max(to_number(i.premium_rcv_detail_code))+1
from ins_premium_det i),'18784','18784','02', '11000003','00','Request by Mr.Saqib 26-Sep-2024');</v>
      </c>
    </row>
    <row r="24" spans="1:8" ht="105" x14ac:dyDescent="0.25">
      <c r="A24" s="26" t="s">
        <v>670</v>
      </c>
      <c r="B24" s="33" t="s">
        <v>839</v>
      </c>
      <c r="C24" s="21">
        <v>21226</v>
      </c>
      <c r="D24" s="34">
        <f t="shared" si="1"/>
        <v>21226</v>
      </c>
      <c r="E24" s="38" t="s">
        <v>813</v>
      </c>
      <c r="F24" s="35" t="str">
        <f t="shared" si="0"/>
        <v>insert into ins_premium_det (premium_rcv_code,assorted_code, rec_amount,premium_rcv_detail_code,remaining_amt, payrec, mode_code,coinsurance_code,class_cd,it_remarks) values</v>
      </c>
      <c r="G24" s="36" t="str">
        <f t="shared" si="2"/>
        <v>('25Sep240053','070000164830','21226',(select max(to_number(i.premium_rcv_detail_code))+1
from ins_premium_det i),'21226','21226','02', '11000003','00','Request by Mr.Saqib 26-Sep-2024');</v>
      </c>
      <c r="H24" s="37" t="str">
        <f t="shared" si="3"/>
        <v>insert into ins_premium_det (premium_rcv_code,assorted_code, rec_amount,premium_rcv_detail_code,remaining_amt, payrec, mode_code,coinsurance_code,class_cd,it_remarks) values('25Sep240053','070000164830','21226',(select max(to_number(i.premium_rcv_detail_code))+1
from ins_premium_det i),'21226','21226','02', '11000003','00','Request by Mr.Saqib 26-Sep-2024');</v>
      </c>
    </row>
    <row r="25" spans="1:8" ht="105" x14ac:dyDescent="0.25">
      <c r="A25" s="26" t="s">
        <v>764</v>
      </c>
      <c r="B25" s="33">
        <v>70000164828</v>
      </c>
      <c r="C25" s="21">
        <v>40487</v>
      </c>
      <c r="D25" s="34">
        <f t="shared" si="1"/>
        <v>40487</v>
      </c>
      <c r="E25" s="38" t="s">
        <v>813</v>
      </c>
      <c r="F25" s="35" t="str">
        <f t="shared" si="0"/>
        <v>insert into ins_premium_det (premium_rcv_code,assorted_code, rec_amount,premium_rcv_detail_code,remaining_amt, payrec, mode_code,coinsurance_code,class_cd,it_remarks) values</v>
      </c>
      <c r="G25" s="36" t="str">
        <f t="shared" si="2"/>
        <v>('25Sep240053','70000164828','40487',(select max(to_number(i.premium_rcv_detail_code))+1
from ins_premium_det i),'40487','40487','02', '11000003','00','Request by Mr.Saqib 26-Sep-2024');</v>
      </c>
      <c r="H25" s="37" t="str">
        <f t="shared" si="3"/>
        <v>insert into ins_premium_det (premium_rcv_code,assorted_code, rec_amount,premium_rcv_detail_code,remaining_amt, payrec, mode_code,coinsurance_code,class_cd,it_remarks) values('25Sep240053','70000164828','40487',(select max(to_number(i.premium_rcv_detail_code))+1
from ins_premium_det i),'40487','40487','02', '11000003','00','Request by Mr.Saqib 26-Sep-2024');</v>
      </c>
    </row>
    <row r="26" spans="1:8" ht="105" x14ac:dyDescent="0.25">
      <c r="A26" s="26" t="s">
        <v>671</v>
      </c>
      <c r="B26" s="33" t="s">
        <v>840</v>
      </c>
      <c r="C26" s="21">
        <v>50504</v>
      </c>
      <c r="D26" s="34">
        <f t="shared" si="1"/>
        <v>50504</v>
      </c>
      <c r="E26" s="38" t="s">
        <v>813</v>
      </c>
      <c r="F26" s="35" t="str">
        <f t="shared" si="0"/>
        <v>insert into ins_premium_det (premium_rcv_code,assorted_code, rec_amount,premium_rcv_detail_code,remaining_amt, payrec, mode_code,coinsurance_code,class_cd,it_remarks) values</v>
      </c>
      <c r="G26" s="36" t="str">
        <f t="shared" si="2"/>
        <v>('25Sep240053','070000164829','50504',(select max(to_number(i.premium_rcv_detail_code))+1
from ins_premium_det i),'50504','50504','02', '11000003','00','Request by Mr.Saqib 26-Sep-2024');</v>
      </c>
      <c r="H26" s="37" t="str">
        <f t="shared" si="3"/>
        <v>insert into ins_premium_det (premium_rcv_code,assorted_code, rec_amount,premium_rcv_detail_code,remaining_amt, payrec, mode_code,coinsurance_code,class_cd,it_remarks) values('25Sep240053','070000164829','50504',(select max(to_number(i.premium_rcv_detail_code))+1
from ins_premium_det i),'50504','50504','02', '11000003','00','Request by Mr.Saqib 26-Sep-2024');</v>
      </c>
    </row>
    <row r="27" spans="1:8" ht="105" x14ac:dyDescent="0.25">
      <c r="A27" s="26" t="s">
        <v>672</v>
      </c>
      <c r="B27" s="33" t="s">
        <v>841</v>
      </c>
      <c r="C27" s="21">
        <v>32111</v>
      </c>
      <c r="D27" s="34">
        <f t="shared" si="1"/>
        <v>32111</v>
      </c>
      <c r="E27" s="38" t="s">
        <v>813</v>
      </c>
      <c r="F27" s="35" t="str">
        <f t="shared" si="0"/>
        <v>insert into ins_premium_det (premium_rcv_code,assorted_code, rec_amount,premium_rcv_detail_code,remaining_amt, payrec, mode_code,coinsurance_code,class_cd,it_remarks) values</v>
      </c>
      <c r="G27" s="36" t="str">
        <f t="shared" si="2"/>
        <v>('25Sep240053','070000164835','32111',(select max(to_number(i.premium_rcv_detail_code))+1
from ins_premium_det i),'32111','32111','02', '11000003','00','Request by Mr.Saqib 26-Sep-2024');</v>
      </c>
      <c r="H27" s="37" t="str">
        <f t="shared" si="3"/>
        <v>insert into ins_premium_det (premium_rcv_code,assorted_code, rec_amount,premium_rcv_detail_code,remaining_amt, payrec, mode_code,coinsurance_code,class_cd,it_remarks) values('25Sep240053','070000164835','32111',(select max(to_number(i.premium_rcv_detail_code))+1
from ins_premium_det i),'32111','32111','02', '11000003','00','Request by Mr.Saqib 26-Sep-2024');</v>
      </c>
    </row>
    <row r="28" spans="1:8" ht="105" x14ac:dyDescent="0.25">
      <c r="A28" s="26" t="s">
        <v>673</v>
      </c>
      <c r="B28" s="33" t="s">
        <v>842</v>
      </c>
      <c r="C28" s="21">
        <v>37031</v>
      </c>
      <c r="D28" s="34">
        <f t="shared" si="1"/>
        <v>37031</v>
      </c>
      <c r="E28" s="38" t="s">
        <v>813</v>
      </c>
      <c r="F28" s="35" t="str">
        <f t="shared" si="0"/>
        <v>insert into ins_premium_det (premium_rcv_code,assorted_code, rec_amount,premium_rcv_detail_code,remaining_amt, payrec, mode_code,coinsurance_code,class_cd,it_remarks) values</v>
      </c>
      <c r="G28" s="36" t="str">
        <f t="shared" si="2"/>
        <v>('25Sep240053','070000164834','37031',(select max(to_number(i.premium_rcv_detail_code))+1
from ins_premium_det i),'37031','37031','02', '11000003','00','Request by Mr.Saqib 26-Sep-2024');</v>
      </c>
      <c r="H28" s="37" t="str">
        <f t="shared" si="3"/>
        <v>insert into ins_premium_det (premium_rcv_code,assorted_code, rec_amount,premium_rcv_detail_code,remaining_amt, payrec, mode_code,coinsurance_code,class_cd,it_remarks) values('25Sep240053','070000164834','37031',(select max(to_number(i.premium_rcv_detail_code))+1
from ins_premium_det i),'37031','37031','02', '11000003','00','Request by Mr.Saqib 26-Sep-2024');</v>
      </c>
    </row>
    <row r="29" spans="1:8" ht="105" x14ac:dyDescent="0.25">
      <c r="A29" s="26" t="s">
        <v>674</v>
      </c>
      <c r="B29" s="33" t="s">
        <v>843</v>
      </c>
      <c r="C29" s="21">
        <v>18784</v>
      </c>
      <c r="D29" s="34">
        <f t="shared" si="1"/>
        <v>18784</v>
      </c>
      <c r="E29" s="38" t="s">
        <v>813</v>
      </c>
      <c r="F29" s="35" t="str">
        <f t="shared" si="0"/>
        <v>insert into ins_premium_det (premium_rcv_code,assorted_code, rec_amount,premium_rcv_detail_code,remaining_amt, payrec, mode_code,coinsurance_code,class_cd,it_remarks) values</v>
      </c>
      <c r="G29" s="36" t="str">
        <f t="shared" si="2"/>
        <v>('25Sep240053','070000164737','18784',(select max(to_number(i.premium_rcv_detail_code))+1
from ins_premium_det i),'18784','18784','02', '11000003','00','Request by Mr.Saqib 26-Sep-2024');</v>
      </c>
      <c r="H29" s="37" t="str">
        <f t="shared" si="3"/>
        <v>insert into ins_premium_det (premium_rcv_code,assorted_code, rec_amount,premium_rcv_detail_code,remaining_amt, payrec, mode_code,coinsurance_code,class_cd,it_remarks) values('25Sep240053','070000164737','18784',(select max(to_number(i.premium_rcv_detail_code))+1
from ins_premium_det i),'18784','18784','02', '11000003','00','Request by Mr.Saqib 26-Sep-2024');</v>
      </c>
    </row>
    <row r="30" spans="1:8" ht="105" x14ac:dyDescent="0.25">
      <c r="A30" s="26" t="s">
        <v>675</v>
      </c>
      <c r="B30" s="33" t="s">
        <v>844</v>
      </c>
      <c r="C30" s="21">
        <v>21056</v>
      </c>
      <c r="D30" s="34">
        <f t="shared" si="1"/>
        <v>21056</v>
      </c>
      <c r="E30" s="38" t="s">
        <v>813</v>
      </c>
      <c r="F30" s="35" t="str">
        <f t="shared" si="0"/>
        <v>insert into ins_premium_det (premium_rcv_code,assorted_code, rec_amount,premium_rcv_detail_code,remaining_amt, payrec, mode_code,coinsurance_code,class_cd,it_remarks) values</v>
      </c>
      <c r="G30" s="36" t="str">
        <f t="shared" si="2"/>
        <v>('25Sep240053','070000164740','21056',(select max(to_number(i.premium_rcv_detail_code))+1
from ins_premium_det i),'21056','21056','02', '11000003','00','Request by Mr.Saqib 26-Sep-2024');</v>
      </c>
      <c r="H30" s="37" t="str">
        <f t="shared" si="3"/>
        <v>insert into ins_premium_det (premium_rcv_code,assorted_code, rec_amount,premium_rcv_detail_code,remaining_amt, payrec, mode_code,coinsurance_code,class_cd,it_remarks) values('25Sep240053','070000164740','21056',(select max(to_number(i.premium_rcv_detail_code))+1
from ins_premium_det i),'21056','21056','02', '11000003','00','Request by Mr.Saqib 26-Sep-2024');</v>
      </c>
    </row>
    <row r="31" spans="1:8" ht="105" x14ac:dyDescent="0.25">
      <c r="A31" s="26" t="s">
        <v>676</v>
      </c>
      <c r="B31" s="33" t="s">
        <v>845</v>
      </c>
      <c r="C31" s="21">
        <v>18784</v>
      </c>
      <c r="D31" s="34">
        <f t="shared" si="1"/>
        <v>18784</v>
      </c>
      <c r="E31" s="38" t="s">
        <v>813</v>
      </c>
      <c r="F31" s="35" t="str">
        <f t="shared" si="0"/>
        <v>insert into ins_premium_det (premium_rcv_code,assorted_code, rec_amount,premium_rcv_detail_code,remaining_amt, payrec, mode_code,coinsurance_code,class_cd,it_remarks) values</v>
      </c>
      <c r="G31" s="36" t="str">
        <f t="shared" si="2"/>
        <v>('25Sep240053','070000164738','18784',(select max(to_number(i.premium_rcv_detail_code))+1
from ins_premium_det i),'18784','18784','02', '11000003','00','Request by Mr.Saqib 26-Sep-2024');</v>
      </c>
      <c r="H31" s="37" t="str">
        <f t="shared" si="3"/>
        <v>insert into ins_premium_det (premium_rcv_code,assorted_code, rec_amount,premium_rcv_detail_code,remaining_amt, payrec, mode_code,coinsurance_code,class_cd,it_remarks) values('25Sep240053','070000164738','18784',(select max(to_number(i.premium_rcv_detail_code))+1
from ins_premium_det i),'18784','18784','02', '11000003','00','Request by Mr.Saqib 26-Sep-2024');</v>
      </c>
    </row>
    <row r="32" spans="1:8" ht="105" x14ac:dyDescent="0.25">
      <c r="A32" s="26" t="s">
        <v>677</v>
      </c>
      <c r="B32" s="33" t="s">
        <v>846</v>
      </c>
      <c r="C32" s="21">
        <v>43875</v>
      </c>
      <c r="D32" s="34">
        <f t="shared" si="1"/>
        <v>43875</v>
      </c>
      <c r="E32" s="38" t="s">
        <v>813</v>
      </c>
      <c r="F32" s="35" t="str">
        <f t="shared" si="0"/>
        <v>insert into ins_premium_det (premium_rcv_code,assorted_code, rec_amount,premium_rcv_detail_code,remaining_amt, payrec, mode_code,coinsurance_code,class_cd,it_remarks) values</v>
      </c>
      <c r="G32" s="36" t="str">
        <f t="shared" si="2"/>
        <v>('25Sep240053','070000164741','43875',(select max(to_number(i.premium_rcv_detail_code))+1
from ins_premium_det i),'43875','43875','02', '11000003','00','Request by Mr.Saqib 26-Sep-2024');</v>
      </c>
      <c r="H32" s="37" t="str">
        <f t="shared" si="3"/>
        <v>insert into ins_premium_det (premium_rcv_code,assorted_code, rec_amount,premium_rcv_detail_code,remaining_amt, payrec, mode_code,coinsurance_code,class_cd,it_remarks) values('25Sep240053','070000164741','43875',(select max(to_number(i.premium_rcv_detail_code))+1
from ins_premium_det i),'43875','43875','02', '11000003','00','Request by Mr.Saqib 26-Sep-2024');</v>
      </c>
    </row>
    <row r="33" spans="1:8" ht="105" x14ac:dyDescent="0.25">
      <c r="A33" s="26" t="s">
        <v>678</v>
      </c>
      <c r="B33" s="33" t="s">
        <v>847</v>
      </c>
      <c r="C33" s="21">
        <v>47250</v>
      </c>
      <c r="D33" s="34">
        <f t="shared" si="1"/>
        <v>47250</v>
      </c>
      <c r="E33" s="38" t="s">
        <v>813</v>
      </c>
      <c r="F33" s="35" t="str">
        <f t="shared" si="0"/>
        <v>insert into ins_premium_det (premium_rcv_code,assorted_code, rec_amount,premium_rcv_detail_code,remaining_amt, payrec, mode_code,coinsurance_code,class_cd,it_remarks) values</v>
      </c>
      <c r="G33" s="36" t="str">
        <f t="shared" si="2"/>
        <v>('25Sep240053','070000164922','47250',(select max(to_number(i.premium_rcv_detail_code))+1
from ins_premium_det i),'47250','47250','02', '11000003','00','Request by Mr.Saqib 26-Sep-2024');</v>
      </c>
      <c r="H33" s="37" t="str">
        <f t="shared" si="3"/>
        <v>insert into ins_premium_det (premium_rcv_code,assorted_code, rec_amount,premium_rcv_detail_code,remaining_amt, payrec, mode_code,coinsurance_code,class_cd,it_remarks) values('25Sep240053','070000164922','47250',(select max(to_number(i.premium_rcv_detail_code))+1
from ins_premium_det i),'47250','47250','02', '11000003','00','Request by Mr.Saqib 26-Sep-2024');</v>
      </c>
    </row>
    <row r="34" spans="1:8" ht="105" x14ac:dyDescent="0.25">
      <c r="A34" s="26" t="s">
        <v>679</v>
      </c>
      <c r="B34" s="33" t="s">
        <v>848</v>
      </c>
      <c r="C34" s="21">
        <v>46062</v>
      </c>
      <c r="D34" s="34">
        <f t="shared" si="1"/>
        <v>46062</v>
      </c>
      <c r="E34" s="38" t="s">
        <v>813</v>
      </c>
      <c r="F34" s="35" t="str">
        <f t="shared" si="0"/>
        <v>insert into ins_premium_det (premium_rcv_code,assorted_code, rec_amount,premium_rcv_detail_code,remaining_amt, payrec, mode_code,coinsurance_code,class_cd,it_remarks) values</v>
      </c>
      <c r="G34" s="36" t="str">
        <f t="shared" si="2"/>
        <v>('25Sep240053','070000164822','46062',(select max(to_number(i.premium_rcv_detail_code))+1
from ins_premium_det i),'46062','46062','02', '11000003','00','Request by Mr.Saqib 26-Sep-2024');</v>
      </c>
      <c r="H34" s="37" t="str">
        <f t="shared" si="3"/>
        <v>insert into ins_premium_det (premium_rcv_code,assorted_code, rec_amount,premium_rcv_detail_code,remaining_amt, payrec, mode_code,coinsurance_code,class_cd,it_remarks) values('25Sep240053','070000164822','46062',(select max(to_number(i.premium_rcv_detail_code))+1
from ins_premium_det i),'46062','46062','02', '11000003','00','Request by Mr.Saqib 26-Sep-2024');</v>
      </c>
    </row>
    <row r="35" spans="1:8" ht="105" x14ac:dyDescent="0.25">
      <c r="A35" s="26" t="s">
        <v>680</v>
      </c>
      <c r="B35" s="33" t="s">
        <v>849</v>
      </c>
      <c r="C35" s="21">
        <v>35262</v>
      </c>
      <c r="D35" s="34">
        <f t="shared" si="1"/>
        <v>35262</v>
      </c>
      <c r="E35" s="38" t="s">
        <v>813</v>
      </c>
      <c r="F35" s="35" t="str">
        <f t="shared" si="0"/>
        <v>insert into ins_premium_det (premium_rcv_code,assorted_code, rec_amount,premium_rcv_detail_code,remaining_amt, payrec, mode_code,coinsurance_code,class_cd,it_remarks) values</v>
      </c>
      <c r="G35" s="36" t="str">
        <f t="shared" si="2"/>
        <v>('25Sep240053','070000164816','35262',(select max(to_number(i.premium_rcv_detail_code))+1
from ins_premium_det i),'35262','35262','02', '11000003','00','Request by Mr.Saqib 26-Sep-2024');</v>
      </c>
      <c r="H35" s="37" t="str">
        <f t="shared" si="3"/>
        <v>insert into ins_premium_det (premium_rcv_code,assorted_code, rec_amount,premium_rcv_detail_code,remaining_amt, payrec, mode_code,coinsurance_code,class_cd,it_remarks) values('25Sep240053','070000164816','35262',(select max(to_number(i.premium_rcv_detail_code))+1
from ins_premium_det i),'35262','35262','02', '11000003','00','Request by Mr.Saqib 26-Sep-2024');</v>
      </c>
    </row>
    <row r="36" spans="1:8" ht="105" x14ac:dyDescent="0.25">
      <c r="A36" s="26" t="s">
        <v>681</v>
      </c>
      <c r="B36" s="33" t="s">
        <v>850</v>
      </c>
      <c r="C36" s="21">
        <v>25220</v>
      </c>
      <c r="D36" s="34">
        <f t="shared" si="1"/>
        <v>25220</v>
      </c>
      <c r="E36" s="38" t="s">
        <v>813</v>
      </c>
      <c r="F36" s="35" t="str">
        <f t="shared" si="0"/>
        <v>insert into ins_premium_det (premium_rcv_code,assorted_code, rec_amount,premium_rcv_detail_code,remaining_amt, payrec, mode_code,coinsurance_code,class_cd,it_remarks) values</v>
      </c>
      <c r="G36" s="36" t="str">
        <f t="shared" si="2"/>
        <v>('25Sep240053','070000164815','25220',(select max(to_number(i.premium_rcv_detail_code))+1
from ins_premium_det i),'25220','25220','02', '11000003','00','Request by Mr.Saqib 26-Sep-2024');</v>
      </c>
      <c r="H36" s="37" t="str">
        <f t="shared" si="3"/>
        <v>insert into ins_premium_det (premium_rcv_code,assorted_code, rec_amount,premium_rcv_detail_code,remaining_amt, payrec, mode_code,coinsurance_code,class_cd,it_remarks) values('25Sep240053','070000164815','25220',(select max(to_number(i.premium_rcv_detail_code))+1
from ins_premium_det i),'25220','25220','02', '11000003','00','Request by Mr.Saqib 26-Sep-2024');</v>
      </c>
    </row>
    <row r="37" spans="1:8" ht="105" x14ac:dyDescent="0.25">
      <c r="A37" s="26" t="s">
        <v>682</v>
      </c>
      <c r="B37" s="33" t="s">
        <v>851</v>
      </c>
      <c r="C37" s="21">
        <v>33986</v>
      </c>
      <c r="D37" s="34">
        <f t="shared" si="1"/>
        <v>33986</v>
      </c>
      <c r="E37" s="38" t="s">
        <v>813</v>
      </c>
      <c r="F37" s="35" t="str">
        <f t="shared" si="0"/>
        <v>insert into ins_premium_det (premium_rcv_code,assorted_code, rec_amount,premium_rcv_detail_code,remaining_amt, payrec, mode_code,coinsurance_code,class_cd,it_remarks) values</v>
      </c>
      <c r="G37" s="36" t="str">
        <f t="shared" si="2"/>
        <v>('25Sep240053','070000164814','33986',(select max(to_number(i.premium_rcv_detail_code))+1
from ins_premium_det i),'33986','33986','02', '11000003','00','Request by Mr.Saqib 26-Sep-2024');</v>
      </c>
      <c r="H37" s="37" t="str">
        <f t="shared" si="3"/>
        <v>insert into ins_premium_det (premium_rcv_code,assorted_code, rec_amount,premium_rcv_detail_code,remaining_amt, payrec, mode_code,coinsurance_code,class_cd,it_remarks) values('25Sep240053','070000164814','33986',(select max(to_number(i.premium_rcv_detail_code))+1
from ins_premium_det i),'33986','33986','02', '11000003','00','Request by Mr.Saqib 26-Sep-2024');</v>
      </c>
    </row>
    <row r="38" spans="1:8" ht="105" x14ac:dyDescent="0.25">
      <c r="A38" s="26" t="s">
        <v>683</v>
      </c>
      <c r="B38" s="33" t="s">
        <v>852</v>
      </c>
      <c r="C38" s="21">
        <v>19759</v>
      </c>
      <c r="D38" s="34">
        <f t="shared" si="1"/>
        <v>19759</v>
      </c>
      <c r="E38" s="38" t="s">
        <v>813</v>
      </c>
      <c r="F38" s="35" t="str">
        <f t="shared" si="0"/>
        <v>insert into ins_premium_det (premium_rcv_code,assorted_code, rec_amount,premium_rcv_detail_code,remaining_amt, payrec, mode_code,coinsurance_code,class_cd,it_remarks) values</v>
      </c>
      <c r="G38" s="36" t="str">
        <f t="shared" si="2"/>
        <v>('25Sep240053','070000164821','19759',(select max(to_number(i.premium_rcv_detail_code))+1
from ins_premium_det i),'19759','19759','02', '11000003','00','Request by Mr.Saqib 26-Sep-2024');</v>
      </c>
      <c r="H38" s="37" t="str">
        <f t="shared" si="3"/>
        <v>insert into ins_premium_det (premium_rcv_code,assorted_code, rec_amount,premium_rcv_detail_code,remaining_amt, payrec, mode_code,coinsurance_code,class_cd,it_remarks) values('25Sep240053','070000164821','19759',(select max(to_number(i.premium_rcv_detail_code))+1
from ins_premium_det i),'19759','19759','02', '11000003','00','Request by Mr.Saqib 26-Sep-2024');</v>
      </c>
    </row>
    <row r="39" spans="1:8" ht="105" x14ac:dyDescent="0.25">
      <c r="A39" s="26" t="s">
        <v>684</v>
      </c>
      <c r="B39" s="33" t="s">
        <v>853</v>
      </c>
      <c r="C39" s="21">
        <v>36988</v>
      </c>
      <c r="D39" s="34">
        <f t="shared" si="1"/>
        <v>36988</v>
      </c>
      <c r="E39" s="38" t="s">
        <v>813</v>
      </c>
      <c r="F39" s="35" t="str">
        <f t="shared" si="0"/>
        <v>insert into ins_premium_det (premium_rcv_code,assorted_code, rec_amount,premium_rcv_detail_code,remaining_amt, payrec, mode_code,coinsurance_code,class_cd,it_remarks) values</v>
      </c>
      <c r="G39" s="36" t="str">
        <f t="shared" si="2"/>
        <v>('25Sep240053','070000164806','36988',(select max(to_number(i.premium_rcv_detail_code))+1
from ins_premium_det i),'36988','36988','02', '11000003','00','Request by Mr.Saqib 26-Sep-2024');</v>
      </c>
      <c r="H39" s="37" t="str">
        <f t="shared" si="3"/>
        <v>insert into ins_premium_det (premium_rcv_code,assorted_code, rec_amount,premium_rcv_detail_code,remaining_amt, payrec, mode_code,coinsurance_code,class_cd,it_remarks) values('25Sep240053','070000164806','36988',(select max(to_number(i.premium_rcv_detail_code))+1
from ins_premium_det i),'36988','36988','02', '11000003','00','Request by Mr.Saqib 26-Sep-2024');</v>
      </c>
    </row>
    <row r="40" spans="1:8" ht="105" x14ac:dyDescent="0.25">
      <c r="A40" s="26" t="s">
        <v>685</v>
      </c>
      <c r="B40" s="33" t="s">
        <v>854</v>
      </c>
      <c r="C40" s="21">
        <v>14598</v>
      </c>
      <c r="D40" s="34">
        <f t="shared" si="1"/>
        <v>14598</v>
      </c>
      <c r="E40" s="38" t="s">
        <v>813</v>
      </c>
      <c r="F40" s="35" t="str">
        <f t="shared" si="0"/>
        <v>insert into ins_premium_det (premium_rcv_code,assorted_code, rec_amount,premium_rcv_detail_code,remaining_amt, payrec, mode_code,coinsurance_code,class_cd,it_remarks) values</v>
      </c>
      <c r="G40" s="36" t="str">
        <f t="shared" si="2"/>
        <v>('25Sep240053','070000164808','14598',(select max(to_number(i.premium_rcv_detail_code))+1
from ins_premium_det i),'14598','14598','02', '11000003','00','Request by Mr.Saqib 26-Sep-2024');</v>
      </c>
      <c r="H40" s="37" t="str">
        <f t="shared" si="3"/>
        <v>insert into ins_premium_det (premium_rcv_code,assorted_code, rec_amount,premium_rcv_detail_code,remaining_amt, payrec, mode_code,coinsurance_code,class_cd,it_remarks) values('25Sep240053','070000164808','14598',(select max(to_number(i.premium_rcv_detail_code))+1
from ins_premium_det i),'14598','14598','02', '11000003','00','Request by Mr.Saqib 26-Sep-2024');</v>
      </c>
    </row>
    <row r="41" spans="1:8" ht="105" x14ac:dyDescent="0.25">
      <c r="A41" s="26" t="s">
        <v>686</v>
      </c>
      <c r="B41" s="33" t="s">
        <v>807</v>
      </c>
      <c r="C41" s="21">
        <v>38054</v>
      </c>
      <c r="D41" s="34">
        <f t="shared" si="1"/>
        <v>38054</v>
      </c>
      <c r="E41" s="38" t="s">
        <v>813</v>
      </c>
      <c r="F41" s="35" t="str">
        <f t="shared" si="0"/>
        <v>insert into ins_premium_det (premium_rcv_code,assorted_code, rec_amount,premium_rcv_detail_code,remaining_amt, payrec, mode_code,coinsurance_code,class_cd,it_remarks) values</v>
      </c>
      <c r="G41" s="36" t="str">
        <f t="shared" si="2"/>
        <v>('25Sep240053','070000164632','38054',(select max(to_number(i.premium_rcv_detail_code))+1
from ins_premium_det i),'38054','38054','02', '11000003','00','Request by Mr.Saqib 26-Sep-2024');</v>
      </c>
      <c r="H41" s="37" t="str">
        <f t="shared" si="3"/>
        <v>insert into ins_premium_det (premium_rcv_code,assorted_code, rec_amount,premium_rcv_detail_code,remaining_amt, payrec, mode_code,coinsurance_code,class_cd,it_remarks) values('25Sep240053','070000164632','38054',(select max(to_number(i.premium_rcv_detail_code))+1
from ins_premium_det i),'38054','38054','02', '11000003','00','Request by Mr.Saqib 26-Sep-2024');</v>
      </c>
    </row>
    <row r="42" spans="1:8" ht="105" x14ac:dyDescent="0.25">
      <c r="A42" s="26" t="s">
        <v>687</v>
      </c>
      <c r="B42" s="33" t="s">
        <v>808</v>
      </c>
      <c r="C42" s="21">
        <v>48102</v>
      </c>
      <c r="D42" s="34">
        <f t="shared" si="1"/>
        <v>48102</v>
      </c>
      <c r="E42" s="38" t="s">
        <v>813</v>
      </c>
      <c r="F42" s="35" t="str">
        <f t="shared" si="0"/>
        <v>insert into ins_premium_det (premium_rcv_code,assorted_code, rec_amount,premium_rcv_detail_code,remaining_amt, payrec, mode_code,coinsurance_code,class_cd,it_remarks) values</v>
      </c>
      <c r="G42" s="36" t="str">
        <f t="shared" si="2"/>
        <v>('25Sep240053','070000164633','48102',(select max(to_number(i.premium_rcv_detail_code))+1
from ins_premium_det i),'48102','48102','02', '11000003','00','Request by Mr.Saqib 26-Sep-2024');</v>
      </c>
      <c r="H42" s="37" t="str">
        <f t="shared" si="3"/>
        <v>insert into ins_premium_det (premium_rcv_code,assorted_code, rec_amount,premium_rcv_detail_code,remaining_amt, payrec, mode_code,coinsurance_code,class_cd,it_remarks) values('25Sep240053','070000164633','48102',(select max(to_number(i.premium_rcv_detail_code))+1
from ins_premium_det i),'48102','48102','02', '11000003','00','Request by Mr.Saqib 26-Sep-2024');</v>
      </c>
    </row>
    <row r="43" spans="1:8" ht="105" x14ac:dyDescent="0.25">
      <c r="A43" s="26" t="s">
        <v>688</v>
      </c>
      <c r="B43" s="33" t="s">
        <v>809</v>
      </c>
      <c r="C43" s="21">
        <v>31558</v>
      </c>
      <c r="D43" s="34">
        <f t="shared" si="1"/>
        <v>31558</v>
      </c>
      <c r="E43" s="38" t="s">
        <v>813</v>
      </c>
      <c r="F43" s="35" t="str">
        <f t="shared" si="0"/>
        <v>insert into ins_premium_det (premium_rcv_code,assorted_code, rec_amount,premium_rcv_detail_code,remaining_amt, payrec, mode_code,coinsurance_code,class_cd,it_remarks) values</v>
      </c>
      <c r="G43" s="36" t="str">
        <f t="shared" si="2"/>
        <v>('25Sep240053','070000164370','31558',(select max(to_number(i.premium_rcv_detail_code))+1
from ins_premium_det i),'31558','31558','02', '11000003','00','Request by Mr.Saqib 26-Sep-2024');</v>
      </c>
      <c r="H43" s="37" t="str">
        <f t="shared" si="3"/>
        <v>insert into ins_premium_det (premium_rcv_code,assorted_code, rec_amount,premium_rcv_detail_code,remaining_amt, payrec, mode_code,coinsurance_code,class_cd,it_remarks) values('25Sep240053','070000164370','31558',(select max(to_number(i.premium_rcv_detail_code))+1
from ins_premium_det i),'31558','31558','02', '11000003','00','Request by Mr.Saqib 26-Sep-2024');</v>
      </c>
    </row>
    <row r="44" spans="1:8" ht="105" x14ac:dyDescent="0.25">
      <c r="A44" s="26" t="s">
        <v>689</v>
      </c>
      <c r="B44" s="33" t="s">
        <v>810</v>
      </c>
      <c r="C44" s="21">
        <v>37080</v>
      </c>
      <c r="D44" s="34">
        <f t="shared" si="1"/>
        <v>37080</v>
      </c>
      <c r="E44" s="38" t="s">
        <v>813</v>
      </c>
      <c r="F44" s="35" t="str">
        <f t="shared" si="0"/>
        <v>insert into ins_premium_det (premium_rcv_code,assorted_code, rec_amount,premium_rcv_detail_code,remaining_amt, payrec, mode_code,coinsurance_code,class_cd,it_remarks) values</v>
      </c>
      <c r="G44" s="36" t="str">
        <f t="shared" si="2"/>
        <v>('25Sep240053','070000164371','37080',(select max(to_number(i.premium_rcv_detail_code))+1
from ins_premium_det i),'37080','37080','02', '11000003','00','Request by Mr.Saqib 26-Sep-2024');</v>
      </c>
      <c r="H44" s="37" t="str">
        <f t="shared" si="3"/>
        <v>insert into ins_premium_det (premium_rcv_code,assorted_code, rec_amount,premium_rcv_detail_code,remaining_amt, payrec, mode_code,coinsurance_code,class_cd,it_remarks) values('25Sep240053','070000164371','37080',(select max(to_number(i.premium_rcv_detail_code))+1
from ins_premium_det i),'37080','37080','02', '11000003','00','Request by Mr.Saqib 26-Sep-2024');</v>
      </c>
    </row>
    <row r="45" spans="1:8" ht="105" x14ac:dyDescent="0.25">
      <c r="A45" s="26" t="s">
        <v>690</v>
      </c>
      <c r="B45" s="33" t="s">
        <v>811</v>
      </c>
      <c r="C45" s="21">
        <v>12722</v>
      </c>
      <c r="D45" s="34">
        <f t="shared" si="1"/>
        <v>12722</v>
      </c>
      <c r="E45" s="38" t="s">
        <v>813</v>
      </c>
      <c r="F45" s="35" t="str">
        <f t="shared" si="0"/>
        <v>insert into ins_premium_det (premium_rcv_code,assorted_code, rec_amount,premium_rcv_detail_code,remaining_amt, payrec, mode_code,coinsurance_code,class_cd,it_remarks) values</v>
      </c>
      <c r="G45" s="36" t="str">
        <f t="shared" si="2"/>
        <v>('25Sep240053','070000164635','12722',(select max(to_number(i.premium_rcv_detail_code))+1
from ins_premium_det i),'12722','12722','02', '11000003','00','Request by Mr.Saqib 26-Sep-2024');</v>
      </c>
      <c r="H45" s="37" t="str">
        <f t="shared" si="3"/>
        <v>insert into ins_premium_det (premium_rcv_code,assorted_code, rec_amount,premium_rcv_detail_code,remaining_amt, payrec, mode_code,coinsurance_code,class_cd,it_remarks) values('25Sep240053','070000164635','12722',(select max(to_number(i.premium_rcv_detail_code))+1
from ins_premium_det i),'12722','12722','02', '11000003','00','Request by Mr.Saqib 26-Sep-2024');</v>
      </c>
    </row>
    <row r="46" spans="1:8" ht="105" x14ac:dyDescent="0.25">
      <c r="A46" s="26" t="s">
        <v>691</v>
      </c>
      <c r="B46" s="33" t="s">
        <v>812</v>
      </c>
      <c r="C46" s="21">
        <v>21046</v>
      </c>
      <c r="D46" s="34">
        <f t="shared" si="1"/>
        <v>21046</v>
      </c>
      <c r="E46" s="38" t="s">
        <v>813</v>
      </c>
      <c r="F46" s="35" t="str">
        <f t="shared" si="0"/>
        <v>insert into ins_premium_det (premium_rcv_code,assorted_code, rec_amount,premium_rcv_detail_code,remaining_amt, payrec, mode_code,coinsurance_code,class_cd,it_remarks) values</v>
      </c>
      <c r="G46" s="36" t="str">
        <f t="shared" si="2"/>
        <v>('25Sep240053','070000164368','21046',(select max(to_number(i.premium_rcv_detail_code))+1
from ins_premium_det i),'21046','21046','02', '11000003','00','Request by Mr.Saqib 26-Sep-2024');</v>
      </c>
      <c r="H46" s="37" t="str">
        <f t="shared" si="3"/>
        <v>insert into ins_premium_det (premium_rcv_code,assorted_code, rec_amount,premium_rcv_detail_code,remaining_amt, payrec, mode_code,coinsurance_code,class_cd,it_remarks) values('25Sep240053','070000164368','21046',(select max(to_number(i.premium_rcv_detail_code))+1
from ins_premium_det i),'21046','21046','02', '11000003','00','Request by Mr.Saqib 26-Sep-2024');</v>
      </c>
    </row>
    <row r="47" spans="1:8" ht="105" x14ac:dyDescent="0.25">
      <c r="A47" s="26" t="s">
        <v>692</v>
      </c>
      <c r="B47" s="33" t="s">
        <v>855</v>
      </c>
      <c r="C47" s="21">
        <v>18784</v>
      </c>
      <c r="D47" s="34">
        <f t="shared" si="1"/>
        <v>18784</v>
      </c>
      <c r="E47" s="38" t="s">
        <v>813</v>
      </c>
      <c r="F47" s="35" t="str">
        <f t="shared" si="0"/>
        <v>insert into ins_premium_det (premium_rcv_code,assorted_code, rec_amount,premium_rcv_detail_code,remaining_amt, payrec, mode_code,coinsurance_code,class_cd,it_remarks) values</v>
      </c>
      <c r="G47" s="36" t="str">
        <f t="shared" si="2"/>
        <v>('25Sep240053','070000164755','18784',(select max(to_number(i.premium_rcv_detail_code))+1
from ins_premium_det i),'18784','18784','02', '11000003','00','Request by Mr.Saqib 26-Sep-2024');</v>
      </c>
      <c r="H47" s="37" t="str">
        <f t="shared" si="3"/>
        <v>insert into ins_premium_det (premium_rcv_code,assorted_code, rec_amount,premium_rcv_detail_code,remaining_amt, payrec, mode_code,coinsurance_code,class_cd,it_remarks) values('25Sep240053','070000164755','18784',(select max(to_number(i.premium_rcv_detail_code))+1
from ins_premium_det i),'18784','18784','02', '11000003','00','Request by Mr.Saqib 26-Sep-2024');</v>
      </c>
    </row>
    <row r="48" spans="1:8" ht="105" x14ac:dyDescent="0.25">
      <c r="A48" s="26" t="s">
        <v>693</v>
      </c>
      <c r="B48" s="33" t="s">
        <v>856</v>
      </c>
      <c r="C48" s="21">
        <v>20351</v>
      </c>
      <c r="D48" s="34">
        <f t="shared" si="1"/>
        <v>20351</v>
      </c>
      <c r="E48" s="38" t="s">
        <v>813</v>
      </c>
      <c r="F48" s="35" t="str">
        <f t="shared" si="0"/>
        <v>insert into ins_premium_det (premium_rcv_code,assorted_code, rec_amount,premium_rcv_detail_code,remaining_amt, payrec, mode_code,coinsurance_code,class_cd,it_remarks) values</v>
      </c>
      <c r="G48" s="36" t="str">
        <f t="shared" si="2"/>
        <v>('25Sep240053','070000164771','20351',(select max(to_number(i.premium_rcv_detail_code))+1
from ins_premium_det i),'20351','20351','02', '11000003','00','Request by Mr.Saqib 26-Sep-2024');</v>
      </c>
      <c r="H48" s="37" t="str">
        <f t="shared" si="3"/>
        <v>insert into ins_premium_det (premium_rcv_code,assorted_code, rec_amount,premium_rcv_detail_code,remaining_amt, payrec, mode_code,coinsurance_code,class_cd,it_remarks) values('25Sep240053','070000164771','20351',(select max(to_number(i.premium_rcv_detail_code))+1
from ins_premium_det i),'20351','20351','02', '11000003','00','Request by Mr.Saqib 26-Sep-2024');</v>
      </c>
    </row>
    <row r="49" spans="1:8" ht="105" x14ac:dyDescent="0.25">
      <c r="A49" s="26" t="s">
        <v>694</v>
      </c>
      <c r="B49" s="33" t="s">
        <v>857</v>
      </c>
      <c r="C49" s="21">
        <v>46237</v>
      </c>
      <c r="D49" s="34">
        <f t="shared" si="1"/>
        <v>46237</v>
      </c>
      <c r="E49" s="38" t="s">
        <v>813</v>
      </c>
      <c r="F49" s="35" t="str">
        <f t="shared" si="0"/>
        <v>insert into ins_premium_det (premium_rcv_code,assorted_code, rec_amount,premium_rcv_detail_code,remaining_amt, payrec, mode_code,coinsurance_code,class_cd,it_remarks) values</v>
      </c>
      <c r="G49" s="36" t="str">
        <f t="shared" si="2"/>
        <v>('25Sep240053','070000164770','46237',(select max(to_number(i.premium_rcv_detail_code))+1
from ins_premium_det i),'46237','46237','02', '11000003','00','Request by Mr.Saqib 26-Sep-2024');</v>
      </c>
      <c r="H49" s="37" t="str">
        <f t="shared" si="3"/>
        <v>insert into ins_premium_det (premium_rcv_code,assorted_code, rec_amount,premium_rcv_detail_code,remaining_amt, payrec, mode_code,coinsurance_code,class_cd,it_remarks) values('25Sep240053','070000164770','46237',(select max(to_number(i.premium_rcv_detail_code))+1
from ins_premium_det i),'46237','46237','02', '11000003','00','Request by Mr.Saqib 26-Sep-2024');</v>
      </c>
    </row>
    <row r="50" spans="1:8" ht="105" x14ac:dyDescent="0.25">
      <c r="A50" s="26" t="s">
        <v>695</v>
      </c>
      <c r="B50" s="33" t="s">
        <v>834</v>
      </c>
      <c r="C50" s="21">
        <v>32805</v>
      </c>
      <c r="D50" s="34">
        <f t="shared" si="1"/>
        <v>32805</v>
      </c>
      <c r="E50" s="38" t="s">
        <v>813</v>
      </c>
      <c r="F50" s="35" t="str">
        <f t="shared" si="0"/>
        <v>insert into ins_premium_det (premium_rcv_code,assorted_code, rec_amount,premium_rcv_detail_code,remaining_amt, payrec, mode_code,coinsurance_code,class_cd,it_remarks) values</v>
      </c>
      <c r="G50" s="36" t="str">
        <f t="shared" si="2"/>
        <v>('25Sep240053','070000164769','32805',(select max(to_number(i.premium_rcv_detail_code))+1
from ins_premium_det i),'32805','32805','02', '11000003','00','Request by Mr.Saqib 26-Sep-2024');</v>
      </c>
      <c r="H50" s="37" t="str">
        <f t="shared" si="3"/>
        <v>insert into ins_premium_det (premium_rcv_code,assorted_code, rec_amount,premium_rcv_detail_code,remaining_amt, payrec, mode_code,coinsurance_code,class_cd,it_remarks) values('25Sep240053','070000164769','32805',(select max(to_number(i.premium_rcv_detail_code))+1
from ins_premium_det i),'32805','32805','02', '11000003','00','Request by Mr.Saqib 26-Sep-2024');</v>
      </c>
    </row>
    <row r="51" spans="1:8" ht="105" x14ac:dyDescent="0.25">
      <c r="A51" s="26" t="s">
        <v>696</v>
      </c>
      <c r="B51" s="33" t="s">
        <v>858</v>
      </c>
      <c r="C51" s="21">
        <v>46097</v>
      </c>
      <c r="D51" s="34">
        <f t="shared" si="1"/>
        <v>46097</v>
      </c>
      <c r="E51" s="38" t="s">
        <v>813</v>
      </c>
      <c r="F51" s="35" t="str">
        <f t="shared" si="0"/>
        <v>insert into ins_premium_det (premium_rcv_code,assorted_code, rec_amount,premium_rcv_detail_code,remaining_amt, payrec, mode_code,coinsurance_code,class_cd,it_remarks) values</v>
      </c>
      <c r="G51" s="36" t="str">
        <f t="shared" si="2"/>
        <v>('25Sep240053','070000164774','46097',(select max(to_number(i.premium_rcv_detail_code))+1
from ins_premium_det i),'46097','46097','02', '11000003','00','Request by Mr.Saqib 26-Sep-2024');</v>
      </c>
      <c r="H51" s="37" t="str">
        <f t="shared" si="3"/>
        <v>insert into ins_premium_det (premium_rcv_code,assorted_code, rec_amount,premium_rcv_detail_code,remaining_amt, payrec, mode_code,coinsurance_code,class_cd,it_remarks) values('25Sep240053','070000164774','46097',(select max(to_number(i.premium_rcv_detail_code))+1
from ins_premium_det i),'46097','46097','02', '11000003','00','Request by Mr.Saqib 26-Sep-2024');</v>
      </c>
    </row>
    <row r="52" spans="1:8" ht="105" x14ac:dyDescent="0.25">
      <c r="A52" s="26" t="s">
        <v>697</v>
      </c>
      <c r="B52" s="33" t="s">
        <v>859</v>
      </c>
      <c r="C52" s="21">
        <v>15868</v>
      </c>
      <c r="D52" s="34">
        <f t="shared" si="1"/>
        <v>15868</v>
      </c>
      <c r="E52" s="38" t="s">
        <v>813</v>
      </c>
      <c r="F52" s="35" t="str">
        <f t="shared" si="0"/>
        <v>insert into ins_premium_det (premium_rcv_code,assorted_code, rec_amount,premium_rcv_detail_code,remaining_amt, payrec, mode_code,coinsurance_code,class_cd,it_remarks) values</v>
      </c>
      <c r="G52" s="36" t="str">
        <f t="shared" si="2"/>
        <v>('25Sep240053','070000164752','15868',(select max(to_number(i.premium_rcv_detail_code))+1
from ins_premium_det i),'15868','15868','02', '11000003','00','Request by Mr.Saqib 26-Sep-2024');</v>
      </c>
      <c r="H52" s="37" t="str">
        <f t="shared" si="3"/>
        <v>insert into ins_premium_det (premium_rcv_code,assorted_code, rec_amount,premium_rcv_detail_code,remaining_amt, payrec, mode_code,coinsurance_code,class_cd,it_remarks) values('25Sep240053','070000164752','15868',(select max(to_number(i.premium_rcv_detail_code))+1
from ins_premium_det i),'15868','15868','02', '11000003','00','Request by Mr.Saqib 26-Sep-2024');</v>
      </c>
    </row>
    <row r="53" spans="1:8" ht="105" x14ac:dyDescent="0.25">
      <c r="A53" s="26" t="s">
        <v>698</v>
      </c>
      <c r="B53" s="33" t="s">
        <v>860</v>
      </c>
      <c r="C53" s="21">
        <v>21056</v>
      </c>
      <c r="D53" s="34">
        <f t="shared" si="1"/>
        <v>21056</v>
      </c>
      <c r="E53" s="38" t="s">
        <v>813</v>
      </c>
      <c r="F53" s="35" t="str">
        <f t="shared" si="0"/>
        <v>insert into ins_premium_det (premium_rcv_code,assorted_code, rec_amount,premium_rcv_detail_code,remaining_amt, payrec, mode_code,coinsurance_code,class_cd,it_remarks) values</v>
      </c>
      <c r="G53" s="36" t="str">
        <f t="shared" si="2"/>
        <v>('25Sep240053','070000164773','21056',(select max(to_number(i.premium_rcv_detail_code))+1
from ins_premium_det i),'21056','21056','02', '11000003','00','Request by Mr.Saqib 26-Sep-2024');</v>
      </c>
      <c r="H53" s="37" t="str">
        <f t="shared" si="3"/>
        <v>insert into ins_premium_det (premium_rcv_code,assorted_code, rec_amount,premium_rcv_detail_code,remaining_amt, payrec, mode_code,coinsurance_code,class_cd,it_remarks) values('25Sep240053','070000164773','21056',(select max(to_number(i.premium_rcv_detail_code))+1
from ins_premium_det i),'21056','21056','02', '11000003','00','Request by Mr.Saqib 26-Sep-2024');</v>
      </c>
    </row>
    <row r="54" spans="1:8" ht="105" x14ac:dyDescent="0.25">
      <c r="A54" s="26" t="s">
        <v>699</v>
      </c>
      <c r="B54" s="33" t="s">
        <v>861</v>
      </c>
      <c r="C54" s="21">
        <v>20351</v>
      </c>
      <c r="D54" s="34">
        <f t="shared" si="1"/>
        <v>20351</v>
      </c>
      <c r="E54" s="38" t="s">
        <v>813</v>
      </c>
      <c r="F54" s="35" t="str">
        <f t="shared" si="0"/>
        <v>insert into ins_premium_det (premium_rcv_code,assorted_code, rec_amount,premium_rcv_detail_code,remaining_amt, payrec, mode_code,coinsurance_code,class_cd,it_remarks) values</v>
      </c>
      <c r="G54" s="36" t="str">
        <f t="shared" si="2"/>
        <v>('25Sep240053','070000164772','20351',(select max(to_number(i.premium_rcv_detail_code))+1
from ins_premium_det i),'20351','20351','02', '11000003','00','Request by Mr.Saqib 26-Sep-2024');</v>
      </c>
      <c r="H54" s="37" t="str">
        <f t="shared" si="3"/>
        <v>insert into ins_premium_det (premium_rcv_code,assorted_code, rec_amount,premium_rcv_detail_code,remaining_amt, payrec, mode_code,coinsurance_code,class_cd,it_remarks) values('25Sep240053','070000164772','20351',(select max(to_number(i.premium_rcv_detail_code))+1
from ins_premium_det i),'20351','20351','02', '11000003','00','Request by Mr.Saqib 26-Sep-2024');</v>
      </c>
    </row>
    <row r="55" spans="1:8" ht="105" x14ac:dyDescent="0.25">
      <c r="A55" s="26" t="s">
        <v>700</v>
      </c>
      <c r="B55" s="33" t="s">
        <v>862</v>
      </c>
      <c r="C55" s="21">
        <v>43389</v>
      </c>
      <c r="D55" s="34">
        <f t="shared" si="1"/>
        <v>43389</v>
      </c>
      <c r="E55" s="38" t="s">
        <v>813</v>
      </c>
      <c r="F55" s="35" t="str">
        <f t="shared" si="0"/>
        <v>insert into ins_premium_det (premium_rcv_code,assorted_code, rec_amount,premium_rcv_detail_code,remaining_amt, payrec, mode_code,coinsurance_code,class_cd,it_remarks) values</v>
      </c>
      <c r="G55" s="36" t="str">
        <f t="shared" si="2"/>
        <v>('25Sep240053','070000164749','43389',(select max(to_number(i.premium_rcv_detail_code))+1
from ins_premium_det i),'43389','43389','02', '11000003','00','Request by Mr.Saqib 26-Sep-2024');</v>
      </c>
      <c r="H55" s="37" t="str">
        <f t="shared" si="3"/>
        <v>insert into ins_premium_det (premium_rcv_code,assorted_code, rec_amount,premium_rcv_detail_code,remaining_amt, payrec, mode_code,coinsurance_code,class_cd,it_remarks) values('25Sep240053','070000164749','43389',(select max(to_number(i.premium_rcv_detail_code))+1
from ins_premium_det i),'43389','43389','02', '11000003','00','Request by Mr.Saqib 26-Sep-2024');</v>
      </c>
    </row>
    <row r="56" spans="1:8" ht="105" x14ac:dyDescent="0.25">
      <c r="A56" s="26" t="s">
        <v>701</v>
      </c>
      <c r="B56" s="33" t="s">
        <v>863</v>
      </c>
      <c r="C56" s="21">
        <v>54000</v>
      </c>
      <c r="D56" s="34">
        <f t="shared" si="1"/>
        <v>54000</v>
      </c>
      <c r="E56" s="38" t="s">
        <v>813</v>
      </c>
      <c r="F56" s="35" t="str">
        <f t="shared" si="0"/>
        <v>insert into ins_premium_det (premium_rcv_code,assorted_code, rec_amount,premium_rcv_detail_code,remaining_amt, payrec, mode_code,coinsurance_code,class_cd,it_remarks) values</v>
      </c>
      <c r="G56" s="36" t="str">
        <f t="shared" si="2"/>
        <v>('25Sep240053','070000164748','54000',(select max(to_number(i.premium_rcv_detail_code))+1
from ins_premium_det i),'54000','54000','02', '11000003','00','Request by Mr.Saqib 26-Sep-2024');</v>
      </c>
      <c r="H56" s="37" t="str">
        <f t="shared" si="3"/>
        <v>insert into ins_premium_det (premium_rcv_code,assorted_code, rec_amount,premium_rcv_detail_code,remaining_amt, payrec, mode_code,coinsurance_code,class_cd,it_remarks) values('25Sep240053','070000164748','54000',(select max(to_number(i.premium_rcv_detail_code))+1
from ins_premium_det i),'54000','54000','02', '11000003','00','Request by Mr.Saqib 26-Sep-2024');</v>
      </c>
    </row>
    <row r="57" spans="1:8" ht="105" x14ac:dyDescent="0.25">
      <c r="A57" s="26" t="s">
        <v>702</v>
      </c>
      <c r="B57" s="33" t="s">
        <v>864</v>
      </c>
      <c r="C57" s="21">
        <v>15253</v>
      </c>
      <c r="D57" s="34">
        <f t="shared" si="1"/>
        <v>15253</v>
      </c>
      <c r="E57" s="38" t="s">
        <v>813</v>
      </c>
      <c r="F57" s="35" t="str">
        <f t="shared" si="0"/>
        <v>insert into ins_premium_det (premium_rcv_code,assorted_code, rec_amount,premium_rcv_detail_code,remaining_amt, payrec, mode_code,coinsurance_code,class_cd,it_remarks) values</v>
      </c>
      <c r="G57" s="36" t="str">
        <f t="shared" si="2"/>
        <v>('25Sep240053','070000164756','15253',(select max(to_number(i.premium_rcv_detail_code))+1
from ins_premium_det i),'15253','15253','02', '11000003','00','Request by Mr.Saqib 26-Sep-2024');</v>
      </c>
      <c r="H57" s="37" t="str">
        <f t="shared" si="3"/>
        <v>insert into ins_premium_det (premium_rcv_code,assorted_code, rec_amount,premium_rcv_detail_code,remaining_amt, payrec, mode_code,coinsurance_code,class_cd,it_remarks) values('25Sep240053','070000164756','15253',(select max(to_number(i.premium_rcv_detail_code))+1
from ins_premium_det i),'15253','15253','02', '11000003','00','Request by Mr.Saqib 26-Sep-2024');</v>
      </c>
    </row>
    <row r="58" spans="1:8" ht="105" x14ac:dyDescent="0.25">
      <c r="A58" s="26" t="s">
        <v>703</v>
      </c>
      <c r="B58" s="33" t="s">
        <v>865</v>
      </c>
      <c r="C58" s="21">
        <v>35845</v>
      </c>
      <c r="D58" s="34">
        <f t="shared" si="1"/>
        <v>35845</v>
      </c>
      <c r="E58" s="38" t="s">
        <v>813</v>
      </c>
      <c r="F58" s="35" t="str">
        <f t="shared" si="0"/>
        <v>insert into ins_premium_det (premium_rcv_code,assorted_code, rec_amount,premium_rcv_detail_code,remaining_amt, payrec, mode_code,coinsurance_code,class_cd,it_remarks) values</v>
      </c>
      <c r="G58" s="36" t="str">
        <f t="shared" si="2"/>
        <v>('25Sep240053','070000164768','35845',(select max(to_number(i.premium_rcv_detail_code))+1
from ins_premium_det i),'35845','35845','02', '11000003','00','Request by Mr.Saqib 26-Sep-2024');</v>
      </c>
      <c r="H58" s="37" t="str">
        <f t="shared" si="3"/>
        <v>insert into ins_premium_det (premium_rcv_code,assorted_code, rec_amount,premium_rcv_detail_code,remaining_amt, payrec, mode_code,coinsurance_code,class_cd,it_remarks) values('25Sep240053','070000164768','35845',(select max(to_number(i.premium_rcv_detail_code))+1
from ins_premium_det i),'35845','35845','02', '11000003','00','Request by Mr.Saqib 26-Sep-2024');</v>
      </c>
    </row>
    <row r="59" spans="1:8" ht="105" x14ac:dyDescent="0.25">
      <c r="A59" s="26" t="s">
        <v>704</v>
      </c>
      <c r="B59" s="33" t="s">
        <v>866</v>
      </c>
      <c r="C59" s="21">
        <v>18784</v>
      </c>
      <c r="D59" s="34">
        <f t="shared" si="1"/>
        <v>18784</v>
      </c>
      <c r="E59" s="38" t="s">
        <v>813</v>
      </c>
      <c r="F59" s="35" t="str">
        <f t="shared" si="0"/>
        <v>insert into ins_premium_det (premium_rcv_code,assorted_code, rec_amount,premium_rcv_detail_code,remaining_amt, payrec, mode_code,coinsurance_code,class_cd,it_remarks) values</v>
      </c>
      <c r="G59" s="36" t="str">
        <f t="shared" si="2"/>
        <v>('25Sep240053','070000164754','18784',(select max(to_number(i.premium_rcv_detail_code))+1
from ins_premium_det i),'18784','18784','02', '11000003','00','Request by Mr.Saqib 26-Sep-2024');</v>
      </c>
      <c r="H59" s="37" t="str">
        <f t="shared" si="3"/>
        <v>insert into ins_premium_det (premium_rcv_code,assorted_code, rec_amount,premium_rcv_detail_code,remaining_amt, payrec, mode_code,coinsurance_code,class_cd,it_remarks) values('25Sep240053','070000164754','18784',(select max(to_number(i.premium_rcv_detail_code))+1
from ins_premium_det i),'18784','18784','02', '11000003','00','Request by Mr.Saqib 26-Sep-2024');</v>
      </c>
    </row>
    <row r="60" spans="1:8" ht="105" x14ac:dyDescent="0.25">
      <c r="A60" s="26" t="s">
        <v>705</v>
      </c>
      <c r="B60" s="33" t="s">
        <v>867</v>
      </c>
      <c r="C60" s="21">
        <v>23620</v>
      </c>
      <c r="D60" s="34">
        <f t="shared" si="1"/>
        <v>23620</v>
      </c>
      <c r="E60" s="38" t="s">
        <v>813</v>
      </c>
      <c r="F60" s="35" t="str">
        <f t="shared" si="0"/>
        <v>insert into ins_premium_det (premium_rcv_code,assorted_code, rec_amount,premium_rcv_detail_code,remaining_amt, payrec, mode_code,coinsurance_code,class_cd,it_remarks) values</v>
      </c>
      <c r="G60" s="36" t="str">
        <f t="shared" si="2"/>
        <v>('25Sep240053','070000164794','23620',(select max(to_number(i.premium_rcv_detail_code))+1
from ins_premium_det i),'23620','23620','02', '11000003','00','Request by Mr.Saqib 26-Sep-2024');</v>
      </c>
      <c r="H60" s="37" t="str">
        <f t="shared" si="3"/>
        <v>insert into ins_premium_det (premium_rcv_code,assorted_code, rec_amount,premium_rcv_detail_code,remaining_amt, payrec, mode_code,coinsurance_code,class_cd,it_remarks) values('25Sep240053','070000164794','23620',(select max(to_number(i.premium_rcv_detail_code))+1
from ins_premium_det i),'23620','23620','02', '11000003','00','Request by Mr.Saqib 26-Sep-2024');</v>
      </c>
    </row>
    <row r="61" spans="1:8" ht="105" x14ac:dyDescent="0.25">
      <c r="A61" s="26" t="s">
        <v>706</v>
      </c>
      <c r="B61" s="33" t="s">
        <v>868</v>
      </c>
      <c r="C61" s="21">
        <v>21056</v>
      </c>
      <c r="D61" s="34">
        <f t="shared" si="1"/>
        <v>21056</v>
      </c>
      <c r="E61" s="38" t="s">
        <v>813</v>
      </c>
      <c r="F61" s="35" t="str">
        <f t="shared" si="0"/>
        <v>insert into ins_premium_det (premium_rcv_code,assorted_code, rec_amount,premium_rcv_detail_code,remaining_amt, payrec, mode_code,coinsurance_code,class_cd,it_remarks) values</v>
      </c>
      <c r="G61" s="36" t="str">
        <f t="shared" si="2"/>
        <v>('25Sep240053','070000164793','21056',(select max(to_number(i.premium_rcv_detail_code))+1
from ins_premium_det i),'21056','21056','02', '11000003','00','Request by Mr.Saqib 26-Sep-2024');</v>
      </c>
      <c r="H61" s="37" t="str">
        <f t="shared" si="3"/>
        <v>insert into ins_premium_det (premium_rcv_code,assorted_code, rec_amount,premium_rcv_detail_code,remaining_amt, payrec, mode_code,coinsurance_code,class_cd,it_remarks) values('25Sep240053','070000164793','21056',(select max(to_number(i.premium_rcv_detail_code))+1
from ins_premium_det i),'21056','21056','02', '11000003','00','Request by Mr.Saqib 26-Sep-2024');</v>
      </c>
    </row>
    <row r="62" spans="1:8" ht="105" x14ac:dyDescent="0.25">
      <c r="A62" s="26" t="s">
        <v>707</v>
      </c>
      <c r="B62" s="33" t="s">
        <v>869</v>
      </c>
      <c r="C62" s="21">
        <v>18784</v>
      </c>
      <c r="D62" s="34">
        <f t="shared" si="1"/>
        <v>18784</v>
      </c>
      <c r="E62" s="38" t="s">
        <v>813</v>
      </c>
      <c r="F62" s="35" t="str">
        <f t="shared" si="0"/>
        <v>insert into ins_premium_det (premium_rcv_code,assorted_code, rec_amount,premium_rcv_detail_code,remaining_amt, payrec, mode_code,coinsurance_code,class_cd,it_remarks) values</v>
      </c>
      <c r="G62" s="36" t="str">
        <f t="shared" si="2"/>
        <v>('25Sep240053','070000164795','18784',(select max(to_number(i.premium_rcv_detail_code))+1
from ins_premium_det i),'18784','18784','02', '11000003','00','Request by Mr.Saqib 26-Sep-2024');</v>
      </c>
      <c r="H62" s="37" t="str">
        <f t="shared" si="3"/>
        <v>insert into ins_premium_det (premium_rcv_code,assorted_code, rec_amount,premium_rcv_detail_code,remaining_amt, payrec, mode_code,coinsurance_code,class_cd,it_remarks) values('25Sep240053','070000164795','18784',(select max(to_number(i.premium_rcv_detail_code))+1
from ins_premium_det i),'18784','18784','02', '11000003','00','Request by Mr.Saqib 26-Sep-2024');</v>
      </c>
    </row>
    <row r="63" spans="1:8" ht="105" x14ac:dyDescent="0.25">
      <c r="A63" s="26" t="s">
        <v>708</v>
      </c>
      <c r="B63" s="33" t="s">
        <v>870</v>
      </c>
      <c r="C63" s="21">
        <v>20351</v>
      </c>
      <c r="D63" s="34">
        <f t="shared" si="1"/>
        <v>20351</v>
      </c>
      <c r="E63" s="38" t="s">
        <v>813</v>
      </c>
      <c r="F63" s="35" t="str">
        <f t="shared" si="0"/>
        <v>insert into ins_premium_det (premium_rcv_code,assorted_code, rec_amount,premium_rcv_detail_code,remaining_amt, payrec, mode_code,coinsurance_code,class_cd,it_remarks) values</v>
      </c>
      <c r="G63" s="36" t="str">
        <f t="shared" si="2"/>
        <v>('25Sep240053','070000164791','20351',(select max(to_number(i.premium_rcv_detail_code))+1
from ins_premium_det i),'20351','20351','02', '11000003','00','Request by Mr.Saqib 26-Sep-2024');</v>
      </c>
      <c r="H63" s="37" t="str">
        <f t="shared" si="3"/>
        <v>insert into ins_premium_det (premium_rcv_code,assorted_code, rec_amount,premium_rcv_detail_code,remaining_amt, payrec, mode_code,coinsurance_code,class_cd,it_remarks) values('25Sep240053','070000164791','20351',(select max(to_number(i.premium_rcv_detail_code))+1
from ins_premium_det i),'20351','20351','02', '11000003','00','Request by Mr.Saqib 26-Sep-2024');</v>
      </c>
    </row>
    <row r="64" spans="1:8" ht="105" x14ac:dyDescent="0.25">
      <c r="A64" s="26" t="s">
        <v>709</v>
      </c>
      <c r="B64" s="33" t="s">
        <v>871</v>
      </c>
      <c r="C64" s="21">
        <v>21056</v>
      </c>
      <c r="D64" s="34">
        <f t="shared" si="1"/>
        <v>21056</v>
      </c>
      <c r="E64" s="38" t="s">
        <v>813</v>
      </c>
      <c r="F64" s="35" t="str">
        <f t="shared" si="0"/>
        <v>insert into ins_premium_det (premium_rcv_code,assorted_code, rec_amount,premium_rcv_detail_code,remaining_amt, payrec, mode_code,coinsurance_code,class_cd,it_remarks) values</v>
      </c>
      <c r="G64" s="36" t="str">
        <f t="shared" si="2"/>
        <v>('25Sep240053','070000164796','21056',(select max(to_number(i.premium_rcv_detail_code))+1
from ins_premium_det i),'21056','21056','02', '11000003','00','Request by Mr.Saqib 26-Sep-2024');</v>
      </c>
      <c r="H64" s="37" t="str">
        <f t="shared" si="3"/>
        <v>insert into ins_premium_det (premium_rcv_code,assorted_code, rec_amount,premium_rcv_detail_code,remaining_amt, payrec, mode_code,coinsurance_code,class_cd,it_remarks) values('25Sep240053','070000164796','21056',(select max(to_number(i.premium_rcv_detail_code))+1
from ins_premium_det i),'21056','21056','02', '11000003','00','Request by Mr.Saqib 26-Sep-2024');</v>
      </c>
    </row>
    <row r="65" spans="1:8" ht="105" x14ac:dyDescent="0.25">
      <c r="A65" s="26" t="s">
        <v>710</v>
      </c>
      <c r="B65" s="33" t="s">
        <v>872</v>
      </c>
      <c r="C65" s="21">
        <v>18784</v>
      </c>
      <c r="D65" s="34">
        <f t="shared" si="1"/>
        <v>18784</v>
      </c>
      <c r="E65" s="38" t="s">
        <v>813</v>
      </c>
      <c r="F65" s="35" t="str">
        <f t="shared" ref="F65:F114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5" s="36" t="str">
        <f t="shared" si="2"/>
        <v>('25Sep240053','070000164790','18784',(select max(to_number(i.premium_rcv_detail_code))+1
from ins_premium_det i),'18784','18784','02', '11000003','00','Request by Mr.Saqib 26-Sep-2024');</v>
      </c>
      <c r="H65" s="37" t="str">
        <f t="shared" si="3"/>
        <v>insert into ins_premium_det (premium_rcv_code,assorted_code, rec_amount,premium_rcv_detail_code,remaining_amt, payrec, mode_code,coinsurance_code,class_cd,it_remarks) values('25Sep240053','070000164790','18784',(select max(to_number(i.premium_rcv_detail_code))+1
from ins_premium_det i),'18784','18784','02', '11000003','00','Request by Mr.Saqib 26-Sep-2024');</v>
      </c>
    </row>
    <row r="66" spans="1:8" ht="105" x14ac:dyDescent="0.25">
      <c r="A66" s="26" t="s">
        <v>711</v>
      </c>
      <c r="B66" s="33" t="s">
        <v>873</v>
      </c>
      <c r="C66" s="21">
        <v>18784</v>
      </c>
      <c r="D66" s="34">
        <f t="shared" ref="D66:D115" si="5">ROUND(C66,0)</f>
        <v>18784</v>
      </c>
      <c r="E66" s="38" t="s">
        <v>813</v>
      </c>
      <c r="F66" s="35" t="str">
        <f t="shared" si="4"/>
        <v>insert into ins_premium_det (premium_rcv_code,assorted_code, rec_amount,premium_rcv_detail_code,remaining_amt, payrec, mode_code,coinsurance_code,class_cd,it_remarks) values</v>
      </c>
      <c r="G66" s="36" t="str">
        <f t="shared" ref="G66:G114" si="6">"('"&amp;E66&amp;"','"&amp;B66&amp;"','"&amp;D66&amp;"',(select max(to_number(i.premium_rcv_detail_code))+1
from ins_premium_det i),'"&amp;D66&amp;"','"&amp;D66&amp;"','02', '11000003','00','Request by Mr.Saqib 26-Sep-2024');"</f>
        <v>('25Sep240053','070000164789','18784',(select max(to_number(i.premium_rcv_detail_code))+1
from ins_premium_det i),'18784','18784','02', '11000003','00','Request by Mr.Saqib 26-Sep-2024');</v>
      </c>
      <c r="H66" s="37" t="str">
        <f t="shared" ref="H66:H114" si="7">F66&amp;G66</f>
        <v>insert into ins_premium_det (premium_rcv_code,assorted_code, rec_amount,premium_rcv_detail_code,remaining_amt, payrec, mode_code,coinsurance_code,class_cd,it_remarks) values('25Sep240053','070000164789','18784',(select max(to_number(i.premium_rcv_detail_code))+1
from ins_premium_det i),'18784','18784','02', '11000003','00','Request by Mr.Saqib 26-Sep-2024');</v>
      </c>
    </row>
    <row r="67" spans="1:8" ht="105" x14ac:dyDescent="0.25">
      <c r="A67" s="26" t="s">
        <v>765</v>
      </c>
      <c r="B67" s="33">
        <v>70000164792</v>
      </c>
      <c r="C67" s="21">
        <v>18784</v>
      </c>
      <c r="D67" s="34">
        <f t="shared" si="5"/>
        <v>18784</v>
      </c>
      <c r="E67" s="38" t="s">
        <v>813</v>
      </c>
      <c r="F67" s="35" t="str">
        <f t="shared" si="4"/>
        <v>insert into ins_premium_det (premium_rcv_code,assorted_code, rec_amount,premium_rcv_detail_code,remaining_amt, payrec, mode_code,coinsurance_code,class_cd,it_remarks) values</v>
      </c>
      <c r="G67" s="36" t="str">
        <f t="shared" si="6"/>
        <v>('25Sep240053','70000164792','18784',(select max(to_number(i.premium_rcv_detail_code))+1
from ins_premium_det i),'18784','18784','02', '11000003','00','Request by Mr.Saqib 26-Sep-2024');</v>
      </c>
      <c r="H67" s="37" t="str">
        <f t="shared" si="7"/>
        <v>insert into ins_premium_det (premium_rcv_code,assorted_code, rec_amount,premium_rcv_detail_code,remaining_amt, payrec, mode_code,coinsurance_code,class_cd,it_remarks) values('25Sep240053','70000164792','18784',(select max(to_number(i.premium_rcv_detail_code))+1
from ins_premium_det i),'18784','18784','02', '11000003','00','Request by Mr.Saqib 26-Sep-2024');</v>
      </c>
    </row>
    <row r="68" spans="1:8" ht="105" x14ac:dyDescent="0.25">
      <c r="A68" s="26" t="s">
        <v>712</v>
      </c>
      <c r="B68" s="33" t="s">
        <v>874</v>
      </c>
      <c r="C68" s="21">
        <v>45211</v>
      </c>
      <c r="D68" s="34">
        <f t="shared" si="5"/>
        <v>45211</v>
      </c>
      <c r="E68" s="38" t="s">
        <v>813</v>
      </c>
      <c r="F68" s="35" t="str">
        <f t="shared" si="4"/>
        <v>insert into ins_premium_det (premium_rcv_code,assorted_code, rec_amount,premium_rcv_detail_code,remaining_amt, payrec, mode_code,coinsurance_code,class_cd,it_remarks) values</v>
      </c>
      <c r="G68" s="36" t="str">
        <f t="shared" si="6"/>
        <v>('25Sep240053','070000164783','45211',(select max(to_number(i.premium_rcv_detail_code))+1
from ins_premium_det i),'45211','45211','02', '11000003','00','Request by Mr.Saqib 26-Sep-2024');</v>
      </c>
      <c r="H68" s="37" t="str">
        <f t="shared" si="7"/>
        <v>insert into ins_premium_det (premium_rcv_code,assorted_code, rec_amount,premium_rcv_detail_code,remaining_amt, payrec, mode_code,coinsurance_code,class_cd,it_remarks) values('25Sep240053','070000164783','45211',(select max(to_number(i.premium_rcv_detail_code))+1
from ins_premium_det i),'45211','45211','02', '11000003','00','Request by Mr.Saqib 26-Sep-2024');</v>
      </c>
    </row>
    <row r="69" spans="1:8" ht="105" x14ac:dyDescent="0.25">
      <c r="A69" s="26" t="s">
        <v>713</v>
      </c>
      <c r="B69" s="33" t="s">
        <v>875</v>
      </c>
      <c r="C69" s="21">
        <v>48989</v>
      </c>
      <c r="D69" s="34">
        <f t="shared" si="5"/>
        <v>48989</v>
      </c>
      <c r="E69" s="38" t="s">
        <v>813</v>
      </c>
      <c r="F69" s="35" t="str">
        <f t="shared" si="4"/>
        <v>insert into ins_premium_det (premium_rcv_code,assorted_code, rec_amount,premium_rcv_detail_code,remaining_amt, payrec, mode_code,coinsurance_code,class_cd,it_remarks) values</v>
      </c>
      <c r="G69" s="36" t="str">
        <f t="shared" si="6"/>
        <v>('25Sep240053','070000164788','48989',(select max(to_number(i.premium_rcv_detail_code))+1
from ins_premium_det i),'48989','48989','02', '11000003','00','Request by Mr.Saqib 26-Sep-2024');</v>
      </c>
      <c r="H69" s="37" t="str">
        <f t="shared" si="7"/>
        <v>insert into ins_premium_det (premium_rcv_code,assorted_code, rec_amount,premium_rcv_detail_code,remaining_amt, payrec, mode_code,coinsurance_code,class_cd,it_remarks) values('25Sep240053','070000164788','48989',(select max(to_number(i.premium_rcv_detail_code))+1
from ins_premium_det i),'48989','48989','02', '11000003','00','Request by Mr.Saqib 26-Sep-2024');</v>
      </c>
    </row>
    <row r="70" spans="1:8" ht="105" x14ac:dyDescent="0.25">
      <c r="A70" s="26" t="s">
        <v>714</v>
      </c>
      <c r="B70" s="33" t="s">
        <v>876</v>
      </c>
      <c r="C70" s="21">
        <v>18398</v>
      </c>
      <c r="D70" s="34">
        <f t="shared" si="5"/>
        <v>18398</v>
      </c>
      <c r="E70" s="38" t="s">
        <v>813</v>
      </c>
      <c r="F70" s="35" t="str">
        <f t="shared" si="4"/>
        <v>insert into ins_premium_det (premium_rcv_code,assorted_code, rec_amount,premium_rcv_detail_code,remaining_amt, payrec, mode_code,coinsurance_code,class_cd,it_remarks) values</v>
      </c>
      <c r="G70" s="36" t="str">
        <f t="shared" si="6"/>
        <v>('25Sep240053','070000164780','18398',(select max(to_number(i.premium_rcv_detail_code))+1
from ins_premium_det i),'18398','18398','02', '11000003','00','Request by Mr.Saqib 26-Sep-2024');</v>
      </c>
      <c r="H70" s="37" t="str">
        <f t="shared" si="7"/>
        <v>insert into ins_premium_det (premium_rcv_code,assorted_code, rec_amount,premium_rcv_detail_code,remaining_amt, payrec, mode_code,coinsurance_code,class_cd,it_remarks) values('25Sep240053','070000164780','18398',(select max(to_number(i.premium_rcv_detail_code))+1
from ins_premium_det i),'18398','18398','02', '11000003','00','Request by Mr.Saqib 26-Sep-2024');</v>
      </c>
    </row>
    <row r="71" spans="1:8" ht="105" x14ac:dyDescent="0.25">
      <c r="A71" s="26" t="s">
        <v>715</v>
      </c>
      <c r="B71" s="33" t="s">
        <v>877</v>
      </c>
      <c r="C71" s="21">
        <v>22581</v>
      </c>
      <c r="D71" s="34">
        <f t="shared" si="5"/>
        <v>22581</v>
      </c>
      <c r="E71" s="38" t="s">
        <v>813</v>
      </c>
      <c r="F71" s="35" t="str">
        <f t="shared" si="4"/>
        <v>insert into ins_premium_det (premium_rcv_code,assorted_code, rec_amount,premium_rcv_detail_code,remaining_amt, payrec, mode_code,coinsurance_code,class_cd,it_remarks) values</v>
      </c>
      <c r="G71" s="36" t="str">
        <f t="shared" si="6"/>
        <v>('25Sep240053','070000164778','22581',(select max(to_number(i.premium_rcv_detail_code))+1
from ins_premium_det i),'22581','22581','02', '11000003','00','Request by Mr.Saqib 26-Sep-2024');</v>
      </c>
      <c r="H71" s="37" t="str">
        <f t="shared" si="7"/>
        <v>insert into ins_premium_det (premium_rcv_code,assorted_code, rec_amount,premium_rcv_detail_code,remaining_amt, payrec, mode_code,coinsurance_code,class_cd,it_remarks) values('25Sep240053','070000164778','22581',(select max(to_number(i.premium_rcv_detail_code))+1
from ins_premium_det i),'22581','22581','02', '11000003','00','Request by Mr.Saqib 26-Sep-2024');</v>
      </c>
    </row>
    <row r="72" spans="1:8" ht="105" x14ac:dyDescent="0.25">
      <c r="A72" s="26" t="s">
        <v>716</v>
      </c>
      <c r="B72" s="33" t="s">
        <v>878</v>
      </c>
      <c r="C72" s="21">
        <v>35900</v>
      </c>
      <c r="D72" s="34">
        <f t="shared" si="5"/>
        <v>35900</v>
      </c>
      <c r="E72" s="38" t="s">
        <v>813</v>
      </c>
      <c r="F72" s="35" t="str">
        <f t="shared" si="4"/>
        <v>insert into ins_premium_det (premium_rcv_code,assorted_code, rec_amount,premium_rcv_detail_code,remaining_amt, payrec, mode_code,coinsurance_code,class_cd,it_remarks) values</v>
      </c>
      <c r="G72" s="36" t="str">
        <f t="shared" si="6"/>
        <v>('25Sep240053','070000164785','35900',(select max(to_number(i.premium_rcv_detail_code))+1
from ins_premium_det i),'35900','35900','02', '11000003','00','Request by Mr.Saqib 26-Sep-2024');</v>
      </c>
      <c r="H72" s="37" t="str">
        <f t="shared" si="7"/>
        <v>insert into ins_premium_det (premium_rcv_code,assorted_code, rec_amount,premium_rcv_detail_code,remaining_amt, payrec, mode_code,coinsurance_code,class_cd,it_remarks) values('25Sep240053','070000164785','35900',(select max(to_number(i.premium_rcv_detail_code))+1
from ins_premium_det i),'35900','35900','02', '11000003','00','Request by Mr.Saqib 26-Sep-2024');</v>
      </c>
    </row>
    <row r="73" spans="1:8" ht="105" x14ac:dyDescent="0.25">
      <c r="A73" s="26" t="s">
        <v>717</v>
      </c>
      <c r="B73" s="33" t="s">
        <v>879</v>
      </c>
      <c r="C73" s="21">
        <v>23488</v>
      </c>
      <c r="D73" s="34">
        <f t="shared" si="5"/>
        <v>23488</v>
      </c>
      <c r="E73" s="38" t="s">
        <v>813</v>
      </c>
      <c r="F73" s="35" t="str">
        <f t="shared" si="4"/>
        <v>insert into ins_premium_det (premium_rcv_code,assorted_code, rec_amount,premium_rcv_detail_code,remaining_amt, payrec, mode_code,coinsurance_code,class_cd,it_remarks) values</v>
      </c>
      <c r="G73" s="36" t="str">
        <f t="shared" si="6"/>
        <v>('25Sep240053','070000164777','23488',(select max(to_number(i.premium_rcv_detail_code))+1
from ins_premium_det i),'23488','23488','02', '11000003','00','Request by Mr.Saqib 26-Sep-2024');</v>
      </c>
      <c r="H73" s="37" t="str">
        <f t="shared" si="7"/>
        <v>insert into ins_premium_det (premium_rcv_code,assorted_code, rec_amount,premium_rcv_detail_code,remaining_amt, payrec, mode_code,coinsurance_code,class_cd,it_remarks) values('25Sep240053','070000164777','23488',(select max(to_number(i.premium_rcv_detail_code))+1
from ins_premium_det i),'23488','23488','02', '11000003','00','Request by Mr.Saqib 26-Sep-2024');</v>
      </c>
    </row>
    <row r="74" spans="1:8" ht="105" x14ac:dyDescent="0.25">
      <c r="A74" s="26" t="s">
        <v>718</v>
      </c>
      <c r="B74" s="33" t="s">
        <v>880</v>
      </c>
      <c r="C74" s="21">
        <v>31996</v>
      </c>
      <c r="D74" s="34">
        <f t="shared" si="5"/>
        <v>31996</v>
      </c>
      <c r="E74" s="38" t="s">
        <v>813</v>
      </c>
      <c r="F74" s="35" t="str">
        <f t="shared" si="4"/>
        <v>insert into ins_premium_det (premium_rcv_code,assorted_code, rec_amount,premium_rcv_detail_code,remaining_amt, payrec, mode_code,coinsurance_code,class_cd,it_remarks) values</v>
      </c>
      <c r="G74" s="36" t="str">
        <f t="shared" si="6"/>
        <v>('25Sep240053','070000164782','31996',(select max(to_number(i.premium_rcv_detail_code))+1
from ins_premium_det i),'31996','31996','02', '11000003','00','Request by Mr.Saqib 26-Sep-2024');</v>
      </c>
      <c r="H74" s="37" t="str">
        <f t="shared" si="7"/>
        <v>insert into ins_premium_det (premium_rcv_code,assorted_code, rec_amount,premium_rcv_detail_code,remaining_amt, payrec, mode_code,coinsurance_code,class_cd,it_remarks) values('25Sep240053','070000164782','31996',(select max(to_number(i.premium_rcv_detail_code))+1
from ins_premium_det i),'31996','31996','02', '11000003','00','Request by Mr.Saqib 26-Sep-2024');</v>
      </c>
    </row>
    <row r="75" spans="1:8" ht="105" x14ac:dyDescent="0.25">
      <c r="A75" s="26" t="s">
        <v>719</v>
      </c>
      <c r="B75" s="33" t="s">
        <v>818</v>
      </c>
      <c r="C75" s="21">
        <v>32940</v>
      </c>
      <c r="D75" s="34">
        <f t="shared" si="5"/>
        <v>32940</v>
      </c>
      <c r="E75" s="38" t="s">
        <v>813</v>
      </c>
      <c r="F75" s="35" t="str">
        <f t="shared" si="4"/>
        <v>insert into ins_premium_det (premium_rcv_code,assorted_code, rec_amount,premium_rcv_detail_code,remaining_amt, payrec, mode_code,coinsurance_code,class_cd,it_remarks) values</v>
      </c>
      <c r="G75" s="36" t="str">
        <f t="shared" si="6"/>
        <v>('25Sep240053','070000164844','32940',(select max(to_number(i.premium_rcv_detail_code))+1
from ins_premium_det i),'32940','32940','02', '11000003','00','Request by Mr.Saqib 26-Sep-2024');</v>
      </c>
      <c r="H75" s="37" t="str">
        <f t="shared" si="7"/>
        <v>insert into ins_premium_det (premium_rcv_code,assorted_code, rec_amount,premium_rcv_detail_code,remaining_amt, payrec, mode_code,coinsurance_code,class_cd,it_remarks) values('25Sep240053','070000164844','32940',(select max(to_number(i.premium_rcv_detail_code))+1
from ins_premium_det i),'32940','32940','02', '11000003','00','Request by Mr.Saqib 26-Sep-2024');</v>
      </c>
    </row>
    <row r="76" spans="1:8" ht="105" x14ac:dyDescent="0.25">
      <c r="A76" s="26" t="s">
        <v>720</v>
      </c>
      <c r="B76" s="33" t="s">
        <v>881</v>
      </c>
      <c r="C76" s="21">
        <v>31540</v>
      </c>
      <c r="D76" s="34">
        <f t="shared" si="5"/>
        <v>31540</v>
      </c>
      <c r="E76" s="38" t="s">
        <v>813</v>
      </c>
      <c r="F76" s="35" t="str">
        <f t="shared" si="4"/>
        <v>insert into ins_premium_det (premium_rcv_code,assorted_code, rec_amount,premium_rcv_detail_code,remaining_amt, payrec, mode_code,coinsurance_code,class_cd,it_remarks) values</v>
      </c>
      <c r="G76" s="36" t="str">
        <f t="shared" si="6"/>
        <v>('25Sep240053','070000164841','31540',(select max(to_number(i.premium_rcv_detail_code))+1
from ins_premium_det i),'31540','31540','02', '11000003','00','Request by Mr.Saqib 26-Sep-2024');</v>
      </c>
      <c r="H76" s="37" t="str">
        <f t="shared" si="7"/>
        <v>insert into ins_premium_det (premium_rcv_code,assorted_code, rec_amount,premium_rcv_detail_code,remaining_amt, payrec, mode_code,coinsurance_code,class_cd,it_remarks) values('25Sep240053','070000164841','31540',(select max(to_number(i.premium_rcv_detail_code))+1
from ins_premium_det i),'31540','31540','02', '11000003','00','Request by Mr.Saqib 26-Sep-2024');</v>
      </c>
    </row>
    <row r="77" spans="1:8" ht="105" x14ac:dyDescent="0.25">
      <c r="A77" s="26" t="s">
        <v>721</v>
      </c>
      <c r="B77" s="33" t="s">
        <v>882</v>
      </c>
      <c r="C77" s="21">
        <v>18345</v>
      </c>
      <c r="D77" s="34">
        <f t="shared" si="5"/>
        <v>18345</v>
      </c>
      <c r="E77" s="38" t="s">
        <v>813</v>
      </c>
      <c r="F77" s="35" t="str">
        <f t="shared" si="4"/>
        <v>insert into ins_premium_det (premium_rcv_code,assorted_code, rec_amount,premium_rcv_detail_code,remaining_amt, payrec, mode_code,coinsurance_code,class_cd,it_remarks) values</v>
      </c>
      <c r="G77" s="36" t="str">
        <f t="shared" si="6"/>
        <v>('25Sep240053','070000164842','18345',(select max(to_number(i.premium_rcv_detail_code))+1
from ins_premium_det i),'18345','18345','02', '11000003','00','Request by Mr.Saqib 26-Sep-2024');</v>
      </c>
      <c r="H77" s="37" t="str">
        <f t="shared" si="7"/>
        <v>insert into ins_premium_det (premium_rcv_code,assorted_code, rec_amount,premium_rcv_detail_code,remaining_amt, payrec, mode_code,coinsurance_code,class_cd,it_remarks) values('25Sep240053','070000164842','18345',(select max(to_number(i.premium_rcv_detail_code))+1
from ins_premium_det i),'18345','18345','02', '11000003','00','Request by Mr.Saqib 26-Sep-2024');</v>
      </c>
    </row>
    <row r="78" spans="1:8" ht="105" x14ac:dyDescent="0.25">
      <c r="A78" s="26" t="s">
        <v>722</v>
      </c>
      <c r="B78" s="33" t="s">
        <v>883</v>
      </c>
      <c r="C78" s="21">
        <v>14421</v>
      </c>
      <c r="D78" s="34">
        <f t="shared" si="5"/>
        <v>14421</v>
      </c>
      <c r="E78" s="38" t="s">
        <v>813</v>
      </c>
      <c r="F78" s="35" t="str">
        <f t="shared" si="4"/>
        <v>insert into ins_premium_det (premium_rcv_code,assorted_code, rec_amount,premium_rcv_detail_code,remaining_amt, payrec, mode_code,coinsurance_code,class_cd,it_remarks) values</v>
      </c>
      <c r="G78" s="36" t="str">
        <f t="shared" si="6"/>
        <v>('25Sep240053','070000164840','14421',(select max(to_number(i.premium_rcv_detail_code))+1
from ins_premium_det i),'14421','14421','02', '11000003','00','Request by Mr.Saqib 26-Sep-2024');</v>
      </c>
      <c r="H78" s="37" t="str">
        <f t="shared" si="7"/>
        <v>insert into ins_premium_det (premium_rcv_code,assorted_code, rec_amount,premium_rcv_detail_code,remaining_amt, payrec, mode_code,coinsurance_code,class_cd,it_remarks) values('25Sep240053','070000164840','14421',(select max(to_number(i.premium_rcv_detail_code))+1
from ins_premium_det i),'14421','14421','02', '11000003','00','Request by Mr.Saqib 26-Sep-2024');</v>
      </c>
    </row>
    <row r="79" spans="1:8" ht="105" x14ac:dyDescent="0.25">
      <c r="A79" s="26" t="s">
        <v>723</v>
      </c>
      <c r="B79" s="33" t="s">
        <v>884</v>
      </c>
      <c r="C79" s="21">
        <v>29557</v>
      </c>
      <c r="D79" s="34">
        <f t="shared" si="5"/>
        <v>29557</v>
      </c>
      <c r="E79" s="38" t="s">
        <v>813</v>
      </c>
      <c r="F79" s="35" t="str">
        <f t="shared" si="4"/>
        <v>insert into ins_premium_det (premium_rcv_code,assorted_code, rec_amount,premium_rcv_detail_code,remaining_amt, payrec, mode_code,coinsurance_code,class_cd,it_remarks) values</v>
      </c>
      <c r="G79" s="36" t="str">
        <f t="shared" si="6"/>
        <v>('25Sep240053','070000164672','29557',(select max(to_number(i.premium_rcv_detail_code))+1
from ins_premium_det i),'29557','29557','02', '11000003','00','Request by Mr.Saqib 26-Sep-2024');</v>
      </c>
      <c r="H79" s="37" t="str">
        <f t="shared" si="7"/>
        <v>insert into ins_premium_det (premium_rcv_code,assorted_code, rec_amount,premium_rcv_detail_code,remaining_amt, payrec, mode_code,coinsurance_code,class_cd,it_remarks) values('25Sep240053','070000164672','29557',(select max(to_number(i.premium_rcv_detail_code))+1
from ins_premium_det i),'29557','29557','02', '11000003','00','Request by Mr.Saqib 26-Sep-2024');</v>
      </c>
    </row>
    <row r="80" spans="1:8" ht="105" x14ac:dyDescent="0.25">
      <c r="A80" s="26" t="s">
        <v>724</v>
      </c>
      <c r="B80" s="33" t="s">
        <v>885</v>
      </c>
      <c r="C80" s="21">
        <v>36960</v>
      </c>
      <c r="D80" s="34">
        <f t="shared" si="5"/>
        <v>36960</v>
      </c>
      <c r="E80" s="38" t="s">
        <v>813</v>
      </c>
      <c r="F80" s="35" t="str">
        <f t="shared" si="4"/>
        <v>insert into ins_premium_det (premium_rcv_code,assorted_code, rec_amount,premium_rcv_detail_code,remaining_amt, payrec, mode_code,coinsurance_code,class_cd,it_remarks) values</v>
      </c>
      <c r="G80" s="36" t="str">
        <f t="shared" si="6"/>
        <v>('25Sep240053','070000164673','36960',(select max(to_number(i.premium_rcv_detail_code))+1
from ins_premium_det i),'36960','36960','02', '11000003','00','Request by Mr.Saqib 26-Sep-2024');</v>
      </c>
      <c r="H80" s="37" t="str">
        <f t="shared" si="7"/>
        <v>insert into ins_premium_det (premium_rcv_code,assorted_code, rec_amount,premium_rcv_detail_code,remaining_amt, payrec, mode_code,coinsurance_code,class_cd,it_remarks) values('25Sep240053','070000164673','36960',(select max(to_number(i.premium_rcv_detail_code))+1
from ins_premium_det i),'36960','36960','02', '11000003','00','Request by Mr.Saqib 26-Sep-2024');</v>
      </c>
    </row>
    <row r="81" spans="1:8" ht="105" x14ac:dyDescent="0.25">
      <c r="A81" s="26" t="s">
        <v>725</v>
      </c>
      <c r="B81" s="33" t="s">
        <v>886</v>
      </c>
      <c r="C81" s="21">
        <v>18915</v>
      </c>
      <c r="D81" s="34">
        <f t="shared" si="5"/>
        <v>18915</v>
      </c>
      <c r="E81" s="38" t="s">
        <v>813</v>
      </c>
      <c r="F81" s="35" t="str">
        <f t="shared" si="4"/>
        <v>insert into ins_premium_det (premium_rcv_code,assorted_code, rec_amount,premium_rcv_detail_code,remaining_amt, payrec, mode_code,coinsurance_code,class_cd,it_remarks) values</v>
      </c>
      <c r="G81" s="36" t="str">
        <f t="shared" si="6"/>
        <v>('25Sep240053','070000164674','18915',(select max(to_number(i.premium_rcv_detail_code))+1
from ins_premium_det i),'18915','18915','02', '11000003','00','Request by Mr.Saqib 26-Sep-2024');</v>
      </c>
      <c r="H81" s="37" t="str">
        <f t="shared" si="7"/>
        <v>insert into ins_premium_det (premium_rcv_code,assorted_code, rec_amount,premium_rcv_detail_code,remaining_amt, payrec, mode_code,coinsurance_code,class_cd,it_remarks) values('25Sep240053','070000164674','18915',(select max(to_number(i.premium_rcv_detail_code))+1
from ins_premium_det i),'18915','18915','02', '11000003','00','Request by Mr.Saqib 26-Sep-2024');</v>
      </c>
    </row>
    <row r="82" spans="1:8" ht="105" x14ac:dyDescent="0.25">
      <c r="A82" s="26" t="s">
        <v>726</v>
      </c>
      <c r="B82" s="33" t="s">
        <v>800</v>
      </c>
      <c r="C82" s="21">
        <v>36773</v>
      </c>
      <c r="D82" s="34">
        <f t="shared" si="5"/>
        <v>36773</v>
      </c>
      <c r="E82" s="38" t="s">
        <v>813</v>
      </c>
      <c r="F82" s="35" t="str">
        <f t="shared" si="4"/>
        <v>insert into ins_premium_det (premium_rcv_code,assorted_code, rec_amount,premium_rcv_detail_code,remaining_amt, payrec, mode_code,coinsurance_code,class_cd,it_remarks) values</v>
      </c>
      <c r="G82" s="36" t="str">
        <f t="shared" si="6"/>
        <v>('25Sep240053','070000164636','36773',(select max(to_number(i.premium_rcv_detail_code))+1
from ins_premium_det i),'36773','36773','02', '11000003','00','Request by Mr.Saqib 26-Sep-2024');</v>
      </c>
      <c r="H82" s="37" t="str">
        <f t="shared" si="7"/>
        <v>insert into ins_premium_det (premium_rcv_code,assorted_code, rec_amount,premium_rcv_detail_code,remaining_amt, payrec, mode_code,coinsurance_code,class_cd,it_remarks) values('25Sep240053','070000164636','36773',(select max(to_number(i.premium_rcv_detail_code))+1
from ins_premium_det i),'36773','36773','02', '11000003','00','Request by Mr.Saqib 26-Sep-2024');</v>
      </c>
    </row>
    <row r="83" spans="1:8" ht="105" x14ac:dyDescent="0.25">
      <c r="A83" s="26" t="s">
        <v>727</v>
      </c>
      <c r="B83" s="33" t="s">
        <v>801</v>
      </c>
      <c r="C83" s="21">
        <v>28683</v>
      </c>
      <c r="D83" s="34">
        <f t="shared" si="5"/>
        <v>28683</v>
      </c>
      <c r="E83" s="38" t="s">
        <v>813</v>
      </c>
      <c r="F83" s="35" t="str">
        <f t="shared" si="4"/>
        <v>insert into ins_premium_det (premium_rcv_code,assorted_code, rec_amount,premium_rcv_detail_code,remaining_amt, payrec, mode_code,coinsurance_code,class_cd,it_remarks) values</v>
      </c>
      <c r="G83" s="36" t="str">
        <f t="shared" si="6"/>
        <v>('25Sep240053','070000164352','28683',(select max(to_number(i.premium_rcv_detail_code))+1
from ins_premium_det i),'28683','28683','02', '11000003','00','Request by Mr.Saqib 26-Sep-2024');</v>
      </c>
      <c r="H83" s="37" t="str">
        <f t="shared" si="7"/>
        <v>insert into ins_premium_det (premium_rcv_code,assorted_code, rec_amount,premium_rcv_detail_code,remaining_amt, payrec, mode_code,coinsurance_code,class_cd,it_remarks) values('25Sep240053','070000164352','28683',(select max(to_number(i.premium_rcv_detail_code))+1
from ins_premium_det i),'28683','28683','02', '11000003','00','Request by Mr.Saqib 26-Sep-2024');</v>
      </c>
    </row>
    <row r="84" spans="1:8" ht="105" x14ac:dyDescent="0.25">
      <c r="A84" s="26" t="s">
        <v>728</v>
      </c>
      <c r="B84" s="33" t="s">
        <v>802</v>
      </c>
      <c r="C84" s="21">
        <v>26714</v>
      </c>
      <c r="D84" s="34">
        <f t="shared" si="5"/>
        <v>26714</v>
      </c>
      <c r="E84" s="38" t="s">
        <v>813</v>
      </c>
      <c r="F84" s="35" t="str">
        <f t="shared" si="4"/>
        <v>insert into ins_premium_det (premium_rcv_code,assorted_code, rec_amount,premium_rcv_detail_code,remaining_amt, payrec, mode_code,coinsurance_code,class_cd,it_remarks) values</v>
      </c>
      <c r="G84" s="36" t="str">
        <f t="shared" si="6"/>
        <v>('25Sep240053','070000164354','26714',(select max(to_number(i.premium_rcv_detail_code))+1
from ins_premium_det i),'26714','26714','02', '11000003','00','Request by Mr.Saqib 26-Sep-2024');</v>
      </c>
      <c r="H84" s="37" t="str">
        <f t="shared" si="7"/>
        <v>insert into ins_premium_det (premium_rcv_code,assorted_code, rec_amount,premium_rcv_detail_code,remaining_amt, payrec, mode_code,coinsurance_code,class_cd,it_remarks) values('25Sep240053','070000164354','26714',(select max(to_number(i.premium_rcv_detail_code))+1
from ins_premium_det i),'26714','26714','02', '11000003','00','Request by Mr.Saqib 26-Sep-2024');</v>
      </c>
    </row>
    <row r="85" spans="1:8" ht="105" x14ac:dyDescent="0.25">
      <c r="A85" s="26" t="s">
        <v>729</v>
      </c>
      <c r="B85" s="33" t="s">
        <v>803</v>
      </c>
      <c r="C85" s="21">
        <v>21056</v>
      </c>
      <c r="D85" s="34">
        <f t="shared" si="5"/>
        <v>21056</v>
      </c>
      <c r="E85" s="38" t="s">
        <v>813</v>
      </c>
      <c r="F85" s="35" t="str">
        <f t="shared" si="4"/>
        <v>insert into ins_premium_det (premium_rcv_code,assorted_code, rec_amount,premium_rcv_detail_code,remaining_amt, payrec, mode_code,coinsurance_code,class_cd,it_remarks) values</v>
      </c>
      <c r="G85" s="36" t="str">
        <f t="shared" si="6"/>
        <v>('25Sep240053','070000164375','21056',(select max(to_number(i.premium_rcv_detail_code))+1
from ins_premium_det i),'21056','21056','02', '11000003','00','Request by Mr.Saqib 26-Sep-2024');</v>
      </c>
      <c r="H85" s="37" t="str">
        <f t="shared" si="7"/>
        <v>insert into ins_premium_det (premium_rcv_code,assorted_code, rec_amount,premium_rcv_detail_code,remaining_amt, payrec, mode_code,coinsurance_code,class_cd,it_remarks) values('25Sep240053','070000164375','21056',(select max(to_number(i.premium_rcv_detail_code))+1
from ins_premium_det i),'21056','21056','02', '11000003','00','Request by Mr.Saqib 26-Sep-2024');</v>
      </c>
    </row>
    <row r="86" spans="1:8" ht="105" x14ac:dyDescent="0.25">
      <c r="A86" s="26" t="s">
        <v>730</v>
      </c>
      <c r="B86" s="33" t="s">
        <v>804</v>
      </c>
      <c r="C86" s="21">
        <v>20351</v>
      </c>
      <c r="D86" s="34">
        <f t="shared" si="5"/>
        <v>20351</v>
      </c>
      <c r="E86" s="38" t="s">
        <v>813</v>
      </c>
      <c r="F86" s="35" t="str">
        <f t="shared" si="4"/>
        <v>insert into ins_premium_det (premium_rcv_code,assorted_code, rec_amount,premium_rcv_detail_code,remaining_amt, payrec, mode_code,coinsurance_code,class_cd,it_remarks) values</v>
      </c>
      <c r="G86" s="36" t="str">
        <f t="shared" si="6"/>
        <v>('25Sep240053','070000164374','20351',(select max(to_number(i.premium_rcv_detail_code))+1
from ins_premium_det i),'20351','20351','02', '11000003','00','Request by Mr.Saqib 26-Sep-2024');</v>
      </c>
      <c r="H86" s="37" t="str">
        <f t="shared" si="7"/>
        <v>insert into ins_premium_det (premium_rcv_code,assorted_code, rec_amount,premium_rcv_detail_code,remaining_amt, payrec, mode_code,coinsurance_code,class_cd,it_remarks) values('25Sep240053','070000164374','20351',(select max(to_number(i.premium_rcv_detail_code))+1
from ins_premium_det i),'20351','20351','02', '11000003','00','Request by Mr.Saqib 26-Sep-2024');</v>
      </c>
    </row>
    <row r="87" spans="1:8" ht="105" x14ac:dyDescent="0.25">
      <c r="A87" s="26" t="s">
        <v>731</v>
      </c>
      <c r="B87" s="33" t="s">
        <v>805</v>
      </c>
      <c r="C87" s="21">
        <v>22915</v>
      </c>
      <c r="D87" s="34">
        <f t="shared" si="5"/>
        <v>22915</v>
      </c>
      <c r="E87" s="38" t="s">
        <v>813</v>
      </c>
      <c r="F87" s="35" t="str">
        <f t="shared" si="4"/>
        <v>insert into ins_premium_det (premium_rcv_code,assorted_code, rec_amount,premium_rcv_detail_code,remaining_amt, payrec, mode_code,coinsurance_code,class_cd,it_remarks) values</v>
      </c>
      <c r="G87" s="36" t="str">
        <f t="shared" si="6"/>
        <v>('25Sep240053','070000164373','22915',(select max(to_number(i.premium_rcv_detail_code))+1
from ins_premium_det i),'22915','22915','02', '11000003','00','Request by Mr.Saqib 26-Sep-2024');</v>
      </c>
      <c r="H87" s="37" t="str">
        <f t="shared" si="7"/>
        <v>insert into ins_premium_det (premium_rcv_code,assorted_code, rec_amount,premium_rcv_detail_code,remaining_amt, payrec, mode_code,coinsurance_code,class_cd,it_remarks) values('25Sep240053','070000164373','22915',(select max(to_number(i.premium_rcv_detail_code))+1
from ins_premium_det i),'22915','22915','02', '11000003','00','Request by Mr.Saqib 26-Sep-2024');</v>
      </c>
    </row>
    <row r="88" spans="1:8" ht="105" x14ac:dyDescent="0.25">
      <c r="A88" s="26" t="s">
        <v>732</v>
      </c>
      <c r="B88" s="33" t="s">
        <v>835</v>
      </c>
      <c r="C88" s="21">
        <v>31153</v>
      </c>
      <c r="D88" s="34">
        <f t="shared" si="5"/>
        <v>31153</v>
      </c>
      <c r="E88" s="38" t="s">
        <v>813</v>
      </c>
      <c r="F88" s="35" t="str">
        <f t="shared" si="4"/>
        <v>insert into ins_premium_det (premium_rcv_code,assorted_code, rec_amount,premium_rcv_detail_code,remaining_amt, payrec, mode_code,coinsurance_code,class_cd,it_remarks) values</v>
      </c>
      <c r="G88" s="36" t="str">
        <f t="shared" si="6"/>
        <v>('25Sep240053','070000164376','31153',(select max(to_number(i.premium_rcv_detail_code))+1
from ins_premium_det i),'31153','31153','02', '11000003','00','Request by Mr.Saqib 26-Sep-2024');</v>
      </c>
      <c r="H88" s="37" t="str">
        <f t="shared" si="7"/>
        <v>insert into ins_premium_det (premium_rcv_code,assorted_code, rec_amount,premium_rcv_detail_code,remaining_amt, payrec, mode_code,coinsurance_code,class_cd,it_remarks) values('25Sep240053','070000164376','31153',(select max(to_number(i.premium_rcv_detail_code))+1
from ins_premium_det i),'31153','31153','02', '11000003','00','Request by Mr.Saqib 26-Sep-2024');</v>
      </c>
    </row>
    <row r="89" spans="1:8" ht="105" x14ac:dyDescent="0.25">
      <c r="A89" s="26" t="s">
        <v>733</v>
      </c>
      <c r="B89" s="33" t="s">
        <v>887</v>
      </c>
      <c r="C89" s="21">
        <v>48611</v>
      </c>
      <c r="D89" s="34">
        <f t="shared" si="5"/>
        <v>48611</v>
      </c>
      <c r="E89" s="38" t="s">
        <v>813</v>
      </c>
      <c r="F89" s="35" t="str">
        <f t="shared" si="4"/>
        <v>insert into ins_premium_det (premium_rcv_code,assorted_code, rec_amount,premium_rcv_detail_code,remaining_amt, payrec, mode_code,coinsurance_code,class_cd,it_remarks) values</v>
      </c>
      <c r="G89" s="36" t="str">
        <f t="shared" si="6"/>
        <v>('25Sep240053','070000164377','48611',(select max(to_number(i.premium_rcv_detail_code))+1
from ins_premium_det i),'48611','48611','02', '11000003','00','Request by Mr.Saqib 26-Sep-2024');</v>
      </c>
      <c r="H89" s="37" t="str">
        <f t="shared" si="7"/>
        <v>insert into ins_premium_det (premium_rcv_code,assorted_code, rec_amount,premium_rcv_detail_code,remaining_amt, payrec, mode_code,coinsurance_code,class_cd,it_remarks) values('25Sep240053','070000164377','48611',(select max(to_number(i.premium_rcv_detail_code))+1
from ins_premium_det i),'48611','48611','02', '11000003','00','Request by Mr.Saqib 26-Sep-2024');</v>
      </c>
    </row>
    <row r="90" spans="1:8" ht="105" x14ac:dyDescent="0.25">
      <c r="A90" s="26" t="s">
        <v>734</v>
      </c>
      <c r="B90" s="33" t="s">
        <v>888</v>
      </c>
      <c r="C90" s="21">
        <v>52326</v>
      </c>
      <c r="D90" s="34">
        <f t="shared" si="5"/>
        <v>52326</v>
      </c>
      <c r="E90" s="38" t="s">
        <v>813</v>
      </c>
      <c r="F90" s="35" t="str">
        <f t="shared" si="4"/>
        <v>insert into ins_premium_det (premium_rcv_code,assorted_code, rec_amount,premium_rcv_detail_code,remaining_amt, payrec, mode_code,coinsurance_code,class_cd,it_remarks) values</v>
      </c>
      <c r="G90" s="36" t="str">
        <f t="shared" si="6"/>
        <v>('25Sep240053','070000164684','52326',(select max(to_number(i.premium_rcv_detail_code))+1
from ins_premium_det i),'52326','52326','02', '11000003','00','Request by Mr.Saqib 26-Sep-2024');</v>
      </c>
      <c r="H90" s="37" t="str">
        <f t="shared" si="7"/>
        <v>insert into ins_premium_det (premium_rcv_code,assorted_code, rec_amount,premium_rcv_detail_code,remaining_amt, payrec, mode_code,coinsurance_code,class_cd,it_remarks) values('25Sep240053','070000164684','52326',(select max(to_number(i.premium_rcv_detail_code))+1
from ins_premium_det i),'52326','52326','02', '11000003','00','Request by Mr.Saqib 26-Sep-2024');</v>
      </c>
    </row>
    <row r="91" spans="1:8" ht="105" x14ac:dyDescent="0.25">
      <c r="A91" s="26" t="s">
        <v>735</v>
      </c>
      <c r="B91" s="33" t="s">
        <v>889</v>
      </c>
      <c r="C91" s="21">
        <v>82485</v>
      </c>
      <c r="D91" s="34">
        <f t="shared" si="5"/>
        <v>82485</v>
      </c>
      <c r="E91" s="38" t="s">
        <v>813</v>
      </c>
      <c r="F91" s="35" t="str">
        <f t="shared" si="4"/>
        <v>insert into ins_premium_det (premium_rcv_code,assorted_code, rec_amount,premium_rcv_detail_code,remaining_amt, payrec, mode_code,coinsurance_code,class_cd,it_remarks) values</v>
      </c>
      <c r="G91" s="36" t="str">
        <f t="shared" si="6"/>
        <v>('25Sep240053','070000164679','82485',(select max(to_number(i.premium_rcv_detail_code))+1
from ins_premium_det i),'82485','82485','02', '11000003','00','Request by Mr.Saqib 26-Sep-2024');</v>
      </c>
      <c r="H91" s="37" t="str">
        <f t="shared" si="7"/>
        <v>insert into ins_premium_det (premium_rcv_code,assorted_code, rec_amount,premium_rcv_detail_code,remaining_amt, payrec, mode_code,coinsurance_code,class_cd,it_remarks) values('25Sep240053','070000164679','82485',(select max(to_number(i.premium_rcv_detail_code))+1
from ins_premium_det i),'82485','82485','02', '11000003','00','Request by Mr.Saqib 26-Sep-2024');</v>
      </c>
    </row>
    <row r="92" spans="1:8" ht="105" x14ac:dyDescent="0.25">
      <c r="A92" s="26" t="s">
        <v>736</v>
      </c>
      <c r="B92" s="33" t="s">
        <v>890</v>
      </c>
      <c r="C92" s="21">
        <v>66960</v>
      </c>
      <c r="D92" s="34">
        <f t="shared" si="5"/>
        <v>66960</v>
      </c>
      <c r="E92" s="38" t="s">
        <v>813</v>
      </c>
      <c r="F92" s="35" t="str">
        <f t="shared" si="4"/>
        <v>insert into ins_premium_det (premium_rcv_code,assorted_code, rec_amount,premium_rcv_detail_code,remaining_amt, payrec, mode_code,coinsurance_code,class_cd,it_remarks) values</v>
      </c>
      <c r="G92" s="36" t="str">
        <f t="shared" si="6"/>
        <v>('25Sep240053','070000164680','66960',(select max(to_number(i.premium_rcv_detail_code))+1
from ins_premium_det i),'66960','66960','02', '11000003','00','Request by Mr.Saqib 26-Sep-2024');</v>
      </c>
      <c r="H92" s="37" t="str">
        <f t="shared" si="7"/>
        <v>insert into ins_premium_det (premium_rcv_code,assorted_code, rec_amount,premium_rcv_detail_code,remaining_amt, payrec, mode_code,coinsurance_code,class_cd,it_remarks) values('25Sep240053','070000164680','66960',(select max(to_number(i.premium_rcv_detail_code))+1
from ins_premium_det i),'66960','66960','02', '11000003','00','Request by Mr.Saqib 26-Sep-2024');</v>
      </c>
    </row>
    <row r="93" spans="1:8" ht="105" x14ac:dyDescent="0.25">
      <c r="A93" s="26" t="s">
        <v>737</v>
      </c>
      <c r="B93" s="33" t="s">
        <v>891</v>
      </c>
      <c r="C93" s="21">
        <v>36960</v>
      </c>
      <c r="D93" s="34">
        <f t="shared" si="5"/>
        <v>36960</v>
      </c>
      <c r="E93" s="38" t="s">
        <v>813</v>
      </c>
      <c r="F93" s="35" t="str">
        <f t="shared" si="4"/>
        <v>insert into ins_premium_det (premium_rcv_code,assorted_code, rec_amount,premium_rcv_detail_code,remaining_amt, payrec, mode_code,coinsurance_code,class_cd,it_remarks) values</v>
      </c>
      <c r="G93" s="36" t="str">
        <f t="shared" si="6"/>
        <v>('25Sep240053','070000164670','36960',(select max(to_number(i.premium_rcv_detail_code))+1
from ins_premium_det i),'36960','36960','02', '11000003','00','Request by Mr.Saqib 26-Sep-2024');</v>
      </c>
      <c r="H93" s="37" t="str">
        <f t="shared" si="7"/>
        <v>insert into ins_premium_det (premium_rcv_code,assorted_code, rec_amount,premium_rcv_detail_code,remaining_amt, payrec, mode_code,coinsurance_code,class_cd,it_remarks) values('25Sep240053','070000164670','36960',(select max(to_number(i.premium_rcv_detail_code))+1
from ins_premium_det i),'36960','36960','02', '11000003','00','Request by Mr.Saqib 26-Sep-2024');</v>
      </c>
    </row>
    <row r="94" spans="1:8" ht="105" x14ac:dyDescent="0.25">
      <c r="A94" s="26" t="s">
        <v>738</v>
      </c>
      <c r="B94" s="33" t="s">
        <v>892</v>
      </c>
      <c r="C94" s="21">
        <v>28297</v>
      </c>
      <c r="D94" s="34">
        <f t="shared" si="5"/>
        <v>28297</v>
      </c>
      <c r="E94" s="38" t="s">
        <v>813</v>
      </c>
      <c r="F94" s="35" t="str">
        <f t="shared" si="4"/>
        <v>insert into ins_premium_det (premium_rcv_code,assorted_code, rec_amount,premium_rcv_detail_code,remaining_amt, payrec, mode_code,coinsurance_code,class_cd,it_remarks) values</v>
      </c>
      <c r="G94" s="36" t="str">
        <f t="shared" si="6"/>
        <v>('25Sep240053','070000164677','28297',(select max(to_number(i.premium_rcv_detail_code))+1
from ins_premium_det i),'28297','28297','02', '11000003','00','Request by Mr.Saqib 26-Sep-2024');</v>
      </c>
      <c r="H94" s="37" t="str">
        <f t="shared" si="7"/>
        <v>insert into ins_premium_det (premium_rcv_code,assorted_code, rec_amount,premium_rcv_detail_code,remaining_amt, payrec, mode_code,coinsurance_code,class_cd,it_remarks) values('25Sep240053','070000164677','28297',(select max(to_number(i.premium_rcv_detail_code))+1
from ins_premium_det i),'28297','28297','02', '11000003','00','Request by Mr.Saqib 26-Sep-2024');</v>
      </c>
    </row>
    <row r="95" spans="1:8" ht="105" x14ac:dyDescent="0.25">
      <c r="A95" s="26" t="s">
        <v>739</v>
      </c>
      <c r="B95" s="33" t="s">
        <v>806</v>
      </c>
      <c r="C95" s="21">
        <v>33255</v>
      </c>
      <c r="D95" s="34">
        <f t="shared" si="5"/>
        <v>33255</v>
      </c>
      <c r="E95" s="38" t="s">
        <v>813</v>
      </c>
      <c r="F95" s="35" t="str">
        <f t="shared" si="4"/>
        <v>insert into ins_premium_det (premium_rcv_code,assorted_code, rec_amount,premium_rcv_detail_code,remaining_amt, payrec, mode_code,coinsurance_code,class_cd,it_remarks) values</v>
      </c>
      <c r="G95" s="36" t="str">
        <f t="shared" si="6"/>
        <v>('25Sep240053','070000164638','33255',(select max(to_number(i.premium_rcv_detail_code))+1
from ins_premium_det i),'33255','33255','02', '11000003','00','Request by Mr.Saqib 26-Sep-2024');</v>
      </c>
      <c r="H95" s="37" t="str">
        <f t="shared" si="7"/>
        <v>insert into ins_premium_det (premium_rcv_code,assorted_code, rec_amount,premium_rcv_detail_code,remaining_amt, payrec, mode_code,coinsurance_code,class_cd,it_remarks) values('25Sep240053','070000164638','33255',(select max(to_number(i.premium_rcv_detail_code))+1
from ins_premium_det i),'33255','33255','02', '11000003','00','Request by Mr.Saqib 26-Sep-2024');</v>
      </c>
    </row>
    <row r="96" spans="1:8" ht="105" x14ac:dyDescent="0.25">
      <c r="A96" s="26" t="s">
        <v>740</v>
      </c>
      <c r="B96" s="33" t="s">
        <v>893</v>
      </c>
      <c r="C96" s="21">
        <v>22915</v>
      </c>
      <c r="D96" s="34">
        <f t="shared" si="5"/>
        <v>22915</v>
      </c>
      <c r="E96" s="38" t="s">
        <v>813</v>
      </c>
      <c r="F96" s="35" t="str">
        <f t="shared" si="4"/>
        <v>insert into ins_premium_det (premium_rcv_code,assorted_code, rec_amount,premium_rcv_detail_code,remaining_amt, payrec, mode_code,coinsurance_code,class_cd,it_remarks) values</v>
      </c>
      <c r="G96" s="36" t="str">
        <f t="shared" si="6"/>
        <v>('25Sep240053','070000164719','22915',(select max(to_number(i.premium_rcv_detail_code))+1
from ins_premium_det i),'22915','22915','02', '11000003','00','Request by Mr.Saqib 26-Sep-2024');</v>
      </c>
      <c r="H96" s="37" t="str">
        <f t="shared" si="7"/>
        <v>insert into ins_premium_det (premium_rcv_code,assorted_code, rec_amount,premium_rcv_detail_code,remaining_amt, payrec, mode_code,coinsurance_code,class_cd,it_remarks) values('25Sep240053','070000164719','22915',(select max(to_number(i.premium_rcv_detail_code))+1
from ins_premium_det i),'22915','22915','02', '11000003','00','Request by Mr.Saqib 26-Sep-2024');</v>
      </c>
    </row>
    <row r="97" spans="1:8" ht="105" x14ac:dyDescent="0.25">
      <c r="A97" s="26" t="s">
        <v>741</v>
      </c>
      <c r="B97" s="33" t="s">
        <v>894</v>
      </c>
      <c r="C97" s="21">
        <v>23705</v>
      </c>
      <c r="D97" s="34">
        <f t="shared" si="5"/>
        <v>23705</v>
      </c>
      <c r="E97" s="38" t="s">
        <v>813</v>
      </c>
      <c r="F97" s="35" t="str">
        <f t="shared" si="4"/>
        <v>insert into ins_premium_det (premium_rcv_code,assorted_code, rec_amount,premium_rcv_detail_code,remaining_amt, payrec, mode_code,coinsurance_code,class_cd,it_remarks) values</v>
      </c>
      <c r="G97" s="36" t="str">
        <f t="shared" si="6"/>
        <v>('25Sep240053','070000164727','23705',(select max(to_number(i.premium_rcv_detail_code))+1
from ins_premium_det i),'23705','23705','02', '11000003','00','Request by Mr.Saqib 26-Sep-2024');</v>
      </c>
      <c r="H97" s="37" t="str">
        <f t="shared" si="7"/>
        <v>insert into ins_premium_det (premium_rcv_code,assorted_code, rec_amount,premium_rcv_detail_code,remaining_amt, payrec, mode_code,coinsurance_code,class_cd,it_remarks) values('25Sep240053','070000164727','23705',(select max(to_number(i.premium_rcv_detail_code))+1
from ins_premium_det i),'23705','23705','02', '11000003','00','Request by Mr.Saqib 26-Sep-2024');</v>
      </c>
    </row>
    <row r="98" spans="1:8" ht="105" x14ac:dyDescent="0.25">
      <c r="A98" s="26" t="s">
        <v>742</v>
      </c>
      <c r="B98" s="33" t="s">
        <v>895</v>
      </c>
      <c r="C98" s="21">
        <v>26718</v>
      </c>
      <c r="D98" s="34">
        <f t="shared" si="5"/>
        <v>26718</v>
      </c>
      <c r="E98" s="38" t="s">
        <v>813</v>
      </c>
      <c r="F98" s="35" t="str">
        <f t="shared" si="4"/>
        <v>insert into ins_premium_det (premium_rcv_code,assorted_code, rec_amount,premium_rcv_detail_code,remaining_amt, payrec, mode_code,coinsurance_code,class_cd,it_remarks) values</v>
      </c>
      <c r="G98" s="36" t="str">
        <f t="shared" si="6"/>
        <v>('25Sep240053','070000164728','26718',(select max(to_number(i.premium_rcv_detail_code))+1
from ins_premium_det i),'26718','26718','02', '11000003','00','Request by Mr.Saqib 26-Sep-2024');</v>
      </c>
      <c r="H98" s="37" t="str">
        <f t="shared" si="7"/>
        <v>insert into ins_premium_det (premium_rcv_code,assorted_code, rec_amount,premium_rcv_detail_code,remaining_amt, payrec, mode_code,coinsurance_code,class_cd,it_remarks) values('25Sep240053','070000164728','26718',(select max(to_number(i.premium_rcv_detail_code))+1
from ins_premium_det i),'26718','26718','02', '11000003','00','Request by Mr.Saqib 26-Sep-2024');</v>
      </c>
    </row>
    <row r="99" spans="1:8" ht="105" x14ac:dyDescent="0.25">
      <c r="A99" s="26" t="s">
        <v>743</v>
      </c>
      <c r="B99" s="33" t="s">
        <v>896</v>
      </c>
      <c r="C99" s="21">
        <v>20351</v>
      </c>
      <c r="D99" s="34">
        <f t="shared" si="5"/>
        <v>20351</v>
      </c>
      <c r="E99" s="38" t="s">
        <v>813</v>
      </c>
      <c r="F99" s="35" t="str">
        <f t="shared" si="4"/>
        <v>insert into ins_premium_det (premium_rcv_code,assorted_code, rec_amount,premium_rcv_detail_code,remaining_amt, payrec, mode_code,coinsurance_code,class_cd,it_remarks) values</v>
      </c>
      <c r="G99" s="36" t="str">
        <f t="shared" si="6"/>
        <v>('25Sep240053','070000164726','20351',(select max(to_number(i.premium_rcv_detail_code))+1
from ins_premium_det i),'20351','20351','02', '11000003','00','Request by Mr.Saqib 26-Sep-2024');</v>
      </c>
      <c r="H99" s="37" t="str">
        <f t="shared" si="7"/>
        <v>insert into ins_premium_det (premium_rcv_code,assorted_code, rec_amount,premium_rcv_detail_code,remaining_amt, payrec, mode_code,coinsurance_code,class_cd,it_remarks) values('25Sep240053','070000164726','20351',(select max(to_number(i.premium_rcv_detail_code))+1
from ins_premium_det i),'20351','20351','02', '11000003','00','Request by Mr.Saqib 26-Sep-2024');</v>
      </c>
    </row>
    <row r="100" spans="1:8" ht="105" x14ac:dyDescent="0.25">
      <c r="A100" s="26" t="s">
        <v>744</v>
      </c>
      <c r="B100" s="33" t="s">
        <v>897</v>
      </c>
      <c r="C100" s="21">
        <v>22915</v>
      </c>
      <c r="D100" s="34">
        <f t="shared" si="5"/>
        <v>22915</v>
      </c>
      <c r="E100" s="38" t="s">
        <v>813</v>
      </c>
      <c r="F100" s="35" t="str">
        <f t="shared" si="4"/>
        <v>insert into ins_premium_det (premium_rcv_code,assorted_code, rec_amount,premium_rcv_detail_code,remaining_amt, payrec, mode_code,coinsurance_code,class_cd,it_remarks) values</v>
      </c>
      <c r="G100" s="36" t="str">
        <f t="shared" si="6"/>
        <v>('25Sep240053','070000164723','22915',(select max(to_number(i.premium_rcv_detail_code))+1
from ins_premium_det i),'22915','22915','02', '11000003','00','Request by Mr.Saqib 26-Sep-2024');</v>
      </c>
      <c r="H100" s="37" t="str">
        <f t="shared" si="7"/>
        <v>insert into ins_premium_det (premium_rcv_code,assorted_code, rec_amount,premium_rcv_detail_code,remaining_amt, payrec, mode_code,coinsurance_code,class_cd,it_remarks) values('25Sep240053','070000164723','22915',(select max(to_number(i.premium_rcv_detail_code))+1
from ins_premium_det i),'22915','22915','02', '11000003','00','Request by Mr.Saqib 26-Sep-2024');</v>
      </c>
    </row>
    <row r="101" spans="1:8" ht="105" x14ac:dyDescent="0.25">
      <c r="A101" s="26" t="s">
        <v>745</v>
      </c>
      <c r="B101" s="33" t="s">
        <v>898</v>
      </c>
      <c r="C101" s="21">
        <v>23705</v>
      </c>
      <c r="D101" s="34">
        <f t="shared" si="5"/>
        <v>23705</v>
      </c>
      <c r="E101" s="38" t="s">
        <v>813</v>
      </c>
      <c r="F101" s="35" t="str">
        <f t="shared" si="4"/>
        <v>insert into ins_premium_det (premium_rcv_code,assorted_code, rec_amount,premium_rcv_detail_code,remaining_amt, payrec, mode_code,coinsurance_code,class_cd,it_remarks) values</v>
      </c>
      <c r="G101" s="36" t="str">
        <f t="shared" si="6"/>
        <v>('25Sep240053','070000164725','23705',(select max(to_number(i.premium_rcv_detail_code))+1
from ins_premium_det i),'23705','23705','02', '11000003','00','Request by Mr.Saqib 26-Sep-2024');</v>
      </c>
      <c r="H101" s="37" t="str">
        <f t="shared" si="7"/>
        <v>insert into ins_premium_det (premium_rcv_code,assorted_code, rec_amount,premium_rcv_detail_code,remaining_amt, payrec, mode_code,coinsurance_code,class_cd,it_remarks) values('25Sep240053','070000164725','23705',(select max(to_number(i.premium_rcv_detail_code))+1
from ins_premium_det i),'23705','23705','02', '11000003','00','Request by Mr.Saqib 26-Sep-2024');</v>
      </c>
    </row>
    <row r="102" spans="1:8" ht="105" x14ac:dyDescent="0.25">
      <c r="A102" s="26" t="s">
        <v>746</v>
      </c>
      <c r="B102" s="33" t="s">
        <v>899</v>
      </c>
      <c r="C102" s="21">
        <v>21056</v>
      </c>
      <c r="D102" s="34">
        <f t="shared" si="5"/>
        <v>21056</v>
      </c>
      <c r="E102" s="38" t="s">
        <v>813</v>
      </c>
      <c r="F102" s="35" t="str">
        <f t="shared" si="4"/>
        <v>insert into ins_premium_det (premium_rcv_code,assorted_code, rec_amount,premium_rcv_detail_code,remaining_amt, payrec, mode_code,coinsurance_code,class_cd,it_remarks) values</v>
      </c>
      <c r="G102" s="36" t="str">
        <f t="shared" si="6"/>
        <v>('25Sep240053','070000164720','21056',(select max(to_number(i.premium_rcv_detail_code))+1
from ins_premium_det i),'21056','21056','02', '11000003','00','Request by Mr.Saqib 26-Sep-2024');</v>
      </c>
      <c r="H102" s="37" t="str">
        <f t="shared" si="7"/>
        <v>insert into ins_premium_det (premium_rcv_code,assorted_code, rec_amount,premium_rcv_detail_code,remaining_amt, payrec, mode_code,coinsurance_code,class_cd,it_remarks) values('25Sep240053','070000164720','21056',(select max(to_number(i.premium_rcv_detail_code))+1
from ins_premium_det i),'21056','21056','02', '11000003','00','Request by Mr.Saqib 26-Sep-2024');</v>
      </c>
    </row>
    <row r="103" spans="1:8" ht="105" x14ac:dyDescent="0.25">
      <c r="A103" s="26" t="s">
        <v>747</v>
      </c>
      <c r="B103" s="33" t="s">
        <v>900</v>
      </c>
      <c r="C103" s="21">
        <v>15868</v>
      </c>
      <c r="D103" s="34">
        <f t="shared" si="5"/>
        <v>15868</v>
      </c>
      <c r="E103" s="38" t="s">
        <v>813</v>
      </c>
      <c r="F103" s="35" t="str">
        <f t="shared" si="4"/>
        <v>insert into ins_premium_det (premium_rcv_code,assorted_code, rec_amount,premium_rcv_detail_code,remaining_amt, payrec, mode_code,coinsurance_code,class_cd,it_remarks) values</v>
      </c>
      <c r="G103" s="36" t="str">
        <f t="shared" si="6"/>
        <v>('25Sep240053','070000164718','15868',(select max(to_number(i.premium_rcv_detail_code))+1
from ins_premium_det i),'15868','15868','02', '11000003','00','Request by Mr.Saqib 26-Sep-2024');</v>
      </c>
      <c r="H103" s="37" t="str">
        <f t="shared" si="7"/>
        <v>insert into ins_premium_det (premium_rcv_code,assorted_code, rec_amount,premium_rcv_detail_code,remaining_amt, payrec, mode_code,coinsurance_code,class_cd,it_remarks) values('25Sep240053','070000164718','15868',(select max(to_number(i.premium_rcv_detail_code))+1
from ins_premium_det i),'15868','15868','02', '11000003','00','Request by Mr.Saqib 26-Sep-2024');</v>
      </c>
    </row>
    <row r="104" spans="1:8" ht="105" x14ac:dyDescent="0.25">
      <c r="A104" s="26" t="s">
        <v>748</v>
      </c>
      <c r="B104" s="33" t="s">
        <v>901</v>
      </c>
      <c r="C104" s="21">
        <v>31153</v>
      </c>
      <c r="D104" s="34">
        <f t="shared" si="5"/>
        <v>31153</v>
      </c>
      <c r="E104" s="38" t="s">
        <v>813</v>
      </c>
      <c r="F104" s="35" t="str">
        <f t="shared" si="4"/>
        <v>insert into ins_premium_det (premium_rcv_code,assorted_code, rec_amount,premium_rcv_detail_code,remaining_amt, payrec, mode_code,coinsurance_code,class_cd,it_remarks) values</v>
      </c>
      <c r="G104" s="36" t="str">
        <f t="shared" si="6"/>
        <v>('25Sep240053','070000164721','31153',(select max(to_number(i.premium_rcv_detail_code))+1
from ins_premium_det i),'31153','31153','02', '11000003','00','Request by Mr.Saqib 26-Sep-2024');</v>
      </c>
      <c r="H104" s="37" t="str">
        <f t="shared" si="7"/>
        <v>insert into ins_premium_det (premium_rcv_code,assorted_code, rec_amount,premium_rcv_detail_code,remaining_amt, payrec, mode_code,coinsurance_code,class_cd,it_remarks) values('25Sep240053','070000164721','31153',(select max(to_number(i.premium_rcv_detail_code))+1
from ins_premium_det i),'31153','31153','02', '11000003','00','Request by Mr.Saqib 26-Sep-2024');</v>
      </c>
    </row>
    <row r="105" spans="1:8" ht="105" x14ac:dyDescent="0.25">
      <c r="A105" s="26" t="s">
        <v>749</v>
      </c>
      <c r="B105" s="33" t="s">
        <v>902</v>
      </c>
      <c r="C105" s="21">
        <v>44550</v>
      </c>
      <c r="D105" s="34">
        <f t="shared" si="5"/>
        <v>44550</v>
      </c>
      <c r="E105" s="38" t="s">
        <v>813</v>
      </c>
      <c r="F105" s="35" t="str">
        <f t="shared" si="4"/>
        <v>insert into ins_premium_det (premium_rcv_code,assorted_code, rec_amount,premium_rcv_detail_code,remaining_amt, payrec, mode_code,coinsurance_code,class_cd,it_remarks) values</v>
      </c>
      <c r="G105" s="36" t="str">
        <f t="shared" si="6"/>
        <v>('25Sep240053','070000164923','44550',(select max(to_number(i.premium_rcv_detail_code))+1
from ins_premium_det i),'44550','44550','02', '11000003','00','Request by Mr.Saqib 26-Sep-2024');</v>
      </c>
      <c r="H105" s="37" t="str">
        <f t="shared" si="7"/>
        <v>insert into ins_premium_det (premium_rcv_code,assorted_code, rec_amount,premium_rcv_detail_code,remaining_amt, payrec, mode_code,coinsurance_code,class_cd,it_remarks) values('25Sep240053','070000164923','44550',(select max(to_number(i.premium_rcv_detail_code))+1
from ins_premium_det i),'44550','44550','02', '11000003','00','Request by Mr.Saqib 26-Sep-2024');</v>
      </c>
    </row>
    <row r="106" spans="1:8" ht="105" x14ac:dyDescent="0.25">
      <c r="A106" s="26" t="s">
        <v>750</v>
      </c>
      <c r="B106" s="33" t="s">
        <v>903</v>
      </c>
      <c r="C106" s="21">
        <v>45900</v>
      </c>
      <c r="D106" s="34">
        <f t="shared" si="5"/>
        <v>45900</v>
      </c>
      <c r="E106" s="38" t="s">
        <v>813</v>
      </c>
      <c r="F106" s="35" t="str">
        <f t="shared" si="4"/>
        <v>insert into ins_premium_det (premium_rcv_code,assorted_code, rec_amount,premium_rcv_detail_code,remaining_amt, payrec, mode_code,coinsurance_code,class_cd,it_remarks) values</v>
      </c>
      <c r="G106" s="36" t="str">
        <f t="shared" si="6"/>
        <v>('25Sep240053','070000164920','45900',(select max(to_number(i.premium_rcv_detail_code))+1
from ins_premium_det i),'45900','45900','02', '11000003','00','Request by Mr.Saqib 26-Sep-2024');</v>
      </c>
      <c r="H106" s="37" t="str">
        <f t="shared" si="7"/>
        <v>insert into ins_premium_det (premium_rcv_code,assorted_code, rec_amount,premium_rcv_detail_code,remaining_amt, payrec, mode_code,coinsurance_code,class_cd,it_remarks) values('25Sep240053','070000164920','45900',(select max(to_number(i.premium_rcv_detail_code))+1
from ins_premium_det i),'45900','45900','02', '11000003','00','Request by Mr.Saqib 26-Sep-2024');</v>
      </c>
    </row>
    <row r="107" spans="1:8" ht="105" x14ac:dyDescent="0.25">
      <c r="A107" s="26" t="s">
        <v>751</v>
      </c>
      <c r="B107" s="33" t="s">
        <v>904</v>
      </c>
      <c r="C107" s="21">
        <v>33075</v>
      </c>
      <c r="D107" s="34">
        <f t="shared" si="5"/>
        <v>33075</v>
      </c>
      <c r="E107" s="38" t="s">
        <v>813</v>
      </c>
      <c r="F107" s="35" t="str">
        <f t="shared" si="4"/>
        <v>insert into ins_premium_det (premium_rcv_code,assorted_code, rec_amount,premium_rcv_detail_code,remaining_amt, payrec, mode_code,coinsurance_code,class_cd,it_remarks) values</v>
      </c>
      <c r="G107" s="36" t="str">
        <f t="shared" si="6"/>
        <v>('25Sep240053','070000164921','33075',(select max(to_number(i.premium_rcv_detail_code))+1
from ins_premium_det i),'33075','33075','02', '11000003','00','Request by Mr.Saqib 26-Sep-2024');</v>
      </c>
      <c r="H107" s="37" t="str">
        <f t="shared" si="7"/>
        <v>insert into ins_premium_det (premium_rcv_code,assorted_code, rec_amount,premium_rcv_detail_code,remaining_amt, payrec, mode_code,coinsurance_code,class_cd,it_remarks) values('25Sep240053','070000164921','33075',(select max(to_number(i.premium_rcv_detail_code))+1
from ins_premium_det i),'33075','33075','02', '11000003','00','Request by Mr.Saqib 26-Sep-2024');</v>
      </c>
    </row>
    <row r="108" spans="1:8" ht="105" x14ac:dyDescent="0.25">
      <c r="A108" s="26" t="s">
        <v>752</v>
      </c>
      <c r="B108" s="33" t="s">
        <v>905</v>
      </c>
      <c r="C108" s="21">
        <v>43801</v>
      </c>
      <c r="D108" s="34">
        <f t="shared" si="5"/>
        <v>43801</v>
      </c>
      <c r="E108" s="38" t="s">
        <v>813</v>
      </c>
      <c r="F108" s="35" t="str">
        <f t="shared" si="4"/>
        <v>insert into ins_premium_det (premium_rcv_code,assorted_code, rec_amount,premium_rcv_detail_code,remaining_amt, payrec, mode_code,coinsurance_code,class_cd,it_remarks) values</v>
      </c>
      <c r="G108" s="36" t="str">
        <f t="shared" si="6"/>
        <v>('25Sep240053','070000164925','43801',(select max(to_number(i.premium_rcv_detail_code))+1
from ins_premium_det i),'43801','43801','02', '11000003','00','Request by Mr.Saqib 26-Sep-2024');</v>
      </c>
      <c r="H108" s="37" t="str">
        <f t="shared" si="7"/>
        <v>insert into ins_premium_det (premium_rcv_code,assorted_code, rec_amount,premium_rcv_detail_code,remaining_amt, payrec, mode_code,coinsurance_code,class_cd,it_remarks) values('25Sep240053','070000164925','43801',(select max(to_number(i.premium_rcv_detail_code))+1
from ins_premium_det i),'43801','43801','02', '11000003','00','Request by Mr.Saqib 26-Sep-2024');</v>
      </c>
    </row>
    <row r="109" spans="1:8" ht="105" x14ac:dyDescent="0.25">
      <c r="A109" s="26" t="s">
        <v>753</v>
      </c>
      <c r="B109" s="33" t="s">
        <v>906</v>
      </c>
      <c r="C109" s="21">
        <v>14880</v>
      </c>
      <c r="D109" s="34">
        <f t="shared" si="5"/>
        <v>14880</v>
      </c>
      <c r="E109" s="38" t="s">
        <v>813</v>
      </c>
      <c r="F109" s="35" t="str">
        <f t="shared" si="4"/>
        <v>insert into ins_premium_det (premium_rcv_code,assorted_code, rec_amount,premium_rcv_detail_code,remaining_amt, payrec, mode_code,coinsurance_code,class_cd,it_remarks) values</v>
      </c>
      <c r="G109" s="36" t="str">
        <f t="shared" si="6"/>
        <v>('25Sep240053','070000164927','14880',(select max(to_number(i.premium_rcv_detail_code))+1
from ins_premium_det i),'14880','14880','02', '11000003','00','Request by Mr.Saqib 26-Sep-2024');</v>
      </c>
      <c r="H109" s="37" t="str">
        <f t="shared" si="7"/>
        <v>insert into ins_premium_det (premium_rcv_code,assorted_code, rec_amount,premium_rcv_detail_code,remaining_amt, payrec, mode_code,coinsurance_code,class_cd,it_remarks) values('25Sep240053','070000164927','14880',(select max(to_number(i.premium_rcv_detail_code))+1
from ins_premium_det i),'14880','14880','02', '11000003','00','Request by Mr.Saqib 26-Sep-2024');</v>
      </c>
    </row>
    <row r="110" spans="1:8" ht="105" x14ac:dyDescent="0.25">
      <c r="A110" s="26" t="s">
        <v>754</v>
      </c>
      <c r="B110" s="33" t="s">
        <v>833</v>
      </c>
      <c r="C110" s="21">
        <v>16949</v>
      </c>
      <c r="D110" s="34">
        <f t="shared" si="5"/>
        <v>16949</v>
      </c>
      <c r="E110" s="38" t="s">
        <v>813</v>
      </c>
      <c r="F110" s="35" t="str">
        <f t="shared" si="4"/>
        <v>insert into ins_premium_det (premium_rcv_code,assorted_code, rec_amount,premium_rcv_detail_code,remaining_amt, payrec, mode_code,coinsurance_code,class_cd,it_remarks) values</v>
      </c>
      <c r="G110" s="36" t="str">
        <f t="shared" si="6"/>
        <v>('25Sep240053','070000164715','16949',(select max(to_number(i.premium_rcv_detail_code))+1
from ins_premium_det i),'16949','16949','02', '11000003','00','Request by Mr.Saqib 26-Sep-2024');</v>
      </c>
      <c r="H110" s="37" t="str">
        <f t="shared" si="7"/>
        <v>insert into ins_premium_det (premium_rcv_code,assorted_code, rec_amount,premium_rcv_detail_code,remaining_amt, payrec, mode_code,coinsurance_code,class_cd,it_remarks) values('25Sep240053','070000164715','16949',(select max(to_number(i.premium_rcv_detail_code))+1
from ins_premium_det i),'16949','16949','02', '11000003','00','Request by Mr.Saqib 26-Sep-2024');</v>
      </c>
    </row>
    <row r="111" spans="1:8" ht="105" x14ac:dyDescent="0.25">
      <c r="A111" s="26" t="s">
        <v>755</v>
      </c>
      <c r="B111" s="33" t="s">
        <v>836</v>
      </c>
      <c r="C111" s="21">
        <v>32072</v>
      </c>
      <c r="D111" s="34">
        <f t="shared" si="5"/>
        <v>32072</v>
      </c>
      <c r="E111" s="38" t="s">
        <v>813</v>
      </c>
      <c r="F111" s="35" t="str">
        <f t="shared" si="4"/>
        <v>insert into ins_premium_det (premium_rcv_code,assorted_code, rec_amount,premium_rcv_detail_code,remaining_amt, payrec, mode_code,coinsurance_code,class_cd,it_remarks) values</v>
      </c>
      <c r="G111" s="36" t="str">
        <f t="shared" si="6"/>
        <v>('25Sep240053','070000164712','32072',(select max(to_number(i.premium_rcv_detail_code))+1
from ins_premium_det i),'32072','32072','02', '11000003','00','Request by Mr.Saqib 26-Sep-2024');</v>
      </c>
      <c r="H111" s="37" t="str">
        <f t="shared" si="7"/>
        <v>insert into ins_premium_det (premium_rcv_code,assorted_code, rec_amount,premium_rcv_detail_code,remaining_amt, payrec, mode_code,coinsurance_code,class_cd,it_remarks) values('25Sep240053','070000164712','32072',(select max(to_number(i.premium_rcv_detail_code))+1
from ins_premium_det i),'32072','32072','02', '11000003','00','Request by Mr.Saqib 26-Sep-2024');</v>
      </c>
    </row>
    <row r="112" spans="1:8" ht="105" x14ac:dyDescent="0.25">
      <c r="A112" s="26" t="s">
        <v>785</v>
      </c>
      <c r="B112" s="33" t="s">
        <v>832</v>
      </c>
      <c r="C112" s="21">
        <v>34992</v>
      </c>
      <c r="D112" s="34">
        <f t="shared" si="5"/>
        <v>34992</v>
      </c>
      <c r="E112" s="38" t="s">
        <v>813</v>
      </c>
      <c r="F112" s="35" t="str">
        <f t="shared" si="4"/>
        <v>insert into ins_premium_det (premium_rcv_code,assorted_code, rec_amount,premium_rcv_detail_code,remaining_amt, payrec, mode_code,coinsurance_code,class_cd,it_remarks) values</v>
      </c>
      <c r="G112" s="36" t="str">
        <f t="shared" si="6"/>
        <v>('25Sep240053','070000164693','34992',(select max(to_number(i.premium_rcv_detail_code))+1
from ins_premium_det i),'34992','34992','02', '11000003','00','Request by Mr.Saqib 26-Sep-2024');</v>
      </c>
      <c r="H112" s="37" t="str">
        <f t="shared" si="7"/>
        <v>insert into ins_premium_det (premium_rcv_code,assorted_code, rec_amount,premium_rcv_detail_code,remaining_amt, payrec, mode_code,coinsurance_code,class_cd,it_remarks) values('25Sep240053','070000164693','34992',(select max(to_number(i.premium_rcv_detail_code))+1
from ins_premium_det i),'34992','34992','02', '11000003','00','Request by Mr.Saqib 26-Sep-2024');</v>
      </c>
    </row>
    <row r="113" spans="1:8" ht="105" x14ac:dyDescent="0.25">
      <c r="A113" s="26" t="s">
        <v>784</v>
      </c>
      <c r="B113" s="33" t="s">
        <v>907</v>
      </c>
      <c r="C113" s="21">
        <v>111375</v>
      </c>
      <c r="D113" s="34">
        <f t="shared" si="5"/>
        <v>111375</v>
      </c>
      <c r="E113" s="38" t="s">
        <v>813</v>
      </c>
      <c r="F113" s="35" t="str">
        <f t="shared" si="4"/>
        <v>insert into ins_premium_det (premium_rcv_code,assorted_code, rec_amount,premium_rcv_detail_code,remaining_amt, payrec, mode_code,coinsurance_code,class_cd,it_remarks) values</v>
      </c>
      <c r="G113" s="36" t="str">
        <f t="shared" si="6"/>
        <v>('25Sep240053','070000164750','111375',(select max(to_number(i.premium_rcv_detail_code))+1
from ins_premium_det i),'111375','111375','02', '11000003','00','Request by Mr.Saqib 26-Sep-2024');</v>
      </c>
      <c r="H113" s="37" t="str">
        <f t="shared" si="7"/>
        <v>insert into ins_premium_det (premium_rcv_code,assorted_code, rec_amount,premium_rcv_detail_code,remaining_amt, payrec, mode_code,coinsurance_code,class_cd,it_remarks) values('25Sep240053','070000164750','111375',(select max(to_number(i.premium_rcv_detail_code))+1
from ins_premium_det i),'111375','111375','02', '11000003','00','Request by Mr.Saqib 26-Sep-2024');</v>
      </c>
    </row>
    <row r="114" spans="1:8" ht="105.75" thickBot="1" x14ac:dyDescent="0.3">
      <c r="A114" s="28" t="s">
        <v>783</v>
      </c>
      <c r="B114" s="33" t="s">
        <v>908</v>
      </c>
      <c r="C114" s="24">
        <v>63450</v>
      </c>
      <c r="D114" s="34">
        <f t="shared" si="5"/>
        <v>63450</v>
      </c>
      <c r="E114" s="38" t="s">
        <v>813</v>
      </c>
      <c r="F114" s="35" t="str">
        <f t="shared" si="4"/>
        <v>insert into ins_premium_det (premium_rcv_code,assorted_code, rec_amount,premium_rcv_detail_code,remaining_amt, payrec, mode_code,coinsurance_code,class_cd,it_remarks) values</v>
      </c>
      <c r="G114" s="36" t="str">
        <f>"('"&amp;E114&amp;"','"&amp;B114&amp;"','"&amp;D114&amp;"',(select max(to_number(i.premium_rcv_detail_code))+1
from ins_premium_det i),'"&amp;D114&amp;"','"&amp;D114&amp;"','02', '11000003','00','Request by Mr.Saqib 26-Sep-2024');"</f>
        <v>('25Sep240053','070000164759','63450',(select max(to_number(i.premium_rcv_detail_code))+1
from ins_premium_det i),'63450','63450','02', '11000003','00','Request by Mr.Saqib 26-Sep-2024');</v>
      </c>
      <c r="H114" s="37" t="str">
        <f t="shared" si="7"/>
        <v>insert into ins_premium_det (premium_rcv_code,assorted_code, rec_amount,premium_rcv_detail_code,remaining_amt, payrec, mode_code,coinsurance_code,class_cd,it_remarks) values('25Sep240053','070000164759','63450',(select max(to_number(i.premium_rcv_detail_code))+1
from ins_premium_det i),'63450','63450','02', '11000003','00','Request by Mr.Saqib 26-Sep-2024');</v>
      </c>
    </row>
    <row r="115" spans="1:8" ht="15.75" thickBot="1" x14ac:dyDescent="0.3">
      <c r="B115" s="33" t="s">
        <v>787</v>
      </c>
      <c r="C115" s="32">
        <v>3598836</v>
      </c>
      <c r="D115" s="34" t="s">
        <v>787</v>
      </c>
    </row>
  </sheetData>
  <conditionalFormatting sqref="A1:B1 B2:B11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4F1B-41A4-4D52-BA4C-AB9540AED3EF}">
  <dimension ref="A2:J118"/>
  <sheetViews>
    <sheetView workbookViewId="0">
      <selection activeCell="C13" sqref="C13"/>
    </sheetView>
  </sheetViews>
  <sheetFormatPr defaultRowHeight="15" x14ac:dyDescent="0.25"/>
  <cols>
    <col min="1" max="1" width="42.28515625" bestFit="1" customWidth="1"/>
    <col min="10" max="10" width="47.5703125" bestFit="1" customWidth="1"/>
  </cols>
  <sheetData>
    <row r="2" spans="1:10" x14ac:dyDescent="0.25">
      <c r="A2" s="26" t="s">
        <v>758</v>
      </c>
      <c r="B2" t="s">
        <v>786</v>
      </c>
      <c r="H2">
        <v>96096</v>
      </c>
      <c r="I2" t="s">
        <v>788</v>
      </c>
      <c r="J2" t="str">
        <f>"ia.assorted_string like '%"&amp;H2&amp;"-"&amp;I2&amp;B2&amp;"%' or"</f>
        <v>ia.assorted_string like '%96096-00001-08-2024%' or</v>
      </c>
    </row>
    <row r="3" spans="1:10" x14ac:dyDescent="0.25">
      <c r="A3" s="26" t="s">
        <v>649</v>
      </c>
      <c r="B3" t="s">
        <v>786</v>
      </c>
      <c r="H3">
        <v>96079</v>
      </c>
      <c r="I3" t="s">
        <v>788</v>
      </c>
      <c r="J3" t="str">
        <f t="shared" ref="J3:J66" si="0">"ia.assorted_string like '%"&amp;H3&amp;"-"&amp;I3&amp;B3&amp;"%' or"</f>
        <v>ia.assorted_string like '%96079-00001-08-2024%' or</v>
      </c>
    </row>
    <row r="4" spans="1:10" x14ac:dyDescent="0.25">
      <c r="A4" s="26" t="s">
        <v>650</v>
      </c>
      <c r="B4" t="s">
        <v>786</v>
      </c>
      <c r="H4">
        <v>96079</v>
      </c>
      <c r="I4" t="s">
        <v>789</v>
      </c>
      <c r="J4" t="str">
        <f t="shared" si="0"/>
        <v>ia.assorted_string like '%96079-00004-08-2024%' or</v>
      </c>
    </row>
    <row r="5" spans="1:10" x14ac:dyDescent="0.25">
      <c r="A5" s="26" t="s">
        <v>651</v>
      </c>
      <c r="B5" t="s">
        <v>786</v>
      </c>
      <c r="H5">
        <v>96079</v>
      </c>
      <c r="I5" t="s">
        <v>790</v>
      </c>
      <c r="J5" t="str">
        <f t="shared" si="0"/>
        <v>ia.assorted_string like '%96079-00005-08-2024%' or</v>
      </c>
    </row>
    <row r="6" spans="1:10" x14ac:dyDescent="0.25">
      <c r="A6" s="26" t="s">
        <v>763</v>
      </c>
      <c r="B6" t="s">
        <v>786</v>
      </c>
      <c r="H6">
        <v>96097</v>
      </c>
      <c r="I6" t="s">
        <v>788</v>
      </c>
      <c r="J6" t="str">
        <f t="shared" si="0"/>
        <v>ia.assorted_string like '%96097-00001-08-2024%' or</v>
      </c>
    </row>
    <row r="7" spans="1:10" x14ac:dyDescent="0.25">
      <c r="A7" s="26" t="s">
        <v>652</v>
      </c>
      <c r="B7" t="s">
        <v>786</v>
      </c>
      <c r="H7">
        <v>96079</v>
      </c>
      <c r="I7" t="s">
        <v>791</v>
      </c>
      <c r="J7" t="str">
        <f t="shared" si="0"/>
        <v>ia.assorted_string like '%96079-000011-08-2024%' or</v>
      </c>
    </row>
    <row r="8" spans="1:10" x14ac:dyDescent="0.25">
      <c r="A8" s="26" t="s">
        <v>653</v>
      </c>
      <c r="B8" t="s">
        <v>786</v>
      </c>
      <c r="H8">
        <v>96079</v>
      </c>
      <c r="I8" t="s">
        <v>792</v>
      </c>
      <c r="J8" t="str">
        <f t="shared" si="0"/>
        <v>ia.assorted_string like '%96079-00003-08-2024%' or</v>
      </c>
    </row>
    <row r="9" spans="1:10" x14ac:dyDescent="0.25">
      <c r="A9" s="26" t="s">
        <v>654</v>
      </c>
      <c r="B9" t="s">
        <v>786</v>
      </c>
      <c r="H9">
        <v>96079</v>
      </c>
      <c r="I9" t="s">
        <v>793</v>
      </c>
      <c r="J9" t="str">
        <f t="shared" si="0"/>
        <v>ia.assorted_string like '%96079-000012-08-2024%' or</v>
      </c>
    </row>
    <row r="10" spans="1:10" x14ac:dyDescent="0.25">
      <c r="A10" s="26" t="s">
        <v>655</v>
      </c>
      <c r="B10" t="s">
        <v>786</v>
      </c>
      <c r="H10">
        <v>96079</v>
      </c>
      <c r="I10" t="s">
        <v>794</v>
      </c>
      <c r="J10" t="str">
        <f t="shared" si="0"/>
        <v>ia.assorted_string like '%96079-00006-08-2024%' or</v>
      </c>
    </row>
    <row r="11" spans="1:10" x14ac:dyDescent="0.25">
      <c r="A11" s="26" t="s">
        <v>656</v>
      </c>
      <c r="B11" t="s">
        <v>786</v>
      </c>
      <c r="H11">
        <v>96079</v>
      </c>
      <c r="I11" t="s">
        <v>795</v>
      </c>
      <c r="J11" t="str">
        <f t="shared" si="0"/>
        <v>ia.assorted_string like '%96079-00009-08-2024%' or</v>
      </c>
    </row>
    <row r="12" spans="1:10" x14ac:dyDescent="0.25">
      <c r="A12" s="26" t="s">
        <v>657</v>
      </c>
      <c r="B12" t="s">
        <v>786</v>
      </c>
      <c r="H12">
        <v>96079</v>
      </c>
      <c r="I12" t="s">
        <v>796</v>
      </c>
      <c r="J12" t="str">
        <f t="shared" si="0"/>
        <v>ia.assorted_string like '%96079-000010-08-2024%' or</v>
      </c>
    </row>
    <row r="13" spans="1:10" x14ac:dyDescent="0.25">
      <c r="A13" s="26" t="s">
        <v>658</v>
      </c>
      <c r="B13" t="s">
        <v>786</v>
      </c>
      <c r="H13">
        <v>96079</v>
      </c>
      <c r="I13" t="s">
        <v>797</v>
      </c>
      <c r="J13" t="str">
        <f t="shared" si="0"/>
        <v>ia.assorted_string like '%96079-00007-08-2024%' or</v>
      </c>
    </row>
    <row r="14" spans="1:10" x14ac:dyDescent="0.25">
      <c r="A14" s="26" t="s">
        <v>659</v>
      </c>
      <c r="B14" t="s">
        <v>786</v>
      </c>
      <c r="H14">
        <v>96079</v>
      </c>
      <c r="I14" t="s">
        <v>798</v>
      </c>
      <c r="J14" t="str">
        <f t="shared" si="0"/>
        <v>ia.assorted_string like '%96079-00002-08-2024%' or</v>
      </c>
    </row>
    <row r="15" spans="1:10" x14ac:dyDescent="0.25">
      <c r="A15" s="26" t="s">
        <v>660</v>
      </c>
      <c r="B15" t="s">
        <v>786</v>
      </c>
      <c r="H15">
        <v>96079</v>
      </c>
      <c r="I15" t="s">
        <v>799</v>
      </c>
      <c r="J15" t="str">
        <f t="shared" si="0"/>
        <v>ia.assorted_string like '%96079-00008-08-2024%' or</v>
      </c>
    </row>
    <row r="16" spans="1:10" x14ac:dyDescent="0.25">
      <c r="A16" s="26" t="s">
        <v>661</v>
      </c>
      <c r="B16" t="s">
        <v>786</v>
      </c>
      <c r="H16">
        <v>96078</v>
      </c>
      <c r="I16" t="s">
        <v>789</v>
      </c>
      <c r="J16" t="str">
        <f t="shared" si="0"/>
        <v>ia.assorted_string like '%96078-00004-08-2024%' or</v>
      </c>
    </row>
    <row r="17" spans="1:10" x14ac:dyDescent="0.25">
      <c r="A17" s="26" t="s">
        <v>662</v>
      </c>
      <c r="B17" t="s">
        <v>786</v>
      </c>
      <c r="H17">
        <v>96078</v>
      </c>
      <c r="I17" t="s">
        <v>788</v>
      </c>
      <c r="J17" t="str">
        <f t="shared" si="0"/>
        <v>ia.assorted_string like '%96078-00001-08-2024%' or</v>
      </c>
    </row>
    <row r="18" spans="1:10" x14ac:dyDescent="0.25">
      <c r="A18" s="26" t="s">
        <v>663</v>
      </c>
      <c r="B18" t="s">
        <v>786</v>
      </c>
      <c r="H18">
        <v>96078</v>
      </c>
      <c r="I18" t="s">
        <v>790</v>
      </c>
      <c r="J18" t="str">
        <f t="shared" si="0"/>
        <v>ia.assorted_string like '%96078-00005-08-2024%' or</v>
      </c>
    </row>
    <row r="19" spans="1:10" x14ac:dyDescent="0.25">
      <c r="A19" s="26" t="s">
        <v>664</v>
      </c>
      <c r="B19" t="s">
        <v>786</v>
      </c>
      <c r="H19">
        <v>96078</v>
      </c>
      <c r="I19" t="s">
        <v>798</v>
      </c>
      <c r="J19" t="str">
        <f t="shared" si="0"/>
        <v>ia.assorted_string like '%96078-00002-08-2024%' or</v>
      </c>
    </row>
    <row r="20" spans="1:10" x14ac:dyDescent="0.25">
      <c r="A20" s="26" t="s">
        <v>665</v>
      </c>
      <c r="B20" t="s">
        <v>786</v>
      </c>
      <c r="H20">
        <v>96078</v>
      </c>
      <c r="I20" t="s">
        <v>792</v>
      </c>
      <c r="J20" t="str">
        <f t="shared" si="0"/>
        <v>ia.assorted_string like '%96078-00003-08-2024%' or</v>
      </c>
    </row>
    <row r="21" spans="1:10" x14ac:dyDescent="0.25">
      <c r="A21" s="26" t="s">
        <v>666</v>
      </c>
      <c r="B21" t="s">
        <v>786</v>
      </c>
      <c r="H21">
        <v>96105</v>
      </c>
      <c r="I21" t="s">
        <v>788</v>
      </c>
      <c r="J21" t="str">
        <f t="shared" si="0"/>
        <v>ia.assorted_string like '%96105-00001-08-2024%' or</v>
      </c>
    </row>
    <row r="22" spans="1:10" x14ac:dyDescent="0.25">
      <c r="A22" s="26" t="s">
        <v>667</v>
      </c>
      <c r="B22" t="s">
        <v>786</v>
      </c>
      <c r="H22">
        <v>96106</v>
      </c>
      <c r="I22" t="s">
        <v>788</v>
      </c>
      <c r="J22" t="str">
        <f t="shared" si="0"/>
        <v>ia.assorted_string like '%96106-00001-08-2024%' or</v>
      </c>
    </row>
    <row r="23" spans="1:10" x14ac:dyDescent="0.25">
      <c r="A23" s="26" t="s">
        <v>668</v>
      </c>
      <c r="B23" t="s">
        <v>786</v>
      </c>
      <c r="H23">
        <v>96101</v>
      </c>
      <c r="I23" t="s">
        <v>788</v>
      </c>
      <c r="J23" t="str">
        <f t="shared" si="0"/>
        <v>ia.assorted_string like '%96101-00001-08-2024%' or</v>
      </c>
    </row>
    <row r="24" spans="1:10" x14ac:dyDescent="0.25">
      <c r="A24" s="26" t="s">
        <v>669</v>
      </c>
      <c r="B24" t="s">
        <v>786</v>
      </c>
      <c r="H24">
        <v>96214</v>
      </c>
      <c r="I24" t="s">
        <v>798</v>
      </c>
      <c r="J24" t="str">
        <f t="shared" si="0"/>
        <v>ia.assorted_string like '%96214-00002-08-2024%' or</v>
      </c>
    </row>
    <row r="25" spans="1:10" x14ac:dyDescent="0.25">
      <c r="A25" s="26" t="s">
        <v>670</v>
      </c>
      <c r="B25" t="s">
        <v>786</v>
      </c>
      <c r="H25">
        <v>96214</v>
      </c>
      <c r="I25" t="s">
        <v>788</v>
      </c>
      <c r="J25" t="str">
        <f t="shared" si="0"/>
        <v>ia.assorted_string like '%96214-00001-08-2024%' or</v>
      </c>
    </row>
    <row r="26" spans="1:10" x14ac:dyDescent="0.25">
      <c r="A26" s="26" t="s">
        <v>764</v>
      </c>
      <c r="B26" t="s">
        <v>786</v>
      </c>
      <c r="H26">
        <v>96216</v>
      </c>
      <c r="I26" t="s">
        <v>788</v>
      </c>
      <c r="J26" t="str">
        <f t="shared" si="0"/>
        <v>ia.assorted_string like '%96216-00001-08-2024%' or</v>
      </c>
    </row>
    <row r="27" spans="1:10" x14ac:dyDescent="0.25">
      <c r="A27" s="26" t="s">
        <v>671</v>
      </c>
      <c r="B27" t="s">
        <v>786</v>
      </c>
      <c r="H27">
        <v>96216</v>
      </c>
      <c r="I27" t="s">
        <v>798</v>
      </c>
      <c r="J27" t="str">
        <f t="shared" si="0"/>
        <v>ia.assorted_string like '%96216-00002-08-2024%' or</v>
      </c>
    </row>
    <row r="28" spans="1:10" x14ac:dyDescent="0.25">
      <c r="A28" s="26" t="s">
        <v>672</v>
      </c>
      <c r="B28" t="s">
        <v>786</v>
      </c>
      <c r="H28">
        <v>96215</v>
      </c>
      <c r="I28" t="s">
        <v>798</v>
      </c>
      <c r="J28" t="str">
        <f t="shared" si="0"/>
        <v>ia.assorted_string like '%96215-00002-08-2024%' or</v>
      </c>
    </row>
    <row r="29" spans="1:10" x14ac:dyDescent="0.25">
      <c r="A29" s="26" t="s">
        <v>673</v>
      </c>
      <c r="B29" t="s">
        <v>786</v>
      </c>
      <c r="H29">
        <v>96215</v>
      </c>
      <c r="I29" t="s">
        <v>788</v>
      </c>
      <c r="J29" t="str">
        <f t="shared" si="0"/>
        <v>ia.assorted_string like '%96215-00001-08-2024%' or</v>
      </c>
    </row>
    <row r="30" spans="1:10" x14ac:dyDescent="0.25">
      <c r="A30" s="26" t="s">
        <v>674</v>
      </c>
      <c r="B30" t="s">
        <v>786</v>
      </c>
      <c r="H30">
        <v>96132</v>
      </c>
      <c r="I30" t="s">
        <v>788</v>
      </c>
      <c r="J30" t="str">
        <f t="shared" si="0"/>
        <v>ia.assorted_string like '%96132-00001-08-2024%' or</v>
      </c>
    </row>
    <row r="31" spans="1:10" x14ac:dyDescent="0.25">
      <c r="A31" s="26" t="s">
        <v>675</v>
      </c>
      <c r="B31" t="s">
        <v>786</v>
      </c>
      <c r="H31">
        <v>96134</v>
      </c>
      <c r="I31" t="s">
        <v>788</v>
      </c>
      <c r="J31" t="str">
        <f t="shared" si="0"/>
        <v>ia.assorted_string like '%96134-00001-08-2024%' or</v>
      </c>
    </row>
    <row r="32" spans="1:10" x14ac:dyDescent="0.25">
      <c r="A32" s="26" t="s">
        <v>676</v>
      </c>
      <c r="B32" t="s">
        <v>786</v>
      </c>
      <c r="H32">
        <v>96133</v>
      </c>
      <c r="I32" t="s">
        <v>788</v>
      </c>
      <c r="J32" t="str">
        <f t="shared" si="0"/>
        <v>ia.assorted_string like '%96133-00001-08-2024%' or</v>
      </c>
    </row>
    <row r="33" spans="1:10" x14ac:dyDescent="0.25">
      <c r="A33" s="26" t="s">
        <v>677</v>
      </c>
      <c r="B33" t="s">
        <v>786</v>
      </c>
      <c r="H33">
        <v>96135</v>
      </c>
      <c r="I33" t="s">
        <v>788</v>
      </c>
      <c r="J33" t="str">
        <f t="shared" si="0"/>
        <v>ia.assorted_string like '%96135-00001-08-2024%' or</v>
      </c>
    </row>
    <row r="34" spans="1:10" x14ac:dyDescent="0.25">
      <c r="A34" s="26" t="s">
        <v>678</v>
      </c>
      <c r="B34" t="s">
        <v>786</v>
      </c>
      <c r="H34">
        <v>96337</v>
      </c>
      <c r="I34" t="s">
        <v>792</v>
      </c>
      <c r="J34" t="str">
        <f t="shared" si="0"/>
        <v>ia.assorted_string like '%96337-00003-08-2024%' or</v>
      </c>
    </row>
    <row r="35" spans="1:10" x14ac:dyDescent="0.25">
      <c r="A35" s="26" t="s">
        <v>679</v>
      </c>
      <c r="B35" t="s">
        <v>786</v>
      </c>
      <c r="H35">
        <v>96212</v>
      </c>
      <c r="I35" t="s">
        <v>788</v>
      </c>
      <c r="J35" t="str">
        <f t="shared" si="0"/>
        <v>ia.assorted_string like '%96212-00001-08-2024%' or</v>
      </c>
    </row>
    <row r="36" spans="1:10" x14ac:dyDescent="0.25">
      <c r="A36" s="26" t="s">
        <v>680</v>
      </c>
      <c r="B36" t="s">
        <v>786</v>
      </c>
      <c r="H36">
        <v>96210</v>
      </c>
      <c r="I36" t="s">
        <v>788</v>
      </c>
      <c r="J36" t="str">
        <f t="shared" si="0"/>
        <v>ia.assorted_string like '%96210-00001-08-2024%' or</v>
      </c>
    </row>
    <row r="37" spans="1:10" x14ac:dyDescent="0.25">
      <c r="A37" s="26" t="s">
        <v>681</v>
      </c>
      <c r="B37" t="s">
        <v>786</v>
      </c>
      <c r="H37">
        <v>96209</v>
      </c>
      <c r="I37" t="s">
        <v>798</v>
      </c>
      <c r="J37" t="str">
        <f t="shared" si="0"/>
        <v>ia.assorted_string like '%96209-00002-08-2024%' or</v>
      </c>
    </row>
    <row r="38" spans="1:10" x14ac:dyDescent="0.25">
      <c r="A38" s="26" t="s">
        <v>682</v>
      </c>
      <c r="B38" t="s">
        <v>786</v>
      </c>
      <c r="H38">
        <v>96209</v>
      </c>
      <c r="I38" t="s">
        <v>788</v>
      </c>
      <c r="J38" t="str">
        <f t="shared" si="0"/>
        <v>ia.assorted_string like '%96209-00001-08-2024%' or</v>
      </c>
    </row>
    <row r="39" spans="1:10" x14ac:dyDescent="0.25">
      <c r="A39" s="26" t="s">
        <v>683</v>
      </c>
      <c r="B39" t="s">
        <v>786</v>
      </c>
      <c r="H39">
        <v>96211</v>
      </c>
      <c r="I39" t="s">
        <v>788</v>
      </c>
      <c r="J39" t="str">
        <f t="shared" si="0"/>
        <v>ia.assorted_string like '%96211-00001-08-2024%' or</v>
      </c>
    </row>
    <row r="40" spans="1:10" x14ac:dyDescent="0.25">
      <c r="A40" s="26" t="s">
        <v>684</v>
      </c>
      <c r="B40" t="s">
        <v>786</v>
      </c>
      <c r="H40">
        <v>96208</v>
      </c>
      <c r="I40" t="s">
        <v>788</v>
      </c>
      <c r="J40" t="str">
        <f t="shared" si="0"/>
        <v>ia.assorted_string like '%96208-00001-08-2024%' or</v>
      </c>
    </row>
    <row r="41" spans="1:10" x14ac:dyDescent="0.25">
      <c r="A41" s="26" t="s">
        <v>685</v>
      </c>
      <c r="B41" t="s">
        <v>786</v>
      </c>
      <c r="H41">
        <v>96208</v>
      </c>
      <c r="I41" t="s">
        <v>798</v>
      </c>
      <c r="J41" t="str">
        <f t="shared" si="0"/>
        <v>ia.assorted_string like '%96208-00002-08-2024%' or</v>
      </c>
    </row>
    <row r="42" spans="1:10" x14ac:dyDescent="0.25">
      <c r="A42" s="26" t="s">
        <v>686</v>
      </c>
      <c r="B42" t="s">
        <v>786</v>
      </c>
      <c r="H42">
        <v>95806</v>
      </c>
      <c r="I42" t="s">
        <v>788</v>
      </c>
      <c r="J42" t="str">
        <f t="shared" si="0"/>
        <v>ia.assorted_string like '%95806-00001-08-2024%' or</v>
      </c>
    </row>
    <row r="43" spans="1:10" x14ac:dyDescent="0.25">
      <c r="A43" s="26" t="s">
        <v>687</v>
      </c>
      <c r="B43" t="s">
        <v>786</v>
      </c>
      <c r="H43">
        <v>95806</v>
      </c>
      <c r="I43" t="s">
        <v>798</v>
      </c>
      <c r="J43" t="str">
        <f t="shared" si="0"/>
        <v>ia.assorted_string like '%95806-00002-08-2024%' or</v>
      </c>
    </row>
    <row r="44" spans="1:10" x14ac:dyDescent="0.25">
      <c r="A44" s="26" t="s">
        <v>688</v>
      </c>
      <c r="B44" t="s">
        <v>786</v>
      </c>
      <c r="H44">
        <v>95808</v>
      </c>
      <c r="I44" t="s">
        <v>798</v>
      </c>
      <c r="J44" t="str">
        <f t="shared" si="0"/>
        <v>ia.assorted_string like '%95808-00002-08-2024%' or</v>
      </c>
    </row>
    <row r="45" spans="1:10" x14ac:dyDescent="0.25">
      <c r="A45" s="26" t="s">
        <v>689</v>
      </c>
      <c r="B45" t="s">
        <v>786</v>
      </c>
      <c r="H45">
        <v>95808</v>
      </c>
      <c r="I45" t="s">
        <v>792</v>
      </c>
      <c r="J45" t="str">
        <f t="shared" si="0"/>
        <v>ia.assorted_string like '%95808-00003-08-2024%' or</v>
      </c>
    </row>
    <row r="46" spans="1:10" x14ac:dyDescent="0.25">
      <c r="A46" s="26" t="s">
        <v>690</v>
      </c>
      <c r="B46" t="s">
        <v>786</v>
      </c>
      <c r="H46">
        <v>95806</v>
      </c>
      <c r="I46" t="s">
        <v>792</v>
      </c>
      <c r="J46" t="str">
        <f t="shared" si="0"/>
        <v>ia.assorted_string like '%95806-00003-08-2024%' or</v>
      </c>
    </row>
    <row r="47" spans="1:10" x14ac:dyDescent="0.25">
      <c r="A47" s="26" t="s">
        <v>691</v>
      </c>
      <c r="B47" t="s">
        <v>786</v>
      </c>
      <c r="H47">
        <v>95808</v>
      </c>
      <c r="I47" t="s">
        <v>788</v>
      </c>
      <c r="J47" t="str">
        <f t="shared" si="0"/>
        <v>ia.assorted_string like '%95808-00001-08-2024%' or</v>
      </c>
    </row>
    <row r="48" spans="1:10" x14ac:dyDescent="0.25">
      <c r="A48" s="26" t="s">
        <v>692</v>
      </c>
      <c r="B48" t="s">
        <v>786</v>
      </c>
      <c r="H48">
        <v>96142</v>
      </c>
      <c r="I48" t="s">
        <v>792</v>
      </c>
      <c r="J48" t="str">
        <f t="shared" si="0"/>
        <v>ia.assorted_string like '%96142-00003-08-2024%' or</v>
      </c>
    </row>
    <row r="49" spans="1:10" x14ac:dyDescent="0.25">
      <c r="A49" s="26" t="s">
        <v>693</v>
      </c>
      <c r="B49" t="s">
        <v>786</v>
      </c>
      <c r="H49">
        <v>96148</v>
      </c>
      <c r="I49" t="s">
        <v>792</v>
      </c>
      <c r="J49" t="str">
        <f t="shared" si="0"/>
        <v>ia.assorted_string like '%96148-00003-08-2024%' or</v>
      </c>
    </row>
    <row r="50" spans="1:10" x14ac:dyDescent="0.25">
      <c r="A50" s="26" t="s">
        <v>694</v>
      </c>
      <c r="B50" t="s">
        <v>786</v>
      </c>
      <c r="H50">
        <v>96148</v>
      </c>
      <c r="I50" t="s">
        <v>798</v>
      </c>
      <c r="J50" t="str">
        <f t="shared" si="0"/>
        <v>ia.assorted_string like '%96148-00002-08-2024%' or</v>
      </c>
    </row>
    <row r="51" spans="1:10" x14ac:dyDescent="0.25">
      <c r="A51" s="26" t="s">
        <v>695</v>
      </c>
      <c r="B51" t="s">
        <v>786</v>
      </c>
      <c r="H51">
        <v>96148</v>
      </c>
      <c r="I51" t="s">
        <v>788</v>
      </c>
      <c r="J51" t="str">
        <f t="shared" si="0"/>
        <v>ia.assorted_string like '%96148-00001-08-2024%' or</v>
      </c>
    </row>
    <row r="52" spans="1:10" x14ac:dyDescent="0.25">
      <c r="A52" s="26" t="s">
        <v>696</v>
      </c>
      <c r="B52" t="s">
        <v>786</v>
      </c>
      <c r="H52">
        <v>96148</v>
      </c>
      <c r="I52" t="s">
        <v>794</v>
      </c>
      <c r="J52" t="str">
        <f t="shared" si="0"/>
        <v>ia.assorted_string like '%96148-00006-08-2024%' or</v>
      </c>
    </row>
    <row r="53" spans="1:10" x14ac:dyDescent="0.25">
      <c r="A53" s="26" t="s">
        <v>697</v>
      </c>
      <c r="B53" t="s">
        <v>786</v>
      </c>
      <c r="H53">
        <v>96142</v>
      </c>
      <c r="I53" t="s">
        <v>788</v>
      </c>
      <c r="J53" t="str">
        <f t="shared" si="0"/>
        <v>ia.assorted_string like '%96142-00001-08-2024%' or</v>
      </c>
    </row>
    <row r="54" spans="1:10" x14ac:dyDescent="0.25">
      <c r="A54" s="26" t="s">
        <v>698</v>
      </c>
      <c r="B54" t="s">
        <v>786</v>
      </c>
      <c r="H54">
        <v>96148</v>
      </c>
      <c r="I54" t="s">
        <v>790</v>
      </c>
      <c r="J54" t="str">
        <f t="shared" si="0"/>
        <v>ia.assorted_string like '%96148-00005-08-2024%' or</v>
      </c>
    </row>
    <row r="55" spans="1:10" x14ac:dyDescent="0.25">
      <c r="A55" s="26" t="s">
        <v>699</v>
      </c>
      <c r="B55" t="s">
        <v>786</v>
      </c>
      <c r="H55">
        <v>96148</v>
      </c>
      <c r="I55" t="s">
        <v>789</v>
      </c>
      <c r="J55" t="str">
        <f t="shared" si="0"/>
        <v>ia.assorted_string like '%96148-00004-08-2024%' or</v>
      </c>
    </row>
    <row r="56" spans="1:10" x14ac:dyDescent="0.25">
      <c r="A56" s="26" t="s">
        <v>700</v>
      </c>
      <c r="B56" t="s">
        <v>786</v>
      </c>
      <c r="H56">
        <v>96141</v>
      </c>
      <c r="I56" t="s">
        <v>798</v>
      </c>
      <c r="J56" t="str">
        <f t="shared" si="0"/>
        <v>ia.assorted_string like '%96141-00002-08-2024%' or</v>
      </c>
    </row>
    <row r="57" spans="1:10" x14ac:dyDescent="0.25">
      <c r="A57" s="26" t="s">
        <v>701</v>
      </c>
      <c r="B57" t="s">
        <v>786</v>
      </c>
      <c r="H57">
        <v>96141</v>
      </c>
      <c r="I57" t="s">
        <v>788</v>
      </c>
      <c r="J57" t="str">
        <f t="shared" si="0"/>
        <v>ia.assorted_string like '%96141-00001-08-2024%' or</v>
      </c>
    </row>
    <row r="58" spans="1:10" x14ac:dyDescent="0.25">
      <c r="A58" s="26" t="s">
        <v>702</v>
      </c>
      <c r="B58" t="s">
        <v>786</v>
      </c>
      <c r="H58">
        <v>96143</v>
      </c>
      <c r="I58" t="s">
        <v>788</v>
      </c>
      <c r="J58" t="str">
        <f t="shared" si="0"/>
        <v>ia.assorted_string like '%96143-00001-08-2024%' or</v>
      </c>
    </row>
    <row r="59" spans="1:10" x14ac:dyDescent="0.25">
      <c r="A59" s="26" t="s">
        <v>703</v>
      </c>
      <c r="B59" t="s">
        <v>786</v>
      </c>
      <c r="H59">
        <v>96147</v>
      </c>
      <c r="I59" t="s">
        <v>788</v>
      </c>
      <c r="J59" t="str">
        <f t="shared" si="0"/>
        <v>ia.assorted_string like '%96147-00001-08-2024%' or</v>
      </c>
    </row>
    <row r="60" spans="1:10" x14ac:dyDescent="0.25">
      <c r="A60" s="26" t="s">
        <v>704</v>
      </c>
      <c r="B60" t="s">
        <v>786</v>
      </c>
      <c r="H60">
        <v>96142</v>
      </c>
      <c r="I60" t="s">
        <v>798</v>
      </c>
      <c r="J60" t="str">
        <f t="shared" si="0"/>
        <v>ia.assorted_string like '%96142-00002-08-2024%' or</v>
      </c>
    </row>
    <row r="61" spans="1:10" x14ac:dyDescent="0.25">
      <c r="A61" s="26" t="s">
        <v>705</v>
      </c>
      <c r="B61" t="s">
        <v>786</v>
      </c>
      <c r="H61">
        <v>96170</v>
      </c>
      <c r="I61" t="s">
        <v>794</v>
      </c>
      <c r="J61" t="str">
        <f t="shared" si="0"/>
        <v>ia.assorted_string like '%96170-00006-08-2024%' or</v>
      </c>
    </row>
    <row r="62" spans="1:10" x14ac:dyDescent="0.25">
      <c r="A62" s="26" t="s">
        <v>706</v>
      </c>
      <c r="B62" t="s">
        <v>786</v>
      </c>
      <c r="H62">
        <v>96170</v>
      </c>
      <c r="I62" t="s">
        <v>790</v>
      </c>
      <c r="J62" t="str">
        <f t="shared" si="0"/>
        <v>ia.assorted_string like '%96170-00005-08-2024%' or</v>
      </c>
    </row>
    <row r="63" spans="1:10" x14ac:dyDescent="0.25">
      <c r="A63" s="26" t="s">
        <v>707</v>
      </c>
      <c r="B63" t="s">
        <v>786</v>
      </c>
      <c r="H63">
        <v>96170</v>
      </c>
      <c r="I63" t="s">
        <v>797</v>
      </c>
      <c r="J63" t="str">
        <f t="shared" si="0"/>
        <v>ia.assorted_string like '%96170-00007-08-2024%' or</v>
      </c>
    </row>
    <row r="64" spans="1:10" x14ac:dyDescent="0.25">
      <c r="A64" s="26" t="s">
        <v>708</v>
      </c>
      <c r="B64" t="s">
        <v>786</v>
      </c>
      <c r="H64">
        <v>96170</v>
      </c>
      <c r="I64" t="s">
        <v>792</v>
      </c>
      <c r="J64" t="str">
        <f t="shared" si="0"/>
        <v>ia.assorted_string like '%96170-00003-08-2024%' or</v>
      </c>
    </row>
    <row r="65" spans="1:10" x14ac:dyDescent="0.25">
      <c r="A65" s="26" t="s">
        <v>709</v>
      </c>
      <c r="B65" t="s">
        <v>786</v>
      </c>
      <c r="H65">
        <v>96170</v>
      </c>
      <c r="I65" t="s">
        <v>799</v>
      </c>
      <c r="J65" t="str">
        <f t="shared" si="0"/>
        <v>ia.assorted_string like '%96170-00008-08-2024%' or</v>
      </c>
    </row>
    <row r="66" spans="1:10" x14ac:dyDescent="0.25">
      <c r="A66" s="26" t="s">
        <v>710</v>
      </c>
      <c r="B66" t="s">
        <v>786</v>
      </c>
      <c r="H66">
        <v>96170</v>
      </c>
      <c r="I66" t="s">
        <v>798</v>
      </c>
      <c r="J66" t="str">
        <f t="shared" si="0"/>
        <v>ia.assorted_string like '%96170-00002-08-2024%' or</v>
      </c>
    </row>
    <row r="67" spans="1:10" x14ac:dyDescent="0.25">
      <c r="A67" s="26" t="s">
        <v>711</v>
      </c>
      <c r="B67" t="s">
        <v>786</v>
      </c>
      <c r="H67">
        <v>96170</v>
      </c>
      <c r="I67" t="s">
        <v>788</v>
      </c>
      <c r="J67" t="str">
        <f t="shared" ref="J67:J115" si="1">"ia.assorted_string like '%"&amp;H67&amp;"-"&amp;I67&amp;B67&amp;"%' or"</f>
        <v>ia.assorted_string like '%96170-00001-08-2024%' or</v>
      </c>
    </row>
    <row r="68" spans="1:10" x14ac:dyDescent="0.25">
      <c r="A68" s="26" t="s">
        <v>765</v>
      </c>
      <c r="B68" t="s">
        <v>786</v>
      </c>
      <c r="H68">
        <v>96170</v>
      </c>
      <c r="I68" t="s">
        <v>789</v>
      </c>
      <c r="J68" t="str">
        <f t="shared" si="1"/>
        <v>ia.assorted_string like '%96170-00004-08-2024%' or</v>
      </c>
    </row>
    <row r="69" spans="1:10" x14ac:dyDescent="0.25">
      <c r="A69" s="26" t="s">
        <v>712</v>
      </c>
      <c r="B69" t="s">
        <v>786</v>
      </c>
      <c r="H69">
        <v>96169</v>
      </c>
      <c r="I69" t="s">
        <v>790</v>
      </c>
      <c r="J69" t="str">
        <f t="shared" si="1"/>
        <v>ia.assorted_string like '%96169-00005-08-2024%' or</v>
      </c>
    </row>
    <row r="70" spans="1:10" x14ac:dyDescent="0.25">
      <c r="A70" s="26" t="s">
        <v>713</v>
      </c>
      <c r="B70" t="s">
        <v>786</v>
      </c>
      <c r="H70">
        <v>96169</v>
      </c>
      <c r="I70" t="s">
        <v>797</v>
      </c>
      <c r="J70" t="str">
        <f t="shared" si="1"/>
        <v>ia.assorted_string like '%96169-00007-08-2024%' or</v>
      </c>
    </row>
    <row r="71" spans="1:10" x14ac:dyDescent="0.25">
      <c r="A71" s="26" t="s">
        <v>714</v>
      </c>
      <c r="B71" t="s">
        <v>786</v>
      </c>
      <c r="H71">
        <v>96169</v>
      </c>
      <c r="I71" t="s">
        <v>792</v>
      </c>
      <c r="J71" t="str">
        <f t="shared" si="1"/>
        <v>ia.assorted_string like '%96169-00003-08-2024%' or</v>
      </c>
    </row>
    <row r="72" spans="1:10" x14ac:dyDescent="0.25">
      <c r="A72" s="26" t="s">
        <v>715</v>
      </c>
      <c r="B72" t="s">
        <v>786</v>
      </c>
      <c r="H72">
        <v>96169</v>
      </c>
      <c r="I72" t="s">
        <v>798</v>
      </c>
      <c r="J72" t="str">
        <f t="shared" si="1"/>
        <v>ia.assorted_string like '%96169-00002-08-2024%' or</v>
      </c>
    </row>
    <row r="73" spans="1:10" x14ac:dyDescent="0.25">
      <c r="A73" s="26" t="s">
        <v>716</v>
      </c>
      <c r="B73" t="s">
        <v>786</v>
      </c>
      <c r="H73">
        <v>96169</v>
      </c>
      <c r="I73" t="s">
        <v>794</v>
      </c>
      <c r="J73" t="str">
        <f t="shared" si="1"/>
        <v>ia.assorted_string like '%96169-00006-08-2024%' or</v>
      </c>
    </row>
    <row r="74" spans="1:10" x14ac:dyDescent="0.25">
      <c r="A74" s="26" t="s">
        <v>717</v>
      </c>
      <c r="B74" t="s">
        <v>786</v>
      </c>
      <c r="H74">
        <v>96169</v>
      </c>
      <c r="I74" t="s">
        <v>788</v>
      </c>
      <c r="J74" t="str">
        <f t="shared" si="1"/>
        <v>ia.assorted_string like '%96169-00001-08-2024%' or</v>
      </c>
    </row>
    <row r="75" spans="1:10" x14ac:dyDescent="0.25">
      <c r="A75" s="26" t="s">
        <v>718</v>
      </c>
      <c r="B75" t="s">
        <v>786</v>
      </c>
      <c r="H75">
        <v>96169</v>
      </c>
      <c r="I75" t="s">
        <v>789</v>
      </c>
      <c r="J75" t="str">
        <f t="shared" si="1"/>
        <v>ia.assorted_string like '%96169-00004-08-2024%' or</v>
      </c>
    </row>
    <row r="76" spans="1:10" x14ac:dyDescent="0.25">
      <c r="A76" s="26" t="s">
        <v>719</v>
      </c>
      <c r="B76" t="s">
        <v>786</v>
      </c>
      <c r="H76">
        <v>96224</v>
      </c>
      <c r="I76" t="s">
        <v>788</v>
      </c>
      <c r="J76" t="str">
        <f t="shared" si="1"/>
        <v>ia.assorted_string like '%96224-00001-08-2024%' or</v>
      </c>
    </row>
    <row r="77" spans="1:10" x14ac:dyDescent="0.25">
      <c r="A77" s="26" t="s">
        <v>720</v>
      </c>
      <c r="B77" t="s">
        <v>786</v>
      </c>
      <c r="H77">
        <v>96221</v>
      </c>
      <c r="I77" t="s">
        <v>798</v>
      </c>
      <c r="J77" t="str">
        <f t="shared" si="1"/>
        <v>ia.assorted_string like '%96221-00002-08-2024%' or</v>
      </c>
    </row>
    <row r="78" spans="1:10" x14ac:dyDescent="0.25">
      <c r="A78" s="26" t="s">
        <v>721</v>
      </c>
      <c r="B78" t="s">
        <v>786</v>
      </c>
      <c r="H78">
        <v>96221</v>
      </c>
      <c r="I78" t="s">
        <v>792</v>
      </c>
      <c r="J78" t="str">
        <f t="shared" si="1"/>
        <v>ia.assorted_string like '%96221-00003-08-2024%' or</v>
      </c>
    </row>
    <row r="79" spans="1:10" x14ac:dyDescent="0.25">
      <c r="A79" s="26" t="s">
        <v>722</v>
      </c>
      <c r="B79" t="s">
        <v>786</v>
      </c>
      <c r="H79">
        <v>96221</v>
      </c>
      <c r="I79" t="s">
        <v>788</v>
      </c>
      <c r="J79" t="str">
        <f t="shared" si="1"/>
        <v>ia.assorted_string like '%96221-00001-08-2024%' or</v>
      </c>
    </row>
    <row r="80" spans="1:10" x14ac:dyDescent="0.25">
      <c r="A80" s="26" t="s">
        <v>723</v>
      </c>
      <c r="B80" t="s">
        <v>786</v>
      </c>
      <c r="H80">
        <v>96090</v>
      </c>
      <c r="I80" t="s">
        <v>788</v>
      </c>
      <c r="J80" t="str">
        <f t="shared" si="1"/>
        <v>ia.assorted_string like '%96090-00001-08-2024%' or</v>
      </c>
    </row>
    <row r="81" spans="1:10" x14ac:dyDescent="0.25">
      <c r="A81" s="26" t="s">
        <v>724</v>
      </c>
      <c r="B81" t="s">
        <v>786</v>
      </c>
      <c r="H81">
        <v>96090</v>
      </c>
      <c r="I81" t="s">
        <v>798</v>
      </c>
      <c r="J81" t="str">
        <f t="shared" si="1"/>
        <v>ia.assorted_string like '%96090-00002-08-2024%' or</v>
      </c>
    </row>
    <row r="82" spans="1:10" x14ac:dyDescent="0.25">
      <c r="A82" s="26" t="s">
        <v>725</v>
      </c>
      <c r="B82" t="s">
        <v>786</v>
      </c>
      <c r="H82">
        <v>96090</v>
      </c>
      <c r="I82" t="s">
        <v>792</v>
      </c>
      <c r="J82" t="str">
        <f t="shared" si="1"/>
        <v>ia.assorted_string like '%96090-00003-08-2024%' or</v>
      </c>
    </row>
    <row r="83" spans="1:10" x14ac:dyDescent="0.25">
      <c r="A83" s="26" t="s">
        <v>726</v>
      </c>
      <c r="B83" t="s">
        <v>786</v>
      </c>
      <c r="H83">
        <v>95806</v>
      </c>
      <c r="I83" t="s">
        <v>789</v>
      </c>
      <c r="J83" t="str">
        <f t="shared" si="1"/>
        <v>ia.assorted_string like '%95806-00004-08-2024%' or</v>
      </c>
    </row>
    <row r="84" spans="1:10" x14ac:dyDescent="0.25">
      <c r="A84" s="26" t="s">
        <v>727</v>
      </c>
      <c r="B84" t="s">
        <v>786</v>
      </c>
      <c r="H84">
        <v>95799</v>
      </c>
      <c r="I84" t="s">
        <v>788</v>
      </c>
      <c r="J84" t="str">
        <f t="shared" si="1"/>
        <v>ia.assorted_string like '%95799-00001-08-2024%' or</v>
      </c>
    </row>
    <row r="85" spans="1:10" x14ac:dyDescent="0.25">
      <c r="A85" s="26" t="s">
        <v>728</v>
      </c>
      <c r="B85" t="s">
        <v>786</v>
      </c>
      <c r="H85">
        <v>95799</v>
      </c>
      <c r="I85" t="s">
        <v>798</v>
      </c>
      <c r="J85" t="str">
        <f t="shared" si="1"/>
        <v>ia.assorted_string like '%95799-00002-08-2024%' or</v>
      </c>
    </row>
    <row r="86" spans="1:10" x14ac:dyDescent="0.25">
      <c r="A86" s="26" t="s">
        <v>729</v>
      </c>
      <c r="B86" t="s">
        <v>786</v>
      </c>
      <c r="H86">
        <v>95809</v>
      </c>
      <c r="I86" t="s">
        <v>792</v>
      </c>
      <c r="J86" t="str">
        <f t="shared" si="1"/>
        <v>ia.assorted_string like '%95809-00003-08-2024%' or</v>
      </c>
    </row>
    <row r="87" spans="1:10" x14ac:dyDescent="0.25">
      <c r="A87" s="26" t="s">
        <v>730</v>
      </c>
      <c r="B87" t="s">
        <v>786</v>
      </c>
      <c r="H87">
        <v>95809</v>
      </c>
      <c r="I87" t="s">
        <v>798</v>
      </c>
      <c r="J87" t="str">
        <f t="shared" si="1"/>
        <v>ia.assorted_string like '%95809-00002-08-2024%' or</v>
      </c>
    </row>
    <row r="88" spans="1:10" x14ac:dyDescent="0.25">
      <c r="A88" s="26" t="s">
        <v>731</v>
      </c>
      <c r="B88" t="s">
        <v>786</v>
      </c>
      <c r="H88">
        <v>95809</v>
      </c>
      <c r="I88" t="s">
        <v>788</v>
      </c>
      <c r="J88" t="str">
        <f t="shared" si="1"/>
        <v>ia.assorted_string like '%95809-00001-08-2024%' or</v>
      </c>
    </row>
    <row r="89" spans="1:10" x14ac:dyDescent="0.25">
      <c r="A89" s="26" t="s">
        <v>732</v>
      </c>
      <c r="B89" t="s">
        <v>786</v>
      </c>
      <c r="H89">
        <v>95809</v>
      </c>
      <c r="I89" t="s">
        <v>789</v>
      </c>
      <c r="J89" t="str">
        <f t="shared" si="1"/>
        <v>ia.assorted_string like '%95809-00004-08-2024%' or</v>
      </c>
    </row>
    <row r="90" spans="1:10" x14ac:dyDescent="0.25">
      <c r="A90" s="26" t="s">
        <v>733</v>
      </c>
      <c r="B90" t="s">
        <v>786</v>
      </c>
      <c r="H90">
        <v>95809</v>
      </c>
      <c r="I90" t="s">
        <v>790</v>
      </c>
      <c r="J90" t="str">
        <f t="shared" si="1"/>
        <v>ia.assorted_string like '%95809-00005-08-2024%' or</v>
      </c>
    </row>
    <row r="91" spans="1:10" x14ac:dyDescent="0.25">
      <c r="A91" s="26" t="s">
        <v>734</v>
      </c>
      <c r="B91" t="s">
        <v>786</v>
      </c>
      <c r="H91">
        <v>96103</v>
      </c>
      <c r="I91" t="s">
        <v>788</v>
      </c>
      <c r="J91" t="str">
        <f t="shared" si="1"/>
        <v>ia.assorted_string like '%96103-00001-08-2024%' or</v>
      </c>
    </row>
    <row r="92" spans="1:10" x14ac:dyDescent="0.25">
      <c r="A92" s="26" t="s">
        <v>735</v>
      </c>
      <c r="B92" t="s">
        <v>786</v>
      </c>
      <c r="H92">
        <v>96094</v>
      </c>
      <c r="I92" t="s">
        <v>788</v>
      </c>
      <c r="J92" t="str">
        <f t="shared" si="1"/>
        <v>ia.assorted_string like '%96094-00001-08-2024%' or</v>
      </c>
    </row>
    <row r="93" spans="1:10" x14ac:dyDescent="0.25">
      <c r="A93" s="26" t="s">
        <v>736</v>
      </c>
      <c r="B93" t="s">
        <v>786</v>
      </c>
      <c r="H93">
        <v>96094</v>
      </c>
      <c r="I93" t="s">
        <v>798</v>
      </c>
      <c r="J93" t="str">
        <f t="shared" si="1"/>
        <v>ia.assorted_string like '%96094-00002-08-2024%' or</v>
      </c>
    </row>
    <row r="94" spans="1:10" x14ac:dyDescent="0.25">
      <c r="A94" s="26" t="s">
        <v>737</v>
      </c>
      <c r="B94" t="s">
        <v>786</v>
      </c>
      <c r="H94">
        <v>96086</v>
      </c>
      <c r="I94" t="s">
        <v>788</v>
      </c>
      <c r="J94" t="str">
        <f t="shared" si="1"/>
        <v>ia.assorted_string like '%96086-00001-08-2024%' or</v>
      </c>
    </row>
    <row r="95" spans="1:10" x14ac:dyDescent="0.25">
      <c r="A95" s="26" t="s">
        <v>738</v>
      </c>
      <c r="B95" t="s">
        <v>786</v>
      </c>
      <c r="H95">
        <v>96091</v>
      </c>
      <c r="I95" t="s">
        <v>788</v>
      </c>
      <c r="J95" t="str">
        <f t="shared" si="1"/>
        <v>ia.assorted_string like '%96091-00001-08-2024%' or</v>
      </c>
    </row>
    <row r="96" spans="1:10" x14ac:dyDescent="0.25">
      <c r="A96" s="26" t="s">
        <v>739</v>
      </c>
      <c r="B96" t="s">
        <v>786</v>
      </c>
      <c r="H96">
        <v>95806</v>
      </c>
      <c r="I96" t="s">
        <v>790</v>
      </c>
      <c r="J96" t="str">
        <f t="shared" si="1"/>
        <v>ia.assorted_string like '%95806-00005-08-2024%' or</v>
      </c>
    </row>
    <row r="97" spans="1:10" x14ac:dyDescent="0.25">
      <c r="A97" s="26" t="s">
        <v>740</v>
      </c>
      <c r="B97" t="s">
        <v>786</v>
      </c>
      <c r="H97">
        <v>96111</v>
      </c>
      <c r="I97" t="s">
        <v>798</v>
      </c>
      <c r="J97" t="str">
        <f t="shared" si="1"/>
        <v>ia.assorted_string like '%96111-00002-08-2024%' or</v>
      </c>
    </row>
    <row r="98" spans="1:10" x14ac:dyDescent="0.25">
      <c r="A98" s="26" t="s">
        <v>741</v>
      </c>
      <c r="B98" t="s">
        <v>786</v>
      </c>
      <c r="H98">
        <v>96111</v>
      </c>
      <c r="I98" t="s">
        <v>799</v>
      </c>
      <c r="J98" t="str">
        <f t="shared" si="1"/>
        <v>ia.assorted_string like '%96111-00008-08-2024%' or</v>
      </c>
    </row>
    <row r="99" spans="1:10" x14ac:dyDescent="0.25">
      <c r="A99" s="26" t="s">
        <v>742</v>
      </c>
      <c r="B99" t="s">
        <v>786</v>
      </c>
      <c r="H99">
        <v>96111</v>
      </c>
      <c r="I99" t="s">
        <v>795</v>
      </c>
      <c r="J99" t="str">
        <f t="shared" si="1"/>
        <v>ia.assorted_string like '%96111-00009-08-2024%' or</v>
      </c>
    </row>
    <row r="100" spans="1:10" x14ac:dyDescent="0.25">
      <c r="A100" s="26" t="s">
        <v>743</v>
      </c>
      <c r="B100" t="s">
        <v>786</v>
      </c>
      <c r="H100">
        <v>96111</v>
      </c>
      <c r="I100" t="s">
        <v>797</v>
      </c>
      <c r="J100" t="str">
        <f t="shared" si="1"/>
        <v>ia.assorted_string like '%96111-00007-08-2024%' or</v>
      </c>
    </row>
    <row r="101" spans="1:10" x14ac:dyDescent="0.25">
      <c r="A101" s="26" t="s">
        <v>744</v>
      </c>
      <c r="B101" t="s">
        <v>786</v>
      </c>
      <c r="H101">
        <v>96111</v>
      </c>
      <c r="I101" t="s">
        <v>790</v>
      </c>
      <c r="J101" t="str">
        <f t="shared" si="1"/>
        <v>ia.assorted_string like '%96111-00005-08-2024%' or</v>
      </c>
    </row>
    <row r="102" spans="1:10" x14ac:dyDescent="0.25">
      <c r="A102" s="26" t="s">
        <v>745</v>
      </c>
      <c r="B102" t="s">
        <v>786</v>
      </c>
      <c r="H102">
        <v>96111</v>
      </c>
      <c r="I102" t="s">
        <v>794</v>
      </c>
      <c r="J102" t="str">
        <f t="shared" si="1"/>
        <v>ia.assorted_string like '%96111-00006-08-2024%' or</v>
      </c>
    </row>
    <row r="103" spans="1:10" x14ac:dyDescent="0.25">
      <c r="A103" s="26" t="s">
        <v>746</v>
      </c>
      <c r="B103" t="s">
        <v>786</v>
      </c>
      <c r="H103">
        <v>96111</v>
      </c>
      <c r="I103" t="s">
        <v>792</v>
      </c>
      <c r="J103" t="str">
        <f t="shared" si="1"/>
        <v>ia.assorted_string like '%96111-00003-08-2024%' or</v>
      </c>
    </row>
    <row r="104" spans="1:10" x14ac:dyDescent="0.25">
      <c r="A104" s="26" t="s">
        <v>747</v>
      </c>
      <c r="B104" t="s">
        <v>786</v>
      </c>
      <c r="H104">
        <v>96111</v>
      </c>
      <c r="I104" t="s">
        <v>788</v>
      </c>
      <c r="J104" t="str">
        <f t="shared" si="1"/>
        <v>ia.assorted_string like '%96111-00001-08-2024%' or</v>
      </c>
    </row>
    <row r="105" spans="1:10" x14ac:dyDescent="0.25">
      <c r="A105" s="26" t="s">
        <v>748</v>
      </c>
      <c r="B105" t="s">
        <v>786</v>
      </c>
      <c r="H105">
        <v>96111</v>
      </c>
      <c r="I105" t="s">
        <v>789</v>
      </c>
      <c r="J105" t="str">
        <f t="shared" si="1"/>
        <v>ia.assorted_string like '%96111-00004-08-2024%' or</v>
      </c>
    </row>
    <row r="106" spans="1:10" x14ac:dyDescent="0.25">
      <c r="A106" s="26" t="s">
        <v>749</v>
      </c>
      <c r="B106" t="s">
        <v>786</v>
      </c>
      <c r="H106">
        <v>96337</v>
      </c>
      <c r="I106" t="s">
        <v>789</v>
      </c>
      <c r="J106" t="str">
        <f t="shared" si="1"/>
        <v>ia.assorted_string like '%96337-00004-08-2024%' or</v>
      </c>
    </row>
    <row r="107" spans="1:10" x14ac:dyDescent="0.25">
      <c r="A107" s="26" t="s">
        <v>750</v>
      </c>
      <c r="B107" t="s">
        <v>786</v>
      </c>
      <c r="H107">
        <v>96337</v>
      </c>
      <c r="I107" t="s">
        <v>788</v>
      </c>
      <c r="J107" t="str">
        <f t="shared" si="1"/>
        <v>ia.assorted_string like '%96337-00001-08-2024%' or</v>
      </c>
    </row>
    <row r="108" spans="1:10" x14ac:dyDescent="0.25">
      <c r="A108" s="26" t="s">
        <v>751</v>
      </c>
      <c r="B108" t="s">
        <v>786</v>
      </c>
      <c r="H108">
        <v>96337</v>
      </c>
      <c r="I108" t="s">
        <v>798</v>
      </c>
      <c r="J108" t="str">
        <f t="shared" si="1"/>
        <v>ia.assorted_string like '%96337-00002-08-2024%' or</v>
      </c>
    </row>
    <row r="109" spans="1:10" x14ac:dyDescent="0.25">
      <c r="A109" s="26" t="s">
        <v>752</v>
      </c>
      <c r="B109" t="s">
        <v>786</v>
      </c>
      <c r="H109">
        <v>96336</v>
      </c>
      <c r="I109" t="s">
        <v>788</v>
      </c>
      <c r="J109" t="str">
        <f t="shared" si="1"/>
        <v>ia.assorted_string like '%96336-00001-08-2024%' or</v>
      </c>
    </row>
    <row r="110" spans="1:10" x14ac:dyDescent="0.25">
      <c r="A110" s="26" t="s">
        <v>753</v>
      </c>
      <c r="B110" t="s">
        <v>786</v>
      </c>
      <c r="H110">
        <v>96336</v>
      </c>
      <c r="I110" t="s">
        <v>798</v>
      </c>
      <c r="J110" t="str">
        <f t="shared" si="1"/>
        <v>ia.assorted_string like '%96336-00002-08-2024%' or</v>
      </c>
    </row>
    <row r="111" spans="1:10" x14ac:dyDescent="0.25">
      <c r="A111" s="26" t="s">
        <v>754</v>
      </c>
      <c r="B111" t="s">
        <v>786</v>
      </c>
      <c r="H111">
        <v>96110</v>
      </c>
      <c r="I111" t="s">
        <v>798</v>
      </c>
      <c r="J111" t="str">
        <f t="shared" si="1"/>
        <v>ia.assorted_string like '%96110-00002-08-2024%' or</v>
      </c>
    </row>
    <row r="112" spans="1:10" x14ac:dyDescent="0.25">
      <c r="A112" s="26" t="s">
        <v>755</v>
      </c>
      <c r="B112" t="s">
        <v>786</v>
      </c>
      <c r="H112">
        <v>96110</v>
      </c>
      <c r="I112" t="s">
        <v>788</v>
      </c>
      <c r="J112" t="str">
        <f t="shared" si="1"/>
        <v>ia.assorted_string like '%96110-00001-08-2024%' or</v>
      </c>
    </row>
    <row r="113" spans="1:10" x14ac:dyDescent="0.25">
      <c r="A113" s="26" t="s">
        <v>785</v>
      </c>
      <c r="B113" t="s">
        <v>786</v>
      </c>
      <c r="H113">
        <v>96096</v>
      </c>
      <c r="I113" t="s">
        <v>798</v>
      </c>
      <c r="J113" t="str">
        <f t="shared" si="1"/>
        <v>ia.assorted_string like '%96096-00002-08-2024%' or</v>
      </c>
    </row>
    <row r="114" spans="1:10" x14ac:dyDescent="0.25">
      <c r="A114" s="26" t="s">
        <v>784</v>
      </c>
      <c r="B114" t="s">
        <v>786</v>
      </c>
      <c r="H114">
        <v>96141</v>
      </c>
      <c r="I114" t="s">
        <v>792</v>
      </c>
      <c r="J114" t="str">
        <f t="shared" si="1"/>
        <v>ia.assorted_string like '%96141-00003-08-2024%' or</v>
      </c>
    </row>
    <row r="115" spans="1:10" ht="15.75" thickBot="1" x14ac:dyDescent="0.3">
      <c r="A115" s="28" t="s">
        <v>783</v>
      </c>
      <c r="B115" t="s">
        <v>786</v>
      </c>
      <c r="H115">
        <v>96145</v>
      </c>
      <c r="I115" t="s">
        <v>788</v>
      </c>
      <c r="J115" t="str">
        <f t="shared" si="1"/>
        <v>ia.assorted_string like '%96145-00001-08-2024%' or</v>
      </c>
    </row>
    <row r="118" spans="1:10" x14ac:dyDescent="0.25">
      <c r="I118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WORKING</vt:lpstr>
      <vt:lpstr>CERTIFICATE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2024-09-26T12:50:34Z</dcterms:modified>
</cp:coreProperties>
</file>